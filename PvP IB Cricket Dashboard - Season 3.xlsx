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rshnem\Python Training\IB Cricket\"/>
    </mc:Choice>
  </mc:AlternateContent>
  <xr:revisionPtr revIDLastSave="0" documentId="13_ncr:1_{A748E8A3-2179-4A5D-BC33-1C92D35E02C5}" xr6:coauthVersionLast="47" xr6:coauthVersionMax="47" xr10:uidLastSave="{00000000-0000-0000-0000-000000000000}"/>
  <bookViews>
    <workbookView xWindow="-108" yWindow="-108" windowWidth="23256" windowHeight="13896" firstSheet="4" activeTab="7" xr2:uid="{00000000-000D-0000-FFFF-FFFF00000000}"/>
  </bookViews>
  <sheets>
    <sheet name="Rawdata_Match" sheetId="1" state="hidden" r:id="rId1"/>
    <sheet name="RawData_Worm" sheetId="2" state="hidden" r:id="rId2"/>
    <sheet name="RawData_Matches" sheetId="3" state="hidden" r:id="rId3"/>
    <sheet name="Lookup_TEAMS" sheetId="4" state="hidden" r:id="rId4"/>
    <sheet name="PvP IB Cricket Season 2" sheetId="5" r:id="rId5"/>
    <sheet name="Points_Tables" sheetId="6" r:id="rId6"/>
    <sheet name="Sheet1" sheetId="7" r:id="rId7"/>
    <sheet name="Online_Match_Entry" sheetId="8" r:id="rId8"/>
    <sheet name="Teams_Master" sheetId="9" r:id="rId9"/>
    <sheet name="Calculated_Points_Table" sheetId="10" r:id="rId10"/>
  </sheets>
  <definedNames>
    <definedName name="AFG">Lookup_TEAMS!$B$5</definedName>
    <definedName name="AUS">Lookup_TEAMS!$B$6</definedName>
    <definedName name="BAN">Lookup_TEAMS!$B$7</definedName>
    <definedName name="BATROWS">Rawdata_Match!$P$2</definedName>
    <definedName name="BOWLROWS">Rawdata_Match!$BJ$3</definedName>
    <definedName name="ENG">Lookup_TEAMS!$B$8</definedName>
    <definedName name="FLAGS">Lookup_TEAMS!$B$5:$B$6</definedName>
    <definedName name="I_MATCHNO">#REF!</definedName>
    <definedName name="I_TEAM">#REF!</definedName>
    <definedName name="IND">Lookup_TEAMS!$B$9</definedName>
    <definedName name="IRE">Lookup_TEAMS!$B$10</definedName>
    <definedName name="MatchNameList">T_MATCHSUM[MATCH NAME]</definedName>
    <definedName name="Matchnumlist">T_MATCHSUM[Match Number]</definedName>
    <definedName name="NZ">Lookup_TEAMS!$B$11</definedName>
    <definedName name="PAK">Lookup_TEAMS!$B$12</definedName>
    <definedName name="SAF">Lookup_TEAMS!$B$14</definedName>
    <definedName name="SCO">Lookup_TEAMS!$B$13</definedName>
    <definedName name="SL">Lookup_TEAMS!$B$15</definedName>
    <definedName name="TEAMABR">Lookup_TEAMS!$C$5:$C$18</definedName>
    <definedName name="TeamFlag1">INDIRECT(#REF!)</definedName>
    <definedName name="TeamFlag2">INDIRECT(#REF!)</definedName>
    <definedName name="TEAMNMS">Lookup_TEAMS!$A$5:$A$18</definedName>
    <definedName name="TVIEWFLAG">INDIRECT(#REF!)</definedName>
    <definedName name="UAE">Lookup_TEAMS!$B$16</definedName>
    <definedName name="WI">Lookup_TEAMS!$B$17</definedName>
    <definedName name="ZIM">Lookup_TEAMS!$B$18</definedName>
  </definedNames>
  <calcPr calcId="191029" concurrentManualCount="1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6" l="1"/>
  <c r="B41" i="6"/>
  <c r="B40" i="6"/>
  <c r="B39" i="6"/>
  <c r="P17" i="6"/>
  <c r="B17" i="6"/>
  <c r="CJ4" i="6"/>
  <c r="BU4" i="6"/>
  <c r="BF4" i="6"/>
  <c r="AQ4" i="6"/>
  <c r="P4" i="6"/>
  <c r="B4" i="6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P13" i="3"/>
  <c r="J13" i="3"/>
  <c r="I13" i="3"/>
  <c r="P12" i="3"/>
  <c r="J12" i="3"/>
  <c r="I12" i="3"/>
  <c r="P11" i="3"/>
  <c r="J11" i="3"/>
  <c r="I11" i="3"/>
  <c r="P10" i="3"/>
  <c r="J10" i="3"/>
  <c r="I10" i="3"/>
  <c r="P9" i="3"/>
  <c r="J9" i="3"/>
  <c r="I9" i="3"/>
  <c r="P8" i="3"/>
  <c r="J8" i="3"/>
  <c r="I8" i="3"/>
  <c r="P7" i="3"/>
  <c r="J7" i="3"/>
  <c r="I7" i="3"/>
  <c r="P6" i="3"/>
  <c r="J6" i="3"/>
  <c r="I6" i="3"/>
  <c r="R2267" i="2"/>
  <c r="O2267" i="2"/>
  <c r="N2267" i="2"/>
  <c r="R2266" i="2"/>
  <c r="O2266" i="2"/>
  <c r="N2266" i="2"/>
  <c r="R2265" i="2"/>
  <c r="O2265" i="2"/>
  <c r="N2265" i="2"/>
  <c r="R2264" i="2"/>
  <c r="O2264" i="2"/>
  <c r="N2264" i="2"/>
  <c r="R2263" i="2"/>
  <c r="O2263" i="2"/>
  <c r="N2263" i="2"/>
  <c r="R2262" i="2"/>
  <c r="O2262" i="2"/>
  <c r="N2262" i="2"/>
  <c r="R2261" i="2"/>
  <c r="O2261" i="2"/>
  <c r="N2261" i="2"/>
  <c r="R2260" i="2"/>
  <c r="O2260" i="2"/>
  <c r="N2260" i="2"/>
  <c r="R2259" i="2"/>
  <c r="O2259" i="2"/>
  <c r="N2259" i="2"/>
  <c r="R2258" i="2"/>
  <c r="O2258" i="2"/>
  <c r="N2258" i="2"/>
  <c r="R2257" i="2"/>
  <c r="O2257" i="2"/>
  <c r="N2257" i="2"/>
  <c r="R2256" i="2"/>
  <c r="O2256" i="2"/>
  <c r="N2256" i="2"/>
  <c r="R2255" i="2"/>
  <c r="O2255" i="2"/>
  <c r="N2255" i="2"/>
  <c r="R2254" i="2"/>
  <c r="O2254" i="2"/>
  <c r="N2254" i="2"/>
  <c r="R2253" i="2"/>
  <c r="O2253" i="2"/>
  <c r="N2253" i="2"/>
  <c r="R2252" i="2"/>
  <c r="O2252" i="2"/>
  <c r="N2252" i="2"/>
  <c r="R2251" i="2"/>
  <c r="O2251" i="2"/>
  <c r="N2251" i="2"/>
  <c r="R2250" i="2"/>
  <c r="O2250" i="2"/>
  <c r="N2250" i="2"/>
  <c r="R2249" i="2"/>
  <c r="O2249" i="2"/>
  <c r="N2249" i="2"/>
  <c r="R2248" i="2"/>
  <c r="O2248" i="2"/>
  <c r="N2248" i="2"/>
  <c r="R2247" i="2"/>
  <c r="O2247" i="2"/>
  <c r="N2247" i="2"/>
  <c r="R2246" i="2"/>
  <c r="O2246" i="2"/>
  <c r="N2246" i="2"/>
  <c r="R2245" i="2"/>
  <c r="O2245" i="2"/>
  <c r="N2245" i="2"/>
  <c r="R2244" i="2"/>
  <c r="O2244" i="2"/>
  <c r="N2244" i="2"/>
  <c r="R2243" i="2"/>
  <c r="O2243" i="2"/>
  <c r="N2243" i="2"/>
  <c r="R2242" i="2"/>
  <c r="O2242" i="2"/>
  <c r="N2242" i="2"/>
  <c r="R2241" i="2"/>
  <c r="O2241" i="2"/>
  <c r="N2241" i="2"/>
  <c r="R2240" i="2"/>
  <c r="O2240" i="2"/>
  <c r="N2240" i="2"/>
  <c r="R2239" i="2"/>
  <c r="O2239" i="2"/>
  <c r="N2239" i="2"/>
  <c r="R2238" i="2"/>
  <c r="O2238" i="2"/>
  <c r="N2238" i="2"/>
  <c r="R2237" i="2"/>
  <c r="O2237" i="2"/>
  <c r="N2237" i="2"/>
  <c r="R2236" i="2"/>
  <c r="O2236" i="2"/>
  <c r="N2236" i="2"/>
  <c r="R2235" i="2"/>
  <c r="O2235" i="2"/>
  <c r="N2235" i="2"/>
  <c r="R2234" i="2"/>
  <c r="O2234" i="2"/>
  <c r="N2234" i="2"/>
  <c r="R2233" i="2"/>
  <c r="O2233" i="2"/>
  <c r="N2233" i="2"/>
  <c r="R2232" i="2"/>
  <c r="O2232" i="2"/>
  <c r="N2232" i="2"/>
  <c r="R2231" i="2"/>
  <c r="O2231" i="2"/>
  <c r="N2231" i="2"/>
  <c r="R2230" i="2"/>
  <c r="O2230" i="2"/>
  <c r="N2230" i="2"/>
  <c r="R2229" i="2"/>
  <c r="O2229" i="2"/>
  <c r="N2229" i="2"/>
  <c r="R2228" i="2"/>
  <c r="O2228" i="2"/>
  <c r="N2228" i="2"/>
  <c r="R2227" i="2"/>
  <c r="O2227" i="2"/>
  <c r="N2227" i="2"/>
  <c r="R2226" i="2"/>
  <c r="O2226" i="2"/>
  <c r="N2226" i="2"/>
  <c r="R2225" i="2"/>
  <c r="O2225" i="2"/>
  <c r="N2225" i="2"/>
  <c r="R2224" i="2"/>
  <c r="O2224" i="2"/>
  <c r="N2224" i="2"/>
  <c r="R2223" i="2"/>
  <c r="O2223" i="2"/>
  <c r="N2223" i="2"/>
  <c r="R2222" i="2"/>
  <c r="O2222" i="2"/>
  <c r="N2222" i="2"/>
  <c r="R2221" i="2"/>
  <c r="O2221" i="2"/>
  <c r="N2221" i="2"/>
  <c r="R2220" i="2"/>
  <c r="O2220" i="2"/>
  <c r="N2220" i="2"/>
  <c r="R2219" i="2"/>
  <c r="O2219" i="2"/>
  <c r="N2219" i="2"/>
  <c r="R2218" i="2"/>
  <c r="O2218" i="2"/>
  <c r="N2218" i="2"/>
  <c r="R2217" i="2"/>
  <c r="O2217" i="2"/>
  <c r="N2217" i="2"/>
  <c r="R2216" i="2"/>
  <c r="O2216" i="2"/>
  <c r="N2216" i="2"/>
  <c r="R2215" i="2"/>
  <c r="O2215" i="2"/>
  <c r="N2215" i="2"/>
  <c r="R2214" i="2"/>
  <c r="O2214" i="2"/>
  <c r="N2214" i="2"/>
  <c r="R2213" i="2"/>
  <c r="O2213" i="2"/>
  <c r="N2213" i="2"/>
  <c r="R2212" i="2"/>
  <c r="O2212" i="2"/>
  <c r="N2212" i="2"/>
  <c r="R2211" i="2"/>
  <c r="O2211" i="2"/>
  <c r="N2211" i="2"/>
  <c r="R2210" i="2"/>
  <c r="O2210" i="2"/>
  <c r="N2210" i="2"/>
  <c r="R2209" i="2"/>
  <c r="O2209" i="2"/>
  <c r="N2209" i="2"/>
  <c r="R2208" i="2"/>
  <c r="O2208" i="2"/>
  <c r="N2208" i="2"/>
  <c r="R2207" i="2"/>
  <c r="O2207" i="2"/>
  <c r="N2207" i="2"/>
  <c r="R2206" i="2"/>
  <c r="O2206" i="2"/>
  <c r="N2206" i="2"/>
  <c r="R2205" i="2"/>
  <c r="O2205" i="2"/>
  <c r="N2205" i="2"/>
  <c r="R2204" i="2"/>
  <c r="O2204" i="2"/>
  <c r="N2204" i="2"/>
  <c r="R2203" i="2"/>
  <c r="O2203" i="2"/>
  <c r="N2203" i="2"/>
  <c r="R2202" i="2"/>
  <c r="O2202" i="2"/>
  <c r="N2202" i="2"/>
  <c r="R2201" i="2"/>
  <c r="O2201" i="2"/>
  <c r="N2201" i="2"/>
  <c r="R2200" i="2"/>
  <c r="O2200" i="2"/>
  <c r="N2200" i="2"/>
  <c r="R2199" i="2"/>
  <c r="O2199" i="2"/>
  <c r="N2199" i="2"/>
  <c r="R2198" i="2"/>
  <c r="O2198" i="2"/>
  <c r="N2198" i="2"/>
  <c r="R2197" i="2"/>
  <c r="O2197" i="2"/>
  <c r="N2197" i="2"/>
  <c r="R2196" i="2"/>
  <c r="O2196" i="2"/>
  <c r="N2196" i="2"/>
  <c r="R2195" i="2"/>
  <c r="O2195" i="2"/>
  <c r="N2195" i="2"/>
  <c r="R2194" i="2"/>
  <c r="O2194" i="2"/>
  <c r="N2194" i="2"/>
  <c r="R2193" i="2"/>
  <c r="O2193" i="2"/>
  <c r="N2193" i="2"/>
  <c r="R2192" i="2"/>
  <c r="O2192" i="2"/>
  <c r="N2192" i="2"/>
  <c r="R2191" i="2"/>
  <c r="O2191" i="2"/>
  <c r="N2191" i="2"/>
  <c r="R2190" i="2"/>
  <c r="O2190" i="2"/>
  <c r="N2190" i="2"/>
  <c r="R2189" i="2"/>
  <c r="O2189" i="2"/>
  <c r="N2189" i="2"/>
  <c r="R2188" i="2"/>
  <c r="O2188" i="2"/>
  <c r="N2188" i="2"/>
  <c r="R2187" i="2"/>
  <c r="O2187" i="2"/>
  <c r="N2187" i="2"/>
  <c r="R2186" i="2"/>
  <c r="O2186" i="2"/>
  <c r="N2186" i="2"/>
  <c r="R2185" i="2"/>
  <c r="O2185" i="2"/>
  <c r="N2185" i="2"/>
  <c r="R2184" i="2"/>
  <c r="O2184" i="2"/>
  <c r="N2184" i="2"/>
  <c r="R2183" i="2"/>
  <c r="O2183" i="2"/>
  <c r="N2183" i="2"/>
  <c r="R2182" i="2"/>
  <c r="O2182" i="2"/>
  <c r="N2182" i="2"/>
  <c r="R2181" i="2"/>
  <c r="O2181" i="2"/>
  <c r="N2181" i="2"/>
  <c r="R2180" i="2"/>
  <c r="O2180" i="2"/>
  <c r="N2180" i="2"/>
  <c r="R2179" i="2"/>
  <c r="O2179" i="2"/>
  <c r="N2179" i="2"/>
  <c r="R2178" i="2"/>
  <c r="O2178" i="2"/>
  <c r="N2178" i="2"/>
  <c r="R2177" i="2"/>
  <c r="O2177" i="2"/>
  <c r="N2177" i="2"/>
  <c r="R2176" i="2"/>
  <c r="O2176" i="2"/>
  <c r="N2176" i="2"/>
  <c r="R2175" i="2"/>
  <c r="O2175" i="2"/>
  <c r="N2175" i="2"/>
  <c r="R2174" i="2"/>
  <c r="O2174" i="2"/>
  <c r="N2174" i="2"/>
  <c r="R2173" i="2"/>
  <c r="O2173" i="2"/>
  <c r="N2173" i="2"/>
  <c r="R2172" i="2"/>
  <c r="O2172" i="2"/>
  <c r="N2172" i="2"/>
  <c r="R2171" i="2"/>
  <c r="O2171" i="2"/>
  <c r="N2171" i="2"/>
  <c r="R2170" i="2"/>
  <c r="O2170" i="2"/>
  <c r="N2170" i="2"/>
  <c r="R2169" i="2"/>
  <c r="O2169" i="2"/>
  <c r="N2169" i="2"/>
  <c r="R2168" i="2"/>
  <c r="O2168" i="2"/>
  <c r="N2168" i="2"/>
  <c r="R2167" i="2"/>
  <c r="O2167" i="2"/>
  <c r="N2167" i="2"/>
  <c r="R2166" i="2"/>
  <c r="O2166" i="2"/>
  <c r="N2166" i="2"/>
  <c r="R2165" i="2"/>
  <c r="O2165" i="2"/>
  <c r="N2165" i="2"/>
  <c r="R2164" i="2"/>
  <c r="O2164" i="2"/>
  <c r="N2164" i="2"/>
  <c r="R2163" i="2"/>
  <c r="O2163" i="2"/>
  <c r="N2163" i="2"/>
  <c r="R2162" i="2"/>
  <c r="O2162" i="2"/>
  <c r="N2162" i="2"/>
  <c r="R2161" i="2"/>
  <c r="O2161" i="2"/>
  <c r="N2161" i="2"/>
  <c r="R2160" i="2"/>
  <c r="O2160" i="2"/>
  <c r="N2160" i="2"/>
  <c r="R2159" i="2"/>
  <c r="O2159" i="2"/>
  <c r="N2159" i="2"/>
  <c r="R2158" i="2"/>
  <c r="O2158" i="2"/>
  <c r="N2158" i="2"/>
  <c r="R2157" i="2"/>
  <c r="O2157" i="2"/>
  <c r="N2157" i="2"/>
  <c r="R2156" i="2"/>
  <c r="O2156" i="2"/>
  <c r="N2156" i="2"/>
  <c r="R2155" i="2"/>
  <c r="O2155" i="2"/>
  <c r="N2155" i="2"/>
  <c r="R2154" i="2"/>
  <c r="O2154" i="2"/>
  <c r="N2154" i="2"/>
  <c r="R2153" i="2"/>
  <c r="O2153" i="2"/>
  <c r="N2153" i="2"/>
  <c r="R2152" i="2"/>
  <c r="O2152" i="2"/>
  <c r="N2152" i="2"/>
  <c r="R2151" i="2"/>
  <c r="O2151" i="2"/>
  <c r="N2151" i="2"/>
  <c r="R2150" i="2"/>
  <c r="O2150" i="2"/>
  <c r="N2150" i="2"/>
  <c r="R2149" i="2"/>
  <c r="O2149" i="2"/>
  <c r="N2149" i="2"/>
  <c r="R2148" i="2"/>
  <c r="O2148" i="2"/>
  <c r="N2148" i="2"/>
  <c r="R2147" i="2"/>
  <c r="O2147" i="2"/>
  <c r="N2147" i="2"/>
  <c r="R2146" i="2"/>
  <c r="O2146" i="2"/>
  <c r="N2146" i="2"/>
  <c r="R2145" i="2"/>
  <c r="O2145" i="2"/>
  <c r="N2145" i="2"/>
  <c r="R2144" i="2"/>
  <c r="O2144" i="2"/>
  <c r="N2144" i="2"/>
  <c r="R2143" i="2"/>
  <c r="O2143" i="2"/>
  <c r="N2143" i="2"/>
  <c r="R2142" i="2"/>
  <c r="O2142" i="2"/>
  <c r="N2142" i="2"/>
  <c r="R2141" i="2"/>
  <c r="O2141" i="2"/>
  <c r="N2141" i="2"/>
  <c r="R2140" i="2"/>
  <c r="O2140" i="2"/>
  <c r="N2140" i="2"/>
  <c r="R2139" i="2"/>
  <c r="O2139" i="2"/>
  <c r="N2139" i="2"/>
  <c r="R2138" i="2"/>
  <c r="O2138" i="2"/>
  <c r="N2138" i="2"/>
  <c r="R2137" i="2"/>
  <c r="O2137" i="2"/>
  <c r="N2137" i="2"/>
  <c r="R2136" i="2"/>
  <c r="O2136" i="2"/>
  <c r="N2136" i="2"/>
  <c r="R2135" i="2"/>
  <c r="O2135" i="2"/>
  <c r="N2135" i="2"/>
  <c r="R2134" i="2"/>
  <c r="O2134" i="2"/>
  <c r="N2134" i="2"/>
  <c r="R2133" i="2"/>
  <c r="O2133" i="2"/>
  <c r="N2133" i="2"/>
  <c r="R2132" i="2"/>
  <c r="O2132" i="2"/>
  <c r="N2132" i="2"/>
  <c r="R2131" i="2"/>
  <c r="O2131" i="2"/>
  <c r="N2131" i="2"/>
  <c r="R2130" i="2"/>
  <c r="O2130" i="2"/>
  <c r="N2130" i="2"/>
  <c r="R2129" i="2"/>
  <c r="O2129" i="2"/>
  <c r="N2129" i="2"/>
  <c r="R2128" i="2"/>
  <c r="O2128" i="2"/>
  <c r="N2128" i="2"/>
  <c r="R2127" i="2"/>
  <c r="O2127" i="2"/>
  <c r="N2127" i="2"/>
  <c r="R2126" i="2"/>
  <c r="O2126" i="2"/>
  <c r="N2126" i="2"/>
  <c r="R2125" i="2"/>
  <c r="O2125" i="2"/>
  <c r="N2125" i="2"/>
  <c r="R2124" i="2"/>
  <c r="O2124" i="2"/>
  <c r="N2124" i="2"/>
  <c r="R2123" i="2"/>
  <c r="O2123" i="2"/>
  <c r="N2123" i="2"/>
  <c r="R2122" i="2"/>
  <c r="O2122" i="2"/>
  <c r="N2122" i="2"/>
  <c r="R2121" i="2"/>
  <c r="O2121" i="2"/>
  <c r="N2121" i="2"/>
  <c r="R2120" i="2"/>
  <c r="O2120" i="2"/>
  <c r="N2120" i="2"/>
  <c r="R2119" i="2"/>
  <c r="O2119" i="2"/>
  <c r="N2119" i="2"/>
  <c r="R2118" i="2"/>
  <c r="O2118" i="2"/>
  <c r="N2118" i="2"/>
  <c r="R2117" i="2"/>
  <c r="O2117" i="2"/>
  <c r="N2117" i="2"/>
  <c r="R2116" i="2"/>
  <c r="O2116" i="2"/>
  <c r="N2116" i="2"/>
  <c r="R2115" i="2"/>
  <c r="O2115" i="2"/>
  <c r="N2115" i="2"/>
  <c r="R2114" i="2"/>
  <c r="O2114" i="2"/>
  <c r="N2114" i="2"/>
  <c r="R2113" i="2"/>
  <c r="O2113" i="2"/>
  <c r="N2113" i="2"/>
  <c r="R2112" i="2"/>
  <c r="O2112" i="2"/>
  <c r="N2112" i="2"/>
  <c r="R2111" i="2"/>
  <c r="O2111" i="2"/>
  <c r="N2111" i="2"/>
  <c r="R2110" i="2"/>
  <c r="O2110" i="2"/>
  <c r="N2110" i="2"/>
  <c r="R2109" i="2"/>
  <c r="O2109" i="2"/>
  <c r="N2109" i="2"/>
  <c r="R2108" i="2"/>
  <c r="O2108" i="2"/>
  <c r="N2108" i="2"/>
  <c r="R2107" i="2"/>
  <c r="O2107" i="2"/>
  <c r="N2107" i="2"/>
  <c r="R2106" i="2"/>
  <c r="O2106" i="2"/>
  <c r="N2106" i="2"/>
  <c r="R2105" i="2"/>
  <c r="O2105" i="2"/>
  <c r="N2105" i="2"/>
  <c r="R2104" i="2"/>
  <c r="O2104" i="2"/>
  <c r="N2104" i="2"/>
  <c r="R2103" i="2"/>
  <c r="O2103" i="2"/>
  <c r="N2103" i="2"/>
  <c r="R2102" i="2"/>
  <c r="O2102" i="2"/>
  <c r="N2102" i="2"/>
  <c r="R2101" i="2"/>
  <c r="O2101" i="2"/>
  <c r="N2101" i="2"/>
  <c r="R2100" i="2"/>
  <c r="O2100" i="2"/>
  <c r="N2100" i="2"/>
  <c r="R2099" i="2"/>
  <c r="O2099" i="2"/>
  <c r="N2099" i="2"/>
  <c r="R2098" i="2"/>
  <c r="O2098" i="2"/>
  <c r="N2098" i="2"/>
  <c r="R2097" i="2"/>
  <c r="O2097" i="2"/>
  <c r="N2097" i="2"/>
  <c r="R2096" i="2"/>
  <c r="O2096" i="2"/>
  <c r="N2096" i="2"/>
  <c r="R2095" i="2"/>
  <c r="O2095" i="2"/>
  <c r="N2095" i="2"/>
  <c r="R2094" i="2"/>
  <c r="O2094" i="2"/>
  <c r="N2094" i="2"/>
  <c r="R2093" i="2"/>
  <c r="O2093" i="2"/>
  <c r="N2093" i="2"/>
  <c r="R2092" i="2"/>
  <c r="O2092" i="2"/>
  <c r="N2092" i="2"/>
  <c r="R2091" i="2"/>
  <c r="O2091" i="2"/>
  <c r="N2091" i="2"/>
  <c r="R2090" i="2"/>
  <c r="O2090" i="2"/>
  <c r="N2090" i="2"/>
  <c r="R2089" i="2"/>
  <c r="O2089" i="2"/>
  <c r="N2089" i="2"/>
  <c r="R2088" i="2"/>
  <c r="O2088" i="2"/>
  <c r="N2088" i="2"/>
  <c r="R2087" i="2"/>
  <c r="O2087" i="2"/>
  <c r="N2087" i="2"/>
  <c r="R2086" i="2"/>
  <c r="O2086" i="2"/>
  <c r="N2086" i="2"/>
  <c r="R2085" i="2"/>
  <c r="O2085" i="2"/>
  <c r="N2085" i="2"/>
  <c r="R2084" i="2"/>
  <c r="O2084" i="2"/>
  <c r="N2084" i="2"/>
  <c r="R2083" i="2"/>
  <c r="O2083" i="2"/>
  <c r="N2083" i="2"/>
  <c r="R2082" i="2"/>
  <c r="O2082" i="2"/>
  <c r="N2082" i="2"/>
  <c r="R2081" i="2"/>
  <c r="O2081" i="2"/>
  <c r="N2081" i="2"/>
  <c r="R2080" i="2"/>
  <c r="O2080" i="2"/>
  <c r="N2080" i="2"/>
  <c r="R2079" i="2"/>
  <c r="O2079" i="2"/>
  <c r="N2079" i="2"/>
  <c r="R2078" i="2"/>
  <c r="O2078" i="2"/>
  <c r="N2078" i="2"/>
  <c r="R2077" i="2"/>
  <c r="O2077" i="2"/>
  <c r="N2077" i="2"/>
  <c r="R2076" i="2"/>
  <c r="O2076" i="2"/>
  <c r="N2076" i="2"/>
  <c r="R2075" i="2"/>
  <c r="O2075" i="2"/>
  <c r="N2075" i="2"/>
  <c r="R2074" i="2"/>
  <c r="O2074" i="2"/>
  <c r="N2074" i="2"/>
  <c r="R2073" i="2"/>
  <c r="O2073" i="2"/>
  <c r="N2073" i="2"/>
  <c r="R2072" i="2"/>
  <c r="O2072" i="2"/>
  <c r="N2072" i="2"/>
  <c r="R2071" i="2"/>
  <c r="O2071" i="2"/>
  <c r="N2071" i="2"/>
  <c r="R2070" i="2"/>
  <c r="O2070" i="2"/>
  <c r="N2070" i="2"/>
  <c r="R2069" i="2"/>
  <c r="O2069" i="2"/>
  <c r="N2069" i="2"/>
  <c r="R2068" i="2"/>
  <c r="O2068" i="2"/>
  <c r="N2068" i="2"/>
  <c r="R2067" i="2"/>
  <c r="O2067" i="2"/>
  <c r="N2067" i="2"/>
  <c r="R2066" i="2"/>
  <c r="O2066" i="2"/>
  <c r="N2066" i="2"/>
  <c r="R2065" i="2"/>
  <c r="O2065" i="2"/>
  <c r="N2065" i="2"/>
  <c r="R2064" i="2"/>
  <c r="O2064" i="2"/>
  <c r="N2064" i="2"/>
  <c r="R2063" i="2"/>
  <c r="O2063" i="2"/>
  <c r="N2063" i="2"/>
  <c r="R2062" i="2"/>
  <c r="O2062" i="2"/>
  <c r="N2062" i="2"/>
  <c r="R2061" i="2"/>
  <c r="O2061" i="2"/>
  <c r="N2061" i="2"/>
  <c r="R2060" i="2"/>
  <c r="O2060" i="2"/>
  <c r="N2060" i="2"/>
  <c r="R2059" i="2"/>
  <c r="O2059" i="2"/>
  <c r="N2059" i="2"/>
  <c r="R2058" i="2"/>
  <c r="O2058" i="2"/>
  <c r="N2058" i="2"/>
  <c r="R2057" i="2"/>
  <c r="O2057" i="2"/>
  <c r="N2057" i="2"/>
  <c r="R2056" i="2"/>
  <c r="O2056" i="2"/>
  <c r="N2056" i="2"/>
  <c r="R2055" i="2"/>
  <c r="O2055" i="2"/>
  <c r="N2055" i="2"/>
  <c r="R2054" i="2"/>
  <c r="O2054" i="2"/>
  <c r="N2054" i="2"/>
  <c r="R2053" i="2"/>
  <c r="O2053" i="2"/>
  <c r="N2053" i="2"/>
  <c r="R2052" i="2"/>
  <c r="O2052" i="2"/>
  <c r="N2052" i="2"/>
  <c r="R2051" i="2"/>
  <c r="O2051" i="2"/>
  <c r="N2051" i="2"/>
  <c r="R2050" i="2"/>
  <c r="O2050" i="2"/>
  <c r="N2050" i="2"/>
  <c r="R2049" i="2"/>
  <c r="O2049" i="2"/>
  <c r="N2049" i="2"/>
  <c r="R2048" i="2"/>
  <c r="O2048" i="2"/>
  <c r="N2048" i="2"/>
  <c r="R2047" i="2"/>
  <c r="O2047" i="2"/>
  <c r="N2047" i="2"/>
  <c r="R2046" i="2"/>
  <c r="O2046" i="2"/>
  <c r="N2046" i="2"/>
  <c r="R2045" i="2"/>
  <c r="O2045" i="2"/>
  <c r="N2045" i="2"/>
  <c r="R2044" i="2"/>
  <c r="O2044" i="2"/>
  <c r="N2044" i="2"/>
  <c r="R2043" i="2"/>
  <c r="O2043" i="2"/>
  <c r="N2043" i="2"/>
  <c r="R2042" i="2"/>
  <c r="O2042" i="2"/>
  <c r="N2042" i="2"/>
  <c r="R2041" i="2"/>
  <c r="O2041" i="2"/>
  <c r="N2041" i="2"/>
  <c r="R2040" i="2"/>
  <c r="O2040" i="2"/>
  <c r="N2040" i="2"/>
  <c r="R2039" i="2"/>
  <c r="O2039" i="2"/>
  <c r="N2039" i="2"/>
  <c r="R2038" i="2"/>
  <c r="O2038" i="2"/>
  <c r="N2038" i="2"/>
  <c r="R2037" i="2"/>
  <c r="O2037" i="2"/>
  <c r="N2037" i="2"/>
  <c r="R2036" i="2"/>
  <c r="O2036" i="2"/>
  <c r="N2036" i="2"/>
  <c r="R2035" i="2"/>
  <c r="O2035" i="2"/>
  <c r="N2035" i="2"/>
  <c r="R2034" i="2"/>
  <c r="O2034" i="2"/>
  <c r="N2034" i="2"/>
  <c r="R2033" i="2"/>
  <c r="O2033" i="2"/>
  <c r="N2033" i="2"/>
  <c r="R2032" i="2"/>
  <c r="O2032" i="2"/>
  <c r="N2032" i="2"/>
  <c r="R2031" i="2"/>
  <c r="O2031" i="2"/>
  <c r="N2031" i="2"/>
  <c r="R2030" i="2"/>
  <c r="O2030" i="2"/>
  <c r="N2030" i="2"/>
  <c r="R2029" i="2"/>
  <c r="O2029" i="2"/>
  <c r="N2029" i="2"/>
  <c r="R2028" i="2"/>
  <c r="O2028" i="2"/>
  <c r="N2028" i="2"/>
  <c r="R2027" i="2"/>
  <c r="O2027" i="2"/>
  <c r="N2027" i="2"/>
  <c r="R2026" i="2"/>
  <c r="O2026" i="2"/>
  <c r="N2026" i="2"/>
  <c r="R2025" i="2"/>
  <c r="O2025" i="2"/>
  <c r="N2025" i="2"/>
  <c r="R2024" i="2"/>
  <c r="O2024" i="2"/>
  <c r="N2024" i="2"/>
  <c r="R2023" i="2"/>
  <c r="O2023" i="2"/>
  <c r="N2023" i="2"/>
  <c r="R2022" i="2"/>
  <c r="O2022" i="2"/>
  <c r="N2022" i="2"/>
  <c r="R2021" i="2"/>
  <c r="O2021" i="2"/>
  <c r="N2021" i="2"/>
  <c r="R2020" i="2"/>
  <c r="O2020" i="2"/>
  <c r="N2020" i="2"/>
  <c r="R2019" i="2"/>
  <c r="O2019" i="2"/>
  <c r="N2019" i="2"/>
  <c r="R2018" i="2"/>
  <c r="O2018" i="2"/>
  <c r="N2018" i="2"/>
  <c r="R2017" i="2"/>
  <c r="O2017" i="2"/>
  <c r="N2017" i="2"/>
  <c r="R2016" i="2"/>
  <c r="O2016" i="2"/>
  <c r="N2016" i="2"/>
  <c r="R2015" i="2"/>
  <c r="O2015" i="2"/>
  <c r="N2015" i="2"/>
  <c r="R2014" i="2"/>
  <c r="O2014" i="2"/>
  <c r="N2014" i="2"/>
  <c r="R2013" i="2"/>
  <c r="O2013" i="2"/>
  <c r="N2013" i="2"/>
  <c r="R2012" i="2"/>
  <c r="O2012" i="2"/>
  <c r="N2012" i="2"/>
  <c r="R2011" i="2"/>
  <c r="O2011" i="2"/>
  <c r="N2011" i="2"/>
  <c r="R2010" i="2"/>
  <c r="O2010" i="2"/>
  <c r="N2010" i="2"/>
  <c r="R2009" i="2"/>
  <c r="O2009" i="2"/>
  <c r="N2009" i="2"/>
  <c r="R2008" i="2"/>
  <c r="O2008" i="2"/>
  <c r="N2008" i="2"/>
  <c r="R2007" i="2"/>
  <c r="O2007" i="2"/>
  <c r="N2007" i="2"/>
  <c r="R2006" i="2"/>
  <c r="O2006" i="2"/>
  <c r="N2006" i="2"/>
  <c r="R2005" i="2"/>
  <c r="O2005" i="2"/>
  <c r="N2005" i="2"/>
  <c r="R2004" i="2"/>
  <c r="O2004" i="2"/>
  <c r="N2004" i="2"/>
  <c r="R2003" i="2"/>
  <c r="O2003" i="2"/>
  <c r="N2003" i="2"/>
  <c r="R2002" i="2"/>
  <c r="O2002" i="2"/>
  <c r="N2002" i="2"/>
  <c r="R2001" i="2"/>
  <c r="O2001" i="2"/>
  <c r="N2001" i="2"/>
  <c r="R2000" i="2"/>
  <c r="O2000" i="2"/>
  <c r="N2000" i="2"/>
  <c r="R1999" i="2"/>
  <c r="O1999" i="2"/>
  <c r="N1999" i="2"/>
  <c r="R1998" i="2"/>
  <c r="O1998" i="2"/>
  <c r="N1998" i="2"/>
  <c r="R1997" i="2"/>
  <c r="O1997" i="2"/>
  <c r="N1997" i="2"/>
  <c r="R1996" i="2"/>
  <c r="O1996" i="2"/>
  <c r="N1996" i="2"/>
  <c r="R1995" i="2"/>
  <c r="O1995" i="2"/>
  <c r="N1995" i="2"/>
  <c r="R1994" i="2"/>
  <c r="O1994" i="2"/>
  <c r="N1994" i="2"/>
  <c r="R1993" i="2"/>
  <c r="O1993" i="2"/>
  <c r="N1993" i="2"/>
  <c r="R1992" i="2"/>
  <c r="O1992" i="2"/>
  <c r="N1992" i="2"/>
  <c r="R1991" i="2"/>
  <c r="O1991" i="2"/>
  <c r="N1991" i="2"/>
  <c r="R1990" i="2"/>
  <c r="O1990" i="2"/>
  <c r="N1990" i="2"/>
  <c r="R1989" i="2"/>
  <c r="O1989" i="2"/>
  <c r="N1989" i="2"/>
  <c r="R1988" i="2"/>
  <c r="O1988" i="2"/>
  <c r="N1988" i="2"/>
  <c r="R1987" i="2"/>
  <c r="O1987" i="2"/>
  <c r="N1987" i="2"/>
  <c r="R1986" i="2"/>
  <c r="O1986" i="2"/>
  <c r="N1986" i="2"/>
  <c r="R1985" i="2"/>
  <c r="O1985" i="2"/>
  <c r="N1985" i="2"/>
  <c r="R1984" i="2"/>
  <c r="O1984" i="2"/>
  <c r="N1984" i="2"/>
  <c r="R1983" i="2"/>
  <c r="O1983" i="2"/>
  <c r="N1983" i="2"/>
  <c r="R1982" i="2"/>
  <c r="O1982" i="2"/>
  <c r="N1982" i="2"/>
  <c r="R1981" i="2"/>
  <c r="O1981" i="2"/>
  <c r="N1981" i="2"/>
  <c r="R1980" i="2"/>
  <c r="O1980" i="2"/>
  <c r="N1980" i="2"/>
  <c r="R1979" i="2"/>
  <c r="O1979" i="2"/>
  <c r="N1979" i="2"/>
  <c r="R1978" i="2"/>
  <c r="O1978" i="2"/>
  <c r="N1978" i="2"/>
  <c r="R1977" i="2"/>
  <c r="O1977" i="2"/>
  <c r="N1977" i="2"/>
  <c r="R1976" i="2"/>
  <c r="O1976" i="2"/>
  <c r="N1976" i="2"/>
  <c r="R1975" i="2"/>
  <c r="O1975" i="2"/>
  <c r="N1975" i="2"/>
  <c r="R1974" i="2"/>
  <c r="O1974" i="2"/>
  <c r="N1974" i="2"/>
  <c r="R1973" i="2"/>
  <c r="O1973" i="2"/>
  <c r="N1973" i="2"/>
  <c r="R1972" i="2"/>
  <c r="O1972" i="2"/>
  <c r="N1972" i="2"/>
  <c r="R1971" i="2"/>
  <c r="O1971" i="2"/>
  <c r="N1971" i="2"/>
  <c r="R1970" i="2"/>
  <c r="O1970" i="2"/>
  <c r="N1970" i="2"/>
  <c r="R1969" i="2"/>
  <c r="O1969" i="2"/>
  <c r="N1969" i="2"/>
  <c r="R1968" i="2"/>
  <c r="O1968" i="2"/>
  <c r="N1968" i="2"/>
  <c r="R1967" i="2"/>
  <c r="O1967" i="2"/>
  <c r="N1967" i="2"/>
  <c r="R1966" i="2"/>
  <c r="O1966" i="2"/>
  <c r="N1966" i="2"/>
  <c r="R1965" i="2"/>
  <c r="O1965" i="2"/>
  <c r="N1965" i="2"/>
  <c r="R1964" i="2"/>
  <c r="O1964" i="2"/>
  <c r="N1964" i="2"/>
  <c r="R1963" i="2"/>
  <c r="O1963" i="2"/>
  <c r="N1963" i="2"/>
  <c r="R1962" i="2"/>
  <c r="O1962" i="2"/>
  <c r="N1962" i="2"/>
  <c r="R1961" i="2"/>
  <c r="O1961" i="2"/>
  <c r="N1961" i="2"/>
  <c r="R1960" i="2"/>
  <c r="O1960" i="2"/>
  <c r="N1960" i="2"/>
  <c r="R1959" i="2"/>
  <c r="O1959" i="2"/>
  <c r="N1959" i="2"/>
  <c r="R1958" i="2"/>
  <c r="O1958" i="2"/>
  <c r="N1958" i="2"/>
  <c r="R1957" i="2"/>
  <c r="O1957" i="2"/>
  <c r="N1957" i="2"/>
  <c r="R1956" i="2"/>
  <c r="O1956" i="2"/>
  <c r="N1956" i="2"/>
  <c r="R1955" i="2"/>
  <c r="O1955" i="2"/>
  <c r="N1955" i="2"/>
  <c r="R1954" i="2"/>
  <c r="O1954" i="2"/>
  <c r="N1954" i="2"/>
  <c r="R1953" i="2"/>
  <c r="O1953" i="2"/>
  <c r="N1953" i="2"/>
  <c r="R1952" i="2"/>
  <c r="O1952" i="2"/>
  <c r="N1952" i="2"/>
  <c r="R1951" i="2"/>
  <c r="O1951" i="2"/>
  <c r="N1951" i="2"/>
  <c r="R1950" i="2"/>
  <c r="O1950" i="2"/>
  <c r="N1950" i="2"/>
  <c r="R1949" i="2"/>
  <c r="O1949" i="2"/>
  <c r="N1949" i="2"/>
  <c r="R1948" i="2"/>
  <c r="O1948" i="2"/>
  <c r="N1948" i="2"/>
  <c r="R1947" i="2"/>
  <c r="O1947" i="2"/>
  <c r="N1947" i="2"/>
  <c r="R1946" i="2"/>
  <c r="O1946" i="2"/>
  <c r="N1946" i="2"/>
  <c r="R1945" i="2"/>
  <c r="O1945" i="2"/>
  <c r="N1945" i="2"/>
  <c r="R1944" i="2"/>
  <c r="O1944" i="2"/>
  <c r="N1944" i="2"/>
  <c r="R1943" i="2"/>
  <c r="O1943" i="2"/>
  <c r="N1943" i="2"/>
  <c r="R1942" i="2"/>
  <c r="O1942" i="2"/>
  <c r="N1942" i="2"/>
  <c r="R1941" i="2"/>
  <c r="O1941" i="2"/>
  <c r="N1941" i="2"/>
  <c r="R1940" i="2"/>
  <c r="O1940" i="2"/>
  <c r="N1940" i="2"/>
  <c r="R1939" i="2"/>
  <c r="O1939" i="2"/>
  <c r="N1939" i="2"/>
  <c r="R1938" i="2"/>
  <c r="O1938" i="2"/>
  <c r="N1938" i="2"/>
  <c r="R1937" i="2"/>
  <c r="O1937" i="2"/>
  <c r="N1937" i="2"/>
  <c r="R1936" i="2"/>
  <c r="O1936" i="2"/>
  <c r="N1936" i="2"/>
  <c r="R1935" i="2"/>
  <c r="O1935" i="2"/>
  <c r="N1935" i="2"/>
  <c r="R1934" i="2"/>
  <c r="O1934" i="2"/>
  <c r="N1934" i="2"/>
  <c r="R1933" i="2"/>
  <c r="O1933" i="2"/>
  <c r="N1933" i="2"/>
  <c r="R1932" i="2"/>
  <c r="O1932" i="2"/>
  <c r="N1932" i="2"/>
  <c r="R1931" i="2"/>
  <c r="O1931" i="2"/>
  <c r="N1931" i="2"/>
  <c r="R1930" i="2"/>
  <c r="O1930" i="2"/>
  <c r="N1930" i="2"/>
  <c r="R1929" i="2"/>
  <c r="O1929" i="2"/>
  <c r="N1929" i="2"/>
  <c r="R1928" i="2"/>
  <c r="O1928" i="2"/>
  <c r="N1928" i="2"/>
  <c r="R1927" i="2"/>
  <c r="O1927" i="2"/>
  <c r="N1927" i="2"/>
  <c r="R1926" i="2"/>
  <c r="O1926" i="2"/>
  <c r="N1926" i="2"/>
  <c r="R1925" i="2"/>
  <c r="O1925" i="2"/>
  <c r="N1925" i="2"/>
  <c r="R1924" i="2"/>
  <c r="O1924" i="2"/>
  <c r="N1924" i="2"/>
  <c r="R1923" i="2"/>
  <c r="O1923" i="2"/>
  <c r="N1923" i="2"/>
  <c r="R1922" i="2"/>
  <c r="O1922" i="2"/>
  <c r="N1922" i="2"/>
  <c r="R1921" i="2"/>
  <c r="O1921" i="2"/>
  <c r="N1921" i="2"/>
  <c r="R1920" i="2"/>
  <c r="O1920" i="2"/>
  <c r="N1920" i="2"/>
  <c r="R1919" i="2"/>
  <c r="O1919" i="2"/>
  <c r="N1919" i="2"/>
  <c r="R1918" i="2"/>
  <c r="O1918" i="2"/>
  <c r="N1918" i="2"/>
  <c r="R1917" i="2"/>
  <c r="O1917" i="2"/>
  <c r="N1917" i="2"/>
  <c r="R1916" i="2"/>
  <c r="O1916" i="2"/>
  <c r="N1916" i="2"/>
  <c r="R1915" i="2"/>
  <c r="O1915" i="2"/>
  <c r="N1915" i="2"/>
  <c r="R1914" i="2"/>
  <c r="O1914" i="2"/>
  <c r="N1914" i="2"/>
  <c r="R1913" i="2"/>
  <c r="O1913" i="2"/>
  <c r="N1913" i="2"/>
  <c r="R1912" i="2"/>
  <c r="O1912" i="2"/>
  <c r="N1912" i="2"/>
  <c r="R1911" i="2"/>
  <c r="O1911" i="2"/>
  <c r="N1911" i="2"/>
  <c r="R1910" i="2"/>
  <c r="O1910" i="2"/>
  <c r="N1910" i="2"/>
  <c r="R1909" i="2"/>
  <c r="O1909" i="2"/>
  <c r="N1909" i="2"/>
  <c r="R1908" i="2"/>
  <c r="O1908" i="2"/>
  <c r="N1908" i="2"/>
  <c r="R1907" i="2"/>
  <c r="O1907" i="2"/>
  <c r="N1907" i="2"/>
  <c r="R1906" i="2"/>
  <c r="O1906" i="2"/>
  <c r="N1906" i="2"/>
  <c r="R1905" i="2"/>
  <c r="O1905" i="2"/>
  <c r="N1905" i="2"/>
  <c r="R1904" i="2"/>
  <c r="O1904" i="2"/>
  <c r="N1904" i="2"/>
  <c r="R1903" i="2"/>
  <c r="O1903" i="2"/>
  <c r="N1903" i="2"/>
  <c r="R1902" i="2"/>
  <c r="O1902" i="2"/>
  <c r="N1902" i="2"/>
  <c r="R1901" i="2"/>
  <c r="O1901" i="2"/>
  <c r="N1901" i="2"/>
  <c r="R1900" i="2"/>
  <c r="O1900" i="2"/>
  <c r="N1900" i="2"/>
  <c r="R1899" i="2"/>
  <c r="O1899" i="2"/>
  <c r="N1899" i="2"/>
  <c r="R1898" i="2"/>
  <c r="O1898" i="2"/>
  <c r="N1898" i="2"/>
  <c r="R1897" i="2"/>
  <c r="O1897" i="2"/>
  <c r="N1897" i="2"/>
  <c r="R1896" i="2"/>
  <c r="O1896" i="2"/>
  <c r="N1896" i="2"/>
  <c r="R1895" i="2"/>
  <c r="O1895" i="2"/>
  <c r="N1895" i="2"/>
  <c r="R1894" i="2"/>
  <c r="O1894" i="2"/>
  <c r="N1894" i="2"/>
  <c r="R1893" i="2"/>
  <c r="O1893" i="2"/>
  <c r="N1893" i="2"/>
  <c r="R1892" i="2"/>
  <c r="O1892" i="2"/>
  <c r="N1892" i="2"/>
  <c r="R1891" i="2"/>
  <c r="O1891" i="2"/>
  <c r="N1891" i="2"/>
  <c r="R1890" i="2"/>
  <c r="O1890" i="2"/>
  <c r="N1890" i="2"/>
  <c r="R1889" i="2"/>
  <c r="O1889" i="2"/>
  <c r="N1889" i="2"/>
  <c r="R1888" i="2"/>
  <c r="O1888" i="2"/>
  <c r="N1888" i="2"/>
  <c r="R1887" i="2"/>
  <c r="O1887" i="2"/>
  <c r="N1887" i="2"/>
  <c r="R1886" i="2"/>
  <c r="O1886" i="2"/>
  <c r="N1886" i="2"/>
  <c r="R1885" i="2"/>
  <c r="O1885" i="2"/>
  <c r="N1885" i="2"/>
  <c r="R1884" i="2"/>
  <c r="O1884" i="2"/>
  <c r="N1884" i="2"/>
  <c r="R1883" i="2"/>
  <c r="O1883" i="2"/>
  <c r="N1883" i="2"/>
  <c r="R1882" i="2"/>
  <c r="O1882" i="2"/>
  <c r="N1882" i="2"/>
  <c r="R1881" i="2"/>
  <c r="O1881" i="2"/>
  <c r="N1881" i="2"/>
  <c r="R1880" i="2"/>
  <c r="O1880" i="2"/>
  <c r="N1880" i="2"/>
  <c r="R1879" i="2"/>
  <c r="O1879" i="2"/>
  <c r="N1879" i="2"/>
  <c r="R1878" i="2"/>
  <c r="O1878" i="2"/>
  <c r="N1878" i="2"/>
  <c r="R1877" i="2"/>
  <c r="O1877" i="2"/>
  <c r="N1877" i="2"/>
  <c r="R1876" i="2"/>
  <c r="O1876" i="2"/>
  <c r="N1876" i="2"/>
  <c r="R1875" i="2"/>
  <c r="O1875" i="2"/>
  <c r="N1875" i="2"/>
  <c r="R1874" i="2"/>
  <c r="O1874" i="2"/>
  <c r="N1874" i="2"/>
  <c r="R1873" i="2"/>
  <c r="O1873" i="2"/>
  <c r="N1873" i="2"/>
  <c r="R1872" i="2"/>
  <c r="O1872" i="2"/>
  <c r="N1872" i="2"/>
  <c r="R1871" i="2"/>
  <c r="O1871" i="2"/>
  <c r="N1871" i="2"/>
  <c r="R1870" i="2"/>
  <c r="O1870" i="2"/>
  <c r="N1870" i="2"/>
  <c r="R1869" i="2"/>
  <c r="O1869" i="2"/>
  <c r="N1869" i="2"/>
  <c r="R1868" i="2"/>
  <c r="O1868" i="2"/>
  <c r="N1868" i="2"/>
  <c r="R1867" i="2"/>
  <c r="O1867" i="2"/>
  <c r="N1867" i="2"/>
  <c r="R1866" i="2"/>
  <c r="O1866" i="2"/>
  <c r="N1866" i="2"/>
  <c r="R1865" i="2"/>
  <c r="O1865" i="2"/>
  <c r="N1865" i="2"/>
  <c r="R1864" i="2"/>
  <c r="O1864" i="2"/>
  <c r="N1864" i="2"/>
  <c r="R1863" i="2"/>
  <c r="O1863" i="2"/>
  <c r="N1863" i="2"/>
  <c r="R1862" i="2"/>
  <c r="O1862" i="2"/>
  <c r="N1862" i="2"/>
  <c r="R1861" i="2"/>
  <c r="O1861" i="2"/>
  <c r="N1861" i="2"/>
  <c r="R1860" i="2"/>
  <c r="O1860" i="2"/>
  <c r="N1860" i="2"/>
  <c r="R1859" i="2"/>
  <c r="O1859" i="2"/>
  <c r="N1859" i="2"/>
  <c r="R1858" i="2"/>
  <c r="O1858" i="2"/>
  <c r="N1858" i="2"/>
  <c r="R1857" i="2"/>
  <c r="O1857" i="2"/>
  <c r="N1857" i="2"/>
  <c r="R1856" i="2"/>
  <c r="O1856" i="2"/>
  <c r="N1856" i="2"/>
  <c r="R1855" i="2"/>
  <c r="O1855" i="2"/>
  <c r="N1855" i="2"/>
  <c r="R1854" i="2"/>
  <c r="O1854" i="2"/>
  <c r="N1854" i="2"/>
  <c r="R1853" i="2"/>
  <c r="O1853" i="2"/>
  <c r="N1853" i="2"/>
  <c r="R1852" i="2"/>
  <c r="O1852" i="2"/>
  <c r="N1852" i="2"/>
  <c r="R1851" i="2"/>
  <c r="O1851" i="2"/>
  <c r="N1851" i="2"/>
  <c r="R1850" i="2"/>
  <c r="O1850" i="2"/>
  <c r="N1850" i="2"/>
  <c r="R1849" i="2"/>
  <c r="O1849" i="2"/>
  <c r="N1849" i="2"/>
  <c r="R1848" i="2"/>
  <c r="O1848" i="2"/>
  <c r="N1848" i="2"/>
  <c r="R1847" i="2"/>
  <c r="O1847" i="2"/>
  <c r="N1847" i="2"/>
  <c r="R1846" i="2"/>
  <c r="O1846" i="2"/>
  <c r="N1846" i="2"/>
  <c r="R1845" i="2"/>
  <c r="O1845" i="2"/>
  <c r="N1845" i="2"/>
  <c r="R1844" i="2"/>
  <c r="O1844" i="2"/>
  <c r="N1844" i="2"/>
  <c r="R1843" i="2"/>
  <c r="O1843" i="2"/>
  <c r="N1843" i="2"/>
  <c r="R1842" i="2"/>
  <c r="O1842" i="2"/>
  <c r="N1842" i="2"/>
  <c r="R1841" i="2"/>
  <c r="O1841" i="2"/>
  <c r="N1841" i="2"/>
  <c r="R1840" i="2"/>
  <c r="O1840" i="2"/>
  <c r="N1840" i="2"/>
  <c r="R1839" i="2"/>
  <c r="O1839" i="2"/>
  <c r="N1839" i="2"/>
  <c r="R1838" i="2"/>
  <c r="O1838" i="2"/>
  <c r="N1838" i="2"/>
  <c r="R1837" i="2"/>
  <c r="O1837" i="2"/>
  <c r="N1837" i="2"/>
  <c r="R1836" i="2"/>
  <c r="O1836" i="2"/>
  <c r="N1836" i="2"/>
  <c r="R1835" i="2"/>
  <c r="O1835" i="2"/>
  <c r="N1835" i="2"/>
  <c r="R1834" i="2"/>
  <c r="O1834" i="2"/>
  <c r="N1834" i="2"/>
  <c r="R1833" i="2"/>
  <c r="O1833" i="2"/>
  <c r="N1833" i="2"/>
  <c r="R1832" i="2"/>
  <c r="O1832" i="2"/>
  <c r="N1832" i="2"/>
  <c r="R1831" i="2"/>
  <c r="O1831" i="2"/>
  <c r="N1831" i="2"/>
  <c r="R1830" i="2"/>
  <c r="O1830" i="2"/>
  <c r="N1830" i="2"/>
  <c r="R1829" i="2"/>
  <c r="O1829" i="2"/>
  <c r="N1829" i="2"/>
  <c r="R1828" i="2"/>
  <c r="O1828" i="2"/>
  <c r="N1828" i="2"/>
  <c r="R1827" i="2"/>
  <c r="O1827" i="2"/>
  <c r="N1827" i="2"/>
  <c r="R1826" i="2"/>
  <c r="O1826" i="2"/>
  <c r="N1826" i="2"/>
  <c r="R1825" i="2"/>
  <c r="O1825" i="2"/>
  <c r="N1825" i="2"/>
  <c r="R1824" i="2"/>
  <c r="O1824" i="2"/>
  <c r="N1824" i="2"/>
  <c r="R1823" i="2"/>
  <c r="O1823" i="2"/>
  <c r="N1823" i="2"/>
  <c r="R1822" i="2"/>
  <c r="O1822" i="2"/>
  <c r="N1822" i="2"/>
  <c r="R1821" i="2"/>
  <c r="O1821" i="2"/>
  <c r="N1821" i="2"/>
  <c r="R1820" i="2"/>
  <c r="O1820" i="2"/>
  <c r="N1820" i="2"/>
  <c r="R1819" i="2"/>
  <c r="O1819" i="2"/>
  <c r="N1819" i="2"/>
  <c r="R1818" i="2"/>
  <c r="O1818" i="2"/>
  <c r="N1818" i="2"/>
  <c r="R1817" i="2"/>
  <c r="O1817" i="2"/>
  <c r="N1817" i="2"/>
  <c r="R1816" i="2"/>
  <c r="O1816" i="2"/>
  <c r="N1816" i="2"/>
  <c r="R1815" i="2"/>
  <c r="O1815" i="2"/>
  <c r="N1815" i="2"/>
  <c r="R1814" i="2"/>
  <c r="O1814" i="2"/>
  <c r="N1814" i="2"/>
  <c r="R1813" i="2"/>
  <c r="O1813" i="2"/>
  <c r="N1813" i="2"/>
  <c r="R1812" i="2"/>
  <c r="O1812" i="2"/>
  <c r="N1812" i="2"/>
  <c r="R1811" i="2"/>
  <c r="O1811" i="2"/>
  <c r="N1811" i="2"/>
  <c r="R1810" i="2"/>
  <c r="O1810" i="2"/>
  <c r="N1810" i="2"/>
  <c r="R1809" i="2"/>
  <c r="O1809" i="2"/>
  <c r="N1809" i="2"/>
  <c r="R1808" i="2"/>
  <c r="O1808" i="2"/>
  <c r="N1808" i="2"/>
  <c r="R1807" i="2"/>
  <c r="O1807" i="2"/>
  <c r="N1807" i="2"/>
  <c r="R1806" i="2"/>
  <c r="O1806" i="2"/>
  <c r="N1806" i="2"/>
  <c r="R1805" i="2"/>
  <c r="O1805" i="2"/>
  <c r="N1805" i="2"/>
  <c r="R1804" i="2"/>
  <c r="O1804" i="2"/>
  <c r="N1804" i="2"/>
  <c r="R1803" i="2"/>
  <c r="O1803" i="2"/>
  <c r="N1803" i="2"/>
  <c r="R1802" i="2"/>
  <c r="O1802" i="2"/>
  <c r="N1802" i="2"/>
  <c r="R1801" i="2"/>
  <c r="O1801" i="2"/>
  <c r="N1801" i="2"/>
  <c r="R1800" i="2"/>
  <c r="O1800" i="2"/>
  <c r="N1800" i="2"/>
  <c r="R1799" i="2"/>
  <c r="O1799" i="2"/>
  <c r="N1799" i="2"/>
  <c r="R1798" i="2"/>
  <c r="O1798" i="2"/>
  <c r="N1798" i="2"/>
  <c r="R1797" i="2"/>
  <c r="O1797" i="2"/>
  <c r="N1797" i="2"/>
  <c r="R1796" i="2"/>
  <c r="O1796" i="2"/>
  <c r="N1796" i="2"/>
  <c r="R1795" i="2"/>
  <c r="O1795" i="2"/>
  <c r="N1795" i="2"/>
  <c r="R1794" i="2"/>
  <c r="O1794" i="2"/>
  <c r="N1794" i="2"/>
  <c r="R1793" i="2"/>
  <c r="O1793" i="2"/>
  <c r="N1793" i="2"/>
  <c r="R1792" i="2"/>
  <c r="O1792" i="2"/>
  <c r="N1792" i="2"/>
  <c r="R1791" i="2"/>
  <c r="O1791" i="2"/>
  <c r="N1791" i="2"/>
  <c r="R1790" i="2"/>
  <c r="O1790" i="2"/>
  <c r="N1790" i="2"/>
  <c r="R1789" i="2"/>
  <c r="O1789" i="2"/>
  <c r="N1789" i="2"/>
  <c r="R1788" i="2"/>
  <c r="O1788" i="2"/>
  <c r="N1788" i="2"/>
  <c r="R1787" i="2"/>
  <c r="O1787" i="2"/>
  <c r="N1787" i="2"/>
  <c r="R1786" i="2"/>
  <c r="O1786" i="2"/>
  <c r="N1786" i="2"/>
  <c r="R1785" i="2"/>
  <c r="O1785" i="2"/>
  <c r="N1785" i="2"/>
  <c r="R1784" i="2"/>
  <c r="O1784" i="2"/>
  <c r="N1784" i="2"/>
  <c r="R1783" i="2"/>
  <c r="O1783" i="2"/>
  <c r="N1783" i="2"/>
  <c r="R1782" i="2"/>
  <c r="O1782" i="2"/>
  <c r="N1782" i="2"/>
  <c r="R1781" i="2"/>
  <c r="O1781" i="2"/>
  <c r="N1781" i="2"/>
  <c r="R1780" i="2"/>
  <c r="O1780" i="2"/>
  <c r="N1780" i="2"/>
  <c r="R1779" i="2"/>
  <c r="O1779" i="2"/>
  <c r="N1779" i="2"/>
  <c r="R1778" i="2"/>
  <c r="O1778" i="2"/>
  <c r="N1778" i="2"/>
  <c r="R1777" i="2"/>
  <c r="O1777" i="2"/>
  <c r="N1777" i="2"/>
  <c r="R1776" i="2"/>
  <c r="O1776" i="2"/>
  <c r="N1776" i="2"/>
  <c r="R1775" i="2"/>
  <c r="O1775" i="2"/>
  <c r="N1775" i="2"/>
  <c r="R1774" i="2"/>
  <c r="O1774" i="2"/>
  <c r="N1774" i="2"/>
  <c r="R1773" i="2"/>
  <c r="O1773" i="2"/>
  <c r="N1773" i="2"/>
  <c r="R1772" i="2"/>
  <c r="O1772" i="2"/>
  <c r="N1772" i="2"/>
  <c r="R1771" i="2"/>
  <c r="O1771" i="2"/>
  <c r="N1771" i="2"/>
  <c r="R1770" i="2"/>
  <c r="O1770" i="2"/>
  <c r="N1770" i="2"/>
  <c r="R1769" i="2"/>
  <c r="O1769" i="2"/>
  <c r="N1769" i="2"/>
  <c r="R1768" i="2"/>
  <c r="O1768" i="2"/>
  <c r="N1768" i="2"/>
  <c r="R1767" i="2"/>
  <c r="O1767" i="2"/>
  <c r="N1767" i="2"/>
  <c r="R1766" i="2"/>
  <c r="O1766" i="2"/>
  <c r="N1766" i="2"/>
  <c r="R1765" i="2"/>
  <c r="O1765" i="2"/>
  <c r="N1765" i="2"/>
  <c r="R1764" i="2"/>
  <c r="O1764" i="2"/>
  <c r="N1764" i="2"/>
  <c r="R1763" i="2"/>
  <c r="O1763" i="2"/>
  <c r="N1763" i="2"/>
  <c r="R1762" i="2"/>
  <c r="O1762" i="2"/>
  <c r="N1762" i="2"/>
  <c r="R1761" i="2"/>
  <c r="O1761" i="2"/>
  <c r="N1761" i="2"/>
  <c r="R1760" i="2"/>
  <c r="O1760" i="2"/>
  <c r="N1760" i="2"/>
  <c r="R1759" i="2"/>
  <c r="O1759" i="2"/>
  <c r="N1759" i="2"/>
  <c r="R1758" i="2"/>
  <c r="O1758" i="2"/>
  <c r="N1758" i="2"/>
  <c r="R1757" i="2"/>
  <c r="O1757" i="2"/>
  <c r="N1757" i="2"/>
  <c r="R1756" i="2"/>
  <c r="O1756" i="2"/>
  <c r="N1756" i="2"/>
  <c r="R1755" i="2"/>
  <c r="O1755" i="2"/>
  <c r="N1755" i="2"/>
  <c r="R1754" i="2"/>
  <c r="O1754" i="2"/>
  <c r="N1754" i="2"/>
  <c r="R1753" i="2"/>
  <c r="O1753" i="2"/>
  <c r="N1753" i="2"/>
  <c r="R1752" i="2"/>
  <c r="O1752" i="2"/>
  <c r="N1752" i="2"/>
  <c r="R1751" i="2"/>
  <c r="O1751" i="2"/>
  <c r="N1751" i="2"/>
  <c r="R1750" i="2"/>
  <c r="O1750" i="2"/>
  <c r="N1750" i="2"/>
  <c r="R1749" i="2"/>
  <c r="O1749" i="2"/>
  <c r="N1749" i="2"/>
  <c r="R1748" i="2"/>
  <c r="O1748" i="2"/>
  <c r="N1748" i="2"/>
  <c r="R1747" i="2"/>
  <c r="O1747" i="2"/>
  <c r="N1747" i="2"/>
  <c r="R1746" i="2"/>
  <c r="O1746" i="2"/>
  <c r="N1746" i="2"/>
  <c r="R1745" i="2"/>
  <c r="O1745" i="2"/>
  <c r="N1745" i="2"/>
  <c r="R1744" i="2"/>
  <c r="O1744" i="2"/>
  <c r="N1744" i="2"/>
  <c r="R1743" i="2"/>
  <c r="O1743" i="2"/>
  <c r="N1743" i="2"/>
  <c r="R1742" i="2"/>
  <c r="O1742" i="2"/>
  <c r="N1742" i="2"/>
  <c r="R1741" i="2"/>
  <c r="O1741" i="2"/>
  <c r="N1741" i="2"/>
  <c r="R1740" i="2"/>
  <c r="O1740" i="2"/>
  <c r="N1740" i="2"/>
  <c r="R1739" i="2"/>
  <c r="O1739" i="2"/>
  <c r="N1739" i="2"/>
  <c r="R1738" i="2"/>
  <c r="O1738" i="2"/>
  <c r="N1738" i="2"/>
  <c r="R1737" i="2"/>
  <c r="O1737" i="2"/>
  <c r="N1737" i="2"/>
  <c r="R1736" i="2"/>
  <c r="O1736" i="2"/>
  <c r="N1736" i="2"/>
  <c r="R1735" i="2"/>
  <c r="O1735" i="2"/>
  <c r="N1735" i="2"/>
  <c r="R1734" i="2"/>
  <c r="O1734" i="2"/>
  <c r="N1734" i="2"/>
  <c r="R1733" i="2"/>
  <c r="O1733" i="2"/>
  <c r="N1733" i="2"/>
  <c r="R1732" i="2"/>
  <c r="O1732" i="2"/>
  <c r="N1732" i="2"/>
  <c r="R1731" i="2"/>
  <c r="O1731" i="2"/>
  <c r="N1731" i="2"/>
  <c r="R1730" i="2"/>
  <c r="O1730" i="2"/>
  <c r="N1730" i="2"/>
  <c r="R1729" i="2"/>
  <c r="O1729" i="2"/>
  <c r="N1729" i="2"/>
  <c r="R1728" i="2"/>
  <c r="O1728" i="2"/>
  <c r="N1728" i="2"/>
  <c r="R1727" i="2"/>
  <c r="O1727" i="2"/>
  <c r="N1727" i="2"/>
  <c r="R1726" i="2"/>
  <c r="O1726" i="2"/>
  <c r="N1726" i="2"/>
  <c r="R1725" i="2"/>
  <c r="O1725" i="2"/>
  <c r="N1725" i="2"/>
  <c r="R1724" i="2"/>
  <c r="O1724" i="2"/>
  <c r="N1724" i="2"/>
  <c r="R1723" i="2"/>
  <c r="O1723" i="2"/>
  <c r="N1723" i="2"/>
  <c r="R1722" i="2"/>
  <c r="O1722" i="2"/>
  <c r="N1722" i="2"/>
  <c r="R1721" i="2"/>
  <c r="O1721" i="2"/>
  <c r="N1721" i="2"/>
  <c r="R1720" i="2"/>
  <c r="O1720" i="2"/>
  <c r="N1720" i="2"/>
  <c r="R1719" i="2"/>
  <c r="O1719" i="2"/>
  <c r="N1719" i="2"/>
  <c r="R1718" i="2"/>
  <c r="O1718" i="2"/>
  <c r="N1718" i="2"/>
  <c r="R1717" i="2"/>
  <c r="O1717" i="2"/>
  <c r="N1717" i="2"/>
  <c r="R1716" i="2"/>
  <c r="O1716" i="2"/>
  <c r="N1716" i="2"/>
  <c r="R1715" i="2"/>
  <c r="O1715" i="2"/>
  <c r="N1715" i="2"/>
  <c r="R1714" i="2"/>
  <c r="O1714" i="2"/>
  <c r="N1714" i="2"/>
  <c r="R1713" i="2"/>
  <c r="O1713" i="2"/>
  <c r="N1713" i="2"/>
  <c r="R1712" i="2"/>
  <c r="O1712" i="2"/>
  <c r="N1712" i="2"/>
  <c r="R1711" i="2"/>
  <c r="O1711" i="2"/>
  <c r="N1711" i="2"/>
  <c r="R1710" i="2"/>
  <c r="O1710" i="2"/>
  <c r="N1710" i="2"/>
  <c r="R1709" i="2"/>
  <c r="O1709" i="2"/>
  <c r="N1709" i="2"/>
  <c r="R1708" i="2"/>
  <c r="O1708" i="2"/>
  <c r="N1708" i="2"/>
  <c r="R1707" i="2"/>
  <c r="O1707" i="2"/>
  <c r="N1707" i="2"/>
  <c r="R1706" i="2"/>
  <c r="O1706" i="2"/>
  <c r="N1706" i="2"/>
  <c r="R1705" i="2"/>
  <c r="O1705" i="2"/>
  <c r="N1705" i="2"/>
  <c r="R1704" i="2"/>
  <c r="O1704" i="2"/>
  <c r="N1704" i="2"/>
  <c r="R1703" i="2"/>
  <c r="O1703" i="2"/>
  <c r="N1703" i="2"/>
  <c r="R1702" i="2"/>
  <c r="O1702" i="2"/>
  <c r="N1702" i="2"/>
  <c r="R1701" i="2"/>
  <c r="O1701" i="2"/>
  <c r="N1701" i="2"/>
  <c r="R1700" i="2"/>
  <c r="O1700" i="2"/>
  <c r="N1700" i="2"/>
  <c r="R1699" i="2"/>
  <c r="O1699" i="2"/>
  <c r="N1699" i="2"/>
  <c r="R1698" i="2"/>
  <c r="O1698" i="2"/>
  <c r="N1698" i="2"/>
  <c r="R1697" i="2"/>
  <c r="O1697" i="2"/>
  <c r="N1697" i="2"/>
  <c r="R1696" i="2"/>
  <c r="O1696" i="2"/>
  <c r="N1696" i="2"/>
  <c r="R1695" i="2"/>
  <c r="O1695" i="2"/>
  <c r="N1695" i="2"/>
  <c r="R1694" i="2"/>
  <c r="O1694" i="2"/>
  <c r="N1694" i="2"/>
  <c r="R1693" i="2"/>
  <c r="O1693" i="2"/>
  <c r="N1693" i="2"/>
  <c r="R1692" i="2"/>
  <c r="O1692" i="2"/>
  <c r="N1692" i="2"/>
  <c r="R1691" i="2"/>
  <c r="O1691" i="2"/>
  <c r="N1691" i="2"/>
  <c r="R1690" i="2"/>
  <c r="O1690" i="2"/>
  <c r="N1690" i="2"/>
  <c r="R1689" i="2"/>
  <c r="O1689" i="2"/>
  <c r="N1689" i="2"/>
  <c r="R1688" i="2"/>
  <c r="O1688" i="2"/>
  <c r="N1688" i="2"/>
  <c r="R1687" i="2"/>
  <c r="O1687" i="2"/>
  <c r="N1687" i="2"/>
  <c r="R1686" i="2"/>
  <c r="O1686" i="2"/>
  <c r="N1686" i="2"/>
  <c r="R1685" i="2"/>
  <c r="O1685" i="2"/>
  <c r="N1685" i="2"/>
  <c r="R1684" i="2"/>
  <c r="O1684" i="2"/>
  <c r="N1684" i="2"/>
  <c r="R1683" i="2"/>
  <c r="O1683" i="2"/>
  <c r="N1683" i="2"/>
  <c r="R1682" i="2"/>
  <c r="O1682" i="2"/>
  <c r="N1682" i="2"/>
  <c r="R1681" i="2"/>
  <c r="O1681" i="2"/>
  <c r="N1681" i="2"/>
  <c r="R1680" i="2"/>
  <c r="O1680" i="2"/>
  <c r="N1680" i="2"/>
  <c r="R1679" i="2"/>
  <c r="O1679" i="2"/>
  <c r="N1679" i="2"/>
  <c r="R1678" i="2"/>
  <c r="O1678" i="2"/>
  <c r="N1678" i="2"/>
  <c r="R1677" i="2"/>
  <c r="O1677" i="2"/>
  <c r="N1677" i="2"/>
  <c r="R1676" i="2"/>
  <c r="O1676" i="2"/>
  <c r="N1676" i="2"/>
  <c r="R1675" i="2"/>
  <c r="O1675" i="2"/>
  <c r="N1675" i="2"/>
  <c r="R1674" i="2"/>
  <c r="O1674" i="2"/>
  <c r="N1674" i="2"/>
  <c r="R1673" i="2"/>
  <c r="O1673" i="2"/>
  <c r="N1673" i="2"/>
  <c r="R1672" i="2"/>
  <c r="O1672" i="2"/>
  <c r="N1672" i="2"/>
  <c r="R1671" i="2"/>
  <c r="O1671" i="2"/>
  <c r="N1671" i="2"/>
  <c r="R1670" i="2"/>
  <c r="O1670" i="2"/>
  <c r="N1670" i="2"/>
  <c r="R1669" i="2"/>
  <c r="O1669" i="2"/>
  <c r="N1669" i="2"/>
  <c r="R1668" i="2"/>
  <c r="O1668" i="2"/>
  <c r="N1668" i="2"/>
  <c r="R1667" i="2"/>
  <c r="O1667" i="2"/>
  <c r="N1667" i="2"/>
  <c r="R1666" i="2"/>
  <c r="O1666" i="2"/>
  <c r="N1666" i="2"/>
  <c r="R1665" i="2"/>
  <c r="O1665" i="2"/>
  <c r="N1665" i="2"/>
  <c r="R1664" i="2"/>
  <c r="O1664" i="2"/>
  <c r="N1664" i="2"/>
  <c r="R1663" i="2"/>
  <c r="O1663" i="2"/>
  <c r="N1663" i="2"/>
  <c r="R1662" i="2"/>
  <c r="O1662" i="2"/>
  <c r="N1662" i="2"/>
  <c r="R1661" i="2"/>
  <c r="O1661" i="2"/>
  <c r="N1661" i="2"/>
  <c r="R1660" i="2"/>
  <c r="O1660" i="2"/>
  <c r="N1660" i="2"/>
  <c r="R1659" i="2"/>
  <c r="O1659" i="2"/>
  <c r="N1659" i="2"/>
  <c r="R1658" i="2"/>
  <c r="O1658" i="2"/>
  <c r="N1658" i="2"/>
  <c r="R1657" i="2"/>
  <c r="O1657" i="2"/>
  <c r="N1657" i="2"/>
  <c r="R1656" i="2"/>
  <c r="O1656" i="2"/>
  <c r="N1656" i="2"/>
  <c r="R1655" i="2"/>
  <c r="O1655" i="2"/>
  <c r="N1655" i="2"/>
  <c r="R1654" i="2"/>
  <c r="O1654" i="2"/>
  <c r="N1654" i="2"/>
  <c r="R1653" i="2"/>
  <c r="O1653" i="2"/>
  <c r="N1653" i="2"/>
  <c r="R1652" i="2"/>
  <c r="O1652" i="2"/>
  <c r="N1652" i="2"/>
  <c r="R1651" i="2"/>
  <c r="O1651" i="2"/>
  <c r="N1651" i="2"/>
  <c r="R1650" i="2"/>
  <c r="O1650" i="2"/>
  <c r="N1650" i="2"/>
  <c r="R1649" i="2"/>
  <c r="O1649" i="2"/>
  <c r="N1649" i="2"/>
  <c r="R1648" i="2"/>
  <c r="O1648" i="2"/>
  <c r="N1648" i="2"/>
  <c r="R1647" i="2"/>
  <c r="O1647" i="2"/>
  <c r="N1647" i="2"/>
  <c r="R1646" i="2"/>
  <c r="O1646" i="2"/>
  <c r="N1646" i="2"/>
  <c r="R1645" i="2"/>
  <c r="O1645" i="2"/>
  <c r="N1645" i="2"/>
  <c r="R1644" i="2"/>
  <c r="O1644" i="2"/>
  <c r="N1644" i="2"/>
  <c r="R1643" i="2"/>
  <c r="O1643" i="2"/>
  <c r="N1643" i="2"/>
  <c r="R1642" i="2"/>
  <c r="O1642" i="2"/>
  <c r="N1642" i="2"/>
  <c r="R1641" i="2"/>
  <c r="O1641" i="2"/>
  <c r="N1641" i="2"/>
  <c r="R1640" i="2"/>
  <c r="O1640" i="2"/>
  <c r="N1640" i="2"/>
  <c r="R1639" i="2"/>
  <c r="O1639" i="2"/>
  <c r="N1639" i="2"/>
  <c r="R1638" i="2"/>
  <c r="O1638" i="2"/>
  <c r="N1638" i="2"/>
  <c r="R1637" i="2"/>
  <c r="O1637" i="2"/>
  <c r="N1637" i="2"/>
  <c r="R1636" i="2"/>
  <c r="O1636" i="2"/>
  <c r="N1636" i="2"/>
  <c r="R1635" i="2"/>
  <c r="O1635" i="2"/>
  <c r="N1635" i="2"/>
  <c r="R1634" i="2"/>
  <c r="O1634" i="2"/>
  <c r="N1634" i="2"/>
  <c r="R1633" i="2"/>
  <c r="O1633" i="2"/>
  <c r="N1633" i="2"/>
  <c r="R1632" i="2"/>
  <c r="O1632" i="2"/>
  <c r="N1632" i="2"/>
  <c r="R1631" i="2"/>
  <c r="O1631" i="2"/>
  <c r="N1631" i="2"/>
  <c r="R1630" i="2"/>
  <c r="O1630" i="2"/>
  <c r="N1630" i="2"/>
  <c r="R1629" i="2"/>
  <c r="O1629" i="2"/>
  <c r="N1629" i="2"/>
  <c r="R1628" i="2"/>
  <c r="O1628" i="2"/>
  <c r="N1628" i="2"/>
  <c r="R1627" i="2"/>
  <c r="O1627" i="2"/>
  <c r="N1627" i="2"/>
  <c r="R1626" i="2"/>
  <c r="O1626" i="2"/>
  <c r="N1626" i="2"/>
  <c r="R1625" i="2"/>
  <c r="O1625" i="2"/>
  <c r="N1625" i="2"/>
  <c r="R1624" i="2"/>
  <c r="O1624" i="2"/>
  <c r="N1624" i="2"/>
  <c r="R1623" i="2"/>
  <c r="O1623" i="2"/>
  <c r="N1623" i="2"/>
  <c r="R1622" i="2"/>
  <c r="O1622" i="2"/>
  <c r="N1622" i="2"/>
  <c r="R1621" i="2"/>
  <c r="O1621" i="2"/>
  <c r="N1621" i="2"/>
  <c r="R1620" i="2"/>
  <c r="O1620" i="2"/>
  <c r="N1620" i="2"/>
  <c r="R1619" i="2"/>
  <c r="O1619" i="2"/>
  <c r="N1619" i="2"/>
  <c r="R1618" i="2"/>
  <c r="O1618" i="2"/>
  <c r="N1618" i="2"/>
  <c r="R1617" i="2"/>
  <c r="O1617" i="2"/>
  <c r="N1617" i="2"/>
  <c r="R1616" i="2"/>
  <c r="O1616" i="2"/>
  <c r="N1616" i="2"/>
  <c r="R1615" i="2"/>
  <c r="O1615" i="2"/>
  <c r="N1615" i="2"/>
  <c r="R1614" i="2"/>
  <c r="O1614" i="2"/>
  <c r="N1614" i="2"/>
  <c r="R1613" i="2"/>
  <c r="O1613" i="2"/>
  <c r="N1613" i="2"/>
  <c r="R1612" i="2"/>
  <c r="O1612" i="2"/>
  <c r="N1612" i="2"/>
  <c r="R1611" i="2"/>
  <c r="O1611" i="2"/>
  <c r="N1611" i="2"/>
  <c r="R1610" i="2"/>
  <c r="O1610" i="2"/>
  <c r="N1610" i="2"/>
  <c r="R1609" i="2"/>
  <c r="O1609" i="2"/>
  <c r="N1609" i="2"/>
  <c r="R1608" i="2"/>
  <c r="O1608" i="2"/>
  <c r="N1608" i="2"/>
  <c r="R1607" i="2"/>
  <c r="O1607" i="2"/>
  <c r="N1607" i="2"/>
  <c r="R1606" i="2"/>
  <c r="O1606" i="2"/>
  <c r="N1606" i="2"/>
  <c r="R1605" i="2"/>
  <c r="O1605" i="2"/>
  <c r="N1605" i="2"/>
  <c r="R1604" i="2"/>
  <c r="O1604" i="2"/>
  <c r="N1604" i="2"/>
  <c r="R1603" i="2"/>
  <c r="O1603" i="2"/>
  <c r="N1603" i="2"/>
  <c r="R1602" i="2"/>
  <c r="O1602" i="2"/>
  <c r="N1602" i="2"/>
  <c r="R1601" i="2"/>
  <c r="O1601" i="2"/>
  <c r="N1601" i="2"/>
  <c r="R1600" i="2"/>
  <c r="O1600" i="2"/>
  <c r="N1600" i="2"/>
  <c r="R1599" i="2"/>
  <c r="O1599" i="2"/>
  <c r="N1599" i="2"/>
  <c r="R1598" i="2"/>
  <c r="O1598" i="2"/>
  <c r="N1598" i="2"/>
  <c r="R1597" i="2"/>
  <c r="O1597" i="2"/>
  <c r="N1597" i="2"/>
  <c r="R1596" i="2"/>
  <c r="O1596" i="2"/>
  <c r="N1596" i="2"/>
  <c r="R1595" i="2"/>
  <c r="O1595" i="2"/>
  <c r="N1595" i="2"/>
  <c r="R1594" i="2"/>
  <c r="O1594" i="2"/>
  <c r="N1594" i="2"/>
  <c r="R1593" i="2"/>
  <c r="O1593" i="2"/>
  <c r="N1593" i="2"/>
  <c r="R1592" i="2"/>
  <c r="O1592" i="2"/>
  <c r="N1592" i="2"/>
  <c r="R1591" i="2"/>
  <c r="O1591" i="2"/>
  <c r="N1591" i="2"/>
  <c r="R1590" i="2"/>
  <c r="O1590" i="2"/>
  <c r="N1590" i="2"/>
  <c r="R1589" i="2"/>
  <c r="O1589" i="2"/>
  <c r="N1589" i="2"/>
  <c r="R1588" i="2"/>
  <c r="O1588" i="2"/>
  <c r="N1588" i="2"/>
  <c r="R1587" i="2"/>
  <c r="O1587" i="2"/>
  <c r="N1587" i="2"/>
  <c r="R1586" i="2"/>
  <c r="O1586" i="2"/>
  <c r="N1586" i="2"/>
  <c r="R1585" i="2"/>
  <c r="O1585" i="2"/>
  <c r="N1585" i="2"/>
  <c r="R1584" i="2"/>
  <c r="O1584" i="2"/>
  <c r="N1584" i="2"/>
  <c r="R1583" i="2"/>
  <c r="O1583" i="2"/>
  <c r="N1583" i="2"/>
  <c r="R1582" i="2"/>
  <c r="O1582" i="2"/>
  <c r="N1582" i="2"/>
  <c r="R1581" i="2"/>
  <c r="O1581" i="2"/>
  <c r="N1581" i="2"/>
  <c r="R1580" i="2"/>
  <c r="O1580" i="2"/>
  <c r="N1580" i="2"/>
  <c r="R1579" i="2"/>
  <c r="O1579" i="2"/>
  <c r="N1579" i="2"/>
  <c r="R1578" i="2"/>
  <c r="O1578" i="2"/>
  <c r="N1578" i="2"/>
  <c r="R1577" i="2"/>
  <c r="O1577" i="2"/>
  <c r="N1577" i="2"/>
  <c r="R1576" i="2"/>
  <c r="O1576" i="2"/>
  <c r="N1576" i="2"/>
  <c r="R1575" i="2"/>
  <c r="O1575" i="2"/>
  <c r="N1575" i="2"/>
  <c r="R1574" i="2"/>
  <c r="O1574" i="2"/>
  <c r="N1574" i="2"/>
  <c r="R1573" i="2"/>
  <c r="O1573" i="2"/>
  <c r="N1573" i="2"/>
  <c r="R1572" i="2"/>
  <c r="O1572" i="2"/>
  <c r="N1572" i="2"/>
  <c r="R1571" i="2"/>
  <c r="O1571" i="2"/>
  <c r="N1571" i="2"/>
  <c r="R1570" i="2"/>
  <c r="O1570" i="2"/>
  <c r="N1570" i="2"/>
  <c r="R1569" i="2"/>
  <c r="O1569" i="2"/>
  <c r="N1569" i="2"/>
  <c r="R1568" i="2"/>
  <c r="O1568" i="2"/>
  <c r="N1568" i="2"/>
  <c r="R1567" i="2"/>
  <c r="O1567" i="2"/>
  <c r="N1567" i="2"/>
  <c r="R1566" i="2"/>
  <c r="O1566" i="2"/>
  <c r="N1566" i="2"/>
  <c r="R1565" i="2"/>
  <c r="O1565" i="2"/>
  <c r="N1565" i="2"/>
  <c r="R1564" i="2"/>
  <c r="O1564" i="2"/>
  <c r="N1564" i="2"/>
  <c r="R1563" i="2"/>
  <c r="O1563" i="2"/>
  <c r="N1563" i="2"/>
  <c r="R1562" i="2"/>
  <c r="O1562" i="2"/>
  <c r="N1562" i="2"/>
  <c r="R1561" i="2"/>
  <c r="O1561" i="2"/>
  <c r="N1561" i="2"/>
  <c r="R1560" i="2"/>
  <c r="O1560" i="2"/>
  <c r="N1560" i="2"/>
  <c r="R1559" i="2"/>
  <c r="O1559" i="2"/>
  <c r="N1559" i="2"/>
  <c r="R1558" i="2"/>
  <c r="O1558" i="2"/>
  <c r="N1558" i="2"/>
  <c r="R1557" i="2"/>
  <c r="O1557" i="2"/>
  <c r="N1557" i="2"/>
  <c r="R1556" i="2"/>
  <c r="O1556" i="2"/>
  <c r="N1556" i="2"/>
  <c r="R1555" i="2"/>
  <c r="O1555" i="2"/>
  <c r="N1555" i="2"/>
  <c r="R1554" i="2"/>
  <c r="O1554" i="2"/>
  <c r="N1554" i="2"/>
  <c r="R1553" i="2"/>
  <c r="O1553" i="2"/>
  <c r="N1553" i="2"/>
  <c r="R1552" i="2"/>
  <c r="O1552" i="2"/>
  <c r="N1552" i="2"/>
  <c r="R1551" i="2"/>
  <c r="O1551" i="2"/>
  <c r="N1551" i="2"/>
  <c r="R1550" i="2"/>
  <c r="O1550" i="2"/>
  <c r="N1550" i="2"/>
  <c r="R1549" i="2"/>
  <c r="O1549" i="2"/>
  <c r="N1549" i="2"/>
  <c r="R1548" i="2"/>
  <c r="O1548" i="2"/>
  <c r="N1548" i="2"/>
  <c r="R1547" i="2"/>
  <c r="O1547" i="2"/>
  <c r="N1547" i="2"/>
  <c r="R1546" i="2"/>
  <c r="O1546" i="2"/>
  <c r="N1546" i="2"/>
  <c r="R1545" i="2"/>
  <c r="O1545" i="2"/>
  <c r="N1545" i="2"/>
  <c r="R1544" i="2"/>
  <c r="O1544" i="2"/>
  <c r="N1544" i="2"/>
  <c r="R1543" i="2"/>
  <c r="O1543" i="2"/>
  <c r="N1543" i="2"/>
  <c r="R1542" i="2"/>
  <c r="O1542" i="2"/>
  <c r="N1542" i="2"/>
  <c r="R1541" i="2"/>
  <c r="O1541" i="2"/>
  <c r="N1541" i="2"/>
  <c r="R1540" i="2"/>
  <c r="O1540" i="2"/>
  <c r="N1540" i="2"/>
  <c r="R1539" i="2"/>
  <c r="O1539" i="2"/>
  <c r="N1539" i="2"/>
  <c r="R1538" i="2"/>
  <c r="O1538" i="2"/>
  <c r="N1538" i="2"/>
  <c r="R1537" i="2"/>
  <c r="O1537" i="2"/>
  <c r="N1537" i="2"/>
  <c r="R1536" i="2"/>
  <c r="O1536" i="2"/>
  <c r="N1536" i="2"/>
  <c r="R1535" i="2"/>
  <c r="O1535" i="2"/>
  <c r="N1535" i="2"/>
  <c r="R1534" i="2"/>
  <c r="O1534" i="2"/>
  <c r="N1534" i="2"/>
  <c r="R1533" i="2"/>
  <c r="O1533" i="2"/>
  <c r="N1533" i="2"/>
  <c r="R1532" i="2"/>
  <c r="O1532" i="2"/>
  <c r="N1532" i="2"/>
  <c r="R1531" i="2"/>
  <c r="O1531" i="2"/>
  <c r="N1531" i="2"/>
  <c r="R1530" i="2"/>
  <c r="O1530" i="2"/>
  <c r="N1530" i="2"/>
  <c r="R1529" i="2"/>
  <c r="O1529" i="2"/>
  <c r="N1529" i="2"/>
  <c r="R1528" i="2"/>
  <c r="O1528" i="2"/>
  <c r="N1528" i="2"/>
  <c r="R1527" i="2"/>
  <c r="O1527" i="2"/>
  <c r="N1527" i="2"/>
  <c r="R1526" i="2"/>
  <c r="O1526" i="2"/>
  <c r="N1526" i="2"/>
  <c r="R1525" i="2"/>
  <c r="O1525" i="2"/>
  <c r="N1525" i="2"/>
  <c r="R1524" i="2"/>
  <c r="O1524" i="2"/>
  <c r="N1524" i="2"/>
  <c r="R1523" i="2"/>
  <c r="O1523" i="2"/>
  <c r="N1523" i="2"/>
  <c r="R1522" i="2"/>
  <c r="O1522" i="2"/>
  <c r="N1522" i="2"/>
  <c r="R1521" i="2"/>
  <c r="O1521" i="2"/>
  <c r="N1521" i="2"/>
  <c r="R1520" i="2"/>
  <c r="O1520" i="2"/>
  <c r="N1520" i="2"/>
  <c r="R1519" i="2"/>
  <c r="O1519" i="2"/>
  <c r="N1519" i="2"/>
  <c r="R1518" i="2"/>
  <c r="O1518" i="2"/>
  <c r="N1518" i="2"/>
  <c r="R1517" i="2"/>
  <c r="O1517" i="2"/>
  <c r="N1517" i="2"/>
  <c r="R1516" i="2"/>
  <c r="O1516" i="2"/>
  <c r="N1516" i="2"/>
  <c r="R1515" i="2"/>
  <c r="O1515" i="2"/>
  <c r="N1515" i="2"/>
  <c r="R1514" i="2"/>
  <c r="O1514" i="2"/>
  <c r="N1514" i="2"/>
  <c r="R1513" i="2"/>
  <c r="O1513" i="2"/>
  <c r="N1513" i="2"/>
  <c r="R1512" i="2"/>
  <c r="O1512" i="2"/>
  <c r="N1512" i="2"/>
  <c r="R1511" i="2"/>
  <c r="O1511" i="2"/>
  <c r="N1511" i="2"/>
  <c r="R1510" i="2"/>
  <c r="O1510" i="2"/>
  <c r="N1510" i="2"/>
  <c r="R1509" i="2"/>
  <c r="O1509" i="2"/>
  <c r="N1509" i="2"/>
  <c r="R1508" i="2"/>
  <c r="O1508" i="2"/>
  <c r="N1508" i="2"/>
  <c r="R1507" i="2"/>
  <c r="O1507" i="2"/>
  <c r="N1507" i="2"/>
  <c r="R1506" i="2"/>
  <c r="O1506" i="2"/>
  <c r="N1506" i="2"/>
  <c r="R1505" i="2"/>
  <c r="O1505" i="2"/>
  <c r="N1505" i="2"/>
  <c r="R1504" i="2"/>
  <c r="O1504" i="2"/>
  <c r="N1504" i="2"/>
  <c r="R1503" i="2"/>
  <c r="O1503" i="2"/>
  <c r="N1503" i="2"/>
  <c r="R1502" i="2"/>
  <c r="O1502" i="2"/>
  <c r="N1502" i="2"/>
  <c r="R1501" i="2"/>
  <c r="O1501" i="2"/>
  <c r="N1501" i="2"/>
  <c r="R1500" i="2"/>
  <c r="O1500" i="2"/>
  <c r="N1500" i="2"/>
  <c r="R1499" i="2"/>
  <c r="O1499" i="2"/>
  <c r="N1499" i="2"/>
  <c r="R1498" i="2"/>
  <c r="O1498" i="2"/>
  <c r="N1498" i="2"/>
  <c r="R1497" i="2"/>
  <c r="O1497" i="2"/>
  <c r="N1497" i="2"/>
  <c r="R1496" i="2"/>
  <c r="O1496" i="2"/>
  <c r="N1496" i="2"/>
  <c r="R1495" i="2"/>
  <c r="O1495" i="2"/>
  <c r="N1495" i="2"/>
  <c r="R1494" i="2"/>
  <c r="O1494" i="2"/>
  <c r="N1494" i="2"/>
  <c r="R1493" i="2"/>
  <c r="O1493" i="2"/>
  <c r="N1493" i="2"/>
  <c r="R1492" i="2"/>
  <c r="O1492" i="2"/>
  <c r="N1492" i="2"/>
  <c r="R1491" i="2"/>
  <c r="O1491" i="2"/>
  <c r="N1491" i="2"/>
  <c r="R1490" i="2"/>
  <c r="O1490" i="2"/>
  <c r="N1490" i="2"/>
  <c r="R1489" i="2"/>
  <c r="O1489" i="2"/>
  <c r="N1489" i="2"/>
  <c r="R1488" i="2"/>
  <c r="O1488" i="2"/>
  <c r="N1488" i="2"/>
  <c r="R1487" i="2"/>
  <c r="O1487" i="2"/>
  <c r="N1487" i="2"/>
  <c r="R1486" i="2"/>
  <c r="O1486" i="2"/>
  <c r="N1486" i="2"/>
  <c r="R1485" i="2"/>
  <c r="O1485" i="2"/>
  <c r="N1485" i="2"/>
  <c r="R1484" i="2"/>
  <c r="O1484" i="2"/>
  <c r="N1484" i="2"/>
  <c r="R1483" i="2"/>
  <c r="O1483" i="2"/>
  <c r="N1483" i="2"/>
  <c r="R1482" i="2"/>
  <c r="O1482" i="2"/>
  <c r="N1482" i="2"/>
  <c r="R1481" i="2"/>
  <c r="O1481" i="2"/>
  <c r="N1481" i="2"/>
  <c r="R1480" i="2"/>
  <c r="O1480" i="2"/>
  <c r="N1480" i="2"/>
  <c r="R1479" i="2"/>
  <c r="O1479" i="2"/>
  <c r="N1479" i="2"/>
  <c r="R1478" i="2"/>
  <c r="O1478" i="2"/>
  <c r="N1478" i="2"/>
  <c r="R1477" i="2"/>
  <c r="O1477" i="2"/>
  <c r="N1477" i="2"/>
  <c r="R1476" i="2"/>
  <c r="O1476" i="2"/>
  <c r="N1476" i="2"/>
  <c r="R1475" i="2"/>
  <c r="O1475" i="2"/>
  <c r="N1475" i="2"/>
  <c r="R1474" i="2"/>
  <c r="O1474" i="2"/>
  <c r="N1474" i="2"/>
  <c r="R1473" i="2"/>
  <c r="O1473" i="2"/>
  <c r="N1473" i="2"/>
  <c r="R1472" i="2"/>
  <c r="O1472" i="2"/>
  <c r="N1472" i="2"/>
  <c r="R1471" i="2"/>
  <c r="O1471" i="2"/>
  <c r="N1471" i="2"/>
  <c r="R1470" i="2"/>
  <c r="O1470" i="2"/>
  <c r="N1470" i="2"/>
  <c r="R1469" i="2"/>
  <c r="O1469" i="2"/>
  <c r="N1469" i="2"/>
  <c r="R1468" i="2"/>
  <c r="O1468" i="2"/>
  <c r="N1468" i="2"/>
  <c r="R1467" i="2"/>
  <c r="O1467" i="2"/>
  <c r="N1467" i="2"/>
  <c r="R1466" i="2"/>
  <c r="O1466" i="2"/>
  <c r="N1466" i="2"/>
  <c r="R1465" i="2"/>
  <c r="O1465" i="2"/>
  <c r="N1465" i="2"/>
  <c r="R1464" i="2"/>
  <c r="O1464" i="2"/>
  <c r="N1464" i="2"/>
  <c r="R1463" i="2"/>
  <c r="O1463" i="2"/>
  <c r="N1463" i="2"/>
  <c r="R1462" i="2"/>
  <c r="O1462" i="2"/>
  <c r="N1462" i="2"/>
  <c r="R1461" i="2"/>
  <c r="O1461" i="2"/>
  <c r="N1461" i="2"/>
  <c r="R1460" i="2"/>
  <c r="O1460" i="2"/>
  <c r="N1460" i="2"/>
  <c r="R1459" i="2"/>
  <c r="O1459" i="2"/>
  <c r="N1459" i="2"/>
  <c r="R1458" i="2"/>
  <c r="O1458" i="2"/>
  <c r="N1458" i="2"/>
  <c r="R1457" i="2"/>
  <c r="O1457" i="2"/>
  <c r="N1457" i="2"/>
  <c r="R1456" i="2"/>
  <c r="O1456" i="2"/>
  <c r="N1456" i="2"/>
  <c r="R1455" i="2"/>
  <c r="O1455" i="2"/>
  <c r="N1455" i="2"/>
  <c r="R1454" i="2"/>
  <c r="O1454" i="2"/>
  <c r="N1454" i="2"/>
  <c r="R1453" i="2"/>
  <c r="O1453" i="2"/>
  <c r="N1453" i="2"/>
  <c r="R1452" i="2"/>
  <c r="O1452" i="2"/>
  <c r="N1452" i="2"/>
  <c r="R1451" i="2"/>
  <c r="O1451" i="2"/>
  <c r="N1451" i="2"/>
  <c r="R1450" i="2"/>
  <c r="O1450" i="2"/>
  <c r="N1450" i="2"/>
  <c r="R1449" i="2"/>
  <c r="O1449" i="2"/>
  <c r="N1449" i="2"/>
  <c r="R1448" i="2"/>
  <c r="O1448" i="2"/>
  <c r="N1448" i="2"/>
  <c r="R1447" i="2"/>
  <c r="O1447" i="2"/>
  <c r="N1447" i="2"/>
  <c r="R1446" i="2"/>
  <c r="O1446" i="2"/>
  <c r="N1446" i="2"/>
  <c r="R1445" i="2"/>
  <c r="O1445" i="2"/>
  <c r="N1445" i="2"/>
  <c r="R1444" i="2"/>
  <c r="O1444" i="2"/>
  <c r="N1444" i="2"/>
  <c r="R1443" i="2"/>
  <c r="O1443" i="2"/>
  <c r="N1443" i="2"/>
  <c r="R1442" i="2"/>
  <c r="O1442" i="2"/>
  <c r="N1442" i="2"/>
  <c r="R1441" i="2"/>
  <c r="O1441" i="2"/>
  <c r="N1441" i="2"/>
  <c r="R1440" i="2"/>
  <c r="O1440" i="2"/>
  <c r="N1440" i="2"/>
  <c r="R1439" i="2"/>
  <c r="O1439" i="2"/>
  <c r="N1439" i="2"/>
  <c r="R1438" i="2"/>
  <c r="O1438" i="2"/>
  <c r="N1438" i="2"/>
  <c r="R1437" i="2"/>
  <c r="O1437" i="2"/>
  <c r="N1437" i="2"/>
  <c r="R1436" i="2"/>
  <c r="O1436" i="2"/>
  <c r="N1436" i="2"/>
  <c r="R1435" i="2"/>
  <c r="O1435" i="2"/>
  <c r="N1435" i="2"/>
  <c r="R1434" i="2"/>
  <c r="O1434" i="2"/>
  <c r="N1434" i="2"/>
  <c r="R1433" i="2"/>
  <c r="O1433" i="2"/>
  <c r="N1433" i="2"/>
  <c r="R1432" i="2"/>
  <c r="O1432" i="2"/>
  <c r="N1432" i="2"/>
  <c r="R1431" i="2"/>
  <c r="O1431" i="2"/>
  <c r="N1431" i="2"/>
  <c r="R1430" i="2"/>
  <c r="O1430" i="2"/>
  <c r="N1430" i="2"/>
  <c r="R1429" i="2"/>
  <c r="O1429" i="2"/>
  <c r="N1429" i="2"/>
  <c r="R1428" i="2"/>
  <c r="O1428" i="2"/>
  <c r="N1428" i="2"/>
  <c r="R1427" i="2"/>
  <c r="O1427" i="2"/>
  <c r="N1427" i="2"/>
  <c r="R1426" i="2"/>
  <c r="O1426" i="2"/>
  <c r="N1426" i="2"/>
  <c r="R1425" i="2"/>
  <c r="O1425" i="2"/>
  <c r="N1425" i="2"/>
  <c r="R1424" i="2"/>
  <c r="O1424" i="2"/>
  <c r="N1424" i="2"/>
  <c r="R1423" i="2"/>
  <c r="O1423" i="2"/>
  <c r="N1423" i="2"/>
  <c r="R1422" i="2"/>
  <c r="O1422" i="2"/>
  <c r="N1422" i="2"/>
  <c r="R1421" i="2"/>
  <c r="O1421" i="2"/>
  <c r="N1421" i="2"/>
  <c r="R1420" i="2"/>
  <c r="O1420" i="2"/>
  <c r="N1420" i="2"/>
  <c r="R1419" i="2"/>
  <c r="O1419" i="2"/>
  <c r="N1419" i="2"/>
  <c r="R1418" i="2"/>
  <c r="O1418" i="2"/>
  <c r="N1418" i="2"/>
  <c r="R1417" i="2"/>
  <c r="O1417" i="2"/>
  <c r="N1417" i="2"/>
  <c r="R1416" i="2"/>
  <c r="O1416" i="2"/>
  <c r="N1416" i="2"/>
  <c r="R1415" i="2"/>
  <c r="O1415" i="2"/>
  <c r="N1415" i="2"/>
  <c r="R1414" i="2"/>
  <c r="O1414" i="2"/>
  <c r="N1414" i="2"/>
  <c r="R1413" i="2"/>
  <c r="O1413" i="2"/>
  <c r="N1413" i="2"/>
  <c r="R1412" i="2"/>
  <c r="O1412" i="2"/>
  <c r="N1412" i="2"/>
  <c r="R1411" i="2"/>
  <c r="O1411" i="2"/>
  <c r="N1411" i="2"/>
  <c r="R1410" i="2"/>
  <c r="O1410" i="2"/>
  <c r="N1410" i="2"/>
  <c r="R1409" i="2"/>
  <c r="O1409" i="2"/>
  <c r="N1409" i="2"/>
  <c r="R1408" i="2"/>
  <c r="O1408" i="2"/>
  <c r="N1408" i="2"/>
  <c r="R1407" i="2"/>
  <c r="O1407" i="2"/>
  <c r="N1407" i="2"/>
  <c r="R1406" i="2"/>
  <c r="O1406" i="2"/>
  <c r="N1406" i="2"/>
  <c r="R1405" i="2"/>
  <c r="O1405" i="2"/>
  <c r="N1405" i="2"/>
  <c r="R1404" i="2"/>
  <c r="O1404" i="2"/>
  <c r="N1404" i="2"/>
  <c r="R1403" i="2"/>
  <c r="O1403" i="2"/>
  <c r="N1403" i="2"/>
  <c r="R1402" i="2"/>
  <c r="O1402" i="2"/>
  <c r="N1402" i="2"/>
  <c r="R1401" i="2"/>
  <c r="O1401" i="2"/>
  <c r="N1401" i="2"/>
  <c r="R1400" i="2"/>
  <c r="O1400" i="2"/>
  <c r="N1400" i="2"/>
  <c r="R1399" i="2"/>
  <c r="O1399" i="2"/>
  <c r="N1399" i="2"/>
  <c r="R1398" i="2"/>
  <c r="O1398" i="2"/>
  <c r="N1398" i="2"/>
  <c r="R1397" i="2"/>
  <c r="O1397" i="2"/>
  <c r="N1397" i="2"/>
  <c r="R1396" i="2"/>
  <c r="O1396" i="2"/>
  <c r="N1396" i="2"/>
  <c r="R1395" i="2"/>
  <c r="O1395" i="2"/>
  <c r="N1395" i="2"/>
  <c r="R1394" i="2"/>
  <c r="O1394" i="2"/>
  <c r="N1394" i="2"/>
  <c r="R1393" i="2"/>
  <c r="O1393" i="2"/>
  <c r="N1393" i="2"/>
  <c r="R1392" i="2"/>
  <c r="O1392" i="2"/>
  <c r="N1392" i="2"/>
  <c r="R1391" i="2"/>
  <c r="O1391" i="2"/>
  <c r="N1391" i="2"/>
  <c r="R1390" i="2"/>
  <c r="O1390" i="2"/>
  <c r="N1390" i="2"/>
  <c r="R1389" i="2"/>
  <c r="O1389" i="2"/>
  <c r="N1389" i="2"/>
  <c r="R1388" i="2"/>
  <c r="O1388" i="2"/>
  <c r="N1388" i="2"/>
  <c r="R1387" i="2"/>
  <c r="O1387" i="2"/>
  <c r="N1387" i="2"/>
  <c r="R1386" i="2"/>
  <c r="O1386" i="2"/>
  <c r="N1386" i="2"/>
  <c r="R1385" i="2"/>
  <c r="O1385" i="2"/>
  <c r="N1385" i="2"/>
  <c r="R1384" i="2"/>
  <c r="O1384" i="2"/>
  <c r="N1384" i="2"/>
  <c r="R1383" i="2"/>
  <c r="O1383" i="2"/>
  <c r="N1383" i="2"/>
  <c r="R1382" i="2"/>
  <c r="O1382" i="2"/>
  <c r="N1382" i="2"/>
  <c r="R1381" i="2"/>
  <c r="O1381" i="2"/>
  <c r="N1381" i="2"/>
  <c r="R1380" i="2"/>
  <c r="O1380" i="2"/>
  <c r="N1380" i="2"/>
  <c r="R1379" i="2"/>
  <c r="O1379" i="2"/>
  <c r="N1379" i="2"/>
  <c r="R1378" i="2"/>
  <c r="O1378" i="2"/>
  <c r="N1378" i="2"/>
  <c r="R1377" i="2"/>
  <c r="O1377" i="2"/>
  <c r="N1377" i="2"/>
  <c r="R1376" i="2"/>
  <c r="O1376" i="2"/>
  <c r="N1376" i="2"/>
  <c r="R1375" i="2"/>
  <c r="O1375" i="2"/>
  <c r="N1375" i="2"/>
  <c r="R1374" i="2"/>
  <c r="O1374" i="2"/>
  <c r="N1374" i="2"/>
  <c r="R1373" i="2"/>
  <c r="O1373" i="2"/>
  <c r="N1373" i="2"/>
  <c r="R1372" i="2"/>
  <c r="O1372" i="2"/>
  <c r="N1372" i="2"/>
  <c r="R1371" i="2"/>
  <c r="O1371" i="2"/>
  <c r="N1371" i="2"/>
  <c r="R1370" i="2"/>
  <c r="O1370" i="2"/>
  <c r="N1370" i="2"/>
  <c r="R1369" i="2"/>
  <c r="O1369" i="2"/>
  <c r="N1369" i="2"/>
  <c r="R1368" i="2"/>
  <c r="O1368" i="2"/>
  <c r="N1368" i="2"/>
  <c r="R1367" i="2"/>
  <c r="O1367" i="2"/>
  <c r="N1367" i="2"/>
  <c r="R1366" i="2"/>
  <c r="O1366" i="2"/>
  <c r="N1366" i="2"/>
  <c r="R1365" i="2"/>
  <c r="O1365" i="2"/>
  <c r="N1365" i="2"/>
  <c r="R1364" i="2"/>
  <c r="O1364" i="2"/>
  <c r="N1364" i="2"/>
  <c r="R1363" i="2"/>
  <c r="O1363" i="2"/>
  <c r="N1363" i="2"/>
  <c r="R1362" i="2"/>
  <c r="O1362" i="2"/>
  <c r="N1362" i="2"/>
  <c r="R1361" i="2"/>
  <c r="O1361" i="2"/>
  <c r="N1361" i="2"/>
  <c r="R1360" i="2"/>
  <c r="O1360" i="2"/>
  <c r="N1360" i="2"/>
  <c r="R1359" i="2"/>
  <c r="O1359" i="2"/>
  <c r="N1359" i="2"/>
  <c r="R1358" i="2"/>
  <c r="O1358" i="2"/>
  <c r="N1358" i="2"/>
  <c r="R1357" i="2"/>
  <c r="O1357" i="2"/>
  <c r="N1357" i="2"/>
  <c r="R1356" i="2"/>
  <c r="O1356" i="2"/>
  <c r="N1356" i="2"/>
  <c r="R1355" i="2"/>
  <c r="O1355" i="2"/>
  <c r="N1355" i="2"/>
  <c r="R1354" i="2"/>
  <c r="O1354" i="2"/>
  <c r="N1354" i="2"/>
  <c r="R1353" i="2"/>
  <c r="O1353" i="2"/>
  <c r="N1353" i="2"/>
  <c r="R1352" i="2"/>
  <c r="O1352" i="2"/>
  <c r="N1352" i="2"/>
  <c r="R1351" i="2"/>
  <c r="O1351" i="2"/>
  <c r="N1351" i="2"/>
  <c r="R1350" i="2"/>
  <c r="O1350" i="2"/>
  <c r="N1350" i="2"/>
  <c r="R1349" i="2"/>
  <c r="O1349" i="2"/>
  <c r="N1349" i="2"/>
  <c r="R1348" i="2"/>
  <c r="O1348" i="2"/>
  <c r="N1348" i="2"/>
  <c r="R1347" i="2"/>
  <c r="O1347" i="2"/>
  <c r="N1347" i="2"/>
  <c r="R1346" i="2"/>
  <c r="O1346" i="2"/>
  <c r="N1346" i="2"/>
  <c r="R1345" i="2"/>
  <c r="O1345" i="2"/>
  <c r="N1345" i="2"/>
  <c r="R1344" i="2"/>
  <c r="O1344" i="2"/>
  <c r="N1344" i="2"/>
  <c r="R1343" i="2"/>
  <c r="O1343" i="2"/>
  <c r="N1343" i="2"/>
  <c r="R1342" i="2"/>
  <c r="O1342" i="2"/>
  <c r="N1342" i="2"/>
  <c r="R1341" i="2"/>
  <c r="O1341" i="2"/>
  <c r="N1341" i="2"/>
  <c r="R1340" i="2"/>
  <c r="O1340" i="2"/>
  <c r="N1340" i="2"/>
  <c r="R1339" i="2"/>
  <c r="O1339" i="2"/>
  <c r="N1339" i="2"/>
  <c r="R1338" i="2"/>
  <c r="O1338" i="2"/>
  <c r="N1338" i="2"/>
  <c r="R1337" i="2"/>
  <c r="O1337" i="2"/>
  <c r="N1337" i="2"/>
  <c r="R1336" i="2"/>
  <c r="O1336" i="2"/>
  <c r="N1336" i="2"/>
  <c r="R1335" i="2"/>
  <c r="O1335" i="2"/>
  <c r="N1335" i="2"/>
  <c r="R1334" i="2"/>
  <c r="O1334" i="2"/>
  <c r="N1334" i="2"/>
  <c r="R1333" i="2"/>
  <c r="O1333" i="2"/>
  <c r="N1333" i="2"/>
  <c r="R1332" i="2"/>
  <c r="O1332" i="2"/>
  <c r="N1332" i="2"/>
  <c r="R1331" i="2"/>
  <c r="O1331" i="2"/>
  <c r="N1331" i="2"/>
  <c r="R1330" i="2"/>
  <c r="O1330" i="2"/>
  <c r="N1330" i="2"/>
  <c r="R1329" i="2"/>
  <c r="O1329" i="2"/>
  <c r="N1329" i="2"/>
  <c r="R1328" i="2"/>
  <c r="O1328" i="2"/>
  <c r="N1328" i="2"/>
  <c r="R1327" i="2"/>
  <c r="O1327" i="2"/>
  <c r="N1327" i="2"/>
  <c r="R1326" i="2"/>
  <c r="O1326" i="2"/>
  <c r="N1326" i="2"/>
  <c r="R1325" i="2"/>
  <c r="O1325" i="2"/>
  <c r="N1325" i="2"/>
  <c r="R1324" i="2"/>
  <c r="O1324" i="2"/>
  <c r="N1324" i="2"/>
  <c r="R1323" i="2"/>
  <c r="O1323" i="2"/>
  <c r="N1323" i="2"/>
  <c r="R1322" i="2"/>
  <c r="O1322" i="2"/>
  <c r="N1322" i="2"/>
  <c r="R1321" i="2"/>
  <c r="O1321" i="2"/>
  <c r="N1321" i="2"/>
  <c r="R1320" i="2"/>
  <c r="O1320" i="2"/>
  <c r="N1320" i="2"/>
  <c r="R1319" i="2"/>
  <c r="O1319" i="2"/>
  <c r="N1319" i="2"/>
  <c r="R1318" i="2"/>
  <c r="O1318" i="2"/>
  <c r="N1318" i="2"/>
  <c r="R1317" i="2"/>
  <c r="O1317" i="2"/>
  <c r="N1317" i="2"/>
  <c r="R1316" i="2"/>
  <c r="O1316" i="2"/>
  <c r="N1316" i="2"/>
  <c r="R1315" i="2"/>
  <c r="O1315" i="2"/>
  <c r="N1315" i="2"/>
  <c r="R1314" i="2"/>
  <c r="O1314" i="2"/>
  <c r="N1314" i="2"/>
  <c r="R1313" i="2"/>
  <c r="O1313" i="2"/>
  <c r="N1313" i="2"/>
  <c r="R1312" i="2"/>
  <c r="O1312" i="2"/>
  <c r="N1312" i="2"/>
  <c r="R1311" i="2"/>
  <c r="O1311" i="2"/>
  <c r="N1311" i="2"/>
  <c r="R1310" i="2"/>
  <c r="O1310" i="2"/>
  <c r="N1310" i="2"/>
  <c r="R1309" i="2"/>
  <c r="O1309" i="2"/>
  <c r="N1309" i="2"/>
  <c r="R1308" i="2"/>
  <c r="O1308" i="2"/>
  <c r="N1308" i="2"/>
  <c r="R1307" i="2"/>
  <c r="O1307" i="2"/>
  <c r="N1307" i="2"/>
  <c r="R1306" i="2"/>
  <c r="O1306" i="2"/>
  <c r="N1306" i="2"/>
  <c r="R1305" i="2"/>
  <c r="O1305" i="2"/>
  <c r="N1305" i="2"/>
  <c r="R1304" i="2"/>
  <c r="O1304" i="2"/>
  <c r="N1304" i="2"/>
  <c r="R1303" i="2"/>
  <c r="O1303" i="2"/>
  <c r="N1303" i="2"/>
  <c r="R1302" i="2"/>
  <c r="O1302" i="2"/>
  <c r="N1302" i="2"/>
  <c r="R1301" i="2"/>
  <c r="O1301" i="2"/>
  <c r="N1301" i="2"/>
  <c r="R1300" i="2"/>
  <c r="O1300" i="2"/>
  <c r="N1300" i="2"/>
  <c r="R1299" i="2"/>
  <c r="O1299" i="2"/>
  <c r="N1299" i="2"/>
  <c r="R1298" i="2"/>
  <c r="O1298" i="2"/>
  <c r="N1298" i="2"/>
  <c r="R1297" i="2"/>
  <c r="O1297" i="2"/>
  <c r="N1297" i="2"/>
  <c r="R1296" i="2"/>
  <c r="O1296" i="2"/>
  <c r="N1296" i="2"/>
  <c r="R1295" i="2"/>
  <c r="O1295" i="2"/>
  <c r="N1295" i="2"/>
  <c r="R1294" i="2"/>
  <c r="O1294" i="2"/>
  <c r="N1294" i="2"/>
  <c r="R1293" i="2"/>
  <c r="O1293" i="2"/>
  <c r="N1293" i="2"/>
  <c r="R1292" i="2"/>
  <c r="O1292" i="2"/>
  <c r="N1292" i="2"/>
  <c r="R1291" i="2"/>
  <c r="O1291" i="2"/>
  <c r="N1291" i="2"/>
  <c r="R1290" i="2"/>
  <c r="O1290" i="2"/>
  <c r="N1290" i="2"/>
  <c r="R1289" i="2"/>
  <c r="O1289" i="2"/>
  <c r="N1289" i="2"/>
  <c r="R1288" i="2"/>
  <c r="O1288" i="2"/>
  <c r="N1288" i="2"/>
  <c r="R1287" i="2"/>
  <c r="O1287" i="2"/>
  <c r="N1287" i="2"/>
  <c r="R1286" i="2"/>
  <c r="O1286" i="2"/>
  <c r="N1286" i="2"/>
  <c r="R1285" i="2"/>
  <c r="O1285" i="2"/>
  <c r="N1285" i="2"/>
  <c r="R1284" i="2"/>
  <c r="O1284" i="2"/>
  <c r="N1284" i="2"/>
  <c r="R1283" i="2"/>
  <c r="O1283" i="2"/>
  <c r="N1283" i="2"/>
  <c r="R1282" i="2"/>
  <c r="O1282" i="2"/>
  <c r="N1282" i="2"/>
  <c r="R1281" i="2"/>
  <c r="O1281" i="2"/>
  <c r="N1281" i="2"/>
  <c r="R1280" i="2"/>
  <c r="O1280" i="2"/>
  <c r="N1280" i="2"/>
  <c r="R1279" i="2"/>
  <c r="O1279" i="2"/>
  <c r="N1279" i="2"/>
  <c r="R1278" i="2"/>
  <c r="O1278" i="2"/>
  <c r="N1278" i="2"/>
  <c r="R1277" i="2"/>
  <c r="O1277" i="2"/>
  <c r="N1277" i="2"/>
  <c r="R1276" i="2"/>
  <c r="O1276" i="2"/>
  <c r="N1276" i="2"/>
  <c r="R1275" i="2"/>
  <c r="O1275" i="2"/>
  <c r="N1275" i="2"/>
  <c r="R1274" i="2"/>
  <c r="O1274" i="2"/>
  <c r="N1274" i="2"/>
  <c r="R1273" i="2"/>
  <c r="O1273" i="2"/>
  <c r="N1273" i="2"/>
  <c r="R1272" i="2"/>
  <c r="O1272" i="2"/>
  <c r="N1272" i="2"/>
  <c r="R1271" i="2"/>
  <c r="O1271" i="2"/>
  <c r="N1271" i="2"/>
  <c r="R1270" i="2"/>
  <c r="O1270" i="2"/>
  <c r="N1270" i="2"/>
  <c r="R1269" i="2"/>
  <c r="O1269" i="2"/>
  <c r="N1269" i="2"/>
  <c r="R1268" i="2"/>
  <c r="O1268" i="2"/>
  <c r="N1268" i="2"/>
  <c r="R1267" i="2"/>
  <c r="O1267" i="2"/>
  <c r="N1267" i="2"/>
  <c r="R1266" i="2"/>
  <c r="O1266" i="2"/>
  <c r="N1266" i="2"/>
  <c r="R1265" i="2"/>
  <c r="O1265" i="2"/>
  <c r="N1265" i="2"/>
  <c r="R1264" i="2"/>
  <c r="O1264" i="2"/>
  <c r="N1264" i="2"/>
  <c r="R1263" i="2"/>
  <c r="O1263" i="2"/>
  <c r="N1263" i="2"/>
  <c r="R1262" i="2"/>
  <c r="O1262" i="2"/>
  <c r="N1262" i="2"/>
  <c r="R1261" i="2"/>
  <c r="O1261" i="2"/>
  <c r="N1261" i="2"/>
  <c r="R1260" i="2"/>
  <c r="O1260" i="2"/>
  <c r="N1260" i="2"/>
  <c r="R1259" i="2"/>
  <c r="O1259" i="2"/>
  <c r="N1259" i="2"/>
  <c r="R1258" i="2"/>
  <c r="O1258" i="2"/>
  <c r="N1258" i="2"/>
  <c r="R1257" i="2"/>
  <c r="O1257" i="2"/>
  <c r="N1257" i="2"/>
  <c r="R1256" i="2"/>
  <c r="O1256" i="2"/>
  <c r="N1256" i="2"/>
  <c r="R1255" i="2"/>
  <c r="O1255" i="2"/>
  <c r="N1255" i="2"/>
  <c r="R1254" i="2"/>
  <c r="O1254" i="2"/>
  <c r="N1254" i="2"/>
  <c r="R1253" i="2"/>
  <c r="O1253" i="2"/>
  <c r="N1253" i="2"/>
  <c r="R1252" i="2"/>
  <c r="O1252" i="2"/>
  <c r="N1252" i="2"/>
  <c r="R1251" i="2"/>
  <c r="O1251" i="2"/>
  <c r="N1251" i="2"/>
  <c r="R1250" i="2"/>
  <c r="O1250" i="2"/>
  <c r="N1250" i="2"/>
  <c r="R1249" i="2"/>
  <c r="O1249" i="2"/>
  <c r="N1249" i="2"/>
  <c r="R1248" i="2"/>
  <c r="O1248" i="2"/>
  <c r="N1248" i="2"/>
  <c r="R1247" i="2"/>
  <c r="O1247" i="2"/>
  <c r="N1247" i="2"/>
  <c r="R1246" i="2"/>
  <c r="O1246" i="2"/>
  <c r="N1246" i="2"/>
  <c r="R1245" i="2"/>
  <c r="O1245" i="2"/>
  <c r="N1245" i="2"/>
  <c r="R1244" i="2"/>
  <c r="O1244" i="2"/>
  <c r="N1244" i="2"/>
  <c r="R1243" i="2"/>
  <c r="O1243" i="2"/>
  <c r="N1243" i="2"/>
  <c r="R1242" i="2"/>
  <c r="O1242" i="2"/>
  <c r="N1242" i="2"/>
  <c r="R1241" i="2"/>
  <c r="O1241" i="2"/>
  <c r="N1241" i="2"/>
  <c r="R1240" i="2"/>
  <c r="O1240" i="2"/>
  <c r="N1240" i="2"/>
  <c r="R1239" i="2"/>
  <c r="O1239" i="2"/>
  <c r="N1239" i="2"/>
  <c r="R1238" i="2"/>
  <c r="O1238" i="2"/>
  <c r="N1238" i="2"/>
  <c r="R1237" i="2"/>
  <c r="O1237" i="2"/>
  <c r="N1237" i="2"/>
  <c r="R1236" i="2"/>
  <c r="O1236" i="2"/>
  <c r="N1236" i="2"/>
  <c r="R1235" i="2"/>
  <c r="O1235" i="2"/>
  <c r="N1235" i="2"/>
  <c r="R1234" i="2"/>
  <c r="O1234" i="2"/>
  <c r="N1234" i="2"/>
  <c r="R1233" i="2"/>
  <c r="O1233" i="2"/>
  <c r="N1233" i="2"/>
  <c r="R1232" i="2"/>
  <c r="O1232" i="2"/>
  <c r="N1232" i="2"/>
  <c r="R1231" i="2"/>
  <c r="O1231" i="2"/>
  <c r="N1231" i="2"/>
  <c r="R1230" i="2"/>
  <c r="O1230" i="2"/>
  <c r="N1230" i="2"/>
  <c r="R1229" i="2"/>
  <c r="O1229" i="2"/>
  <c r="N1229" i="2"/>
  <c r="R1228" i="2"/>
  <c r="O1228" i="2"/>
  <c r="N1228" i="2"/>
  <c r="R1227" i="2"/>
  <c r="O1227" i="2"/>
  <c r="N1227" i="2"/>
  <c r="R1226" i="2"/>
  <c r="O1226" i="2"/>
  <c r="N1226" i="2"/>
  <c r="R1225" i="2"/>
  <c r="O1225" i="2"/>
  <c r="N1225" i="2"/>
  <c r="R1224" i="2"/>
  <c r="O1224" i="2"/>
  <c r="N1224" i="2"/>
  <c r="R1223" i="2"/>
  <c r="O1223" i="2"/>
  <c r="N1223" i="2"/>
  <c r="R1222" i="2"/>
  <c r="O1222" i="2"/>
  <c r="N1222" i="2"/>
  <c r="R1221" i="2"/>
  <c r="O1221" i="2"/>
  <c r="N1221" i="2"/>
  <c r="R1220" i="2"/>
  <c r="O1220" i="2"/>
  <c r="N1220" i="2"/>
  <c r="R1219" i="2"/>
  <c r="O1219" i="2"/>
  <c r="N1219" i="2"/>
  <c r="R1218" i="2"/>
  <c r="O1218" i="2"/>
  <c r="N1218" i="2"/>
  <c r="R1217" i="2"/>
  <c r="O1217" i="2"/>
  <c r="N1217" i="2"/>
  <c r="R1216" i="2"/>
  <c r="O1216" i="2"/>
  <c r="N1216" i="2"/>
  <c r="R1215" i="2"/>
  <c r="O1215" i="2"/>
  <c r="N1215" i="2"/>
  <c r="R1214" i="2"/>
  <c r="O1214" i="2"/>
  <c r="N1214" i="2"/>
  <c r="R1213" i="2"/>
  <c r="O1213" i="2"/>
  <c r="N1213" i="2"/>
  <c r="R1212" i="2"/>
  <c r="O1212" i="2"/>
  <c r="N1212" i="2"/>
  <c r="R1211" i="2"/>
  <c r="O1211" i="2"/>
  <c r="N1211" i="2"/>
  <c r="R1210" i="2"/>
  <c r="O1210" i="2"/>
  <c r="N1210" i="2"/>
  <c r="R1209" i="2"/>
  <c r="O1209" i="2"/>
  <c r="N1209" i="2"/>
  <c r="R1208" i="2"/>
  <c r="O1208" i="2"/>
  <c r="N1208" i="2"/>
  <c r="R1207" i="2"/>
  <c r="O1207" i="2"/>
  <c r="N1207" i="2"/>
  <c r="R1206" i="2"/>
  <c r="O1206" i="2"/>
  <c r="N1206" i="2"/>
  <c r="R1205" i="2"/>
  <c r="O1205" i="2"/>
  <c r="N1205" i="2"/>
  <c r="R1204" i="2"/>
  <c r="O1204" i="2"/>
  <c r="N1204" i="2"/>
  <c r="R1203" i="2"/>
  <c r="O1203" i="2"/>
  <c r="N1203" i="2"/>
  <c r="R1202" i="2"/>
  <c r="O1202" i="2"/>
  <c r="N1202" i="2"/>
  <c r="R1201" i="2"/>
  <c r="O1201" i="2"/>
  <c r="N1201" i="2"/>
  <c r="R1200" i="2"/>
  <c r="O1200" i="2"/>
  <c r="N1200" i="2"/>
  <c r="R1199" i="2"/>
  <c r="O1199" i="2"/>
  <c r="N1199" i="2"/>
  <c r="R1198" i="2"/>
  <c r="O1198" i="2"/>
  <c r="N1198" i="2"/>
  <c r="R1197" i="2"/>
  <c r="O1197" i="2"/>
  <c r="N1197" i="2"/>
  <c r="R1196" i="2"/>
  <c r="O1196" i="2"/>
  <c r="N1196" i="2"/>
  <c r="R1195" i="2"/>
  <c r="O1195" i="2"/>
  <c r="N1195" i="2"/>
  <c r="R1194" i="2"/>
  <c r="O1194" i="2"/>
  <c r="N1194" i="2"/>
  <c r="R1193" i="2"/>
  <c r="O1193" i="2"/>
  <c r="N1193" i="2"/>
  <c r="R1192" i="2"/>
  <c r="O1192" i="2"/>
  <c r="N1192" i="2"/>
  <c r="R1191" i="2"/>
  <c r="O1191" i="2"/>
  <c r="N1191" i="2"/>
  <c r="R1190" i="2"/>
  <c r="O1190" i="2"/>
  <c r="N1190" i="2"/>
  <c r="R1189" i="2"/>
  <c r="O1189" i="2"/>
  <c r="N1189" i="2"/>
  <c r="R1188" i="2"/>
  <c r="O1188" i="2"/>
  <c r="N1188" i="2"/>
  <c r="R1187" i="2"/>
  <c r="O1187" i="2"/>
  <c r="N1187" i="2"/>
  <c r="R1186" i="2"/>
  <c r="O1186" i="2"/>
  <c r="N1186" i="2"/>
  <c r="R1185" i="2"/>
  <c r="O1185" i="2"/>
  <c r="N1185" i="2"/>
  <c r="R1184" i="2"/>
  <c r="O1184" i="2"/>
  <c r="N1184" i="2"/>
  <c r="R1183" i="2"/>
  <c r="O1183" i="2"/>
  <c r="N1183" i="2"/>
  <c r="R1182" i="2"/>
  <c r="O1182" i="2"/>
  <c r="N1182" i="2"/>
  <c r="R1181" i="2"/>
  <c r="O1181" i="2"/>
  <c r="N1181" i="2"/>
  <c r="R1180" i="2"/>
  <c r="O1180" i="2"/>
  <c r="N1180" i="2"/>
  <c r="R1179" i="2"/>
  <c r="O1179" i="2"/>
  <c r="N1179" i="2"/>
  <c r="R1178" i="2"/>
  <c r="O1178" i="2"/>
  <c r="N1178" i="2"/>
  <c r="R1177" i="2"/>
  <c r="O1177" i="2"/>
  <c r="N1177" i="2"/>
  <c r="R1176" i="2"/>
  <c r="O1176" i="2"/>
  <c r="N1176" i="2"/>
  <c r="R1175" i="2"/>
  <c r="O1175" i="2"/>
  <c r="N1175" i="2"/>
  <c r="R1174" i="2"/>
  <c r="O1174" i="2"/>
  <c r="N1174" i="2"/>
  <c r="R1173" i="2"/>
  <c r="O1173" i="2"/>
  <c r="N1173" i="2"/>
  <c r="R1172" i="2"/>
  <c r="O1172" i="2"/>
  <c r="N1172" i="2"/>
  <c r="R1171" i="2"/>
  <c r="O1171" i="2"/>
  <c r="N1171" i="2"/>
  <c r="R1170" i="2"/>
  <c r="O1170" i="2"/>
  <c r="N1170" i="2"/>
  <c r="R1169" i="2"/>
  <c r="O1169" i="2"/>
  <c r="N1169" i="2"/>
  <c r="R1168" i="2"/>
  <c r="O1168" i="2"/>
  <c r="N1168" i="2"/>
  <c r="R1167" i="2"/>
  <c r="O1167" i="2"/>
  <c r="N1167" i="2"/>
  <c r="R1166" i="2"/>
  <c r="O1166" i="2"/>
  <c r="N1166" i="2"/>
  <c r="R1165" i="2"/>
  <c r="O1165" i="2"/>
  <c r="N1165" i="2"/>
  <c r="R1164" i="2"/>
  <c r="O1164" i="2"/>
  <c r="N1164" i="2"/>
  <c r="R1163" i="2"/>
  <c r="O1163" i="2"/>
  <c r="N1163" i="2"/>
  <c r="R1162" i="2"/>
  <c r="O1162" i="2"/>
  <c r="N1162" i="2"/>
  <c r="R1161" i="2"/>
  <c r="O1161" i="2"/>
  <c r="N1161" i="2"/>
  <c r="R1160" i="2"/>
  <c r="O1160" i="2"/>
  <c r="N1160" i="2"/>
  <c r="R1159" i="2"/>
  <c r="O1159" i="2"/>
  <c r="N1159" i="2"/>
  <c r="R1158" i="2"/>
  <c r="O1158" i="2"/>
  <c r="N1158" i="2"/>
  <c r="R1157" i="2"/>
  <c r="O1157" i="2"/>
  <c r="N1157" i="2"/>
  <c r="R1156" i="2"/>
  <c r="O1156" i="2"/>
  <c r="N1156" i="2"/>
  <c r="R1155" i="2"/>
  <c r="O1155" i="2"/>
  <c r="N1155" i="2"/>
  <c r="R1154" i="2"/>
  <c r="O1154" i="2"/>
  <c r="N1154" i="2"/>
  <c r="R1153" i="2"/>
  <c r="O1153" i="2"/>
  <c r="N1153" i="2"/>
  <c r="R1152" i="2"/>
  <c r="O1152" i="2"/>
  <c r="N1152" i="2"/>
  <c r="R1151" i="2"/>
  <c r="O1151" i="2"/>
  <c r="N1151" i="2"/>
  <c r="R1150" i="2"/>
  <c r="O1150" i="2"/>
  <c r="N1150" i="2"/>
  <c r="R1149" i="2"/>
  <c r="O1149" i="2"/>
  <c r="N1149" i="2"/>
  <c r="R1148" i="2"/>
  <c r="O1148" i="2"/>
  <c r="N1148" i="2"/>
  <c r="R1147" i="2"/>
  <c r="O1147" i="2"/>
  <c r="N1147" i="2"/>
  <c r="R1146" i="2"/>
  <c r="O1146" i="2"/>
  <c r="N1146" i="2"/>
  <c r="R1145" i="2"/>
  <c r="O1145" i="2"/>
  <c r="N1145" i="2"/>
  <c r="R1144" i="2"/>
  <c r="O1144" i="2"/>
  <c r="N1144" i="2"/>
  <c r="R1143" i="2"/>
  <c r="O1143" i="2"/>
  <c r="N1143" i="2"/>
  <c r="R1142" i="2"/>
  <c r="O1142" i="2"/>
  <c r="N1142" i="2"/>
  <c r="R1141" i="2"/>
  <c r="O1141" i="2"/>
  <c r="N1141" i="2"/>
  <c r="R1140" i="2"/>
  <c r="O1140" i="2"/>
  <c r="N1140" i="2"/>
  <c r="R1139" i="2"/>
  <c r="O1139" i="2"/>
  <c r="N1139" i="2"/>
  <c r="R1138" i="2"/>
  <c r="O1138" i="2"/>
  <c r="N1138" i="2"/>
  <c r="R1137" i="2"/>
  <c r="O1137" i="2"/>
  <c r="N1137" i="2"/>
  <c r="R1136" i="2"/>
  <c r="O1136" i="2"/>
  <c r="N1136" i="2"/>
  <c r="R1135" i="2"/>
  <c r="O1135" i="2"/>
  <c r="N1135" i="2"/>
  <c r="R1134" i="2"/>
  <c r="O1134" i="2"/>
  <c r="N1134" i="2"/>
  <c r="R1133" i="2"/>
  <c r="O1133" i="2"/>
  <c r="N1133" i="2"/>
  <c r="R1132" i="2"/>
  <c r="O1132" i="2"/>
  <c r="N1132" i="2"/>
  <c r="R1131" i="2"/>
  <c r="O1131" i="2"/>
  <c r="N1131" i="2"/>
  <c r="R1130" i="2"/>
  <c r="O1130" i="2"/>
  <c r="N1130" i="2"/>
  <c r="R1129" i="2"/>
  <c r="O1129" i="2"/>
  <c r="N1129" i="2"/>
  <c r="R1128" i="2"/>
  <c r="O1128" i="2"/>
  <c r="N1128" i="2"/>
  <c r="R1127" i="2"/>
  <c r="O1127" i="2"/>
  <c r="N1127" i="2"/>
  <c r="R1126" i="2"/>
  <c r="O1126" i="2"/>
  <c r="N1126" i="2"/>
  <c r="R1125" i="2"/>
  <c r="O1125" i="2"/>
  <c r="N1125" i="2"/>
  <c r="R1124" i="2"/>
  <c r="O1124" i="2"/>
  <c r="N1124" i="2"/>
  <c r="R1123" i="2"/>
  <c r="O1123" i="2"/>
  <c r="N1123" i="2"/>
  <c r="R1122" i="2"/>
  <c r="O1122" i="2"/>
  <c r="N1122" i="2"/>
  <c r="R1121" i="2"/>
  <c r="O1121" i="2"/>
  <c r="N1121" i="2"/>
  <c r="R1120" i="2"/>
  <c r="O1120" i="2"/>
  <c r="N1120" i="2"/>
  <c r="R1119" i="2"/>
  <c r="O1119" i="2"/>
  <c r="N1119" i="2"/>
  <c r="R1118" i="2"/>
  <c r="O1118" i="2"/>
  <c r="N1118" i="2"/>
  <c r="R1117" i="2"/>
  <c r="O1117" i="2"/>
  <c r="N1117" i="2"/>
  <c r="R1116" i="2"/>
  <c r="O1116" i="2"/>
  <c r="N1116" i="2"/>
  <c r="R1115" i="2"/>
  <c r="O1115" i="2"/>
  <c r="N1115" i="2"/>
  <c r="R1114" i="2"/>
  <c r="O1114" i="2"/>
  <c r="N1114" i="2"/>
  <c r="R1113" i="2"/>
  <c r="O1113" i="2"/>
  <c r="N1113" i="2"/>
  <c r="R1112" i="2"/>
  <c r="O1112" i="2"/>
  <c r="N1112" i="2"/>
  <c r="R1111" i="2"/>
  <c r="O1111" i="2"/>
  <c r="N1111" i="2"/>
  <c r="R1110" i="2"/>
  <c r="O1110" i="2"/>
  <c r="N1110" i="2"/>
  <c r="R1109" i="2"/>
  <c r="O1109" i="2"/>
  <c r="N1109" i="2"/>
  <c r="R1108" i="2"/>
  <c r="O1108" i="2"/>
  <c r="N1108" i="2"/>
  <c r="R1107" i="2"/>
  <c r="O1107" i="2"/>
  <c r="N1107" i="2"/>
  <c r="R1106" i="2"/>
  <c r="O1106" i="2"/>
  <c r="N1106" i="2"/>
  <c r="R1105" i="2"/>
  <c r="O1105" i="2"/>
  <c r="N1105" i="2"/>
  <c r="R1104" i="2"/>
  <c r="O1104" i="2"/>
  <c r="N1104" i="2"/>
  <c r="R1103" i="2"/>
  <c r="O1103" i="2"/>
  <c r="N1103" i="2"/>
  <c r="R1102" i="2"/>
  <c r="O1102" i="2"/>
  <c r="N1102" i="2"/>
  <c r="R1101" i="2"/>
  <c r="O1101" i="2"/>
  <c r="N1101" i="2"/>
  <c r="R1100" i="2"/>
  <c r="O1100" i="2"/>
  <c r="N1100" i="2"/>
  <c r="R1099" i="2"/>
  <c r="O1099" i="2"/>
  <c r="N1099" i="2"/>
  <c r="R1098" i="2"/>
  <c r="O1098" i="2"/>
  <c r="N1098" i="2"/>
  <c r="R1097" i="2"/>
  <c r="O1097" i="2"/>
  <c r="N1097" i="2"/>
  <c r="R1096" i="2"/>
  <c r="O1096" i="2"/>
  <c r="N1096" i="2"/>
  <c r="R1095" i="2"/>
  <c r="O1095" i="2"/>
  <c r="N1095" i="2"/>
  <c r="R1094" i="2"/>
  <c r="O1094" i="2"/>
  <c r="N1094" i="2"/>
  <c r="R1093" i="2"/>
  <c r="O1093" i="2"/>
  <c r="N1093" i="2"/>
  <c r="R1092" i="2"/>
  <c r="O1092" i="2"/>
  <c r="N1092" i="2"/>
  <c r="R1091" i="2"/>
  <c r="O1091" i="2"/>
  <c r="N1091" i="2"/>
  <c r="R1090" i="2"/>
  <c r="O1090" i="2"/>
  <c r="N1090" i="2"/>
  <c r="R1089" i="2"/>
  <c r="O1089" i="2"/>
  <c r="N1089" i="2"/>
  <c r="R1088" i="2"/>
  <c r="O1088" i="2"/>
  <c r="N1088" i="2"/>
  <c r="R1087" i="2"/>
  <c r="O1087" i="2"/>
  <c r="N1087" i="2"/>
  <c r="R1086" i="2"/>
  <c r="O1086" i="2"/>
  <c r="N1086" i="2"/>
  <c r="R1085" i="2"/>
  <c r="O1085" i="2"/>
  <c r="N1085" i="2"/>
  <c r="R1084" i="2"/>
  <c r="O1084" i="2"/>
  <c r="N1084" i="2"/>
  <c r="R1083" i="2"/>
  <c r="O1083" i="2"/>
  <c r="N1083" i="2"/>
  <c r="R1082" i="2"/>
  <c r="O1082" i="2"/>
  <c r="N1082" i="2"/>
  <c r="R1081" i="2"/>
  <c r="O1081" i="2"/>
  <c r="N1081" i="2"/>
  <c r="R1080" i="2"/>
  <c r="O1080" i="2"/>
  <c r="N1080" i="2"/>
  <c r="R1079" i="2"/>
  <c r="O1079" i="2"/>
  <c r="N1079" i="2"/>
  <c r="R1078" i="2"/>
  <c r="O1078" i="2"/>
  <c r="N1078" i="2"/>
  <c r="R1077" i="2"/>
  <c r="O1077" i="2"/>
  <c r="N1077" i="2"/>
  <c r="R1076" i="2"/>
  <c r="O1076" i="2"/>
  <c r="N1076" i="2"/>
  <c r="R1075" i="2"/>
  <c r="O1075" i="2"/>
  <c r="N1075" i="2"/>
  <c r="R1074" i="2"/>
  <c r="O1074" i="2"/>
  <c r="N1074" i="2"/>
  <c r="R1073" i="2"/>
  <c r="O1073" i="2"/>
  <c r="N1073" i="2"/>
  <c r="R1072" i="2"/>
  <c r="O1072" i="2"/>
  <c r="N1072" i="2"/>
  <c r="R1071" i="2"/>
  <c r="O1071" i="2"/>
  <c r="N1071" i="2"/>
  <c r="R1070" i="2"/>
  <c r="O1070" i="2"/>
  <c r="N1070" i="2"/>
  <c r="R1069" i="2"/>
  <c r="O1069" i="2"/>
  <c r="N1069" i="2"/>
  <c r="R1068" i="2"/>
  <c r="O1068" i="2"/>
  <c r="N1068" i="2"/>
  <c r="R1067" i="2"/>
  <c r="O1067" i="2"/>
  <c r="N1067" i="2"/>
  <c r="R1066" i="2"/>
  <c r="O1066" i="2"/>
  <c r="N1066" i="2"/>
  <c r="R1065" i="2"/>
  <c r="O1065" i="2"/>
  <c r="N1065" i="2"/>
  <c r="R1064" i="2"/>
  <c r="O1064" i="2"/>
  <c r="N1064" i="2"/>
  <c r="R1063" i="2"/>
  <c r="O1063" i="2"/>
  <c r="N1063" i="2"/>
  <c r="R1062" i="2"/>
  <c r="O1062" i="2"/>
  <c r="N1062" i="2"/>
  <c r="R1061" i="2"/>
  <c r="O1061" i="2"/>
  <c r="N1061" i="2"/>
  <c r="R1060" i="2"/>
  <c r="O1060" i="2"/>
  <c r="N1060" i="2"/>
  <c r="R1059" i="2"/>
  <c r="O1059" i="2"/>
  <c r="N1059" i="2"/>
  <c r="R1058" i="2"/>
  <c r="O1058" i="2"/>
  <c r="N1058" i="2"/>
  <c r="R1057" i="2"/>
  <c r="O1057" i="2"/>
  <c r="N1057" i="2"/>
  <c r="R1056" i="2"/>
  <c r="O1056" i="2"/>
  <c r="N1056" i="2"/>
  <c r="R1055" i="2"/>
  <c r="O1055" i="2"/>
  <c r="N1055" i="2"/>
  <c r="R1054" i="2"/>
  <c r="O1054" i="2"/>
  <c r="N1054" i="2"/>
  <c r="R1053" i="2"/>
  <c r="O1053" i="2"/>
  <c r="N1053" i="2"/>
  <c r="R1052" i="2"/>
  <c r="O1052" i="2"/>
  <c r="N1052" i="2"/>
  <c r="R1051" i="2"/>
  <c r="O1051" i="2"/>
  <c r="N1051" i="2"/>
  <c r="R1050" i="2"/>
  <c r="O1050" i="2"/>
  <c r="N1050" i="2"/>
  <c r="R1049" i="2"/>
  <c r="O1049" i="2"/>
  <c r="N1049" i="2"/>
  <c r="R1048" i="2"/>
  <c r="O1048" i="2"/>
  <c r="N1048" i="2"/>
  <c r="R1047" i="2"/>
  <c r="O1047" i="2"/>
  <c r="N1047" i="2"/>
  <c r="R1046" i="2"/>
  <c r="O1046" i="2"/>
  <c r="N1046" i="2"/>
  <c r="R1045" i="2"/>
  <c r="O1045" i="2"/>
  <c r="N1045" i="2"/>
  <c r="R1044" i="2"/>
  <c r="O1044" i="2"/>
  <c r="N1044" i="2"/>
  <c r="R1043" i="2"/>
  <c r="O1043" i="2"/>
  <c r="N1043" i="2"/>
  <c r="R1042" i="2"/>
  <c r="O1042" i="2"/>
  <c r="N1042" i="2"/>
  <c r="R1041" i="2"/>
  <c r="O1041" i="2"/>
  <c r="N1041" i="2"/>
  <c r="R1040" i="2"/>
  <c r="O1040" i="2"/>
  <c r="N1040" i="2"/>
  <c r="R1039" i="2"/>
  <c r="O1039" i="2"/>
  <c r="N1039" i="2"/>
  <c r="R1038" i="2"/>
  <c r="O1038" i="2"/>
  <c r="N1038" i="2"/>
  <c r="R1037" i="2"/>
  <c r="O1037" i="2"/>
  <c r="N1037" i="2"/>
  <c r="R1036" i="2"/>
  <c r="O1036" i="2"/>
  <c r="N1036" i="2"/>
  <c r="R1035" i="2"/>
  <c r="O1035" i="2"/>
  <c r="N1035" i="2"/>
  <c r="R1034" i="2"/>
  <c r="O1034" i="2"/>
  <c r="N1034" i="2"/>
  <c r="R1033" i="2"/>
  <c r="O1033" i="2"/>
  <c r="N1033" i="2"/>
  <c r="R1032" i="2"/>
  <c r="O1032" i="2"/>
  <c r="N1032" i="2"/>
  <c r="R1031" i="2"/>
  <c r="O1031" i="2"/>
  <c r="N1031" i="2"/>
  <c r="R1030" i="2"/>
  <c r="O1030" i="2"/>
  <c r="N1030" i="2"/>
  <c r="R1029" i="2"/>
  <c r="O1029" i="2"/>
  <c r="N1029" i="2"/>
  <c r="R1028" i="2"/>
  <c r="O1028" i="2"/>
  <c r="N1028" i="2"/>
  <c r="R1027" i="2"/>
  <c r="O1027" i="2"/>
  <c r="N1027" i="2"/>
  <c r="R1026" i="2"/>
  <c r="O1026" i="2"/>
  <c r="N1026" i="2"/>
  <c r="R1025" i="2"/>
  <c r="O1025" i="2"/>
  <c r="N1025" i="2"/>
  <c r="R1024" i="2"/>
  <c r="O1024" i="2"/>
  <c r="N1024" i="2"/>
  <c r="R1023" i="2"/>
  <c r="O1023" i="2"/>
  <c r="N1023" i="2"/>
  <c r="R1022" i="2"/>
  <c r="O1022" i="2"/>
  <c r="N1022" i="2"/>
  <c r="R1021" i="2"/>
  <c r="O1021" i="2"/>
  <c r="N1021" i="2"/>
  <c r="R1020" i="2"/>
  <c r="O1020" i="2"/>
  <c r="N1020" i="2"/>
  <c r="R1019" i="2"/>
  <c r="O1019" i="2"/>
  <c r="N1019" i="2"/>
  <c r="R1018" i="2"/>
  <c r="O1018" i="2"/>
  <c r="N1018" i="2"/>
  <c r="R1017" i="2"/>
  <c r="O1017" i="2"/>
  <c r="N1017" i="2"/>
  <c r="R1016" i="2"/>
  <c r="O1016" i="2"/>
  <c r="N1016" i="2"/>
  <c r="R1015" i="2"/>
  <c r="O1015" i="2"/>
  <c r="N1015" i="2"/>
  <c r="R1014" i="2"/>
  <c r="O1014" i="2"/>
  <c r="N1014" i="2"/>
  <c r="R1013" i="2"/>
  <c r="O1013" i="2"/>
  <c r="N1013" i="2"/>
  <c r="R1012" i="2"/>
  <c r="O1012" i="2"/>
  <c r="N1012" i="2"/>
  <c r="R1011" i="2"/>
  <c r="O1011" i="2"/>
  <c r="N1011" i="2"/>
  <c r="R1010" i="2"/>
  <c r="O1010" i="2"/>
  <c r="N1010" i="2"/>
  <c r="R1009" i="2"/>
  <c r="O1009" i="2"/>
  <c r="N1009" i="2"/>
  <c r="R1008" i="2"/>
  <c r="O1008" i="2"/>
  <c r="N1008" i="2"/>
  <c r="R1007" i="2"/>
  <c r="O1007" i="2"/>
  <c r="N1007" i="2"/>
  <c r="R1006" i="2"/>
  <c r="O1006" i="2"/>
  <c r="N1006" i="2"/>
  <c r="R1005" i="2"/>
  <c r="O1005" i="2"/>
  <c r="N1005" i="2"/>
  <c r="R1004" i="2"/>
  <c r="O1004" i="2"/>
  <c r="N1004" i="2"/>
  <c r="R1003" i="2"/>
  <c r="O1003" i="2"/>
  <c r="N1003" i="2"/>
  <c r="R1002" i="2"/>
  <c r="O1002" i="2"/>
  <c r="N1002" i="2"/>
  <c r="R1001" i="2"/>
  <c r="O1001" i="2"/>
  <c r="N1001" i="2"/>
  <c r="R1000" i="2"/>
  <c r="O1000" i="2"/>
  <c r="N1000" i="2"/>
  <c r="R999" i="2"/>
  <c r="O999" i="2"/>
  <c r="N999" i="2"/>
  <c r="R998" i="2"/>
  <c r="O998" i="2"/>
  <c r="N998" i="2"/>
  <c r="R997" i="2"/>
  <c r="O997" i="2"/>
  <c r="N997" i="2"/>
  <c r="R996" i="2"/>
  <c r="O996" i="2"/>
  <c r="N996" i="2"/>
  <c r="R995" i="2"/>
  <c r="O995" i="2"/>
  <c r="N995" i="2"/>
  <c r="R994" i="2"/>
  <c r="O994" i="2"/>
  <c r="N994" i="2"/>
  <c r="R993" i="2"/>
  <c r="O993" i="2"/>
  <c r="N993" i="2"/>
  <c r="R992" i="2"/>
  <c r="O992" i="2"/>
  <c r="N992" i="2"/>
  <c r="R991" i="2"/>
  <c r="O991" i="2"/>
  <c r="N991" i="2"/>
  <c r="R990" i="2"/>
  <c r="O990" i="2"/>
  <c r="N990" i="2"/>
  <c r="R989" i="2"/>
  <c r="O989" i="2"/>
  <c r="N989" i="2"/>
  <c r="R988" i="2"/>
  <c r="O988" i="2"/>
  <c r="N988" i="2"/>
  <c r="R987" i="2"/>
  <c r="O987" i="2"/>
  <c r="N987" i="2"/>
  <c r="R986" i="2"/>
  <c r="O986" i="2"/>
  <c r="N986" i="2"/>
  <c r="R985" i="2"/>
  <c r="O985" i="2"/>
  <c r="N985" i="2"/>
  <c r="R984" i="2"/>
  <c r="O984" i="2"/>
  <c r="N984" i="2"/>
  <c r="R983" i="2"/>
  <c r="O983" i="2"/>
  <c r="N983" i="2"/>
  <c r="R982" i="2"/>
  <c r="O982" i="2"/>
  <c r="N982" i="2"/>
  <c r="R981" i="2"/>
  <c r="O981" i="2"/>
  <c r="N981" i="2"/>
  <c r="R980" i="2"/>
  <c r="O980" i="2"/>
  <c r="N980" i="2"/>
  <c r="R979" i="2"/>
  <c r="O979" i="2"/>
  <c r="N979" i="2"/>
  <c r="R978" i="2"/>
  <c r="O978" i="2"/>
  <c r="N978" i="2"/>
  <c r="R977" i="2"/>
  <c r="O977" i="2"/>
  <c r="N977" i="2"/>
  <c r="R976" i="2"/>
  <c r="O976" i="2"/>
  <c r="N976" i="2"/>
  <c r="R975" i="2"/>
  <c r="O975" i="2"/>
  <c r="N975" i="2"/>
  <c r="R974" i="2"/>
  <c r="O974" i="2"/>
  <c r="N974" i="2"/>
  <c r="R973" i="2"/>
  <c r="O973" i="2"/>
  <c r="N973" i="2"/>
  <c r="R972" i="2"/>
  <c r="O972" i="2"/>
  <c r="N972" i="2"/>
  <c r="R971" i="2"/>
  <c r="O971" i="2"/>
  <c r="N971" i="2"/>
  <c r="R970" i="2"/>
  <c r="O970" i="2"/>
  <c r="N970" i="2"/>
  <c r="R969" i="2"/>
  <c r="O969" i="2"/>
  <c r="N969" i="2"/>
  <c r="R968" i="2"/>
  <c r="O968" i="2"/>
  <c r="N968" i="2"/>
  <c r="R967" i="2"/>
  <c r="O967" i="2"/>
  <c r="N967" i="2"/>
  <c r="R966" i="2"/>
  <c r="O966" i="2"/>
  <c r="N966" i="2"/>
  <c r="R965" i="2"/>
  <c r="O965" i="2"/>
  <c r="N965" i="2"/>
  <c r="R964" i="2"/>
  <c r="O964" i="2"/>
  <c r="N964" i="2"/>
  <c r="R963" i="2"/>
  <c r="O963" i="2"/>
  <c r="N963" i="2"/>
  <c r="R962" i="2"/>
  <c r="O962" i="2"/>
  <c r="N962" i="2"/>
  <c r="R961" i="2"/>
  <c r="O961" i="2"/>
  <c r="N961" i="2"/>
  <c r="R960" i="2"/>
  <c r="O960" i="2"/>
  <c r="N960" i="2"/>
  <c r="R959" i="2"/>
  <c r="O959" i="2"/>
  <c r="N959" i="2"/>
  <c r="R958" i="2"/>
  <c r="O958" i="2"/>
  <c r="N958" i="2"/>
  <c r="R957" i="2"/>
  <c r="O957" i="2"/>
  <c r="N957" i="2"/>
  <c r="R956" i="2"/>
  <c r="O956" i="2"/>
  <c r="N956" i="2"/>
  <c r="R955" i="2"/>
  <c r="O955" i="2"/>
  <c r="N955" i="2"/>
  <c r="R954" i="2"/>
  <c r="O954" i="2"/>
  <c r="N954" i="2"/>
  <c r="R953" i="2"/>
  <c r="O953" i="2"/>
  <c r="N953" i="2"/>
  <c r="R952" i="2"/>
  <c r="O952" i="2"/>
  <c r="N952" i="2"/>
  <c r="R951" i="2"/>
  <c r="O951" i="2"/>
  <c r="N951" i="2"/>
  <c r="R950" i="2"/>
  <c r="O950" i="2"/>
  <c r="N950" i="2"/>
  <c r="R949" i="2"/>
  <c r="O949" i="2"/>
  <c r="N949" i="2"/>
  <c r="R948" i="2"/>
  <c r="O948" i="2"/>
  <c r="N948" i="2"/>
  <c r="R947" i="2"/>
  <c r="O947" i="2"/>
  <c r="N947" i="2"/>
  <c r="R946" i="2"/>
  <c r="O946" i="2"/>
  <c r="N946" i="2"/>
  <c r="R945" i="2"/>
  <c r="O945" i="2"/>
  <c r="N945" i="2"/>
  <c r="R944" i="2"/>
  <c r="O944" i="2"/>
  <c r="N944" i="2"/>
  <c r="R943" i="2"/>
  <c r="O943" i="2"/>
  <c r="N943" i="2"/>
  <c r="R942" i="2"/>
  <c r="O942" i="2"/>
  <c r="N942" i="2"/>
  <c r="R941" i="2"/>
  <c r="O941" i="2"/>
  <c r="N941" i="2"/>
  <c r="R940" i="2"/>
  <c r="O940" i="2"/>
  <c r="N940" i="2"/>
  <c r="R939" i="2"/>
  <c r="O939" i="2"/>
  <c r="N939" i="2"/>
  <c r="R938" i="2"/>
  <c r="O938" i="2"/>
  <c r="N938" i="2"/>
  <c r="R937" i="2"/>
  <c r="O937" i="2"/>
  <c r="N937" i="2"/>
  <c r="R936" i="2"/>
  <c r="O936" i="2"/>
  <c r="N936" i="2"/>
  <c r="R935" i="2"/>
  <c r="O935" i="2"/>
  <c r="N935" i="2"/>
  <c r="R934" i="2"/>
  <c r="O934" i="2"/>
  <c r="N934" i="2"/>
  <c r="R933" i="2"/>
  <c r="O933" i="2"/>
  <c r="N933" i="2"/>
  <c r="R932" i="2"/>
  <c r="O932" i="2"/>
  <c r="N932" i="2"/>
  <c r="R931" i="2"/>
  <c r="O931" i="2"/>
  <c r="N931" i="2"/>
  <c r="R930" i="2"/>
  <c r="O930" i="2"/>
  <c r="N930" i="2"/>
  <c r="R929" i="2"/>
  <c r="O929" i="2"/>
  <c r="N929" i="2"/>
  <c r="R928" i="2"/>
  <c r="O928" i="2"/>
  <c r="N928" i="2"/>
  <c r="R927" i="2"/>
  <c r="O927" i="2"/>
  <c r="N927" i="2"/>
  <c r="R926" i="2"/>
  <c r="O926" i="2"/>
  <c r="N926" i="2"/>
  <c r="R925" i="2"/>
  <c r="O925" i="2"/>
  <c r="N925" i="2"/>
  <c r="R924" i="2"/>
  <c r="O924" i="2"/>
  <c r="N924" i="2"/>
  <c r="R923" i="2"/>
  <c r="O923" i="2"/>
  <c r="N923" i="2"/>
  <c r="R922" i="2"/>
  <c r="O922" i="2"/>
  <c r="N922" i="2"/>
  <c r="R921" i="2"/>
  <c r="O921" i="2"/>
  <c r="N921" i="2"/>
  <c r="R920" i="2"/>
  <c r="O920" i="2"/>
  <c r="N920" i="2"/>
  <c r="R919" i="2"/>
  <c r="O919" i="2"/>
  <c r="N919" i="2"/>
  <c r="R918" i="2"/>
  <c r="O918" i="2"/>
  <c r="N918" i="2"/>
  <c r="R917" i="2"/>
  <c r="O917" i="2"/>
  <c r="N917" i="2"/>
  <c r="R916" i="2"/>
  <c r="O916" i="2"/>
  <c r="N916" i="2"/>
  <c r="R915" i="2"/>
  <c r="O915" i="2"/>
  <c r="N915" i="2"/>
  <c r="R914" i="2"/>
  <c r="O914" i="2"/>
  <c r="N914" i="2"/>
  <c r="R913" i="2"/>
  <c r="O913" i="2"/>
  <c r="N913" i="2"/>
  <c r="R912" i="2"/>
  <c r="O912" i="2"/>
  <c r="N912" i="2"/>
  <c r="R911" i="2"/>
  <c r="O911" i="2"/>
  <c r="N911" i="2"/>
  <c r="R910" i="2"/>
  <c r="O910" i="2"/>
  <c r="N910" i="2"/>
  <c r="R909" i="2"/>
  <c r="O909" i="2"/>
  <c r="N909" i="2"/>
  <c r="R908" i="2"/>
  <c r="O908" i="2"/>
  <c r="N908" i="2"/>
  <c r="R907" i="2"/>
  <c r="O907" i="2"/>
  <c r="N907" i="2"/>
  <c r="R906" i="2"/>
  <c r="O906" i="2"/>
  <c r="N906" i="2"/>
  <c r="R905" i="2"/>
  <c r="O905" i="2"/>
  <c r="N905" i="2"/>
  <c r="R904" i="2"/>
  <c r="O904" i="2"/>
  <c r="N904" i="2"/>
  <c r="R903" i="2"/>
  <c r="O903" i="2"/>
  <c r="N903" i="2"/>
  <c r="R902" i="2"/>
  <c r="O902" i="2"/>
  <c r="N902" i="2"/>
  <c r="R901" i="2"/>
  <c r="O901" i="2"/>
  <c r="N901" i="2"/>
  <c r="R900" i="2"/>
  <c r="O900" i="2"/>
  <c r="N900" i="2"/>
  <c r="R899" i="2"/>
  <c r="O899" i="2"/>
  <c r="N899" i="2"/>
  <c r="R898" i="2"/>
  <c r="O898" i="2"/>
  <c r="N898" i="2"/>
  <c r="R897" i="2"/>
  <c r="O897" i="2"/>
  <c r="N897" i="2"/>
  <c r="R896" i="2"/>
  <c r="O896" i="2"/>
  <c r="N896" i="2"/>
  <c r="R895" i="2"/>
  <c r="O895" i="2"/>
  <c r="N895" i="2"/>
  <c r="R894" i="2"/>
  <c r="O894" i="2"/>
  <c r="N894" i="2"/>
  <c r="R893" i="2"/>
  <c r="O893" i="2"/>
  <c r="N893" i="2"/>
  <c r="R892" i="2"/>
  <c r="O892" i="2"/>
  <c r="N892" i="2"/>
  <c r="R891" i="2"/>
  <c r="O891" i="2"/>
  <c r="N891" i="2"/>
  <c r="R890" i="2"/>
  <c r="O890" i="2"/>
  <c r="N890" i="2"/>
  <c r="R889" i="2"/>
  <c r="O889" i="2"/>
  <c r="N889" i="2"/>
  <c r="R888" i="2"/>
  <c r="O888" i="2"/>
  <c r="N888" i="2"/>
  <c r="R887" i="2"/>
  <c r="O887" i="2"/>
  <c r="N887" i="2"/>
  <c r="R886" i="2"/>
  <c r="O886" i="2"/>
  <c r="N886" i="2"/>
  <c r="R885" i="2"/>
  <c r="O885" i="2"/>
  <c r="N885" i="2"/>
  <c r="R884" i="2"/>
  <c r="O884" i="2"/>
  <c r="N884" i="2"/>
  <c r="R883" i="2"/>
  <c r="O883" i="2"/>
  <c r="N883" i="2"/>
  <c r="R882" i="2"/>
  <c r="O882" i="2"/>
  <c r="N882" i="2"/>
  <c r="R881" i="2"/>
  <c r="O881" i="2"/>
  <c r="N881" i="2"/>
  <c r="R880" i="2"/>
  <c r="O880" i="2"/>
  <c r="N880" i="2"/>
  <c r="R879" i="2"/>
  <c r="O879" i="2"/>
  <c r="N879" i="2"/>
  <c r="R878" i="2"/>
  <c r="O878" i="2"/>
  <c r="N878" i="2"/>
  <c r="R877" i="2"/>
  <c r="O877" i="2"/>
  <c r="N877" i="2"/>
  <c r="R876" i="2"/>
  <c r="O876" i="2"/>
  <c r="N876" i="2"/>
  <c r="R875" i="2"/>
  <c r="O875" i="2"/>
  <c r="N875" i="2"/>
  <c r="R874" i="2"/>
  <c r="O874" i="2"/>
  <c r="N874" i="2"/>
  <c r="R873" i="2"/>
  <c r="O873" i="2"/>
  <c r="N873" i="2"/>
  <c r="R872" i="2"/>
  <c r="O872" i="2"/>
  <c r="N872" i="2"/>
  <c r="R871" i="2"/>
  <c r="O871" i="2"/>
  <c r="N871" i="2"/>
  <c r="R870" i="2"/>
  <c r="O870" i="2"/>
  <c r="N870" i="2"/>
  <c r="R869" i="2"/>
  <c r="O869" i="2"/>
  <c r="N869" i="2"/>
  <c r="R868" i="2"/>
  <c r="O868" i="2"/>
  <c r="N868" i="2"/>
  <c r="R867" i="2"/>
  <c r="O867" i="2"/>
  <c r="N867" i="2"/>
  <c r="R866" i="2"/>
  <c r="O866" i="2"/>
  <c r="N866" i="2"/>
  <c r="R865" i="2"/>
  <c r="O865" i="2"/>
  <c r="N865" i="2"/>
  <c r="R864" i="2"/>
  <c r="O864" i="2"/>
  <c r="N864" i="2"/>
  <c r="R863" i="2"/>
  <c r="O863" i="2"/>
  <c r="N863" i="2"/>
  <c r="R862" i="2"/>
  <c r="O862" i="2"/>
  <c r="N862" i="2"/>
  <c r="R861" i="2"/>
  <c r="O861" i="2"/>
  <c r="N861" i="2"/>
  <c r="R860" i="2"/>
  <c r="O860" i="2"/>
  <c r="N860" i="2"/>
  <c r="R859" i="2"/>
  <c r="O859" i="2"/>
  <c r="N859" i="2"/>
  <c r="R858" i="2"/>
  <c r="O858" i="2"/>
  <c r="N858" i="2"/>
  <c r="R857" i="2"/>
  <c r="O857" i="2"/>
  <c r="N857" i="2"/>
  <c r="R856" i="2"/>
  <c r="O856" i="2"/>
  <c r="N856" i="2"/>
  <c r="R855" i="2"/>
  <c r="O855" i="2"/>
  <c r="N855" i="2"/>
  <c r="R854" i="2"/>
  <c r="O854" i="2"/>
  <c r="N854" i="2"/>
  <c r="R853" i="2"/>
  <c r="O853" i="2"/>
  <c r="N853" i="2"/>
  <c r="R852" i="2"/>
  <c r="O852" i="2"/>
  <c r="N852" i="2"/>
  <c r="R851" i="2"/>
  <c r="O851" i="2"/>
  <c r="N851" i="2"/>
  <c r="R850" i="2"/>
  <c r="O850" i="2"/>
  <c r="N850" i="2"/>
  <c r="R849" i="2"/>
  <c r="O849" i="2"/>
  <c r="N849" i="2"/>
  <c r="R848" i="2"/>
  <c r="O848" i="2"/>
  <c r="N848" i="2"/>
  <c r="R847" i="2"/>
  <c r="O847" i="2"/>
  <c r="N847" i="2"/>
  <c r="R846" i="2"/>
  <c r="O846" i="2"/>
  <c r="N846" i="2"/>
  <c r="R845" i="2"/>
  <c r="O845" i="2"/>
  <c r="N845" i="2"/>
  <c r="R844" i="2"/>
  <c r="O844" i="2"/>
  <c r="N844" i="2"/>
  <c r="R843" i="2"/>
  <c r="O843" i="2"/>
  <c r="N843" i="2"/>
  <c r="R842" i="2"/>
  <c r="O842" i="2"/>
  <c r="N842" i="2"/>
  <c r="R841" i="2"/>
  <c r="O841" i="2"/>
  <c r="N841" i="2"/>
  <c r="R840" i="2"/>
  <c r="O840" i="2"/>
  <c r="N840" i="2"/>
  <c r="R839" i="2"/>
  <c r="O839" i="2"/>
  <c r="N839" i="2"/>
  <c r="R838" i="2"/>
  <c r="O838" i="2"/>
  <c r="N838" i="2"/>
  <c r="R837" i="2"/>
  <c r="O837" i="2"/>
  <c r="N837" i="2"/>
  <c r="R836" i="2"/>
  <c r="O836" i="2"/>
  <c r="N836" i="2"/>
  <c r="R835" i="2"/>
  <c r="O835" i="2"/>
  <c r="N835" i="2"/>
  <c r="R834" i="2"/>
  <c r="O834" i="2"/>
  <c r="N834" i="2"/>
  <c r="R833" i="2"/>
  <c r="O833" i="2"/>
  <c r="N833" i="2"/>
  <c r="R832" i="2"/>
  <c r="O832" i="2"/>
  <c r="N832" i="2"/>
  <c r="R831" i="2"/>
  <c r="O831" i="2"/>
  <c r="N831" i="2"/>
  <c r="R830" i="2"/>
  <c r="O830" i="2"/>
  <c r="N830" i="2"/>
  <c r="R829" i="2"/>
  <c r="O829" i="2"/>
  <c r="N829" i="2"/>
  <c r="R828" i="2"/>
  <c r="O828" i="2"/>
  <c r="N828" i="2"/>
  <c r="R827" i="2"/>
  <c r="O827" i="2"/>
  <c r="N827" i="2"/>
  <c r="R826" i="2"/>
  <c r="O826" i="2"/>
  <c r="N826" i="2"/>
  <c r="R825" i="2"/>
  <c r="O825" i="2"/>
  <c r="N825" i="2"/>
  <c r="R824" i="2"/>
  <c r="O824" i="2"/>
  <c r="N824" i="2"/>
  <c r="R823" i="2"/>
  <c r="O823" i="2"/>
  <c r="N823" i="2"/>
  <c r="R822" i="2"/>
  <c r="O822" i="2"/>
  <c r="N822" i="2"/>
  <c r="R821" i="2"/>
  <c r="O821" i="2"/>
  <c r="N821" i="2"/>
  <c r="R820" i="2"/>
  <c r="O820" i="2"/>
  <c r="N820" i="2"/>
  <c r="R819" i="2"/>
  <c r="O819" i="2"/>
  <c r="N819" i="2"/>
  <c r="R818" i="2"/>
  <c r="O818" i="2"/>
  <c r="N818" i="2"/>
  <c r="R817" i="2"/>
  <c r="O817" i="2"/>
  <c r="N817" i="2"/>
  <c r="R816" i="2"/>
  <c r="O816" i="2"/>
  <c r="N816" i="2"/>
  <c r="R815" i="2"/>
  <c r="O815" i="2"/>
  <c r="N815" i="2"/>
  <c r="R814" i="2"/>
  <c r="O814" i="2"/>
  <c r="N814" i="2"/>
  <c r="R813" i="2"/>
  <c r="O813" i="2"/>
  <c r="N813" i="2"/>
  <c r="R812" i="2"/>
  <c r="O812" i="2"/>
  <c r="N812" i="2"/>
  <c r="R811" i="2"/>
  <c r="O811" i="2"/>
  <c r="N811" i="2"/>
  <c r="R810" i="2"/>
  <c r="O810" i="2"/>
  <c r="N810" i="2"/>
  <c r="R809" i="2"/>
  <c r="O809" i="2"/>
  <c r="N809" i="2"/>
  <c r="R808" i="2"/>
  <c r="O808" i="2"/>
  <c r="N808" i="2"/>
  <c r="R807" i="2"/>
  <c r="O807" i="2"/>
  <c r="N807" i="2"/>
  <c r="R806" i="2"/>
  <c r="O806" i="2"/>
  <c r="N806" i="2"/>
  <c r="R805" i="2"/>
  <c r="O805" i="2"/>
  <c r="N805" i="2"/>
  <c r="R804" i="2"/>
  <c r="O804" i="2"/>
  <c r="N804" i="2"/>
  <c r="R803" i="2"/>
  <c r="O803" i="2"/>
  <c r="N803" i="2"/>
  <c r="R802" i="2"/>
  <c r="O802" i="2"/>
  <c r="N802" i="2"/>
  <c r="R801" i="2"/>
  <c r="O801" i="2"/>
  <c r="N801" i="2"/>
  <c r="R800" i="2"/>
  <c r="O800" i="2"/>
  <c r="N800" i="2"/>
  <c r="R799" i="2"/>
  <c r="O799" i="2"/>
  <c r="N799" i="2"/>
  <c r="R798" i="2"/>
  <c r="O798" i="2"/>
  <c r="N798" i="2"/>
  <c r="R797" i="2"/>
  <c r="O797" i="2"/>
  <c r="N797" i="2"/>
  <c r="R796" i="2"/>
  <c r="O796" i="2"/>
  <c r="N796" i="2"/>
  <c r="R795" i="2"/>
  <c r="O795" i="2"/>
  <c r="N795" i="2"/>
  <c r="R794" i="2"/>
  <c r="O794" i="2"/>
  <c r="N794" i="2"/>
  <c r="R793" i="2"/>
  <c r="O793" i="2"/>
  <c r="N793" i="2"/>
  <c r="R792" i="2"/>
  <c r="O792" i="2"/>
  <c r="N792" i="2"/>
  <c r="R791" i="2"/>
  <c r="O791" i="2"/>
  <c r="N791" i="2"/>
  <c r="R790" i="2"/>
  <c r="O790" i="2"/>
  <c r="N790" i="2"/>
  <c r="R789" i="2"/>
  <c r="O789" i="2"/>
  <c r="N789" i="2"/>
  <c r="R788" i="2"/>
  <c r="O788" i="2"/>
  <c r="N788" i="2"/>
  <c r="R787" i="2"/>
  <c r="O787" i="2"/>
  <c r="N787" i="2"/>
  <c r="R786" i="2"/>
  <c r="O786" i="2"/>
  <c r="N786" i="2"/>
  <c r="R785" i="2"/>
  <c r="O785" i="2"/>
  <c r="N785" i="2"/>
  <c r="R784" i="2"/>
  <c r="O784" i="2"/>
  <c r="N784" i="2"/>
  <c r="R783" i="2"/>
  <c r="O783" i="2"/>
  <c r="N783" i="2"/>
  <c r="R782" i="2"/>
  <c r="O782" i="2"/>
  <c r="N782" i="2"/>
  <c r="R781" i="2"/>
  <c r="O781" i="2"/>
  <c r="N781" i="2"/>
  <c r="R780" i="2"/>
  <c r="O780" i="2"/>
  <c r="N780" i="2"/>
  <c r="R779" i="2"/>
  <c r="O779" i="2"/>
  <c r="N779" i="2"/>
  <c r="R778" i="2"/>
  <c r="O778" i="2"/>
  <c r="N778" i="2"/>
  <c r="R777" i="2"/>
  <c r="O777" i="2"/>
  <c r="N777" i="2"/>
  <c r="R776" i="2"/>
  <c r="O776" i="2"/>
  <c r="N776" i="2"/>
  <c r="R775" i="2"/>
  <c r="O775" i="2"/>
  <c r="N775" i="2"/>
  <c r="R774" i="2"/>
  <c r="O774" i="2"/>
  <c r="N774" i="2"/>
  <c r="R773" i="2"/>
  <c r="O773" i="2"/>
  <c r="N773" i="2"/>
  <c r="R772" i="2"/>
  <c r="O772" i="2"/>
  <c r="N772" i="2"/>
  <c r="R771" i="2"/>
  <c r="O771" i="2"/>
  <c r="N771" i="2"/>
  <c r="R770" i="2"/>
  <c r="O770" i="2"/>
  <c r="N770" i="2"/>
  <c r="R769" i="2"/>
  <c r="O769" i="2"/>
  <c r="N769" i="2"/>
  <c r="R768" i="2"/>
  <c r="O768" i="2"/>
  <c r="N768" i="2"/>
  <c r="R767" i="2"/>
  <c r="O767" i="2"/>
  <c r="N767" i="2"/>
  <c r="R766" i="2"/>
  <c r="O766" i="2"/>
  <c r="N766" i="2"/>
  <c r="R765" i="2"/>
  <c r="O765" i="2"/>
  <c r="N765" i="2"/>
  <c r="R764" i="2"/>
  <c r="O764" i="2"/>
  <c r="N764" i="2"/>
  <c r="R763" i="2"/>
  <c r="O763" i="2"/>
  <c r="N763" i="2"/>
  <c r="R762" i="2"/>
  <c r="O762" i="2"/>
  <c r="N762" i="2"/>
  <c r="R761" i="2"/>
  <c r="O761" i="2"/>
  <c r="N761" i="2"/>
  <c r="R760" i="2"/>
  <c r="O760" i="2"/>
  <c r="N760" i="2"/>
  <c r="R759" i="2"/>
  <c r="O759" i="2"/>
  <c r="N759" i="2"/>
  <c r="R758" i="2"/>
  <c r="O758" i="2"/>
  <c r="N758" i="2"/>
  <c r="R757" i="2"/>
  <c r="O757" i="2"/>
  <c r="N757" i="2"/>
  <c r="R756" i="2"/>
  <c r="O756" i="2"/>
  <c r="N756" i="2"/>
  <c r="R755" i="2"/>
  <c r="O755" i="2"/>
  <c r="N755" i="2"/>
  <c r="R754" i="2"/>
  <c r="O754" i="2"/>
  <c r="N754" i="2"/>
  <c r="R753" i="2"/>
  <c r="O753" i="2"/>
  <c r="N753" i="2"/>
  <c r="R752" i="2"/>
  <c r="O752" i="2"/>
  <c r="N752" i="2"/>
  <c r="R751" i="2"/>
  <c r="O751" i="2"/>
  <c r="N751" i="2"/>
  <c r="R750" i="2"/>
  <c r="O750" i="2"/>
  <c r="N750" i="2"/>
  <c r="R749" i="2"/>
  <c r="O749" i="2"/>
  <c r="N749" i="2"/>
  <c r="R748" i="2"/>
  <c r="O748" i="2"/>
  <c r="N748" i="2"/>
  <c r="R747" i="2"/>
  <c r="O747" i="2"/>
  <c r="N747" i="2"/>
  <c r="R746" i="2"/>
  <c r="O746" i="2"/>
  <c r="N746" i="2"/>
  <c r="R745" i="2"/>
  <c r="O745" i="2"/>
  <c r="N745" i="2"/>
  <c r="R744" i="2"/>
  <c r="O744" i="2"/>
  <c r="N744" i="2"/>
  <c r="R743" i="2"/>
  <c r="O743" i="2"/>
  <c r="N743" i="2"/>
  <c r="R742" i="2"/>
  <c r="O742" i="2"/>
  <c r="N742" i="2"/>
  <c r="R741" i="2"/>
  <c r="O741" i="2"/>
  <c r="N741" i="2"/>
  <c r="R740" i="2"/>
  <c r="O740" i="2"/>
  <c r="N740" i="2"/>
  <c r="R739" i="2"/>
  <c r="O739" i="2"/>
  <c r="N739" i="2"/>
  <c r="R738" i="2"/>
  <c r="O738" i="2"/>
  <c r="N738" i="2"/>
  <c r="R737" i="2"/>
  <c r="O737" i="2"/>
  <c r="N737" i="2"/>
  <c r="R736" i="2"/>
  <c r="O736" i="2"/>
  <c r="N736" i="2"/>
  <c r="R735" i="2"/>
  <c r="O735" i="2"/>
  <c r="N735" i="2"/>
  <c r="R734" i="2"/>
  <c r="O734" i="2"/>
  <c r="N734" i="2"/>
  <c r="R733" i="2"/>
  <c r="O733" i="2"/>
  <c r="N733" i="2"/>
  <c r="R732" i="2"/>
  <c r="O732" i="2"/>
  <c r="N732" i="2"/>
  <c r="R731" i="2"/>
  <c r="O731" i="2"/>
  <c r="N731" i="2"/>
  <c r="R730" i="2"/>
  <c r="O730" i="2"/>
  <c r="N730" i="2"/>
  <c r="R729" i="2"/>
  <c r="O729" i="2"/>
  <c r="N729" i="2"/>
  <c r="R728" i="2"/>
  <c r="O728" i="2"/>
  <c r="N728" i="2"/>
  <c r="R727" i="2"/>
  <c r="O727" i="2"/>
  <c r="N727" i="2"/>
  <c r="R726" i="2"/>
  <c r="O726" i="2"/>
  <c r="N726" i="2"/>
  <c r="R725" i="2"/>
  <c r="O725" i="2"/>
  <c r="N725" i="2"/>
  <c r="R724" i="2"/>
  <c r="O724" i="2"/>
  <c r="N724" i="2"/>
  <c r="R723" i="2"/>
  <c r="O723" i="2"/>
  <c r="N723" i="2"/>
  <c r="R722" i="2"/>
  <c r="O722" i="2"/>
  <c r="N722" i="2"/>
  <c r="R721" i="2"/>
  <c r="O721" i="2"/>
  <c r="N721" i="2"/>
  <c r="R720" i="2"/>
  <c r="O720" i="2"/>
  <c r="N720" i="2"/>
  <c r="R719" i="2"/>
  <c r="O719" i="2"/>
  <c r="N719" i="2"/>
  <c r="R718" i="2"/>
  <c r="O718" i="2"/>
  <c r="N718" i="2"/>
  <c r="R717" i="2"/>
  <c r="O717" i="2"/>
  <c r="N717" i="2"/>
  <c r="R716" i="2"/>
  <c r="O716" i="2"/>
  <c r="N716" i="2"/>
  <c r="R715" i="2"/>
  <c r="O715" i="2"/>
  <c r="N715" i="2"/>
  <c r="R714" i="2"/>
  <c r="O714" i="2"/>
  <c r="N714" i="2"/>
  <c r="R713" i="2"/>
  <c r="O713" i="2"/>
  <c r="N713" i="2"/>
  <c r="R712" i="2"/>
  <c r="O712" i="2"/>
  <c r="N712" i="2"/>
  <c r="R711" i="2"/>
  <c r="O711" i="2"/>
  <c r="N711" i="2"/>
  <c r="R710" i="2"/>
  <c r="O710" i="2"/>
  <c r="N710" i="2"/>
  <c r="R709" i="2"/>
  <c r="O709" i="2"/>
  <c r="N709" i="2"/>
  <c r="R708" i="2"/>
  <c r="O708" i="2"/>
  <c r="N708" i="2"/>
  <c r="R707" i="2"/>
  <c r="O707" i="2"/>
  <c r="N707" i="2"/>
  <c r="R706" i="2"/>
  <c r="O706" i="2"/>
  <c r="N706" i="2"/>
  <c r="R705" i="2"/>
  <c r="O705" i="2"/>
  <c r="N705" i="2"/>
  <c r="R704" i="2"/>
  <c r="O704" i="2"/>
  <c r="N704" i="2"/>
  <c r="R703" i="2"/>
  <c r="O703" i="2"/>
  <c r="N703" i="2"/>
  <c r="R702" i="2"/>
  <c r="O702" i="2"/>
  <c r="N702" i="2"/>
  <c r="R701" i="2"/>
  <c r="O701" i="2"/>
  <c r="N701" i="2"/>
  <c r="R700" i="2"/>
  <c r="O700" i="2"/>
  <c r="N700" i="2"/>
  <c r="R699" i="2"/>
  <c r="O699" i="2"/>
  <c r="N699" i="2"/>
  <c r="R698" i="2"/>
  <c r="O698" i="2"/>
  <c r="N698" i="2"/>
  <c r="R697" i="2"/>
  <c r="O697" i="2"/>
  <c r="N697" i="2"/>
  <c r="R696" i="2"/>
  <c r="O696" i="2"/>
  <c r="N696" i="2"/>
  <c r="R695" i="2"/>
  <c r="O695" i="2"/>
  <c r="N695" i="2"/>
  <c r="R694" i="2"/>
  <c r="O694" i="2"/>
  <c r="N694" i="2"/>
  <c r="R693" i="2"/>
  <c r="O693" i="2"/>
  <c r="N693" i="2"/>
  <c r="R692" i="2"/>
  <c r="O692" i="2"/>
  <c r="N692" i="2"/>
  <c r="R691" i="2"/>
  <c r="O691" i="2"/>
  <c r="N691" i="2"/>
  <c r="R690" i="2"/>
  <c r="O690" i="2"/>
  <c r="N690" i="2"/>
  <c r="R689" i="2"/>
  <c r="O689" i="2"/>
  <c r="N689" i="2"/>
  <c r="R688" i="2"/>
  <c r="O688" i="2"/>
  <c r="N688" i="2"/>
  <c r="R687" i="2"/>
  <c r="O687" i="2"/>
  <c r="N687" i="2"/>
  <c r="R686" i="2"/>
  <c r="O686" i="2"/>
  <c r="N686" i="2"/>
  <c r="R685" i="2"/>
  <c r="O685" i="2"/>
  <c r="N685" i="2"/>
  <c r="R684" i="2"/>
  <c r="O684" i="2"/>
  <c r="N684" i="2"/>
  <c r="R683" i="2"/>
  <c r="O683" i="2"/>
  <c r="N683" i="2"/>
  <c r="R682" i="2"/>
  <c r="O682" i="2"/>
  <c r="N682" i="2"/>
  <c r="R681" i="2"/>
  <c r="O681" i="2"/>
  <c r="N681" i="2"/>
  <c r="R680" i="2"/>
  <c r="O680" i="2"/>
  <c r="N680" i="2"/>
  <c r="R679" i="2"/>
  <c r="O679" i="2"/>
  <c r="N679" i="2"/>
  <c r="R678" i="2"/>
  <c r="O678" i="2"/>
  <c r="N678" i="2"/>
  <c r="R677" i="2"/>
  <c r="O677" i="2"/>
  <c r="N677" i="2"/>
  <c r="R676" i="2"/>
  <c r="O676" i="2"/>
  <c r="N676" i="2"/>
  <c r="R675" i="2"/>
  <c r="O675" i="2"/>
  <c r="N675" i="2"/>
  <c r="R674" i="2"/>
  <c r="O674" i="2"/>
  <c r="N674" i="2"/>
  <c r="R673" i="2"/>
  <c r="O673" i="2"/>
  <c r="N673" i="2"/>
  <c r="R672" i="2"/>
  <c r="O672" i="2"/>
  <c r="N672" i="2"/>
  <c r="R671" i="2"/>
  <c r="O671" i="2"/>
  <c r="N671" i="2"/>
  <c r="R670" i="2"/>
  <c r="O670" i="2"/>
  <c r="N670" i="2"/>
  <c r="R669" i="2"/>
  <c r="O669" i="2"/>
  <c r="N669" i="2"/>
  <c r="R668" i="2"/>
  <c r="O668" i="2"/>
  <c r="N668" i="2"/>
  <c r="R667" i="2"/>
  <c r="O667" i="2"/>
  <c r="N667" i="2"/>
  <c r="R666" i="2"/>
  <c r="O666" i="2"/>
  <c r="N666" i="2"/>
  <c r="R665" i="2"/>
  <c r="O665" i="2"/>
  <c r="N665" i="2"/>
  <c r="R664" i="2"/>
  <c r="O664" i="2"/>
  <c r="N664" i="2"/>
  <c r="R663" i="2"/>
  <c r="O663" i="2"/>
  <c r="N663" i="2"/>
  <c r="R662" i="2"/>
  <c r="O662" i="2"/>
  <c r="N662" i="2"/>
  <c r="R661" i="2"/>
  <c r="O661" i="2"/>
  <c r="N661" i="2"/>
  <c r="R660" i="2"/>
  <c r="O660" i="2"/>
  <c r="N660" i="2"/>
  <c r="R659" i="2"/>
  <c r="O659" i="2"/>
  <c r="N659" i="2"/>
  <c r="R658" i="2"/>
  <c r="O658" i="2"/>
  <c r="N658" i="2"/>
  <c r="R657" i="2"/>
  <c r="O657" i="2"/>
  <c r="N657" i="2"/>
  <c r="R656" i="2"/>
  <c r="O656" i="2"/>
  <c r="N656" i="2"/>
  <c r="R655" i="2"/>
  <c r="O655" i="2"/>
  <c r="N655" i="2"/>
  <c r="R654" i="2"/>
  <c r="O654" i="2"/>
  <c r="N654" i="2"/>
  <c r="R653" i="2"/>
  <c r="O653" i="2"/>
  <c r="N653" i="2"/>
  <c r="R652" i="2"/>
  <c r="O652" i="2"/>
  <c r="N652" i="2"/>
  <c r="R651" i="2"/>
  <c r="O651" i="2"/>
  <c r="N651" i="2"/>
  <c r="R650" i="2"/>
  <c r="O650" i="2"/>
  <c r="N650" i="2"/>
  <c r="R649" i="2"/>
  <c r="O649" i="2"/>
  <c r="N649" i="2"/>
  <c r="R648" i="2"/>
  <c r="O648" i="2"/>
  <c r="N648" i="2"/>
  <c r="R647" i="2"/>
  <c r="O647" i="2"/>
  <c r="N647" i="2"/>
  <c r="R646" i="2"/>
  <c r="O646" i="2"/>
  <c r="N646" i="2"/>
  <c r="R645" i="2"/>
  <c r="O645" i="2"/>
  <c r="N645" i="2"/>
  <c r="R644" i="2"/>
  <c r="O644" i="2"/>
  <c r="N644" i="2"/>
  <c r="R643" i="2"/>
  <c r="O643" i="2"/>
  <c r="N643" i="2"/>
  <c r="R642" i="2"/>
  <c r="O642" i="2"/>
  <c r="N642" i="2"/>
  <c r="R641" i="2"/>
  <c r="O641" i="2"/>
  <c r="N641" i="2"/>
  <c r="R640" i="2"/>
  <c r="O640" i="2"/>
  <c r="N640" i="2"/>
  <c r="R639" i="2"/>
  <c r="O639" i="2"/>
  <c r="N639" i="2"/>
  <c r="R638" i="2"/>
  <c r="O638" i="2"/>
  <c r="N638" i="2"/>
  <c r="R637" i="2"/>
  <c r="O637" i="2"/>
  <c r="N637" i="2"/>
  <c r="R636" i="2"/>
  <c r="O636" i="2"/>
  <c r="N636" i="2"/>
  <c r="R635" i="2"/>
  <c r="O635" i="2"/>
  <c r="N635" i="2"/>
  <c r="R634" i="2"/>
  <c r="O634" i="2"/>
  <c r="N634" i="2"/>
  <c r="R633" i="2"/>
  <c r="O633" i="2"/>
  <c r="N633" i="2"/>
  <c r="R632" i="2"/>
  <c r="O632" i="2"/>
  <c r="N632" i="2"/>
  <c r="R631" i="2"/>
  <c r="O631" i="2"/>
  <c r="N631" i="2"/>
  <c r="R630" i="2"/>
  <c r="O630" i="2"/>
  <c r="N630" i="2"/>
  <c r="R629" i="2"/>
  <c r="O629" i="2"/>
  <c r="N629" i="2"/>
  <c r="R628" i="2"/>
  <c r="O628" i="2"/>
  <c r="N628" i="2"/>
  <c r="R627" i="2"/>
  <c r="O627" i="2"/>
  <c r="N627" i="2"/>
  <c r="R626" i="2"/>
  <c r="O626" i="2"/>
  <c r="N626" i="2"/>
  <c r="R625" i="2"/>
  <c r="O625" i="2"/>
  <c r="N625" i="2"/>
  <c r="R624" i="2"/>
  <c r="O624" i="2"/>
  <c r="N624" i="2"/>
  <c r="R623" i="2"/>
  <c r="O623" i="2"/>
  <c r="N623" i="2"/>
  <c r="R622" i="2"/>
  <c r="O622" i="2"/>
  <c r="N622" i="2"/>
  <c r="R621" i="2"/>
  <c r="O621" i="2"/>
  <c r="N621" i="2"/>
  <c r="R620" i="2"/>
  <c r="O620" i="2"/>
  <c r="N620" i="2"/>
  <c r="R619" i="2"/>
  <c r="O619" i="2"/>
  <c r="N619" i="2"/>
  <c r="R618" i="2"/>
  <c r="O618" i="2"/>
  <c r="N618" i="2"/>
  <c r="R617" i="2"/>
  <c r="O617" i="2"/>
  <c r="N617" i="2"/>
  <c r="R616" i="2"/>
  <c r="O616" i="2"/>
  <c r="N616" i="2"/>
  <c r="R615" i="2"/>
  <c r="O615" i="2"/>
  <c r="N615" i="2"/>
  <c r="R614" i="2"/>
  <c r="O614" i="2"/>
  <c r="N614" i="2"/>
  <c r="R613" i="2"/>
  <c r="O613" i="2"/>
  <c r="N613" i="2"/>
  <c r="R612" i="2"/>
  <c r="O612" i="2"/>
  <c r="N612" i="2"/>
  <c r="R611" i="2"/>
  <c r="O611" i="2"/>
  <c r="N611" i="2"/>
  <c r="R610" i="2"/>
  <c r="O610" i="2"/>
  <c r="N610" i="2"/>
  <c r="R609" i="2"/>
  <c r="O609" i="2"/>
  <c r="N609" i="2"/>
  <c r="R608" i="2"/>
  <c r="O608" i="2"/>
  <c r="N608" i="2"/>
  <c r="R607" i="2"/>
  <c r="O607" i="2"/>
  <c r="N607" i="2"/>
  <c r="R606" i="2"/>
  <c r="O606" i="2"/>
  <c r="N606" i="2"/>
  <c r="R605" i="2"/>
  <c r="O605" i="2"/>
  <c r="N605" i="2"/>
  <c r="R604" i="2"/>
  <c r="O604" i="2"/>
  <c r="N604" i="2"/>
  <c r="R603" i="2"/>
  <c r="O603" i="2"/>
  <c r="N603" i="2"/>
  <c r="R602" i="2"/>
  <c r="O602" i="2"/>
  <c r="N602" i="2"/>
  <c r="R601" i="2"/>
  <c r="O601" i="2"/>
  <c r="N601" i="2"/>
  <c r="R600" i="2"/>
  <c r="O600" i="2"/>
  <c r="N600" i="2"/>
  <c r="R599" i="2"/>
  <c r="O599" i="2"/>
  <c r="N599" i="2"/>
  <c r="R598" i="2"/>
  <c r="O598" i="2"/>
  <c r="N598" i="2"/>
  <c r="R597" i="2"/>
  <c r="O597" i="2"/>
  <c r="N597" i="2"/>
  <c r="R596" i="2"/>
  <c r="O596" i="2"/>
  <c r="N596" i="2"/>
  <c r="R595" i="2"/>
  <c r="O595" i="2"/>
  <c r="N595" i="2"/>
  <c r="R594" i="2"/>
  <c r="O594" i="2"/>
  <c r="N594" i="2"/>
  <c r="R593" i="2"/>
  <c r="O593" i="2"/>
  <c r="N593" i="2"/>
  <c r="R592" i="2"/>
  <c r="O592" i="2"/>
  <c r="N592" i="2"/>
  <c r="R591" i="2"/>
  <c r="O591" i="2"/>
  <c r="N591" i="2"/>
  <c r="R590" i="2"/>
  <c r="O590" i="2"/>
  <c r="N590" i="2"/>
  <c r="R589" i="2"/>
  <c r="O589" i="2"/>
  <c r="N589" i="2"/>
  <c r="R588" i="2"/>
  <c r="O588" i="2"/>
  <c r="N588" i="2"/>
  <c r="R587" i="2"/>
  <c r="O587" i="2"/>
  <c r="N587" i="2"/>
  <c r="R586" i="2"/>
  <c r="O586" i="2"/>
  <c r="N586" i="2"/>
  <c r="R585" i="2"/>
  <c r="O585" i="2"/>
  <c r="N585" i="2"/>
  <c r="R584" i="2"/>
  <c r="O584" i="2"/>
  <c r="N584" i="2"/>
  <c r="R583" i="2"/>
  <c r="O583" i="2"/>
  <c r="N583" i="2"/>
  <c r="R582" i="2"/>
  <c r="O582" i="2"/>
  <c r="N582" i="2"/>
  <c r="R581" i="2"/>
  <c r="O581" i="2"/>
  <c r="N581" i="2"/>
  <c r="R580" i="2"/>
  <c r="O580" i="2"/>
  <c r="N580" i="2"/>
  <c r="R579" i="2"/>
  <c r="O579" i="2"/>
  <c r="N579" i="2"/>
  <c r="R578" i="2"/>
  <c r="O578" i="2"/>
  <c r="N578" i="2"/>
  <c r="R577" i="2"/>
  <c r="O577" i="2"/>
  <c r="N577" i="2"/>
  <c r="R576" i="2"/>
  <c r="O576" i="2"/>
  <c r="N576" i="2"/>
  <c r="R575" i="2"/>
  <c r="O575" i="2"/>
  <c r="N575" i="2"/>
  <c r="R574" i="2"/>
  <c r="O574" i="2"/>
  <c r="N574" i="2"/>
  <c r="R573" i="2"/>
  <c r="O573" i="2"/>
  <c r="N573" i="2"/>
  <c r="R572" i="2"/>
  <c r="O572" i="2"/>
  <c r="N572" i="2"/>
  <c r="R571" i="2"/>
  <c r="O571" i="2"/>
  <c r="N571" i="2"/>
  <c r="R570" i="2"/>
  <c r="O570" i="2"/>
  <c r="N570" i="2"/>
  <c r="R569" i="2"/>
  <c r="O569" i="2"/>
  <c r="N569" i="2"/>
  <c r="R568" i="2"/>
  <c r="O568" i="2"/>
  <c r="N568" i="2"/>
  <c r="R567" i="2"/>
  <c r="O567" i="2"/>
  <c r="N567" i="2"/>
  <c r="R566" i="2"/>
  <c r="O566" i="2"/>
  <c r="N566" i="2"/>
  <c r="R565" i="2"/>
  <c r="O565" i="2"/>
  <c r="N565" i="2"/>
  <c r="R564" i="2"/>
  <c r="O564" i="2"/>
  <c r="N564" i="2"/>
  <c r="R563" i="2"/>
  <c r="O563" i="2"/>
  <c r="N563" i="2"/>
  <c r="R562" i="2"/>
  <c r="O562" i="2"/>
  <c r="N562" i="2"/>
  <c r="R561" i="2"/>
  <c r="O561" i="2"/>
  <c r="N561" i="2"/>
  <c r="R560" i="2"/>
  <c r="O560" i="2"/>
  <c r="N560" i="2"/>
  <c r="R559" i="2"/>
  <c r="O559" i="2"/>
  <c r="N559" i="2"/>
  <c r="R558" i="2"/>
  <c r="O558" i="2"/>
  <c r="N558" i="2"/>
  <c r="R557" i="2"/>
  <c r="O557" i="2"/>
  <c r="N557" i="2"/>
  <c r="R556" i="2"/>
  <c r="O556" i="2"/>
  <c r="N556" i="2"/>
  <c r="R555" i="2"/>
  <c r="O555" i="2"/>
  <c r="N555" i="2"/>
  <c r="R554" i="2"/>
  <c r="O554" i="2"/>
  <c r="N554" i="2"/>
  <c r="R553" i="2"/>
  <c r="O553" i="2"/>
  <c r="N553" i="2"/>
  <c r="R552" i="2"/>
  <c r="O552" i="2"/>
  <c r="N552" i="2"/>
  <c r="R551" i="2"/>
  <c r="O551" i="2"/>
  <c r="N551" i="2"/>
  <c r="R550" i="2"/>
  <c r="O550" i="2"/>
  <c r="N550" i="2"/>
  <c r="R549" i="2"/>
  <c r="O549" i="2"/>
  <c r="N549" i="2"/>
  <c r="R548" i="2"/>
  <c r="O548" i="2"/>
  <c r="N548" i="2"/>
  <c r="R547" i="2"/>
  <c r="O547" i="2"/>
  <c r="N547" i="2"/>
  <c r="R546" i="2"/>
  <c r="O546" i="2"/>
  <c r="N546" i="2"/>
  <c r="R545" i="2"/>
  <c r="O545" i="2"/>
  <c r="N545" i="2"/>
  <c r="R544" i="2"/>
  <c r="O544" i="2"/>
  <c r="N544" i="2"/>
  <c r="R543" i="2"/>
  <c r="O543" i="2"/>
  <c r="N543" i="2"/>
  <c r="R542" i="2"/>
  <c r="O542" i="2"/>
  <c r="N542" i="2"/>
  <c r="R541" i="2"/>
  <c r="O541" i="2"/>
  <c r="N541" i="2"/>
  <c r="R540" i="2"/>
  <c r="O540" i="2"/>
  <c r="N540" i="2"/>
  <c r="R539" i="2"/>
  <c r="O539" i="2"/>
  <c r="N539" i="2"/>
  <c r="R538" i="2"/>
  <c r="O538" i="2"/>
  <c r="N538" i="2"/>
  <c r="R537" i="2"/>
  <c r="O537" i="2"/>
  <c r="N537" i="2"/>
  <c r="R536" i="2"/>
  <c r="O536" i="2"/>
  <c r="N536" i="2"/>
  <c r="R535" i="2"/>
  <c r="O535" i="2"/>
  <c r="N535" i="2"/>
  <c r="R534" i="2"/>
  <c r="O534" i="2"/>
  <c r="N534" i="2"/>
  <c r="R533" i="2"/>
  <c r="O533" i="2"/>
  <c r="N533" i="2"/>
  <c r="R532" i="2"/>
  <c r="O532" i="2"/>
  <c r="N532" i="2"/>
  <c r="R531" i="2"/>
  <c r="O531" i="2"/>
  <c r="N531" i="2"/>
  <c r="R530" i="2"/>
  <c r="O530" i="2"/>
  <c r="N530" i="2"/>
  <c r="R529" i="2"/>
  <c r="O529" i="2"/>
  <c r="N529" i="2"/>
  <c r="R528" i="2"/>
  <c r="O528" i="2"/>
  <c r="N528" i="2"/>
  <c r="R527" i="2"/>
  <c r="O527" i="2"/>
  <c r="N527" i="2"/>
  <c r="R526" i="2"/>
  <c r="O526" i="2"/>
  <c r="N526" i="2"/>
  <c r="R525" i="2"/>
  <c r="O525" i="2"/>
  <c r="N525" i="2"/>
  <c r="R524" i="2"/>
  <c r="O524" i="2"/>
  <c r="N524" i="2"/>
  <c r="R523" i="2"/>
  <c r="O523" i="2"/>
  <c r="N523" i="2"/>
  <c r="R522" i="2"/>
  <c r="O522" i="2"/>
  <c r="N522" i="2"/>
  <c r="R521" i="2"/>
  <c r="O521" i="2"/>
  <c r="N521" i="2"/>
  <c r="R520" i="2"/>
  <c r="O520" i="2"/>
  <c r="N520" i="2"/>
  <c r="R519" i="2"/>
  <c r="O519" i="2"/>
  <c r="N519" i="2"/>
  <c r="R518" i="2"/>
  <c r="O518" i="2"/>
  <c r="N518" i="2"/>
  <c r="R517" i="2"/>
  <c r="O517" i="2"/>
  <c r="N517" i="2"/>
  <c r="R516" i="2"/>
  <c r="O516" i="2"/>
  <c r="N516" i="2"/>
  <c r="R515" i="2"/>
  <c r="O515" i="2"/>
  <c r="N515" i="2"/>
  <c r="R514" i="2"/>
  <c r="O514" i="2"/>
  <c r="N514" i="2"/>
  <c r="R513" i="2"/>
  <c r="O513" i="2"/>
  <c r="N513" i="2"/>
  <c r="R512" i="2"/>
  <c r="O512" i="2"/>
  <c r="N512" i="2"/>
  <c r="R511" i="2"/>
  <c r="O511" i="2"/>
  <c r="N511" i="2"/>
  <c r="R510" i="2"/>
  <c r="O510" i="2"/>
  <c r="N510" i="2"/>
  <c r="R509" i="2"/>
  <c r="O509" i="2"/>
  <c r="N509" i="2"/>
  <c r="R508" i="2"/>
  <c r="O508" i="2"/>
  <c r="N508" i="2"/>
  <c r="R507" i="2"/>
  <c r="O507" i="2"/>
  <c r="N507" i="2"/>
  <c r="R506" i="2"/>
  <c r="O506" i="2"/>
  <c r="N506" i="2"/>
  <c r="R505" i="2"/>
  <c r="O505" i="2"/>
  <c r="N505" i="2"/>
  <c r="R504" i="2"/>
  <c r="O504" i="2"/>
  <c r="N504" i="2"/>
  <c r="R503" i="2"/>
  <c r="O503" i="2"/>
  <c r="N503" i="2"/>
  <c r="R502" i="2"/>
  <c r="O502" i="2"/>
  <c r="N502" i="2"/>
  <c r="R501" i="2"/>
  <c r="O501" i="2"/>
  <c r="N501" i="2"/>
  <c r="R500" i="2"/>
  <c r="O500" i="2"/>
  <c r="N500" i="2"/>
  <c r="R499" i="2"/>
  <c r="O499" i="2"/>
  <c r="N499" i="2"/>
  <c r="R498" i="2"/>
  <c r="O498" i="2"/>
  <c r="N498" i="2"/>
  <c r="R497" i="2"/>
  <c r="O497" i="2"/>
  <c r="N497" i="2"/>
  <c r="R496" i="2"/>
  <c r="O496" i="2"/>
  <c r="N496" i="2"/>
  <c r="R495" i="2"/>
  <c r="O495" i="2"/>
  <c r="N495" i="2"/>
  <c r="R494" i="2"/>
  <c r="O494" i="2"/>
  <c r="N494" i="2"/>
  <c r="R493" i="2"/>
  <c r="O493" i="2"/>
  <c r="N493" i="2"/>
  <c r="R492" i="2"/>
  <c r="O492" i="2"/>
  <c r="N492" i="2"/>
  <c r="R491" i="2"/>
  <c r="O491" i="2"/>
  <c r="N491" i="2"/>
  <c r="R490" i="2"/>
  <c r="O490" i="2"/>
  <c r="N490" i="2"/>
  <c r="R489" i="2"/>
  <c r="O489" i="2"/>
  <c r="N489" i="2"/>
  <c r="R488" i="2"/>
  <c r="O488" i="2"/>
  <c r="N488" i="2"/>
  <c r="R487" i="2"/>
  <c r="O487" i="2"/>
  <c r="N487" i="2"/>
  <c r="R486" i="2"/>
  <c r="O486" i="2"/>
  <c r="N486" i="2"/>
  <c r="R485" i="2"/>
  <c r="O485" i="2"/>
  <c r="N485" i="2"/>
  <c r="R484" i="2"/>
  <c r="O484" i="2"/>
  <c r="N484" i="2"/>
  <c r="R483" i="2"/>
  <c r="O483" i="2"/>
  <c r="N483" i="2"/>
  <c r="R482" i="2"/>
  <c r="O482" i="2"/>
  <c r="N482" i="2"/>
  <c r="R481" i="2"/>
  <c r="O481" i="2"/>
  <c r="N481" i="2"/>
  <c r="R480" i="2"/>
  <c r="O480" i="2"/>
  <c r="N480" i="2"/>
  <c r="R479" i="2"/>
  <c r="O479" i="2"/>
  <c r="N479" i="2"/>
  <c r="R478" i="2"/>
  <c r="O478" i="2"/>
  <c r="N478" i="2"/>
  <c r="R477" i="2"/>
  <c r="O477" i="2"/>
  <c r="N477" i="2"/>
  <c r="R476" i="2"/>
  <c r="O476" i="2"/>
  <c r="N476" i="2"/>
  <c r="R475" i="2"/>
  <c r="O475" i="2"/>
  <c r="N475" i="2"/>
  <c r="R474" i="2"/>
  <c r="O474" i="2"/>
  <c r="N474" i="2"/>
  <c r="R473" i="2"/>
  <c r="O473" i="2"/>
  <c r="N473" i="2"/>
  <c r="R472" i="2"/>
  <c r="O472" i="2"/>
  <c r="N472" i="2"/>
  <c r="R471" i="2"/>
  <c r="O471" i="2"/>
  <c r="N471" i="2"/>
  <c r="R470" i="2"/>
  <c r="O470" i="2"/>
  <c r="N470" i="2"/>
  <c r="R469" i="2"/>
  <c r="O469" i="2"/>
  <c r="N469" i="2"/>
  <c r="R468" i="2"/>
  <c r="O468" i="2"/>
  <c r="N468" i="2"/>
  <c r="R467" i="2"/>
  <c r="O467" i="2"/>
  <c r="N467" i="2"/>
  <c r="R466" i="2"/>
  <c r="O466" i="2"/>
  <c r="N466" i="2"/>
  <c r="R465" i="2"/>
  <c r="O465" i="2"/>
  <c r="N465" i="2"/>
  <c r="R464" i="2"/>
  <c r="O464" i="2"/>
  <c r="N464" i="2"/>
  <c r="R463" i="2"/>
  <c r="O463" i="2"/>
  <c r="N463" i="2"/>
  <c r="R462" i="2"/>
  <c r="O462" i="2"/>
  <c r="N462" i="2"/>
  <c r="R461" i="2"/>
  <c r="O461" i="2"/>
  <c r="N461" i="2"/>
  <c r="R460" i="2"/>
  <c r="O460" i="2"/>
  <c r="N460" i="2"/>
  <c r="R459" i="2"/>
  <c r="O459" i="2"/>
  <c r="N459" i="2"/>
  <c r="R458" i="2"/>
  <c r="O458" i="2"/>
  <c r="N458" i="2"/>
  <c r="R457" i="2"/>
  <c r="O457" i="2"/>
  <c r="N457" i="2"/>
  <c r="R456" i="2"/>
  <c r="O456" i="2"/>
  <c r="N456" i="2"/>
  <c r="R455" i="2"/>
  <c r="O455" i="2"/>
  <c r="N455" i="2"/>
  <c r="R454" i="2"/>
  <c r="O454" i="2"/>
  <c r="N454" i="2"/>
  <c r="R453" i="2"/>
  <c r="O453" i="2"/>
  <c r="N453" i="2"/>
  <c r="R452" i="2"/>
  <c r="O452" i="2"/>
  <c r="N452" i="2"/>
  <c r="R451" i="2"/>
  <c r="O451" i="2"/>
  <c r="N451" i="2"/>
  <c r="R450" i="2"/>
  <c r="O450" i="2"/>
  <c r="N450" i="2"/>
  <c r="R449" i="2"/>
  <c r="O449" i="2"/>
  <c r="N449" i="2"/>
  <c r="R448" i="2"/>
  <c r="O448" i="2"/>
  <c r="N448" i="2"/>
  <c r="R447" i="2"/>
  <c r="O447" i="2"/>
  <c r="N447" i="2"/>
  <c r="R446" i="2"/>
  <c r="O446" i="2"/>
  <c r="N446" i="2"/>
  <c r="R445" i="2"/>
  <c r="O445" i="2"/>
  <c r="N445" i="2"/>
  <c r="R444" i="2"/>
  <c r="O444" i="2"/>
  <c r="N444" i="2"/>
  <c r="R443" i="2"/>
  <c r="O443" i="2"/>
  <c r="N443" i="2"/>
  <c r="R442" i="2"/>
  <c r="O442" i="2"/>
  <c r="N442" i="2"/>
  <c r="R441" i="2"/>
  <c r="O441" i="2"/>
  <c r="N441" i="2"/>
  <c r="R440" i="2"/>
  <c r="O440" i="2"/>
  <c r="N440" i="2"/>
  <c r="R439" i="2"/>
  <c r="O439" i="2"/>
  <c r="N439" i="2"/>
  <c r="R438" i="2"/>
  <c r="O438" i="2"/>
  <c r="N438" i="2"/>
  <c r="R437" i="2"/>
  <c r="O437" i="2"/>
  <c r="N437" i="2"/>
  <c r="R436" i="2"/>
  <c r="O436" i="2"/>
  <c r="N436" i="2"/>
  <c r="R435" i="2"/>
  <c r="O435" i="2"/>
  <c r="N435" i="2"/>
  <c r="R434" i="2"/>
  <c r="O434" i="2"/>
  <c r="N434" i="2"/>
  <c r="R433" i="2"/>
  <c r="O433" i="2"/>
  <c r="N433" i="2"/>
  <c r="R432" i="2"/>
  <c r="O432" i="2"/>
  <c r="N432" i="2"/>
  <c r="R431" i="2"/>
  <c r="O431" i="2"/>
  <c r="N431" i="2"/>
  <c r="R430" i="2"/>
  <c r="O430" i="2"/>
  <c r="N430" i="2"/>
  <c r="R429" i="2"/>
  <c r="O429" i="2"/>
  <c r="N429" i="2"/>
  <c r="R428" i="2"/>
  <c r="O428" i="2"/>
  <c r="N428" i="2"/>
  <c r="R427" i="2"/>
  <c r="O427" i="2"/>
  <c r="N427" i="2"/>
  <c r="R426" i="2"/>
  <c r="O426" i="2"/>
  <c r="N426" i="2"/>
  <c r="R425" i="2"/>
  <c r="O425" i="2"/>
  <c r="N425" i="2"/>
  <c r="R424" i="2"/>
  <c r="O424" i="2"/>
  <c r="N424" i="2"/>
  <c r="R423" i="2"/>
  <c r="O423" i="2"/>
  <c r="N423" i="2"/>
  <c r="R422" i="2"/>
  <c r="O422" i="2"/>
  <c r="N422" i="2"/>
  <c r="R421" i="2"/>
  <c r="O421" i="2"/>
  <c r="N421" i="2"/>
  <c r="R420" i="2"/>
  <c r="O420" i="2"/>
  <c r="N420" i="2"/>
  <c r="R419" i="2"/>
  <c r="O419" i="2"/>
  <c r="N419" i="2"/>
  <c r="R418" i="2"/>
  <c r="O418" i="2"/>
  <c r="N418" i="2"/>
  <c r="R417" i="2"/>
  <c r="O417" i="2"/>
  <c r="N417" i="2"/>
  <c r="R416" i="2"/>
  <c r="O416" i="2"/>
  <c r="N416" i="2"/>
  <c r="R415" i="2"/>
  <c r="O415" i="2"/>
  <c r="N415" i="2"/>
  <c r="R414" i="2"/>
  <c r="O414" i="2"/>
  <c r="N414" i="2"/>
  <c r="R413" i="2"/>
  <c r="O413" i="2"/>
  <c r="N413" i="2"/>
  <c r="R412" i="2"/>
  <c r="O412" i="2"/>
  <c r="N412" i="2"/>
  <c r="R411" i="2"/>
  <c r="O411" i="2"/>
  <c r="N411" i="2"/>
  <c r="R410" i="2"/>
  <c r="O410" i="2"/>
  <c r="N410" i="2"/>
  <c r="R409" i="2"/>
  <c r="O409" i="2"/>
  <c r="N409" i="2"/>
  <c r="R408" i="2"/>
  <c r="O408" i="2"/>
  <c r="N408" i="2"/>
  <c r="R407" i="2"/>
  <c r="O407" i="2"/>
  <c r="N407" i="2"/>
  <c r="R406" i="2"/>
  <c r="O406" i="2"/>
  <c r="N406" i="2"/>
  <c r="R405" i="2"/>
  <c r="O405" i="2"/>
  <c r="N405" i="2"/>
  <c r="R404" i="2"/>
  <c r="O404" i="2"/>
  <c r="N404" i="2"/>
  <c r="R403" i="2"/>
  <c r="O403" i="2"/>
  <c r="N403" i="2"/>
  <c r="R402" i="2"/>
  <c r="O402" i="2"/>
  <c r="N402" i="2"/>
  <c r="R401" i="2"/>
  <c r="O401" i="2"/>
  <c r="N401" i="2"/>
  <c r="R400" i="2"/>
  <c r="O400" i="2"/>
  <c r="N400" i="2"/>
  <c r="R399" i="2"/>
  <c r="O399" i="2"/>
  <c r="N399" i="2"/>
  <c r="R398" i="2"/>
  <c r="O398" i="2"/>
  <c r="N398" i="2"/>
  <c r="R397" i="2"/>
  <c r="O397" i="2"/>
  <c r="N397" i="2"/>
  <c r="R396" i="2"/>
  <c r="O396" i="2"/>
  <c r="N396" i="2"/>
  <c r="R395" i="2"/>
  <c r="O395" i="2"/>
  <c r="N395" i="2"/>
  <c r="R394" i="2"/>
  <c r="O394" i="2"/>
  <c r="N394" i="2"/>
  <c r="R393" i="2"/>
  <c r="O393" i="2"/>
  <c r="N393" i="2"/>
  <c r="R392" i="2"/>
  <c r="O392" i="2"/>
  <c r="N392" i="2"/>
  <c r="R391" i="2"/>
  <c r="O391" i="2"/>
  <c r="N391" i="2"/>
  <c r="R390" i="2"/>
  <c r="O390" i="2"/>
  <c r="N390" i="2"/>
  <c r="R389" i="2"/>
  <c r="O389" i="2"/>
  <c r="N389" i="2"/>
  <c r="R388" i="2"/>
  <c r="O388" i="2"/>
  <c r="N388" i="2"/>
  <c r="R387" i="2"/>
  <c r="O387" i="2"/>
  <c r="N387" i="2"/>
  <c r="R386" i="2"/>
  <c r="O386" i="2"/>
  <c r="N386" i="2"/>
  <c r="R385" i="2"/>
  <c r="O385" i="2"/>
  <c r="N385" i="2"/>
  <c r="R384" i="2"/>
  <c r="O384" i="2"/>
  <c r="N384" i="2"/>
  <c r="R383" i="2"/>
  <c r="O383" i="2"/>
  <c r="N383" i="2"/>
  <c r="R382" i="2"/>
  <c r="O382" i="2"/>
  <c r="N382" i="2"/>
  <c r="R381" i="2"/>
  <c r="O381" i="2"/>
  <c r="N381" i="2"/>
  <c r="R380" i="2"/>
  <c r="O380" i="2"/>
  <c r="N380" i="2"/>
  <c r="R379" i="2"/>
  <c r="O379" i="2"/>
  <c r="N379" i="2"/>
  <c r="R378" i="2"/>
  <c r="O378" i="2"/>
  <c r="N378" i="2"/>
  <c r="R377" i="2"/>
  <c r="O377" i="2"/>
  <c r="N377" i="2"/>
  <c r="R376" i="2"/>
  <c r="O376" i="2"/>
  <c r="N376" i="2"/>
  <c r="R375" i="2"/>
  <c r="O375" i="2"/>
  <c r="N375" i="2"/>
  <c r="R374" i="2"/>
  <c r="O374" i="2"/>
  <c r="N374" i="2"/>
  <c r="R373" i="2"/>
  <c r="O373" i="2"/>
  <c r="N373" i="2"/>
  <c r="R372" i="2"/>
  <c r="O372" i="2"/>
  <c r="N372" i="2"/>
  <c r="R371" i="2"/>
  <c r="O371" i="2"/>
  <c r="N371" i="2"/>
  <c r="R370" i="2"/>
  <c r="O370" i="2"/>
  <c r="N370" i="2"/>
  <c r="R369" i="2"/>
  <c r="O369" i="2"/>
  <c r="N369" i="2"/>
  <c r="R368" i="2"/>
  <c r="O368" i="2"/>
  <c r="N368" i="2"/>
  <c r="R367" i="2"/>
  <c r="O367" i="2"/>
  <c r="N367" i="2"/>
  <c r="R366" i="2"/>
  <c r="O366" i="2"/>
  <c r="N366" i="2"/>
  <c r="R365" i="2"/>
  <c r="O365" i="2"/>
  <c r="N365" i="2"/>
  <c r="R364" i="2"/>
  <c r="O364" i="2"/>
  <c r="N364" i="2"/>
  <c r="R363" i="2"/>
  <c r="O363" i="2"/>
  <c r="N363" i="2"/>
  <c r="R362" i="2"/>
  <c r="O362" i="2"/>
  <c r="N362" i="2"/>
  <c r="R361" i="2"/>
  <c r="O361" i="2"/>
  <c r="N361" i="2"/>
  <c r="R360" i="2"/>
  <c r="O360" i="2"/>
  <c r="N360" i="2"/>
  <c r="R359" i="2"/>
  <c r="O359" i="2"/>
  <c r="N359" i="2"/>
  <c r="R358" i="2"/>
  <c r="O358" i="2"/>
  <c r="N358" i="2"/>
  <c r="R357" i="2"/>
  <c r="O357" i="2"/>
  <c r="N357" i="2"/>
  <c r="R356" i="2"/>
  <c r="O356" i="2"/>
  <c r="N356" i="2"/>
  <c r="R355" i="2"/>
  <c r="O355" i="2"/>
  <c r="N355" i="2"/>
  <c r="R354" i="2"/>
  <c r="O354" i="2"/>
  <c r="N354" i="2"/>
  <c r="R353" i="2"/>
  <c r="O353" i="2"/>
  <c r="N353" i="2"/>
  <c r="R352" i="2"/>
  <c r="O352" i="2"/>
  <c r="N352" i="2"/>
  <c r="R351" i="2"/>
  <c r="O351" i="2"/>
  <c r="N351" i="2"/>
  <c r="R350" i="2"/>
  <c r="O350" i="2"/>
  <c r="N350" i="2"/>
  <c r="R349" i="2"/>
  <c r="O349" i="2"/>
  <c r="N349" i="2"/>
  <c r="R348" i="2"/>
  <c r="O348" i="2"/>
  <c r="N348" i="2"/>
  <c r="R347" i="2"/>
  <c r="O347" i="2"/>
  <c r="N347" i="2"/>
  <c r="R346" i="2"/>
  <c r="O346" i="2"/>
  <c r="N346" i="2"/>
  <c r="R345" i="2"/>
  <c r="O345" i="2"/>
  <c r="N345" i="2"/>
  <c r="R344" i="2"/>
  <c r="O344" i="2"/>
  <c r="N344" i="2"/>
  <c r="R343" i="2"/>
  <c r="O343" i="2"/>
  <c r="N343" i="2"/>
  <c r="R342" i="2"/>
  <c r="O342" i="2"/>
  <c r="N342" i="2"/>
  <c r="R341" i="2"/>
  <c r="O341" i="2"/>
  <c r="N341" i="2"/>
  <c r="R340" i="2"/>
  <c r="O340" i="2"/>
  <c r="N340" i="2"/>
  <c r="R339" i="2"/>
  <c r="O339" i="2"/>
  <c r="N339" i="2"/>
  <c r="R338" i="2"/>
  <c r="O338" i="2"/>
  <c r="N338" i="2"/>
  <c r="R337" i="2"/>
  <c r="O337" i="2"/>
  <c r="N337" i="2"/>
  <c r="R336" i="2"/>
  <c r="O336" i="2"/>
  <c r="N336" i="2"/>
  <c r="R335" i="2"/>
  <c r="O335" i="2"/>
  <c r="N335" i="2"/>
  <c r="R334" i="2"/>
  <c r="O334" i="2"/>
  <c r="N334" i="2"/>
  <c r="R333" i="2"/>
  <c r="O333" i="2"/>
  <c r="N333" i="2"/>
  <c r="R332" i="2"/>
  <c r="O332" i="2"/>
  <c r="N332" i="2"/>
  <c r="R331" i="2"/>
  <c r="O331" i="2"/>
  <c r="N331" i="2"/>
  <c r="R330" i="2"/>
  <c r="O330" i="2"/>
  <c r="N330" i="2"/>
  <c r="R329" i="2"/>
  <c r="O329" i="2"/>
  <c r="N329" i="2"/>
  <c r="R328" i="2"/>
  <c r="O328" i="2"/>
  <c r="N328" i="2"/>
  <c r="R327" i="2"/>
  <c r="O327" i="2"/>
  <c r="N327" i="2"/>
  <c r="R326" i="2"/>
  <c r="O326" i="2"/>
  <c r="N326" i="2"/>
  <c r="R325" i="2"/>
  <c r="O325" i="2"/>
  <c r="N325" i="2"/>
  <c r="R324" i="2"/>
  <c r="O324" i="2"/>
  <c r="N324" i="2"/>
  <c r="R323" i="2"/>
  <c r="O323" i="2"/>
  <c r="N323" i="2"/>
  <c r="R322" i="2"/>
  <c r="O322" i="2"/>
  <c r="N322" i="2"/>
  <c r="R321" i="2"/>
  <c r="O321" i="2"/>
  <c r="N321" i="2"/>
  <c r="R320" i="2"/>
  <c r="O320" i="2"/>
  <c r="N320" i="2"/>
  <c r="R319" i="2"/>
  <c r="O319" i="2"/>
  <c r="N319" i="2"/>
  <c r="R318" i="2"/>
  <c r="O318" i="2"/>
  <c r="N318" i="2"/>
  <c r="R317" i="2"/>
  <c r="O317" i="2"/>
  <c r="N317" i="2"/>
  <c r="R316" i="2"/>
  <c r="O316" i="2"/>
  <c r="N316" i="2"/>
  <c r="R315" i="2"/>
  <c r="O315" i="2"/>
  <c r="N315" i="2"/>
  <c r="R314" i="2"/>
  <c r="O314" i="2"/>
  <c r="N314" i="2"/>
  <c r="R313" i="2"/>
  <c r="O313" i="2"/>
  <c r="N313" i="2"/>
  <c r="R312" i="2"/>
  <c r="O312" i="2"/>
  <c r="N312" i="2"/>
  <c r="R311" i="2"/>
  <c r="O311" i="2"/>
  <c r="N311" i="2"/>
  <c r="R310" i="2"/>
  <c r="O310" i="2"/>
  <c r="N310" i="2"/>
  <c r="R309" i="2"/>
  <c r="O309" i="2"/>
  <c r="N309" i="2"/>
  <c r="R308" i="2"/>
  <c r="O308" i="2"/>
  <c r="N308" i="2"/>
  <c r="R307" i="2"/>
  <c r="O307" i="2"/>
  <c r="N307" i="2"/>
  <c r="R306" i="2"/>
  <c r="O306" i="2"/>
  <c r="N306" i="2"/>
  <c r="R305" i="2"/>
  <c r="O305" i="2"/>
  <c r="N305" i="2"/>
  <c r="R304" i="2"/>
  <c r="O304" i="2"/>
  <c r="N304" i="2"/>
  <c r="R303" i="2"/>
  <c r="O303" i="2"/>
  <c r="N303" i="2"/>
  <c r="R302" i="2"/>
  <c r="O302" i="2"/>
  <c r="N302" i="2"/>
  <c r="R301" i="2"/>
  <c r="O301" i="2"/>
  <c r="N301" i="2"/>
  <c r="R300" i="2"/>
  <c r="O300" i="2"/>
  <c r="N300" i="2"/>
  <c r="R299" i="2"/>
  <c r="O299" i="2"/>
  <c r="N299" i="2"/>
  <c r="R298" i="2"/>
  <c r="O298" i="2"/>
  <c r="N298" i="2"/>
  <c r="R297" i="2"/>
  <c r="O297" i="2"/>
  <c r="N297" i="2"/>
  <c r="R296" i="2"/>
  <c r="O296" i="2"/>
  <c r="N296" i="2"/>
  <c r="R295" i="2"/>
  <c r="O295" i="2"/>
  <c r="N295" i="2"/>
  <c r="R294" i="2"/>
  <c r="O294" i="2"/>
  <c r="N294" i="2"/>
  <c r="R293" i="2"/>
  <c r="O293" i="2"/>
  <c r="N293" i="2"/>
  <c r="R292" i="2"/>
  <c r="O292" i="2"/>
  <c r="N292" i="2"/>
  <c r="R291" i="2"/>
  <c r="O291" i="2"/>
  <c r="N291" i="2"/>
  <c r="R290" i="2"/>
  <c r="O290" i="2"/>
  <c r="N290" i="2"/>
  <c r="R289" i="2"/>
  <c r="O289" i="2"/>
  <c r="N289" i="2"/>
  <c r="R288" i="2"/>
  <c r="O288" i="2"/>
  <c r="N288" i="2"/>
  <c r="R287" i="2"/>
  <c r="O287" i="2"/>
  <c r="N287" i="2"/>
  <c r="R286" i="2"/>
  <c r="O286" i="2"/>
  <c r="N286" i="2"/>
  <c r="R285" i="2"/>
  <c r="O285" i="2"/>
  <c r="N285" i="2"/>
  <c r="R284" i="2"/>
  <c r="O284" i="2"/>
  <c r="N284" i="2"/>
  <c r="R283" i="2"/>
  <c r="O283" i="2"/>
  <c r="N283" i="2"/>
  <c r="R282" i="2"/>
  <c r="O282" i="2"/>
  <c r="N282" i="2"/>
  <c r="R281" i="2"/>
  <c r="O281" i="2"/>
  <c r="N281" i="2"/>
  <c r="R280" i="2"/>
  <c r="O280" i="2"/>
  <c r="N280" i="2"/>
  <c r="R279" i="2"/>
  <c r="O279" i="2"/>
  <c r="N279" i="2"/>
  <c r="R278" i="2"/>
  <c r="O278" i="2"/>
  <c r="N278" i="2"/>
  <c r="R277" i="2"/>
  <c r="O277" i="2"/>
  <c r="N277" i="2"/>
  <c r="R276" i="2"/>
  <c r="O276" i="2"/>
  <c r="N276" i="2"/>
  <c r="R275" i="2"/>
  <c r="O275" i="2"/>
  <c r="N275" i="2"/>
  <c r="R274" i="2"/>
  <c r="O274" i="2"/>
  <c r="N274" i="2"/>
  <c r="R273" i="2"/>
  <c r="O273" i="2"/>
  <c r="N273" i="2"/>
  <c r="R272" i="2"/>
  <c r="O272" i="2"/>
  <c r="N272" i="2"/>
  <c r="R271" i="2"/>
  <c r="O271" i="2"/>
  <c r="N271" i="2"/>
  <c r="R270" i="2"/>
  <c r="O270" i="2"/>
  <c r="N270" i="2"/>
  <c r="R269" i="2"/>
  <c r="O269" i="2"/>
  <c r="N269" i="2"/>
  <c r="R268" i="2"/>
  <c r="O268" i="2"/>
  <c r="N268" i="2"/>
  <c r="R267" i="2"/>
  <c r="O267" i="2"/>
  <c r="N267" i="2"/>
  <c r="R266" i="2"/>
  <c r="O266" i="2"/>
  <c r="N266" i="2"/>
  <c r="R265" i="2"/>
  <c r="O265" i="2"/>
  <c r="N265" i="2"/>
  <c r="R264" i="2"/>
  <c r="O264" i="2"/>
  <c r="N264" i="2"/>
  <c r="R263" i="2"/>
  <c r="O263" i="2"/>
  <c r="N263" i="2"/>
  <c r="R262" i="2"/>
  <c r="O262" i="2"/>
  <c r="N262" i="2"/>
  <c r="R261" i="2"/>
  <c r="O261" i="2"/>
  <c r="N261" i="2"/>
  <c r="R260" i="2"/>
  <c r="O260" i="2"/>
  <c r="N260" i="2"/>
  <c r="R259" i="2"/>
  <c r="O259" i="2"/>
  <c r="N259" i="2"/>
  <c r="R258" i="2"/>
  <c r="O258" i="2"/>
  <c r="N258" i="2"/>
  <c r="R257" i="2"/>
  <c r="O257" i="2"/>
  <c r="N257" i="2"/>
  <c r="R256" i="2"/>
  <c r="O256" i="2"/>
  <c r="N256" i="2"/>
  <c r="R255" i="2"/>
  <c r="O255" i="2"/>
  <c r="N255" i="2"/>
  <c r="R254" i="2"/>
  <c r="O254" i="2"/>
  <c r="N254" i="2"/>
  <c r="R253" i="2"/>
  <c r="O253" i="2"/>
  <c r="N253" i="2"/>
  <c r="R252" i="2"/>
  <c r="O252" i="2"/>
  <c r="N252" i="2"/>
  <c r="R251" i="2"/>
  <c r="O251" i="2"/>
  <c r="N251" i="2"/>
  <c r="R250" i="2"/>
  <c r="O250" i="2"/>
  <c r="N250" i="2"/>
  <c r="R249" i="2"/>
  <c r="O249" i="2"/>
  <c r="N249" i="2"/>
  <c r="R248" i="2"/>
  <c r="O248" i="2"/>
  <c r="N248" i="2"/>
  <c r="R247" i="2"/>
  <c r="O247" i="2"/>
  <c r="N247" i="2"/>
  <c r="R246" i="2"/>
  <c r="O246" i="2"/>
  <c r="N246" i="2"/>
  <c r="R245" i="2"/>
  <c r="O245" i="2"/>
  <c r="N245" i="2"/>
  <c r="R244" i="2"/>
  <c r="O244" i="2"/>
  <c r="N244" i="2"/>
  <c r="R243" i="2"/>
  <c r="O243" i="2"/>
  <c r="N243" i="2"/>
  <c r="R242" i="2"/>
  <c r="O242" i="2"/>
  <c r="N242" i="2"/>
  <c r="R241" i="2"/>
  <c r="O241" i="2"/>
  <c r="N241" i="2"/>
  <c r="R240" i="2"/>
  <c r="O240" i="2"/>
  <c r="N240" i="2"/>
  <c r="R239" i="2"/>
  <c r="O239" i="2"/>
  <c r="N239" i="2"/>
  <c r="R238" i="2"/>
  <c r="O238" i="2"/>
  <c r="N238" i="2"/>
  <c r="R237" i="2"/>
  <c r="O237" i="2"/>
  <c r="N237" i="2"/>
  <c r="R236" i="2"/>
  <c r="O236" i="2"/>
  <c r="N236" i="2"/>
  <c r="R235" i="2"/>
  <c r="O235" i="2"/>
  <c r="N235" i="2"/>
  <c r="R234" i="2"/>
  <c r="O234" i="2"/>
  <c r="N234" i="2"/>
  <c r="R233" i="2"/>
  <c r="O233" i="2"/>
  <c r="N233" i="2"/>
  <c r="R232" i="2"/>
  <c r="O232" i="2"/>
  <c r="N232" i="2"/>
  <c r="R231" i="2"/>
  <c r="O231" i="2"/>
  <c r="N231" i="2"/>
  <c r="R230" i="2"/>
  <c r="O230" i="2"/>
  <c r="N230" i="2"/>
  <c r="R229" i="2"/>
  <c r="O229" i="2"/>
  <c r="N229" i="2"/>
  <c r="R228" i="2"/>
  <c r="O228" i="2"/>
  <c r="N228" i="2"/>
  <c r="R227" i="2"/>
  <c r="O227" i="2"/>
  <c r="N227" i="2"/>
  <c r="R226" i="2"/>
  <c r="O226" i="2"/>
  <c r="N226" i="2"/>
  <c r="R225" i="2"/>
  <c r="O225" i="2"/>
  <c r="N225" i="2"/>
  <c r="R224" i="2"/>
  <c r="O224" i="2"/>
  <c r="N224" i="2"/>
  <c r="R223" i="2"/>
  <c r="O223" i="2"/>
  <c r="N223" i="2"/>
  <c r="R222" i="2"/>
  <c r="O222" i="2"/>
  <c r="N222" i="2"/>
  <c r="R221" i="2"/>
  <c r="O221" i="2"/>
  <c r="N221" i="2"/>
  <c r="R220" i="2"/>
  <c r="O220" i="2"/>
  <c r="N220" i="2"/>
  <c r="R219" i="2"/>
  <c r="O219" i="2"/>
  <c r="N219" i="2"/>
  <c r="R218" i="2"/>
  <c r="O218" i="2"/>
  <c r="N218" i="2"/>
  <c r="R217" i="2"/>
  <c r="O217" i="2"/>
  <c r="N217" i="2"/>
  <c r="R216" i="2"/>
  <c r="O216" i="2"/>
  <c r="N216" i="2"/>
  <c r="R215" i="2"/>
  <c r="O215" i="2"/>
  <c r="N215" i="2"/>
  <c r="R214" i="2"/>
  <c r="O214" i="2"/>
  <c r="N214" i="2"/>
  <c r="R213" i="2"/>
  <c r="O213" i="2"/>
  <c r="N213" i="2"/>
  <c r="R212" i="2"/>
  <c r="O212" i="2"/>
  <c r="N212" i="2"/>
  <c r="R211" i="2"/>
  <c r="O211" i="2"/>
  <c r="N211" i="2"/>
  <c r="R210" i="2"/>
  <c r="O210" i="2"/>
  <c r="N210" i="2"/>
  <c r="R209" i="2"/>
  <c r="O209" i="2"/>
  <c r="N209" i="2"/>
  <c r="R208" i="2"/>
  <c r="O208" i="2"/>
  <c r="N208" i="2"/>
  <c r="R207" i="2"/>
  <c r="O207" i="2"/>
  <c r="N207" i="2"/>
  <c r="R206" i="2"/>
  <c r="O206" i="2"/>
  <c r="N206" i="2"/>
  <c r="R205" i="2"/>
  <c r="O205" i="2"/>
  <c r="N205" i="2"/>
  <c r="R204" i="2"/>
  <c r="O204" i="2"/>
  <c r="N204" i="2"/>
  <c r="R203" i="2"/>
  <c r="O203" i="2"/>
  <c r="N203" i="2"/>
  <c r="R202" i="2"/>
  <c r="O202" i="2"/>
  <c r="N202" i="2"/>
  <c r="R201" i="2"/>
  <c r="O201" i="2"/>
  <c r="N201" i="2"/>
  <c r="R200" i="2"/>
  <c r="O200" i="2"/>
  <c r="N200" i="2"/>
  <c r="R199" i="2"/>
  <c r="O199" i="2"/>
  <c r="N199" i="2"/>
  <c r="R198" i="2"/>
  <c r="O198" i="2"/>
  <c r="N198" i="2"/>
  <c r="R197" i="2"/>
  <c r="O197" i="2"/>
  <c r="N197" i="2"/>
  <c r="R196" i="2"/>
  <c r="O196" i="2"/>
  <c r="N196" i="2"/>
  <c r="R195" i="2"/>
  <c r="O195" i="2"/>
  <c r="N195" i="2"/>
  <c r="R194" i="2"/>
  <c r="O194" i="2"/>
  <c r="N194" i="2"/>
  <c r="R193" i="2"/>
  <c r="O193" i="2"/>
  <c r="N193" i="2"/>
  <c r="R192" i="2"/>
  <c r="O192" i="2"/>
  <c r="N192" i="2"/>
  <c r="R191" i="2"/>
  <c r="O191" i="2"/>
  <c r="N191" i="2"/>
  <c r="R190" i="2"/>
  <c r="O190" i="2"/>
  <c r="N190" i="2"/>
  <c r="R189" i="2"/>
  <c r="O189" i="2"/>
  <c r="N189" i="2"/>
  <c r="R188" i="2"/>
  <c r="O188" i="2"/>
  <c r="N188" i="2"/>
  <c r="R187" i="2"/>
  <c r="O187" i="2"/>
  <c r="N187" i="2"/>
  <c r="R186" i="2"/>
  <c r="O186" i="2"/>
  <c r="N186" i="2"/>
  <c r="R185" i="2"/>
  <c r="O185" i="2"/>
  <c r="N185" i="2"/>
  <c r="R184" i="2"/>
  <c r="O184" i="2"/>
  <c r="N184" i="2"/>
  <c r="R183" i="2"/>
  <c r="O183" i="2"/>
  <c r="N183" i="2"/>
  <c r="R182" i="2"/>
  <c r="O182" i="2"/>
  <c r="N182" i="2"/>
  <c r="R181" i="2"/>
  <c r="O181" i="2"/>
  <c r="N181" i="2"/>
  <c r="R180" i="2"/>
  <c r="O180" i="2"/>
  <c r="N180" i="2"/>
  <c r="R179" i="2"/>
  <c r="O179" i="2"/>
  <c r="N179" i="2"/>
  <c r="R178" i="2"/>
  <c r="O178" i="2"/>
  <c r="N178" i="2"/>
  <c r="R177" i="2"/>
  <c r="O177" i="2"/>
  <c r="N177" i="2"/>
  <c r="R176" i="2"/>
  <c r="O176" i="2"/>
  <c r="N176" i="2"/>
  <c r="R175" i="2"/>
  <c r="O175" i="2"/>
  <c r="N175" i="2"/>
  <c r="R174" i="2"/>
  <c r="O174" i="2"/>
  <c r="N174" i="2"/>
  <c r="R173" i="2"/>
  <c r="O173" i="2"/>
  <c r="N173" i="2"/>
  <c r="R172" i="2"/>
  <c r="O172" i="2"/>
  <c r="N172" i="2"/>
  <c r="R171" i="2"/>
  <c r="O171" i="2"/>
  <c r="N171" i="2"/>
  <c r="R170" i="2"/>
  <c r="O170" i="2"/>
  <c r="N170" i="2"/>
  <c r="R169" i="2"/>
  <c r="O169" i="2"/>
  <c r="N169" i="2"/>
  <c r="R168" i="2"/>
  <c r="O168" i="2"/>
  <c r="N168" i="2"/>
  <c r="R167" i="2"/>
  <c r="O167" i="2"/>
  <c r="N167" i="2"/>
  <c r="R166" i="2"/>
  <c r="O166" i="2"/>
  <c r="N166" i="2"/>
  <c r="R165" i="2"/>
  <c r="O165" i="2"/>
  <c r="N165" i="2"/>
  <c r="R164" i="2"/>
  <c r="O164" i="2"/>
  <c r="N164" i="2"/>
  <c r="R163" i="2"/>
  <c r="O163" i="2"/>
  <c r="N163" i="2"/>
  <c r="R162" i="2"/>
  <c r="O162" i="2"/>
  <c r="N162" i="2"/>
  <c r="R161" i="2"/>
  <c r="O161" i="2"/>
  <c r="N161" i="2"/>
  <c r="R160" i="2"/>
  <c r="O160" i="2"/>
  <c r="N160" i="2"/>
  <c r="R159" i="2"/>
  <c r="O159" i="2"/>
  <c r="N159" i="2"/>
  <c r="R158" i="2"/>
  <c r="O158" i="2"/>
  <c r="N158" i="2"/>
  <c r="R157" i="2"/>
  <c r="O157" i="2"/>
  <c r="N157" i="2"/>
  <c r="R156" i="2"/>
  <c r="O156" i="2"/>
  <c r="N156" i="2"/>
  <c r="R155" i="2"/>
  <c r="O155" i="2"/>
  <c r="N155" i="2"/>
  <c r="R154" i="2"/>
  <c r="O154" i="2"/>
  <c r="N154" i="2"/>
  <c r="R153" i="2"/>
  <c r="O153" i="2"/>
  <c r="N153" i="2"/>
  <c r="R152" i="2"/>
  <c r="O152" i="2"/>
  <c r="N152" i="2"/>
  <c r="R151" i="2"/>
  <c r="O151" i="2"/>
  <c r="N151" i="2"/>
  <c r="R150" i="2"/>
  <c r="O150" i="2"/>
  <c r="N150" i="2"/>
  <c r="R149" i="2"/>
  <c r="O149" i="2"/>
  <c r="N149" i="2"/>
  <c r="R148" i="2"/>
  <c r="O148" i="2"/>
  <c r="N148" i="2"/>
  <c r="R147" i="2"/>
  <c r="O147" i="2"/>
  <c r="N147" i="2"/>
  <c r="R146" i="2"/>
  <c r="O146" i="2"/>
  <c r="N146" i="2"/>
  <c r="R145" i="2"/>
  <c r="O145" i="2"/>
  <c r="N145" i="2"/>
  <c r="R144" i="2"/>
  <c r="O144" i="2"/>
  <c r="N144" i="2"/>
  <c r="R143" i="2"/>
  <c r="O143" i="2"/>
  <c r="N143" i="2"/>
  <c r="R142" i="2"/>
  <c r="O142" i="2"/>
  <c r="N142" i="2"/>
  <c r="R141" i="2"/>
  <c r="O141" i="2"/>
  <c r="N141" i="2"/>
  <c r="R140" i="2"/>
  <c r="O140" i="2"/>
  <c r="N140" i="2"/>
  <c r="R139" i="2"/>
  <c r="O139" i="2"/>
  <c r="N139" i="2"/>
  <c r="R138" i="2"/>
  <c r="O138" i="2"/>
  <c r="N138" i="2"/>
  <c r="R137" i="2"/>
  <c r="O137" i="2"/>
  <c r="N137" i="2"/>
  <c r="R136" i="2"/>
  <c r="O136" i="2"/>
  <c r="N136" i="2"/>
  <c r="R135" i="2"/>
  <c r="O135" i="2"/>
  <c r="N135" i="2"/>
  <c r="R134" i="2"/>
  <c r="O134" i="2"/>
  <c r="N134" i="2"/>
  <c r="R133" i="2"/>
  <c r="O133" i="2"/>
  <c r="N133" i="2"/>
  <c r="R132" i="2"/>
  <c r="O132" i="2"/>
  <c r="N132" i="2"/>
  <c r="R131" i="2"/>
  <c r="O131" i="2"/>
  <c r="N131" i="2"/>
  <c r="R130" i="2"/>
  <c r="O130" i="2"/>
  <c r="N130" i="2"/>
  <c r="R129" i="2"/>
  <c r="O129" i="2"/>
  <c r="N129" i="2"/>
  <c r="R128" i="2"/>
  <c r="O128" i="2"/>
  <c r="N128" i="2"/>
  <c r="R127" i="2"/>
  <c r="O127" i="2"/>
  <c r="N127" i="2"/>
  <c r="R126" i="2"/>
  <c r="O126" i="2"/>
  <c r="N126" i="2"/>
  <c r="R125" i="2"/>
  <c r="O125" i="2"/>
  <c r="N125" i="2"/>
  <c r="R124" i="2"/>
  <c r="O124" i="2"/>
  <c r="N124" i="2"/>
  <c r="R123" i="2"/>
  <c r="O123" i="2"/>
  <c r="N123" i="2"/>
  <c r="R122" i="2"/>
  <c r="O122" i="2"/>
  <c r="N122" i="2"/>
  <c r="R121" i="2"/>
  <c r="O121" i="2"/>
  <c r="N121" i="2"/>
  <c r="R120" i="2"/>
  <c r="O120" i="2"/>
  <c r="N120" i="2"/>
  <c r="R119" i="2"/>
  <c r="O119" i="2"/>
  <c r="N119" i="2"/>
  <c r="R118" i="2"/>
  <c r="O118" i="2"/>
  <c r="N118" i="2"/>
  <c r="R117" i="2"/>
  <c r="O117" i="2"/>
  <c r="N117" i="2"/>
  <c r="R116" i="2"/>
  <c r="O116" i="2"/>
  <c r="N116" i="2"/>
  <c r="R115" i="2"/>
  <c r="O115" i="2"/>
  <c r="N115" i="2"/>
  <c r="R114" i="2"/>
  <c r="O114" i="2"/>
  <c r="N114" i="2"/>
  <c r="R113" i="2"/>
  <c r="O113" i="2"/>
  <c r="N113" i="2"/>
  <c r="R112" i="2"/>
  <c r="O112" i="2"/>
  <c r="N112" i="2"/>
  <c r="R111" i="2"/>
  <c r="O111" i="2"/>
  <c r="N111" i="2"/>
  <c r="R110" i="2"/>
  <c r="O110" i="2"/>
  <c r="N110" i="2"/>
  <c r="R109" i="2"/>
  <c r="O109" i="2"/>
  <c r="N109" i="2"/>
  <c r="R108" i="2"/>
  <c r="O108" i="2"/>
  <c r="N108" i="2"/>
  <c r="R107" i="2"/>
  <c r="O107" i="2"/>
  <c r="N107" i="2"/>
  <c r="R106" i="2"/>
  <c r="O106" i="2"/>
  <c r="N106" i="2"/>
  <c r="R105" i="2"/>
  <c r="O105" i="2"/>
  <c r="N105" i="2"/>
  <c r="R104" i="2"/>
  <c r="O104" i="2"/>
  <c r="N104" i="2"/>
  <c r="R103" i="2"/>
  <c r="O103" i="2"/>
  <c r="N103" i="2"/>
  <c r="R102" i="2"/>
  <c r="O102" i="2"/>
  <c r="N102" i="2"/>
  <c r="R101" i="2"/>
  <c r="O101" i="2"/>
  <c r="N101" i="2"/>
  <c r="R100" i="2"/>
  <c r="O100" i="2"/>
  <c r="N100" i="2"/>
  <c r="R99" i="2"/>
  <c r="O99" i="2"/>
  <c r="N99" i="2"/>
  <c r="R98" i="2"/>
  <c r="O98" i="2"/>
  <c r="N98" i="2"/>
  <c r="R97" i="2"/>
  <c r="O97" i="2"/>
  <c r="N97" i="2"/>
  <c r="R96" i="2"/>
  <c r="O96" i="2"/>
  <c r="N96" i="2"/>
  <c r="R95" i="2"/>
  <c r="O95" i="2"/>
  <c r="N95" i="2"/>
  <c r="R94" i="2"/>
  <c r="O94" i="2"/>
  <c r="N94" i="2"/>
  <c r="R93" i="2"/>
  <c r="O93" i="2"/>
  <c r="N93" i="2"/>
  <c r="R92" i="2"/>
  <c r="O92" i="2"/>
  <c r="N92" i="2"/>
  <c r="R91" i="2"/>
  <c r="O91" i="2"/>
  <c r="N91" i="2"/>
  <c r="R90" i="2"/>
  <c r="O90" i="2"/>
  <c r="N90" i="2"/>
  <c r="R89" i="2"/>
  <c r="O89" i="2"/>
  <c r="N89" i="2"/>
  <c r="R88" i="2"/>
  <c r="O88" i="2"/>
  <c r="N88" i="2"/>
  <c r="R87" i="2"/>
  <c r="O87" i="2"/>
  <c r="N87" i="2"/>
  <c r="R86" i="2"/>
  <c r="O86" i="2"/>
  <c r="N86" i="2"/>
  <c r="R85" i="2"/>
  <c r="O85" i="2"/>
  <c r="N85" i="2"/>
  <c r="R84" i="2"/>
  <c r="O84" i="2"/>
  <c r="N84" i="2"/>
  <c r="R83" i="2"/>
  <c r="O83" i="2"/>
  <c r="N83" i="2"/>
  <c r="R82" i="2"/>
  <c r="O82" i="2"/>
  <c r="N82" i="2"/>
  <c r="R81" i="2"/>
  <c r="O81" i="2"/>
  <c r="N81" i="2"/>
  <c r="R80" i="2"/>
  <c r="O80" i="2"/>
  <c r="N80" i="2"/>
  <c r="R79" i="2"/>
  <c r="O79" i="2"/>
  <c r="N79" i="2"/>
  <c r="R78" i="2"/>
  <c r="O78" i="2"/>
  <c r="N78" i="2"/>
  <c r="R77" i="2"/>
  <c r="O77" i="2"/>
  <c r="N77" i="2"/>
  <c r="R76" i="2"/>
  <c r="O76" i="2"/>
  <c r="N76" i="2"/>
  <c r="R75" i="2"/>
  <c r="O75" i="2"/>
  <c r="N75" i="2"/>
  <c r="R74" i="2"/>
  <c r="O74" i="2"/>
  <c r="N74" i="2"/>
  <c r="R73" i="2"/>
  <c r="O73" i="2"/>
  <c r="N73" i="2"/>
  <c r="R72" i="2"/>
  <c r="O72" i="2"/>
  <c r="N72" i="2"/>
  <c r="R71" i="2"/>
  <c r="O71" i="2"/>
  <c r="N71" i="2"/>
  <c r="R70" i="2"/>
  <c r="O70" i="2"/>
  <c r="N70" i="2"/>
  <c r="R69" i="2"/>
  <c r="O69" i="2"/>
  <c r="N69" i="2"/>
  <c r="R68" i="2"/>
  <c r="O68" i="2"/>
  <c r="N68" i="2"/>
  <c r="R67" i="2"/>
  <c r="O67" i="2"/>
  <c r="N67" i="2"/>
  <c r="R66" i="2"/>
  <c r="O66" i="2"/>
  <c r="N66" i="2"/>
  <c r="R65" i="2"/>
  <c r="O65" i="2"/>
  <c r="N65" i="2"/>
  <c r="R64" i="2"/>
  <c r="O64" i="2"/>
  <c r="N64" i="2"/>
  <c r="R63" i="2"/>
  <c r="O63" i="2"/>
  <c r="N63" i="2"/>
  <c r="R62" i="2"/>
  <c r="O62" i="2"/>
  <c r="N62" i="2"/>
  <c r="R61" i="2"/>
  <c r="O61" i="2"/>
  <c r="N61" i="2"/>
  <c r="R60" i="2"/>
  <c r="O60" i="2"/>
  <c r="N60" i="2"/>
  <c r="Z59" i="2"/>
  <c r="X59" i="2"/>
  <c r="Y59" i="2" s="1"/>
  <c r="R59" i="2"/>
  <c r="O59" i="2"/>
  <c r="N59" i="2"/>
  <c r="Z58" i="2"/>
  <c r="Y58" i="2"/>
  <c r="X58" i="2"/>
  <c r="R58" i="2"/>
  <c r="O58" i="2"/>
  <c r="N58" i="2"/>
  <c r="Y57" i="2"/>
  <c r="X57" i="2"/>
  <c r="Z57" i="2" s="1"/>
  <c r="R57" i="2"/>
  <c r="O57" i="2"/>
  <c r="N57" i="2"/>
  <c r="X56" i="2"/>
  <c r="Z56" i="2" s="1"/>
  <c r="R56" i="2"/>
  <c r="O56" i="2"/>
  <c r="N56" i="2"/>
  <c r="Z55" i="2"/>
  <c r="Y55" i="2"/>
  <c r="X55" i="2"/>
  <c r="R55" i="2"/>
  <c r="O55" i="2"/>
  <c r="N55" i="2"/>
  <c r="X54" i="2"/>
  <c r="R54" i="2"/>
  <c r="O54" i="2"/>
  <c r="N54" i="2"/>
  <c r="X53" i="2"/>
  <c r="Z53" i="2" s="1"/>
  <c r="R53" i="2"/>
  <c r="O53" i="2"/>
  <c r="N53" i="2"/>
  <c r="Z52" i="2"/>
  <c r="X52" i="2"/>
  <c r="Y52" i="2" s="1"/>
  <c r="R52" i="2"/>
  <c r="O52" i="2"/>
  <c r="N52" i="2"/>
  <c r="Z51" i="2"/>
  <c r="Y51" i="2"/>
  <c r="X51" i="2"/>
  <c r="R51" i="2"/>
  <c r="O51" i="2"/>
  <c r="N51" i="2"/>
  <c r="X50" i="2"/>
  <c r="R50" i="2"/>
  <c r="O50" i="2"/>
  <c r="N50" i="2"/>
  <c r="Y49" i="2"/>
  <c r="X49" i="2"/>
  <c r="Z49" i="2" s="1"/>
  <c r="R49" i="2"/>
  <c r="O49" i="2"/>
  <c r="N49" i="2"/>
  <c r="Z48" i="2"/>
  <c r="Y48" i="2"/>
  <c r="X48" i="2"/>
  <c r="R48" i="2"/>
  <c r="O48" i="2"/>
  <c r="N48" i="2"/>
  <c r="Y47" i="2"/>
  <c r="X47" i="2"/>
  <c r="Z47" i="2" s="1"/>
  <c r="R47" i="2"/>
  <c r="O47" i="2"/>
  <c r="N47" i="2"/>
  <c r="X46" i="2"/>
  <c r="R46" i="2"/>
  <c r="O46" i="2"/>
  <c r="N46" i="2"/>
  <c r="Z45" i="2"/>
  <c r="Y45" i="2"/>
  <c r="X45" i="2"/>
  <c r="R45" i="2"/>
  <c r="O45" i="2"/>
  <c r="N45" i="2"/>
  <c r="Z44" i="2"/>
  <c r="X44" i="2"/>
  <c r="Y44" i="2" s="1"/>
  <c r="R44" i="2"/>
  <c r="O44" i="2"/>
  <c r="N44" i="2"/>
  <c r="X43" i="2"/>
  <c r="R43" i="2"/>
  <c r="O43" i="2"/>
  <c r="N43" i="2"/>
  <c r="X42" i="2"/>
  <c r="R42" i="2"/>
  <c r="O42" i="2"/>
  <c r="N42" i="2"/>
  <c r="Y41" i="2"/>
  <c r="X41" i="2"/>
  <c r="Z41" i="2" s="1"/>
  <c r="R41" i="2"/>
  <c r="O41" i="2"/>
  <c r="N41" i="2"/>
  <c r="Z40" i="2"/>
  <c r="Y40" i="2"/>
  <c r="X40" i="2"/>
  <c r="R40" i="2"/>
  <c r="O40" i="2"/>
  <c r="N40" i="2"/>
  <c r="X39" i="2"/>
  <c r="R39" i="2"/>
  <c r="O39" i="2"/>
  <c r="N39" i="2"/>
  <c r="Z38" i="2"/>
  <c r="X38" i="2"/>
  <c r="Y38" i="2" s="1"/>
  <c r="R38" i="2"/>
  <c r="O38" i="2"/>
  <c r="N38" i="2"/>
  <c r="X37" i="2"/>
  <c r="Z37" i="2" s="1"/>
  <c r="R37" i="2"/>
  <c r="O37" i="2"/>
  <c r="N37" i="2"/>
  <c r="Z36" i="2"/>
  <c r="X36" i="2"/>
  <c r="Y36" i="2" s="1"/>
  <c r="R36" i="2"/>
  <c r="O36" i="2"/>
  <c r="N36" i="2"/>
  <c r="Z35" i="2"/>
  <c r="Y35" i="2"/>
  <c r="X35" i="2"/>
  <c r="R35" i="2"/>
  <c r="O35" i="2"/>
  <c r="N35" i="2"/>
  <c r="Z34" i="2"/>
  <c r="Y34" i="2"/>
  <c r="X34" i="2"/>
  <c r="R34" i="2"/>
  <c r="O34" i="2"/>
  <c r="N34" i="2"/>
  <c r="X33" i="2"/>
  <c r="R33" i="2"/>
  <c r="O33" i="2"/>
  <c r="N33" i="2"/>
  <c r="Z32" i="2"/>
  <c r="Y32" i="2"/>
  <c r="X32" i="2"/>
  <c r="R32" i="2"/>
  <c r="O32" i="2"/>
  <c r="N32" i="2"/>
  <c r="Z31" i="2"/>
  <c r="Y31" i="2"/>
  <c r="X31" i="2"/>
  <c r="R31" i="2"/>
  <c r="O31" i="2"/>
  <c r="N31" i="2"/>
  <c r="Z30" i="2"/>
  <c r="Y30" i="2"/>
  <c r="X30" i="2"/>
  <c r="R30" i="2"/>
  <c r="O30" i="2"/>
  <c r="N30" i="2"/>
  <c r="Z29" i="2"/>
  <c r="Y29" i="2"/>
  <c r="X29" i="2"/>
  <c r="R29" i="2"/>
  <c r="O29" i="2"/>
  <c r="N29" i="2"/>
  <c r="Z28" i="2"/>
  <c r="X28" i="2"/>
  <c r="Y28" i="2" s="1"/>
  <c r="R28" i="2"/>
  <c r="O28" i="2"/>
  <c r="N28" i="2"/>
  <c r="Z27" i="2"/>
  <c r="Y27" i="2"/>
  <c r="X27" i="2"/>
  <c r="R27" i="2"/>
  <c r="O27" i="2"/>
  <c r="N27" i="2"/>
  <c r="Z26" i="2"/>
  <c r="X26" i="2"/>
  <c r="Y26" i="2" s="1"/>
  <c r="R26" i="2"/>
  <c r="O26" i="2"/>
  <c r="N26" i="2"/>
  <c r="X25" i="2"/>
  <c r="Z25" i="2" s="1"/>
  <c r="R25" i="2"/>
  <c r="O25" i="2"/>
  <c r="N25" i="2"/>
  <c r="Z24" i="2"/>
  <c r="Y24" i="2"/>
  <c r="X24" i="2"/>
  <c r="R24" i="2"/>
  <c r="O24" i="2"/>
  <c r="N24" i="2"/>
  <c r="X23" i="2"/>
  <c r="Z23" i="2" s="1"/>
  <c r="R23" i="2"/>
  <c r="O23" i="2"/>
  <c r="N23" i="2"/>
  <c r="X22" i="2"/>
  <c r="Z22" i="2" s="1"/>
  <c r="R22" i="2"/>
  <c r="O22" i="2"/>
  <c r="N22" i="2"/>
  <c r="Z21" i="2"/>
  <c r="Y21" i="2"/>
  <c r="X21" i="2"/>
  <c r="R21" i="2"/>
  <c r="O21" i="2"/>
  <c r="N21" i="2"/>
  <c r="Z20" i="2"/>
  <c r="Y20" i="2"/>
  <c r="X20" i="2"/>
  <c r="R20" i="2"/>
  <c r="O20" i="2"/>
  <c r="N20" i="2"/>
  <c r="X19" i="2"/>
  <c r="Z19" i="2" s="1"/>
  <c r="R19" i="2"/>
  <c r="O19" i="2"/>
  <c r="N19" i="2"/>
  <c r="Z18" i="2"/>
  <c r="Y18" i="2"/>
  <c r="X18" i="2"/>
  <c r="R18" i="2"/>
  <c r="O18" i="2"/>
  <c r="N18" i="2"/>
  <c r="X17" i="2"/>
  <c r="R17" i="2"/>
  <c r="O17" i="2"/>
  <c r="N17" i="2"/>
  <c r="X16" i="2"/>
  <c r="Z16" i="2" s="1"/>
  <c r="R16" i="2"/>
  <c r="O16" i="2"/>
  <c r="N16" i="2"/>
  <c r="X15" i="2"/>
  <c r="Z15" i="2" s="1"/>
  <c r="R15" i="2"/>
  <c r="O15" i="2"/>
  <c r="N15" i="2"/>
  <c r="X14" i="2"/>
  <c r="Y14" i="2" s="1"/>
  <c r="R14" i="2"/>
  <c r="O14" i="2"/>
  <c r="N14" i="2"/>
  <c r="Z13" i="2"/>
  <c r="Y13" i="2"/>
  <c r="X13" i="2"/>
  <c r="R13" i="2"/>
  <c r="O13" i="2"/>
  <c r="N13" i="2"/>
  <c r="Z12" i="2"/>
  <c r="Y12" i="2"/>
  <c r="X12" i="2"/>
  <c r="R12" i="2"/>
  <c r="O12" i="2"/>
  <c r="N12" i="2"/>
  <c r="Z11" i="2"/>
  <c r="Y11" i="2"/>
  <c r="X11" i="2"/>
  <c r="R11" i="2"/>
  <c r="O11" i="2"/>
  <c r="N11" i="2"/>
  <c r="Z10" i="2"/>
  <c r="Y10" i="2"/>
  <c r="X10" i="2"/>
  <c r="R10" i="2"/>
  <c r="O10" i="2"/>
  <c r="N10" i="2"/>
  <c r="R9" i="2"/>
  <c r="O9" i="2"/>
  <c r="N9" i="2"/>
  <c r="R8" i="2"/>
  <c r="O8" i="2"/>
  <c r="N8" i="2"/>
  <c r="R7" i="2"/>
  <c r="O7" i="2"/>
  <c r="N7" i="2"/>
  <c r="O868" i="1"/>
  <c r="N868" i="1"/>
  <c r="L868" i="1"/>
  <c r="O867" i="1"/>
  <c r="N867" i="1"/>
  <c r="L867" i="1"/>
  <c r="O866" i="1"/>
  <c r="N866" i="1"/>
  <c r="L866" i="1"/>
  <c r="O865" i="1"/>
  <c r="N865" i="1"/>
  <c r="L865" i="1"/>
  <c r="O864" i="1"/>
  <c r="N864" i="1"/>
  <c r="L864" i="1"/>
  <c r="O863" i="1"/>
  <c r="N863" i="1"/>
  <c r="L863" i="1"/>
  <c r="O862" i="1"/>
  <c r="N862" i="1"/>
  <c r="L862" i="1"/>
  <c r="O861" i="1"/>
  <c r="N861" i="1"/>
  <c r="L861" i="1"/>
  <c r="O860" i="1"/>
  <c r="N860" i="1"/>
  <c r="L860" i="1"/>
  <c r="O859" i="1"/>
  <c r="N859" i="1"/>
  <c r="L859" i="1"/>
  <c r="O858" i="1"/>
  <c r="N858" i="1"/>
  <c r="L858" i="1"/>
  <c r="O857" i="1"/>
  <c r="N857" i="1"/>
  <c r="L857" i="1"/>
  <c r="O856" i="1"/>
  <c r="N856" i="1"/>
  <c r="L856" i="1"/>
  <c r="O855" i="1"/>
  <c r="N855" i="1"/>
  <c r="L855" i="1"/>
  <c r="O854" i="1"/>
  <c r="N854" i="1"/>
  <c r="L854" i="1"/>
  <c r="O853" i="1"/>
  <c r="N853" i="1"/>
  <c r="L853" i="1"/>
  <c r="O852" i="1"/>
  <c r="N852" i="1"/>
  <c r="L852" i="1"/>
  <c r="O851" i="1"/>
  <c r="N851" i="1"/>
  <c r="L851" i="1"/>
  <c r="O850" i="1"/>
  <c r="N850" i="1"/>
  <c r="L850" i="1"/>
  <c r="O849" i="1"/>
  <c r="N849" i="1"/>
  <c r="L849" i="1"/>
  <c r="O848" i="1"/>
  <c r="N848" i="1"/>
  <c r="L848" i="1"/>
  <c r="O847" i="1"/>
  <c r="N847" i="1"/>
  <c r="L847" i="1"/>
  <c r="O846" i="1"/>
  <c r="N846" i="1"/>
  <c r="L846" i="1"/>
  <c r="O845" i="1"/>
  <c r="N845" i="1"/>
  <c r="L845" i="1"/>
  <c r="O844" i="1"/>
  <c r="N844" i="1"/>
  <c r="L844" i="1"/>
  <c r="O843" i="1"/>
  <c r="N843" i="1"/>
  <c r="L843" i="1"/>
  <c r="O842" i="1"/>
  <c r="N842" i="1"/>
  <c r="L842" i="1"/>
  <c r="O841" i="1"/>
  <c r="N841" i="1"/>
  <c r="L841" i="1"/>
  <c r="O840" i="1"/>
  <c r="N840" i="1"/>
  <c r="L840" i="1"/>
  <c r="O839" i="1"/>
  <c r="N839" i="1"/>
  <c r="L839" i="1"/>
  <c r="O838" i="1"/>
  <c r="N838" i="1"/>
  <c r="L838" i="1"/>
  <c r="O837" i="1"/>
  <c r="N837" i="1"/>
  <c r="L837" i="1"/>
  <c r="O836" i="1"/>
  <c r="N836" i="1"/>
  <c r="L836" i="1"/>
  <c r="O835" i="1"/>
  <c r="N835" i="1"/>
  <c r="L835" i="1"/>
  <c r="O834" i="1"/>
  <c r="N834" i="1"/>
  <c r="L834" i="1"/>
  <c r="O833" i="1"/>
  <c r="N833" i="1"/>
  <c r="L833" i="1"/>
  <c r="O832" i="1"/>
  <c r="N832" i="1"/>
  <c r="L832" i="1"/>
  <c r="O831" i="1"/>
  <c r="N831" i="1"/>
  <c r="L831" i="1"/>
  <c r="O830" i="1"/>
  <c r="N830" i="1"/>
  <c r="L830" i="1"/>
  <c r="O829" i="1"/>
  <c r="N829" i="1"/>
  <c r="L829" i="1"/>
  <c r="O828" i="1"/>
  <c r="N828" i="1"/>
  <c r="L828" i="1"/>
  <c r="O827" i="1"/>
  <c r="N827" i="1"/>
  <c r="L827" i="1"/>
  <c r="O826" i="1"/>
  <c r="N826" i="1"/>
  <c r="L826" i="1"/>
  <c r="O825" i="1"/>
  <c r="N825" i="1"/>
  <c r="L825" i="1"/>
  <c r="O824" i="1"/>
  <c r="N824" i="1"/>
  <c r="L824" i="1"/>
  <c r="O823" i="1"/>
  <c r="N823" i="1"/>
  <c r="L823" i="1"/>
  <c r="O822" i="1"/>
  <c r="N822" i="1"/>
  <c r="L822" i="1"/>
  <c r="O821" i="1"/>
  <c r="N821" i="1"/>
  <c r="L821" i="1"/>
  <c r="O820" i="1"/>
  <c r="N820" i="1"/>
  <c r="L820" i="1"/>
  <c r="O819" i="1"/>
  <c r="N819" i="1"/>
  <c r="L819" i="1"/>
  <c r="O818" i="1"/>
  <c r="N818" i="1"/>
  <c r="L818" i="1"/>
  <c r="O817" i="1"/>
  <c r="N817" i="1"/>
  <c r="L817" i="1"/>
  <c r="O816" i="1"/>
  <c r="N816" i="1"/>
  <c r="L816" i="1"/>
  <c r="O815" i="1"/>
  <c r="N815" i="1"/>
  <c r="L815" i="1"/>
  <c r="O814" i="1"/>
  <c r="N814" i="1"/>
  <c r="L814" i="1"/>
  <c r="O813" i="1"/>
  <c r="N813" i="1"/>
  <c r="L813" i="1"/>
  <c r="O812" i="1"/>
  <c r="N812" i="1"/>
  <c r="L812" i="1"/>
  <c r="O811" i="1"/>
  <c r="N811" i="1"/>
  <c r="L811" i="1"/>
  <c r="O810" i="1"/>
  <c r="N810" i="1"/>
  <c r="L810" i="1"/>
  <c r="O809" i="1"/>
  <c r="N809" i="1"/>
  <c r="L809" i="1"/>
  <c r="O808" i="1"/>
  <c r="N808" i="1"/>
  <c r="L808" i="1"/>
  <c r="O807" i="1"/>
  <c r="N807" i="1"/>
  <c r="L807" i="1"/>
  <c r="O806" i="1"/>
  <c r="N806" i="1"/>
  <c r="L806" i="1"/>
  <c r="O805" i="1"/>
  <c r="N805" i="1"/>
  <c r="L805" i="1"/>
  <c r="O804" i="1"/>
  <c r="N804" i="1"/>
  <c r="L804" i="1"/>
  <c r="O803" i="1"/>
  <c r="N803" i="1"/>
  <c r="L803" i="1"/>
  <c r="O802" i="1"/>
  <c r="N802" i="1"/>
  <c r="L802" i="1"/>
  <c r="O801" i="1"/>
  <c r="N801" i="1"/>
  <c r="L801" i="1"/>
  <c r="O800" i="1"/>
  <c r="N800" i="1"/>
  <c r="L800" i="1"/>
  <c r="O799" i="1"/>
  <c r="N799" i="1"/>
  <c r="L799" i="1"/>
  <c r="O798" i="1"/>
  <c r="N798" i="1"/>
  <c r="L798" i="1"/>
  <c r="O797" i="1"/>
  <c r="N797" i="1"/>
  <c r="L797" i="1"/>
  <c r="O796" i="1"/>
  <c r="N796" i="1"/>
  <c r="L796" i="1"/>
  <c r="O795" i="1"/>
  <c r="N795" i="1"/>
  <c r="L795" i="1"/>
  <c r="O794" i="1"/>
  <c r="N794" i="1"/>
  <c r="L794" i="1"/>
  <c r="O793" i="1"/>
  <c r="N793" i="1"/>
  <c r="L793" i="1"/>
  <c r="O792" i="1"/>
  <c r="N792" i="1"/>
  <c r="L792" i="1"/>
  <c r="O791" i="1"/>
  <c r="N791" i="1"/>
  <c r="L791" i="1"/>
  <c r="O790" i="1"/>
  <c r="N790" i="1"/>
  <c r="L790" i="1"/>
  <c r="O789" i="1"/>
  <c r="N789" i="1"/>
  <c r="L789" i="1"/>
  <c r="O788" i="1"/>
  <c r="N788" i="1"/>
  <c r="L788" i="1"/>
  <c r="O787" i="1"/>
  <c r="N787" i="1"/>
  <c r="L787" i="1"/>
  <c r="O786" i="1"/>
  <c r="N786" i="1"/>
  <c r="L786" i="1"/>
  <c r="O785" i="1"/>
  <c r="N785" i="1"/>
  <c r="L785" i="1"/>
  <c r="O784" i="1"/>
  <c r="N784" i="1"/>
  <c r="L784" i="1"/>
  <c r="O783" i="1"/>
  <c r="N783" i="1"/>
  <c r="L783" i="1"/>
  <c r="O782" i="1"/>
  <c r="N782" i="1"/>
  <c r="L782" i="1"/>
  <c r="O781" i="1"/>
  <c r="N781" i="1"/>
  <c r="L781" i="1"/>
  <c r="O780" i="1"/>
  <c r="N780" i="1"/>
  <c r="L780" i="1"/>
  <c r="O779" i="1"/>
  <c r="N779" i="1"/>
  <c r="L779" i="1"/>
  <c r="O778" i="1"/>
  <c r="N778" i="1"/>
  <c r="L778" i="1"/>
  <c r="O777" i="1"/>
  <c r="N777" i="1"/>
  <c r="L777" i="1"/>
  <c r="O776" i="1"/>
  <c r="N776" i="1"/>
  <c r="L776" i="1"/>
  <c r="O775" i="1"/>
  <c r="N775" i="1"/>
  <c r="L775" i="1"/>
  <c r="O774" i="1"/>
  <c r="N774" i="1"/>
  <c r="L774" i="1"/>
  <c r="O773" i="1"/>
  <c r="N773" i="1"/>
  <c r="L773" i="1"/>
  <c r="O772" i="1"/>
  <c r="N772" i="1"/>
  <c r="L772" i="1"/>
  <c r="O771" i="1"/>
  <c r="N771" i="1"/>
  <c r="L771" i="1"/>
  <c r="O770" i="1"/>
  <c r="N770" i="1"/>
  <c r="L770" i="1"/>
  <c r="O769" i="1"/>
  <c r="N769" i="1"/>
  <c r="L769" i="1"/>
  <c r="O768" i="1"/>
  <c r="N768" i="1"/>
  <c r="L768" i="1"/>
  <c r="O767" i="1"/>
  <c r="N767" i="1"/>
  <c r="L767" i="1"/>
  <c r="O766" i="1"/>
  <c r="N766" i="1"/>
  <c r="L766" i="1"/>
  <c r="O765" i="1"/>
  <c r="N765" i="1"/>
  <c r="L765" i="1"/>
  <c r="O764" i="1"/>
  <c r="N764" i="1"/>
  <c r="L764" i="1"/>
  <c r="O763" i="1"/>
  <c r="N763" i="1"/>
  <c r="L763" i="1"/>
  <c r="O762" i="1"/>
  <c r="N762" i="1"/>
  <c r="L762" i="1"/>
  <c r="O761" i="1"/>
  <c r="N761" i="1"/>
  <c r="L761" i="1"/>
  <c r="O760" i="1"/>
  <c r="N760" i="1"/>
  <c r="L760" i="1"/>
  <c r="O759" i="1"/>
  <c r="N759" i="1"/>
  <c r="L759" i="1"/>
  <c r="O758" i="1"/>
  <c r="N758" i="1"/>
  <c r="L758" i="1"/>
  <c r="O757" i="1"/>
  <c r="N757" i="1"/>
  <c r="L757" i="1"/>
  <c r="O756" i="1"/>
  <c r="N756" i="1"/>
  <c r="L756" i="1"/>
  <c r="O755" i="1"/>
  <c r="N755" i="1"/>
  <c r="L755" i="1"/>
  <c r="O754" i="1"/>
  <c r="N754" i="1"/>
  <c r="L754" i="1"/>
  <c r="O753" i="1"/>
  <c r="N753" i="1"/>
  <c r="L753" i="1"/>
  <c r="O752" i="1"/>
  <c r="N752" i="1"/>
  <c r="L752" i="1"/>
  <c r="O751" i="1"/>
  <c r="N751" i="1"/>
  <c r="L751" i="1"/>
  <c r="O750" i="1"/>
  <c r="N750" i="1"/>
  <c r="L750" i="1"/>
  <c r="O749" i="1"/>
  <c r="N749" i="1"/>
  <c r="L749" i="1"/>
  <c r="O748" i="1"/>
  <c r="N748" i="1"/>
  <c r="L748" i="1"/>
  <c r="O747" i="1"/>
  <c r="N747" i="1"/>
  <c r="L747" i="1"/>
  <c r="O746" i="1"/>
  <c r="N746" i="1"/>
  <c r="L746" i="1"/>
  <c r="O745" i="1"/>
  <c r="N745" i="1"/>
  <c r="L745" i="1"/>
  <c r="O744" i="1"/>
  <c r="N744" i="1"/>
  <c r="L744" i="1"/>
  <c r="O743" i="1"/>
  <c r="N743" i="1"/>
  <c r="L743" i="1"/>
  <c r="O742" i="1"/>
  <c r="N742" i="1"/>
  <c r="L742" i="1"/>
  <c r="O741" i="1"/>
  <c r="N741" i="1"/>
  <c r="L741" i="1"/>
  <c r="O740" i="1"/>
  <c r="N740" i="1"/>
  <c r="L740" i="1"/>
  <c r="O739" i="1"/>
  <c r="N739" i="1"/>
  <c r="L739" i="1"/>
  <c r="O738" i="1"/>
  <c r="N738" i="1"/>
  <c r="L738" i="1"/>
  <c r="O737" i="1"/>
  <c r="N737" i="1"/>
  <c r="L737" i="1"/>
  <c r="O736" i="1"/>
  <c r="N736" i="1"/>
  <c r="L736" i="1"/>
  <c r="P735" i="1"/>
  <c r="O735" i="1"/>
  <c r="N735" i="1"/>
  <c r="L735" i="1"/>
  <c r="O734" i="1"/>
  <c r="N734" i="1"/>
  <c r="L734" i="1"/>
  <c r="O733" i="1"/>
  <c r="N733" i="1"/>
  <c r="L733" i="1"/>
  <c r="O732" i="1"/>
  <c r="N732" i="1"/>
  <c r="L732" i="1"/>
  <c r="O731" i="1"/>
  <c r="N731" i="1"/>
  <c r="L731" i="1"/>
  <c r="O730" i="1"/>
  <c r="N730" i="1"/>
  <c r="L730" i="1"/>
  <c r="O729" i="1"/>
  <c r="N729" i="1"/>
  <c r="L729" i="1"/>
  <c r="O728" i="1"/>
  <c r="N728" i="1"/>
  <c r="L728" i="1"/>
  <c r="O727" i="1"/>
  <c r="N727" i="1"/>
  <c r="L727" i="1"/>
  <c r="O726" i="1"/>
  <c r="N726" i="1"/>
  <c r="L726" i="1"/>
  <c r="O725" i="1"/>
  <c r="N725" i="1"/>
  <c r="L725" i="1"/>
  <c r="O724" i="1"/>
  <c r="N724" i="1"/>
  <c r="L724" i="1"/>
  <c r="O723" i="1"/>
  <c r="N723" i="1"/>
  <c r="L723" i="1"/>
  <c r="O722" i="1"/>
  <c r="N722" i="1"/>
  <c r="L722" i="1"/>
  <c r="O721" i="1"/>
  <c r="N721" i="1"/>
  <c r="L721" i="1"/>
  <c r="O720" i="1"/>
  <c r="N720" i="1"/>
  <c r="L720" i="1"/>
  <c r="O719" i="1"/>
  <c r="N719" i="1"/>
  <c r="L719" i="1"/>
  <c r="O718" i="1"/>
  <c r="N718" i="1"/>
  <c r="L718" i="1"/>
  <c r="O717" i="1"/>
  <c r="N717" i="1"/>
  <c r="L717" i="1"/>
  <c r="O716" i="1"/>
  <c r="N716" i="1"/>
  <c r="L716" i="1"/>
  <c r="O715" i="1"/>
  <c r="N715" i="1"/>
  <c r="L715" i="1"/>
  <c r="O714" i="1"/>
  <c r="N714" i="1"/>
  <c r="L714" i="1"/>
  <c r="O713" i="1"/>
  <c r="N713" i="1"/>
  <c r="L713" i="1"/>
  <c r="O712" i="1"/>
  <c r="N712" i="1"/>
  <c r="L712" i="1"/>
  <c r="O711" i="1"/>
  <c r="N711" i="1"/>
  <c r="L711" i="1"/>
  <c r="O710" i="1"/>
  <c r="N710" i="1"/>
  <c r="L710" i="1"/>
  <c r="O709" i="1"/>
  <c r="N709" i="1"/>
  <c r="L709" i="1"/>
  <c r="O708" i="1"/>
  <c r="N708" i="1"/>
  <c r="L708" i="1"/>
  <c r="O707" i="1"/>
  <c r="N707" i="1"/>
  <c r="L707" i="1"/>
  <c r="O706" i="1"/>
  <c r="N706" i="1"/>
  <c r="L706" i="1"/>
  <c r="O705" i="1"/>
  <c r="N705" i="1"/>
  <c r="L705" i="1"/>
  <c r="O704" i="1"/>
  <c r="N704" i="1"/>
  <c r="L704" i="1"/>
  <c r="O703" i="1"/>
  <c r="N703" i="1"/>
  <c r="L703" i="1"/>
  <c r="O702" i="1"/>
  <c r="N702" i="1"/>
  <c r="L702" i="1"/>
  <c r="O701" i="1"/>
  <c r="N701" i="1"/>
  <c r="L701" i="1"/>
  <c r="O700" i="1"/>
  <c r="N700" i="1"/>
  <c r="L700" i="1"/>
  <c r="O699" i="1"/>
  <c r="N699" i="1"/>
  <c r="L699" i="1"/>
  <c r="O698" i="1"/>
  <c r="N698" i="1"/>
  <c r="L698" i="1"/>
  <c r="O697" i="1"/>
  <c r="N697" i="1"/>
  <c r="L697" i="1"/>
  <c r="O696" i="1"/>
  <c r="N696" i="1"/>
  <c r="L696" i="1"/>
  <c r="O695" i="1"/>
  <c r="N695" i="1"/>
  <c r="L695" i="1"/>
  <c r="O694" i="1"/>
  <c r="N694" i="1"/>
  <c r="L694" i="1"/>
  <c r="O693" i="1"/>
  <c r="N693" i="1"/>
  <c r="L693" i="1"/>
  <c r="O692" i="1"/>
  <c r="N692" i="1"/>
  <c r="L692" i="1"/>
  <c r="O691" i="1"/>
  <c r="N691" i="1"/>
  <c r="L691" i="1"/>
  <c r="O690" i="1"/>
  <c r="N690" i="1"/>
  <c r="L690" i="1"/>
  <c r="O689" i="1"/>
  <c r="N689" i="1"/>
  <c r="L689" i="1"/>
  <c r="O688" i="1"/>
  <c r="N688" i="1"/>
  <c r="L688" i="1"/>
  <c r="O687" i="1"/>
  <c r="N687" i="1"/>
  <c r="L687" i="1"/>
  <c r="O686" i="1"/>
  <c r="N686" i="1"/>
  <c r="L686" i="1"/>
  <c r="O685" i="1"/>
  <c r="N685" i="1"/>
  <c r="L685" i="1"/>
  <c r="O684" i="1"/>
  <c r="N684" i="1"/>
  <c r="L684" i="1"/>
  <c r="O683" i="1"/>
  <c r="N683" i="1"/>
  <c r="L683" i="1"/>
  <c r="O682" i="1"/>
  <c r="N682" i="1"/>
  <c r="L682" i="1"/>
  <c r="O681" i="1"/>
  <c r="N681" i="1"/>
  <c r="L681" i="1"/>
  <c r="O680" i="1"/>
  <c r="N680" i="1"/>
  <c r="L680" i="1"/>
  <c r="O679" i="1"/>
  <c r="N679" i="1"/>
  <c r="L679" i="1"/>
  <c r="O678" i="1"/>
  <c r="N678" i="1"/>
  <c r="L678" i="1"/>
  <c r="O677" i="1"/>
  <c r="N677" i="1"/>
  <c r="L677" i="1"/>
  <c r="O676" i="1"/>
  <c r="N676" i="1"/>
  <c r="L676" i="1"/>
  <c r="O675" i="1"/>
  <c r="N675" i="1"/>
  <c r="L675" i="1"/>
  <c r="O674" i="1"/>
  <c r="N674" i="1"/>
  <c r="L674" i="1"/>
  <c r="O673" i="1"/>
  <c r="N673" i="1"/>
  <c r="L673" i="1"/>
  <c r="O672" i="1"/>
  <c r="N672" i="1"/>
  <c r="L672" i="1"/>
  <c r="O671" i="1"/>
  <c r="N671" i="1"/>
  <c r="L671" i="1"/>
  <c r="O670" i="1"/>
  <c r="N670" i="1"/>
  <c r="L670" i="1"/>
  <c r="O669" i="1"/>
  <c r="N669" i="1"/>
  <c r="L669" i="1"/>
  <c r="O668" i="1"/>
  <c r="N668" i="1"/>
  <c r="L668" i="1"/>
  <c r="O667" i="1"/>
  <c r="N667" i="1"/>
  <c r="L667" i="1"/>
  <c r="O666" i="1"/>
  <c r="N666" i="1"/>
  <c r="L666" i="1"/>
  <c r="O665" i="1"/>
  <c r="N665" i="1"/>
  <c r="L665" i="1"/>
  <c r="O664" i="1"/>
  <c r="N664" i="1"/>
  <c r="L664" i="1"/>
  <c r="O663" i="1"/>
  <c r="N663" i="1"/>
  <c r="L663" i="1"/>
  <c r="O662" i="1"/>
  <c r="N662" i="1"/>
  <c r="L662" i="1"/>
  <c r="O661" i="1"/>
  <c r="N661" i="1"/>
  <c r="L661" i="1"/>
  <c r="O660" i="1"/>
  <c r="N660" i="1"/>
  <c r="L660" i="1"/>
  <c r="O659" i="1"/>
  <c r="N659" i="1"/>
  <c r="L659" i="1"/>
  <c r="O658" i="1"/>
  <c r="N658" i="1"/>
  <c r="L658" i="1"/>
  <c r="O657" i="1"/>
  <c r="N657" i="1"/>
  <c r="L657" i="1"/>
  <c r="O656" i="1"/>
  <c r="N656" i="1"/>
  <c r="L656" i="1"/>
  <c r="O655" i="1"/>
  <c r="N655" i="1"/>
  <c r="L655" i="1"/>
  <c r="O654" i="1"/>
  <c r="N654" i="1"/>
  <c r="L654" i="1"/>
  <c r="O653" i="1"/>
  <c r="N653" i="1"/>
  <c r="L653" i="1"/>
  <c r="O652" i="1"/>
  <c r="N652" i="1"/>
  <c r="L652" i="1"/>
  <c r="O651" i="1"/>
  <c r="N651" i="1"/>
  <c r="L651" i="1"/>
  <c r="O650" i="1"/>
  <c r="N650" i="1"/>
  <c r="L650" i="1"/>
  <c r="O649" i="1"/>
  <c r="N649" i="1"/>
  <c r="L649" i="1"/>
  <c r="O648" i="1"/>
  <c r="N648" i="1"/>
  <c r="L648" i="1"/>
  <c r="O647" i="1"/>
  <c r="N647" i="1"/>
  <c r="L647" i="1"/>
  <c r="O646" i="1"/>
  <c r="N646" i="1"/>
  <c r="L646" i="1"/>
  <c r="O645" i="1"/>
  <c r="N645" i="1"/>
  <c r="L645" i="1"/>
  <c r="O644" i="1"/>
  <c r="N644" i="1"/>
  <c r="L644" i="1"/>
  <c r="O643" i="1"/>
  <c r="N643" i="1"/>
  <c r="L643" i="1"/>
  <c r="O642" i="1"/>
  <c r="N642" i="1"/>
  <c r="L642" i="1"/>
  <c r="O641" i="1"/>
  <c r="N641" i="1"/>
  <c r="L641" i="1"/>
  <c r="O640" i="1"/>
  <c r="N640" i="1"/>
  <c r="L640" i="1"/>
  <c r="O639" i="1"/>
  <c r="N639" i="1"/>
  <c r="L639" i="1"/>
  <c r="O638" i="1"/>
  <c r="N638" i="1"/>
  <c r="L638" i="1"/>
  <c r="O637" i="1"/>
  <c r="N637" i="1"/>
  <c r="L637" i="1"/>
  <c r="O636" i="1"/>
  <c r="N636" i="1"/>
  <c r="L636" i="1"/>
  <c r="O635" i="1"/>
  <c r="N635" i="1"/>
  <c r="L635" i="1"/>
  <c r="O634" i="1"/>
  <c r="N634" i="1"/>
  <c r="L634" i="1"/>
  <c r="O633" i="1"/>
  <c r="N633" i="1"/>
  <c r="L633" i="1"/>
  <c r="O632" i="1"/>
  <c r="N632" i="1"/>
  <c r="L632" i="1"/>
  <c r="O631" i="1"/>
  <c r="N631" i="1"/>
  <c r="L631" i="1"/>
  <c r="O630" i="1"/>
  <c r="N630" i="1"/>
  <c r="L630" i="1"/>
  <c r="O629" i="1"/>
  <c r="N629" i="1"/>
  <c r="L629" i="1"/>
  <c r="O628" i="1"/>
  <c r="N628" i="1"/>
  <c r="L628" i="1"/>
  <c r="O627" i="1"/>
  <c r="N627" i="1"/>
  <c r="L627" i="1"/>
  <c r="O626" i="1"/>
  <c r="N626" i="1"/>
  <c r="L626" i="1"/>
  <c r="P625" i="1"/>
  <c r="O625" i="1"/>
  <c r="N625" i="1"/>
  <c r="L625" i="1"/>
  <c r="O624" i="1"/>
  <c r="N624" i="1"/>
  <c r="L624" i="1"/>
  <c r="O623" i="1"/>
  <c r="N623" i="1"/>
  <c r="L623" i="1"/>
  <c r="O622" i="1"/>
  <c r="N622" i="1"/>
  <c r="L622" i="1"/>
  <c r="O621" i="1"/>
  <c r="N621" i="1"/>
  <c r="L621" i="1"/>
  <c r="O620" i="1"/>
  <c r="N620" i="1"/>
  <c r="L620" i="1"/>
  <c r="O619" i="1"/>
  <c r="N619" i="1"/>
  <c r="L619" i="1"/>
  <c r="O618" i="1"/>
  <c r="N618" i="1"/>
  <c r="L618" i="1"/>
  <c r="O617" i="1"/>
  <c r="N617" i="1"/>
  <c r="L617" i="1"/>
  <c r="O616" i="1"/>
  <c r="N616" i="1"/>
  <c r="L616" i="1"/>
  <c r="O615" i="1"/>
  <c r="N615" i="1"/>
  <c r="L615" i="1"/>
  <c r="O614" i="1"/>
  <c r="N614" i="1"/>
  <c r="L614" i="1"/>
  <c r="O613" i="1"/>
  <c r="N613" i="1"/>
  <c r="L613" i="1"/>
  <c r="O612" i="1"/>
  <c r="N612" i="1"/>
  <c r="L612" i="1"/>
  <c r="O611" i="1"/>
  <c r="N611" i="1"/>
  <c r="L611" i="1"/>
  <c r="O610" i="1"/>
  <c r="N610" i="1"/>
  <c r="L610" i="1"/>
  <c r="O609" i="1"/>
  <c r="N609" i="1"/>
  <c r="L609" i="1"/>
  <c r="O608" i="1"/>
  <c r="N608" i="1"/>
  <c r="L608" i="1"/>
  <c r="O607" i="1"/>
  <c r="N607" i="1"/>
  <c r="L607" i="1"/>
  <c r="O606" i="1"/>
  <c r="N606" i="1"/>
  <c r="L606" i="1"/>
  <c r="O605" i="1"/>
  <c r="N605" i="1"/>
  <c r="L605" i="1"/>
  <c r="O604" i="1"/>
  <c r="N604" i="1"/>
  <c r="L604" i="1"/>
  <c r="O603" i="1"/>
  <c r="N603" i="1"/>
  <c r="L603" i="1"/>
  <c r="O602" i="1"/>
  <c r="N602" i="1"/>
  <c r="L602" i="1"/>
  <c r="O601" i="1"/>
  <c r="N601" i="1"/>
  <c r="L601" i="1"/>
  <c r="O600" i="1"/>
  <c r="N600" i="1"/>
  <c r="L600" i="1"/>
  <c r="O599" i="1"/>
  <c r="N599" i="1"/>
  <c r="L599" i="1"/>
  <c r="O598" i="1"/>
  <c r="N598" i="1"/>
  <c r="L598" i="1"/>
  <c r="O597" i="1"/>
  <c r="N597" i="1"/>
  <c r="L597" i="1"/>
  <c r="O596" i="1"/>
  <c r="N596" i="1"/>
  <c r="L596" i="1"/>
  <c r="O595" i="1"/>
  <c r="N595" i="1"/>
  <c r="L595" i="1"/>
  <c r="O594" i="1"/>
  <c r="N594" i="1"/>
  <c r="L594" i="1"/>
  <c r="O593" i="1"/>
  <c r="N593" i="1"/>
  <c r="L593" i="1"/>
  <c r="O592" i="1"/>
  <c r="N592" i="1"/>
  <c r="L592" i="1"/>
  <c r="O591" i="1"/>
  <c r="N591" i="1"/>
  <c r="L591" i="1"/>
  <c r="BI590" i="1"/>
  <c r="BH590" i="1"/>
  <c r="BG590" i="1"/>
  <c r="BF590" i="1"/>
  <c r="BE590" i="1"/>
  <c r="BD590" i="1"/>
  <c r="O590" i="1"/>
  <c r="N590" i="1"/>
  <c r="L590" i="1"/>
  <c r="BI589" i="1"/>
  <c r="BH589" i="1"/>
  <c r="BG589" i="1"/>
  <c r="BF589" i="1"/>
  <c r="BE589" i="1"/>
  <c r="BD589" i="1"/>
  <c r="O589" i="1"/>
  <c r="N589" i="1"/>
  <c r="L589" i="1"/>
  <c r="BI588" i="1"/>
  <c r="BH588" i="1"/>
  <c r="BG588" i="1"/>
  <c r="BF588" i="1"/>
  <c r="BE588" i="1"/>
  <c r="BD588" i="1"/>
  <c r="O588" i="1"/>
  <c r="N588" i="1"/>
  <c r="L588" i="1"/>
  <c r="BI587" i="1"/>
  <c r="BH587" i="1"/>
  <c r="BG587" i="1"/>
  <c r="BF587" i="1"/>
  <c r="BE587" i="1"/>
  <c r="BD587" i="1"/>
  <c r="O587" i="1"/>
  <c r="N587" i="1"/>
  <c r="L587" i="1"/>
  <c r="BI586" i="1"/>
  <c r="BH586" i="1"/>
  <c r="BG586" i="1"/>
  <c r="BF586" i="1"/>
  <c r="BE586" i="1"/>
  <c r="BD586" i="1"/>
  <c r="O586" i="1"/>
  <c r="N586" i="1"/>
  <c r="L586" i="1"/>
  <c r="BI585" i="1"/>
  <c r="BH585" i="1"/>
  <c r="BG585" i="1"/>
  <c r="BF585" i="1"/>
  <c r="BE585" i="1"/>
  <c r="BD585" i="1"/>
  <c r="O585" i="1"/>
  <c r="N585" i="1"/>
  <c r="L585" i="1"/>
  <c r="BI584" i="1"/>
  <c r="BH584" i="1"/>
  <c r="BG584" i="1"/>
  <c r="BF584" i="1"/>
  <c r="BE584" i="1"/>
  <c r="BD584" i="1"/>
  <c r="O584" i="1"/>
  <c r="N584" i="1"/>
  <c r="L584" i="1"/>
  <c r="BI583" i="1"/>
  <c r="BH583" i="1"/>
  <c r="BG583" i="1"/>
  <c r="BF583" i="1"/>
  <c r="BE583" i="1"/>
  <c r="BD583" i="1"/>
  <c r="O583" i="1"/>
  <c r="N583" i="1"/>
  <c r="L583" i="1"/>
  <c r="BI582" i="1"/>
  <c r="BH582" i="1"/>
  <c r="BG582" i="1"/>
  <c r="BF582" i="1"/>
  <c r="BE582" i="1"/>
  <c r="BD582" i="1"/>
  <c r="O582" i="1"/>
  <c r="N582" i="1"/>
  <c r="L582" i="1"/>
  <c r="BI581" i="1"/>
  <c r="BH581" i="1"/>
  <c r="BG581" i="1"/>
  <c r="BF581" i="1"/>
  <c r="BE581" i="1"/>
  <c r="BD581" i="1"/>
  <c r="O581" i="1"/>
  <c r="N581" i="1"/>
  <c r="L581" i="1"/>
  <c r="BI580" i="1"/>
  <c r="BH580" i="1"/>
  <c r="BG580" i="1"/>
  <c r="BF580" i="1"/>
  <c r="BE580" i="1"/>
  <c r="BD580" i="1"/>
  <c r="O580" i="1"/>
  <c r="N580" i="1"/>
  <c r="L580" i="1"/>
  <c r="BI579" i="1"/>
  <c r="BH579" i="1"/>
  <c r="BG579" i="1"/>
  <c r="BF579" i="1"/>
  <c r="BE579" i="1"/>
  <c r="BD579" i="1"/>
  <c r="O579" i="1"/>
  <c r="N579" i="1"/>
  <c r="L579" i="1"/>
  <c r="BI578" i="1"/>
  <c r="BH578" i="1"/>
  <c r="BG578" i="1"/>
  <c r="BF578" i="1"/>
  <c r="BE578" i="1"/>
  <c r="BD578" i="1"/>
  <c r="O578" i="1"/>
  <c r="N578" i="1"/>
  <c r="L578" i="1"/>
  <c r="BI577" i="1"/>
  <c r="BH577" i="1"/>
  <c r="BG577" i="1"/>
  <c r="BF577" i="1"/>
  <c r="BE577" i="1"/>
  <c r="BD577" i="1"/>
  <c r="O577" i="1"/>
  <c r="N577" i="1"/>
  <c r="L577" i="1"/>
  <c r="BI576" i="1"/>
  <c r="BH576" i="1"/>
  <c r="BG576" i="1"/>
  <c r="BF576" i="1"/>
  <c r="BE576" i="1"/>
  <c r="BD576" i="1"/>
  <c r="O576" i="1"/>
  <c r="N576" i="1"/>
  <c r="L576" i="1"/>
  <c r="BI575" i="1"/>
  <c r="BH575" i="1"/>
  <c r="BG575" i="1"/>
  <c r="BF575" i="1"/>
  <c r="BE575" i="1"/>
  <c r="BD575" i="1"/>
  <c r="O575" i="1"/>
  <c r="N575" i="1"/>
  <c r="L575" i="1"/>
  <c r="BI574" i="1"/>
  <c r="BH574" i="1"/>
  <c r="BG574" i="1"/>
  <c r="BF574" i="1"/>
  <c r="BE574" i="1"/>
  <c r="BD574" i="1"/>
  <c r="O574" i="1"/>
  <c r="N574" i="1"/>
  <c r="L574" i="1"/>
  <c r="BI573" i="1"/>
  <c r="BH573" i="1"/>
  <c r="BG573" i="1"/>
  <c r="BF573" i="1"/>
  <c r="BE573" i="1"/>
  <c r="BD573" i="1"/>
  <c r="O573" i="1"/>
  <c r="N573" i="1"/>
  <c r="L573" i="1"/>
  <c r="BI572" i="1"/>
  <c r="BH572" i="1"/>
  <c r="BG572" i="1"/>
  <c r="BF572" i="1"/>
  <c r="BE572" i="1"/>
  <c r="BD572" i="1"/>
  <c r="O572" i="1"/>
  <c r="N572" i="1"/>
  <c r="L572" i="1"/>
  <c r="BI571" i="1"/>
  <c r="BH571" i="1"/>
  <c r="BG571" i="1"/>
  <c r="BF571" i="1"/>
  <c r="BE571" i="1"/>
  <c r="BD571" i="1"/>
  <c r="O571" i="1"/>
  <c r="N571" i="1"/>
  <c r="L571" i="1"/>
  <c r="BI570" i="1"/>
  <c r="BH570" i="1"/>
  <c r="BG570" i="1"/>
  <c r="BF570" i="1"/>
  <c r="BE570" i="1"/>
  <c r="BD570" i="1"/>
  <c r="O570" i="1"/>
  <c r="N570" i="1"/>
  <c r="L570" i="1"/>
  <c r="BI569" i="1"/>
  <c r="BH569" i="1"/>
  <c r="BG569" i="1"/>
  <c r="BF569" i="1"/>
  <c r="BE569" i="1"/>
  <c r="BD569" i="1"/>
  <c r="O569" i="1"/>
  <c r="N569" i="1"/>
  <c r="L569" i="1"/>
  <c r="BI568" i="1"/>
  <c r="BH568" i="1"/>
  <c r="BG568" i="1"/>
  <c r="BF568" i="1"/>
  <c r="BE568" i="1"/>
  <c r="BD568" i="1"/>
  <c r="O568" i="1"/>
  <c r="N568" i="1"/>
  <c r="L568" i="1"/>
  <c r="BI567" i="1"/>
  <c r="BH567" i="1"/>
  <c r="BG567" i="1"/>
  <c r="BF567" i="1"/>
  <c r="BE567" i="1"/>
  <c r="BD567" i="1"/>
  <c r="O567" i="1"/>
  <c r="N567" i="1"/>
  <c r="L567" i="1"/>
  <c r="BI566" i="1"/>
  <c r="BH566" i="1"/>
  <c r="BG566" i="1"/>
  <c r="BF566" i="1"/>
  <c r="BE566" i="1"/>
  <c r="BD566" i="1"/>
  <c r="O566" i="1"/>
  <c r="N566" i="1"/>
  <c r="L566" i="1"/>
  <c r="BI565" i="1"/>
  <c r="BH565" i="1"/>
  <c r="BG565" i="1"/>
  <c r="BF565" i="1"/>
  <c r="BE565" i="1"/>
  <c r="BD565" i="1"/>
  <c r="O565" i="1"/>
  <c r="N565" i="1"/>
  <c r="L565" i="1"/>
  <c r="BI564" i="1"/>
  <c r="BH564" i="1"/>
  <c r="BG564" i="1"/>
  <c r="BF564" i="1"/>
  <c r="BE564" i="1"/>
  <c r="BD564" i="1"/>
  <c r="O564" i="1"/>
  <c r="N564" i="1"/>
  <c r="L564" i="1"/>
  <c r="BI563" i="1"/>
  <c r="BH563" i="1"/>
  <c r="BG563" i="1"/>
  <c r="BF563" i="1"/>
  <c r="BE563" i="1"/>
  <c r="BD563" i="1"/>
  <c r="O563" i="1"/>
  <c r="N563" i="1"/>
  <c r="L563" i="1"/>
  <c r="BI562" i="1"/>
  <c r="BH562" i="1"/>
  <c r="BG562" i="1"/>
  <c r="BF562" i="1"/>
  <c r="BE562" i="1"/>
  <c r="BD562" i="1"/>
  <c r="O562" i="1"/>
  <c r="N562" i="1"/>
  <c r="L562" i="1"/>
  <c r="BI561" i="1"/>
  <c r="BH561" i="1"/>
  <c r="BG561" i="1"/>
  <c r="BF561" i="1"/>
  <c r="BE561" i="1"/>
  <c r="BD561" i="1"/>
  <c r="O561" i="1"/>
  <c r="N561" i="1"/>
  <c r="L561" i="1"/>
  <c r="BI560" i="1"/>
  <c r="BH560" i="1"/>
  <c r="BG560" i="1"/>
  <c r="BF560" i="1"/>
  <c r="BE560" i="1"/>
  <c r="BD560" i="1"/>
  <c r="O560" i="1"/>
  <c r="N560" i="1"/>
  <c r="L560" i="1"/>
  <c r="BI559" i="1"/>
  <c r="BH559" i="1"/>
  <c r="BG559" i="1"/>
  <c r="BF559" i="1"/>
  <c r="BE559" i="1"/>
  <c r="BD559" i="1"/>
  <c r="O559" i="1"/>
  <c r="N559" i="1"/>
  <c r="L559" i="1"/>
  <c r="BI558" i="1"/>
  <c r="BH558" i="1"/>
  <c r="BG558" i="1"/>
  <c r="BF558" i="1"/>
  <c r="BE558" i="1"/>
  <c r="BD558" i="1"/>
  <c r="O558" i="1"/>
  <c r="N558" i="1"/>
  <c r="L558" i="1"/>
  <c r="BI557" i="1"/>
  <c r="BH557" i="1"/>
  <c r="BG557" i="1"/>
  <c r="BF557" i="1"/>
  <c r="BE557" i="1"/>
  <c r="BD557" i="1"/>
  <c r="O557" i="1"/>
  <c r="N557" i="1"/>
  <c r="L557" i="1"/>
  <c r="BI556" i="1"/>
  <c r="BH556" i="1"/>
  <c r="BG556" i="1"/>
  <c r="BF556" i="1"/>
  <c r="BE556" i="1"/>
  <c r="BD556" i="1"/>
  <c r="O556" i="1"/>
  <c r="N556" i="1"/>
  <c r="L556" i="1"/>
  <c r="BI555" i="1"/>
  <c r="BH555" i="1"/>
  <c r="BG555" i="1"/>
  <c r="BF555" i="1"/>
  <c r="BE555" i="1"/>
  <c r="BD555" i="1"/>
  <c r="O555" i="1"/>
  <c r="N555" i="1"/>
  <c r="L555" i="1"/>
  <c r="BI554" i="1"/>
  <c r="BH554" i="1"/>
  <c r="BG554" i="1"/>
  <c r="BF554" i="1"/>
  <c r="BE554" i="1"/>
  <c r="BD554" i="1"/>
  <c r="O554" i="1"/>
  <c r="N554" i="1"/>
  <c r="L554" i="1"/>
  <c r="BI553" i="1"/>
  <c r="BH553" i="1"/>
  <c r="BG553" i="1"/>
  <c r="BF553" i="1"/>
  <c r="BE553" i="1"/>
  <c r="BD553" i="1"/>
  <c r="O553" i="1"/>
  <c r="N553" i="1"/>
  <c r="L553" i="1"/>
  <c r="BI552" i="1"/>
  <c r="BH552" i="1"/>
  <c r="BG552" i="1"/>
  <c r="BF552" i="1"/>
  <c r="BE552" i="1"/>
  <c r="BD552" i="1"/>
  <c r="O552" i="1"/>
  <c r="N552" i="1"/>
  <c r="L552" i="1"/>
  <c r="BI551" i="1"/>
  <c r="BH551" i="1"/>
  <c r="BG551" i="1"/>
  <c r="BF551" i="1"/>
  <c r="BE551" i="1"/>
  <c r="BD551" i="1"/>
  <c r="O551" i="1"/>
  <c r="N551" i="1"/>
  <c r="L551" i="1"/>
  <c r="BI550" i="1"/>
  <c r="BH550" i="1"/>
  <c r="BG550" i="1"/>
  <c r="BF550" i="1"/>
  <c r="BE550" i="1"/>
  <c r="BD550" i="1"/>
  <c r="O550" i="1"/>
  <c r="N550" i="1"/>
  <c r="L550" i="1"/>
  <c r="BI549" i="1"/>
  <c r="BH549" i="1"/>
  <c r="BG549" i="1"/>
  <c r="BF549" i="1"/>
  <c r="BE549" i="1"/>
  <c r="BD549" i="1"/>
  <c r="O549" i="1"/>
  <c r="N549" i="1"/>
  <c r="L549" i="1"/>
  <c r="BI548" i="1"/>
  <c r="BH548" i="1"/>
  <c r="BG548" i="1"/>
  <c r="BF548" i="1"/>
  <c r="BE548" i="1"/>
  <c r="BD548" i="1"/>
  <c r="O548" i="1"/>
  <c r="N548" i="1"/>
  <c r="L548" i="1"/>
  <c r="BI547" i="1"/>
  <c r="BH547" i="1"/>
  <c r="BG547" i="1"/>
  <c r="BF547" i="1"/>
  <c r="BE547" i="1"/>
  <c r="BD547" i="1"/>
  <c r="O547" i="1"/>
  <c r="N547" i="1"/>
  <c r="L547" i="1"/>
  <c r="BI546" i="1"/>
  <c r="BH546" i="1"/>
  <c r="BG546" i="1"/>
  <c r="BF546" i="1"/>
  <c r="BE546" i="1"/>
  <c r="BD546" i="1"/>
  <c r="O546" i="1"/>
  <c r="N546" i="1"/>
  <c r="L546" i="1"/>
  <c r="BI545" i="1"/>
  <c r="BH545" i="1"/>
  <c r="BG545" i="1"/>
  <c r="BF545" i="1"/>
  <c r="BE545" i="1"/>
  <c r="BD545" i="1"/>
  <c r="O545" i="1"/>
  <c r="N545" i="1"/>
  <c r="L545" i="1"/>
  <c r="BI544" i="1"/>
  <c r="BH544" i="1"/>
  <c r="BG544" i="1"/>
  <c r="BF544" i="1"/>
  <c r="BE544" i="1"/>
  <c r="BD544" i="1"/>
  <c r="O544" i="1"/>
  <c r="N544" i="1"/>
  <c r="L544" i="1"/>
  <c r="BI543" i="1"/>
  <c r="BH543" i="1"/>
  <c r="BG543" i="1"/>
  <c r="BF543" i="1"/>
  <c r="BE543" i="1"/>
  <c r="BD543" i="1"/>
  <c r="O543" i="1"/>
  <c r="N543" i="1"/>
  <c r="L543" i="1"/>
  <c r="BI542" i="1"/>
  <c r="BH542" i="1"/>
  <c r="BG542" i="1"/>
  <c r="BF542" i="1"/>
  <c r="BE542" i="1"/>
  <c r="BD542" i="1"/>
  <c r="O542" i="1"/>
  <c r="N542" i="1"/>
  <c r="L542" i="1"/>
  <c r="BI541" i="1"/>
  <c r="BH541" i="1"/>
  <c r="BG541" i="1"/>
  <c r="BF541" i="1"/>
  <c r="BE541" i="1"/>
  <c r="BD541" i="1"/>
  <c r="O541" i="1"/>
  <c r="N541" i="1"/>
  <c r="L541" i="1"/>
  <c r="BI540" i="1"/>
  <c r="BH540" i="1"/>
  <c r="BG540" i="1"/>
  <c r="BF540" i="1"/>
  <c r="BE540" i="1"/>
  <c r="BD540" i="1"/>
  <c r="O540" i="1"/>
  <c r="N540" i="1"/>
  <c r="L540" i="1"/>
  <c r="BI539" i="1"/>
  <c r="BH539" i="1"/>
  <c r="BG539" i="1"/>
  <c r="BF539" i="1"/>
  <c r="BE539" i="1"/>
  <c r="BD539" i="1"/>
  <c r="O539" i="1"/>
  <c r="N539" i="1"/>
  <c r="L539" i="1"/>
  <c r="BI538" i="1"/>
  <c r="BH538" i="1"/>
  <c r="BG538" i="1"/>
  <c r="BF538" i="1"/>
  <c r="BE538" i="1"/>
  <c r="BD538" i="1"/>
  <c r="O538" i="1"/>
  <c r="N538" i="1"/>
  <c r="L538" i="1"/>
  <c r="BI537" i="1"/>
  <c r="BH537" i="1"/>
  <c r="BG537" i="1"/>
  <c r="BF537" i="1"/>
  <c r="BE537" i="1"/>
  <c r="BD537" i="1"/>
  <c r="O537" i="1"/>
  <c r="N537" i="1"/>
  <c r="L537" i="1"/>
  <c r="BI536" i="1"/>
  <c r="BH536" i="1"/>
  <c r="BG536" i="1"/>
  <c r="BF536" i="1"/>
  <c r="BE536" i="1"/>
  <c r="BD536" i="1"/>
  <c r="O536" i="1"/>
  <c r="N536" i="1"/>
  <c r="L536" i="1"/>
  <c r="BI535" i="1"/>
  <c r="BH535" i="1"/>
  <c r="BG535" i="1"/>
  <c r="BF535" i="1"/>
  <c r="BE535" i="1"/>
  <c r="BD535" i="1"/>
  <c r="O535" i="1"/>
  <c r="N535" i="1"/>
  <c r="L535" i="1"/>
  <c r="BI534" i="1"/>
  <c r="BH534" i="1"/>
  <c r="BG534" i="1"/>
  <c r="BF534" i="1"/>
  <c r="BE534" i="1"/>
  <c r="BD534" i="1"/>
  <c r="O534" i="1"/>
  <c r="N534" i="1"/>
  <c r="L534" i="1"/>
  <c r="BI533" i="1"/>
  <c r="BH533" i="1"/>
  <c r="BG533" i="1"/>
  <c r="BF533" i="1"/>
  <c r="BE533" i="1"/>
  <c r="BD533" i="1"/>
  <c r="O533" i="1"/>
  <c r="N533" i="1"/>
  <c r="L533" i="1"/>
  <c r="BI532" i="1"/>
  <c r="BH532" i="1"/>
  <c r="BG532" i="1"/>
  <c r="BF532" i="1"/>
  <c r="BE532" i="1"/>
  <c r="BD532" i="1"/>
  <c r="O532" i="1"/>
  <c r="N532" i="1"/>
  <c r="L532" i="1"/>
  <c r="BI531" i="1"/>
  <c r="BH531" i="1"/>
  <c r="BG531" i="1"/>
  <c r="BF531" i="1"/>
  <c r="BE531" i="1"/>
  <c r="BD531" i="1"/>
  <c r="O531" i="1"/>
  <c r="N531" i="1"/>
  <c r="L531" i="1"/>
  <c r="BI530" i="1"/>
  <c r="BH530" i="1"/>
  <c r="BG530" i="1"/>
  <c r="BF530" i="1"/>
  <c r="BE530" i="1"/>
  <c r="BD530" i="1"/>
  <c r="O530" i="1"/>
  <c r="N530" i="1"/>
  <c r="L530" i="1"/>
  <c r="BI529" i="1"/>
  <c r="BH529" i="1"/>
  <c r="BG529" i="1"/>
  <c r="BF529" i="1"/>
  <c r="BE529" i="1"/>
  <c r="BD529" i="1"/>
  <c r="O529" i="1"/>
  <c r="N529" i="1"/>
  <c r="L529" i="1"/>
  <c r="BI528" i="1"/>
  <c r="BH528" i="1"/>
  <c r="BG528" i="1"/>
  <c r="BF528" i="1"/>
  <c r="BE528" i="1"/>
  <c r="BD528" i="1"/>
  <c r="O528" i="1"/>
  <c r="N528" i="1"/>
  <c r="L528" i="1"/>
  <c r="BI527" i="1"/>
  <c r="BH527" i="1"/>
  <c r="BG527" i="1"/>
  <c r="BF527" i="1"/>
  <c r="BE527" i="1"/>
  <c r="BD527" i="1"/>
  <c r="O527" i="1"/>
  <c r="N527" i="1"/>
  <c r="L527" i="1"/>
  <c r="BI526" i="1"/>
  <c r="BH526" i="1"/>
  <c r="BG526" i="1"/>
  <c r="BF526" i="1"/>
  <c r="BE526" i="1"/>
  <c r="BD526" i="1"/>
  <c r="O526" i="1"/>
  <c r="N526" i="1"/>
  <c r="L526" i="1"/>
  <c r="BI525" i="1"/>
  <c r="BH525" i="1"/>
  <c r="BG525" i="1"/>
  <c r="BF525" i="1"/>
  <c r="BE525" i="1"/>
  <c r="BD525" i="1"/>
  <c r="O525" i="1"/>
  <c r="N525" i="1"/>
  <c r="L525" i="1"/>
  <c r="BI524" i="1"/>
  <c r="BH524" i="1"/>
  <c r="BG524" i="1"/>
  <c r="BF524" i="1"/>
  <c r="BE524" i="1"/>
  <c r="BD524" i="1"/>
  <c r="O524" i="1"/>
  <c r="N524" i="1"/>
  <c r="L524" i="1"/>
  <c r="BI523" i="1"/>
  <c r="BH523" i="1"/>
  <c r="BG523" i="1"/>
  <c r="BF523" i="1"/>
  <c r="BE523" i="1"/>
  <c r="BD523" i="1"/>
  <c r="O523" i="1"/>
  <c r="N523" i="1"/>
  <c r="L523" i="1"/>
  <c r="BI522" i="1"/>
  <c r="BH522" i="1"/>
  <c r="BG522" i="1"/>
  <c r="BF522" i="1"/>
  <c r="BE522" i="1"/>
  <c r="BD522" i="1"/>
  <c r="O522" i="1"/>
  <c r="N522" i="1"/>
  <c r="L522" i="1"/>
  <c r="BI521" i="1"/>
  <c r="BH521" i="1"/>
  <c r="BG521" i="1"/>
  <c r="BF521" i="1"/>
  <c r="BE521" i="1"/>
  <c r="BD521" i="1"/>
  <c r="O521" i="1"/>
  <c r="N521" i="1"/>
  <c r="L521" i="1"/>
  <c r="BI520" i="1"/>
  <c r="BH520" i="1"/>
  <c r="BG520" i="1"/>
  <c r="BF520" i="1"/>
  <c r="BE520" i="1"/>
  <c r="BD520" i="1"/>
  <c r="O520" i="1"/>
  <c r="N520" i="1"/>
  <c r="L520" i="1"/>
  <c r="BI519" i="1"/>
  <c r="BH519" i="1"/>
  <c r="BG519" i="1"/>
  <c r="BF519" i="1"/>
  <c r="BE519" i="1"/>
  <c r="BD519" i="1"/>
  <c r="O519" i="1"/>
  <c r="N519" i="1"/>
  <c r="L519" i="1"/>
  <c r="BI518" i="1"/>
  <c r="BH518" i="1"/>
  <c r="BG518" i="1"/>
  <c r="BF518" i="1"/>
  <c r="BE518" i="1"/>
  <c r="BD518" i="1"/>
  <c r="O518" i="1"/>
  <c r="N518" i="1"/>
  <c r="L518" i="1"/>
  <c r="BI517" i="1"/>
  <c r="BH517" i="1"/>
  <c r="BG517" i="1"/>
  <c r="BF517" i="1"/>
  <c r="BE517" i="1"/>
  <c r="BD517" i="1"/>
  <c r="O517" i="1"/>
  <c r="N517" i="1"/>
  <c r="L517" i="1"/>
  <c r="BI516" i="1"/>
  <c r="BH516" i="1"/>
  <c r="BG516" i="1"/>
  <c r="BF516" i="1"/>
  <c r="BE516" i="1"/>
  <c r="BD516" i="1"/>
  <c r="O516" i="1"/>
  <c r="N516" i="1"/>
  <c r="L516" i="1"/>
  <c r="BI515" i="1"/>
  <c r="BH515" i="1"/>
  <c r="BG515" i="1"/>
  <c r="BF515" i="1"/>
  <c r="BE515" i="1"/>
  <c r="BD515" i="1"/>
  <c r="O515" i="1"/>
  <c r="N515" i="1"/>
  <c r="L515" i="1"/>
  <c r="BI514" i="1"/>
  <c r="BH514" i="1"/>
  <c r="BG514" i="1"/>
  <c r="BF514" i="1"/>
  <c r="BE514" i="1"/>
  <c r="BD514" i="1"/>
  <c r="O514" i="1"/>
  <c r="N514" i="1"/>
  <c r="L514" i="1"/>
  <c r="BI513" i="1"/>
  <c r="BH513" i="1"/>
  <c r="BG513" i="1"/>
  <c r="BF513" i="1"/>
  <c r="BE513" i="1"/>
  <c r="BD513" i="1"/>
  <c r="O513" i="1"/>
  <c r="N513" i="1"/>
  <c r="L513" i="1"/>
  <c r="BI512" i="1"/>
  <c r="BH512" i="1"/>
  <c r="BG512" i="1"/>
  <c r="BF512" i="1"/>
  <c r="BE512" i="1"/>
  <c r="BD512" i="1"/>
  <c r="O512" i="1"/>
  <c r="N512" i="1"/>
  <c r="L512" i="1"/>
  <c r="BI511" i="1"/>
  <c r="BH511" i="1"/>
  <c r="BG511" i="1"/>
  <c r="BF511" i="1"/>
  <c r="BE511" i="1"/>
  <c r="BD511" i="1"/>
  <c r="O511" i="1"/>
  <c r="N511" i="1"/>
  <c r="L511" i="1"/>
  <c r="BI510" i="1"/>
  <c r="BH510" i="1"/>
  <c r="BG510" i="1"/>
  <c r="BF510" i="1"/>
  <c r="BE510" i="1"/>
  <c r="BD510" i="1"/>
  <c r="O510" i="1"/>
  <c r="N510" i="1"/>
  <c r="L510" i="1"/>
  <c r="BI509" i="1"/>
  <c r="BH509" i="1"/>
  <c r="BG509" i="1"/>
  <c r="BF509" i="1"/>
  <c r="BE509" i="1"/>
  <c r="BD509" i="1"/>
  <c r="O509" i="1"/>
  <c r="N509" i="1"/>
  <c r="L509" i="1"/>
  <c r="BI508" i="1"/>
  <c r="BH508" i="1"/>
  <c r="BG508" i="1"/>
  <c r="BF508" i="1"/>
  <c r="BE508" i="1"/>
  <c r="BD508" i="1"/>
  <c r="O508" i="1"/>
  <c r="N508" i="1"/>
  <c r="L508" i="1"/>
  <c r="BI507" i="1"/>
  <c r="BH507" i="1"/>
  <c r="BG507" i="1"/>
  <c r="BF507" i="1"/>
  <c r="BE507" i="1"/>
  <c r="BD507" i="1"/>
  <c r="O507" i="1"/>
  <c r="N507" i="1"/>
  <c r="L507" i="1"/>
  <c r="BI506" i="1"/>
  <c r="BH506" i="1"/>
  <c r="BG506" i="1"/>
  <c r="BF506" i="1"/>
  <c r="BE506" i="1"/>
  <c r="BD506" i="1"/>
  <c r="P506" i="1"/>
  <c r="O506" i="1"/>
  <c r="N506" i="1"/>
  <c r="L506" i="1"/>
  <c r="BI505" i="1"/>
  <c r="BH505" i="1"/>
  <c r="BG505" i="1"/>
  <c r="BF505" i="1"/>
  <c r="BE505" i="1"/>
  <c r="BD505" i="1"/>
  <c r="O505" i="1"/>
  <c r="N505" i="1"/>
  <c r="L505" i="1"/>
  <c r="BI504" i="1"/>
  <c r="BH504" i="1"/>
  <c r="BG504" i="1"/>
  <c r="BF504" i="1"/>
  <c r="BE504" i="1"/>
  <c r="BD504" i="1"/>
  <c r="O504" i="1"/>
  <c r="N504" i="1"/>
  <c r="L504" i="1"/>
  <c r="BI503" i="1"/>
  <c r="BH503" i="1"/>
  <c r="BG503" i="1"/>
  <c r="BF503" i="1"/>
  <c r="BE503" i="1"/>
  <c r="BD503" i="1"/>
  <c r="O503" i="1"/>
  <c r="N503" i="1"/>
  <c r="L503" i="1"/>
  <c r="BI502" i="1"/>
  <c r="BH502" i="1"/>
  <c r="BG502" i="1"/>
  <c r="BF502" i="1"/>
  <c r="BE502" i="1"/>
  <c r="BD502" i="1"/>
  <c r="O502" i="1"/>
  <c r="N502" i="1"/>
  <c r="L502" i="1"/>
  <c r="BI501" i="1"/>
  <c r="BH501" i="1"/>
  <c r="BG501" i="1"/>
  <c r="BF501" i="1"/>
  <c r="BE501" i="1"/>
  <c r="BD501" i="1"/>
  <c r="O501" i="1"/>
  <c r="N501" i="1"/>
  <c r="L501" i="1"/>
  <c r="BI500" i="1"/>
  <c r="BH500" i="1"/>
  <c r="BG500" i="1"/>
  <c r="BF500" i="1"/>
  <c r="BE500" i="1"/>
  <c r="BD500" i="1"/>
  <c r="O500" i="1"/>
  <c r="N500" i="1"/>
  <c r="L500" i="1"/>
  <c r="BI499" i="1"/>
  <c r="BH499" i="1"/>
  <c r="BG499" i="1"/>
  <c r="BF499" i="1"/>
  <c r="BE499" i="1"/>
  <c r="BD499" i="1"/>
  <c r="O499" i="1"/>
  <c r="N499" i="1"/>
  <c r="L499" i="1"/>
  <c r="BI498" i="1"/>
  <c r="BH498" i="1"/>
  <c r="BG498" i="1"/>
  <c r="BF498" i="1"/>
  <c r="BE498" i="1"/>
  <c r="BD498" i="1"/>
  <c r="O498" i="1"/>
  <c r="N498" i="1"/>
  <c r="L498" i="1"/>
  <c r="BI497" i="1"/>
  <c r="BH497" i="1"/>
  <c r="BG497" i="1"/>
  <c r="BF497" i="1"/>
  <c r="BE497" i="1"/>
  <c r="BD497" i="1"/>
  <c r="O497" i="1"/>
  <c r="N497" i="1"/>
  <c r="L497" i="1"/>
  <c r="BI496" i="1"/>
  <c r="BH496" i="1"/>
  <c r="BG496" i="1"/>
  <c r="BF496" i="1"/>
  <c r="BE496" i="1"/>
  <c r="BD496" i="1"/>
  <c r="O496" i="1"/>
  <c r="N496" i="1"/>
  <c r="L496" i="1"/>
  <c r="BI495" i="1"/>
  <c r="BH495" i="1"/>
  <c r="BG495" i="1"/>
  <c r="BF495" i="1"/>
  <c r="BE495" i="1"/>
  <c r="BD495" i="1"/>
  <c r="O495" i="1"/>
  <c r="N495" i="1"/>
  <c r="L495" i="1"/>
  <c r="BI494" i="1"/>
  <c r="BH494" i="1"/>
  <c r="BG494" i="1"/>
  <c r="BF494" i="1"/>
  <c r="BE494" i="1"/>
  <c r="BD494" i="1"/>
  <c r="O494" i="1"/>
  <c r="N494" i="1"/>
  <c r="L494" i="1"/>
  <c r="BI493" i="1"/>
  <c r="BH493" i="1"/>
  <c r="BG493" i="1"/>
  <c r="BF493" i="1"/>
  <c r="BE493" i="1"/>
  <c r="BD493" i="1"/>
  <c r="O493" i="1"/>
  <c r="N493" i="1"/>
  <c r="L493" i="1"/>
  <c r="BI492" i="1"/>
  <c r="BH492" i="1"/>
  <c r="BG492" i="1"/>
  <c r="BF492" i="1"/>
  <c r="BE492" i="1"/>
  <c r="BD492" i="1"/>
  <c r="O492" i="1"/>
  <c r="N492" i="1"/>
  <c r="L492" i="1"/>
  <c r="BI491" i="1"/>
  <c r="BH491" i="1"/>
  <c r="BG491" i="1"/>
  <c r="BF491" i="1"/>
  <c r="BE491" i="1"/>
  <c r="BD491" i="1"/>
  <c r="O491" i="1"/>
  <c r="N491" i="1"/>
  <c r="L491" i="1"/>
  <c r="BI490" i="1"/>
  <c r="BH490" i="1"/>
  <c r="BG490" i="1"/>
  <c r="BF490" i="1"/>
  <c r="BE490" i="1"/>
  <c r="BD490" i="1"/>
  <c r="O490" i="1"/>
  <c r="N490" i="1"/>
  <c r="L490" i="1"/>
  <c r="BI489" i="1"/>
  <c r="BH489" i="1"/>
  <c r="BG489" i="1"/>
  <c r="BF489" i="1"/>
  <c r="BE489" i="1"/>
  <c r="BD489" i="1"/>
  <c r="O489" i="1"/>
  <c r="N489" i="1"/>
  <c r="L489" i="1"/>
  <c r="BI488" i="1"/>
  <c r="BH488" i="1"/>
  <c r="BG488" i="1"/>
  <c r="BF488" i="1"/>
  <c r="BE488" i="1"/>
  <c r="BD488" i="1"/>
  <c r="O488" i="1"/>
  <c r="N488" i="1"/>
  <c r="L488" i="1"/>
  <c r="BI487" i="1"/>
  <c r="BH487" i="1"/>
  <c r="BG487" i="1"/>
  <c r="BF487" i="1"/>
  <c r="BE487" i="1"/>
  <c r="BD487" i="1"/>
  <c r="O487" i="1"/>
  <c r="N487" i="1"/>
  <c r="L487" i="1"/>
  <c r="BI486" i="1"/>
  <c r="BH486" i="1"/>
  <c r="BG486" i="1"/>
  <c r="BF486" i="1"/>
  <c r="BE486" i="1"/>
  <c r="BD486" i="1"/>
  <c r="O486" i="1"/>
  <c r="N486" i="1"/>
  <c r="L486" i="1"/>
  <c r="BI485" i="1"/>
  <c r="BH485" i="1"/>
  <c r="BG485" i="1"/>
  <c r="BF485" i="1"/>
  <c r="BE485" i="1"/>
  <c r="BD485" i="1"/>
  <c r="O485" i="1"/>
  <c r="N485" i="1"/>
  <c r="L485" i="1"/>
  <c r="BI484" i="1"/>
  <c r="BH484" i="1"/>
  <c r="BG484" i="1"/>
  <c r="BF484" i="1"/>
  <c r="BE484" i="1"/>
  <c r="BD484" i="1"/>
  <c r="O484" i="1"/>
  <c r="N484" i="1"/>
  <c r="L484" i="1"/>
  <c r="BI483" i="1"/>
  <c r="BH483" i="1"/>
  <c r="BG483" i="1"/>
  <c r="BF483" i="1"/>
  <c r="BE483" i="1"/>
  <c r="BD483" i="1"/>
  <c r="P483" i="1"/>
  <c r="O483" i="1"/>
  <c r="N483" i="1"/>
  <c r="L483" i="1"/>
  <c r="BI482" i="1"/>
  <c r="BH482" i="1"/>
  <c r="BG482" i="1"/>
  <c r="BF482" i="1"/>
  <c r="BE482" i="1"/>
  <c r="BD482" i="1"/>
  <c r="O482" i="1"/>
  <c r="N482" i="1"/>
  <c r="L482" i="1"/>
  <c r="BI481" i="1"/>
  <c r="BH481" i="1"/>
  <c r="BG481" i="1"/>
  <c r="BF481" i="1"/>
  <c r="BE481" i="1"/>
  <c r="BD481" i="1"/>
  <c r="O481" i="1"/>
  <c r="N481" i="1"/>
  <c r="L481" i="1"/>
  <c r="BI480" i="1"/>
  <c r="BH480" i="1"/>
  <c r="BG480" i="1"/>
  <c r="BF480" i="1"/>
  <c r="BE480" i="1"/>
  <c r="BD480" i="1"/>
  <c r="O480" i="1"/>
  <c r="N480" i="1"/>
  <c r="L480" i="1"/>
  <c r="BI479" i="1"/>
  <c r="BH479" i="1"/>
  <c r="BG479" i="1"/>
  <c r="BF479" i="1"/>
  <c r="BE479" i="1"/>
  <c r="BD479" i="1"/>
  <c r="O479" i="1"/>
  <c r="N479" i="1"/>
  <c r="L479" i="1"/>
  <c r="BI478" i="1"/>
  <c r="BH478" i="1"/>
  <c r="BG478" i="1"/>
  <c r="BF478" i="1"/>
  <c r="BE478" i="1"/>
  <c r="BD478" i="1"/>
  <c r="O478" i="1"/>
  <c r="N478" i="1"/>
  <c r="L478" i="1"/>
  <c r="BI477" i="1"/>
  <c r="BH477" i="1"/>
  <c r="BG477" i="1"/>
  <c r="BF477" i="1"/>
  <c r="BE477" i="1"/>
  <c r="BD477" i="1"/>
  <c r="O477" i="1"/>
  <c r="N477" i="1"/>
  <c r="L477" i="1"/>
  <c r="BI476" i="1"/>
  <c r="BH476" i="1"/>
  <c r="BG476" i="1"/>
  <c r="BF476" i="1"/>
  <c r="BE476" i="1"/>
  <c r="BD476" i="1"/>
  <c r="O476" i="1"/>
  <c r="N476" i="1"/>
  <c r="L476" i="1"/>
  <c r="BI475" i="1"/>
  <c r="BH475" i="1"/>
  <c r="BG475" i="1"/>
  <c r="BF475" i="1"/>
  <c r="BE475" i="1"/>
  <c r="BD475" i="1"/>
  <c r="O475" i="1"/>
  <c r="N475" i="1"/>
  <c r="L475" i="1"/>
  <c r="BI474" i="1"/>
  <c r="BH474" i="1"/>
  <c r="BG474" i="1"/>
  <c r="BF474" i="1"/>
  <c r="BE474" i="1"/>
  <c r="BD474" i="1"/>
  <c r="O474" i="1"/>
  <c r="N474" i="1"/>
  <c r="L474" i="1"/>
  <c r="BI473" i="1"/>
  <c r="BH473" i="1"/>
  <c r="BG473" i="1"/>
  <c r="BF473" i="1"/>
  <c r="BE473" i="1"/>
  <c r="BD473" i="1"/>
  <c r="O473" i="1"/>
  <c r="N473" i="1"/>
  <c r="L473" i="1"/>
  <c r="BI472" i="1"/>
  <c r="BH472" i="1"/>
  <c r="BG472" i="1"/>
  <c r="BF472" i="1"/>
  <c r="BE472" i="1"/>
  <c r="BD472" i="1"/>
  <c r="O472" i="1"/>
  <c r="N472" i="1"/>
  <c r="L472" i="1"/>
  <c r="BI471" i="1"/>
  <c r="BH471" i="1"/>
  <c r="BG471" i="1"/>
  <c r="BF471" i="1"/>
  <c r="BE471" i="1"/>
  <c r="BD471" i="1"/>
  <c r="O471" i="1"/>
  <c r="N471" i="1"/>
  <c r="L471" i="1"/>
  <c r="BI470" i="1"/>
  <c r="BH470" i="1"/>
  <c r="BG470" i="1"/>
  <c r="BF470" i="1"/>
  <c r="BE470" i="1"/>
  <c r="BD470" i="1"/>
  <c r="O470" i="1"/>
  <c r="N470" i="1"/>
  <c r="L470" i="1"/>
  <c r="BI469" i="1"/>
  <c r="BH469" i="1"/>
  <c r="BG469" i="1"/>
  <c r="BF469" i="1"/>
  <c r="BE469" i="1"/>
  <c r="BD469" i="1"/>
  <c r="O469" i="1"/>
  <c r="N469" i="1"/>
  <c r="L469" i="1"/>
  <c r="BI468" i="1"/>
  <c r="BH468" i="1"/>
  <c r="BG468" i="1"/>
  <c r="BF468" i="1"/>
  <c r="BE468" i="1"/>
  <c r="BD468" i="1"/>
  <c r="O468" i="1"/>
  <c r="N468" i="1"/>
  <c r="L468" i="1"/>
  <c r="BI467" i="1"/>
  <c r="BH467" i="1"/>
  <c r="BG467" i="1"/>
  <c r="BF467" i="1"/>
  <c r="BE467" i="1"/>
  <c r="BD467" i="1"/>
  <c r="O467" i="1"/>
  <c r="N467" i="1"/>
  <c r="L467" i="1"/>
  <c r="BI466" i="1"/>
  <c r="BH466" i="1"/>
  <c r="BG466" i="1"/>
  <c r="BF466" i="1"/>
  <c r="BE466" i="1"/>
  <c r="BD466" i="1"/>
  <c r="O466" i="1"/>
  <c r="N466" i="1"/>
  <c r="L466" i="1"/>
  <c r="BI465" i="1"/>
  <c r="BH465" i="1"/>
  <c r="BG465" i="1"/>
  <c r="BF465" i="1"/>
  <c r="BE465" i="1"/>
  <c r="BD465" i="1"/>
  <c r="O465" i="1"/>
  <c r="N465" i="1"/>
  <c r="L465" i="1"/>
  <c r="BI464" i="1"/>
  <c r="BH464" i="1"/>
  <c r="BG464" i="1"/>
  <c r="BF464" i="1"/>
  <c r="BE464" i="1"/>
  <c r="BD464" i="1"/>
  <c r="O464" i="1"/>
  <c r="N464" i="1"/>
  <c r="L464" i="1"/>
  <c r="BI463" i="1"/>
  <c r="BH463" i="1"/>
  <c r="BG463" i="1"/>
  <c r="BF463" i="1"/>
  <c r="BE463" i="1"/>
  <c r="BD463" i="1"/>
  <c r="O463" i="1"/>
  <c r="N463" i="1"/>
  <c r="L463" i="1"/>
  <c r="BI462" i="1"/>
  <c r="BH462" i="1"/>
  <c r="BG462" i="1"/>
  <c r="BF462" i="1"/>
  <c r="BE462" i="1"/>
  <c r="BD462" i="1"/>
  <c r="O462" i="1"/>
  <c r="N462" i="1"/>
  <c r="L462" i="1"/>
  <c r="BI461" i="1"/>
  <c r="BH461" i="1"/>
  <c r="BG461" i="1"/>
  <c r="BF461" i="1"/>
  <c r="BE461" i="1"/>
  <c r="BD461" i="1"/>
  <c r="O461" i="1"/>
  <c r="N461" i="1"/>
  <c r="L461" i="1"/>
  <c r="BI460" i="1"/>
  <c r="BH460" i="1"/>
  <c r="BG460" i="1"/>
  <c r="BF460" i="1"/>
  <c r="BE460" i="1"/>
  <c r="BD460" i="1"/>
  <c r="O460" i="1"/>
  <c r="N460" i="1"/>
  <c r="L460" i="1"/>
  <c r="BI459" i="1"/>
  <c r="BH459" i="1"/>
  <c r="BG459" i="1"/>
  <c r="BF459" i="1"/>
  <c r="BE459" i="1"/>
  <c r="BD459" i="1"/>
  <c r="O459" i="1"/>
  <c r="N459" i="1"/>
  <c r="L459" i="1"/>
  <c r="BI458" i="1"/>
  <c r="BH458" i="1"/>
  <c r="BG458" i="1"/>
  <c r="BF458" i="1"/>
  <c r="BE458" i="1"/>
  <c r="BD458" i="1"/>
  <c r="O458" i="1"/>
  <c r="N458" i="1"/>
  <c r="L458" i="1"/>
  <c r="BI457" i="1"/>
  <c r="BH457" i="1"/>
  <c r="BG457" i="1"/>
  <c r="BF457" i="1"/>
  <c r="BE457" i="1"/>
  <c r="BD457" i="1"/>
  <c r="O457" i="1"/>
  <c r="N457" i="1"/>
  <c r="L457" i="1"/>
  <c r="BI456" i="1"/>
  <c r="BH456" i="1"/>
  <c r="BG456" i="1"/>
  <c r="BF456" i="1"/>
  <c r="BE456" i="1"/>
  <c r="BD456" i="1"/>
  <c r="O456" i="1"/>
  <c r="N456" i="1"/>
  <c r="L456" i="1"/>
  <c r="BI455" i="1"/>
  <c r="BH455" i="1"/>
  <c r="BG455" i="1"/>
  <c r="BF455" i="1"/>
  <c r="BE455" i="1"/>
  <c r="BD455" i="1"/>
  <c r="O455" i="1"/>
  <c r="N455" i="1"/>
  <c r="L455" i="1"/>
  <c r="BI454" i="1"/>
  <c r="BH454" i="1"/>
  <c r="BG454" i="1"/>
  <c r="BF454" i="1"/>
  <c r="BE454" i="1"/>
  <c r="BD454" i="1"/>
  <c r="O454" i="1"/>
  <c r="N454" i="1"/>
  <c r="L454" i="1"/>
  <c r="BI453" i="1"/>
  <c r="BH453" i="1"/>
  <c r="BG453" i="1"/>
  <c r="BF453" i="1"/>
  <c r="BE453" i="1"/>
  <c r="BD453" i="1"/>
  <c r="O453" i="1"/>
  <c r="N453" i="1"/>
  <c r="L453" i="1"/>
  <c r="BI452" i="1"/>
  <c r="BH452" i="1"/>
  <c r="BG452" i="1"/>
  <c r="BF452" i="1"/>
  <c r="BE452" i="1"/>
  <c r="BD452" i="1"/>
  <c r="O452" i="1"/>
  <c r="N452" i="1"/>
  <c r="L452" i="1"/>
  <c r="BI451" i="1"/>
  <c r="BH451" i="1"/>
  <c r="BG451" i="1"/>
  <c r="BF451" i="1"/>
  <c r="BE451" i="1"/>
  <c r="BD451" i="1"/>
  <c r="O451" i="1"/>
  <c r="N451" i="1"/>
  <c r="L451" i="1"/>
  <c r="BI450" i="1"/>
  <c r="BH450" i="1"/>
  <c r="BG450" i="1"/>
  <c r="BF450" i="1"/>
  <c r="BE450" i="1"/>
  <c r="BD450" i="1"/>
  <c r="O450" i="1"/>
  <c r="N450" i="1"/>
  <c r="L450" i="1"/>
  <c r="BI449" i="1"/>
  <c r="BH449" i="1"/>
  <c r="BG449" i="1"/>
  <c r="BF449" i="1"/>
  <c r="BE449" i="1"/>
  <c r="BD449" i="1"/>
  <c r="O449" i="1"/>
  <c r="N449" i="1"/>
  <c r="L449" i="1"/>
  <c r="BI448" i="1"/>
  <c r="BH448" i="1"/>
  <c r="BG448" i="1"/>
  <c r="BF448" i="1"/>
  <c r="BE448" i="1"/>
  <c r="BD448" i="1"/>
  <c r="O448" i="1"/>
  <c r="N448" i="1"/>
  <c r="L448" i="1"/>
  <c r="BI447" i="1"/>
  <c r="BH447" i="1"/>
  <c r="BG447" i="1"/>
  <c r="BF447" i="1"/>
  <c r="BE447" i="1"/>
  <c r="BD447" i="1"/>
  <c r="O447" i="1"/>
  <c r="N447" i="1"/>
  <c r="L447" i="1"/>
  <c r="BI446" i="1"/>
  <c r="BH446" i="1"/>
  <c r="BG446" i="1"/>
  <c r="BF446" i="1"/>
  <c r="BE446" i="1"/>
  <c r="BD446" i="1"/>
  <c r="O446" i="1"/>
  <c r="N446" i="1"/>
  <c r="L446" i="1"/>
  <c r="BI445" i="1"/>
  <c r="BH445" i="1"/>
  <c r="BG445" i="1"/>
  <c r="BF445" i="1"/>
  <c r="BE445" i="1"/>
  <c r="BD445" i="1"/>
  <c r="O445" i="1"/>
  <c r="N445" i="1"/>
  <c r="L445" i="1"/>
  <c r="BI444" i="1"/>
  <c r="BH444" i="1"/>
  <c r="BG444" i="1"/>
  <c r="BF444" i="1"/>
  <c r="BE444" i="1"/>
  <c r="BD444" i="1"/>
  <c r="O444" i="1"/>
  <c r="N444" i="1"/>
  <c r="L444" i="1"/>
  <c r="BJ443" i="1"/>
  <c r="BI443" i="1"/>
  <c r="BH443" i="1"/>
  <c r="BG443" i="1"/>
  <c r="BF443" i="1"/>
  <c r="BE443" i="1"/>
  <c r="BD443" i="1"/>
  <c r="O443" i="1"/>
  <c r="N443" i="1"/>
  <c r="L443" i="1"/>
  <c r="BI442" i="1"/>
  <c r="BH442" i="1"/>
  <c r="BG442" i="1"/>
  <c r="BF442" i="1"/>
  <c r="BE442" i="1"/>
  <c r="BD442" i="1"/>
  <c r="O442" i="1"/>
  <c r="N442" i="1"/>
  <c r="L442" i="1"/>
  <c r="BI441" i="1"/>
  <c r="BH441" i="1"/>
  <c r="BG441" i="1"/>
  <c r="BF441" i="1"/>
  <c r="BE441" i="1"/>
  <c r="BD441" i="1"/>
  <c r="O441" i="1"/>
  <c r="N441" i="1"/>
  <c r="L441" i="1"/>
  <c r="BI440" i="1"/>
  <c r="BH440" i="1"/>
  <c r="BG440" i="1"/>
  <c r="BF440" i="1"/>
  <c r="BE440" i="1"/>
  <c r="BD440" i="1"/>
  <c r="O440" i="1"/>
  <c r="N440" i="1"/>
  <c r="L440" i="1"/>
  <c r="BI439" i="1"/>
  <c r="BH439" i="1"/>
  <c r="BG439" i="1"/>
  <c r="BF439" i="1"/>
  <c r="BE439" i="1"/>
  <c r="BD439" i="1"/>
  <c r="O439" i="1"/>
  <c r="N439" i="1"/>
  <c r="L439" i="1"/>
  <c r="BI438" i="1"/>
  <c r="BH438" i="1"/>
  <c r="BG438" i="1"/>
  <c r="BF438" i="1"/>
  <c r="BE438" i="1"/>
  <c r="BD438" i="1"/>
  <c r="O438" i="1"/>
  <c r="N438" i="1"/>
  <c r="L438" i="1"/>
  <c r="BI437" i="1"/>
  <c r="BH437" i="1"/>
  <c r="BG437" i="1"/>
  <c r="BF437" i="1"/>
  <c r="BE437" i="1"/>
  <c r="BD437" i="1"/>
  <c r="O437" i="1"/>
  <c r="N437" i="1"/>
  <c r="L437" i="1"/>
  <c r="BI436" i="1"/>
  <c r="BH436" i="1"/>
  <c r="BG436" i="1"/>
  <c r="BF436" i="1"/>
  <c r="BE436" i="1"/>
  <c r="BD436" i="1"/>
  <c r="O436" i="1"/>
  <c r="N436" i="1"/>
  <c r="L436" i="1"/>
  <c r="BI435" i="1"/>
  <c r="BH435" i="1"/>
  <c r="BG435" i="1"/>
  <c r="BF435" i="1"/>
  <c r="BE435" i="1"/>
  <c r="BD435" i="1"/>
  <c r="O435" i="1"/>
  <c r="N435" i="1"/>
  <c r="L435" i="1"/>
  <c r="BI434" i="1"/>
  <c r="BH434" i="1"/>
  <c r="BG434" i="1"/>
  <c r="BF434" i="1"/>
  <c r="BE434" i="1"/>
  <c r="BD434" i="1"/>
  <c r="O434" i="1"/>
  <c r="N434" i="1"/>
  <c r="L434" i="1"/>
  <c r="BI433" i="1"/>
  <c r="BH433" i="1"/>
  <c r="BG433" i="1"/>
  <c r="BF433" i="1"/>
  <c r="BE433" i="1"/>
  <c r="BD433" i="1"/>
  <c r="O433" i="1"/>
  <c r="N433" i="1"/>
  <c r="L433" i="1"/>
  <c r="BI432" i="1"/>
  <c r="BH432" i="1"/>
  <c r="BG432" i="1"/>
  <c r="BF432" i="1"/>
  <c r="BE432" i="1"/>
  <c r="BD432" i="1"/>
  <c r="O432" i="1"/>
  <c r="N432" i="1"/>
  <c r="L432" i="1"/>
  <c r="BI431" i="1"/>
  <c r="BH431" i="1"/>
  <c r="BG431" i="1"/>
  <c r="BF431" i="1"/>
  <c r="BE431" i="1"/>
  <c r="BD431" i="1"/>
  <c r="O431" i="1"/>
  <c r="N431" i="1"/>
  <c r="L431" i="1"/>
  <c r="BI430" i="1"/>
  <c r="BH430" i="1"/>
  <c r="BG430" i="1"/>
  <c r="BF430" i="1"/>
  <c r="BE430" i="1"/>
  <c r="BD430" i="1"/>
  <c r="O430" i="1"/>
  <c r="N430" i="1"/>
  <c r="L430" i="1"/>
  <c r="BI429" i="1"/>
  <c r="BH429" i="1"/>
  <c r="BG429" i="1"/>
  <c r="BF429" i="1"/>
  <c r="BE429" i="1"/>
  <c r="BD429" i="1"/>
  <c r="O429" i="1"/>
  <c r="N429" i="1"/>
  <c r="L429" i="1"/>
  <c r="BI428" i="1"/>
  <c r="BH428" i="1"/>
  <c r="BG428" i="1"/>
  <c r="BF428" i="1"/>
  <c r="BE428" i="1"/>
  <c r="BD428" i="1"/>
  <c r="O428" i="1"/>
  <c r="N428" i="1"/>
  <c r="L428" i="1"/>
  <c r="BI427" i="1"/>
  <c r="BH427" i="1"/>
  <c r="BG427" i="1"/>
  <c r="BF427" i="1"/>
  <c r="BE427" i="1"/>
  <c r="BD427" i="1"/>
  <c r="O427" i="1"/>
  <c r="N427" i="1"/>
  <c r="L427" i="1"/>
  <c r="BI426" i="1"/>
  <c r="BH426" i="1"/>
  <c r="BG426" i="1"/>
  <c r="BF426" i="1"/>
  <c r="BE426" i="1"/>
  <c r="BD426" i="1"/>
  <c r="O426" i="1"/>
  <c r="N426" i="1"/>
  <c r="L426" i="1"/>
  <c r="BI425" i="1"/>
  <c r="BH425" i="1"/>
  <c r="BG425" i="1"/>
  <c r="BF425" i="1"/>
  <c r="BE425" i="1"/>
  <c r="BD425" i="1"/>
  <c r="P425" i="1"/>
  <c r="O425" i="1"/>
  <c r="N425" i="1"/>
  <c r="L425" i="1"/>
  <c r="BI424" i="1"/>
  <c r="BH424" i="1"/>
  <c r="BG424" i="1"/>
  <c r="BF424" i="1"/>
  <c r="BE424" i="1"/>
  <c r="BD424" i="1"/>
  <c r="O424" i="1"/>
  <c r="N424" i="1"/>
  <c r="L424" i="1"/>
  <c r="BI423" i="1"/>
  <c r="BH423" i="1"/>
  <c r="BG423" i="1"/>
  <c r="BF423" i="1"/>
  <c r="BE423" i="1"/>
  <c r="BD423" i="1"/>
  <c r="O423" i="1"/>
  <c r="N423" i="1"/>
  <c r="L423" i="1"/>
  <c r="BI422" i="1"/>
  <c r="BH422" i="1"/>
  <c r="BG422" i="1"/>
  <c r="BF422" i="1"/>
  <c r="BE422" i="1"/>
  <c r="BD422" i="1"/>
  <c r="O422" i="1"/>
  <c r="N422" i="1"/>
  <c r="L422" i="1"/>
  <c r="BI421" i="1"/>
  <c r="BH421" i="1"/>
  <c r="BG421" i="1"/>
  <c r="BF421" i="1"/>
  <c r="BE421" i="1"/>
  <c r="BD421" i="1"/>
  <c r="O421" i="1"/>
  <c r="N421" i="1"/>
  <c r="L421" i="1"/>
  <c r="BI420" i="1"/>
  <c r="BH420" i="1"/>
  <c r="BG420" i="1"/>
  <c r="BF420" i="1"/>
  <c r="BE420" i="1"/>
  <c r="BD420" i="1"/>
  <c r="O420" i="1"/>
  <c r="N420" i="1"/>
  <c r="L420" i="1"/>
  <c r="BI419" i="1"/>
  <c r="BH419" i="1"/>
  <c r="BG419" i="1"/>
  <c r="BF419" i="1"/>
  <c r="BE419" i="1"/>
  <c r="BD419" i="1"/>
  <c r="O419" i="1"/>
  <c r="N419" i="1"/>
  <c r="L419" i="1"/>
  <c r="BI418" i="1"/>
  <c r="BH418" i="1"/>
  <c r="BG418" i="1"/>
  <c r="BF418" i="1"/>
  <c r="BE418" i="1"/>
  <c r="BD418" i="1"/>
  <c r="O418" i="1"/>
  <c r="N418" i="1"/>
  <c r="L418" i="1"/>
  <c r="BI417" i="1"/>
  <c r="BH417" i="1"/>
  <c r="BG417" i="1"/>
  <c r="BF417" i="1"/>
  <c r="BE417" i="1"/>
  <c r="BD417" i="1"/>
  <c r="O417" i="1"/>
  <c r="N417" i="1"/>
  <c r="L417" i="1"/>
  <c r="BI416" i="1"/>
  <c r="BH416" i="1"/>
  <c r="BG416" i="1"/>
  <c r="BF416" i="1"/>
  <c r="BE416" i="1"/>
  <c r="BD416" i="1"/>
  <c r="O416" i="1"/>
  <c r="N416" i="1"/>
  <c r="L416" i="1"/>
  <c r="BI415" i="1"/>
  <c r="BH415" i="1"/>
  <c r="BG415" i="1"/>
  <c r="BF415" i="1"/>
  <c r="BE415" i="1"/>
  <c r="BD415" i="1"/>
  <c r="O415" i="1"/>
  <c r="N415" i="1"/>
  <c r="L415" i="1"/>
  <c r="BI414" i="1"/>
  <c r="BH414" i="1"/>
  <c r="BG414" i="1"/>
  <c r="BF414" i="1"/>
  <c r="BE414" i="1"/>
  <c r="BD414" i="1"/>
  <c r="O414" i="1"/>
  <c r="N414" i="1"/>
  <c r="L414" i="1"/>
  <c r="BI413" i="1"/>
  <c r="BH413" i="1"/>
  <c r="BG413" i="1"/>
  <c r="BF413" i="1"/>
  <c r="BE413" i="1"/>
  <c r="BD413" i="1"/>
  <c r="O413" i="1"/>
  <c r="N413" i="1"/>
  <c r="L413" i="1"/>
  <c r="BI412" i="1"/>
  <c r="BH412" i="1"/>
  <c r="BG412" i="1"/>
  <c r="BF412" i="1"/>
  <c r="BE412" i="1"/>
  <c r="BD412" i="1"/>
  <c r="O412" i="1"/>
  <c r="N412" i="1"/>
  <c r="L412" i="1"/>
  <c r="BI411" i="1"/>
  <c r="BH411" i="1"/>
  <c r="BG411" i="1"/>
  <c r="BF411" i="1"/>
  <c r="BE411" i="1"/>
  <c r="BD411" i="1"/>
  <c r="O411" i="1"/>
  <c r="N411" i="1"/>
  <c r="L411" i="1"/>
  <c r="BJ410" i="1"/>
  <c r="BI410" i="1"/>
  <c r="BH410" i="1"/>
  <c r="BG410" i="1"/>
  <c r="BF410" i="1"/>
  <c r="BE410" i="1"/>
  <c r="BD410" i="1"/>
  <c r="O410" i="1"/>
  <c r="N410" i="1"/>
  <c r="L410" i="1"/>
  <c r="BK409" i="1"/>
  <c r="BI409" i="1"/>
  <c r="BH409" i="1"/>
  <c r="BG409" i="1"/>
  <c r="BF409" i="1"/>
  <c r="BE409" i="1"/>
  <c r="BD409" i="1"/>
  <c r="O409" i="1"/>
  <c r="N409" i="1"/>
  <c r="L409" i="1"/>
  <c r="BI408" i="1"/>
  <c r="BH408" i="1"/>
  <c r="BG408" i="1"/>
  <c r="BF408" i="1"/>
  <c r="BE408" i="1"/>
  <c r="BD408" i="1"/>
  <c r="O408" i="1"/>
  <c r="N408" i="1"/>
  <c r="L408" i="1"/>
  <c r="BI407" i="1"/>
  <c r="BH407" i="1"/>
  <c r="BG407" i="1"/>
  <c r="BF407" i="1"/>
  <c r="BE407" i="1"/>
  <c r="BD407" i="1"/>
  <c r="O407" i="1"/>
  <c r="N407" i="1"/>
  <c r="L407" i="1"/>
  <c r="BI406" i="1"/>
  <c r="BH406" i="1"/>
  <c r="BG406" i="1"/>
  <c r="BF406" i="1"/>
  <c r="BE406" i="1"/>
  <c r="BD406" i="1"/>
  <c r="O406" i="1"/>
  <c r="N406" i="1"/>
  <c r="L406" i="1"/>
  <c r="BI405" i="1"/>
  <c r="BH405" i="1"/>
  <c r="BG405" i="1"/>
  <c r="BF405" i="1"/>
  <c r="BE405" i="1"/>
  <c r="BD405" i="1"/>
  <c r="O405" i="1"/>
  <c r="N405" i="1"/>
  <c r="L405" i="1"/>
  <c r="BI404" i="1"/>
  <c r="BH404" i="1"/>
  <c r="BG404" i="1"/>
  <c r="BF404" i="1"/>
  <c r="BE404" i="1"/>
  <c r="BD404" i="1"/>
  <c r="O404" i="1"/>
  <c r="N404" i="1"/>
  <c r="L404" i="1"/>
  <c r="BI403" i="1"/>
  <c r="BH403" i="1"/>
  <c r="BG403" i="1"/>
  <c r="BF403" i="1"/>
  <c r="BE403" i="1"/>
  <c r="BD403" i="1"/>
  <c r="O403" i="1"/>
  <c r="N403" i="1"/>
  <c r="L403" i="1"/>
  <c r="BI402" i="1"/>
  <c r="BH402" i="1"/>
  <c r="BG402" i="1"/>
  <c r="BF402" i="1"/>
  <c r="BE402" i="1"/>
  <c r="BD402" i="1"/>
  <c r="O402" i="1"/>
  <c r="N402" i="1"/>
  <c r="L402" i="1"/>
  <c r="BI401" i="1"/>
  <c r="BH401" i="1"/>
  <c r="BG401" i="1"/>
  <c r="BF401" i="1"/>
  <c r="BE401" i="1"/>
  <c r="BD401" i="1"/>
  <c r="O401" i="1"/>
  <c r="N401" i="1"/>
  <c r="L401" i="1"/>
  <c r="BI400" i="1"/>
  <c r="BH400" i="1"/>
  <c r="BG400" i="1"/>
  <c r="BF400" i="1"/>
  <c r="BE400" i="1"/>
  <c r="BD400" i="1"/>
  <c r="O400" i="1"/>
  <c r="N400" i="1"/>
  <c r="L400" i="1"/>
  <c r="BI399" i="1"/>
  <c r="BH399" i="1"/>
  <c r="BG399" i="1"/>
  <c r="BF399" i="1"/>
  <c r="BE399" i="1"/>
  <c r="BD399" i="1"/>
  <c r="O399" i="1"/>
  <c r="N399" i="1"/>
  <c r="L399" i="1"/>
  <c r="BI398" i="1"/>
  <c r="BH398" i="1"/>
  <c r="BG398" i="1"/>
  <c r="BF398" i="1"/>
  <c r="BE398" i="1"/>
  <c r="BD398" i="1"/>
  <c r="O398" i="1"/>
  <c r="N398" i="1"/>
  <c r="L398" i="1"/>
  <c r="BI397" i="1"/>
  <c r="BH397" i="1"/>
  <c r="BG397" i="1"/>
  <c r="BF397" i="1"/>
  <c r="BE397" i="1"/>
  <c r="BD397" i="1"/>
  <c r="O397" i="1"/>
  <c r="N397" i="1"/>
  <c r="L397" i="1"/>
  <c r="BI396" i="1"/>
  <c r="BH396" i="1"/>
  <c r="BG396" i="1"/>
  <c r="BF396" i="1"/>
  <c r="BE396" i="1"/>
  <c r="BD396" i="1"/>
  <c r="O396" i="1"/>
  <c r="N396" i="1"/>
  <c r="L396" i="1"/>
  <c r="BI395" i="1"/>
  <c r="BH395" i="1"/>
  <c r="BG395" i="1"/>
  <c r="BF395" i="1"/>
  <c r="BE395" i="1"/>
  <c r="BD395" i="1"/>
  <c r="O395" i="1"/>
  <c r="N395" i="1"/>
  <c r="L395" i="1"/>
  <c r="BI394" i="1"/>
  <c r="BH394" i="1"/>
  <c r="BG394" i="1"/>
  <c r="BF394" i="1"/>
  <c r="BE394" i="1"/>
  <c r="BD394" i="1"/>
  <c r="O394" i="1"/>
  <c r="N394" i="1"/>
  <c r="L394" i="1"/>
  <c r="BI393" i="1"/>
  <c r="BH393" i="1"/>
  <c r="BG393" i="1"/>
  <c r="BF393" i="1"/>
  <c r="BE393" i="1"/>
  <c r="BD393" i="1"/>
  <c r="O393" i="1"/>
  <c r="N393" i="1"/>
  <c r="L393" i="1"/>
  <c r="BI392" i="1"/>
  <c r="BH392" i="1"/>
  <c r="BG392" i="1"/>
  <c r="BF392" i="1"/>
  <c r="BE392" i="1"/>
  <c r="BD392" i="1"/>
  <c r="O392" i="1"/>
  <c r="N392" i="1"/>
  <c r="L392" i="1"/>
  <c r="BI391" i="1"/>
  <c r="BH391" i="1"/>
  <c r="BG391" i="1"/>
  <c r="BF391" i="1"/>
  <c r="BE391" i="1"/>
  <c r="BD391" i="1"/>
  <c r="O391" i="1"/>
  <c r="N391" i="1"/>
  <c r="L391" i="1"/>
  <c r="BI390" i="1"/>
  <c r="BH390" i="1"/>
  <c r="BG390" i="1"/>
  <c r="BF390" i="1"/>
  <c r="BE390" i="1"/>
  <c r="BD390" i="1"/>
  <c r="O390" i="1"/>
  <c r="N390" i="1"/>
  <c r="L390" i="1"/>
  <c r="BI389" i="1"/>
  <c r="BH389" i="1"/>
  <c r="BG389" i="1"/>
  <c r="BF389" i="1"/>
  <c r="BE389" i="1"/>
  <c r="BD389" i="1"/>
  <c r="O389" i="1"/>
  <c r="N389" i="1"/>
  <c r="L389" i="1"/>
  <c r="BI388" i="1"/>
  <c r="BH388" i="1"/>
  <c r="BG388" i="1"/>
  <c r="BF388" i="1"/>
  <c r="BE388" i="1"/>
  <c r="BD388" i="1"/>
  <c r="O388" i="1"/>
  <c r="N388" i="1"/>
  <c r="L388" i="1"/>
  <c r="BI387" i="1"/>
  <c r="BH387" i="1"/>
  <c r="BG387" i="1"/>
  <c r="BF387" i="1"/>
  <c r="BE387" i="1"/>
  <c r="BD387" i="1"/>
  <c r="P387" i="1"/>
  <c r="O387" i="1"/>
  <c r="N387" i="1"/>
  <c r="L387" i="1"/>
  <c r="BI386" i="1"/>
  <c r="BH386" i="1"/>
  <c r="BG386" i="1"/>
  <c r="BF386" i="1"/>
  <c r="BE386" i="1"/>
  <c r="BD386" i="1"/>
  <c r="O386" i="1"/>
  <c r="N386" i="1"/>
  <c r="L386" i="1"/>
  <c r="BI385" i="1"/>
  <c r="BH385" i="1"/>
  <c r="BG385" i="1"/>
  <c r="BF385" i="1"/>
  <c r="BE385" i="1"/>
  <c r="BD385" i="1"/>
  <c r="O385" i="1"/>
  <c r="N385" i="1"/>
  <c r="L385" i="1"/>
  <c r="BI384" i="1"/>
  <c r="BH384" i="1"/>
  <c r="BG384" i="1"/>
  <c r="BF384" i="1"/>
  <c r="BE384" i="1"/>
  <c r="BD384" i="1"/>
  <c r="O384" i="1"/>
  <c r="N384" i="1"/>
  <c r="L384" i="1"/>
  <c r="BI383" i="1"/>
  <c r="BH383" i="1"/>
  <c r="BG383" i="1"/>
  <c r="BF383" i="1"/>
  <c r="BE383" i="1"/>
  <c r="BD383" i="1"/>
  <c r="O383" i="1"/>
  <c r="N383" i="1"/>
  <c r="L383" i="1"/>
  <c r="BI382" i="1"/>
  <c r="BH382" i="1"/>
  <c r="BG382" i="1"/>
  <c r="BF382" i="1"/>
  <c r="BE382" i="1"/>
  <c r="BD382" i="1"/>
  <c r="O382" i="1"/>
  <c r="N382" i="1"/>
  <c r="L382" i="1"/>
  <c r="BJ381" i="1"/>
  <c r="BI381" i="1"/>
  <c r="BH381" i="1"/>
  <c r="BG381" i="1"/>
  <c r="BF381" i="1"/>
  <c r="BE381" i="1"/>
  <c r="BD381" i="1"/>
  <c r="O381" i="1"/>
  <c r="N381" i="1"/>
  <c r="L381" i="1"/>
  <c r="BI380" i="1"/>
  <c r="BH380" i="1"/>
  <c r="BG380" i="1"/>
  <c r="BF380" i="1"/>
  <c r="BE380" i="1"/>
  <c r="BD380" i="1"/>
  <c r="O380" i="1"/>
  <c r="N380" i="1"/>
  <c r="L380" i="1"/>
  <c r="BI379" i="1"/>
  <c r="BH379" i="1"/>
  <c r="BG379" i="1"/>
  <c r="BF379" i="1"/>
  <c r="BE379" i="1"/>
  <c r="BD379" i="1"/>
  <c r="O379" i="1"/>
  <c r="N379" i="1"/>
  <c r="L379" i="1"/>
  <c r="BI378" i="1"/>
  <c r="BH378" i="1"/>
  <c r="BG378" i="1"/>
  <c r="BF378" i="1"/>
  <c r="BE378" i="1"/>
  <c r="BD378" i="1"/>
  <c r="O378" i="1"/>
  <c r="N378" i="1"/>
  <c r="L378" i="1"/>
  <c r="BI377" i="1"/>
  <c r="BH377" i="1"/>
  <c r="BG377" i="1"/>
  <c r="BF377" i="1"/>
  <c r="BE377" i="1"/>
  <c r="BD377" i="1"/>
  <c r="O377" i="1"/>
  <c r="N377" i="1"/>
  <c r="L377" i="1"/>
  <c r="BI376" i="1"/>
  <c r="BH376" i="1"/>
  <c r="BG376" i="1"/>
  <c r="BF376" i="1"/>
  <c r="BE376" i="1"/>
  <c r="BD376" i="1"/>
  <c r="O376" i="1"/>
  <c r="N376" i="1"/>
  <c r="L376" i="1"/>
  <c r="BI375" i="1"/>
  <c r="BH375" i="1"/>
  <c r="BG375" i="1"/>
  <c r="BF375" i="1"/>
  <c r="BE375" i="1"/>
  <c r="BD375" i="1"/>
  <c r="O375" i="1"/>
  <c r="N375" i="1"/>
  <c r="L375" i="1"/>
  <c r="BI374" i="1"/>
  <c r="BH374" i="1"/>
  <c r="BG374" i="1"/>
  <c r="BF374" i="1"/>
  <c r="BE374" i="1"/>
  <c r="BD374" i="1"/>
  <c r="O374" i="1"/>
  <c r="N374" i="1"/>
  <c r="L374" i="1"/>
  <c r="BI373" i="1"/>
  <c r="BH373" i="1"/>
  <c r="BG373" i="1"/>
  <c r="BF373" i="1"/>
  <c r="BE373" i="1"/>
  <c r="BD373" i="1"/>
  <c r="O373" i="1"/>
  <c r="N373" i="1"/>
  <c r="L373" i="1"/>
  <c r="BI372" i="1"/>
  <c r="BH372" i="1"/>
  <c r="BG372" i="1"/>
  <c r="BF372" i="1"/>
  <c r="BE372" i="1"/>
  <c r="BD372" i="1"/>
  <c r="O372" i="1"/>
  <c r="N372" i="1"/>
  <c r="L372" i="1"/>
  <c r="BI371" i="1"/>
  <c r="BH371" i="1"/>
  <c r="BG371" i="1"/>
  <c r="BF371" i="1"/>
  <c r="BE371" i="1"/>
  <c r="BD371" i="1"/>
  <c r="O371" i="1"/>
  <c r="N371" i="1"/>
  <c r="L371" i="1"/>
  <c r="BI370" i="1"/>
  <c r="BH370" i="1"/>
  <c r="BG370" i="1"/>
  <c r="BF370" i="1"/>
  <c r="BE370" i="1"/>
  <c r="BD370" i="1"/>
  <c r="O370" i="1"/>
  <c r="N370" i="1"/>
  <c r="L370" i="1"/>
  <c r="BI369" i="1"/>
  <c r="BH369" i="1"/>
  <c r="BG369" i="1"/>
  <c r="BF369" i="1"/>
  <c r="BE369" i="1"/>
  <c r="BD369" i="1"/>
  <c r="O369" i="1"/>
  <c r="N369" i="1"/>
  <c r="L369" i="1"/>
  <c r="BI368" i="1"/>
  <c r="BH368" i="1"/>
  <c r="BG368" i="1"/>
  <c r="BF368" i="1"/>
  <c r="BE368" i="1"/>
  <c r="BD368" i="1"/>
  <c r="O368" i="1"/>
  <c r="N368" i="1"/>
  <c r="L368" i="1"/>
  <c r="BI367" i="1"/>
  <c r="BH367" i="1"/>
  <c r="BG367" i="1"/>
  <c r="BF367" i="1"/>
  <c r="BE367" i="1"/>
  <c r="BD367" i="1"/>
  <c r="O367" i="1"/>
  <c r="N367" i="1"/>
  <c r="L367" i="1"/>
  <c r="BI366" i="1"/>
  <c r="BH366" i="1"/>
  <c r="BG366" i="1"/>
  <c r="BF366" i="1"/>
  <c r="BE366" i="1"/>
  <c r="BD366" i="1"/>
  <c r="O366" i="1"/>
  <c r="N366" i="1"/>
  <c r="L366" i="1"/>
  <c r="BJ365" i="1"/>
  <c r="BI365" i="1"/>
  <c r="BH365" i="1"/>
  <c r="BG365" i="1"/>
  <c r="BF365" i="1"/>
  <c r="BE365" i="1"/>
  <c r="BD365" i="1"/>
  <c r="O365" i="1"/>
  <c r="N365" i="1"/>
  <c r="L365" i="1"/>
  <c r="BI364" i="1"/>
  <c r="BH364" i="1"/>
  <c r="BG364" i="1"/>
  <c r="BF364" i="1"/>
  <c r="BE364" i="1"/>
  <c r="BD364" i="1"/>
  <c r="O364" i="1"/>
  <c r="N364" i="1"/>
  <c r="L364" i="1"/>
  <c r="BI363" i="1"/>
  <c r="BH363" i="1"/>
  <c r="BG363" i="1"/>
  <c r="BF363" i="1"/>
  <c r="BE363" i="1"/>
  <c r="BD363" i="1"/>
  <c r="O363" i="1"/>
  <c r="N363" i="1"/>
  <c r="L363" i="1"/>
  <c r="BI362" i="1"/>
  <c r="BH362" i="1"/>
  <c r="BG362" i="1"/>
  <c r="BF362" i="1"/>
  <c r="BE362" i="1"/>
  <c r="BD362" i="1"/>
  <c r="O362" i="1"/>
  <c r="N362" i="1"/>
  <c r="L362" i="1"/>
  <c r="BI361" i="1"/>
  <c r="BH361" i="1"/>
  <c r="BG361" i="1"/>
  <c r="BF361" i="1"/>
  <c r="BE361" i="1"/>
  <c r="BD361" i="1"/>
  <c r="O361" i="1"/>
  <c r="N361" i="1"/>
  <c r="L361" i="1"/>
  <c r="BJ360" i="1"/>
  <c r="BI360" i="1"/>
  <c r="BH360" i="1"/>
  <c r="BG360" i="1"/>
  <c r="BF360" i="1"/>
  <c r="BE360" i="1"/>
  <c r="BD360" i="1"/>
  <c r="O360" i="1"/>
  <c r="N360" i="1"/>
  <c r="L360" i="1"/>
  <c r="BI359" i="1"/>
  <c r="BH359" i="1"/>
  <c r="BG359" i="1"/>
  <c r="BF359" i="1"/>
  <c r="BE359" i="1"/>
  <c r="BD359" i="1"/>
  <c r="O359" i="1"/>
  <c r="N359" i="1"/>
  <c r="L359" i="1"/>
  <c r="BI358" i="1"/>
  <c r="BH358" i="1"/>
  <c r="BG358" i="1"/>
  <c r="BF358" i="1"/>
  <c r="BE358" i="1"/>
  <c r="BD358" i="1"/>
  <c r="O358" i="1"/>
  <c r="N358" i="1"/>
  <c r="L358" i="1"/>
  <c r="BI357" i="1"/>
  <c r="BH357" i="1"/>
  <c r="BG357" i="1"/>
  <c r="BF357" i="1"/>
  <c r="BE357" i="1"/>
  <c r="BD357" i="1"/>
  <c r="O357" i="1"/>
  <c r="N357" i="1"/>
  <c r="L357" i="1"/>
  <c r="BI356" i="1"/>
  <c r="BH356" i="1"/>
  <c r="BG356" i="1"/>
  <c r="BF356" i="1"/>
  <c r="BE356" i="1"/>
  <c r="BD356" i="1"/>
  <c r="O356" i="1"/>
  <c r="N356" i="1"/>
  <c r="L356" i="1"/>
  <c r="BI355" i="1"/>
  <c r="BH355" i="1"/>
  <c r="BG355" i="1"/>
  <c r="BF355" i="1"/>
  <c r="BE355" i="1"/>
  <c r="BD355" i="1"/>
  <c r="O355" i="1"/>
  <c r="N355" i="1"/>
  <c r="L355" i="1"/>
  <c r="BI354" i="1"/>
  <c r="BH354" i="1"/>
  <c r="BG354" i="1"/>
  <c r="BF354" i="1"/>
  <c r="BE354" i="1"/>
  <c r="BD354" i="1"/>
  <c r="O354" i="1"/>
  <c r="N354" i="1"/>
  <c r="L354" i="1"/>
  <c r="BI353" i="1"/>
  <c r="BH353" i="1"/>
  <c r="BG353" i="1"/>
  <c r="BF353" i="1"/>
  <c r="BE353" i="1"/>
  <c r="BD353" i="1"/>
  <c r="O353" i="1"/>
  <c r="N353" i="1"/>
  <c r="L353" i="1"/>
  <c r="BI352" i="1"/>
  <c r="BH352" i="1"/>
  <c r="BG352" i="1"/>
  <c r="BF352" i="1"/>
  <c r="BE352" i="1"/>
  <c r="BD352" i="1"/>
  <c r="O352" i="1"/>
  <c r="N352" i="1"/>
  <c r="L352" i="1"/>
  <c r="BI351" i="1"/>
  <c r="BH351" i="1"/>
  <c r="BG351" i="1"/>
  <c r="BF351" i="1"/>
  <c r="BE351" i="1"/>
  <c r="BD351" i="1"/>
  <c r="O351" i="1"/>
  <c r="N351" i="1"/>
  <c r="L351" i="1"/>
  <c r="BI350" i="1"/>
  <c r="BH350" i="1"/>
  <c r="BG350" i="1"/>
  <c r="BF350" i="1"/>
  <c r="BE350" i="1"/>
  <c r="BD350" i="1"/>
  <c r="O350" i="1"/>
  <c r="N350" i="1"/>
  <c r="L350" i="1"/>
  <c r="BI349" i="1"/>
  <c r="BH349" i="1"/>
  <c r="BG349" i="1"/>
  <c r="BF349" i="1"/>
  <c r="BE349" i="1"/>
  <c r="BD349" i="1"/>
  <c r="O349" i="1"/>
  <c r="N349" i="1"/>
  <c r="L349" i="1"/>
  <c r="BI348" i="1"/>
  <c r="BH348" i="1"/>
  <c r="BG348" i="1"/>
  <c r="BF348" i="1"/>
  <c r="BE348" i="1"/>
  <c r="BD348" i="1"/>
  <c r="O348" i="1"/>
  <c r="N348" i="1"/>
  <c r="L348" i="1"/>
  <c r="BI347" i="1"/>
  <c r="BH347" i="1"/>
  <c r="BG347" i="1"/>
  <c r="BF347" i="1"/>
  <c r="BE347" i="1"/>
  <c r="BD347" i="1"/>
  <c r="O347" i="1"/>
  <c r="N347" i="1"/>
  <c r="L347" i="1"/>
  <c r="BI346" i="1"/>
  <c r="BH346" i="1"/>
  <c r="BG346" i="1"/>
  <c r="BF346" i="1"/>
  <c r="BE346" i="1"/>
  <c r="BD346" i="1"/>
  <c r="O346" i="1"/>
  <c r="N346" i="1"/>
  <c r="L346" i="1"/>
  <c r="BI345" i="1"/>
  <c r="BH345" i="1"/>
  <c r="BG345" i="1"/>
  <c r="BF345" i="1"/>
  <c r="BE345" i="1"/>
  <c r="BD345" i="1"/>
  <c r="O345" i="1"/>
  <c r="N345" i="1"/>
  <c r="L345" i="1"/>
  <c r="BI344" i="1"/>
  <c r="BH344" i="1"/>
  <c r="BG344" i="1"/>
  <c r="BF344" i="1"/>
  <c r="BE344" i="1"/>
  <c r="BD344" i="1"/>
  <c r="O344" i="1"/>
  <c r="N344" i="1"/>
  <c r="L344" i="1"/>
  <c r="BI343" i="1"/>
  <c r="BH343" i="1"/>
  <c r="BG343" i="1"/>
  <c r="BF343" i="1"/>
  <c r="BE343" i="1"/>
  <c r="BD343" i="1"/>
  <c r="O343" i="1"/>
  <c r="N343" i="1"/>
  <c r="L343" i="1"/>
  <c r="BI342" i="1"/>
  <c r="BH342" i="1"/>
  <c r="BG342" i="1"/>
  <c r="BF342" i="1"/>
  <c r="BE342" i="1"/>
  <c r="BD342" i="1"/>
  <c r="O342" i="1"/>
  <c r="P326" i="1" s="1"/>
  <c r="N342" i="1"/>
  <c r="L342" i="1"/>
  <c r="BI341" i="1"/>
  <c r="BH341" i="1"/>
  <c r="BG341" i="1"/>
  <c r="BF341" i="1"/>
  <c r="BE341" i="1"/>
  <c r="BD341" i="1"/>
  <c r="O341" i="1"/>
  <c r="N341" i="1"/>
  <c r="L341" i="1"/>
  <c r="BI340" i="1"/>
  <c r="BH340" i="1"/>
  <c r="BG340" i="1"/>
  <c r="BF340" i="1"/>
  <c r="BE340" i="1"/>
  <c r="BD340" i="1"/>
  <c r="O340" i="1"/>
  <c r="N340" i="1"/>
  <c r="L340" i="1"/>
  <c r="BI339" i="1"/>
  <c r="BH339" i="1"/>
  <c r="BG339" i="1"/>
  <c r="BF339" i="1"/>
  <c r="BE339" i="1"/>
  <c r="BD339" i="1"/>
  <c r="O339" i="1"/>
  <c r="N339" i="1"/>
  <c r="L339" i="1"/>
  <c r="BI338" i="1"/>
  <c r="BH338" i="1"/>
  <c r="BG338" i="1"/>
  <c r="BF338" i="1"/>
  <c r="BE338" i="1"/>
  <c r="BD338" i="1"/>
  <c r="O338" i="1"/>
  <c r="N338" i="1"/>
  <c r="L338" i="1"/>
  <c r="BI337" i="1"/>
  <c r="BH337" i="1"/>
  <c r="BG337" i="1"/>
  <c r="BF337" i="1"/>
  <c r="BE337" i="1"/>
  <c r="BD337" i="1"/>
  <c r="O337" i="1"/>
  <c r="N337" i="1"/>
  <c r="L337" i="1"/>
  <c r="BI336" i="1"/>
  <c r="BH336" i="1"/>
  <c r="BG336" i="1"/>
  <c r="BF336" i="1"/>
  <c r="BE336" i="1"/>
  <c r="BD336" i="1"/>
  <c r="O336" i="1"/>
  <c r="N336" i="1"/>
  <c r="L336" i="1"/>
  <c r="BI335" i="1"/>
  <c r="BH335" i="1"/>
  <c r="BG335" i="1"/>
  <c r="BF335" i="1"/>
  <c r="BE335" i="1"/>
  <c r="BD335" i="1"/>
  <c r="O335" i="1"/>
  <c r="N335" i="1"/>
  <c r="L335" i="1"/>
  <c r="BI334" i="1"/>
  <c r="BH334" i="1"/>
  <c r="BG334" i="1"/>
  <c r="BF334" i="1"/>
  <c r="BE334" i="1"/>
  <c r="BD334" i="1"/>
  <c r="O334" i="1"/>
  <c r="N334" i="1"/>
  <c r="L334" i="1"/>
  <c r="BI333" i="1"/>
  <c r="BH333" i="1"/>
  <c r="BG333" i="1"/>
  <c r="BF333" i="1"/>
  <c r="BE333" i="1"/>
  <c r="BD333" i="1"/>
  <c r="O333" i="1"/>
  <c r="N333" i="1"/>
  <c r="L333" i="1"/>
  <c r="BI332" i="1"/>
  <c r="BH332" i="1"/>
  <c r="BG332" i="1"/>
  <c r="BF332" i="1"/>
  <c r="BE332" i="1"/>
  <c r="BD332" i="1"/>
  <c r="O332" i="1"/>
  <c r="N332" i="1"/>
  <c r="L332" i="1"/>
  <c r="BI331" i="1"/>
  <c r="BH331" i="1"/>
  <c r="BG331" i="1"/>
  <c r="BF331" i="1"/>
  <c r="BE331" i="1"/>
  <c r="BD331" i="1"/>
  <c r="O331" i="1"/>
  <c r="N331" i="1"/>
  <c r="L331" i="1"/>
  <c r="BI330" i="1"/>
  <c r="BH330" i="1"/>
  <c r="BG330" i="1"/>
  <c r="BF330" i="1"/>
  <c r="BE330" i="1"/>
  <c r="BD330" i="1"/>
  <c r="O330" i="1"/>
  <c r="N330" i="1"/>
  <c r="L330" i="1"/>
  <c r="BI329" i="1"/>
  <c r="BH329" i="1"/>
  <c r="BG329" i="1"/>
  <c r="BF329" i="1"/>
  <c r="BE329" i="1"/>
  <c r="BD329" i="1"/>
  <c r="O329" i="1"/>
  <c r="N329" i="1"/>
  <c r="L329" i="1"/>
  <c r="BI328" i="1"/>
  <c r="BH328" i="1"/>
  <c r="BG328" i="1"/>
  <c r="BF328" i="1"/>
  <c r="BE328" i="1"/>
  <c r="BD328" i="1"/>
  <c r="O328" i="1"/>
  <c r="N328" i="1"/>
  <c r="L328" i="1"/>
  <c r="BI327" i="1"/>
  <c r="BH327" i="1"/>
  <c r="BG327" i="1"/>
  <c r="BF327" i="1"/>
  <c r="BE327" i="1"/>
  <c r="BD327" i="1"/>
  <c r="O327" i="1"/>
  <c r="N327" i="1"/>
  <c r="L327" i="1"/>
  <c r="BI326" i="1"/>
  <c r="BH326" i="1"/>
  <c r="BG326" i="1"/>
  <c r="BF326" i="1"/>
  <c r="BE326" i="1"/>
  <c r="BD326" i="1"/>
  <c r="O326" i="1"/>
  <c r="N326" i="1"/>
  <c r="L326" i="1"/>
  <c r="BI325" i="1"/>
  <c r="BH325" i="1"/>
  <c r="BG325" i="1"/>
  <c r="BF325" i="1"/>
  <c r="BE325" i="1"/>
  <c r="BD325" i="1"/>
  <c r="O325" i="1"/>
  <c r="N325" i="1"/>
  <c r="L325" i="1"/>
  <c r="BK324" i="1"/>
  <c r="BI324" i="1"/>
  <c r="BH324" i="1"/>
  <c r="BG324" i="1"/>
  <c r="BF324" i="1"/>
  <c r="BE324" i="1"/>
  <c r="BD324" i="1"/>
  <c r="O324" i="1"/>
  <c r="N324" i="1"/>
  <c r="L324" i="1"/>
  <c r="BI323" i="1"/>
  <c r="BH323" i="1"/>
  <c r="BG323" i="1"/>
  <c r="BF323" i="1"/>
  <c r="BE323" i="1"/>
  <c r="BD323" i="1"/>
  <c r="O323" i="1"/>
  <c r="N323" i="1"/>
  <c r="L323" i="1"/>
  <c r="BI322" i="1"/>
  <c r="BH322" i="1"/>
  <c r="BG322" i="1"/>
  <c r="BF322" i="1"/>
  <c r="BE322" i="1"/>
  <c r="BD322" i="1"/>
  <c r="O322" i="1"/>
  <c r="N322" i="1"/>
  <c r="L322" i="1"/>
  <c r="BI321" i="1"/>
  <c r="BH321" i="1"/>
  <c r="BG321" i="1"/>
  <c r="BF321" i="1"/>
  <c r="BE321" i="1"/>
  <c r="BD321" i="1"/>
  <c r="O321" i="1"/>
  <c r="N321" i="1"/>
  <c r="L321" i="1"/>
  <c r="BI320" i="1"/>
  <c r="BH320" i="1"/>
  <c r="BG320" i="1"/>
  <c r="BF320" i="1"/>
  <c r="BE320" i="1"/>
  <c r="BD320" i="1"/>
  <c r="O320" i="1"/>
  <c r="N320" i="1"/>
  <c r="L320" i="1"/>
  <c r="BI319" i="1"/>
  <c r="BH319" i="1"/>
  <c r="BG319" i="1"/>
  <c r="BF319" i="1"/>
  <c r="BE319" i="1"/>
  <c r="BD319" i="1"/>
  <c r="O319" i="1"/>
  <c r="N319" i="1"/>
  <c r="L319" i="1"/>
  <c r="BI318" i="1"/>
  <c r="BH318" i="1"/>
  <c r="BG318" i="1"/>
  <c r="BF318" i="1"/>
  <c r="BE318" i="1"/>
  <c r="BD318" i="1"/>
  <c r="O318" i="1"/>
  <c r="N318" i="1"/>
  <c r="L318" i="1"/>
  <c r="BI317" i="1"/>
  <c r="BH317" i="1"/>
  <c r="BG317" i="1"/>
  <c r="BF317" i="1"/>
  <c r="BE317" i="1"/>
  <c r="BD317" i="1"/>
  <c r="O317" i="1"/>
  <c r="N317" i="1"/>
  <c r="L317" i="1"/>
  <c r="BI316" i="1"/>
  <c r="BH316" i="1"/>
  <c r="BG316" i="1"/>
  <c r="BF316" i="1"/>
  <c r="BE316" i="1"/>
  <c r="BD316" i="1"/>
  <c r="O316" i="1"/>
  <c r="N316" i="1"/>
  <c r="L316" i="1"/>
  <c r="BI315" i="1"/>
  <c r="BH315" i="1"/>
  <c r="BG315" i="1"/>
  <c r="BF315" i="1"/>
  <c r="BE315" i="1"/>
  <c r="BD315" i="1"/>
  <c r="O315" i="1"/>
  <c r="N315" i="1"/>
  <c r="L315" i="1"/>
  <c r="BI314" i="1"/>
  <c r="BH314" i="1"/>
  <c r="BG314" i="1"/>
  <c r="BF314" i="1"/>
  <c r="BE314" i="1"/>
  <c r="BD314" i="1"/>
  <c r="O314" i="1"/>
  <c r="N314" i="1"/>
  <c r="L314" i="1"/>
  <c r="BK313" i="1"/>
  <c r="BJ313" i="1"/>
  <c r="BI313" i="1"/>
  <c r="BH313" i="1"/>
  <c r="BG313" i="1"/>
  <c r="BF313" i="1"/>
  <c r="BE313" i="1"/>
  <c r="BD313" i="1"/>
  <c r="O313" i="1"/>
  <c r="N313" i="1"/>
  <c r="L313" i="1"/>
  <c r="BI312" i="1"/>
  <c r="BH312" i="1"/>
  <c r="BG312" i="1"/>
  <c r="BF312" i="1"/>
  <c r="BE312" i="1"/>
  <c r="BD312" i="1"/>
  <c r="O312" i="1"/>
  <c r="N312" i="1"/>
  <c r="L312" i="1"/>
  <c r="BK311" i="1"/>
  <c r="BI311" i="1"/>
  <c r="BH311" i="1"/>
  <c r="BG311" i="1"/>
  <c r="BF311" i="1"/>
  <c r="BE311" i="1"/>
  <c r="BD311" i="1"/>
  <c r="O311" i="1"/>
  <c r="N311" i="1"/>
  <c r="L311" i="1"/>
  <c r="BI310" i="1"/>
  <c r="BH310" i="1"/>
  <c r="BG310" i="1"/>
  <c r="BF310" i="1"/>
  <c r="BE310" i="1"/>
  <c r="BD310" i="1"/>
  <c r="O310" i="1"/>
  <c r="N310" i="1"/>
  <c r="L310" i="1"/>
  <c r="BI309" i="1"/>
  <c r="BH309" i="1"/>
  <c r="BG309" i="1"/>
  <c r="BF309" i="1"/>
  <c r="BE309" i="1"/>
  <c r="BD309" i="1"/>
  <c r="O309" i="1"/>
  <c r="N309" i="1"/>
  <c r="L309" i="1"/>
  <c r="BI308" i="1"/>
  <c r="BH308" i="1"/>
  <c r="BG308" i="1"/>
  <c r="BF308" i="1"/>
  <c r="BE308" i="1"/>
  <c r="BD308" i="1"/>
  <c r="O308" i="1"/>
  <c r="N308" i="1"/>
  <c r="L308" i="1"/>
  <c r="BJ307" i="1"/>
  <c r="BI307" i="1"/>
  <c r="BH307" i="1"/>
  <c r="BG307" i="1"/>
  <c r="BF307" i="1"/>
  <c r="BE307" i="1"/>
  <c r="BD307" i="1"/>
  <c r="O307" i="1"/>
  <c r="N307" i="1"/>
  <c r="L307" i="1"/>
  <c r="BI306" i="1"/>
  <c r="BH306" i="1"/>
  <c r="BG306" i="1"/>
  <c r="BF306" i="1"/>
  <c r="BE306" i="1"/>
  <c r="BD306" i="1"/>
  <c r="O306" i="1"/>
  <c r="N306" i="1"/>
  <c r="L306" i="1"/>
  <c r="BI305" i="1"/>
  <c r="BH305" i="1"/>
  <c r="BG305" i="1"/>
  <c r="BF305" i="1"/>
  <c r="BE305" i="1"/>
  <c r="BD305" i="1"/>
  <c r="O305" i="1"/>
  <c r="N305" i="1"/>
  <c r="L305" i="1"/>
  <c r="BI304" i="1"/>
  <c r="BH304" i="1"/>
  <c r="BG304" i="1"/>
  <c r="BF304" i="1"/>
  <c r="BE304" i="1"/>
  <c r="BD304" i="1"/>
  <c r="O304" i="1"/>
  <c r="N304" i="1"/>
  <c r="L304" i="1"/>
  <c r="BI303" i="1"/>
  <c r="BH303" i="1"/>
  <c r="BG303" i="1"/>
  <c r="BF303" i="1"/>
  <c r="BE303" i="1"/>
  <c r="BD303" i="1"/>
  <c r="O303" i="1"/>
  <c r="N303" i="1"/>
  <c r="L303" i="1"/>
  <c r="BI302" i="1"/>
  <c r="BH302" i="1"/>
  <c r="BG302" i="1"/>
  <c r="BF302" i="1"/>
  <c r="BE302" i="1"/>
  <c r="BD302" i="1"/>
  <c r="O302" i="1"/>
  <c r="N302" i="1"/>
  <c r="L302" i="1"/>
  <c r="BI301" i="1"/>
  <c r="BH301" i="1"/>
  <c r="BG301" i="1"/>
  <c r="BF301" i="1"/>
  <c r="BE301" i="1"/>
  <c r="BD301" i="1"/>
  <c r="O301" i="1"/>
  <c r="N301" i="1"/>
  <c r="L301" i="1"/>
  <c r="BK300" i="1"/>
  <c r="BI300" i="1"/>
  <c r="BH300" i="1"/>
  <c r="BG300" i="1"/>
  <c r="BF300" i="1"/>
  <c r="BE300" i="1"/>
  <c r="BD300" i="1"/>
  <c r="O300" i="1"/>
  <c r="N300" i="1"/>
  <c r="L300" i="1"/>
  <c r="BI299" i="1"/>
  <c r="BH299" i="1"/>
  <c r="BG299" i="1"/>
  <c r="BF299" i="1"/>
  <c r="BE299" i="1"/>
  <c r="BD299" i="1"/>
  <c r="P299" i="1"/>
  <c r="O299" i="1"/>
  <c r="N299" i="1"/>
  <c r="L299" i="1"/>
  <c r="BI298" i="1"/>
  <c r="BH298" i="1"/>
  <c r="BG298" i="1"/>
  <c r="BF298" i="1"/>
  <c r="BE298" i="1"/>
  <c r="BD298" i="1"/>
  <c r="O298" i="1"/>
  <c r="N298" i="1"/>
  <c r="L298" i="1"/>
  <c r="BK297" i="1"/>
  <c r="BI297" i="1"/>
  <c r="BH297" i="1"/>
  <c r="BG297" i="1"/>
  <c r="BF297" i="1"/>
  <c r="BE297" i="1"/>
  <c r="BD297" i="1"/>
  <c r="O297" i="1"/>
  <c r="N297" i="1"/>
  <c r="L297" i="1"/>
  <c r="BI296" i="1"/>
  <c r="BH296" i="1"/>
  <c r="BG296" i="1"/>
  <c r="BF296" i="1"/>
  <c r="BE296" i="1"/>
  <c r="BD296" i="1"/>
  <c r="O296" i="1"/>
  <c r="N296" i="1"/>
  <c r="L296" i="1"/>
  <c r="BI295" i="1"/>
  <c r="BH295" i="1"/>
  <c r="BG295" i="1"/>
  <c r="BF295" i="1"/>
  <c r="BE295" i="1"/>
  <c r="BD295" i="1"/>
  <c r="O295" i="1"/>
  <c r="N295" i="1"/>
  <c r="L295" i="1"/>
  <c r="BI294" i="1"/>
  <c r="BH294" i="1"/>
  <c r="BG294" i="1"/>
  <c r="BF294" i="1"/>
  <c r="BE294" i="1"/>
  <c r="BD294" i="1"/>
  <c r="O294" i="1"/>
  <c r="N294" i="1"/>
  <c r="L294" i="1"/>
  <c r="BI293" i="1"/>
  <c r="BH293" i="1"/>
  <c r="BG293" i="1"/>
  <c r="BF293" i="1"/>
  <c r="BE293" i="1"/>
  <c r="BD293" i="1"/>
  <c r="O293" i="1"/>
  <c r="N293" i="1"/>
  <c r="L293" i="1"/>
  <c r="BI292" i="1"/>
  <c r="BH292" i="1"/>
  <c r="BG292" i="1"/>
  <c r="BF292" i="1"/>
  <c r="BE292" i="1"/>
  <c r="BD292" i="1"/>
  <c r="O292" i="1"/>
  <c r="N292" i="1"/>
  <c r="L292" i="1"/>
  <c r="BI291" i="1"/>
  <c r="BH291" i="1"/>
  <c r="BG291" i="1"/>
  <c r="BF291" i="1"/>
  <c r="BE291" i="1"/>
  <c r="BD291" i="1"/>
  <c r="O291" i="1"/>
  <c r="N291" i="1"/>
  <c r="L291" i="1"/>
  <c r="BI290" i="1"/>
  <c r="BH290" i="1"/>
  <c r="BG290" i="1"/>
  <c r="BF290" i="1"/>
  <c r="BE290" i="1"/>
  <c r="BD290" i="1"/>
  <c r="O290" i="1"/>
  <c r="N290" i="1"/>
  <c r="L290" i="1"/>
  <c r="BI289" i="1"/>
  <c r="BH289" i="1"/>
  <c r="BG289" i="1"/>
  <c r="BF289" i="1"/>
  <c r="BE289" i="1"/>
  <c r="BD289" i="1"/>
  <c r="O289" i="1"/>
  <c r="N289" i="1"/>
  <c r="L289" i="1"/>
  <c r="BI288" i="1"/>
  <c r="BH288" i="1"/>
  <c r="BG288" i="1"/>
  <c r="BF288" i="1"/>
  <c r="BE288" i="1"/>
  <c r="BD288" i="1"/>
  <c r="O288" i="1"/>
  <c r="N288" i="1"/>
  <c r="L288" i="1"/>
  <c r="BI287" i="1"/>
  <c r="BH287" i="1"/>
  <c r="BG287" i="1"/>
  <c r="BF287" i="1"/>
  <c r="BE287" i="1"/>
  <c r="BD287" i="1"/>
  <c r="O287" i="1"/>
  <c r="N287" i="1"/>
  <c r="L287" i="1"/>
  <c r="BI286" i="1"/>
  <c r="BH286" i="1"/>
  <c r="BG286" i="1"/>
  <c r="BF286" i="1"/>
  <c r="BE286" i="1"/>
  <c r="BD286" i="1"/>
  <c r="O286" i="1"/>
  <c r="N286" i="1"/>
  <c r="L286" i="1"/>
  <c r="BK285" i="1"/>
  <c r="BJ285" i="1"/>
  <c r="BL285" i="1" s="1"/>
  <c r="BI285" i="1"/>
  <c r="BH285" i="1"/>
  <c r="BG285" i="1"/>
  <c r="BF285" i="1"/>
  <c r="BE285" i="1"/>
  <c r="BD285" i="1"/>
  <c r="O285" i="1"/>
  <c r="N285" i="1"/>
  <c r="L285" i="1"/>
  <c r="BI284" i="1"/>
  <c r="BH284" i="1"/>
  <c r="BG284" i="1"/>
  <c r="BF284" i="1"/>
  <c r="BE284" i="1"/>
  <c r="BD284" i="1"/>
  <c r="P284" i="1"/>
  <c r="O284" i="1"/>
  <c r="N284" i="1"/>
  <c r="L284" i="1"/>
  <c r="BI283" i="1"/>
  <c r="BH283" i="1"/>
  <c r="BG283" i="1"/>
  <c r="BF283" i="1"/>
  <c r="BE283" i="1"/>
  <c r="BD283" i="1"/>
  <c r="O283" i="1"/>
  <c r="N283" i="1"/>
  <c r="L283" i="1"/>
  <c r="BI282" i="1"/>
  <c r="BH282" i="1"/>
  <c r="BG282" i="1"/>
  <c r="BF282" i="1"/>
  <c r="BE282" i="1"/>
  <c r="BD282" i="1"/>
  <c r="O282" i="1"/>
  <c r="N282" i="1"/>
  <c r="L282" i="1"/>
  <c r="BI281" i="1"/>
  <c r="BH281" i="1"/>
  <c r="BG281" i="1"/>
  <c r="BF281" i="1"/>
  <c r="BE281" i="1"/>
  <c r="BD281" i="1"/>
  <c r="O281" i="1"/>
  <c r="N281" i="1"/>
  <c r="L281" i="1"/>
  <c r="BI280" i="1"/>
  <c r="BH280" i="1"/>
  <c r="BG280" i="1"/>
  <c r="BF280" i="1"/>
  <c r="BE280" i="1"/>
  <c r="BD280" i="1"/>
  <c r="O280" i="1"/>
  <c r="N280" i="1"/>
  <c r="L280" i="1"/>
  <c r="BI279" i="1"/>
  <c r="BH279" i="1"/>
  <c r="BG279" i="1"/>
  <c r="BF279" i="1"/>
  <c r="BE279" i="1"/>
  <c r="BD279" i="1"/>
  <c r="O279" i="1"/>
  <c r="N279" i="1"/>
  <c r="L279" i="1"/>
  <c r="BI278" i="1"/>
  <c r="BH278" i="1"/>
  <c r="BG278" i="1"/>
  <c r="BF278" i="1"/>
  <c r="BE278" i="1"/>
  <c r="BD278" i="1"/>
  <c r="O278" i="1"/>
  <c r="N278" i="1"/>
  <c r="L278" i="1"/>
  <c r="BI277" i="1"/>
  <c r="BH277" i="1"/>
  <c r="BG277" i="1"/>
  <c r="BF277" i="1"/>
  <c r="BE277" i="1"/>
  <c r="BD277" i="1"/>
  <c r="O277" i="1"/>
  <c r="N277" i="1"/>
  <c r="L277" i="1"/>
  <c r="BK276" i="1"/>
  <c r="BI276" i="1"/>
  <c r="BH276" i="1"/>
  <c r="BG276" i="1"/>
  <c r="BF276" i="1"/>
  <c r="BE276" i="1"/>
  <c r="BD276" i="1"/>
  <c r="O276" i="1"/>
  <c r="N276" i="1"/>
  <c r="L276" i="1"/>
  <c r="BJ275" i="1"/>
  <c r="BI275" i="1"/>
  <c r="BH275" i="1"/>
  <c r="BG275" i="1"/>
  <c r="BF275" i="1"/>
  <c r="BE275" i="1"/>
  <c r="BD275" i="1"/>
  <c r="O275" i="1"/>
  <c r="N275" i="1"/>
  <c r="L275" i="1"/>
  <c r="BI274" i="1"/>
  <c r="BH274" i="1"/>
  <c r="BG274" i="1"/>
  <c r="BF274" i="1"/>
  <c r="BE274" i="1"/>
  <c r="BD274" i="1"/>
  <c r="O274" i="1"/>
  <c r="N274" i="1"/>
  <c r="L274" i="1"/>
  <c r="BJ273" i="1"/>
  <c r="BI273" i="1"/>
  <c r="BH273" i="1"/>
  <c r="BG273" i="1"/>
  <c r="BF273" i="1"/>
  <c r="BE273" i="1"/>
  <c r="BD273" i="1"/>
  <c r="O273" i="1"/>
  <c r="N273" i="1"/>
  <c r="L273" i="1"/>
  <c r="BJ272" i="1"/>
  <c r="BI272" i="1"/>
  <c r="BH272" i="1"/>
  <c r="BG272" i="1"/>
  <c r="BF272" i="1"/>
  <c r="BE272" i="1"/>
  <c r="BD272" i="1"/>
  <c r="O272" i="1"/>
  <c r="N272" i="1"/>
  <c r="L272" i="1"/>
  <c r="BI271" i="1"/>
  <c r="BH271" i="1"/>
  <c r="BG271" i="1"/>
  <c r="BF271" i="1"/>
  <c r="BE271" i="1"/>
  <c r="BD271" i="1"/>
  <c r="P271" i="1"/>
  <c r="O271" i="1"/>
  <c r="N271" i="1"/>
  <c r="L271" i="1"/>
  <c r="BI270" i="1"/>
  <c r="BH270" i="1"/>
  <c r="BG270" i="1"/>
  <c r="BF270" i="1"/>
  <c r="BE270" i="1"/>
  <c r="BD270" i="1"/>
  <c r="O270" i="1"/>
  <c r="N270" i="1"/>
  <c r="L270" i="1"/>
  <c r="BJ269" i="1"/>
  <c r="BI269" i="1"/>
  <c r="BH269" i="1"/>
  <c r="BG269" i="1"/>
  <c r="BF269" i="1"/>
  <c r="BE269" i="1"/>
  <c r="BD269" i="1"/>
  <c r="O269" i="1"/>
  <c r="N269" i="1"/>
  <c r="L269" i="1"/>
  <c r="BI268" i="1"/>
  <c r="BH268" i="1"/>
  <c r="BG268" i="1"/>
  <c r="BF268" i="1"/>
  <c r="BE268" i="1"/>
  <c r="BD268" i="1"/>
  <c r="O268" i="1"/>
  <c r="N268" i="1"/>
  <c r="L268" i="1"/>
  <c r="BI267" i="1"/>
  <c r="BH267" i="1"/>
  <c r="BG267" i="1"/>
  <c r="BF267" i="1"/>
  <c r="BE267" i="1"/>
  <c r="BD267" i="1"/>
  <c r="O267" i="1"/>
  <c r="N267" i="1"/>
  <c r="L267" i="1"/>
  <c r="BI266" i="1"/>
  <c r="BH266" i="1"/>
  <c r="BG266" i="1"/>
  <c r="BF266" i="1"/>
  <c r="BE266" i="1"/>
  <c r="BD266" i="1"/>
  <c r="O266" i="1"/>
  <c r="P247" i="1" s="1"/>
  <c r="N266" i="1"/>
  <c r="L266" i="1"/>
  <c r="BI265" i="1"/>
  <c r="BH265" i="1"/>
  <c r="BG265" i="1"/>
  <c r="BF265" i="1"/>
  <c r="BE265" i="1"/>
  <c r="BD265" i="1"/>
  <c r="O265" i="1"/>
  <c r="N265" i="1"/>
  <c r="L265" i="1"/>
  <c r="BI264" i="1"/>
  <c r="BH264" i="1"/>
  <c r="BG264" i="1"/>
  <c r="BF264" i="1"/>
  <c r="BE264" i="1"/>
  <c r="BD264" i="1"/>
  <c r="O264" i="1"/>
  <c r="N264" i="1"/>
  <c r="L264" i="1"/>
  <c r="BI263" i="1"/>
  <c r="BH263" i="1"/>
  <c r="BG263" i="1"/>
  <c r="BF263" i="1"/>
  <c r="BE263" i="1"/>
  <c r="BD263" i="1"/>
  <c r="O263" i="1"/>
  <c r="N263" i="1"/>
  <c r="L263" i="1"/>
  <c r="BI262" i="1"/>
  <c r="BH262" i="1"/>
  <c r="BG262" i="1"/>
  <c r="BF262" i="1"/>
  <c r="BE262" i="1"/>
  <c r="BD262" i="1"/>
  <c r="O262" i="1"/>
  <c r="N262" i="1"/>
  <c r="L262" i="1"/>
  <c r="BJ261" i="1"/>
  <c r="BI261" i="1"/>
  <c r="BH261" i="1"/>
  <c r="BG261" i="1"/>
  <c r="BF261" i="1"/>
  <c r="BE261" i="1"/>
  <c r="BD261" i="1"/>
  <c r="O261" i="1"/>
  <c r="N261" i="1"/>
  <c r="L261" i="1"/>
  <c r="BI260" i="1"/>
  <c r="BH260" i="1"/>
  <c r="BG260" i="1"/>
  <c r="BF260" i="1"/>
  <c r="BE260" i="1"/>
  <c r="BD260" i="1"/>
  <c r="O260" i="1"/>
  <c r="N260" i="1"/>
  <c r="L260" i="1"/>
  <c r="BI259" i="1"/>
  <c r="BH259" i="1"/>
  <c r="BG259" i="1"/>
  <c r="BF259" i="1"/>
  <c r="BE259" i="1"/>
  <c r="BD259" i="1"/>
  <c r="O259" i="1"/>
  <c r="P254" i="1" s="1"/>
  <c r="N259" i="1"/>
  <c r="L259" i="1"/>
  <c r="BI258" i="1"/>
  <c r="BH258" i="1"/>
  <c r="BG258" i="1"/>
  <c r="BF258" i="1"/>
  <c r="BE258" i="1"/>
  <c r="BD258" i="1"/>
  <c r="O258" i="1"/>
  <c r="N258" i="1"/>
  <c r="L258" i="1"/>
  <c r="BK257" i="1"/>
  <c r="BI257" i="1"/>
  <c r="BH257" i="1"/>
  <c r="BG257" i="1"/>
  <c r="BF257" i="1"/>
  <c r="BE257" i="1"/>
  <c r="BD257" i="1"/>
  <c r="O257" i="1"/>
  <c r="N257" i="1"/>
  <c r="L257" i="1"/>
  <c r="BI256" i="1"/>
  <c r="BH256" i="1"/>
  <c r="BG256" i="1"/>
  <c r="BF256" i="1"/>
  <c r="BE256" i="1"/>
  <c r="BD256" i="1"/>
  <c r="O256" i="1"/>
  <c r="N256" i="1"/>
  <c r="L256" i="1"/>
  <c r="BI255" i="1"/>
  <c r="BH255" i="1"/>
  <c r="BG255" i="1"/>
  <c r="BF255" i="1"/>
  <c r="BE255" i="1"/>
  <c r="BD255" i="1"/>
  <c r="O255" i="1"/>
  <c r="N255" i="1"/>
  <c r="L255" i="1"/>
  <c r="BI254" i="1"/>
  <c r="BH254" i="1"/>
  <c r="BG254" i="1"/>
  <c r="BF254" i="1"/>
  <c r="BE254" i="1"/>
  <c r="BD254" i="1"/>
  <c r="O254" i="1"/>
  <c r="N254" i="1"/>
  <c r="L254" i="1"/>
  <c r="BI253" i="1"/>
  <c r="BH253" i="1"/>
  <c r="BG253" i="1"/>
  <c r="BF253" i="1"/>
  <c r="BE253" i="1"/>
  <c r="BD253" i="1"/>
  <c r="O253" i="1"/>
  <c r="N253" i="1"/>
  <c r="L253" i="1"/>
  <c r="BI252" i="1"/>
  <c r="BH252" i="1"/>
  <c r="BG252" i="1"/>
  <c r="BF252" i="1"/>
  <c r="BE252" i="1"/>
  <c r="BD252" i="1"/>
  <c r="O252" i="1"/>
  <c r="N252" i="1"/>
  <c r="L252" i="1"/>
  <c r="BI251" i="1"/>
  <c r="BH251" i="1"/>
  <c r="BG251" i="1"/>
  <c r="BF251" i="1"/>
  <c r="BE251" i="1"/>
  <c r="BD251" i="1"/>
  <c r="O251" i="1"/>
  <c r="N251" i="1"/>
  <c r="L251" i="1"/>
  <c r="BI250" i="1"/>
  <c r="BH250" i="1"/>
  <c r="BG250" i="1"/>
  <c r="BF250" i="1"/>
  <c r="BE250" i="1"/>
  <c r="BD250" i="1"/>
  <c r="O250" i="1"/>
  <c r="N250" i="1"/>
  <c r="L250" i="1"/>
  <c r="BI249" i="1"/>
  <c r="BH249" i="1"/>
  <c r="BG249" i="1"/>
  <c r="BF249" i="1"/>
  <c r="BE249" i="1"/>
  <c r="BD249" i="1"/>
  <c r="O249" i="1"/>
  <c r="N249" i="1"/>
  <c r="L249" i="1"/>
  <c r="BI248" i="1"/>
  <c r="BH248" i="1"/>
  <c r="BG248" i="1"/>
  <c r="BF248" i="1"/>
  <c r="BE248" i="1"/>
  <c r="BD248" i="1"/>
  <c r="O248" i="1"/>
  <c r="N248" i="1"/>
  <c r="L248" i="1"/>
  <c r="BI247" i="1"/>
  <c r="BH247" i="1"/>
  <c r="BG247" i="1"/>
  <c r="BF247" i="1"/>
  <c r="BE247" i="1"/>
  <c r="BD247" i="1"/>
  <c r="O247" i="1"/>
  <c r="N247" i="1"/>
  <c r="L247" i="1"/>
  <c r="BI246" i="1"/>
  <c r="BH246" i="1"/>
  <c r="BG246" i="1"/>
  <c r="BF246" i="1"/>
  <c r="BE246" i="1"/>
  <c r="BD246" i="1"/>
  <c r="O246" i="1"/>
  <c r="N246" i="1"/>
  <c r="L246" i="1"/>
  <c r="BI245" i="1"/>
  <c r="BH245" i="1"/>
  <c r="BG245" i="1"/>
  <c r="BF245" i="1"/>
  <c r="BE245" i="1"/>
  <c r="BD245" i="1"/>
  <c r="O245" i="1"/>
  <c r="N245" i="1"/>
  <c r="L245" i="1"/>
  <c r="BI244" i="1"/>
  <c r="BH244" i="1"/>
  <c r="BG244" i="1"/>
  <c r="BF244" i="1"/>
  <c r="BE244" i="1"/>
  <c r="BD244" i="1"/>
  <c r="O244" i="1"/>
  <c r="N244" i="1"/>
  <c r="L244" i="1"/>
  <c r="BI243" i="1"/>
  <c r="BH243" i="1"/>
  <c r="BG243" i="1"/>
  <c r="BF243" i="1"/>
  <c r="BE243" i="1"/>
  <c r="BD243" i="1"/>
  <c r="O243" i="1"/>
  <c r="N243" i="1"/>
  <c r="L243" i="1"/>
  <c r="BI242" i="1"/>
  <c r="BH242" i="1"/>
  <c r="BG242" i="1"/>
  <c r="BF242" i="1"/>
  <c r="BE242" i="1"/>
  <c r="BD242" i="1"/>
  <c r="O242" i="1"/>
  <c r="N242" i="1"/>
  <c r="L242" i="1"/>
  <c r="BI241" i="1"/>
  <c r="BH241" i="1"/>
  <c r="BG241" i="1"/>
  <c r="BF241" i="1"/>
  <c r="BE241" i="1"/>
  <c r="BD241" i="1"/>
  <c r="O241" i="1"/>
  <c r="N241" i="1"/>
  <c r="L241" i="1"/>
  <c r="BK240" i="1"/>
  <c r="BI240" i="1"/>
  <c r="BH240" i="1"/>
  <c r="BG240" i="1"/>
  <c r="BF240" i="1"/>
  <c r="BE240" i="1"/>
  <c r="BD240" i="1"/>
  <c r="O240" i="1"/>
  <c r="N240" i="1"/>
  <c r="L240" i="1"/>
  <c r="BI239" i="1"/>
  <c r="BH239" i="1"/>
  <c r="BG239" i="1"/>
  <c r="BF239" i="1"/>
  <c r="BE239" i="1"/>
  <c r="BD239" i="1"/>
  <c r="O239" i="1"/>
  <c r="N239" i="1"/>
  <c r="L239" i="1"/>
  <c r="BI238" i="1"/>
  <c r="BH238" i="1"/>
  <c r="BG238" i="1"/>
  <c r="BF238" i="1"/>
  <c r="BE238" i="1"/>
  <c r="BD238" i="1"/>
  <c r="O238" i="1"/>
  <c r="N238" i="1"/>
  <c r="L238" i="1"/>
  <c r="BK237" i="1"/>
  <c r="BJ237" i="1"/>
  <c r="BI237" i="1"/>
  <c r="BH237" i="1"/>
  <c r="BG237" i="1"/>
  <c r="BF237" i="1"/>
  <c r="BE237" i="1"/>
  <c r="BD237" i="1"/>
  <c r="O237" i="1"/>
  <c r="N237" i="1"/>
  <c r="L237" i="1"/>
  <c r="BI236" i="1"/>
  <c r="BH236" i="1"/>
  <c r="BG236" i="1"/>
  <c r="BF236" i="1"/>
  <c r="BE236" i="1"/>
  <c r="BD236" i="1"/>
  <c r="O236" i="1"/>
  <c r="N236" i="1"/>
  <c r="L236" i="1"/>
  <c r="BI235" i="1"/>
  <c r="BH235" i="1"/>
  <c r="BG235" i="1"/>
  <c r="BF235" i="1"/>
  <c r="BE235" i="1"/>
  <c r="BD235" i="1"/>
  <c r="O235" i="1"/>
  <c r="N235" i="1"/>
  <c r="L235" i="1"/>
  <c r="BJ234" i="1"/>
  <c r="BI234" i="1"/>
  <c r="BH234" i="1"/>
  <c r="BG234" i="1"/>
  <c r="BF234" i="1"/>
  <c r="BE234" i="1"/>
  <c r="BD234" i="1"/>
  <c r="O234" i="1"/>
  <c r="N234" i="1"/>
  <c r="L234" i="1"/>
  <c r="BI233" i="1"/>
  <c r="BH233" i="1"/>
  <c r="BG233" i="1"/>
  <c r="BF233" i="1"/>
  <c r="BE233" i="1"/>
  <c r="BD233" i="1"/>
  <c r="O233" i="1"/>
  <c r="N233" i="1"/>
  <c r="L233" i="1"/>
  <c r="BI232" i="1"/>
  <c r="BH232" i="1"/>
  <c r="BG232" i="1"/>
  <c r="BF232" i="1"/>
  <c r="BE232" i="1"/>
  <c r="BD232" i="1"/>
  <c r="O232" i="1"/>
  <c r="N232" i="1"/>
  <c r="L232" i="1"/>
  <c r="BI231" i="1"/>
  <c r="BH231" i="1"/>
  <c r="BG231" i="1"/>
  <c r="BF231" i="1"/>
  <c r="BE231" i="1"/>
  <c r="BD231" i="1"/>
  <c r="O231" i="1"/>
  <c r="N231" i="1"/>
  <c r="L231" i="1"/>
  <c r="BJ230" i="1"/>
  <c r="BI230" i="1"/>
  <c r="BH230" i="1"/>
  <c r="BG230" i="1"/>
  <c r="BF230" i="1"/>
  <c r="BE230" i="1"/>
  <c r="BD230" i="1"/>
  <c r="O230" i="1"/>
  <c r="N230" i="1"/>
  <c r="L230" i="1"/>
  <c r="BI229" i="1"/>
  <c r="BH229" i="1"/>
  <c r="BG229" i="1"/>
  <c r="BF229" i="1"/>
  <c r="BE229" i="1"/>
  <c r="BD229" i="1"/>
  <c r="O229" i="1"/>
  <c r="N229" i="1"/>
  <c r="L229" i="1"/>
  <c r="BI228" i="1"/>
  <c r="BH228" i="1"/>
  <c r="BG228" i="1"/>
  <c r="BF228" i="1"/>
  <c r="BE228" i="1"/>
  <c r="BD228" i="1"/>
  <c r="O228" i="1"/>
  <c r="N228" i="1"/>
  <c r="L228" i="1"/>
  <c r="BI227" i="1"/>
  <c r="BH227" i="1"/>
  <c r="BG227" i="1"/>
  <c r="BF227" i="1"/>
  <c r="BE227" i="1"/>
  <c r="BD227" i="1"/>
  <c r="O227" i="1"/>
  <c r="N227" i="1"/>
  <c r="L227" i="1"/>
  <c r="BI226" i="1"/>
  <c r="BH226" i="1"/>
  <c r="BG226" i="1"/>
  <c r="BF226" i="1"/>
  <c r="BE226" i="1"/>
  <c r="BD226" i="1"/>
  <c r="O226" i="1"/>
  <c r="N226" i="1"/>
  <c r="L226" i="1"/>
  <c r="BI225" i="1"/>
  <c r="BH225" i="1"/>
  <c r="BG225" i="1"/>
  <c r="BF225" i="1"/>
  <c r="BE225" i="1"/>
  <c r="BD225" i="1"/>
  <c r="O225" i="1"/>
  <c r="N225" i="1"/>
  <c r="L225" i="1"/>
  <c r="BI224" i="1"/>
  <c r="BH224" i="1"/>
  <c r="BG224" i="1"/>
  <c r="BF224" i="1"/>
  <c r="BE224" i="1"/>
  <c r="BD224" i="1"/>
  <c r="O224" i="1"/>
  <c r="N224" i="1"/>
  <c r="L224" i="1"/>
  <c r="BI223" i="1"/>
  <c r="BH223" i="1"/>
  <c r="BG223" i="1"/>
  <c r="BF223" i="1"/>
  <c r="BE223" i="1"/>
  <c r="BD223" i="1"/>
  <c r="O223" i="1"/>
  <c r="N223" i="1"/>
  <c r="L223" i="1"/>
  <c r="BI222" i="1"/>
  <c r="BH222" i="1"/>
  <c r="BG222" i="1"/>
  <c r="BF222" i="1"/>
  <c r="BE222" i="1"/>
  <c r="BD222" i="1"/>
  <c r="O222" i="1"/>
  <c r="N222" i="1"/>
  <c r="L222" i="1"/>
  <c r="BK221" i="1"/>
  <c r="BI221" i="1"/>
  <c r="BH221" i="1"/>
  <c r="BG221" i="1"/>
  <c r="BF221" i="1"/>
  <c r="BE221" i="1"/>
  <c r="BD221" i="1"/>
  <c r="O221" i="1"/>
  <c r="N221" i="1"/>
  <c r="L221" i="1"/>
  <c r="BI220" i="1"/>
  <c r="BH220" i="1"/>
  <c r="BG220" i="1"/>
  <c r="BF220" i="1"/>
  <c r="BE220" i="1"/>
  <c r="BD220" i="1"/>
  <c r="O220" i="1"/>
  <c r="N220" i="1"/>
  <c r="L220" i="1"/>
  <c r="BI219" i="1"/>
  <c r="BH219" i="1"/>
  <c r="BG219" i="1"/>
  <c r="BF219" i="1"/>
  <c r="BE219" i="1"/>
  <c r="BD219" i="1"/>
  <c r="O219" i="1"/>
  <c r="N219" i="1"/>
  <c r="L219" i="1"/>
  <c r="BI218" i="1"/>
  <c r="BH218" i="1"/>
  <c r="BG218" i="1"/>
  <c r="BF218" i="1"/>
  <c r="BE218" i="1"/>
  <c r="BD218" i="1"/>
  <c r="O218" i="1"/>
  <c r="N218" i="1"/>
  <c r="L218" i="1"/>
  <c r="BJ217" i="1"/>
  <c r="BI217" i="1"/>
  <c r="BH217" i="1"/>
  <c r="BG217" i="1"/>
  <c r="BF217" i="1"/>
  <c r="BE217" i="1"/>
  <c r="BD217" i="1"/>
  <c r="O217" i="1"/>
  <c r="N217" i="1"/>
  <c r="L217" i="1"/>
  <c r="BK216" i="1"/>
  <c r="BI216" i="1"/>
  <c r="BH216" i="1"/>
  <c r="BG216" i="1"/>
  <c r="BF216" i="1"/>
  <c r="BE216" i="1"/>
  <c r="BD216" i="1"/>
  <c r="O216" i="1"/>
  <c r="N216" i="1"/>
  <c r="L216" i="1"/>
  <c r="BI215" i="1"/>
  <c r="BH215" i="1"/>
  <c r="BG215" i="1"/>
  <c r="BF215" i="1"/>
  <c r="BE215" i="1"/>
  <c r="BD215" i="1"/>
  <c r="O215" i="1"/>
  <c r="N215" i="1"/>
  <c r="L215" i="1"/>
  <c r="BI214" i="1"/>
  <c r="BH214" i="1"/>
  <c r="BG214" i="1"/>
  <c r="BF214" i="1"/>
  <c r="BE214" i="1"/>
  <c r="BD214" i="1"/>
  <c r="O214" i="1"/>
  <c r="N214" i="1"/>
  <c r="L214" i="1"/>
  <c r="BI213" i="1"/>
  <c r="BH213" i="1"/>
  <c r="BG213" i="1"/>
  <c r="BF213" i="1"/>
  <c r="BE213" i="1"/>
  <c r="BD213" i="1"/>
  <c r="O213" i="1"/>
  <c r="N213" i="1"/>
  <c r="L213" i="1"/>
  <c r="BI212" i="1"/>
  <c r="BH212" i="1"/>
  <c r="BG212" i="1"/>
  <c r="BF212" i="1"/>
  <c r="BE212" i="1"/>
  <c r="BD212" i="1"/>
  <c r="O212" i="1"/>
  <c r="N212" i="1"/>
  <c r="L212" i="1"/>
  <c r="BJ211" i="1"/>
  <c r="BI211" i="1"/>
  <c r="BH211" i="1"/>
  <c r="BG211" i="1"/>
  <c r="BF211" i="1"/>
  <c r="BE211" i="1"/>
  <c r="BD211" i="1"/>
  <c r="O211" i="1"/>
  <c r="N211" i="1"/>
  <c r="L211" i="1"/>
  <c r="BK210" i="1"/>
  <c r="BI210" i="1"/>
  <c r="BH210" i="1"/>
  <c r="BG210" i="1"/>
  <c r="BF210" i="1"/>
  <c r="BE210" i="1"/>
  <c r="BD210" i="1"/>
  <c r="O210" i="1"/>
  <c r="N210" i="1"/>
  <c r="L210" i="1"/>
  <c r="BI209" i="1"/>
  <c r="BH209" i="1"/>
  <c r="BG209" i="1"/>
  <c r="BF209" i="1"/>
  <c r="BE209" i="1"/>
  <c r="BD209" i="1"/>
  <c r="P209" i="1"/>
  <c r="O209" i="1"/>
  <c r="N209" i="1"/>
  <c r="L209" i="1"/>
  <c r="BI208" i="1"/>
  <c r="BH208" i="1"/>
  <c r="BG208" i="1"/>
  <c r="BF208" i="1"/>
  <c r="BE208" i="1"/>
  <c r="BD208" i="1"/>
  <c r="O208" i="1"/>
  <c r="N208" i="1"/>
  <c r="L208" i="1"/>
  <c r="BJ207" i="1"/>
  <c r="BI207" i="1"/>
  <c r="BH207" i="1"/>
  <c r="BG207" i="1"/>
  <c r="BF207" i="1"/>
  <c r="BE207" i="1"/>
  <c r="BD207" i="1"/>
  <c r="O207" i="1"/>
  <c r="N207" i="1"/>
  <c r="L207" i="1"/>
  <c r="BJ206" i="1"/>
  <c r="BI206" i="1"/>
  <c r="BH206" i="1"/>
  <c r="BG206" i="1"/>
  <c r="BF206" i="1"/>
  <c r="BE206" i="1"/>
  <c r="BD206" i="1"/>
  <c r="O206" i="1"/>
  <c r="N206" i="1"/>
  <c r="L206" i="1"/>
  <c r="BI205" i="1"/>
  <c r="BH205" i="1"/>
  <c r="BG205" i="1"/>
  <c r="BF205" i="1"/>
  <c r="BE205" i="1"/>
  <c r="BD205" i="1"/>
  <c r="O205" i="1"/>
  <c r="N205" i="1"/>
  <c r="L205" i="1"/>
  <c r="BI204" i="1"/>
  <c r="BH204" i="1"/>
  <c r="BG204" i="1"/>
  <c r="BF204" i="1"/>
  <c r="BE204" i="1"/>
  <c r="BD204" i="1"/>
  <c r="O204" i="1"/>
  <c r="N204" i="1"/>
  <c r="L204" i="1"/>
  <c r="BI203" i="1"/>
  <c r="BH203" i="1"/>
  <c r="BG203" i="1"/>
  <c r="BF203" i="1"/>
  <c r="BE203" i="1"/>
  <c r="BD203" i="1"/>
  <c r="O203" i="1"/>
  <c r="N203" i="1"/>
  <c r="L203" i="1"/>
  <c r="BI202" i="1"/>
  <c r="BH202" i="1"/>
  <c r="BG202" i="1"/>
  <c r="BF202" i="1"/>
  <c r="BE202" i="1"/>
  <c r="BD202" i="1"/>
  <c r="O202" i="1"/>
  <c r="N202" i="1"/>
  <c r="L202" i="1"/>
  <c r="BK201" i="1"/>
  <c r="BJ201" i="1"/>
  <c r="BI201" i="1"/>
  <c r="BH201" i="1"/>
  <c r="BG201" i="1"/>
  <c r="BF201" i="1"/>
  <c r="BE201" i="1"/>
  <c r="BD201" i="1"/>
  <c r="O201" i="1"/>
  <c r="N201" i="1"/>
  <c r="L201" i="1"/>
  <c r="BJ200" i="1"/>
  <c r="BI200" i="1"/>
  <c r="BH200" i="1"/>
  <c r="BG200" i="1"/>
  <c r="BF200" i="1"/>
  <c r="BE200" i="1"/>
  <c r="BD200" i="1"/>
  <c r="O200" i="1"/>
  <c r="N200" i="1"/>
  <c r="L200" i="1"/>
  <c r="BI199" i="1"/>
  <c r="BH199" i="1"/>
  <c r="BG199" i="1"/>
  <c r="BF199" i="1"/>
  <c r="BE199" i="1"/>
  <c r="BD199" i="1"/>
  <c r="O199" i="1"/>
  <c r="N199" i="1"/>
  <c r="L199" i="1"/>
  <c r="BI198" i="1"/>
  <c r="BH198" i="1"/>
  <c r="BG198" i="1"/>
  <c r="BF198" i="1"/>
  <c r="BE198" i="1"/>
  <c r="BD198" i="1"/>
  <c r="O198" i="1"/>
  <c r="N198" i="1"/>
  <c r="L198" i="1"/>
  <c r="BK197" i="1"/>
  <c r="BJ197" i="1"/>
  <c r="BI197" i="1"/>
  <c r="BH197" i="1"/>
  <c r="BG197" i="1"/>
  <c r="BF197" i="1"/>
  <c r="BE197" i="1"/>
  <c r="BD197" i="1"/>
  <c r="O197" i="1"/>
  <c r="N197" i="1"/>
  <c r="L197" i="1"/>
  <c r="BI196" i="1"/>
  <c r="BH196" i="1"/>
  <c r="BG196" i="1"/>
  <c r="BF196" i="1"/>
  <c r="BE196" i="1"/>
  <c r="BD196" i="1"/>
  <c r="O196" i="1"/>
  <c r="N196" i="1"/>
  <c r="L196" i="1"/>
  <c r="BI195" i="1"/>
  <c r="BH195" i="1"/>
  <c r="BG195" i="1"/>
  <c r="BF195" i="1"/>
  <c r="BE195" i="1"/>
  <c r="BD195" i="1"/>
  <c r="O195" i="1"/>
  <c r="N195" i="1"/>
  <c r="L195" i="1"/>
  <c r="BI194" i="1"/>
  <c r="BH194" i="1"/>
  <c r="BG194" i="1"/>
  <c r="BF194" i="1"/>
  <c r="BE194" i="1"/>
  <c r="BD194" i="1"/>
  <c r="O194" i="1"/>
  <c r="N194" i="1"/>
  <c r="L194" i="1"/>
  <c r="BI193" i="1"/>
  <c r="BH193" i="1"/>
  <c r="BG193" i="1"/>
  <c r="BF193" i="1"/>
  <c r="BE193" i="1"/>
  <c r="BD193" i="1"/>
  <c r="O193" i="1"/>
  <c r="P132" i="1" s="1"/>
  <c r="N193" i="1"/>
  <c r="L193" i="1"/>
  <c r="BI192" i="1"/>
  <c r="BH192" i="1"/>
  <c r="BG192" i="1"/>
  <c r="BF192" i="1"/>
  <c r="BE192" i="1"/>
  <c r="BD192" i="1"/>
  <c r="O192" i="1"/>
  <c r="N192" i="1"/>
  <c r="L192" i="1"/>
  <c r="BI191" i="1"/>
  <c r="BH191" i="1"/>
  <c r="BG191" i="1"/>
  <c r="BF191" i="1"/>
  <c r="BE191" i="1"/>
  <c r="BD191" i="1"/>
  <c r="O191" i="1"/>
  <c r="N191" i="1"/>
  <c r="L191" i="1"/>
  <c r="BK190" i="1"/>
  <c r="BJ190" i="1"/>
  <c r="BI190" i="1"/>
  <c r="BH190" i="1"/>
  <c r="BG190" i="1"/>
  <c r="BF190" i="1"/>
  <c r="BE190" i="1"/>
  <c r="BD190" i="1"/>
  <c r="O190" i="1"/>
  <c r="N190" i="1"/>
  <c r="L190" i="1"/>
  <c r="BK189" i="1"/>
  <c r="BI189" i="1"/>
  <c r="BH189" i="1"/>
  <c r="BG189" i="1"/>
  <c r="BF189" i="1"/>
  <c r="BE189" i="1"/>
  <c r="BD189" i="1"/>
  <c r="O189" i="1"/>
  <c r="N189" i="1"/>
  <c r="L189" i="1"/>
  <c r="BI188" i="1"/>
  <c r="BH188" i="1"/>
  <c r="BG188" i="1"/>
  <c r="BF188" i="1"/>
  <c r="BE188" i="1"/>
  <c r="BD188" i="1"/>
  <c r="O188" i="1"/>
  <c r="N188" i="1"/>
  <c r="L188" i="1"/>
  <c r="BI187" i="1"/>
  <c r="BH187" i="1"/>
  <c r="BG187" i="1"/>
  <c r="BF187" i="1"/>
  <c r="BE187" i="1"/>
  <c r="BD187" i="1"/>
  <c r="O187" i="1"/>
  <c r="N187" i="1"/>
  <c r="L187" i="1"/>
  <c r="BJ186" i="1"/>
  <c r="BI186" i="1"/>
  <c r="BH186" i="1"/>
  <c r="BG186" i="1"/>
  <c r="BF186" i="1"/>
  <c r="BE186" i="1"/>
  <c r="BD186" i="1"/>
  <c r="O186" i="1"/>
  <c r="N186" i="1"/>
  <c r="L186" i="1"/>
  <c r="BI185" i="1"/>
  <c r="BH185" i="1"/>
  <c r="BG185" i="1"/>
  <c r="BF185" i="1"/>
  <c r="BE185" i="1"/>
  <c r="BD185" i="1"/>
  <c r="O185" i="1"/>
  <c r="N185" i="1"/>
  <c r="L185" i="1"/>
  <c r="BJ184" i="1"/>
  <c r="BI184" i="1"/>
  <c r="BH184" i="1"/>
  <c r="BG184" i="1"/>
  <c r="BF184" i="1"/>
  <c r="BE184" i="1"/>
  <c r="BD184" i="1"/>
  <c r="O184" i="1"/>
  <c r="N184" i="1"/>
  <c r="L184" i="1"/>
  <c r="BI183" i="1"/>
  <c r="BH183" i="1"/>
  <c r="BG183" i="1"/>
  <c r="BF183" i="1"/>
  <c r="BE183" i="1"/>
  <c r="BD183" i="1"/>
  <c r="O183" i="1"/>
  <c r="N183" i="1"/>
  <c r="L183" i="1"/>
  <c r="BI182" i="1"/>
  <c r="BH182" i="1"/>
  <c r="BG182" i="1"/>
  <c r="BF182" i="1"/>
  <c r="BE182" i="1"/>
  <c r="BD182" i="1"/>
  <c r="O182" i="1"/>
  <c r="N182" i="1"/>
  <c r="L182" i="1"/>
  <c r="BI181" i="1"/>
  <c r="BH181" i="1"/>
  <c r="BG181" i="1"/>
  <c r="BF181" i="1"/>
  <c r="BE181" i="1"/>
  <c r="BD181" i="1"/>
  <c r="O181" i="1"/>
  <c r="N181" i="1"/>
  <c r="L181" i="1"/>
  <c r="BK180" i="1"/>
  <c r="BJ180" i="1"/>
  <c r="BI180" i="1"/>
  <c r="BH180" i="1"/>
  <c r="BG180" i="1"/>
  <c r="BF180" i="1"/>
  <c r="BE180" i="1"/>
  <c r="BD180" i="1"/>
  <c r="O180" i="1"/>
  <c r="N180" i="1"/>
  <c r="L180" i="1"/>
  <c r="BK179" i="1"/>
  <c r="BJ179" i="1"/>
  <c r="BI179" i="1"/>
  <c r="BH179" i="1"/>
  <c r="BG179" i="1"/>
  <c r="BF179" i="1"/>
  <c r="BE179" i="1"/>
  <c r="BD179" i="1"/>
  <c r="O179" i="1"/>
  <c r="N179" i="1"/>
  <c r="L179" i="1"/>
  <c r="BK178" i="1"/>
  <c r="BI178" i="1"/>
  <c r="BH178" i="1"/>
  <c r="BG178" i="1"/>
  <c r="BF178" i="1"/>
  <c r="BE178" i="1"/>
  <c r="BD178" i="1"/>
  <c r="O178" i="1"/>
  <c r="N178" i="1"/>
  <c r="L178" i="1"/>
  <c r="BI177" i="1"/>
  <c r="BH177" i="1"/>
  <c r="BG177" i="1"/>
  <c r="BF177" i="1"/>
  <c r="BE177" i="1"/>
  <c r="BD177" i="1"/>
  <c r="O177" i="1"/>
  <c r="N177" i="1"/>
  <c r="L177" i="1"/>
  <c r="BI176" i="1"/>
  <c r="BH176" i="1"/>
  <c r="BG176" i="1"/>
  <c r="BF176" i="1"/>
  <c r="BE176" i="1"/>
  <c r="BD176" i="1"/>
  <c r="O176" i="1"/>
  <c r="N176" i="1"/>
  <c r="L176" i="1"/>
  <c r="BI175" i="1"/>
  <c r="BH175" i="1"/>
  <c r="BG175" i="1"/>
  <c r="BF175" i="1"/>
  <c r="BE175" i="1"/>
  <c r="BD175" i="1"/>
  <c r="O175" i="1"/>
  <c r="N175" i="1"/>
  <c r="L175" i="1"/>
  <c r="BK174" i="1"/>
  <c r="BI174" i="1"/>
  <c r="BH174" i="1"/>
  <c r="BG174" i="1"/>
  <c r="BF174" i="1"/>
  <c r="BE174" i="1"/>
  <c r="BD174" i="1"/>
  <c r="O174" i="1"/>
  <c r="N174" i="1"/>
  <c r="L174" i="1"/>
  <c r="BI173" i="1"/>
  <c r="BH173" i="1"/>
  <c r="BG173" i="1"/>
  <c r="BF173" i="1"/>
  <c r="BE173" i="1"/>
  <c r="BD173" i="1"/>
  <c r="O173" i="1"/>
  <c r="N173" i="1"/>
  <c r="L173" i="1"/>
  <c r="BK172" i="1"/>
  <c r="BJ172" i="1"/>
  <c r="BI172" i="1"/>
  <c r="BH172" i="1"/>
  <c r="BG172" i="1"/>
  <c r="BF172" i="1"/>
  <c r="BE172" i="1"/>
  <c r="BD172" i="1"/>
  <c r="O172" i="1"/>
  <c r="N172" i="1"/>
  <c r="L172" i="1"/>
  <c r="BI171" i="1"/>
  <c r="BH171" i="1"/>
  <c r="BG171" i="1"/>
  <c r="BF171" i="1"/>
  <c r="BE171" i="1"/>
  <c r="BD171" i="1"/>
  <c r="O171" i="1"/>
  <c r="N171" i="1"/>
  <c r="L171" i="1"/>
  <c r="BI170" i="1"/>
  <c r="BH170" i="1"/>
  <c r="BG170" i="1"/>
  <c r="BF170" i="1"/>
  <c r="BE170" i="1"/>
  <c r="BD170" i="1"/>
  <c r="O170" i="1"/>
  <c r="N170" i="1"/>
  <c r="L170" i="1"/>
  <c r="BI169" i="1"/>
  <c r="BH169" i="1"/>
  <c r="BG169" i="1"/>
  <c r="BF169" i="1"/>
  <c r="BE169" i="1"/>
  <c r="BD169" i="1"/>
  <c r="O169" i="1"/>
  <c r="N169" i="1"/>
  <c r="L169" i="1"/>
  <c r="BK168" i="1"/>
  <c r="BJ168" i="1"/>
  <c r="BI168" i="1"/>
  <c r="BH168" i="1"/>
  <c r="BG168" i="1"/>
  <c r="BF168" i="1"/>
  <c r="BE168" i="1"/>
  <c r="BD168" i="1"/>
  <c r="O168" i="1"/>
  <c r="N168" i="1"/>
  <c r="L168" i="1"/>
  <c r="BK167" i="1"/>
  <c r="BI167" i="1"/>
  <c r="BH167" i="1"/>
  <c r="BG167" i="1"/>
  <c r="BF167" i="1"/>
  <c r="BE167" i="1"/>
  <c r="BD167" i="1"/>
  <c r="O167" i="1"/>
  <c r="N167" i="1"/>
  <c r="L167" i="1"/>
  <c r="BI166" i="1"/>
  <c r="BH166" i="1"/>
  <c r="BG166" i="1"/>
  <c r="BF166" i="1"/>
  <c r="BE166" i="1"/>
  <c r="BD166" i="1"/>
  <c r="O166" i="1"/>
  <c r="N166" i="1"/>
  <c r="L166" i="1"/>
  <c r="BI165" i="1"/>
  <c r="BH165" i="1"/>
  <c r="BG165" i="1"/>
  <c r="BF165" i="1"/>
  <c r="BE165" i="1"/>
  <c r="BD165" i="1"/>
  <c r="O165" i="1"/>
  <c r="N165" i="1"/>
  <c r="L165" i="1"/>
  <c r="BI164" i="1"/>
  <c r="BH164" i="1"/>
  <c r="BG164" i="1"/>
  <c r="BF164" i="1"/>
  <c r="BE164" i="1"/>
  <c r="BD164" i="1"/>
  <c r="O164" i="1"/>
  <c r="N164" i="1"/>
  <c r="L164" i="1"/>
  <c r="BJ163" i="1"/>
  <c r="BI163" i="1"/>
  <c r="BH163" i="1"/>
  <c r="BG163" i="1"/>
  <c r="BF163" i="1"/>
  <c r="BE163" i="1"/>
  <c r="BD163" i="1"/>
  <c r="O163" i="1"/>
  <c r="N163" i="1"/>
  <c r="L163" i="1"/>
  <c r="BI162" i="1"/>
  <c r="BH162" i="1"/>
  <c r="BG162" i="1"/>
  <c r="BF162" i="1"/>
  <c r="BE162" i="1"/>
  <c r="BD162" i="1"/>
  <c r="O162" i="1"/>
  <c r="N162" i="1"/>
  <c r="L162" i="1"/>
  <c r="BK161" i="1"/>
  <c r="BI161" i="1"/>
  <c r="BH161" i="1"/>
  <c r="BG161" i="1"/>
  <c r="BF161" i="1"/>
  <c r="BE161" i="1"/>
  <c r="BD161" i="1"/>
  <c r="O161" i="1"/>
  <c r="N161" i="1"/>
  <c r="L161" i="1"/>
  <c r="BJ160" i="1"/>
  <c r="BI160" i="1"/>
  <c r="BH160" i="1"/>
  <c r="BG160" i="1"/>
  <c r="BF160" i="1"/>
  <c r="BE160" i="1"/>
  <c r="BD160" i="1"/>
  <c r="P160" i="1"/>
  <c r="O160" i="1"/>
  <c r="N160" i="1"/>
  <c r="L160" i="1"/>
  <c r="BI159" i="1"/>
  <c r="BH159" i="1"/>
  <c r="BG159" i="1"/>
  <c r="BF159" i="1"/>
  <c r="BE159" i="1"/>
  <c r="BD159" i="1"/>
  <c r="O159" i="1"/>
  <c r="N159" i="1"/>
  <c r="L159" i="1"/>
  <c r="BI158" i="1"/>
  <c r="BH158" i="1"/>
  <c r="BG158" i="1"/>
  <c r="BF158" i="1"/>
  <c r="BE158" i="1"/>
  <c r="BD158" i="1"/>
  <c r="O158" i="1"/>
  <c r="N158" i="1"/>
  <c r="L158" i="1"/>
  <c r="BK157" i="1"/>
  <c r="BJ157" i="1"/>
  <c r="BL157" i="1" s="1"/>
  <c r="BI157" i="1"/>
  <c r="BH157" i="1"/>
  <c r="BG157" i="1"/>
  <c r="BF157" i="1"/>
  <c r="BE157" i="1"/>
  <c r="BD157" i="1"/>
  <c r="O157" i="1"/>
  <c r="N157" i="1"/>
  <c r="L157" i="1"/>
  <c r="BK156" i="1"/>
  <c r="BJ156" i="1"/>
  <c r="BI156" i="1"/>
  <c r="BH156" i="1"/>
  <c r="BG156" i="1"/>
  <c r="BF156" i="1"/>
  <c r="BE156" i="1"/>
  <c r="BD156" i="1"/>
  <c r="O156" i="1"/>
  <c r="N156" i="1"/>
  <c r="L156" i="1"/>
  <c r="BJ155" i="1"/>
  <c r="BI155" i="1"/>
  <c r="BH155" i="1"/>
  <c r="BG155" i="1"/>
  <c r="BF155" i="1"/>
  <c r="BE155" i="1"/>
  <c r="BD155" i="1"/>
  <c r="O155" i="1"/>
  <c r="N155" i="1"/>
  <c r="L155" i="1"/>
  <c r="BI154" i="1"/>
  <c r="BH154" i="1"/>
  <c r="BG154" i="1"/>
  <c r="BF154" i="1"/>
  <c r="BE154" i="1"/>
  <c r="BD154" i="1"/>
  <c r="O154" i="1"/>
  <c r="N154" i="1"/>
  <c r="L154" i="1"/>
  <c r="BI153" i="1"/>
  <c r="BH153" i="1"/>
  <c r="BG153" i="1"/>
  <c r="BF153" i="1"/>
  <c r="BE153" i="1"/>
  <c r="BD153" i="1"/>
  <c r="O153" i="1"/>
  <c r="N153" i="1"/>
  <c r="L153" i="1"/>
  <c r="BK152" i="1"/>
  <c r="BJ152" i="1"/>
  <c r="BI152" i="1"/>
  <c r="BH152" i="1"/>
  <c r="BG152" i="1"/>
  <c r="BF152" i="1"/>
  <c r="BE152" i="1"/>
  <c r="BD152" i="1"/>
  <c r="O152" i="1"/>
  <c r="N152" i="1"/>
  <c r="L152" i="1"/>
  <c r="BI151" i="1"/>
  <c r="BH151" i="1"/>
  <c r="BG151" i="1"/>
  <c r="BF151" i="1"/>
  <c r="BE151" i="1"/>
  <c r="BD151" i="1"/>
  <c r="O151" i="1"/>
  <c r="N151" i="1"/>
  <c r="L151" i="1"/>
  <c r="BI150" i="1"/>
  <c r="BH150" i="1"/>
  <c r="BG150" i="1"/>
  <c r="BF150" i="1"/>
  <c r="BE150" i="1"/>
  <c r="BD150" i="1"/>
  <c r="O150" i="1"/>
  <c r="N150" i="1"/>
  <c r="L150" i="1"/>
  <c r="BK149" i="1"/>
  <c r="BJ149" i="1"/>
  <c r="BI149" i="1"/>
  <c r="BH149" i="1"/>
  <c r="BG149" i="1"/>
  <c r="BF149" i="1"/>
  <c r="BE149" i="1"/>
  <c r="BD149" i="1"/>
  <c r="O149" i="1"/>
  <c r="N149" i="1"/>
  <c r="L149" i="1"/>
  <c r="BI148" i="1"/>
  <c r="BH148" i="1"/>
  <c r="BG148" i="1"/>
  <c r="BF148" i="1"/>
  <c r="BE148" i="1"/>
  <c r="BD148" i="1"/>
  <c r="O148" i="1"/>
  <c r="N148" i="1"/>
  <c r="L148" i="1"/>
  <c r="BI147" i="1"/>
  <c r="BH147" i="1"/>
  <c r="BG147" i="1"/>
  <c r="BF147" i="1"/>
  <c r="BE147" i="1"/>
  <c r="BD147" i="1"/>
  <c r="O147" i="1"/>
  <c r="N147" i="1"/>
  <c r="L147" i="1"/>
  <c r="BK146" i="1"/>
  <c r="BI146" i="1"/>
  <c r="BH146" i="1"/>
  <c r="BG146" i="1"/>
  <c r="BF146" i="1"/>
  <c r="BE146" i="1"/>
  <c r="BD146" i="1"/>
  <c r="O146" i="1"/>
  <c r="N146" i="1"/>
  <c r="L146" i="1"/>
  <c r="BK145" i="1"/>
  <c r="BJ145" i="1"/>
  <c r="BI145" i="1"/>
  <c r="BH145" i="1"/>
  <c r="BG145" i="1"/>
  <c r="BF145" i="1"/>
  <c r="BE145" i="1"/>
  <c r="BD145" i="1"/>
  <c r="O145" i="1"/>
  <c r="N145" i="1"/>
  <c r="L145" i="1"/>
  <c r="BJ144" i="1"/>
  <c r="BI144" i="1"/>
  <c r="BH144" i="1"/>
  <c r="BG144" i="1"/>
  <c r="BF144" i="1"/>
  <c r="BE144" i="1"/>
  <c r="BD144" i="1"/>
  <c r="O144" i="1"/>
  <c r="N144" i="1"/>
  <c r="L144" i="1"/>
  <c r="BK143" i="1"/>
  <c r="BI143" i="1"/>
  <c r="BH143" i="1"/>
  <c r="BG143" i="1"/>
  <c r="BF143" i="1"/>
  <c r="BE143" i="1"/>
  <c r="BD143" i="1"/>
  <c r="O143" i="1"/>
  <c r="N143" i="1"/>
  <c r="L143" i="1"/>
  <c r="BJ142" i="1"/>
  <c r="BI142" i="1"/>
  <c r="BH142" i="1"/>
  <c r="BG142" i="1"/>
  <c r="BF142" i="1"/>
  <c r="BE142" i="1"/>
  <c r="BD142" i="1"/>
  <c r="O142" i="1"/>
  <c r="N142" i="1"/>
  <c r="L142" i="1"/>
  <c r="BI141" i="1"/>
  <c r="BH141" i="1"/>
  <c r="BG141" i="1"/>
  <c r="BF141" i="1"/>
  <c r="BE141" i="1"/>
  <c r="BD141" i="1"/>
  <c r="O141" i="1"/>
  <c r="N141" i="1"/>
  <c r="L141" i="1"/>
  <c r="BI140" i="1"/>
  <c r="BH140" i="1"/>
  <c r="BG140" i="1"/>
  <c r="BF140" i="1"/>
  <c r="BE140" i="1"/>
  <c r="BD140" i="1"/>
  <c r="O140" i="1"/>
  <c r="P140" i="1" s="1"/>
  <c r="N140" i="1"/>
  <c r="L140" i="1"/>
  <c r="BK139" i="1"/>
  <c r="BJ139" i="1"/>
  <c r="BI139" i="1"/>
  <c r="BH139" i="1"/>
  <c r="BG139" i="1"/>
  <c r="BF139" i="1"/>
  <c r="BE139" i="1"/>
  <c r="BD139" i="1"/>
  <c r="O139" i="1"/>
  <c r="N139" i="1"/>
  <c r="L139" i="1"/>
  <c r="BK138" i="1"/>
  <c r="BJ138" i="1"/>
  <c r="BI138" i="1"/>
  <c r="BH138" i="1"/>
  <c r="BG138" i="1"/>
  <c r="BF138" i="1"/>
  <c r="BE138" i="1"/>
  <c r="BD138" i="1"/>
  <c r="O138" i="1"/>
  <c r="N138" i="1"/>
  <c r="L138" i="1"/>
  <c r="BK137" i="1"/>
  <c r="BJ137" i="1"/>
  <c r="BI137" i="1"/>
  <c r="BH137" i="1"/>
  <c r="BG137" i="1"/>
  <c r="BF137" i="1"/>
  <c r="BE137" i="1"/>
  <c r="BD137" i="1"/>
  <c r="O137" i="1"/>
  <c r="N137" i="1"/>
  <c r="L137" i="1"/>
  <c r="BI136" i="1"/>
  <c r="BH136" i="1"/>
  <c r="BG136" i="1"/>
  <c r="BF136" i="1"/>
  <c r="BE136" i="1"/>
  <c r="BD136" i="1"/>
  <c r="O136" i="1"/>
  <c r="N136" i="1"/>
  <c r="L136" i="1"/>
  <c r="BI135" i="1"/>
  <c r="BH135" i="1"/>
  <c r="BG135" i="1"/>
  <c r="BF135" i="1"/>
  <c r="BE135" i="1"/>
  <c r="BD135" i="1"/>
  <c r="O135" i="1"/>
  <c r="N135" i="1"/>
  <c r="L135" i="1"/>
  <c r="BI134" i="1"/>
  <c r="BH134" i="1"/>
  <c r="BG134" i="1"/>
  <c r="BF134" i="1"/>
  <c r="BE134" i="1"/>
  <c r="BD134" i="1"/>
  <c r="O134" i="1"/>
  <c r="N134" i="1"/>
  <c r="L134" i="1"/>
  <c r="BI133" i="1"/>
  <c r="BH133" i="1"/>
  <c r="BG133" i="1"/>
  <c r="BF133" i="1"/>
  <c r="BE133" i="1"/>
  <c r="BD133" i="1"/>
  <c r="O133" i="1"/>
  <c r="N133" i="1"/>
  <c r="L133" i="1"/>
  <c r="BI132" i="1"/>
  <c r="BH132" i="1"/>
  <c r="BG132" i="1"/>
  <c r="BF132" i="1"/>
  <c r="BE132" i="1"/>
  <c r="BD132" i="1"/>
  <c r="O132" i="1"/>
  <c r="N132" i="1"/>
  <c r="L132" i="1"/>
  <c r="BK131" i="1"/>
  <c r="BI131" i="1"/>
  <c r="BH131" i="1"/>
  <c r="BG131" i="1"/>
  <c r="BF131" i="1"/>
  <c r="BE131" i="1"/>
  <c r="BD131" i="1"/>
  <c r="O131" i="1"/>
  <c r="N131" i="1"/>
  <c r="L131" i="1"/>
  <c r="BK130" i="1"/>
  <c r="BJ130" i="1"/>
  <c r="BI130" i="1"/>
  <c r="BH130" i="1"/>
  <c r="BG130" i="1"/>
  <c r="BF130" i="1"/>
  <c r="BE130" i="1"/>
  <c r="BD130" i="1"/>
  <c r="O130" i="1"/>
  <c r="N130" i="1"/>
  <c r="L130" i="1"/>
  <c r="BJ129" i="1"/>
  <c r="BI129" i="1"/>
  <c r="BH129" i="1"/>
  <c r="BG129" i="1"/>
  <c r="BF129" i="1"/>
  <c r="BE129" i="1"/>
  <c r="BD129" i="1"/>
  <c r="O129" i="1"/>
  <c r="N129" i="1"/>
  <c r="L129" i="1"/>
  <c r="BI128" i="1"/>
  <c r="BH128" i="1"/>
  <c r="BG128" i="1"/>
  <c r="BF128" i="1"/>
  <c r="BE128" i="1"/>
  <c r="BD128" i="1"/>
  <c r="O128" i="1"/>
  <c r="N128" i="1"/>
  <c r="L128" i="1"/>
  <c r="BI127" i="1"/>
  <c r="BH127" i="1"/>
  <c r="BG127" i="1"/>
  <c r="BF127" i="1"/>
  <c r="BE127" i="1"/>
  <c r="BD127" i="1"/>
  <c r="O127" i="1"/>
  <c r="N127" i="1"/>
  <c r="L127" i="1"/>
  <c r="BK126" i="1"/>
  <c r="BJ126" i="1"/>
  <c r="BL126" i="1" s="1"/>
  <c r="BI126" i="1"/>
  <c r="BH126" i="1"/>
  <c r="BG126" i="1"/>
  <c r="BF126" i="1"/>
  <c r="BE126" i="1"/>
  <c r="BD126" i="1"/>
  <c r="O126" i="1"/>
  <c r="N126" i="1"/>
  <c r="L126" i="1"/>
  <c r="BJ125" i="1"/>
  <c r="BI125" i="1"/>
  <c r="BH125" i="1"/>
  <c r="BG125" i="1"/>
  <c r="BF125" i="1"/>
  <c r="BE125" i="1"/>
  <c r="BD125" i="1"/>
  <c r="O125" i="1"/>
  <c r="N125" i="1"/>
  <c r="L125" i="1"/>
  <c r="BI124" i="1"/>
  <c r="BH124" i="1"/>
  <c r="BG124" i="1"/>
  <c r="BF124" i="1"/>
  <c r="BE124" i="1"/>
  <c r="BD124" i="1"/>
  <c r="O124" i="1"/>
  <c r="N124" i="1"/>
  <c r="L124" i="1"/>
  <c r="BI123" i="1"/>
  <c r="BH123" i="1"/>
  <c r="BG123" i="1"/>
  <c r="BF123" i="1"/>
  <c r="BE123" i="1"/>
  <c r="BD123" i="1"/>
  <c r="O123" i="1"/>
  <c r="N123" i="1"/>
  <c r="L123" i="1"/>
  <c r="BJ122" i="1"/>
  <c r="BI122" i="1"/>
  <c r="BH122" i="1"/>
  <c r="BG122" i="1"/>
  <c r="BF122" i="1"/>
  <c r="BE122" i="1"/>
  <c r="BD122" i="1"/>
  <c r="O122" i="1"/>
  <c r="N122" i="1"/>
  <c r="L122" i="1"/>
  <c r="BI121" i="1"/>
  <c r="BH121" i="1"/>
  <c r="BG121" i="1"/>
  <c r="BF121" i="1"/>
  <c r="BE121" i="1"/>
  <c r="BD121" i="1"/>
  <c r="O121" i="1"/>
  <c r="N121" i="1"/>
  <c r="L121" i="1"/>
  <c r="BI120" i="1"/>
  <c r="BH120" i="1"/>
  <c r="BG120" i="1"/>
  <c r="BF120" i="1"/>
  <c r="BE120" i="1"/>
  <c r="BD120" i="1"/>
  <c r="O120" i="1"/>
  <c r="N120" i="1"/>
  <c r="L120" i="1"/>
  <c r="BK119" i="1"/>
  <c r="BI119" i="1"/>
  <c r="BH119" i="1"/>
  <c r="BG119" i="1"/>
  <c r="BF119" i="1"/>
  <c r="BE119" i="1"/>
  <c r="BD119" i="1"/>
  <c r="O119" i="1"/>
  <c r="N119" i="1"/>
  <c r="L119" i="1"/>
  <c r="BK118" i="1"/>
  <c r="BJ118" i="1"/>
  <c r="BI118" i="1"/>
  <c r="BH118" i="1"/>
  <c r="BG118" i="1"/>
  <c r="BF118" i="1"/>
  <c r="BE118" i="1"/>
  <c r="BD118" i="1"/>
  <c r="O118" i="1"/>
  <c r="N118" i="1"/>
  <c r="L118" i="1"/>
  <c r="BK117" i="1"/>
  <c r="BJ117" i="1"/>
  <c r="BI117" i="1"/>
  <c r="BH117" i="1"/>
  <c r="BG117" i="1"/>
  <c r="BF117" i="1"/>
  <c r="BE117" i="1"/>
  <c r="BD117" i="1"/>
  <c r="O117" i="1"/>
  <c r="N117" i="1"/>
  <c r="L117" i="1"/>
  <c r="BI116" i="1"/>
  <c r="BH116" i="1"/>
  <c r="BG116" i="1"/>
  <c r="BF116" i="1"/>
  <c r="BE116" i="1"/>
  <c r="BD116" i="1"/>
  <c r="O116" i="1"/>
  <c r="M116" i="1" s="1"/>
  <c r="N116" i="1"/>
  <c r="L116" i="1"/>
  <c r="BK115" i="1"/>
  <c r="BI115" i="1"/>
  <c r="BH115" i="1"/>
  <c r="BG115" i="1"/>
  <c r="BF115" i="1"/>
  <c r="BE115" i="1"/>
  <c r="BD115" i="1"/>
  <c r="O115" i="1"/>
  <c r="N115" i="1"/>
  <c r="L115" i="1"/>
  <c r="BI114" i="1"/>
  <c r="BH114" i="1"/>
  <c r="BG114" i="1"/>
  <c r="BF114" i="1"/>
  <c r="BE114" i="1"/>
  <c r="BD114" i="1"/>
  <c r="O114" i="1"/>
  <c r="N114" i="1"/>
  <c r="L114" i="1"/>
  <c r="BI113" i="1"/>
  <c r="BH113" i="1"/>
  <c r="BG113" i="1"/>
  <c r="BF113" i="1"/>
  <c r="BE113" i="1"/>
  <c r="BD113" i="1"/>
  <c r="O113" i="1"/>
  <c r="N113" i="1"/>
  <c r="L113" i="1"/>
  <c r="BK112" i="1"/>
  <c r="BI112" i="1"/>
  <c r="BH112" i="1"/>
  <c r="BG112" i="1"/>
  <c r="BF112" i="1"/>
  <c r="BE112" i="1"/>
  <c r="BD112" i="1"/>
  <c r="O112" i="1"/>
  <c r="N112" i="1"/>
  <c r="L112" i="1"/>
  <c r="BK111" i="1"/>
  <c r="BI111" i="1"/>
  <c r="BH111" i="1"/>
  <c r="BG111" i="1"/>
  <c r="BF111" i="1"/>
  <c r="BE111" i="1"/>
  <c r="BD111" i="1"/>
  <c r="O111" i="1"/>
  <c r="N111" i="1"/>
  <c r="L111" i="1"/>
  <c r="BK110" i="1"/>
  <c r="BJ110" i="1"/>
  <c r="BI110" i="1"/>
  <c r="BH110" i="1"/>
  <c r="BG110" i="1"/>
  <c r="BF110" i="1"/>
  <c r="BE110" i="1"/>
  <c r="BD110" i="1"/>
  <c r="O110" i="1"/>
  <c r="N110" i="1"/>
  <c r="L110" i="1"/>
  <c r="BJ109" i="1"/>
  <c r="BI109" i="1"/>
  <c r="BH109" i="1"/>
  <c r="BG109" i="1"/>
  <c r="BF109" i="1"/>
  <c r="BE109" i="1"/>
  <c r="BD109" i="1"/>
  <c r="O109" i="1"/>
  <c r="N109" i="1"/>
  <c r="L109" i="1"/>
  <c r="BI108" i="1"/>
  <c r="BH108" i="1"/>
  <c r="BG108" i="1"/>
  <c r="BF108" i="1"/>
  <c r="BE108" i="1"/>
  <c r="BD108" i="1"/>
  <c r="O108" i="1"/>
  <c r="P107" i="1" s="1"/>
  <c r="N108" i="1"/>
  <c r="L108" i="1"/>
  <c r="BJ107" i="1"/>
  <c r="BI107" i="1"/>
  <c r="BH107" i="1"/>
  <c r="BG107" i="1"/>
  <c r="BF107" i="1"/>
  <c r="BE107" i="1"/>
  <c r="BD107" i="1"/>
  <c r="O107" i="1"/>
  <c r="N107" i="1"/>
  <c r="L107" i="1"/>
  <c r="BI106" i="1"/>
  <c r="BH106" i="1"/>
  <c r="BG106" i="1"/>
  <c r="BF106" i="1"/>
  <c r="BE106" i="1"/>
  <c r="BD106" i="1"/>
  <c r="O106" i="1"/>
  <c r="N106" i="1"/>
  <c r="L106" i="1"/>
  <c r="BK105" i="1"/>
  <c r="BJ105" i="1"/>
  <c r="BI105" i="1"/>
  <c r="BH105" i="1"/>
  <c r="BG105" i="1"/>
  <c r="BF105" i="1"/>
  <c r="BE105" i="1"/>
  <c r="BD105" i="1"/>
  <c r="O105" i="1"/>
  <c r="N105" i="1"/>
  <c r="L105" i="1"/>
  <c r="BI104" i="1"/>
  <c r="BH104" i="1"/>
  <c r="BG104" i="1"/>
  <c r="BF104" i="1"/>
  <c r="BE104" i="1"/>
  <c r="BD104" i="1"/>
  <c r="O104" i="1"/>
  <c r="N104" i="1"/>
  <c r="L104" i="1"/>
  <c r="BI103" i="1"/>
  <c r="BH103" i="1"/>
  <c r="BG103" i="1"/>
  <c r="BF103" i="1"/>
  <c r="BE103" i="1"/>
  <c r="BD103" i="1"/>
  <c r="AN103" i="1"/>
  <c r="AM103" i="1"/>
  <c r="AJ103" i="1"/>
  <c r="AI103" i="1"/>
  <c r="AK103" i="1" s="1"/>
  <c r="AL103" i="1" s="1"/>
  <c r="AG103" i="1"/>
  <c r="O103" i="1"/>
  <c r="M103" i="1" s="1"/>
  <c r="N103" i="1"/>
  <c r="L103" i="1"/>
  <c r="BI102" i="1"/>
  <c r="BH102" i="1"/>
  <c r="BG102" i="1"/>
  <c r="BF102" i="1"/>
  <c r="BE102" i="1"/>
  <c r="BD102" i="1"/>
  <c r="AM102" i="1"/>
  <c r="AJ102" i="1"/>
  <c r="AI102" i="1"/>
  <c r="AN102" i="1" s="1"/>
  <c r="AG102" i="1"/>
  <c r="O102" i="1"/>
  <c r="P99" i="1" s="1"/>
  <c r="N102" i="1"/>
  <c r="L102" i="1"/>
  <c r="BI101" i="1"/>
  <c r="BH101" i="1"/>
  <c r="BG101" i="1"/>
  <c r="BF101" i="1"/>
  <c r="BE101" i="1"/>
  <c r="BD101" i="1"/>
  <c r="AN101" i="1"/>
  <c r="AM101" i="1"/>
  <c r="AK101" i="1"/>
  <c r="AL101" i="1" s="1"/>
  <c r="AJ101" i="1"/>
  <c r="AI101" i="1"/>
  <c r="AG101" i="1"/>
  <c r="Y101" i="1"/>
  <c r="O101" i="1"/>
  <c r="N101" i="1"/>
  <c r="L101" i="1"/>
  <c r="BK100" i="1"/>
  <c r="BI100" i="1"/>
  <c r="BH100" i="1"/>
  <c r="BG100" i="1"/>
  <c r="BF100" i="1"/>
  <c r="BE100" i="1"/>
  <c r="BD100" i="1"/>
  <c r="AN100" i="1"/>
  <c r="AM100" i="1"/>
  <c r="AJ100" i="1"/>
  <c r="AI100" i="1"/>
  <c r="AK100" i="1" s="1"/>
  <c r="AL100" i="1" s="1"/>
  <c r="AG100" i="1"/>
  <c r="Y100" i="1"/>
  <c r="O100" i="1"/>
  <c r="N100" i="1"/>
  <c r="L100" i="1"/>
  <c r="BK99" i="1"/>
  <c r="BJ99" i="1"/>
  <c r="BI99" i="1"/>
  <c r="BH99" i="1"/>
  <c r="BG99" i="1"/>
  <c r="BF99" i="1"/>
  <c r="BE99" i="1"/>
  <c r="BD99" i="1"/>
  <c r="AN99" i="1"/>
  <c r="AM99" i="1"/>
  <c r="AJ99" i="1"/>
  <c r="AI99" i="1"/>
  <c r="AK99" i="1" s="1"/>
  <c r="AL99" i="1" s="1"/>
  <c r="AG99" i="1"/>
  <c r="Y99" i="1"/>
  <c r="O99" i="1"/>
  <c r="N99" i="1"/>
  <c r="L99" i="1"/>
  <c r="BI98" i="1"/>
  <c r="BH98" i="1"/>
  <c r="BG98" i="1"/>
  <c r="BF98" i="1"/>
  <c r="BE98" i="1"/>
  <c r="BD98" i="1"/>
  <c r="AM98" i="1"/>
  <c r="AJ98" i="1"/>
  <c r="AI98" i="1"/>
  <c r="AG98" i="1"/>
  <c r="Y98" i="1"/>
  <c r="O98" i="1"/>
  <c r="N98" i="1"/>
  <c r="L98" i="1"/>
  <c r="BJ97" i="1"/>
  <c r="BI97" i="1"/>
  <c r="BH97" i="1"/>
  <c r="BG97" i="1"/>
  <c r="BF97" i="1"/>
  <c r="BE97" i="1"/>
  <c r="BD97" i="1"/>
  <c r="AM97" i="1"/>
  <c r="AJ97" i="1"/>
  <c r="AI97" i="1"/>
  <c r="AG97" i="1"/>
  <c r="Y97" i="1"/>
  <c r="O97" i="1"/>
  <c r="N97" i="1"/>
  <c r="L97" i="1"/>
  <c r="BK96" i="1"/>
  <c r="BJ96" i="1"/>
  <c r="BI96" i="1"/>
  <c r="BH96" i="1"/>
  <c r="BG96" i="1"/>
  <c r="BF96" i="1"/>
  <c r="BE96" i="1"/>
  <c r="BD96" i="1"/>
  <c r="AN96" i="1"/>
  <c r="AM96" i="1"/>
  <c r="AK96" i="1"/>
  <c r="AL96" i="1" s="1"/>
  <c r="AJ96" i="1"/>
  <c r="AI96" i="1"/>
  <c r="AG96" i="1"/>
  <c r="Y96" i="1"/>
  <c r="O96" i="1"/>
  <c r="N96" i="1"/>
  <c r="L96" i="1"/>
  <c r="BI95" i="1"/>
  <c r="BH95" i="1"/>
  <c r="BG95" i="1"/>
  <c r="BF95" i="1"/>
  <c r="BE95" i="1"/>
  <c r="BD95" i="1"/>
  <c r="AM95" i="1"/>
  <c r="AJ95" i="1"/>
  <c r="AI95" i="1"/>
  <c r="AN95" i="1" s="1"/>
  <c r="AG95" i="1"/>
  <c r="Y95" i="1"/>
  <c r="O95" i="1"/>
  <c r="N95" i="1"/>
  <c r="L95" i="1"/>
  <c r="BJ94" i="1"/>
  <c r="BI94" i="1"/>
  <c r="BH94" i="1"/>
  <c r="BG94" i="1"/>
  <c r="BF94" i="1"/>
  <c r="BE94" i="1"/>
  <c r="BD94" i="1"/>
  <c r="AN94" i="1"/>
  <c r="AM94" i="1"/>
  <c r="AL94" i="1"/>
  <c r="AK94" i="1"/>
  <c r="AJ94" i="1"/>
  <c r="AI94" i="1"/>
  <c r="AG94" i="1"/>
  <c r="Y94" i="1"/>
  <c r="O94" i="1"/>
  <c r="N94" i="1"/>
  <c r="L94" i="1"/>
  <c r="BK93" i="1"/>
  <c r="BJ93" i="1"/>
  <c r="BI93" i="1"/>
  <c r="BH93" i="1"/>
  <c r="BG93" i="1"/>
  <c r="BF93" i="1"/>
  <c r="BE93" i="1"/>
  <c r="BD93" i="1"/>
  <c r="AM93" i="1"/>
  <c r="AK93" i="1"/>
  <c r="AL93" i="1" s="1"/>
  <c r="AJ93" i="1"/>
  <c r="AI93" i="1"/>
  <c r="AN93" i="1" s="1"/>
  <c r="AG93" i="1"/>
  <c r="Y93" i="1"/>
  <c r="O93" i="1"/>
  <c r="N93" i="1"/>
  <c r="L93" i="1"/>
  <c r="BK92" i="1"/>
  <c r="BI92" i="1"/>
  <c r="BH92" i="1"/>
  <c r="BG92" i="1"/>
  <c r="BF92" i="1"/>
  <c r="BE92" i="1"/>
  <c r="BD92" i="1"/>
  <c r="AN92" i="1"/>
  <c r="AM92" i="1"/>
  <c r="AK92" i="1"/>
  <c r="AL92" i="1" s="1"/>
  <c r="AJ92" i="1"/>
  <c r="AI92" i="1"/>
  <c r="AG92" i="1"/>
  <c r="Y92" i="1"/>
  <c r="O92" i="1"/>
  <c r="N92" i="1"/>
  <c r="L92" i="1"/>
  <c r="BI91" i="1"/>
  <c r="BH91" i="1"/>
  <c r="BG91" i="1"/>
  <c r="BF91" i="1"/>
  <c r="BE91" i="1"/>
  <c r="BD91" i="1"/>
  <c r="AM91" i="1"/>
  <c r="AJ91" i="1"/>
  <c r="AI91" i="1"/>
  <c r="AG91" i="1"/>
  <c r="Y91" i="1"/>
  <c r="O91" i="1"/>
  <c r="N91" i="1"/>
  <c r="L91" i="1"/>
  <c r="BK90" i="1"/>
  <c r="BJ90" i="1"/>
  <c r="BI90" i="1"/>
  <c r="BH90" i="1"/>
  <c r="BG90" i="1"/>
  <c r="BF90" i="1"/>
  <c r="BE90" i="1"/>
  <c r="BD90" i="1"/>
  <c r="AN90" i="1"/>
  <c r="AM90" i="1"/>
  <c r="AJ90" i="1"/>
  <c r="AI90" i="1"/>
  <c r="AK90" i="1" s="1"/>
  <c r="AL90" i="1" s="1"/>
  <c r="AG90" i="1"/>
  <c r="Y90" i="1"/>
  <c r="O90" i="1"/>
  <c r="N90" i="1"/>
  <c r="L90" i="1"/>
  <c r="BJ89" i="1"/>
  <c r="BI89" i="1"/>
  <c r="BH89" i="1"/>
  <c r="BG89" i="1"/>
  <c r="BF89" i="1"/>
  <c r="BE89" i="1"/>
  <c r="BD89" i="1"/>
  <c r="AM89" i="1"/>
  <c r="AJ89" i="1"/>
  <c r="AI89" i="1"/>
  <c r="AG89" i="1"/>
  <c r="Y89" i="1"/>
  <c r="O89" i="1"/>
  <c r="N89" i="1"/>
  <c r="L89" i="1"/>
  <c r="BK88" i="1"/>
  <c r="BJ88" i="1"/>
  <c r="BI88" i="1"/>
  <c r="BH88" i="1"/>
  <c r="BG88" i="1"/>
  <c r="BF88" i="1"/>
  <c r="BE88" i="1"/>
  <c r="BD88" i="1"/>
  <c r="AM88" i="1"/>
  <c r="AJ88" i="1"/>
  <c r="AI88" i="1"/>
  <c r="AN88" i="1" s="1"/>
  <c r="AG88" i="1"/>
  <c r="Y88" i="1"/>
  <c r="O88" i="1"/>
  <c r="N88" i="1"/>
  <c r="M88" i="1"/>
  <c r="L88" i="1"/>
  <c r="BI87" i="1"/>
  <c r="BH87" i="1"/>
  <c r="BG87" i="1"/>
  <c r="BF87" i="1"/>
  <c r="BE87" i="1"/>
  <c r="BD87" i="1"/>
  <c r="AM87" i="1"/>
  <c r="AJ87" i="1"/>
  <c r="AI87" i="1"/>
  <c r="AG87" i="1"/>
  <c r="Y87" i="1"/>
  <c r="O87" i="1"/>
  <c r="N87" i="1"/>
  <c r="L87" i="1"/>
  <c r="BJ86" i="1"/>
  <c r="BI86" i="1"/>
  <c r="BH86" i="1"/>
  <c r="BG86" i="1"/>
  <c r="BF86" i="1"/>
  <c r="BE86" i="1"/>
  <c r="BD86" i="1"/>
  <c r="AN86" i="1"/>
  <c r="AM86" i="1"/>
  <c r="AK86" i="1"/>
  <c r="AL86" i="1" s="1"/>
  <c r="AJ86" i="1"/>
  <c r="AI86" i="1"/>
  <c r="AG86" i="1"/>
  <c r="Y86" i="1"/>
  <c r="O86" i="1"/>
  <c r="N86" i="1"/>
  <c r="L86" i="1"/>
  <c r="BK85" i="1"/>
  <c r="BJ85" i="1"/>
  <c r="BI85" i="1"/>
  <c r="BH85" i="1"/>
  <c r="BG85" i="1"/>
  <c r="BF85" i="1"/>
  <c r="BE85" i="1"/>
  <c r="BD85" i="1"/>
  <c r="AM85" i="1"/>
  <c r="AL85" i="1"/>
  <c r="AK85" i="1"/>
  <c r="AJ85" i="1"/>
  <c r="AI85" i="1"/>
  <c r="AN85" i="1" s="1"/>
  <c r="AG85" i="1"/>
  <c r="Y85" i="1"/>
  <c r="O85" i="1"/>
  <c r="N85" i="1"/>
  <c r="L85" i="1"/>
  <c r="BK84" i="1"/>
  <c r="BI84" i="1"/>
  <c r="BH84" i="1"/>
  <c r="BG84" i="1"/>
  <c r="BF84" i="1"/>
  <c r="BE84" i="1"/>
  <c r="BD84" i="1"/>
  <c r="AM84" i="1"/>
  <c r="AK84" i="1"/>
  <c r="AL84" i="1" s="1"/>
  <c r="AJ84" i="1"/>
  <c r="AI84" i="1"/>
  <c r="AN84" i="1" s="1"/>
  <c r="AG84" i="1"/>
  <c r="Y84" i="1"/>
  <c r="O84" i="1"/>
  <c r="N84" i="1"/>
  <c r="L84" i="1"/>
  <c r="BI83" i="1"/>
  <c r="BH83" i="1"/>
  <c r="BG83" i="1"/>
  <c r="BF83" i="1"/>
  <c r="BE83" i="1"/>
  <c r="BD83" i="1"/>
  <c r="AN83" i="1"/>
  <c r="AM83" i="1"/>
  <c r="AL83" i="1"/>
  <c r="AJ83" i="1"/>
  <c r="AI83" i="1"/>
  <c r="AK83" i="1" s="1"/>
  <c r="AG83" i="1"/>
  <c r="Y83" i="1"/>
  <c r="O83" i="1"/>
  <c r="N83" i="1"/>
  <c r="L83" i="1"/>
  <c r="BK82" i="1"/>
  <c r="BJ82" i="1"/>
  <c r="BI82" i="1"/>
  <c r="BH82" i="1"/>
  <c r="BG82" i="1"/>
  <c r="BF82" i="1"/>
  <c r="BE82" i="1"/>
  <c r="BD82" i="1"/>
  <c r="AM82" i="1"/>
  <c r="AK82" i="1"/>
  <c r="AL82" i="1" s="1"/>
  <c r="AJ82" i="1"/>
  <c r="AI82" i="1"/>
  <c r="AN82" i="1" s="1"/>
  <c r="AG82" i="1"/>
  <c r="Y82" i="1"/>
  <c r="O82" i="1"/>
  <c r="N82" i="1"/>
  <c r="L82" i="1"/>
  <c r="BK81" i="1"/>
  <c r="BJ81" i="1"/>
  <c r="BL81" i="1" s="1"/>
  <c r="BI81" i="1"/>
  <c r="BH81" i="1"/>
  <c r="BG81" i="1"/>
  <c r="BF81" i="1"/>
  <c r="BE81" i="1"/>
  <c r="BD81" i="1"/>
  <c r="AM81" i="1"/>
  <c r="AJ81" i="1"/>
  <c r="AI81" i="1"/>
  <c r="AG81" i="1"/>
  <c r="Y81" i="1"/>
  <c r="O81" i="1"/>
  <c r="N81" i="1"/>
  <c r="L81" i="1"/>
  <c r="BK80" i="1"/>
  <c r="BJ80" i="1"/>
  <c r="BI80" i="1"/>
  <c r="BH80" i="1"/>
  <c r="BG80" i="1"/>
  <c r="BF80" i="1"/>
  <c r="BE80" i="1"/>
  <c r="BD80" i="1"/>
  <c r="AN80" i="1"/>
  <c r="AM80" i="1"/>
  <c r="AK80" i="1"/>
  <c r="AL80" i="1" s="1"/>
  <c r="AJ80" i="1"/>
  <c r="AI80" i="1"/>
  <c r="AG80" i="1"/>
  <c r="Y80" i="1"/>
  <c r="O80" i="1"/>
  <c r="N80" i="1"/>
  <c r="L80" i="1"/>
  <c r="BI79" i="1"/>
  <c r="BH79" i="1"/>
  <c r="BG79" i="1"/>
  <c r="BF79" i="1"/>
  <c r="BE79" i="1"/>
  <c r="BD79" i="1"/>
  <c r="AM79" i="1"/>
  <c r="AJ79" i="1"/>
  <c r="AI79" i="1"/>
  <c r="AG79" i="1"/>
  <c r="Y79" i="1"/>
  <c r="O79" i="1"/>
  <c r="N79" i="1"/>
  <c r="L79" i="1"/>
  <c r="BK78" i="1"/>
  <c r="BI78" i="1"/>
  <c r="BH78" i="1"/>
  <c r="BG78" i="1"/>
  <c r="BF78" i="1"/>
  <c r="BE78" i="1"/>
  <c r="BD78" i="1"/>
  <c r="AN78" i="1"/>
  <c r="AM78" i="1"/>
  <c r="AK78" i="1"/>
  <c r="AL78" i="1" s="1"/>
  <c r="AJ78" i="1"/>
  <c r="AI78" i="1"/>
  <c r="AG78" i="1"/>
  <c r="Y78" i="1"/>
  <c r="O78" i="1"/>
  <c r="N78" i="1"/>
  <c r="L78" i="1"/>
  <c r="BK77" i="1"/>
  <c r="BI77" i="1"/>
  <c r="BH77" i="1"/>
  <c r="BG77" i="1"/>
  <c r="BF77" i="1"/>
  <c r="BE77" i="1"/>
  <c r="BD77" i="1"/>
  <c r="AN77" i="1"/>
  <c r="AM77" i="1"/>
  <c r="AL77" i="1"/>
  <c r="AK77" i="1"/>
  <c r="AJ77" i="1"/>
  <c r="AI77" i="1"/>
  <c r="AG77" i="1"/>
  <c r="Y77" i="1"/>
  <c r="O77" i="1"/>
  <c r="N77" i="1"/>
  <c r="L77" i="1"/>
  <c r="BI76" i="1"/>
  <c r="BH76" i="1"/>
  <c r="BG76" i="1"/>
  <c r="BF76" i="1"/>
  <c r="BE76" i="1"/>
  <c r="BD76" i="1"/>
  <c r="AM76" i="1"/>
  <c r="AJ76" i="1"/>
  <c r="AI76" i="1"/>
  <c r="AN76" i="1" s="1"/>
  <c r="AG76" i="1"/>
  <c r="Y76" i="1"/>
  <c r="O76" i="1"/>
  <c r="N76" i="1"/>
  <c r="L76" i="1"/>
  <c r="BI75" i="1"/>
  <c r="BH75" i="1"/>
  <c r="BG75" i="1"/>
  <c r="BF75" i="1"/>
  <c r="BE75" i="1"/>
  <c r="BD75" i="1"/>
  <c r="AM75" i="1"/>
  <c r="AL75" i="1"/>
  <c r="AJ75" i="1"/>
  <c r="AI75" i="1"/>
  <c r="AK75" i="1" s="1"/>
  <c r="AG75" i="1"/>
  <c r="Y75" i="1"/>
  <c r="O75" i="1"/>
  <c r="N75" i="1"/>
  <c r="L75" i="1"/>
  <c r="BK74" i="1"/>
  <c r="BI74" i="1"/>
  <c r="BH74" i="1"/>
  <c r="BG74" i="1"/>
  <c r="BF74" i="1"/>
  <c r="BE74" i="1"/>
  <c r="BD74" i="1"/>
  <c r="AN74" i="1"/>
  <c r="AM74" i="1"/>
  <c r="AL74" i="1"/>
  <c r="AK74" i="1"/>
  <c r="AJ74" i="1"/>
  <c r="AI74" i="1"/>
  <c r="AG74" i="1"/>
  <c r="Y74" i="1"/>
  <c r="P74" i="1"/>
  <c r="O74" i="1"/>
  <c r="N74" i="1"/>
  <c r="M74" i="1"/>
  <c r="L74" i="1"/>
  <c r="BK73" i="1"/>
  <c r="BJ73" i="1"/>
  <c r="BI73" i="1"/>
  <c r="BH73" i="1"/>
  <c r="BG73" i="1"/>
  <c r="BF73" i="1"/>
  <c r="BE73" i="1"/>
  <c r="BD73" i="1"/>
  <c r="AM73" i="1"/>
  <c r="AJ73" i="1"/>
  <c r="AI73" i="1"/>
  <c r="AG73" i="1"/>
  <c r="Y73" i="1"/>
  <c r="O73" i="1"/>
  <c r="N73" i="1"/>
  <c r="L73" i="1"/>
  <c r="BI72" i="1"/>
  <c r="BH72" i="1"/>
  <c r="BG72" i="1"/>
  <c r="BF72" i="1"/>
  <c r="BE72" i="1"/>
  <c r="BD72" i="1"/>
  <c r="AM72" i="1"/>
  <c r="AJ72" i="1"/>
  <c r="AI72" i="1"/>
  <c r="AG72" i="1"/>
  <c r="Y72" i="1"/>
  <c r="O72" i="1"/>
  <c r="N72" i="1"/>
  <c r="L72" i="1"/>
  <c r="BI71" i="1"/>
  <c r="BH71" i="1"/>
  <c r="BG71" i="1"/>
  <c r="BF71" i="1"/>
  <c r="BE71" i="1"/>
  <c r="BD71" i="1"/>
  <c r="AM71" i="1"/>
  <c r="AJ71" i="1"/>
  <c r="AI71" i="1"/>
  <c r="AG71" i="1"/>
  <c r="Y71" i="1"/>
  <c r="O71" i="1"/>
  <c r="N71" i="1"/>
  <c r="L71" i="1"/>
  <c r="BK70" i="1"/>
  <c r="BJ70" i="1"/>
  <c r="BI70" i="1"/>
  <c r="BH70" i="1"/>
  <c r="BG70" i="1"/>
  <c r="BF70" i="1"/>
  <c r="BE70" i="1"/>
  <c r="BD70" i="1"/>
  <c r="AN70" i="1"/>
  <c r="AM70" i="1"/>
  <c r="AK70" i="1"/>
  <c r="AL70" i="1" s="1"/>
  <c r="AJ70" i="1"/>
  <c r="AI70" i="1"/>
  <c r="AG70" i="1"/>
  <c r="Y70" i="1"/>
  <c r="O70" i="1"/>
  <c r="N70" i="1"/>
  <c r="L70" i="1"/>
  <c r="BJ69" i="1"/>
  <c r="BI69" i="1"/>
  <c r="BH69" i="1"/>
  <c r="BG69" i="1"/>
  <c r="BF69" i="1"/>
  <c r="BE69" i="1"/>
  <c r="BD69" i="1"/>
  <c r="AN69" i="1"/>
  <c r="AM69" i="1"/>
  <c r="AJ69" i="1"/>
  <c r="AI69" i="1"/>
  <c r="AK69" i="1" s="1"/>
  <c r="AL69" i="1" s="1"/>
  <c r="AG69" i="1"/>
  <c r="Y69" i="1"/>
  <c r="O69" i="1"/>
  <c r="N69" i="1"/>
  <c r="L69" i="1"/>
  <c r="BK68" i="1"/>
  <c r="BJ68" i="1"/>
  <c r="BI68" i="1"/>
  <c r="BH68" i="1"/>
  <c r="BG68" i="1"/>
  <c r="BF68" i="1"/>
  <c r="BE68" i="1"/>
  <c r="BD68" i="1"/>
  <c r="AM68" i="1"/>
  <c r="AK68" i="1"/>
  <c r="AL68" i="1" s="1"/>
  <c r="AJ68" i="1"/>
  <c r="AI68" i="1"/>
  <c r="AN68" i="1" s="1"/>
  <c r="AG68" i="1"/>
  <c r="Y68" i="1"/>
  <c r="O68" i="1"/>
  <c r="N68" i="1"/>
  <c r="L68" i="1"/>
  <c r="BI67" i="1"/>
  <c r="BH67" i="1"/>
  <c r="BG67" i="1"/>
  <c r="BF67" i="1"/>
  <c r="BE67" i="1"/>
  <c r="BD67" i="1"/>
  <c r="AM67" i="1"/>
  <c r="AJ67" i="1"/>
  <c r="AI67" i="1"/>
  <c r="AG67" i="1"/>
  <c r="Y67" i="1"/>
  <c r="O67" i="1"/>
  <c r="N67" i="1"/>
  <c r="L67" i="1"/>
  <c r="BK66" i="1"/>
  <c r="BJ66" i="1"/>
  <c r="BI66" i="1"/>
  <c r="BH66" i="1"/>
  <c r="BG66" i="1"/>
  <c r="BF66" i="1"/>
  <c r="BE66" i="1"/>
  <c r="BD66" i="1"/>
  <c r="AN66" i="1"/>
  <c r="AM66" i="1"/>
  <c r="AL66" i="1"/>
  <c r="AK66" i="1"/>
  <c r="AJ66" i="1"/>
  <c r="AI66" i="1"/>
  <c r="AG66" i="1"/>
  <c r="Y66" i="1"/>
  <c r="O66" i="1"/>
  <c r="N66" i="1"/>
  <c r="L66" i="1"/>
  <c r="BK65" i="1"/>
  <c r="BJ65" i="1"/>
  <c r="BI65" i="1"/>
  <c r="BH65" i="1"/>
  <c r="BG65" i="1"/>
  <c r="BF65" i="1"/>
  <c r="BE65" i="1"/>
  <c r="BD65" i="1"/>
  <c r="AM65" i="1"/>
  <c r="AJ65" i="1"/>
  <c r="AI65" i="1"/>
  <c r="AN65" i="1" s="1"/>
  <c r="AG65" i="1"/>
  <c r="Y65" i="1"/>
  <c r="O65" i="1"/>
  <c r="N65" i="1"/>
  <c r="L65" i="1"/>
  <c r="BI64" i="1"/>
  <c r="BH64" i="1"/>
  <c r="BG64" i="1"/>
  <c r="BF64" i="1"/>
  <c r="BE64" i="1"/>
  <c r="BD64" i="1"/>
  <c r="AN64" i="1"/>
  <c r="AM64" i="1"/>
  <c r="AJ64" i="1"/>
  <c r="AI64" i="1"/>
  <c r="AK64" i="1" s="1"/>
  <c r="AL64" i="1" s="1"/>
  <c r="AG64" i="1"/>
  <c r="Y64" i="1"/>
  <c r="O64" i="1"/>
  <c r="N64" i="1"/>
  <c r="L64" i="1"/>
  <c r="BI63" i="1"/>
  <c r="BH63" i="1"/>
  <c r="BG63" i="1"/>
  <c r="BF63" i="1"/>
  <c r="BE63" i="1"/>
  <c r="BD63" i="1"/>
  <c r="AM63" i="1"/>
  <c r="AJ63" i="1"/>
  <c r="AI63" i="1"/>
  <c r="AK63" i="1" s="1"/>
  <c r="AL63" i="1" s="1"/>
  <c r="AG63" i="1"/>
  <c r="Y63" i="1"/>
  <c r="O63" i="1"/>
  <c r="N63" i="1"/>
  <c r="L63" i="1"/>
  <c r="BK62" i="1"/>
  <c r="BJ62" i="1"/>
  <c r="BL62" i="1" s="1"/>
  <c r="BI62" i="1"/>
  <c r="BH62" i="1"/>
  <c r="BG62" i="1"/>
  <c r="BF62" i="1"/>
  <c r="BE62" i="1"/>
  <c r="BD62" i="1"/>
  <c r="AN62" i="1"/>
  <c r="AM62" i="1"/>
  <c r="AK62" i="1"/>
  <c r="AL62" i="1" s="1"/>
  <c r="AJ62" i="1"/>
  <c r="AI62" i="1"/>
  <c r="AG62" i="1"/>
  <c r="Y62" i="1"/>
  <c r="O62" i="1"/>
  <c r="N62" i="1"/>
  <c r="M62" i="1"/>
  <c r="L62" i="1"/>
  <c r="BJ61" i="1"/>
  <c r="BI61" i="1"/>
  <c r="BH61" i="1"/>
  <c r="BG61" i="1"/>
  <c r="BF61" i="1"/>
  <c r="BE61" i="1"/>
  <c r="BD61" i="1"/>
  <c r="AN61" i="1"/>
  <c r="AM61" i="1"/>
  <c r="AJ61" i="1"/>
  <c r="AI61" i="1"/>
  <c r="AK61" i="1" s="1"/>
  <c r="AL61" i="1" s="1"/>
  <c r="AG61" i="1"/>
  <c r="Y61" i="1"/>
  <c r="O61" i="1"/>
  <c r="N61" i="1"/>
  <c r="L61" i="1"/>
  <c r="BK60" i="1"/>
  <c r="BJ60" i="1"/>
  <c r="BI60" i="1"/>
  <c r="BH60" i="1"/>
  <c r="BG60" i="1"/>
  <c r="BF60" i="1"/>
  <c r="BE60" i="1"/>
  <c r="BD60" i="1"/>
  <c r="AM60" i="1"/>
  <c r="AK60" i="1"/>
  <c r="AL60" i="1" s="1"/>
  <c r="AJ60" i="1"/>
  <c r="AI60" i="1"/>
  <c r="AN60" i="1" s="1"/>
  <c r="AG60" i="1"/>
  <c r="Y60" i="1"/>
  <c r="O60" i="1"/>
  <c r="N60" i="1"/>
  <c r="M60" i="1"/>
  <c r="L60" i="1"/>
  <c r="BI59" i="1"/>
  <c r="BH59" i="1"/>
  <c r="BG59" i="1"/>
  <c r="BF59" i="1"/>
  <c r="BE59" i="1"/>
  <c r="BD59" i="1"/>
  <c r="AM59" i="1"/>
  <c r="AL59" i="1"/>
  <c r="AK59" i="1"/>
  <c r="AJ59" i="1"/>
  <c r="AI59" i="1"/>
  <c r="AN59" i="1" s="1"/>
  <c r="AG59" i="1"/>
  <c r="Y59" i="1"/>
  <c r="O59" i="1"/>
  <c r="N59" i="1"/>
  <c r="L59" i="1"/>
  <c r="BK58" i="1"/>
  <c r="BJ58" i="1"/>
  <c r="BI58" i="1"/>
  <c r="BH58" i="1"/>
  <c r="BG58" i="1"/>
  <c r="BF58" i="1"/>
  <c r="BE58" i="1"/>
  <c r="BD58" i="1"/>
  <c r="AN58" i="1"/>
  <c r="AM58" i="1"/>
  <c r="AL58" i="1"/>
  <c r="AK58" i="1"/>
  <c r="AJ58" i="1"/>
  <c r="AI58" i="1"/>
  <c r="AG58" i="1"/>
  <c r="Y58" i="1"/>
  <c r="O58" i="1"/>
  <c r="N58" i="1"/>
  <c r="M58" i="1"/>
  <c r="L58" i="1"/>
  <c r="BK57" i="1"/>
  <c r="BJ57" i="1"/>
  <c r="BI57" i="1"/>
  <c r="BH57" i="1"/>
  <c r="BG57" i="1"/>
  <c r="BF57" i="1"/>
  <c r="BE57" i="1"/>
  <c r="BD57" i="1"/>
  <c r="AM57" i="1"/>
  <c r="AK57" i="1"/>
  <c r="AL57" i="1" s="1"/>
  <c r="AJ57" i="1"/>
  <c r="AI57" i="1"/>
  <c r="AN57" i="1" s="1"/>
  <c r="AG57" i="1"/>
  <c r="Y57" i="1"/>
  <c r="O57" i="1"/>
  <c r="N57" i="1"/>
  <c r="L57" i="1"/>
  <c r="BI56" i="1"/>
  <c r="BH56" i="1"/>
  <c r="BG56" i="1"/>
  <c r="BF56" i="1"/>
  <c r="BE56" i="1"/>
  <c r="BD56" i="1"/>
  <c r="AM56" i="1"/>
  <c r="AJ56" i="1"/>
  <c r="AI56" i="1"/>
  <c r="AG56" i="1"/>
  <c r="Y56" i="1"/>
  <c r="O56" i="1"/>
  <c r="N56" i="1"/>
  <c r="L56" i="1"/>
  <c r="BJ55" i="1"/>
  <c r="BI55" i="1"/>
  <c r="BH55" i="1"/>
  <c r="BG55" i="1"/>
  <c r="BF55" i="1"/>
  <c r="BE55" i="1"/>
  <c r="BD55" i="1"/>
  <c r="AM55" i="1"/>
  <c r="AJ55" i="1"/>
  <c r="AI55" i="1"/>
  <c r="AG55" i="1"/>
  <c r="Y55" i="1"/>
  <c r="O55" i="1"/>
  <c r="N55" i="1"/>
  <c r="M55" i="1"/>
  <c r="L55" i="1"/>
  <c r="BK54" i="1"/>
  <c r="BJ54" i="1"/>
  <c r="BI54" i="1"/>
  <c r="BH54" i="1"/>
  <c r="BG54" i="1"/>
  <c r="BF54" i="1"/>
  <c r="BE54" i="1"/>
  <c r="BD54" i="1"/>
  <c r="AN54" i="1"/>
  <c r="AM54" i="1"/>
  <c r="AJ54" i="1"/>
  <c r="AI54" i="1"/>
  <c r="AK54" i="1" s="1"/>
  <c r="AL54" i="1" s="1"/>
  <c r="AG54" i="1"/>
  <c r="Y54" i="1"/>
  <c r="O54" i="1"/>
  <c r="P54" i="1" s="1"/>
  <c r="N54" i="1"/>
  <c r="L54" i="1"/>
  <c r="BJ53" i="1"/>
  <c r="BI53" i="1"/>
  <c r="BH53" i="1"/>
  <c r="BG53" i="1"/>
  <c r="BF53" i="1"/>
  <c r="BE53" i="1"/>
  <c r="BD53" i="1"/>
  <c r="AM53" i="1"/>
  <c r="AK53" i="1"/>
  <c r="AL53" i="1" s="1"/>
  <c r="AJ53" i="1"/>
  <c r="AI53" i="1"/>
  <c r="AN53" i="1" s="1"/>
  <c r="AG53" i="1"/>
  <c r="Y53" i="1"/>
  <c r="O53" i="1"/>
  <c r="N53" i="1"/>
  <c r="L53" i="1"/>
  <c r="BI52" i="1"/>
  <c r="BH52" i="1"/>
  <c r="BG52" i="1"/>
  <c r="BF52" i="1"/>
  <c r="BE52" i="1"/>
  <c r="BD52" i="1"/>
  <c r="AM52" i="1"/>
  <c r="AK52" i="1"/>
  <c r="AL52" i="1" s="1"/>
  <c r="AJ52" i="1"/>
  <c r="AI52" i="1"/>
  <c r="AN52" i="1" s="1"/>
  <c r="AG52" i="1"/>
  <c r="Y52" i="1"/>
  <c r="O52" i="1"/>
  <c r="N52" i="1"/>
  <c r="L52" i="1"/>
  <c r="BK51" i="1"/>
  <c r="BJ51" i="1"/>
  <c r="BI51" i="1"/>
  <c r="BH51" i="1"/>
  <c r="BG51" i="1"/>
  <c r="BF51" i="1"/>
  <c r="BE51" i="1"/>
  <c r="BD51" i="1"/>
  <c r="AN51" i="1"/>
  <c r="AM51" i="1"/>
  <c r="AL51" i="1"/>
  <c r="AK51" i="1"/>
  <c r="AJ51" i="1"/>
  <c r="AI51" i="1"/>
  <c r="AG51" i="1"/>
  <c r="Y51" i="1"/>
  <c r="O51" i="1"/>
  <c r="N51" i="1"/>
  <c r="L51" i="1"/>
  <c r="BK50" i="1"/>
  <c r="BJ50" i="1"/>
  <c r="BI50" i="1"/>
  <c r="BH50" i="1"/>
  <c r="BG50" i="1"/>
  <c r="BF50" i="1"/>
  <c r="BE50" i="1"/>
  <c r="BD50" i="1"/>
  <c r="AN50" i="1"/>
  <c r="AM50" i="1"/>
  <c r="AK50" i="1"/>
  <c r="AL50" i="1" s="1"/>
  <c r="AJ50" i="1"/>
  <c r="AI50" i="1"/>
  <c r="AG50" i="1"/>
  <c r="Y50" i="1"/>
  <c r="O50" i="1"/>
  <c r="N50" i="1"/>
  <c r="L50" i="1"/>
  <c r="BK49" i="1"/>
  <c r="BI49" i="1"/>
  <c r="BH49" i="1"/>
  <c r="BG49" i="1"/>
  <c r="BF49" i="1"/>
  <c r="BE49" i="1"/>
  <c r="BD49" i="1"/>
  <c r="AM49" i="1"/>
  <c r="AJ49" i="1"/>
  <c r="AI49" i="1"/>
  <c r="AN49" i="1" s="1"/>
  <c r="AG49" i="1"/>
  <c r="Y49" i="1"/>
  <c r="O49" i="1"/>
  <c r="N49" i="1"/>
  <c r="L49" i="1"/>
  <c r="BK48" i="1"/>
  <c r="BI48" i="1"/>
  <c r="BH48" i="1"/>
  <c r="BG48" i="1"/>
  <c r="BF48" i="1"/>
  <c r="BE48" i="1"/>
  <c r="BD48" i="1"/>
  <c r="AN48" i="1"/>
  <c r="AM48" i="1"/>
  <c r="AL48" i="1"/>
  <c r="AK48" i="1"/>
  <c r="AJ48" i="1"/>
  <c r="AI48" i="1"/>
  <c r="AG48" i="1"/>
  <c r="Y48" i="1"/>
  <c r="O48" i="1"/>
  <c r="N48" i="1"/>
  <c r="L48" i="1"/>
  <c r="BK47" i="1"/>
  <c r="BJ47" i="1"/>
  <c r="BI47" i="1"/>
  <c r="BH47" i="1"/>
  <c r="BG47" i="1"/>
  <c r="BF47" i="1"/>
  <c r="BE47" i="1"/>
  <c r="BD47" i="1"/>
  <c r="AM47" i="1"/>
  <c r="AJ47" i="1"/>
  <c r="AI47" i="1"/>
  <c r="AG47" i="1"/>
  <c r="Y47" i="1"/>
  <c r="O47" i="1"/>
  <c r="N47" i="1"/>
  <c r="L47" i="1"/>
  <c r="BK46" i="1"/>
  <c r="BJ46" i="1"/>
  <c r="BI46" i="1"/>
  <c r="BH46" i="1"/>
  <c r="BG46" i="1"/>
  <c r="BF46" i="1"/>
  <c r="BE46" i="1"/>
  <c r="BD46" i="1"/>
  <c r="AM46" i="1"/>
  <c r="AJ46" i="1"/>
  <c r="AI46" i="1"/>
  <c r="AG46" i="1"/>
  <c r="Y46" i="1"/>
  <c r="O46" i="1"/>
  <c r="N46" i="1"/>
  <c r="L46" i="1"/>
  <c r="BI45" i="1"/>
  <c r="BH45" i="1"/>
  <c r="BG45" i="1"/>
  <c r="BF45" i="1"/>
  <c r="BE45" i="1"/>
  <c r="BD45" i="1"/>
  <c r="AM45" i="1"/>
  <c r="AJ45" i="1"/>
  <c r="AI45" i="1"/>
  <c r="AG45" i="1"/>
  <c r="Y45" i="1"/>
  <c r="O45" i="1"/>
  <c r="N45" i="1"/>
  <c r="L45" i="1"/>
  <c r="BK44" i="1"/>
  <c r="BJ44" i="1"/>
  <c r="BI44" i="1"/>
  <c r="BH44" i="1"/>
  <c r="BG44" i="1"/>
  <c r="BF44" i="1"/>
  <c r="BE44" i="1"/>
  <c r="BD44" i="1"/>
  <c r="AN44" i="1"/>
  <c r="AM44" i="1"/>
  <c r="AJ44" i="1"/>
  <c r="AI44" i="1"/>
  <c r="AK44" i="1" s="1"/>
  <c r="AL44" i="1" s="1"/>
  <c r="AG44" i="1"/>
  <c r="Y44" i="1"/>
  <c r="O44" i="1"/>
  <c r="N44" i="1"/>
  <c r="L44" i="1"/>
  <c r="BK43" i="1"/>
  <c r="BJ43" i="1"/>
  <c r="BI43" i="1"/>
  <c r="BH43" i="1"/>
  <c r="BG43" i="1"/>
  <c r="BF43" i="1"/>
  <c r="BE43" i="1"/>
  <c r="BD43" i="1"/>
  <c r="AN43" i="1"/>
  <c r="AM43" i="1"/>
  <c r="AJ43" i="1"/>
  <c r="AI43" i="1"/>
  <c r="AK43" i="1" s="1"/>
  <c r="AL43" i="1" s="1"/>
  <c r="AG43" i="1"/>
  <c r="Y43" i="1"/>
  <c r="O43" i="1"/>
  <c r="N43" i="1"/>
  <c r="L43" i="1"/>
  <c r="BJ42" i="1"/>
  <c r="BI42" i="1"/>
  <c r="BH42" i="1"/>
  <c r="BG42" i="1"/>
  <c r="BF42" i="1"/>
  <c r="BE42" i="1"/>
  <c r="BD42" i="1"/>
  <c r="AN42" i="1"/>
  <c r="AM42" i="1"/>
  <c r="AK42" i="1"/>
  <c r="AL42" i="1" s="1"/>
  <c r="AJ42" i="1"/>
  <c r="AI42" i="1"/>
  <c r="AG42" i="1"/>
  <c r="Y42" i="1"/>
  <c r="O42" i="1"/>
  <c r="N42" i="1"/>
  <c r="L42" i="1"/>
  <c r="BK41" i="1"/>
  <c r="BJ41" i="1"/>
  <c r="BI41" i="1"/>
  <c r="BH41" i="1"/>
  <c r="BG41" i="1"/>
  <c r="BF41" i="1"/>
  <c r="BE41" i="1"/>
  <c r="BD41" i="1"/>
  <c r="AM41" i="1"/>
  <c r="AK41" i="1"/>
  <c r="AL41" i="1" s="1"/>
  <c r="AJ41" i="1"/>
  <c r="AI41" i="1"/>
  <c r="AN41" i="1" s="1"/>
  <c r="AG41" i="1"/>
  <c r="Y41" i="1"/>
  <c r="O41" i="1"/>
  <c r="N41" i="1"/>
  <c r="L41" i="1"/>
  <c r="BK40" i="1"/>
  <c r="BI40" i="1"/>
  <c r="BH40" i="1"/>
  <c r="BG40" i="1"/>
  <c r="BF40" i="1"/>
  <c r="BE40" i="1"/>
  <c r="BD40" i="1"/>
  <c r="AM40" i="1"/>
  <c r="AL40" i="1"/>
  <c r="AK40" i="1"/>
  <c r="AJ40" i="1"/>
  <c r="AI40" i="1"/>
  <c r="AN40" i="1" s="1"/>
  <c r="AG40" i="1"/>
  <c r="Y40" i="1"/>
  <c r="O40" i="1"/>
  <c r="N40" i="1"/>
  <c r="L40" i="1"/>
  <c r="BJ39" i="1"/>
  <c r="BI39" i="1"/>
  <c r="BH39" i="1"/>
  <c r="BG39" i="1"/>
  <c r="BF39" i="1"/>
  <c r="BE39" i="1"/>
  <c r="BD39" i="1"/>
  <c r="AN39" i="1"/>
  <c r="AM39" i="1"/>
  <c r="AL39" i="1"/>
  <c r="AJ39" i="1"/>
  <c r="AI39" i="1"/>
  <c r="AK39" i="1" s="1"/>
  <c r="AG39" i="1"/>
  <c r="Y39" i="1"/>
  <c r="O39" i="1"/>
  <c r="N39" i="1"/>
  <c r="L39" i="1"/>
  <c r="BK38" i="1"/>
  <c r="BJ38" i="1"/>
  <c r="BI38" i="1"/>
  <c r="BH38" i="1"/>
  <c r="BG38" i="1"/>
  <c r="BF38" i="1"/>
  <c r="BE38" i="1"/>
  <c r="BD38" i="1"/>
  <c r="AN38" i="1"/>
  <c r="AM38" i="1"/>
  <c r="AK38" i="1"/>
  <c r="AL38" i="1" s="1"/>
  <c r="AJ38" i="1"/>
  <c r="AI38" i="1"/>
  <c r="AG38" i="1"/>
  <c r="Y38" i="1"/>
  <c r="O38" i="1"/>
  <c r="N38" i="1"/>
  <c r="L38" i="1"/>
  <c r="BJ37" i="1"/>
  <c r="BI37" i="1"/>
  <c r="BH37" i="1"/>
  <c r="BG37" i="1"/>
  <c r="BF37" i="1"/>
  <c r="BE37" i="1"/>
  <c r="BD37" i="1"/>
  <c r="AM37" i="1"/>
  <c r="AJ37" i="1"/>
  <c r="AI37" i="1"/>
  <c r="AG37" i="1"/>
  <c r="Y37" i="1"/>
  <c r="O37" i="1"/>
  <c r="N37" i="1"/>
  <c r="L37" i="1"/>
  <c r="BK36" i="1"/>
  <c r="BI36" i="1"/>
  <c r="BH36" i="1"/>
  <c r="BG36" i="1"/>
  <c r="BF36" i="1"/>
  <c r="BE36" i="1"/>
  <c r="BD36" i="1"/>
  <c r="AM36" i="1"/>
  <c r="AJ36" i="1"/>
  <c r="AI36" i="1"/>
  <c r="AG36" i="1"/>
  <c r="Y36" i="1"/>
  <c r="O36" i="1"/>
  <c r="N36" i="1"/>
  <c r="L36" i="1"/>
  <c r="BK35" i="1"/>
  <c r="BJ35" i="1"/>
  <c r="BI35" i="1"/>
  <c r="BH35" i="1"/>
  <c r="BG35" i="1"/>
  <c r="BF35" i="1"/>
  <c r="BE35" i="1"/>
  <c r="BD35" i="1"/>
  <c r="AN35" i="1"/>
  <c r="AM35" i="1"/>
  <c r="AL35" i="1"/>
  <c r="AK35" i="1"/>
  <c r="AJ35" i="1"/>
  <c r="AI35" i="1"/>
  <c r="AG35" i="1"/>
  <c r="Y35" i="1"/>
  <c r="O35" i="1"/>
  <c r="P34" i="1" s="1"/>
  <c r="N35" i="1"/>
  <c r="L35" i="1"/>
  <c r="BK34" i="1"/>
  <c r="BJ34" i="1"/>
  <c r="BI34" i="1"/>
  <c r="BH34" i="1"/>
  <c r="BG34" i="1"/>
  <c r="BF34" i="1"/>
  <c r="BE34" i="1"/>
  <c r="BD34" i="1"/>
  <c r="AN34" i="1"/>
  <c r="AM34" i="1"/>
  <c r="AK34" i="1"/>
  <c r="AL34" i="1" s="1"/>
  <c r="AJ34" i="1"/>
  <c r="AI34" i="1"/>
  <c r="AG34" i="1"/>
  <c r="Y34" i="1"/>
  <c r="O34" i="1"/>
  <c r="N34" i="1"/>
  <c r="L34" i="1"/>
  <c r="BK33" i="1"/>
  <c r="BI33" i="1"/>
  <c r="BH33" i="1"/>
  <c r="BG33" i="1"/>
  <c r="BF33" i="1"/>
  <c r="BE33" i="1"/>
  <c r="BD33" i="1"/>
  <c r="AM33" i="1"/>
  <c r="AK33" i="1"/>
  <c r="AL33" i="1" s="1"/>
  <c r="AJ33" i="1"/>
  <c r="AI33" i="1"/>
  <c r="AN33" i="1" s="1"/>
  <c r="AG33" i="1"/>
  <c r="Y33" i="1"/>
  <c r="O33" i="1"/>
  <c r="N33" i="1"/>
  <c r="L33" i="1"/>
  <c r="BK32" i="1"/>
  <c r="BI32" i="1"/>
  <c r="BH32" i="1"/>
  <c r="BG32" i="1"/>
  <c r="BF32" i="1"/>
  <c r="BE32" i="1"/>
  <c r="BD32" i="1"/>
  <c r="AN32" i="1"/>
  <c r="AM32" i="1"/>
  <c r="AK32" i="1"/>
  <c r="AL32" i="1" s="1"/>
  <c r="AJ32" i="1"/>
  <c r="AI32" i="1"/>
  <c r="AG32" i="1"/>
  <c r="Y32" i="1"/>
  <c r="O32" i="1"/>
  <c r="N32" i="1"/>
  <c r="L32" i="1"/>
  <c r="BK31" i="1"/>
  <c r="BJ31" i="1"/>
  <c r="BL31" i="1" s="1"/>
  <c r="BI31" i="1"/>
  <c r="BH31" i="1"/>
  <c r="BG31" i="1"/>
  <c r="BF31" i="1"/>
  <c r="BE31" i="1"/>
  <c r="BD31" i="1"/>
  <c r="AM31" i="1"/>
  <c r="AJ31" i="1"/>
  <c r="AI31" i="1"/>
  <c r="AG31" i="1"/>
  <c r="Y31" i="1"/>
  <c r="O31" i="1"/>
  <c r="N31" i="1"/>
  <c r="L31" i="1"/>
  <c r="BK30" i="1"/>
  <c r="BJ30" i="1"/>
  <c r="BL30" i="1" s="1"/>
  <c r="BI30" i="1"/>
  <c r="BH30" i="1"/>
  <c r="BG30" i="1"/>
  <c r="BF30" i="1"/>
  <c r="BE30" i="1"/>
  <c r="BD30" i="1"/>
  <c r="AN30" i="1"/>
  <c r="AM30" i="1"/>
  <c r="AL30" i="1"/>
  <c r="AK30" i="1"/>
  <c r="AJ30" i="1"/>
  <c r="AI30" i="1"/>
  <c r="AG30" i="1"/>
  <c r="Y30" i="1"/>
  <c r="O30" i="1"/>
  <c r="N30" i="1"/>
  <c r="L30" i="1"/>
  <c r="BI29" i="1"/>
  <c r="BH29" i="1"/>
  <c r="BG29" i="1"/>
  <c r="BF29" i="1"/>
  <c r="BE29" i="1"/>
  <c r="BD29" i="1"/>
  <c r="AN29" i="1"/>
  <c r="AM29" i="1"/>
  <c r="AJ29" i="1"/>
  <c r="AI29" i="1"/>
  <c r="AK29" i="1" s="1"/>
  <c r="AL29" i="1" s="1"/>
  <c r="AG29" i="1"/>
  <c r="Y29" i="1"/>
  <c r="O29" i="1"/>
  <c r="N29" i="1"/>
  <c r="L29" i="1"/>
  <c r="BK28" i="1"/>
  <c r="BJ28" i="1"/>
  <c r="BI28" i="1"/>
  <c r="BH28" i="1"/>
  <c r="BG28" i="1"/>
  <c r="BF28" i="1"/>
  <c r="BE28" i="1"/>
  <c r="BD28" i="1"/>
  <c r="AN28" i="1"/>
  <c r="AM28" i="1"/>
  <c r="AK28" i="1"/>
  <c r="AL28" i="1" s="1"/>
  <c r="AJ28" i="1"/>
  <c r="AI28" i="1"/>
  <c r="AG28" i="1"/>
  <c r="Y28" i="1"/>
  <c r="O28" i="1"/>
  <c r="N28" i="1"/>
  <c r="L28" i="1"/>
  <c r="BK27" i="1"/>
  <c r="BJ27" i="1"/>
  <c r="BI27" i="1"/>
  <c r="BH27" i="1"/>
  <c r="BG27" i="1"/>
  <c r="BF27" i="1"/>
  <c r="BE27" i="1"/>
  <c r="BD27" i="1"/>
  <c r="AM27" i="1"/>
  <c r="AK27" i="1"/>
  <c r="AL27" i="1" s="1"/>
  <c r="AJ27" i="1"/>
  <c r="AI27" i="1"/>
  <c r="AN27" i="1" s="1"/>
  <c r="AG27" i="1"/>
  <c r="Y27" i="1"/>
  <c r="O27" i="1"/>
  <c r="N27" i="1"/>
  <c r="L27" i="1"/>
  <c r="BJ26" i="1"/>
  <c r="BI26" i="1"/>
  <c r="BH26" i="1"/>
  <c r="BG26" i="1"/>
  <c r="BF26" i="1"/>
  <c r="BE26" i="1"/>
  <c r="BD26" i="1"/>
  <c r="AN26" i="1"/>
  <c r="AM26" i="1"/>
  <c r="AK26" i="1"/>
  <c r="AL26" i="1" s="1"/>
  <c r="AJ26" i="1"/>
  <c r="AI26" i="1"/>
  <c r="AG26" i="1"/>
  <c r="Y26" i="1"/>
  <c r="O26" i="1"/>
  <c r="N26" i="1"/>
  <c r="M26" i="1"/>
  <c r="L26" i="1"/>
  <c r="BK25" i="1"/>
  <c r="BJ25" i="1"/>
  <c r="BL25" i="1" s="1"/>
  <c r="BI25" i="1"/>
  <c r="BH25" i="1"/>
  <c r="BG25" i="1"/>
  <c r="BF25" i="1"/>
  <c r="BE25" i="1"/>
  <c r="BD25" i="1"/>
  <c r="AM25" i="1"/>
  <c r="AK25" i="1"/>
  <c r="AL25" i="1" s="1"/>
  <c r="AJ25" i="1"/>
  <c r="AI25" i="1"/>
  <c r="AN25" i="1" s="1"/>
  <c r="AG25" i="1"/>
  <c r="Y25" i="1"/>
  <c r="O25" i="1"/>
  <c r="N25" i="1"/>
  <c r="L25" i="1"/>
  <c r="BK24" i="1"/>
  <c r="BI24" i="1"/>
  <c r="BH24" i="1"/>
  <c r="BG24" i="1"/>
  <c r="BF24" i="1"/>
  <c r="BE24" i="1"/>
  <c r="BD24" i="1"/>
  <c r="AM24" i="1"/>
  <c r="AJ24" i="1"/>
  <c r="AI24" i="1"/>
  <c r="AG24" i="1"/>
  <c r="Y24" i="1"/>
  <c r="O24" i="1"/>
  <c r="N24" i="1"/>
  <c r="L24" i="1"/>
  <c r="BJ23" i="1"/>
  <c r="BI23" i="1"/>
  <c r="BH23" i="1"/>
  <c r="BG23" i="1"/>
  <c r="BF23" i="1"/>
  <c r="BE23" i="1"/>
  <c r="BD23" i="1"/>
  <c r="AM23" i="1"/>
  <c r="AJ23" i="1"/>
  <c r="AI23" i="1"/>
  <c r="AG23" i="1"/>
  <c r="Y23" i="1"/>
  <c r="O23" i="1"/>
  <c r="P23" i="1" s="1"/>
  <c r="N23" i="1"/>
  <c r="L23" i="1"/>
  <c r="BK22" i="1"/>
  <c r="BJ22" i="1"/>
  <c r="BI22" i="1"/>
  <c r="BH22" i="1"/>
  <c r="BG22" i="1"/>
  <c r="BF22" i="1"/>
  <c r="BE22" i="1"/>
  <c r="BD22" i="1"/>
  <c r="AN22" i="1"/>
  <c r="AM22" i="1"/>
  <c r="AK22" i="1"/>
  <c r="AL22" i="1" s="1"/>
  <c r="AJ22" i="1"/>
  <c r="AI22" i="1"/>
  <c r="AG22" i="1"/>
  <c r="Y22" i="1"/>
  <c r="O22" i="1"/>
  <c r="N22" i="1"/>
  <c r="L22" i="1"/>
  <c r="BJ21" i="1"/>
  <c r="BI21" i="1"/>
  <c r="BH21" i="1"/>
  <c r="BG21" i="1"/>
  <c r="BF21" i="1"/>
  <c r="BE21" i="1"/>
  <c r="BD21" i="1"/>
  <c r="AN21" i="1"/>
  <c r="AM21" i="1"/>
  <c r="AK21" i="1"/>
  <c r="AL21" i="1" s="1"/>
  <c r="AJ21" i="1"/>
  <c r="AI21" i="1"/>
  <c r="AG21" i="1"/>
  <c r="Y21" i="1"/>
  <c r="O21" i="1"/>
  <c r="M21" i="1" s="1"/>
  <c r="N21" i="1"/>
  <c r="L21" i="1"/>
  <c r="BK20" i="1"/>
  <c r="BI20" i="1"/>
  <c r="BH20" i="1"/>
  <c r="BG20" i="1"/>
  <c r="BF20" i="1"/>
  <c r="BE20" i="1"/>
  <c r="BD20" i="1"/>
  <c r="AM20" i="1"/>
  <c r="AK20" i="1"/>
  <c r="AL20" i="1" s="1"/>
  <c r="AJ20" i="1"/>
  <c r="AI20" i="1"/>
  <c r="AN20" i="1" s="1"/>
  <c r="AG20" i="1"/>
  <c r="Y20" i="1"/>
  <c r="P20" i="1"/>
  <c r="O20" i="1"/>
  <c r="N20" i="1"/>
  <c r="L20" i="1"/>
  <c r="BK19" i="1"/>
  <c r="BJ19" i="1"/>
  <c r="BI19" i="1"/>
  <c r="BH19" i="1"/>
  <c r="BG19" i="1"/>
  <c r="BF19" i="1"/>
  <c r="BE19" i="1"/>
  <c r="BD19" i="1"/>
  <c r="AN19" i="1"/>
  <c r="AM19" i="1"/>
  <c r="AL19" i="1"/>
  <c r="AK19" i="1"/>
  <c r="AJ19" i="1"/>
  <c r="AI19" i="1"/>
  <c r="AG19" i="1"/>
  <c r="Y19" i="1"/>
  <c r="O19" i="1"/>
  <c r="N19" i="1"/>
  <c r="L19" i="1"/>
  <c r="BK18" i="1"/>
  <c r="BJ18" i="1"/>
  <c r="BI18" i="1"/>
  <c r="BH18" i="1"/>
  <c r="BG18" i="1"/>
  <c r="BF18" i="1"/>
  <c r="BE18" i="1"/>
  <c r="BD18" i="1"/>
  <c r="AN18" i="1"/>
  <c r="AM18" i="1"/>
  <c r="AK18" i="1"/>
  <c r="AL18" i="1" s="1"/>
  <c r="AJ18" i="1"/>
  <c r="AI18" i="1"/>
  <c r="AG18" i="1"/>
  <c r="Y18" i="1"/>
  <c r="O18" i="1"/>
  <c r="N18" i="1"/>
  <c r="L18" i="1"/>
  <c r="BK17" i="1"/>
  <c r="BI17" i="1"/>
  <c r="BH17" i="1"/>
  <c r="BG17" i="1"/>
  <c r="BF17" i="1"/>
  <c r="BE17" i="1"/>
  <c r="BD17" i="1"/>
  <c r="AM17" i="1"/>
  <c r="AL17" i="1"/>
  <c r="AK17" i="1"/>
  <c r="AJ17" i="1"/>
  <c r="AI17" i="1"/>
  <c r="AN17" i="1" s="1"/>
  <c r="AG17" i="1"/>
  <c r="Y17" i="1"/>
  <c r="O17" i="1"/>
  <c r="N17" i="1"/>
  <c r="L17" i="1"/>
  <c r="BK16" i="1"/>
  <c r="BI16" i="1"/>
  <c r="BH16" i="1"/>
  <c r="BG16" i="1"/>
  <c r="BF16" i="1"/>
  <c r="BE16" i="1"/>
  <c r="BD16" i="1"/>
  <c r="AN16" i="1"/>
  <c r="AM16" i="1"/>
  <c r="AK16" i="1"/>
  <c r="AL16" i="1" s="1"/>
  <c r="AJ16" i="1"/>
  <c r="AI16" i="1"/>
  <c r="AG16" i="1"/>
  <c r="Y16" i="1"/>
  <c r="O16" i="1"/>
  <c r="N16" i="1"/>
  <c r="M16" i="1"/>
  <c r="L16" i="1"/>
  <c r="BK15" i="1"/>
  <c r="BJ15" i="1"/>
  <c r="BI15" i="1"/>
  <c r="BH15" i="1"/>
  <c r="BG15" i="1"/>
  <c r="BF15" i="1"/>
  <c r="BE15" i="1"/>
  <c r="BD15" i="1"/>
  <c r="AM15" i="1"/>
  <c r="AK15" i="1"/>
  <c r="AL15" i="1" s="1"/>
  <c r="AJ15" i="1"/>
  <c r="AI15" i="1"/>
  <c r="AN15" i="1" s="1"/>
  <c r="AG15" i="1"/>
  <c r="Y15" i="1"/>
  <c r="O15" i="1"/>
  <c r="P14" i="1" s="1"/>
  <c r="N15" i="1"/>
  <c r="L15" i="1"/>
  <c r="BK14" i="1"/>
  <c r="BI14" i="1"/>
  <c r="BH14" i="1"/>
  <c r="BG14" i="1"/>
  <c r="BF14" i="1"/>
  <c r="BE14" i="1"/>
  <c r="BD14" i="1"/>
  <c r="AM14" i="1"/>
  <c r="AJ14" i="1"/>
  <c r="AI14" i="1"/>
  <c r="AG14" i="1"/>
  <c r="Y14" i="1"/>
  <c r="O14" i="1"/>
  <c r="N14" i="1"/>
  <c r="L14" i="1"/>
  <c r="BJ13" i="1"/>
  <c r="BI13" i="1"/>
  <c r="BH13" i="1"/>
  <c r="BG13" i="1"/>
  <c r="BF13" i="1"/>
  <c r="BE13" i="1"/>
  <c r="BD13" i="1"/>
  <c r="AN13" i="1"/>
  <c r="AM13" i="1"/>
  <c r="AK13" i="1"/>
  <c r="AL13" i="1" s="1"/>
  <c r="AJ13" i="1"/>
  <c r="AI13" i="1"/>
  <c r="AG13" i="1"/>
  <c r="Y13" i="1"/>
  <c r="O13" i="1"/>
  <c r="N13" i="1"/>
  <c r="L13" i="1"/>
  <c r="BK12" i="1"/>
  <c r="BJ12" i="1"/>
  <c r="BI12" i="1"/>
  <c r="BH12" i="1"/>
  <c r="BG12" i="1"/>
  <c r="BF12" i="1"/>
  <c r="BE12" i="1"/>
  <c r="BD12" i="1"/>
  <c r="AM12" i="1"/>
  <c r="AJ12" i="1"/>
  <c r="AI12" i="1"/>
  <c r="AG12" i="1"/>
  <c r="Y12" i="1"/>
  <c r="O12" i="1"/>
  <c r="N12" i="1"/>
  <c r="L12" i="1"/>
  <c r="BK11" i="1"/>
  <c r="BJ11" i="1"/>
  <c r="BI11" i="1"/>
  <c r="BH11" i="1"/>
  <c r="BG11" i="1"/>
  <c r="BF11" i="1"/>
  <c r="BE11" i="1"/>
  <c r="BD11" i="1"/>
  <c r="AM11" i="1"/>
  <c r="AJ11" i="1"/>
  <c r="AI11" i="1"/>
  <c r="AG11" i="1"/>
  <c r="Y11" i="1"/>
  <c r="O11" i="1"/>
  <c r="N11" i="1"/>
  <c r="L11" i="1"/>
  <c r="BK10" i="1"/>
  <c r="BJ10" i="1"/>
  <c r="BI10" i="1"/>
  <c r="BH10" i="1"/>
  <c r="BG10" i="1"/>
  <c r="BF10" i="1"/>
  <c r="BE10" i="1"/>
  <c r="BD10" i="1"/>
  <c r="AN10" i="1"/>
  <c r="AM10" i="1"/>
  <c r="AK10" i="1"/>
  <c r="AL10" i="1" s="1"/>
  <c r="AJ10" i="1"/>
  <c r="AI10" i="1"/>
  <c r="AG10" i="1"/>
  <c r="Y10" i="1"/>
  <c r="O10" i="1"/>
  <c r="N10" i="1"/>
  <c r="M10" i="1"/>
  <c r="L10" i="1"/>
  <c r="BK9" i="1"/>
  <c r="BJ9" i="1"/>
  <c r="BI9" i="1"/>
  <c r="BH9" i="1"/>
  <c r="BG9" i="1"/>
  <c r="BF9" i="1"/>
  <c r="BE9" i="1"/>
  <c r="BD9" i="1"/>
  <c r="AM9" i="1"/>
  <c r="AK9" i="1"/>
  <c r="AL9" i="1" s="1"/>
  <c r="AJ9" i="1"/>
  <c r="AI9" i="1"/>
  <c r="AN9" i="1" s="1"/>
  <c r="AG9" i="1"/>
  <c r="Y9" i="1"/>
  <c r="O9" i="1"/>
  <c r="N9" i="1"/>
  <c r="L9" i="1"/>
  <c r="BK8" i="1"/>
  <c r="BI8" i="1"/>
  <c r="BH8" i="1"/>
  <c r="BG8" i="1"/>
  <c r="BF8" i="1"/>
  <c r="BE8" i="1"/>
  <c r="BD8" i="1"/>
  <c r="AM8" i="1"/>
  <c r="AJ8" i="1"/>
  <c r="AI8" i="1"/>
  <c r="AN8" i="1" s="1"/>
  <c r="AG8" i="1"/>
  <c r="Y8" i="1"/>
  <c r="O8" i="1"/>
  <c r="N8" i="1"/>
  <c r="L8" i="1"/>
  <c r="BK7" i="1"/>
  <c r="BJ7" i="1"/>
  <c r="BI7" i="1"/>
  <c r="BH7" i="1"/>
  <c r="BG7" i="1"/>
  <c r="BF7" i="1"/>
  <c r="BE7" i="1"/>
  <c r="BD7" i="1"/>
  <c r="AM7" i="1"/>
  <c r="AJ7" i="1"/>
  <c r="AI7" i="1"/>
  <c r="AG7" i="1"/>
  <c r="Y7" i="1"/>
  <c r="O7" i="1"/>
  <c r="N7" i="1"/>
  <c r="L7" i="1"/>
  <c r="BK6" i="1"/>
  <c r="BJ6" i="1"/>
  <c r="BI6" i="1"/>
  <c r="BH6" i="1"/>
  <c r="BG6" i="1"/>
  <c r="BF6" i="1"/>
  <c r="BE6" i="1"/>
  <c r="BD6" i="1"/>
  <c r="AM6" i="1"/>
  <c r="AJ6" i="1"/>
  <c r="AI6" i="1"/>
  <c r="AN6" i="1" s="1"/>
  <c r="AG6" i="1"/>
  <c r="Y6" i="1"/>
  <c r="O6" i="1"/>
  <c r="N6" i="1"/>
  <c r="M6" i="1"/>
  <c r="L6" i="1"/>
  <c r="BJ3" i="1"/>
  <c r="BK280" i="1" s="1"/>
  <c r="P2" i="1"/>
  <c r="D51" i="5" a="1"/>
  <c r="D51" i="5" s="1"/>
  <c r="D50" i="5" a="1"/>
  <c r="D50" i="5" s="1"/>
  <c r="D49" i="5" a="1"/>
  <c r="D49" i="5" s="1"/>
  <c r="D48" i="5" a="1"/>
  <c r="D48" i="5"/>
  <c r="AG47" i="5" a="1"/>
  <c r="AG47" i="5" s="1"/>
  <c r="AH47" i="5" s="1"/>
  <c r="D47" i="5" a="1"/>
  <c r="D47" i="5"/>
  <c r="AG46" i="5" a="1"/>
  <c r="AG46" i="5" s="1"/>
  <c r="AH46" i="5" s="1"/>
  <c r="D46" i="5" a="1"/>
  <c r="D46" i="5"/>
  <c r="AG45" i="5" a="1"/>
  <c r="AG45" i="5"/>
  <c r="AH45" i="5" s="1"/>
  <c r="D45" i="5" a="1"/>
  <c r="D45" i="5" s="1"/>
  <c r="AG44" i="5" a="1"/>
  <c r="AG44" i="5" s="1"/>
  <c r="AH44" i="5" s="1"/>
  <c r="D44" i="5" a="1"/>
  <c r="D44" i="5"/>
  <c r="AH43" i="5"/>
  <c r="AG43" i="5" a="1"/>
  <c r="AG43" i="5"/>
  <c r="D43" i="5" a="1"/>
  <c r="D43" i="5"/>
  <c r="AG42" i="5" a="1"/>
  <c r="AG42" i="5" s="1"/>
  <c r="AH42" i="5" s="1"/>
  <c r="D42" i="5" a="1"/>
  <c r="D42" i="5" s="1"/>
  <c r="AG41" i="5" a="1"/>
  <c r="AG41" i="5" s="1"/>
  <c r="AH41" i="5" s="1"/>
  <c r="D41" i="5" a="1"/>
  <c r="D41" i="5"/>
  <c r="AH40" i="5"/>
  <c r="AG40" i="5" a="1"/>
  <c r="AG40" i="5"/>
  <c r="D40" i="5" a="1"/>
  <c r="D40" i="5" s="1"/>
  <c r="AG39" i="5" a="1"/>
  <c r="AG39" i="5"/>
  <c r="AH39" i="5" s="1"/>
  <c r="D39" i="5" a="1"/>
  <c r="D39" i="5"/>
  <c r="AG38" i="5" a="1"/>
  <c r="AG38" i="5"/>
  <c r="AH38" i="5" s="1"/>
  <c r="D38" i="5" a="1"/>
  <c r="D38" i="5" s="1"/>
  <c r="AG37" i="5" a="1"/>
  <c r="AG37" i="5" s="1"/>
  <c r="AH37" i="5" s="1"/>
  <c r="D37" i="5" a="1"/>
  <c r="D37" i="5" s="1"/>
  <c r="AG36" i="5" a="1"/>
  <c r="AG36" i="5"/>
  <c r="AH36" i="5" s="1"/>
  <c r="D36" i="5" a="1"/>
  <c r="D36" i="5"/>
  <c r="AG35" i="5" a="1"/>
  <c r="AG35" i="5"/>
  <c r="AH35" i="5" s="1"/>
  <c r="D35" i="5" a="1"/>
  <c r="D35" i="5" s="1"/>
  <c r="AH34" i="5"/>
  <c r="AG34" i="5" a="1"/>
  <c r="AG34" i="5" s="1"/>
  <c r="D34" i="5" a="1"/>
  <c r="D34" i="5"/>
  <c r="AG33" i="5" a="1"/>
  <c r="AG33" i="5" s="1"/>
  <c r="AH33" i="5" s="1"/>
  <c r="D33" i="5" a="1"/>
  <c r="D33" i="5" s="1"/>
  <c r="AG32" i="5" a="1"/>
  <c r="AG32" i="5"/>
  <c r="AH32" i="5" s="1"/>
  <c r="D32" i="5" a="1"/>
  <c r="D32" i="5"/>
  <c r="AG31" i="5" a="1"/>
  <c r="AG31" i="5"/>
  <c r="AH31" i="5" s="1"/>
  <c r="D31" i="5" a="1"/>
  <c r="D31" i="5"/>
  <c r="AG30" i="5" a="1"/>
  <c r="AG30" i="5"/>
  <c r="AH30" i="5" s="1"/>
  <c r="D30" i="5" a="1"/>
  <c r="D30" i="5"/>
  <c r="AG29" i="5" a="1"/>
  <c r="AG29" i="5" s="1"/>
  <c r="AH29" i="5" s="1"/>
  <c r="D29" i="5" a="1"/>
  <c r="D29" i="5"/>
  <c r="AG28" i="5" a="1"/>
  <c r="AG28" i="5" s="1"/>
  <c r="AH28" i="5" s="1"/>
  <c r="D28" i="5" a="1"/>
  <c r="D28" i="5"/>
  <c r="AG27" i="5" a="1"/>
  <c r="AG27" i="5" s="1"/>
  <c r="AH27" i="5" s="1"/>
  <c r="D27" i="5" a="1"/>
  <c r="D27" i="5"/>
  <c r="AH26" i="5"/>
  <c r="AG26" i="5" a="1"/>
  <c r="AG26" i="5"/>
  <c r="X26" i="5"/>
  <c r="D26" i="5" a="1"/>
  <c r="D26" i="5" s="1"/>
  <c r="AG25" i="5" a="1"/>
  <c r="AG25" i="5" s="1"/>
  <c r="AH25" i="5" s="1"/>
  <c r="D25" i="5" a="1"/>
  <c r="D25" i="5" s="1"/>
  <c r="AH24" i="5"/>
  <c r="AG24" i="5" a="1"/>
  <c r="AG24" i="5"/>
  <c r="X24" i="5"/>
  <c r="X25" i="5" s="1"/>
  <c r="Y25" i="5" s="1" a="1"/>
  <c r="Y25" i="5" s="1"/>
  <c r="Z25" i="5" s="1" a="1"/>
  <c r="Z25" i="5" s="1"/>
  <c r="D24" i="5" a="1"/>
  <c r="D24" i="5"/>
  <c r="AG23" i="5" a="1"/>
  <c r="AG23" i="5" s="1"/>
  <c r="AH23" i="5" s="1"/>
  <c r="X23" i="5"/>
  <c r="Y23" i="5" s="1" a="1"/>
  <c r="Y23" i="5" s="1"/>
  <c r="Z23" i="5" s="1" a="1"/>
  <c r="Z23" i="5" s="1"/>
  <c r="AA23" i="5" s="1" a="1"/>
  <c r="AA23" i="5" s="1"/>
  <c r="D23" i="5" a="1"/>
  <c r="D23" i="5"/>
  <c r="AG22" i="5" a="1"/>
  <c r="AG22" i="5"/>
  <c r="AH22" i="5" s="1"/>
  <c r="AA22" i="5" a="1"/>
  <c r="AA22" i="5"/>
  <c r="AC22" i="5" s="1" a="1"/>
  <c r="AC22" i="5" s="1"/>
  <c r="D22" i="5" a="1"/>
  <c r="D22" i="5" s="1"/>
  <c r="AG21" i="5" a="1"/>
  <c r="AG21" i="5"/>
  <c r="AH21" i="5" s="1"/>
  <c r="X21" i="5"/>
  <c r="X22" i="5" s="1"/>
  <c r="Y22" i="5" s="1" a="1"/>
  <c r="Y22" i="5" s="1"/>
  <c r="Z22" i="5" s="1" a="1"/>
  <c r="Z22" i="5" s="1"/>
  <c r="D21" i="5" a="1"/>
  <c r="D21" i="5" s="1"/>
  <c r="AG20" i="5" a="1"/>
  <c r="AG20" i="5"/>
  <c r="AH20" i="5" s="1"/>
  <c r="Z20" i="5"/>
  <c r="Y20" i="5" a="1"/>
  <c r="Y20" i="5"/>
  <c r="Z20" i="5" s="1" a="1"/>
  <c r="D20" i="5" a="1"/>
  <c r="D20" i="5"/>
  <c r="AG17" i="5"/>
  <c r="AG16" i="5"/>
  <c r="D7" i="5"/>
  <c r="D11" i="5" s="1"/>
  <c r="BL68" i="1" l="1"/>
  <c r="BL139" i="1"/>
  <c r="BL6" i="1"/>
  <c r="BL9" i="1"/>
  <c r="BL22" i="1"/>
  <c r="BL43" i="1"/>
  <c r="BL105" i="1"/>
  <c r="BL118" i="1"/>
  <c r="BL179" i="1"/>
  <c r="BL11" i="1"/>
  <c r="BL12" i="1"/>
  <c r="BL50" i="1"/>
  <c r="BL156" i="1"/>
  <c r="BL27" i="1"/>
  <c r="BL44" i="1"/>
  <c r="BL85" i="1"/>
  <c r="BL90" i="1"/>
  <c r="BL93" i="1"/>
  <c r="BL138" i="1"/>
  <c r="BL18" i="1"/>
  <c r="BL197" i="1"/>
  <c r="BL313" i="1"/>
  <c r="BL54" i="1"/>
  <c r="BL117" i="1"/>
  <c r="BL180" i="1"/>
  <c r="BL7" i="1"/>
  <c r="BL80" i="1"/>
  <c r="BL47" i="1"/>
  <c r="BL130" i="1"/>
  <c r="BL137" i="1"/>
  <c r="BL46" i="1"/>
  <c r="BL58" i="1"/>
  <c r="BL15" i="1"/>
  <c r="BL34" i="1"/>
  <c r="BL28" i="1"/>
  <c r="BL35" i="1"/>
  <c r="BL38" i="1"/>
  <c r="BL65" i="1"/>
  <c r="BL145" i="1"/>
  <c r="BL152" i="1"/>
  <c r="BL190" i="1"/>
  <c r="AC23" i="5" a="1"/>
  <c r="AC23" i="5" s="1"/>
  <c r="AB23" i="5" a="1"/>
  <c r="AB23" i="5" s="1"/>
  <c r="AD23" i="5" s="1" a="1"/>
  <c r="AD23" i="5" s="1"/>
  <c r="AA25" i="5" a="1"/>
  <c r="AA25" i="5" s="1"/>
  <c r="AC25" i="5" s="1" a="1"/>
  <c r="AC25" i="5" s="1"/>
  <c r="Y26" i="5" a="1"/>
  <c r="Y26" i="5" s="1"/>
  <c r="Z26" i="5" s="1" a="1"/>
  <c r="Z26" i="5" s="1"/>
  <c r="X27" i="5"/>
  <c r="AN11" i="1"/>
  <c r="AK11" i="1"/>
  <c r="AL11" i="1" s="1"/>
  <c r="AB22" i="5" a="1"/>
  <c r="AB22" i="5" s="1"/>
  <c r="AD22" i="5" s="1" a="1"/>
  <c r="AD22" i="5" s="1"/>
  <c r="F22" i="5" s="1"/>
  <c r="AK71" i="1"/>
  <c r="AL71" i="1" s="1"/>
  <c r="AN71" i="1"/>
  <c r="AK31" i="1"/>
  <c r="AL31" i="1" s="1"/>
  <c r="AN31" i="1"/>
  <c r="Y24" i="5" a="1"/>
  <c r="Y24" i="5" s="1"/>
  <c r="Z24" i="5" s="1" a="1"/>
  <c r="Z24" i="5" s="1"/>
  <c r="M20" i="1"/>
  <c r="P18" i="1"/>
  <c r="M50" i="1"/>
  <c r="P56" i="1"/>
  <c r="P52" i="1"/>
  <c r="P51" i="1"/>
  <c r="P57" i="1"/>
  <c r="M57" i="1"/>
  <c r="M119" i="1"/>
  <c r="M129" i="1"/>
  <c r="P128" i="1"/>
  <c r="P119" i="1"/>
  <c r="P129" i="1"/>
  <c r="P114" i="1"/>
  <c r="P81" i="1"/>
  <c r="P116" i="1"/>
  <c r="P120" i="1"/>
  <c r="P68" i="1"/>
  <c r="M41" i="1"/>
  <c r="BL60" i="1"/>
  <c r="AN36" i="1"/>
  <c r="AK36" i="1"/>
  <c r="AL36" i="1" s="1"/>
  <c r="AN56" i="1"/>
  <c r="AK56" i="1"/>
  <c r="AL56" i="1" s="1"/>
  <c r="P24" i="1"/>
  <c r="M28" i="1"/>
  <c r="AK55" i="1"/>
  <c r="AL55" i="1" s="1"/>
  <c r="AN55" i="1"/>
  <c r="Y21" i="5" a="1"/>
  <c r="Y21" i="5" s="1"/>
  <c r="Z21" i="5" s="1" a="1"/>
  <c r="Z21" i="5" s="1"/>
  <c r="AA20" i="5" a="1"/>
  <c r="AA20" i="5" s="1"/>
  <c r="AC20" i="5" s="1" a="1"/>
  <c r="AC20" i="5" s="1"/>
  <c r="P28" i="1"/>
  <c r="M43" i="1"/>
  <c r="P43" i="1"/>
  <c r="P36" i="1"/>
  <c r="P44" i="1"/>
  <c r="M45" i="1"/>
  <c r="M182" i="1"/>
  <c r="P19" i="1"/>
  <c r="M47" i="1"/>
  <c r="P46" i="1"/>
  <c r="BU15" i="6" a="1"/>
  <c r="BU15" i="6" s="1"/>
  <c r="AQ12" i="6" a="1"/>
  <c r="AQ12" i="6" s="1"/>
  <c r="BU11" i="6" a="1"/>
  <c r="BU11" i="6" s="1"/>
  <c r="AQ8" i="6" a="1"/>
  <c r="AQ8" i="6" s="1"/>
  <c r="BU7" i="6" a="1"/>
  <c r="BU7" i="6" s="1"/>
  <c r="BF15" i="6" a="1"/>
  <c r="BF15" i="6" s="1"/>
  <c r="CJ14" i="6" a="1"/>
  <c r="CJ14" i="6" s="1"/>
  <c r="BF11" i="6" a="1"/>
  <c r="BF11" i="6" s="1"/>
  <c r="CJ10" i="6" a="1"/>
  <c r="CJ10" i="6" s="1"/>
  <c r="BF7" i="6" a="1"/>
  <c r="BF7" i="6" s="1"/>
  <c r="CJ6" i="6" a="1"/>
  <c r="CJ6" i="6" s="1"/>
  <c r="AQ15" i="6" a="1"/>
  <c r="AQ15" i="6" s="1"/>
  <c r="BU14" i="6" a="1"/>
  <c r="BU14" i="6" s="1"/>
  <c r="AQ11" i="6" a="1"/>
  <c r="AQ11" i="6" s="1"/>
  <c r="BU10" i="6" a="1"/>
  <c r="BU10" i="6" s="1"/>
  <c r="AQ7" i="6" a="1"/>
  <c r="AQ7" i="6" s="1"/>
  <c r="BU6" i="6" a="1"/>
  <c r="BU6" i="6" s="1"/>
  <c r="BF14" i="6" a="1"/>
  <c r="BF14" i="6" s="1"/>
  <c r="CJ13" i="6" a="1"/>
  <c r="CJ13" i="6" s="1"/>
  <c r="BF10" i="6" a="1"/>
  <c r="BF10" i="6" s="1"/>
  <c r="CJ9" i="6" a="1"/>
  <c r="CJ9" i="6" s="1"/>
  <c r="BF6" i="6" a="1"/>
  <c r="BF6" i="6" s="1"/>
  <c r="AQ14" i="6" a="1"/>
  <c r="AQ14" i="6" s="1"/>
  <c r="BU13" i="6" a="1"/>
  <c r="BU13" i="6" s="1"/>
  <c r="AQ10" i="6" a="1"/>
  <c r="AQ10" i="6" s="1"/>
  <c r="BU9" i="6" a="1"/>
  <c r="BU9" i="6" s="1"/>
  <c r="AQ6" i="6" a="1"/>
  <c r="AQ6" i="6" s="1"/>
  <c r="CJ7" i="6" a="1"/>
  <c r="CJ7" i="6" s="1"/>
  <c r="CJ12" i="6" a="1"/>
  <c r="CJ12" i="6" s="1"/>
  <c r="AQ9" i="6" a="1"/>
  <c r="AQ9" i="6" s="1"/>
  <c r="CJ11" i="6" a="1"/>
  <c r="CJ11" i="6" s="1"/>
  <c r="AQ13" i="6" a="1"/>
  <c r="AQ13" i="6" s="1"/>
  <c r="BU8" i="6" a="1"/>
  <c r="BU8" i="6" s="1"/>
  <c r="CJ15" i="6" a="1"/>
  <c r="CJ15" i="6" s="1"/>
  <c r="BU12" i="6" a="1"/>
  <c r="BU12" i="6" s="1"/>
  <c r="BF9" i="6" a="1"/>
  <c r="BF9" i="6" s="1"/>
  <c r="BF8" i="6" a="1"/>
  <c r="BF8" i="6" s="1"/>
  <c r="BF12" i="6" a="1"/>
  <c r="BF12" i="6" s="1"/>
  <c r="BF13" i="6" a="1"/>
  <c r="BF13" i="6" s="1"/>
  <c r="CJ8" i="6" a="1"/>
  <c r="CJ8" i="6" s="1"/>
  <c r="AK7" i="1"/>
  <c r="AL7" i="1" s="1"/>
  <c r="AN7" i="1"/>
  <c r="P8" i="1"/>
  <c r="BL41" i="1"/>
  <c r="P6" i="1"/>
  <c r="AN12" i="1"/>
  <c r="AK12" i="1"/>
  <c r="AL12" i="1" s="1"/>
  <c r="P22" i="1"/>
  <c r="AN87" i="1"/>
  <c r="AK87" i="1"/>
  <c r="AL87" i="1" s="1"/>
  <c r="M219" i="1"/>
  <c r="P12" i="1"/>
  <c r="P15" i="1"/>
  <c r="M15" i="1"/>
  <c r="P10" i="1"/>
  <c r="P11" i="1"/>
  <c r="AN45" i="1"/>
  <c r="AK45" i="1"/>
  <c r="AL45" i="1" s="1"/>
  <c r="AN46" i="1"/>
  <c r="AK46" i="1"/>
  <c r="AL46" i="1" s="1"/>
  <c r="M73" i="1"/>
  <c r="P73" i="1"/>
  <c r="P66" i="1"/>
  <c r="M7" i="1"/>
  <c r="M14" i="1"/>
  <c r="M133" i="1"/>
  <c r="M85" i="1"/>
  <c r="M18" i="1"/>
  <c r="M53" i="1"/>
  <c r="M48" i="1"/>
  <c r="M13" i="1"/>
  <c r="M112" i="1"/>
  <c r="M99" i="1"/>
  <c r="M82" i="1"/>
  <c r="M64" i="1"/>
  <c r="M132" i="1"/>
  <c r="M94" i="1"/>
  <c r="M246" i="1"/>
  <c r="M141" i="1"/>
  <c r="M120" i="1"/>
  <c r="M68" i="1"/>
  <c r="M42" i="1"/>
  <c r="M198" i="1"/>
  <c r="M128" i="1"/>
  <c r="M89" i="1"/>
  <c r="M32" i="1"/>
  <c r="M168" i="1"/>
  <c r="M61" i="1"/>
  <c r="M29" i="1"/>
  <c r="M24" i="1"/>
  <c r="M328" i="1"/>
  <c r="M153" i="1"/>
  <c r="M108" i="1"/>
  <c r="M159" i="1"/>
  <c r="M98" i="1"/>
  <c r="M97" i="1"/>
  <c r="M34" i="1"/>
  <c r="M12" i="1"/>
  <c r="P67" i="1"/>
  <c r="M69" i="1"/>
  <c r="P7" i="1"/>
  <c r="M8" i="1"/>
  <c r="AK6" i="1"/>
  <c r="AL6" i="1" s="1"/>
  <c r="M36" i="1"/>
  <c r="P38" i="1"/>
  <c r="M38" i="1"/>
  <c r="AN73" i="1"/>
  <c r="AK73" i="1"/>
  <c r="AL73" i="1" s="1"/>
  <c r="AN67" i="1"/>
  <c r="AK67" i="1"/>
  <c r="AL67" i="1" s="1"/>
  <c r="AN72" i="1"/>
  <c r="AK72" i="1"/>
  <c r="AL72" i="1" s="1"/>
  <c r="P147" i="1"/>
  <c r="M33" i="1"/>
  <c r="P32" i="1"/>
  <c r="P33" i="1"/>
  <c r="BL57" i="1"/>
  <c r="BL110" i="1"/>
  <c r="P9" i="1"/>
  <c r="AN14" i="1"/>
  <c r="AK14" i="1"/>
  <c r="AL14" i="1" s="1"/>
  <c r="M37" i="1"/>
  <c r="P58" i="1"/>
  <c r="P112" i="1"/>
  <c r="P113" i="1"/>
  <c r="M113" i="1"/>
  <c r="AN79" i="1"/>
  <c r="AK79" i="1"/>
  <c r="AL79" i="1" s="1"/>
  <c r="BL88" i="1"/>
  <c r="M126" i="1"/>
  <c r="M158" i="1"/>
  <c r="P25" i="1"/>
  <c r="M25" i="1"/>
  <c r="AN37" i="1"/>
  <c r="AK37" i="1"/>
  <c r="AL37" i="1" s="1"/>
  <c r="P47" i="1"/>
  <c r="P50" i="1"/>
  <c r="M66" i="1"/>
  <c r="M104" i="1"/>
  <c r="AK23" i="1"/>
  <c r="AL23" i="1" s="1"/>
  <c r="AN23" i="1"/>
  <c r="M31" i="1"/>
  <c r="P30" i="1"/>
  <c r="P40" i="1"/>
  <c r="P41" i="1"/>
  <c r="BL96" i="1"/>
  <c r="BL99" i="1"/>
  <c r="P31" i="1"/>
  <c r="M109" i="1"/>
  <c r="P108" i="1"/>
  <c r="P105" i="1"/>
  <c r="M193" i="1"/>
  <c r="P154" i="1"/>
  <c r="P136" i="1"/>
  <c r="P182" i="1"/>
  <c r="P159" i="1"/>
  <c r="P141" i="1"/>
  <c r="P183" i="1"/>
  <c r="P177" i="1"/>
  <c r="P148" i="1"/>
  <c r="P133" i="1"/>
  <c r="M341" i="1"/>
  <c r="M348" i="1"/>
  <c r="M11" i="1"/>
  <c r="AN24" i="1"/>
  <c r="AK24" i="1"/>
  <c r="AL24" i="1" s="1"/>
  <c r="AK49" i="1"/>
  <c r="AL49" i="1" s="1"/>
  <c r="M96" i="1"/>
  <c r="P91" i="1"/>
  <c r="P88" i="1"/>
  <c r="P96" i="1"/>
  <c r="P85" i="1"/>
  <c r="P78" i="1"/>
  <c r="P109" i="1"/>
  <c r="M183" i="1"/>
  <c r="P193" i="1"/>
  <c r="P310" i="1"/>
  <c r="BL66" i="1"/>
  <c r="AK91" i="1"/>
  <c r="AL91" i="1" s="1"/>
  <c r="AN91" i="1"/>
  <c r="P142" i="1"/>
  <c r="BL149" i="1"/>
  <c r="M160" i="1"/>
  <c r="M174" i="1"/>
  <c r="P199" i="1"/>
  <c r="M269" i="1"/>
  <c r="P309" i="1"/>
  <c r="M326" i="1"/>
  <c r="P55" i="1"/>
  <c r="AK65" i="1"/>
  <c r="AL65" i="1" s="1"/>
  <c r="M80" i="1"/>
  <c r="P75" i="1"/>
  <c r="P79" i="1"/>
  <c r="P94" i="1"/>
  <c r="AK102" i="1"/>
  <c r="AL102" i="1" s="1"/>
  <c r="M165" i="1"/>
  <c r="M291" i="1"/>
  <c r="P306" i="1"/>
  <c r="M19" i="1"/>
  <c r="BL19" i="1"/>
  <c r="M46" i="1"/>
  <c r="P60" i="1"/>
  <c r="P80" i="1"/>
  <c r="M86" i="1"/>
  <c r="P86" i="1"/>
  <c r="P118" i="1"/>
  <c r="P135" i="1"/>
  <c r="M147" i="1"/>
  <c r="BL172" i="1"/>
  <c r="M176" i="1"/>
  <c r="M188" i="1"/>
  <c r="P187" i="1"/>
  <c r="P188" i="1"/>
  <c r="M204" i="1"/>
  <c r="M209" i="1"/>
  <c r="M281" i="1"/>
  <c r="P259" i="1"/>
  <c r="M266" i="1"/>
  <c r="P342" i="1"/>
  <c r="M342" i="1"/>
  <c r="P42" i="1"/>
  <c r="M51" i="1"/>
  <c r="BL51" i="1"/>
  <c r="P125" i="1"/>
  <c r="M125" i="1"/>
  <c r="P194" i="1"/>
  <c r="P198" i="1"/>
  <c r="P195" i="1"/>
  <c r="P234" i="1"/>
  <c r="P240" i="1"/>
  <c r="P228" i="1"/>
  <c r="P232" i="1"/>
  <c r="P244" i="1"/>
  <c r="P223" i="1"/>
  <c r="P226" i="1"/>
  <c r="P239" i="1"/>
  <c r="M251" i="1"/>
  <c r="M303" i="1"/>
  <c r="P303" i="1"/>
  <c r="M318" i="1"/>
  <c r="M325" i="1"/>
  <c r="M344" i="1"/>
  <c r="P62" i="1"/>
  <c r="M81" i="1"/>
  <c r="BL82" i="1"/>
  <c r="M152" i="1"/>
  <c r="P180" i="1"/>
  <c r="P181" i="1"/>
  <c r="M203" i="1"/>
  <c r="BL237" i="1"/>
  <c r="P288" i="1"/>
  <c r="P294" i="1"/>
  <c r="M298" i="1"/>
  <c r="P292" i="1"/>
  <c r="M358" i="1"/>
  <c r="P354" i="1"/>
  <c r="P358" i="1"/>
  <c r="P219" i="1"/>
  <c r="M278" i="1"/>
  <c r="P320" i="1"/>
  <c r="M9" i="1"/>
  <c r="P63" i="1"/>
  <c r="M63" i="1"/>
  <c r="P76" i="1"/>
  <c r="M77" i="1"/>
  <c r="P82" i="1"/>
  <c r="M90" i="1"/>
  <c r="AK95" i="1"/>
  <c r="AL95" i="1" s="1"/>
  <c r="M134" i="1"/>
  <c r="M140" i="1"/>
  <c r="M170" i="1"/>
  <c r="P169" i="1"/>
  <c r="P167" i="1"/>
  <c r="M260" i="1"/>
  <c r="P278" i="1"/>
  <c r="M310" i="1"/>
  <c r="M30" i="1"/>
  <c r="M52" i="1"/>
  <c r="M65" i="1"/>
  <c r="M70" i="1"/>
  <c r="BL70" i="1"/>
  <c r="P90" i="1"/>
  <c r="M92" i="1"/>
  <c r="P115" i="1"/>
  <c r="P134" i="1"/>
  <c r="M143" i="1"/>
  <c r="P143" i="1"/>
  <c r="BL168" i="1"/>
  <c r="P170" i="1"/>
  <c r="P178" i="1"/>
  <c r="M181" i="1"/>
  <c r="BL201" i="1"/>
  <c r="P203" i="1"/>
  <c r="P263" i="1"/>
  <c r="P270" i="1"/>
  <c r="M17" i="1"/>
  <c r="P16" i="1"/>
  <c r="AN81" i="1"/>
  <c r="AK81" i="1"/>
  <c r="AL81" i="1" s="1"/>
  <c r="M111" i="1"/>
  <c r="M124" i="1"/>
  <c r="P157" i="1"/>
  <c r="P158" i="1"/>
  <c r="M184" i="1"/>
  <c r="P184" i="1"/>
  <c r="P190" i="1"/>
  <c r="M192" i="1"/>
  <c r="P189" i="1"/>
  <c r="M213" i="1"/>
  <c r="P210" i="1"/>
  <c r="M218" i="1"/>
  <c r="M238" i="1"/>
  <c r="M858" i="1"/>
  <c r="M842" i="1"/>
  <c r="M826" i="1"/>
  <c r="M810" i="1"/>
  <c r="M794" i="1"/>
  <c r="M778" i="1"/>
  <c r="M762" i="1"/>
  <c r="M746" i="1"/>
  <c r="M730" i="1"/>
  <c r="M714" i="1"/>
  <c r="M698" i="1"/>
  <c r="M682" i="1"/>
  <c r="M666" i="1"/>
  <c r="M650" i="1"/>
  <c r="M634" i="1"/>
  <c r="M618" i="1"/>
  <c r="M602" i="1"/>
  <c r="M845" i="1"/>
  <c r="M829" i="1"/>
  <c r="M813" i="1"/>
  <c r="M797" i="1"/>
  <c r="M781" i="1"/>
  <c r="M765" i="1"/>
  <c r="M749" i="1"/>
  <c r="M733" i="1"/>
  <c r="M717" i="1"/>
  <c r="M701" i="1"/>
  <c r="M685" i="1"/>
  <c r="M669" i="1"/>
  <c r="M653" i="1"/>
  <c r="M637" i="1"/>
  <c r="M621" i="1"/>
  <c r="M605" i="1"/>
  <c r="M588" i="1"/>
  <c r="M580" i="1"/>
  <c r="M572" i="1"/>
  <c r="M564" i="1"/>
  <c r="M556" i="1"/>
  <c r="M548" i="1"/>
  <c r="M540" i="1"/>
  <c r="M771" i="1"/>
  <c r="M707" i="1"/>
  <c r="M643" i="1"/>
  <c r="M867" i="1"/>
  <c r="M817" i="1"/>
  <c r="M565" i="1"/>
  <c r="M851" i="1"/>
  <c r="M801" i="1"/>
  <c r="M774" i="1"/>
  <c r="M710" i="1"/>
  <c r="M646" i="1"/>
  <c r="M824" i="1"/>
  <c r="M789" i="1"/>
  <c r="M755" i="1"/>
  <c r="M744" i="1"/>
  <c r="M725" i="1"/>
  <c r="M691" i="1"/>
  <c r="M680" i="1"/>
  <c r="M661" i="1"/>
  <c r="M627" i="1"/>
  <c r="M616" i="1"/>
  <c r="M597" i="1"/>
  <c r="M541" i="1"/>
  <c r="M536" i="1"/>
  <c r="M529" i="1"/>
  <c r="M521" i="1"/>
  <c r="M513" i="1"/>
  <c r="M505" i="1"/>
  <c r="M497" i="1"/>
  <c r="M489" i="1"/>
  <c r="M481" i="1"/>
  <c r="M866" i="1"/>
  <c r="M808" i="1"/>
  <c r="M785" i="1"/>
  <c r="M751" i="1"/>
  <c r="M732" i="1"/>
  <c r="M721" i="1"/>
  <c r="M822" i="1"/>
  <c r="M758" i="1"/>
  <c r="M678" i="1"/>
  <c r="M581" i="1"/>
  <c r="M567" i="1"/>
  <c r="M506" i="1"/>
  <c r="M792" i="1"/>
  <c r="M595" i="1"/>
  <c r="M553" i="1"/>
  <c r="M449" i="1"/>
  <c r="M847" i="1"/>
  <c r="M787" i="1"/>
  <c r="M745" i="1"/>
  <c r="M694" i="1"/>
  <c r="M657" i="1"/>
  <c r="M611" i="1"/>
  <c r="M550" i="1"/>
  <c r="M526" i="1"/>
  <c r="M517" i="1"/>
  <c r="M507" i="1"/>
  <c r="M838" i="1"/>
  <c r="M770" i="1"/>
  <c r="M728" i="1"/>
  <c r="M719" i="1"/>
  <c r="M715" i="1"/>
  <c r="M690" i="1"/>
  <c r="M636" i="1"/>
  <c r="M607" i="1"/>
  <c r="M603" i="1"/>
  <c r="M578" i="1"/>
  <c r="M530" i="1"/>
  <c r="M484" i="1"/>
  <c r="M473" i="1"/>
  <c r="M468" i="1"/>
  <c r="M450" i="1"/>
  <c r="M427" i="1"/>
  <c r="M834" i="1"/>
  <c r="M723" i="1"/>
  <c r="M568" i="1"/>
  <c r="M557" i="1"/>
  <c r="M508" i="1"/>
  <c r="M854" i="1"/>
  <c r="M850" i="1"/>
  <c r="M812" i="1"/>
  <c r="M803" i="1"/>
  <c r="M799" i="1"/>
  <c r="M623" i="1"/>
  <c r="M598" i="1"/>
  <c r="M542" i="1"/>
  <c r="M522" i="1"/>
  <c r="M739" i="1"/>
  <c r="M668" i="1"/>
  <c r="M614" i="1"/>
  <c r="M457" i="1"/>
  <c r="M409" i="1"/>
  <c r="M790" i="1"/>
  <c r="M773" i="1"/>
  <c r="M589" i="1"/>
  <c r="M562" i="1"/>
  <c r="M833" i="1"/>
  <c r="M630" i="1"/>
  <c r="M593" i="1"/>
  <c r="M576" i="1"/>
  <c r="M835" i="1"/>
  <c r="M687" i="1"/>
  <c r="M662" i="1"/>
  <c r="M549" i="1"/>
  <c r="M533" i="1"/>
  <c r="M296" i="1"/>
  <c r="M706" i="1"/>
  <c r="M433" i="1"/>
  <c r="M404" i="1"/>
  <c r="M372" i="1"/>
  <c r="M802" i="1"/>
  <c r="M652" i="1"/>
  <c r="M477" i="1"/>
  <c r="M460" i="1"/>
  <c r="M438" i="1"/>
  <c r="M865" i="1"/>
  <c r="M753" i="1"/>
  <c r="M675" i="1"/>
  <c r="M642" i="1"/>
  <c r="M525" i="1"/>
  <c r="M486" i="1"/>
  <c r="M470" i="1"/>
  <c r="M453" i="1"/>
  <c r="M442" i="1"/>
  <c r="M806" i="1"/>
  <c r="M590" i="1"/>
  <c r="M582" i="1"/>
  <c r="M498" i="1"/>
  <c r="M414" i="1"/>
  <c r="M705" i="1"/>
  <c r="M700" i="1"/>
  <c r="M559" i="1"/>
  <c r="M815" i="1"/>
  <c r="M776" i="1"/>
  <c r="M757" i="1"/>
  <c r="M738" i="1"/>
  <c r="M709" i="1"/>
  <c r="M651" i="1"/>
  <c r="M617" i="1"/>
  <c r="M747" i="1"/>
  <c r="M490" i="1"/>
  <c r="M849" i="1"/>
  <c r="M761" i="1"/>
  <c r="M659" i="1"/>
  <c r="M857" i="1"/>
  <c r="M726" i="1"/>
  <c r="M586" i="1"/>
  <c r="M853" i="1"/>
  <c r="M713" i="1"/>
  <c r="M474" i="1"/>
  <c r="M384" i="1"/>
  <c r="M368" i="1"/>
  <c r="M284" i="1"/>
  <c r="M240" i="1"/>
  <c r="M764" i="1"/>
  <c r="M604" i="1"/>
  <c r="M573" i="1"/>
  <c r="M380" i="1"/>
  <c r="M376" i="1"/>
  <c r="M200" i="1"/>
  <c r="M585" i="1"/>
  <c r="M364" i="1"/>
  <c r="M655" i="1"/>
  <c r="M619" i="1"/>
  <c r="M397" i="1"/>
  <c r="M393" i="1"/>
  <c r="M338" i="1"/>
  <c r="M307" i="1"/>
  <c r="M285" i="1"/>
  <c r="M274" i="1"/>
  <c r="M268" i="1"/>
  <c r="M248" i="1"/>
  <c r="M235" i="1"/>
  <c r="M500" i="1"/>
  <c r="M405" i="1"/>
  <c r="M389" i="1"/>
  <c r="M333" i="1"/>
  <c r="M312" i="1"/>
  <c r="M280" i="1"/>
  <c r="M242" i="1"/>
  <c r="M742" i="1"/>
  <c r="M524" i="1"/>
  <c r="M454" i="1"/>
  <c r="M451" i="1"/>
  <c r="M417" i="1"/>
  <c r="M385" i="1"/>
  <c r="M377" i="1"/>
  <c r="M369" i="1"/>
  <c r="M510" i="1"/>
  <c r="M458" i="1"/>
  <c r="M421" i="1"/>
  <c r="M410" i="1"/>
  <c r="M360" i="1"/>
  <c r="M350" i="1"/>
  <c r="M256" i="1"/>
  <c r="M819" i="1"/>
  <c r="M532" i="1"/>
  <c r="M406" i="1"/>
  <c r="M394" i="1"/>
  <c r="M345" i="1"/>
  <c r="M340" i="1"/>
  <c r="M314" i="1"/>
  <c r="M482" i="1"/>
  <c r="M441" i="1"/>
  <c r="M428" i="1"/>
  <c r="M407" i="1"/>
  <c r="M667" i="1"/>
  <c r="M626" i="1"/>
  <c r="M543" i="1"/>
  <c r="M514" i="1"/>
  <c r="M396" i="1"/>
  <c r="M392" i="1"/>
  <c r="M388" i="1"/>
  <c r="M363" i="1"/>
  <c r="M476" i="1"/>
  <c r="M435" i="1"/>
  <c r="M346" i="1"/>
  <c r="M323" i="1"/>
  <c r="M320" i="1"/>
  <c r="M292" i="1"/>
  <c r="M224" i="1"/>
  <c r="M189" i="1"/>
  <c r="M115" i="1"/>
  <c r="M425" i="1"/>
  <c r="M244" i="1"/>
  <c r="M195" i="1"/>
  <c r="M84" i="1"/>
  <c r="M415" i="1"/>
  <c r="M370" i="1"/>
  <c r="M336" i="1"/>
  <c r="M304" i="1"/>
  <c r="M210" i="1"/>
  <c r="M149" i="1"/>
  <c r="M378" i="1"/>
  <c r="M293" i="1"/>
  <c r="M237" i="1"/>
  <c r="M233" i="1"/>
  <c r="M229" i="1"/>
  <c r="M225" i="1"/>
  <c r="M220" i="1"/>
  <c r="M155" i="1"/>
  <c r="M123" i="1"/>
  <c r="M538" i="1"/>
  <c r="M462" i="1"/>
  <c r="M418" i="1"/>
  <c r="M386" i="1"/>
  <c r="M347" i="1"/>
  <c r="M272" i="1"/>
  <c r="M265" i="1"/>
  <c r="M253" i="1"/>
  <c r="M245" i="1"/>
  <c r="M211" i="1"/>
  <c r="M191" i="1"/>
  <c r="M185" i="1"/>
  <c r="M173" i="1"/>
  <c r="M150" i="1"/>
  <c r="M144" i="1"/>
  <c r="M137" i="1"/>
  <c r="M117" i="1"/>
  <c r="M357" i="1"/>
  <c r="M465" i="1"/>
  <c r="M249" i="1"/>
  <c r="M216" i="1"/>
  <c r="M201" i="1"/>
  <c r="M131" i="1"/>
  <c r="M366" i="1"/>
  <c r="M382" i="1"/>
  <c r="M361" i="1"/>
  <c r="M352" i="1"/>
  <c r="M329" i="1"/>
  <c r="M419" i="1"/>
  <c r="M321" i="1"/>
  <c r="M56" i="1"/>
  <c r="M257" i="1"/>
  <c r="M236" i="1"/>
  <c r="M105" i="1"/>
  <c r="M76" i="1"/>
  <c r="M316" i="1"/>
  <c r="M264" i="1"/>
  <c r="M230" i="1"/>
  <c r="M217" i="1"/>
  <c r="M175" i="1"/>
  <c r="M171" i="1"/>
  <c r="M145" i="1"/>
  <c r="M91" i="1"/>
  <c r="M374" i="1"/>
  <c r="M197" i="1"/>
  <c r="M179" i="1"/>
  <c r="M110" i="1"/>
  <c r="M101" i="1"/>
  <c r="M400" i="1"/>
  <c r="M308" i="1"/>
  <c r="M270" i="1"/>
  <c r="M258" i="1"/>
  <c r="M187" i="1"/>
  <c r="M142" i="1"/>
  <c r="M100" i="1"/>
  <c r="M355" i="1"/>
  <c r="M305" i="1"/>
  <c r="M288" i="1"/>
  <c r="M252" i="1"/>
  <c r="M208" i="1"/>
  <c r="M135" i="1"/>
  <c r="M127" i="1"/>
  <c r="M297" i="1"/>
  <c r="M262" i="1"/>
  <c r="M259" i="1"/>
  <c r="M222" i="1"/>
  <c r="M411" i="1"/>
  <c r="M331" i="1"/>
  <c r="M232" i="1"/>
  <c r="M315" i="1"/>
  <c r="M226" i="1"/>
  <c r="AK8" i="1"/>
  <c r="AL8" i="1" s="1"/>
  <c r="P17" i="1"/>
  <c r="M22" i="1"/>
  <c r="P26" i="1"/>
  <c r="P39" i="1"/>
  <c r="M40" i="1"/>
  <c r="M44" i="1"/>
  <c r="M54" i="1"/>
  <c r="P64" i="1"/>
  <c r="P70" i="1"/>
  <c r="M72" i="1"/>
  <c r="P77" i="1"/>
  <c r="P84" i="1"/>
  <c r="AK88" i="1"/>
  <c r="AL88" i="1" s="1"/>
  <c r="M107" i="1"/>
  <c r="M136" i="1"/>
  <c r="M139" i="1"/>
  <c r="M154" i="1"/>
  <c r="P153" i="1"/>
  <c r="M157" i="1"/>
  <c r="P213" i="1"/>
  <c r="M228" i="1"/>
  <c r="P260" i="1"/>
  <c r="M334" i="1"/>
  <c r="P336" i="1"/>
  <c r="P337" i="1"/>
  <c r="M35" i="1"/>
  <c r="AK47" i="1"/>
  <c r="AL47" i="1" s="1"/>
  <c r="AN47" i="1"/>
  <c r="P65" i="1"/>
  <c r="AN89" i="1"/>
  <c r="AK89" i="1"/>
  <c r="AL89" i="1" s="1"/>
  <c r="AK97" i="1"/>
  <c r="AL97" i="1" s="1"/>
  <c r="AN97" i="1"/>
  <c r="AN98" i="1"/>
  <c r="AK98" i="1"/>
  <c r="AL98" i="1" s="1"/>
  <c r="M102" i="1"/>
  <c r="M121" i="1"/>
  <c r="P127" i="1"/>
  <c r="M166" i="1"/>
  <c r="P161" i="1"/>
  <c r="P165" i="1"/>
  <c r="P164" i="1"/>
  <c r="M169" i="1"/>
  <c r="M177" i="1"/>
  <c r="M202" i="1"/>
  <c r="P205" i="1"/>
  <c r="P218" i="1"/>
  <c r="M250" i="1"/>
  <c r="M302" i="1"/>
  <c r="M309" i="1"/>
  <c r="M27" i="1"/>
  <c r="P35" i="1"/>
  <c r="M49" i="1"/>
  <c r="P48" i="1"/>
  <c r="P71" i="1"/>
  <c r="M71" i="1"/>
  <c r="AK76" i="1"/>
  <c r="AL76" i="1" s="1"/>
  <c r="M93" i="1"/>
  <c r="P102" i="1"/>
  <c r="P121" i="1"/>
  <c r="M151" i="1"/>
  <c r="M163" i="1"/>
  <c r="P166" i="1"/>
  <c r="M287" i="1"/>
  <c r="M294" i="1"/>
  <c r="M371" i="1"/>
  <c r="P362" i="1"/>
  <c r="M401" i="1"/>
  <c r="BL10" i="1"/>
  <c r="P27" i="1"/>
  <c r="P49" i="1"/>
  <c r="AN63" i="1"/>
  <c r="BL73" i="1"/>
  <c r="AN75" i="1"/>
  <c r="M78" i="1"/>
  <c r="P93" i="1"/>
  <c r="P131" i="1"/>
  <c r="M148" i="1"/>
  <c r="P176" i="1"/>
  <c r="P186" i="1"/>
  <c r="M199" i="1"/>
  <c r="M247" i="1"/>
  <c r="P252" i="1"/>
  <c r="P277" i="1"/>
  <c r="M277" i="1"/>
  <c r="BK150" i="1"/>
  <c r="BK158" i="1"/>
  <c r="BK169" i="1"/>
  <c r="P171" i="1"/>
  <c r="P175" i="1"/>
  <c r="BK181" i="1"/>
  <c r="BK191" i="1"/>
  <c r="BJ243" i="1"/>
  <c r="BK249" i="1"/>
  <c r="BJ255" i="1"/>
  <c r="BK262" i="1"/>
  <c r="BJ297" i="1"/>
  <c r="BL297" i="1" s="1"/>
  <c r="M299" i="1"/>
  <c r="BK314" i="1"/>
  <c r="M206" i="1"/>
  <c r="BK211" i="1"/>
  <c r="BL211" i="1" s="1"/>
  <c r="BJ214" i="1"/>
  <c r="BJ248" i="1"/>
  <c r="BJ279" i="1"/>
  <c r="BJ296" i="1"/>
  <c r="M349" i="1"/>
  <c r="BJ221" i="1"/>
  <c r="BL221" i="1" s="1"/>
  <c r="BK248" i="1"/>
  <c r="BK258" i="1"/>
  <c r="BK279" i="1"/>
  <c r="BK296" i="1"/>
  <c r="BJ305" i="1"/>
  <c r="M444" i="1"/>
  <c r="BK484" i="1"/>
  <c r="BJ171" i="1"/>
  <c r="BK175" i="1"/>
  <c r="BK207" i="1"/>
  <c r="BL207" i="1" s="1"/>
  <c r="BJ210" i="1"/>
  <c r="BL210" i="1" s="1"/>
  <c r="M212" i="1"/>
  <c r="BK217" i="1"/>
  <c r="BL217" i="1" s="1"/>
  <c r="BK230" i="1"/>
  <c r="BL230" i="1" s="1"/>
  <c r="BJ233" i="1"/>
  <c r="BJ257" i="1"/>
  <c r="BL257" i="1" s="1"/>
  <c r="M271" i="1"/>
  <c r="BK275" i="1"/>
  <c r="BL275" i="1" s="1"/>
  <c r="M306" i="1"/>
  <c r="BJ402" i="1"/>
  <c r="M485" i="1"/>
  <c r="M848" i="1"/>
  <c r="BK125" i="1"/>
  <c r="BL125" i="1" s="1"/>
  <c r="BK148" i="1"/>
  <c r="BK155" i="1"/>
  <c r="BL155" i="1" s="1"/>
  <c r="BJ174" i="1"/>
  <c r="BL174" i="1" s="1"/>
  <c r="BJ178" i="1"/>
  <c r="BL178" i="1" s="1"/>
  <c r="BK186" i="1"/>
  <c r="BL186" i="1" s="1"/>
  <c r="BK196" i="1"/>
  <c r="M205" i="1"/>
  <c r="BJ216" i="1"/>
  <c r="BL216" i="1" s="1"/>
  <c r="BK220" i="1"/>
  <c r="M243" i="1"/>
  <c r="BJ247" i="1"/>
  <c r="BJ266" i="1"/>
  <c r="BK269" i="1"/>
  <c r="BL269" i="1" s="1"/>
  <c r="BJ278" i="1"/>
  <c r="BJ295" i="1"/>
  <c r="BK334" i="1"/>
  <c r="M353" i="1"/>
  <c r="BJ226" i="1"/>
  <c r="BJ229" i="1"/>
  <c r="BJ256" i="1"/>
  <c r="M276" i="1"/>
  <c r="M300" i="1"/>
  <c r="M322" i="1"/>
  <c r="BJ323" i="1"/>
  <c r="P322" i="1"/>
  <c r="P316" i="1"/>
  <c r="BJ339" i="1"/>
  <c r="P345" i="1"/>
  <c r="M403" i="1"/>
  <c r="P376" i="1"/>
  <c r="BJ79" i="1"/>
  <c r="BK86" i="1"/>
  <c r="BL86" i="1" s="1"/>
  <c r="BK94" i="1"/>
  <c r="BL94" i="1" s="1"/>
  <c r="BJ104" i="1"/>
  <c r="M122" i="1"/>
  <c r="BJ124" i="1"/>
  <c r="BK133" i="1"/>
  <c r="BK144" i="1"/>
  <c r="BL144" i="1" s="1"/>
  <c r="M146" i="1"/>
  <c r="BK151" i="1"/>
  <c r="M161" i="1"/>
  <c r="BK163" i="1"/>
  <c r="BL163" i="1" s="1"/>
  <c r="P172" i="1"/>
  <c r="BK206" i="1"/>
  <c r="BL206" i="1" s="1"/>
  <c r="M214" i="1"/>
  <c r="BK226" i="1"/>
  <c r="BK229" i="1"/>
  <c r="M231" i="1"/>
  <c r="BJ241" i="1"/>
  <c r="BK244" i="1"/>
  <c r="BK256" i="1"/>
  <c r="M273" i="1"/>
  <c r="P300" i="1"/>
  <c r="M330" i="1"/>
  <c r="P327" i="1"/>
  <c r="P403" i="1"/>
  <c r="M459" i="1"/>
  <c r="M544" i="1"/>
  <c r="M560" i="1"/>
  <c r="M23" i="1"/>
  <c r="BJ29" i="1"/>
  <c r="M39" i="1"/>
  <c r="BJ45" i="1"/>
  <c r="BK55" i="1"/>
  <c r="BL55" i="1" s="1"/>
  <c r="M79" i="1"/>
  <c r="BK79" i="1"/>
  <c r="BJ91" i="1"/>
  <c r="BK104" i="1"/>
  <c r="BJ116" i="1"/>
  <c r="M118" i="1"/>
  <c r="P122" i="1"/>
  <c r="BK124" i="1"/>
  <c r="M138" i="1"/>
  <c r="P146" i="1"/>
  <c r="BK166" i="1"/>
  <c r="BK185" i="1"/>
  <c r="BJ192" i="1"/>
  <c r="M194" i="1"/>
  <c r="BK199" i="1"/>
  <c r="BK209" i="1"/>
  <c r="P214" i="1"/>
  <c r="P231" i="1"/>
  <c r="BK241" i="1"/>
  <c r="BK250" i="1"/>
  <c r="M267" i="1"/>
  <c r="M282" i="1"/>
  <c r="BJ286" i="1"/>
  <c r="BK289" i="1"/>
  <c r="P330" i="1"/>
  <c r="BJ63" i="1"/>
  <c r="BJ71" i="1"/>
  <c r="M75" i="1"/>
  <c r="BJ83" i="1"/>
  <c r="BJ87" i="1"/>
  <c r="BK91" i="1"/>
  <c r="BJ95" i="1"/>
  <c r="BJ102" i="1"/>
  <c r="M106" i="1"/>
  <c r="BJ108" i="1"/>
  <c r="BK116" i="1"/>
  <c r="BJ132" i="1"/>
  <c r="BJ136" i="1"/>
  <c r="P149" i="1"/>
  <c r="BJ173" i="1"/>
  <c r="M190" i="1"/>
  <c r="BK192" i="1"/>
  <c r="BJ215" i="1"/>
  <c r="M221" i="1"/>
  <c r="P267" i="1"/>
  <c r="BK268" i="1"/>
  <c r="P282" i="1"/>
  <c r="BK286" i="1"/>
  <c r="P305" i="1"/>
  <c r="P319" i="1"/>
  <c r="M335" i="1"/>
  <c r="BK346" i="1"/>
  <c r="BJ401" i="1"/>
  <c r="P340" i="1"/>
  <c r="BK23" i="1"/>
  <c r="BL23" i="1" s="1"/>
  <c r="BK26" i="1"/>
  <c r="BL26" i="1" s="1"/>
  <c r="BK39" i="1"/>
  <c r="BL39" i="1" s="1"/>
  <c r="BK42" i="1"/>
  <c r="BL42" i="1" s="1"/>
  <c r="BJ52" i="1"/>
  <c r="M59" i="1"/>
  <c r="BJ59" i="1"/>
  <c r="BJ67" i="1"/>
  <c r="M83" i="1"/>
  <c r="BK83" i="1"/>
  <c r="M87" i="1"/>
  <c r="BK87" i="1"/>
  <c r="M95" i="1"/>
  <c r="BK102" i="1"/>
  <c r="P106" i="1"/>
  <c r="BJ123" i="1"/>
  <c r="BK132" i="1"/>
  <c r="BK154" i="1"/>
  <c r="BJ162" i="1"/>
  <c r="BK173" i="1"/>
  <c r="BJ195" i="1"/>
  <c r="BJ202" i="1"/>
  <c r="BK215" i="1"/>
  <c r="P224" i="1"/>
  <c r="M227" i="1"/>
  <c r="M254" i="1"/>
  <c r="M367" i="1"/>
  <c r="M555" i="1"/>
  <c r="BK583" i="1"/>
  <c r="BK575" i="1"/>
  <c r="BK567" i="1"/>
  <c r="BK559" i="1"/>
  <c r="BK551" i="1"/>
  <c r="BK584" i="1"/>
  <c r="BK576" i="1"/>
  <c r="BK568" i="1"/>
  <c r="BK560" i="1"/>
  <c r="BK552" i="1"/>
  <c r="BJ584" i="1"/>
  <c r="BJ576" i="1"/>
  <c r="BJ568" i="1"/>
  <c r="BJ560" i="1"/>
  <c r="BJ552" i="1"/>
  <c r="BJ544" i="1"/>
  <c r="BJ536" i="1"/>
  <c r="BK585" i="1"/>
  <c r="BK577" i="1"/>
  <c r="BJ585" i="1"/>
  <c r="BJ577" i="1"/>
  <c r="BJ569" i="1"/>
  <c r="BJ561" i="1"/>
  <c r="BJ553" i="1"/>
  <c r="BJ545" i="1"/>
  <c r="BJ537" i="1"/>
  <c r="BK586" i="1"/>
  <c r="BK578" i="1"/>
  <c r="BK570" i="1"/>
  <c r="BK562" i="1"/>
  <c r="BK554" i="1"/>
  <c r="BK581" i="1"/>
  <c r="BK572" i="1"/>
  <c r="BK563" i="1"/>
  <c r="BJ559" i="1"/>
  <c r="BJ549" i="1"/>
  <c r="BK544" i="1"/>
  <c r="BK538" i="1"/>
  <c r="BJ531" i="1"/>
  <c r="BJ524" i="1"/>
  <c r="BJ516" i="1"/>
  <c r="BJ508" i="1"/>
  <c r="BJ500" i="1"/>
  <c r="BJ492" i="1"/>
  <c r="BJ484" i="1"/>
  <c r="BJ476" i="1"/>
  <c r="BJ468" i="1"/>
  <c r="BJ460" i="1"/>
  <c r="BJ452" i="1"/>
  <c r="BJ444" i="1"/>
  <c r="BJ436" i="1"/>
  <c r="BJ428" i="1"/>
  <c r="BK590" i="1"/>
  <c r="BJ581" i="1"/>
  <c r="BJ572" i="1"/>
  <c r="BJ563" i="1"/>
  <c r="BK550" i="1"/>
  <c r="BJ538" i="1"/>
  <c r="BK532" i="1"/>
  <c r="BK525" i="1"/>
  <c r="BK517" i="1"/>
  <c r="BK509" i="1"/>
  <c r="BK501" i="1"/>
  <c r="BK493" i="1"/>
  <c r="BK485" i="1"/>
  <c r="BJ590" i="1"/>
  <c r="BJ586" i="1"/>
  <c r="BK573" i="1"/>
  <c r="BJ550" i="1"/>
  <c r="BJ532" i="1"/>
  <c r="BJ525" i="1"/>
  <c r="BJ517" i="1"/>
  <c r="BJ509" i="1"/>
  <c r="BJ501" i="1"/>
  <c r="BJ493" i="1"/>
  <c r="BJ485" i="1"/>
  <c r="BJ477" i="1"/>
  <c r="BJ469" i="1"/>
  <c r="BJ461" i="1"/>
  <c r="BJ453" i="1"/>
  <c r="BJ445" i="1"/>
  <c r="BJ437" i="1"/>
  <c r="BJ429" i="1"/>
  <c r="BJ421" i="1"/>
  <c r="BJ413" i="1"/>
  <c r="BJ405" i="1"/>
  <c r="BK582" i="1"/>
  <c r="BJ573" i="1"/>
  <c r="BK569" i="1"/>
  <c r="BK545" i="1"/>
  <c r="BK533" i="1"/>
  <c r="BK526" i="1"/>
  <c r="BJ582" i="1"/>
  <c r="BJ578" i="1"/>
  <c r="BK564" i="1"/>
  <c r="BK555" i="1"/>
  <c r="BJ551" i="1"/>
  <c r="BK539" i="1"/>
  <c r="BJ533" i="1"/>
  <c r="BJ526" i="1"/>
  <c r="BJ518" i="1"/>
  <c r="BJ510" i="1"/>
  <c r="BJ502" i="1"/>
  <c r="BJ494" i="1"/>
  <c r="BJ486" i="1"/>
  <c r="BJ478" i="1"/>
  <c r="BJ579" i="1"/>
  <c r="BJ565" i="1"/>
  <c r="BJ547" i="1"/>
  <c r="BK524" i="1"/>
  <c r="BK514" i="1"/>
  <c r="BJ504" i="1"/>
  <c r="BK495" i="1"/>
  <c r="BJ490" i="1"/>
  <c r="BJ470" i="1"/>
  <c r="BK464" i="1"/>
  <c r="BK459" i="1"/>
  <c r="BK453" i="1"/>
  <c r="BK441" i="1"/>
  <c r="BJ423" i="1"/>
  <c r="BJ417" i="1"/>
  <c r="BK411" i="1"/>
  <c r="BJ404" i="1"/>
  <c r="BJ396" i="1"/>
  <c r="BJ388" i="1"/>
  <c r="BJ380" i="1"/>
  <c r="BJ372" i="1"/>
  <c r="BJ364" i="1"/>
  <c r="BJ356" i="1"/>
  <c r="BJ348" i="1"/>
  <c r="BJ340" i="1"/>
  <c r="BJ332" i="1"/>
  <c r="BJ324" i="1"/>
  <c r="BL324" i="1" s="1"/>
  <c r="BJ316" i="1"/>
  <c r="BJ308" i="1"/>
  <c r="BJ300" i="1"/>
  <c r="BL300" i="1" s="1"/>
  <c r="BJ292" i="1"/>
  <c r="BJ284" i="1"/>
  <c r="BJ276" i="1"/>
  <c r="BL276" i="1" s="1"/>
  <c r="BJ268" i="1"/>
  <c r="BL268" i="1" s="1"/>
  <c r="BJ260" i="1"/>
  <c r="BJ252" i="1"/>
  <c r="BJ244" i="1"/>
  <c r="BJ236" i="1"/>
  <c r="BJ228" i="1"/>
  <c r="BJ220" i="1"/>
  <c r="BJ212" i="1"/>
  <c r="BJ204" i="1"/>
  <c r="BJ196" i="1"/>
  <c r="BJ539" i="1"/>
  <c r="BK528" i="1"/>
  <c r="BK519" i="1"/>
  <c r="BJ514" i="1"/>
  <c r="BJ495" i="1"/>
  <c r="BK491" i="1"/>
  <c r="BK486" i="1"/>
  <c r="BJ464" i="1"/>
  <c r="BJ459" i="1"/>
  <c r="BK447" i="1"/>
  <c r="BJ441" i="1"/>
  <c r="BK436" i="1"/>
  <c r="BK430" i="1"/>
  <c r="BK418" i="1"/>
  <c r="BJ411" i="1"/>
  <c r="BK397" i="1"/>
  <c r="BK389" i="1"/>
  <c r="BK381" i="1"/>
  <c r="BL381" i="1" s="1"/>
  <c r="BK373" i="1"/>
  <c r="BK365" i="1"/>
  <c r="BL365" i="1" s="1"/>
  <c r="BJ583" i="1"/>
  <c r="BJ555" i="1"/>
  <c r="BK548" i="1"/>
  <c r="BJ528" i="1"/>
  <c r="BJ519" i="1"/>
  <c r="BK515" i="1"/>
  <c r="BK510" i="1"/>
  <c r="BJ491" i="1"/>
  <c r="BK481" i="1"/>
  <c r="BK477" i="1"/>
  <c r="BK465" i="1"/>
  <c r="BK580" i="1"/>
  <c r="BK566" i="1"/>
  <c r="BJ548" i="1"/>
  <c r="BK536" i="1"/>
  <c r="BJ515" i="1"/>
  <c r="BK505" i="1"/>
  <c r="BJ481" i="1"/>
  <c r="BK471" i="1"/>
  <c r="BJ465" i="1"/>
  <c r="BK460" i="1"/>
  <c r="BK454" i="1"/>
  <c r="BJ442" i="1"/>
  <c r="BJ424" i="1"/>
  <c r="BK419" i="1"/>
  <c r="BJ412" i="1"/>
  <c r="BK398" i="1"/>
  <c r="BK390" i="1"/>
  <c r="BK382" i="1"/>
  <c r="BK374" i="1"/>
  <c r="BK366" i="1"/>
  <c r="BJ580" i="1"/>
  <c r="BJ570" i="1"/>
  <c r="BJ566" i="1"/>
  <c r="BJ505" i="1"/>
  <c r="BK496" i="1"/>
  <c r="BK492" i="1"/>
  <c r="BK482" i="1"/>
  <c r="BJ540" i="1"/>
  <c r="BJ529" i="1"/>
  <c r="BJ520" i="1"/>
  <c r="BK511" i="1"/>
  <c r="BJ506" i="1"/>
  <c r="BJ487" i="1"/>
  <c r="BK483" i="1"/>
  <c r="BK478" i="1"/>
  <c r="BK472" i="1"/>
  <c r="BK467" i="1"/>
  <c r="BK461" i="1"/>
  <c r="BK449" i="1"/>
  <c r="BK587" i="1"/>
  <c r="BK574" i="1"/>
  <c r="BJ567" i="1"/>
  <c r="BK556" i="1"/>
  <c r="BK537" i="1"/>
  <c r="BJ511" i="1"/>
  <c r="BK507" i="1"/>
  <c r="BK502" i="1"/>
  <c r="BJ483" i="1"/>
  <c r="BJ472" i="1"/>
  <c r="BJ467" i="1"/>
  <c r="BK455" i="1"/>
  <c r="BJ449" i="1"/>
  <c r="BK444" i="1"/>
  <c r="BK438" i="1"/>
  <c r="BJ426" i="1"/>
  <c r="BK414" i="1"/>
  <c r="BK407" i="1"/>
  <c r="BK400" i="1"/>
  <c r="BK392" i="1"/>
  <c r="BK384" i="1"/>
  <c r="BK376" i="1"/>
  <c r="BK368" i="1"/>
  <c r="BK360" i="1"/>
  <c r="BL360" i="1" s="1"/>
  <c r="BK352" i="1"/>
  <c r="BK344" i="1"/>
  <c r="BJ587" i="1"/>
  <c r="BJ574" i="1"/>
  <c r="BJ556" i="1"/>
  <c r="BK553" i="1"/>
  <c r="BJ507" i="1"/>
  <c r="BK497" i="1"/>
  <c r="BK473" i="1"/>
  <c r="BJ455" i="1"/>
  <c r="BK450" i="1"/>
  <c r="BJ438" i="1"/>
  <c r="BK432" i="1"/>
  <c r="BK427" i="1"/>
  <c r="BK421" i="1"/>
  <c r="BJ414" i="1"/>
  <c r="BJ407" i="1"/>
  <c r="BJ400" i="1"/>
  <c r="BJ392" i="1"/>
  <c r="BJ384" i="1"/>
  <c r="BJ376" i="1"/>
  <c r="BJ368" i="1"/>
  <c r="BK571" i="1"/>
  <c r="BJ589" i="1"/>
  <c r="BK579" i="1"/>
  <c r="BK565" i="1"/>
  <c r="BJ562" i="1"/>
  <c r="BK547" i="1"/>
  <c r="BJ543" i="1"/>
  <c r="BJ535" i="1"/>
  <c r="BJ513" i="1"/>
  <c r="BK504" i="1"/>
  <c r="BK500" i="1"/>
  <c r="BK490" i="1"/>
  <c r="BJ575" i="1"/>
  <c r="BK549" i="1"/>
  <c r="BJ546" i="1"/>
  <c r="BK523" i="1"/>
  <c r="BJ496" i="1"/>
  <c r="BK487" i="1"/>
  <c r="BK458" i="1"/>
  <c r="BJ447" i="1"/>
  <c r="BJ420" i="1"/>
  <c r="BK388" i="1"/>
  <c r="BK379" i="1"/>
  <c r="BJ359" i="1"/>
  <c r="BJ353" i="1"/>
  <c r="BJ341" i="1"/>
  <c r="BJ334" i="1"/>
  <c r="BJ327" i="1"/>
  <c r="BK321" i="1"/>
  <c r="BJ314" i="1"/>
  <c r="BK301" i="1"/>
  <c r="BK294" i="1"/>
  <c r="BK287" i="1"/>
  <c r="BJ280" i="1"/>
  <c r="BL280" i="1" s="1"/>
  <c r="BJ554" i="1"/>
  <c r="BK540" i="1"/>
  <c r="BK529" i="1"/>
  <c r="BJ523" i="1"/>
  <c r="BK508" i="1"/>
  <c r="BK475" i="1"/>
  <c r="BJ458" i="1"/>
  <c r="BK440" i="1"/>
  <c r="BK424" i="1"/>
  <c r="BK416" i="1"/>
  <c r="BK402" i="1"/>
  <c r="BK393" i="1"/>
  <c r="BJ379" i="1"/>
  <c r="BK370" i="1"/>
  <c r="BK354" i="1"/>
  <c r="BK328" i="1"/>
  <c r="BJ321" i="1"/>
  <c r="BK315" i="1"/>
  <c r="BK308" i="1"/>
  <c r="BJ301" i="1"/>
  <c r="BJ294" i="1"/>
  <c r="BJ287" i="1"/>
  <c r="BK281" i="1"/>
  <c r="BJ274" i="1"/>
  <c r="BK261" i="1"/>
  <c r="BL261" i="1" s="1"/>
  <c r="BK588" i="1"/>
  <c r="BK535" i="1"/>
  <c r="BK503" i="1"/>
  <c r="BJ475" i="1"/>
  <c r="BK451" i="1"/>
  <c r="BJ440" i="1"/>
  <c r="BK428" i="1"/>
  <c r="BJ588" i="1"/>
  <c r="BK520" i="1"/>
  <c r="BJ503" i="1"/>
  <c r="BJ482" i="1"/>
  <c r="BL482" i="1" s="1"/>
  <c r="BK462" i="1"/>
  <c r="BJ451" i="1"/>
  <c r="BJ432" i="1"/>
  <c r="BK412" i="1"/>
  <c r="BK557" i="1"/>
  <c r="BK506" i="1"/>
  <c r="BK494" i="1"/>
  <c r="BK479" i="1"/>
  <c r="BK466" i="1"/>
  <c r="BJ462" i="1"/>
  <c r="BK448" i="1"/>
  <c r="BK437" i="1"/>
  <c r="BK425" i="1"/>
  <c r="BJ557" i="1"/>
  <c r="BK541" i="1"/>
  <c r="BK530" i="1"/>
  <c r="BJ527" i="1"/>
  <c r="BK589" i="1"/>
  <c r="BJ571" i="1"/>
  <c r="BJ541" i="1"/>
  <c r="BJ530" i="1"/>
  <c r="BK512" i="1"/>
  <c r="BK463" i="1"/>
  <c r="BK445" i="1"/>
  <c r="BJ433" i="1"/>
  <c r="BK422" i="1"/>
  <c r="BJ542" i="1"/>
  <c r="BK527" i="1"/>
  <c r="BK476" i="1"/>
  <c r="BJ446" i="1"/>
  <c r="BK434" i="1"/>
  <c r="BJ418" i="1"/>
  <c r="BK399" i="1"/>
  <c r="BJ386" i="1"/>
  <c r="BJ382" i="1"/>
  <c r="BJ378" i="1"/>
  <c r="BJ374" i="1"/>
  <c r="BJ370" i="1"/>
  <c r="BJ366" i="1"/>
  <c r="BJ361" i="1"/>
  <c r="BJ346" i="1"/>
  <c r="BK335" i="1"/>
  <c r="BJ319" i="1"/>
  <c r="BJ309" i="1"/>
  <c r="BJ303" i="1"/>
  <c r="BK298" i="1"/>
  <c r="BK293" i="1"/>
  <c r="BK282" i="1"/>
  <c r="BJ270" i="1"/>
  <c r="BK264" i="1"/>
  <c r="BJ258" i="1"/>
  <c r="BK245" i="1"/>
  <c r="BK238" i="1"/>
  <c r="BK231" i="1"/>
  <c r="BJ224" i="1"/>
  <c r="BK218" i="1"/>
  <c r="BK470" i="1"/>
  <c r="BK452" i="1"/>
  <c r="BJ434" i="1"/>
  <c r="BK431" i="1"/>
  <c r="BK403" i="1"/>
  <c r="BJ399" i="1"/>
  <c r="BJ352" i="1"/>
  <c r="BK347" i="1"/>
  <c r="BK341" i="1"/>
  <c r="BJ335" i="1"/>
  <c r="BK330" i="1"/>
  <c r="BK325" i="1"/>
  <c r="BK320" i="1"/>
  <c r="BJ315" i="1"/>
  <c r="BJ298" i="1"/>
  <c r="BJ293" i="1"/>
  <c r="BJ282" i="1"/>
  <c r="BK277" i="1"/>
  <c r="BJ264" i="1"/>
  <c r="BK259" i="1"/>
  <c r="BK252" i="1"/>
  <c r="BJ245" i="1"/>
  <c r="BJ238" i="1"/>
  <c r="BJ231" i="1"/>
  <c r="BK225" i="1"/>
  <c r="BJ218" i="1"/>
  <c r="BK205" i="1"/>
  <c r="BK198" i="1"/>
  <c r="BJ479" i="1"/>
  <c r="BJ473" i="1"/>
  <c r="BJ431" i="1"/>
  <c r="BJ425" i="1"/>
  <c r="BJ403" i="1"/>
  <c r="BK395" i="1"/>
  <c r="BK391" i="1"/>
  <c r="BK387" i="1"/>
  <c r="BK362" i="1"/>
  <c r="BK357" i="1"/>
  <c r="BJ347" i="1"/>
  <c r="BJ330" i="1"/>
  <c r="BJ325" i="1"/>
  <c r="BJ320" i="1"/>
  <c r="BK304" i="1"/>
  <c r="BK299" i="1"/>
  <c r="BK288" i="1"/>
  <c r="BJ277" i="1"/>
  <c r="BK271" i="1"/>
  <c r="BK265" i="1"/>
  <c r="BJ259" i="1"/>
  <c r="BK232" i="1"/>
  <c r="BJ225" i="1"/>
  <c r="BK219" i="1"/>
  <c r="BK212" i="1"/>
  <c r="BJ205" i="1"/>
  <c r="BJ198" i="1"/>
  <c r="BJ191" i="1"/>
  <c r="BJ183" i="1"/>
  <c r="BJ175" i="1"/>
  <c r="BL175" i="1" s="1"/>
  <c r="BJ167" i="1"/>
  <c r="BL167" i="1" s="1"/>
  <c r="BJ159" i="1"/>
  <c r="BJ151" i="1"/>
  <c r="BJ143" i="1"/>
  <c r="BL143" i="1" s="1"/>
  <c r="BJ135" i="1"/>
  <c r="BJ127" i="1"/>
  <c r="BJ119" i="1"/>
  <c r="BL119" i="1" s="1"/>
  <c r="BJ111" i="1"/>
  <c r="BL111" i="1" s="1"/>
  <c r="BJ103" i="1"/>
  <c r="BJ100" i="1"/>
  <c r="BL100" i="1" s="1"/>
  <c r="BJ92" i="1"/>
  <c r="BL92" i="1" s="1"/>
  <c r="BJ84" i="1"/>
  <c r="BL84" i="1" s="1"/>
  <c r="BJ76" i="1"/>
  <c r="BK543" i="1"/>
  <c r="BK522" i="1"/>
  <c r="BK498" i="1"/>
  <c r="BK435" i="1"/>
  <c r="BJ422" i="1"/>
  <c r="BK415" i="1"/>
  <c r="BJ395" i="1"/>
  <c r="BJ391" i="1"/>
  <c r="BJ387" i="1"/>
  <c r="BK383" i="1"/>
  <c r="BK375" i="1"/>
  <c r="BK367" i="1"/>
  <c r="BJ362" i="1"/>
  <c r="BJ357" i="1"/>
  <c r="BK336" i="1"/>
  <c r="BK331" i="1"/>
  <c r="BK310" i="1"/>
  <c r="BJ304" i="1"/>
  <c r="BJ299" i="1"/>
  <c r="BJ288" i="1"/>
  <c r="BK283" i="1"/>
  <c r="BJ271" i="1"/>
  <c r="BJ265" i="1"/>
  <c r="BK253" i="1"/>
  <c r="BK246" i="1"/>
  <c r="BK239" i="1"/>
  <c r="BJ232" i="1"/>
  <c r="BJ522" i="1"/>
  <c r="BJ498" i="1"/>
  <c r="BJ435" i="1"/>
  <c r="BJ415" i="1"/>
  <c r="BJ383" i="1"/>
  <c r="BJ375" i="1"/>
  <c r="BK371" i="1"/>
  <c r="BJ367" i="1"/>
  <c r="BK353" i="1"/>
  <c r="BK342" i="1"/>
  <c r="BJ336" i="1"/>
  <c r="BJ331" i="1"/>
  <c r="BK326" i="1"/>
  <c r="BJ310" i="1"/>
  <c r="BK305" i="1"/>
  <c r="BJ283" i="1"/>
  <c r="BK278" i="1"/>
  <c r="BK272" i="1"/>
  <c r="BL272" i="1" s="1"/>
  <c r="BK266" i="1"/>
  <c r="BK260" i="1"/>
  <c r="BJ253" i="1"/>
  <c r="BJ246" i="1"/>
  <c r="BJ239" i="1"/>
  <c r="BK233" i="1"/>
  <c r="BK546" i="1"/>
  <c r="BK468" i="1"/>
  <c r="BJ419" i="1"/>
  <c r="BK408" i="1"/>
  <c r="BJ371" i="1"/>
  <c r="BK558" i="1"/>
  <c r="BK474" i="1"/>
  <c r="BJ471" i="1"/>
  <c r="BK456" i="1"/>
  <c r="BJ408" i="1"/>
  <c r="BK396" i="1"/>
  <c r="BJ363" i="1"/>
  <c r="BJ358" i="1"/>
  <c r="BK337" i="1"/>
  <c r="BK306" i="1"/>
  <c r="BJ289" i="1"/>
  <c r="BK284" i="1"/>
  <c r="BK273" i="1"/>
  <c r="BL273" i="1" s="1"/>
  <c r="BK267" i="1"/>
  <c r="BK254" i="1"/>
  <c r="BK247" i="1"/>
  <c r="BJ240" i="1"/>
  <c r="BL240" i="1" s="1"/>
  <c r="BK234" i="1"/>
  <c r="BL234" i="1" s="1"/>
  <c r="BJ227" i="1"/>
  <c r="BK200" i="1"/>
  <c r="BL200" i="1" s="1"/>
  <c r="BJ193" i="1"/>
  <c r="BJ185" i="1"/>
  <c r="BJ177" i="1"/>
  <c r="BJ169" i="1"/>
  <c r="BJ161" i="1"/>
  <c r="BL161" i="1" s="1"/>
  <c r="BJ153" i="1"/>
  <c r="BJ558" i="1"/>
  <c r="BK499" i="1"/>
  <c r="BK488" i="1"/>
  <c r="BK480" i="1"/>
  <c r="BJ474" i="1"/>
  <c r="BJ456" i="1"/>
  <c r="BJ450" i="1"/>
  <c r="BK429" i="1"/>
  <c r="BJ416" i="1"/>
  <c r="BK404" i="1"/>
  <c r="BJ354" i="1"/>
  <c r="BJ337" i="1"/>
  <c r="BK332" i="1"/>
  <c r="BK322" i="1"/>
  <c r="BK561" i="1"/>
  <c r="BJ499" i="1"/>
  <c r="BJ488" i="1"/>
  <c r="BJ480" i="1"/>
  <c r="BK442" i="1"/>
  <c r="BK439" i="1"/>
  <c r="BK426" i="1"/>
  <c r="BK401" i="1"/>
  <c r="BK380" i="1"/>
  <c r="BK349" i="1"/>
  <c r="BK343" i="1"/>
  <c r="BK327" i="1"/>
  <c r="BJ322" i="1"/>
  <c r="BK317" i="1"/>
  <c r="BJ311" i="1"/>
  <c r="BL311" i="1" s="1"/>
  <c r="BK307" i="1"/>
  <c r="BL307" i="1" s="1"/>
  <c r="BK534" i="1"/>
  <c r="BK531" i="1"/>
  <c r="BK469" i="1"/>
  <c r="BJ454" i="1"/>
  <c r="BJ448" i="1"/>
  <c r="BK385" i="1"/>
  <c r="BK377" i="1"/>
  <c r="BK369" i="1"/>
  <c r="BJ564" i="1"/>
  <c r="BJ534" i="1"/>
  <c r="BK518" i="1"/>
  <c r="BK489" i="1"/>
  <c r="BK542" i="1"/>
  <c r="BJ521" i="1"/>
  <c r="BK516" i="1"/>
  <c r="BK513" i="1"/>
  <c r="BK446" i="1"/>
  <c r="BJ394" i="1"/>
  <c r="BJ390" i="1"/>
  <c r="BK386" i="1"/>
  <c r="BK378" i="1"/>
  <c r="BK405" i="1"/>
  <c r="BJ351" i="1"/>
  <c r="BK348" i="1"/>
  <c r="BJ344" i="1"/>
  <c r="BL344" i="1" s="1"/>
  <c r="BJ318" i="1"/>
  <c r="BK290" i="1"/>
  <c r="BJ262" i="1"/>
  <c r="BJ254" i="1"/>
  <c r="BJ250" i="1"/>
  <c r="BK242" i="1"/>
  <c r="BK222" i="1"/>
  <c r="BK213" i="1"/>
  <c r="BK203" i="1"/>
  <c r="BK193" i="1"/>
  <c r="BK187" i="1"/>
  <c r="BJ181" i="1"/>
  <c r="BK176" i="1"/>
  <c r="BJ158" i="1"/>
  <c r="BJ146" i="1"/>
  <c r="BL146" i="1" s="1"/>
  <c r="BK140" i="1"/>
  <c r="BJ133" i="1"/>
  <c r="BK120" i="1"/>
  <c r="BK113" i="1"/>
  <c r="BK106" i="1"/>
  <c r="BJ78" i="1"/>
  <c r="BL78" i="1" s="1"/>
  <c r="BK75" i="1"/>
  <c r="BK72" i="1"/>
  <c r="BK64" i="1"/>
  <c r="BK56" i="1"/>
  <c r="BK309" i="1"/>
  <c r="BK302" i="1"/>
  <c r="BJ290" i="1"/>
  <c r="BK270" i="1"/>
  <c r="BJ242" i="1"/>
  <c r="BJ222" i="1"/>
  <c r="BJ213" i="1"/>
  <c r="BJ203" i="1"/>
  <c r="BJ187" i="1"/>
  <c r="BK182" i="1"/>
  <c r="BJ176" i="1"/>
  <c r="BK170" i="1"/>
  <c r="BK164" i="1"/>
  <c r="BJ140" i="1"/>
  <c r="BK134" i="1"/>
  <c r="BK127" i="1"/>
  <c r="BJ120" i="1"/>
  <c r="BJ113" i="1"/>
  <c r="BJ106" i="1"/>
  <c r="BK101" i="1"/>
  <c r="BK98" i="1"/>
  <c r="BJ75" i="1"/>
  <c r="BJ72" i="1"/>
  <c r="BJ64" i="1"/>
  <c r="BJ56" i="1"/>
  <c r="BJ48" i="1"/>
  <c r="BL48" i="1" s="1"/>
  <c r="BJ40" i="1"/>
  <c r="BL40" i="1" s="1"/>
  <c r="BJ32" i="1"/>
  <c r="BL32" i="1" s="1"/>
  <c r="BJ24" i="1"/>
  <c r="BL24" i="1" s="1"/>
  <c r="BJ16" i="1"/>
  <c r="BL16" i="1" s="1"/>
  <c r="BJ463" i="1"/>
  <c r="BJ439" i="1"/>
  <c r="BK358" i="1"/>
  <c r="BK329" i="1"/>
  <c r="BK312" i="1"/>
  <c r="BJ302" i="1"/>
  <c r="BK263" i="1"/>
  <c r="BK251" i="1"/>
  <c r="BK235" i="1"/>
  <c r="BK227" i="1"/>
  <c r="BK208" i="1"/>
  <c r="BJ182" i="1"/>
  <c r="BJ170" i="1"/>
  <c r="BJ164" i="1"/>
  <c r="BK159" i="1"/>
  <c r="BK153" i="1"/>
  <c r="BK147" i="1"/>
  <c r="BK141" i="1"/>
  <c r="BJ134" i="1"/>
  <c r="BK107" i="1"/>
  <c r="BL107" i="1" s="1"/>
  <c r="BJ101" i="1"/>
  <c r="BJ98" i="1"/>
  <c r="BK95" i="1"/>
  <c r="BK89" i="1"/>
  <c r="BL89" i="1" s="1"/>
  <c r="BK69" i="1"/>
  <c r="BL69" i="1" s="1"/>
  <c r="BK61" i="1"/>
  <c r="BL61" i="1" s="1"/>
  <c r="BK53" i="1"/>
  <c r="BL53" i="1" s="1"/>
  <c r="BK45" i="1"/>
  <c r="BK37" i="1"/>
  <c r="BL37" i="1" s="1"/>
  <c r="BK29" i="1"/>
  <c r="BK21" i="1"/>
  <c r="BL21" i="1" s="1"/>
  <c r="BK13" i="1"/>
  <c r="BL13" i="1" s="1"/>
  <c r="BK361" i="1"/>
  <c r="BK355" i="1"/>
  <c r="BK345" i="1"/>
  <c r="BK338" i="1"/>
  <c r="BJ329" i="1"/>
  <c r="BJ326" i="1"/>
  <c r="BK319" i="1"/>
  <c r="BJ312" i="1"/>
  <c r="BJ306" i="1"/>
  <c r="BK291" i="1"/>
  <c r="BJ281" i="1"/>
  <c r="BJ263" i="1"/>
  <c r="BJ251" i="1"/>
  <c r="BJ235" i="1"/>
  <c r="BK223" i="1"/>
  <c r="BJ208" i="1"/>
  <c r="BK194" i="1"/>
  <c r="BK188" i="1"/>
  <c r="BK165" i="1"/>
  <c r="BJ147" i="1"/>
  <c r="BJ141" i="1"/>
  <c r="BK128" i="1"/>
  <c r="BK121" i="1"/>
  <c r="BK114" i="1"/>
  <c r="BJ466" i="1"/>
  <c r="BJ369" i="1"/>
  <c r="BK364" i="1"/>
  <c r="BJ355" i="1"/>
  <c r="BJ345" i="1"/>
  <c r="BJ338" i="1"/>
  <c r="BK316" i="1"/>
  <c r="BK295" i="1"/>
  <c r="BJ291" i="1"/>
  <c r="BK274" i="1"/>
  <c r="BJ267" i="1"/>
  <c r="BK255" i="1"/>
  <c r="BK243" i="1"/>
  <c r="BJ223" i="1"/>
  <c r="BK214" i="1"/>
  <c r="BK204" i="1"/>
  <c r="BJ194" i="1"/>
  <c r="BJ188" i="1"/>
  <c r="BK183" i="1"/>
  <c r="BK177" i="1"/>
  <c r="BK171" i="1"/>
  <c r="BJ165" i="1"/>
  <c r="BK160" i="1"/>
  <c r="BL160" i="1" s="1"/>
  <c r="BK142" i="1"/>
  <c r="BL142" i="1" s="1"/>
  <c r="BK135" i="1"/>
  <c r="BJ128" i="1"/>
  <c r="BJ121" i="1"/>
  <c r="BJ114" i="1"/>
  <c r="BK108" i="1"/>
  <c r="BJ427" i="1"/>
  <c r="BK406" i="1"/>
  <c r="BJ398" i="1"/>
  <c r="BJ377" i="1"/>
  <c r="BL377" i="1" s="1"/>
  <c r="BJ342" i="1"/>
  <c r="BJ497" i="1"/>
  <c r="BK417" i="1"/>
  <c r="BJ406" i="1"/>
  <c r="BJ393" i="1"/>
  <c r="BJ385" i="1"/>
  <c r="BK372" i="1"/>
  <c r="BJ349" i="1"/>
  <c r="BK323" i="1"/>
  <c r="BK292" i="1"/>
  <c r="BK236" i="1"/>
  <c r="BK228" i="1"/>
  <c r="BK224" i="1"/>
  <c r="BJ209" i="1"/>
  <c r="BJ199" i="1"/>
  <c r="BK195" i="1"/>
  <c r="BJ189" i="1"/>
  <c r="BL189" i="1" s="1"/>
  <c r="BK184" i="1"/>
  <c r="BL184" i="1" s="1"/>
  <c r="BJ166" i="1"/>
  <c r="BJ154" i="1"/>
  <c r="BJ148" i="1"/>
  <c r="BK136" i="1"/>
  <c r="BK129" i="1"/>
  <c r="BL129" i="1" s="1"/>
  <c r="BK122" i="1"/>
  <c r="BL122" i="1" s="1"/>
  <c r="BJ115" i="1"/>
  <c r="BL115" i="1" s="1"/>
  <c r="BK109" i="1"/>
  <c r="BL109" i="1" s="1"/>
  <c r="BK97" i="1"/>
  <c r="BL97" i="1" s="1"/>
  <c r="BJ77" i="1"/>
  <c r="BL77" i="1" s="1"/>
  <c r="BJ74" i="1"/>
  <c r="BL74" i="1" s="1"/>
  <c r="BK71" i="1"/>
  <c r="BK63" i="1"/>
  <c r="BK521" i="1"/>
  <c r="BJ430" i="1"/>
  <c r="BK420" i="1"/>
  <c r="BJ409" i="1"/>
  <c r="BL409" i="1" s="1"/>
  <c r="BK359" i="1"/>
  <c r="BK356" i="1"/>
  <c r="BK339" i="1"/>
  <c r="BK333" i="1"/>
  <c r="BK457" i="1"/>
  <c r="BK433" i="1"/>
  <c r="BK350" i="1"/>
  <c r="BJ343" i="1"/>
  <c r="BJ512" i="1"/>
  <c r="BJ457" i="1"/>
  <c r="BK443" i="1"/>
  <c r="BL443" i="1" s="1"/>
  <c r="BK423" i="1"/>
  <c r="BK410" i="1"/>
  <c r="BL410" i="1" s="1"/>
  <c r="BK394" i="1"/>
  <c r="BJ373" i="1"/>
  <c r="BJ350" i="1"/>
  <c r="BK340" i="1"/>
  <c r="BJ489" i="1"/>
  <c r="BJ397" i="1"/>
  <c r="BK351" i="1"/>
  <c r="BK318" i="1"/>
  <c r="BJ8" i="1"/>
  <c r="BL8" i="1" s="1"/>
  <c r="BJ14" i="1"/>
  <c r="BL14" i="1" s="1"/>
  <c r="BJ17" i="1"/>
  <c r="BL17" i="1" s="1"/>
  <c r="BJ20" i="1"/>
  <c r="BL20" i="1" s="1"/>
  <c r="BJ33" i="1"/>
  <c r="BL33" i="1" s="1"/>
  <c r="BJ36" i="1"/>
  <c r="BL36" i="1" s="1"/>
  <c r="BJ49" i="1"/>
  <c r="BL49" i="1" s="1"/>
  <c r="BK52" i="1"/>
  <c r="P59" i="1"/>
  <c r="BK59" i="1"/>
  <c r="M67" i="1"/>
  <c r="BK67" i="1"/>
  <c r="BK76" i="1"/>
  <c r="P83" i="1"/>
  <c r="P87" i="1"/>
  <c r="BK103" i="1"/>
  <c r="BJ112" i="1"/>
  <c r="BL112" i="1" s="1"/>
  <c r="M114" i="1"/>
  <c r="BK123" i="1"/>
  <c r="BJ131" i="1"/>
  <c r="BL131" i="1" s="1"/>
  <c r="BJ150" i="1"/>
  <c r="BK162" i="1"/>
  <c r="M164" i="1"/>
  <c r="M167" i="1"/>
  <c r="BK202" i="1"/>
  <c r="M207" i="1"/>
  <c r="BJ219" i="1"/>
  <c r="P227" i="1"/>
  <c r="M239" i="1"/>
  <c r="BJ249" i="1"/>
  <c r="BL249" i="1" s="1"/>
  <c r="BK303" i="1"/>
  <c r="BJ317" i="1"/>
  <c r="BJ328" i="1"/>
  <c r="M332" i="1"/>
  <c r="BJ333" i="1"/>
  <c r="BK363" i="1"/>
  <c r="BJ389" i="1"/>
  <c r="M412" i="1"/>
  <c r="BK413" i="1"/>
  <c r="M447" i="1"/>
  <c r="M313" i="1"/>
  <c r="P353" i="1"/>
  <c r="M375" i="1"/>
  <c r="M509" i="1"/>
  <c r="P540" i="1"/>
  <c r="M398" i="1"/>
  <c r="M422" i="1"/>
  <c r="M437" i="1"/>
  <c r="P471" i="1"/>
  <c r="P511" i="1"/>
  <c r="M635" i="1"/>
  <c r="M683" i="1"/>
  <c r="M466" i="1"/>
  <c r="P523" i="1"/>
  <c r="P858" i="1"/>
  <c r="P408" i="1"/>
  <c r="P429" i="1"/>
  <c r="P444" i="1"/>
  <c r="M501" i="1"/>
  <c r="M610" i="1"/>
  <c r="P97" i="1"/>
  <c r="P100" i="1"/>
  <c r="P103" i="1"/>
  <c r="P126" i="1"/>
  <c r="P139" i="1"/>
  <c r="P152" i="1"/>
  <c r="P163" i="1"/>
  <c r="M180" i="1"/>
  <c r="M186" i="1"/>
  <c r="P207" i="1"/>
  <c r="M234" i="1"/>
  <c r="P246" i="1"/>
  <c r="P266" i="1"/>
  <c r="P273" i="1"/>
  <c r="M337" i="1"/>
  <c r="M354" i="1"/>
  <c r="P371" i="1"/>
  <c r="P379" i="1"/>
  <c r="P384" i="1"/>
  <c r="P392" i="1"/>
  <c r="P416" i="1"/>
  <c r="M496" i="1"/>
  <c r="M600" i="1"/>
  <c r="M780" i="1"/>
  <c r="M844" i="1"/>
  <c r="M436" i="1"/>
  <c r="M515" i="1"/>
  <c r="P138" i="1"/>
  <c r="P145" i="1"/>
  <c r="M156" i="1"/>
  <c r="M162" i="1"/>
  <c r="P192" i="1"/>
  <c r="P221" i="1"/>
  <c r="P230" i="1"/>
  <c r="M241" i="1"/>
  <c r="P258" i="1"/>
  <c r="M283" i="1"/>
  <c r="M286" i="1"/>
  <c r="M301" i="1"/>
  <c r="M311" i="1"/>
  <c r="M402" i="1"/>
  <c r="P431" i="1"/>
  <c r="P477" i="1"/>
  <c r="M818" i="1"/>
  <c r="P151" i="1"/>
  <c r="P156" i="1"/>
  <c r="P162" i="1"/>
  <c r="P174" i="1"/>
  <c r="P201" i="1"/>
  <c r="P206" i="1"/>
  <c r="P212" i="1"/>
  <c r="P216" i="1"/>
  <c r="P238" i="1"/>
  <c r="P241" i="1"/>
  <c r="M261" i="1"/>
  <c r="P283" i="1"/>
  <c r="M289" i="1"/>
  <c r="P301" i="1"/>
  <c r="M373" i="1"/>
  <c r="M491" i="1"/>
  <c r="P868" i="1"/>
  <c r="P852" i="1"/>
  <c r="P836" i="1"/>
  <c r="P820" i="1"/>
  <c r="P804" i="1"/>
  <c r="P855" i="1"/>
  <c r="P839" i="1"/>
  <c r="P823" i="1"/>
  <c r="P807" i="1"/>
  <c r="P791" i="1"/>
  <c r="P775" i="1"/>
  <c r="P759" i="1"/>
  <c r="P743" i="1"/>
  <c r="P727" i="1"/>
  <c r="P711" i="1"/>
  <c r="P695" i="1"/>
  <c r="P679" i="1"/>
  <c r="P663" i="1"/>
  <c r="P647" i="1"/>
  <c r="P631" i="1"/>
  <c r="P615" i="1"/>
  <c r="P599" i="1"/>
  <c r="P587" i="1"/>
  <c r="P579" i="1"/>
  <c r="P571" i="1"/>
  <c r="P563" i="1"/>
  <c r="P555" i="1"/>
  <c r="P861" i="1"/>
  <c r="P845" i="1"/>
  <c r="P829" i="1"/>
  <c r="P813" i="1"/>
  <c r="P797" i="1"/>
  <c r="P781" i="1"/>
  <c r="P765" i="1"/>
  <c r="P749" i="1"/>
  <c r="P733" i="1"/>
  <c r="P717" i="1"/>
  <c r="P701" i="1"/>
  <c r="P685" i="1"/>
  <c r="P669" i="1"/>
  <c r="P653" i="1"/>
  <c r="P637" i="1"/>
  <c r="P621" i="1"/>
  <c r="P605" i="1"/>
  <c r="P588" i="1"/>
  <c r="P580" i="1"/>
  <c r="P572" i="1"/>
  <c r="P564" i="1"/>
  <c r="P556" i="1"/>
  <c r="P864" i="1"/>
  <c r="P848" i="1"/>
  <c r="P832" i="1"/>
  <c r="P816" i="1"/>
  <c r="P800" i="1"/>
  <c r="P784" i="1"/>
  <c r="P768" i="1"/>
  <c r="P752" i="1"/>
  <c r="P736" i="1"/>
  <c r="P720" i="1"/>
  <c r="P704" i="1"/>
  <c r="P688" i="1"/>
  <c r="P672" i="1"/>
  <c r="P656" i="1"/>
  <c r="P640" i="1"/>
  <c r="P624" i="1"/>
  <c r="P608" i="1"/>
  <c r="P592" i="1"/>
  <c r="P867" i="1"/>
  <c r="P851" i="1"/>
  <c r="P835" i="1"/>
  <c r="P819" i="1"/>
  <c r="P803" i="1"/>
  <c r="P787" i="1"/>
  <c r="P771" i="1"/>
  <c r="P755" i="1"/>
  <c r="P739" i="1"/>
  <c r="P723" i="1"/>
  <c r="P707" i="1"/>
  <c r="P691" i="1"/>
  <c r="P675" i="1"/>
  <c r="P659" i="1"/>
  <c r="P643" i="1"/>
  <c r="P627" i="1"/>
  <c r="P611" i="1"/>
  <c r="P595" i="1"/>
  <c r="P589" i="1"/>
  <c r="P581" i="1"/>
  <c r="P854" i="1"/>
  <c r="P838" i="1"/>
  <c r="P822" i="1"/>
  <c r="P806" i="1"/>
  <c r="P790" i="1"/>
  <c r="P774" i="1"/>
  <c r="P758" i="1"/>
  <c r="P742" i="1"/>
  <c r="P726" i="1"/>
  <c r="P710" i="1"/>
  <c r="P694" i="1"/>
  <c r="P678" i="1"/>
  <c r="P662" i="1"/>
  <c r="P646" i="1"/>
  <c r="P630" i="1"/>
  <c r="P614" i="1"/>
  <c r="P598" i="1"/>
  <c r="P857" i="1"/>
  <c r="P841" i="1"/>
  <c r="P825" i="1"/>
  <c r="P809" i="1"/>
  <c r="P793" i="1"/>
  <c r="P777" i="1"/>
  <c r="P761" i="1"/>
  <c r="P745" i="1"/>
  <c r="P729" i="1"/>
  <c r="P713" i="1"/>
  <c r="P697" i="1"/>
  <c r="P681" i="1"/>
  <c r="P665" i="1"/>
  <c r="P649" i="1"/>
  <c r="P633" i="1"/>
  <c r="P617" i="1"/>
  <c r="P601" i="1"/>
  <c r="P590" i="1"/>
  <c r="P582" i="1"/>
  <c r="P574" i="1"/>
  <c r="P566" i="1"/>
  <c r="P558" i="1"/>
  <c r="P863" i="1"/>
  <c r="P828" i="1"/>
  <c r="P801" i="1"/>
  <c r="P782" i="1"/>
  <c r="P763" i="1"/>
  <c r="P718" i="1"/>
  <c r="P699" i="1"/>
  <c r="P654" i="1"/>
  <c r="P635" i="1"/>
  <c r="P584" i="1"/>
  <c r="P859" i="1"/>
  <c r="P824" i="1"/>
  <c r="P789" i="1"/>
  <c r="P778" i="1"/>
  <c r="P744" i="1"/>
  <c r="P725" i="1"/>
  <c r="P714" i="1"/>
  <c r="P680" i="1"/>
  <c r="P661" i="1"/>
  <c r="P650" i="1"/>
  <c r="P616" i="1"/>
  <c r="P597" i="1"/>
  <c r="P541" i="1"/>
  <c r="P536" i="1"/>
  <c r="P529" i="1"/>
  <c r="P521" i="1"/>
  <c r="P513" i="1"/>
  <c r="P505" i="1"/>
  <c r="P497" i="1"/>
  <c r="P489" i="1"/>
  <c r="P481" i="1"/>
  <c r="P847" i="1"/>
  <c r="P812" i="1"/>
  <c r="P770" i="1"/>
  <c r="P740" i="1"/>
  <c r="P706" i="1"/>
  <c r="P676" i="1"/>
  <c r="P642" i="1"/>
  <c r="P612" i="1"/>
  <c r="P576" i="1"/>
  <c r="P562" i="1"/>
  <c r="P557" i="1"/>
  <c r="P553" i="1"/>
  <c r="P547" i="1"/>
  <c r="P866" i="1"/>
  <c r="P843" i="1"/>
  <c r="P808" i="1"/>
  <c r="P785" i="1"/>
  <c r="P751" i="1"/>
  <c r="P732" i="1"/>
  <c r="P721" i="1"/>
  <c r="P687" i="1"/>
  <c r="P668" i="1"/>
  <c r="P657" i="1"/>
  <c r="P623" i="1"/>
  <c r="P604" i="1"/>
  <c r="P593" i="1"/>
  <c r="P567" i="1"/>
  <c r="P542" i="1"/>
  <c r="P831" i="1"/>
  <c r="P796" i="1"/>
  <c r="P766" i="1"/>
  <c r="P747" i="1"/>
  <c r="P702" i="1"/>
  <c r="P683" i="1"/>
  <c r="P638" i="1"/>
  <c r="P619" i="1"/>
  <c r="P585" i="1"/>
  <c r="P537" i="1"/>
  <c r="P530" i="1"/>
  <c r="P815" i="1"/>
  <c r="P788" i="1"/>
  <c r="P754" i="1"/>
  <c r="P724" i="1"/>
  <c r="P826" i="1"/>
  <c r="P728" i="1"/>
  <c r="P719" i="1"/>
  <c r="P715" i="1"/>
  <c r="P690" i="1"/>
  <c r="P682" i="1"/>
  <c r="P636" i="1"/>
  <c r="P632" i="1"/>
  <c r="P628" i="1"/>
  <c r="P607" i="1"/>
  <c r="P603" i="1"/>
  <c r="P578" i="1"/>
  <c r="P484" i="1"/>
  <c r="P473" i="1"/>
  <c r="P468" i="1"/>
  <c r="P450" i="1"/>
  <c r="P432" i="1"/>
  <c r="P427" i="1"/>
  <c r="P834" i="1"/>
  <c r="P698" i="1"/>
  <c r="P686" i="1"/>
  <c r="P568" i="1"/>
  <c r="P561" i="1"/>
  <c r="P508" i="1"/>
  <c r="P488" i="1"/>
  <c r="P462" i="1"/>
  <c r="P445" i="1"/>
  <c r="P401" i="1"/>
  <c r="P393" i="1"/>
  <c r="P385" i="1"/>
  <c r="P377" i="1"/>
  <c r="P369" i="1"/>
  <c r="P842" i="1"/>
  <c r="P830" i="1"/>
  <c r="P821" i="1"/>
  <c r="P817" i="1"/>
  <c r="P757" i="1"/>
  <c r="P753" i="1"/>
  <c r="P677" i="1"/>
  <c r="P673" i="1"/>
  <c r="P652" i="1"/>
  <c r="P546" i="1"/>
  <c r="P538" i="1"/>
  <c r="P534" i="1"/>
  <c r="P512" i="1"/>
  <c r="P498" i="1"/>
  <c r="P479" i="1"/>
  <c r="P474" i="1"/>
  <c r="P456" i="1"/>
  <c r="P850" i="1"/>
  <c r="P799" i="1"/>
  <c r="P795" i="1"/>
  <c r="P648" i="1"/>
  <c r="P644" i="1"/>
  <c r="P594" i="1"/>
  <c r="P575" i="1"/>
  <c r="P554" i="1"/>
  <c r="P522" i="1"/>
  <c r="P503" i="1"/>
  <c r="P494" i="1"/>
  <c r="P485" i="1"/>
  <c r="P469" i="1"/>
  <c r="P439" i="1"/>
  <c r="P422" i="1"/>
  <c r="P402" i="1"/>
  <c r="P394" i="1"/>
  <c r="P386" i="1"/>
  <c r="P378" i="1"/>
  <c r="P370" i="1"/>
  <c r="P846" i="1"/>
  <c r="P786" i="1"/>
  <c r="P748" i="1"/>
  <c r="P731" i="1"/>
  <c r="P693" i="1"/>
  <c r="P660" i="1"/>
  <c r="P610" i="1"/>
  <c r="P551" i="1"/>
  <c r="P531" i="1"/>
  <c r="P518" i="1"/>
  <c r="P509" i="1"/>
  <c r="P499" i="1"/>
  <c r="P862" i="1"/>
  <c r="P833" i="1"/>
  <c r="P722" i="1"/>
  <c r="P639" i="1"/>
  <c r="P543" i="1"/>
  <c r="P535" i="1"/>
  <c r="P500" i="1"/>
  <c r="P480" i="1"/>
  <c r="P476" i="1"/>
  <c r="P458" i="1"/>
  <c r="P794" i="1"/>
  <c r="P764" i="1"/>
  <c r="P760" i="1"/>
  <c r="P756" i="1"/>
  <c r="P709" i="1"/>
  <c r="P705" i="1"/>
  <c r="P655" i="1"/>
  <c r="P651" i="1"/>
  <c r="P626" i="1"/>
  <c r="P618" i="1"/>
  <c r="P565" i="1"/>
  <c r="P559" i="1"/>
  <c r="P532" i="1"/>
  <c r="P524" i="1"/>
  <c r="P504" i="1"/>
  <c r="P490" i="1"/>
  <c r="P470" i="1"/>
  <c r="P453" i="1"/>
  <c r="P423" i="1"/>
  <c r="P417" i="1"/>
  <c r="P404" i="1"/>
  <c r="P396" i="1"/>
  <c r="P388" i="1"/>
  <c r="P380" i="1"/>
  <c r="P372" i="1"/>
  <c r="P364" i="1"/>
  <c r="P356" i="1"/>
  <c r="P348" i="1"/>
  <c r="P853" i="1"/>
  <c r="P849" i="1"/>
  <c r="P811" i="1"/>
  <c r="P802" i="1"/>
  <c r="P798" i="1"/>
  <c r="P684" i="1"/>
  <c r="P634" i="1"/>
  <c r="P622" i="1"/>
  <c r="P586" i="1"/>
  <c r="P544" i="1"/>
  <c r="P539" i="1"/>
  <c r="P514" i="1"/>
  <c r="P495" i="1"/>
  <c r="P486" i="1"/>
  <c r="P464" i="1"/>
  <c r="P459" i="1"/>
  <c r="P441" i="1"/>
  <c r="P436" i="1"/>
  <c r="P411" i="1"/>
  <c r="P780" i="1"/>
  <c r="P738" i="1"/>
  <c r="P730" i="1"/>
  <c r="P700" i="1"/>
  <c r="P696" i="1"/>
  <c r="P692" i="1"/>
  <c r="P671" i="1"/>
  <c r="P667" i="1"/>
  <c r="P613" i="1"/>
  <c r="P609" i="1"/>
  <c r="P583" i="1"/>
  <c r="P573" i="1"/>
  <c r="P762" i="1"/>
  <c r="P703" i="1"/>
  <c r="P620" i="1"/>
  <c r="P550" i="1"/>
  <c r="P526" i="1"/>
  <c r="P517" i="1"/>
  <c r="P507" i="1"/>
  <c r="P865" i="1"/>
  <c r="P856" i="1"/>
  <c r="P545" i="1"/>
  <c r="P525" i="1"/>
  <c r="P467" i="1"/>
  <c r="P449" i="1"/>
  <c r="P442" i="1"/>
  <c r="P426" i="1"/>
  <c r="P400" i="1"/>
  <c r="P395" i="1"/>
  <c r="P368" i="1"/>
  <c r="P363" i="1"/>
  <c r="P338" i="1"/>
  <c r="P304" i="1"/>
  <c r="P291" i="1"/>
  <c r="P860" i="1"/>
  <c r="P666" i="1"/>
  <c r="P577" i="1"/>
  <c r="P569" i="1"/>
  <c r="P548" i="1"/>
  <c r="P528" i="1"/>
  <c r="P434" i="1"/>
  <c r="P430" i="1"/>
  <c r="P414" i="1"/>
  <c r="P409" i="1"/>
  <c r="P357" i="1"/>
  <c r="P332" i="1"/>
  <c r="P325" i="1"/>
  <c r="P318" i="1"/>
  <c r="P311" i="1"/>
  <c r="P298" i="1"/>
  <c r="P264" i="1"/>
  <c r="P772" i="1"/>
  <c r="P516" i="1"/>
  <c r="P510" i="1"/>
  <c r="P776" i="1"/>
  <c r="P767" i="1"/>
  <c r="P734" i="1"/>
  <c r="P670" i="1"/>
  <c r="P502" i="1"/>
  <c r="P446" i="1"/>
  <c r="P435" i="1"/>
  <c r="P419" i="1"/>
  <c r="P410" i="1"/>
  <c r="P840" i="1"/>
  <c r="P602" i="1"/>
  <c r="P519" i="1"/>
  <c r="P493" i="1"/>
  <c r="P443" i="1"/>
  <c r="P810" i="1"/>
  <c r="P689" i="1"/>
  <c r="P674" i="1"/>
  <c r="P641" i="1"/>
  <c r="P805" i="1"/>
  <c r="P606" i="1"/>
  <c r="P844" i="1"/>
  <c r="P645" i="1"/>
  <c r="P570" i="1"/>
  <c r="P549" i="1"/>
  <c r="P496" i="1"/>
  <c r="P487" i="1"/>
  <c r="P465" i="1"/>
  <c r="P447" i="1"/>
  <c r="P779" i="1"/>
  <c r="P746" i="1"/>
  <c r="P818" i="1"/>
  <c r="P741" i="1"/>
  <c r="P712" i="1"/>
  <c r="P827" i="1"/>
  <c r="P837" i="1"/>
  <c r="P773" i="1"/>
  <c r="P629" i="1"/>
  <c r="P466" i="1"/>
  <c r="P420" i="1"/>
  <c r="P397" i="1"/>
  <c r="P359" i="1"/>
  <c r="P349" i="1"/>
  <c r="P343" i="1"/>
  <c r="P317" i="1"/>
  <c r="P307" i="1"/>
  <c r="P295" i="1"/>
  <c r="P290" i="1"/>
  <c r="P285" i="1"/>
  <c r="P274" i="1"/>
  <c r="P268" i="1"/>
  <c r="P248" i="1"/>
  <c r="P235" i="1"/>
  <c r="P475" i="1"/>
  <c r="P463" i="1"/>
  <c r="P457" i="1"/>
  <c r="P413" i="1"/>
  <c r="P405" i="1"/>
  <c r="P389" i="1"/>
  <c r="P333" i="1"/>
  <c r="P312" i="1"/>
  <c r="P280" i="1"/>
  <c r="P255" i="1"/>
  <c r="P242" i="1"/>
  <c r="P208" i="1"/>
  <c r="P492" i="1"/>
  <c r="P478" i="1"/>
  <c r="P472" i="1"/>
  <c r="P454" i="1"/>
  <c r="P451" i="1"/>
  <c r="P448" i="1"/>
  <c r="P355" i="1"/>
  <c r="P344" i="1"/>
  <c r="P328" i="1"/>
  <c r="P323" i="1"/>
  <c r="P308" i="1"/>
  <c r="P262" i="1"/>
  <c r="P249" i="1"/>
  <c r="P236" i="1"/>
  <c r="P229" i="1"/>
  <c r="P222" i="1"/>
  <c r="P215" i="1"/>
  <c r="P202" i="1"/>
  <c r="P737" i="1"/>
  <c r="P440" i="1"/>
  <c r="P437" i="1"/>
  <c r="P433" i="1"/>
  <c r="P421" i="1"/>
  <c r="P381" i="1"/>
  <c r="P373" i="1"/>
  <c r="P365" i="1"/>
  <c r="P360" i="1"/>
  <c r="P350" i="1"/>
  <c r="P339" i="1"/>
  <c r="P313" i="1"/>
  <c r="P296" i="1"/>
  <c r="P286" i="1"/>
  <c r="P275" i="1"/>
  <c r="P256" i="1"/>
  <c r="P243" i="1"/>
  <c r="P783" i="1"/>
  <c r="P716" i="1"/>
  <c r="P664" i="1"/>
  <c r="P552" i="1"/>
  <c r="P424" i="1"/>
  <c r="P398" i="1"/>
  <c r="P334" i="1"/>
  <c r="P302" i="1"/>
  <c r="P281" i="1"/>
  <c r="P269" i="1"/>
  <c r="P250" i="1"/>
  <c r="P814" i="1"/>
  <c r="P461" i="1"/>
  <c r="P406" i="1"/>
  <c r="P390" i="1"/>
  <c r="P351" i="1"/>
  <c r="P329" i="1"/>
  <c r="P287" i="1"/>
  <c r="P276" i="1"/>
  <c r="P251" i="1"/>
  <c r="P217" i="1"/>
  <c r="P204" i="1"/>
  <c r="P197" i="1"/>
  <c r="P658" i="1"/>
  <c r="P527" i="1"/>
  <c r="P455" i="1"/>
  <c r="P418" i="1"/>
  <c r="P382" i="1"/>
  <c r="P374" i="1"/>
  <c r="P366" i="1"/>
  <c r="P361" i="1"/>
  <c r="P346" i="1"/>
  <c r="P792" i="1"/>
  <c r="P560" i="1"/>
  <c r="P501" i="1"/>
  <c r="P482" i="1"/>
  <c r="P452" i="1"/>
  <c r="P428" i="1"/>
  <c r="P407" i="1"/>
  <c r="P399" i="1"/>
  <c r="P352" i="1"/>
  <c r="P341" i="1"/>
  <c r="P335" i="1"/>
  <c r="P315" i="1"/>
  <c r="P415" i="1"/>
  <c r="P412" i="1"/>
  <c r="P383" i="1"/>
  <c r="P375" i="1"/>
  <c r="P367" i="1"/>
  <c r="P600" i="1"/>
  <c r="P533" i="1"/>
  <c r="P491" i="1"/>
  <c r="P769" i="1"/>
  <c r="P520" i="1"/>
  <c r="P515" i="1"/>
  <c r="P460" i="1"/>
  <c r="P13" i="1"/>
  <c r="P21" i="1"/>
  <c r="P29" i="1"/>
  <c r="P37" i="1"/>
  <c r="P45" i="1"/>
  <c r="P53" i="1"/>
  <c r="P61" i="1"/>
  <c r="P69" i="1"/>
  <c r="P89" i="1"/>
  <c r="P92" i="1"/>
  <c r="P95" i="1"/>
  <c r="P104" i="1"/>
  <c r="P111" i="1"/>
  <c r="P124" i="1"/>
  <c r="M130" i="1"/>
  <c r="P168" i="1"/>
  <c r="P179" i="1"/>
  <c r="M196" i="1"/>
  <c r="P257" i="1"/>
  <c r="P261" i="1"/>
  <c r="P289" i="1"/>
  <c r="P297" i="1"/>
  <c r="P314" i="1"/>
  <c r="P321" i="1"/>
  <c r="P331" i="1"/>
  <c r="P438" i="1"/>
  <c r="P591" i="1"/>
  <c r="P596" i="1"/>
  <c r="P98" i="1"/>
  <c r="P101" i="1"/>
  <c r="P117" i="1"/>
  <c r="P130" i="1"/>
  <c r="P137" i="1"/>
  <c r="P144" i="1"/>
  <c r="P150" i="1"/>
  <c r="P173" i="1"/>
  <c r="P185" i="1"/>
  <c r="P191" i="1"/>
  <c r="P196" i="1"/>
  <c r="P211" i="1"/>
  <c r="M215" i="1"/>
  <c r="P245" i="1"/>
  <c r="P253" i="1"/>
  <c r="P265" i="1"/>
  <c r="P272" i="1"/>
  <c r="P279" i="1"/>
  <c r="P324" i="1"/>
  <c r="P347" i="1"/>
  <c r="M365" i="1"/>
  <c r="M399" i="1"/>
  <c r="M493" i="1"/>
  <c r="M519" i="1"/>
  <c r="M577" i="1"/>
  <c r="P72" i="1"/>
  <c r="P110" i="1"/>
  <c r="P123" i="1"/>
  <c r="P155" i="1"/>
  <c r="M172" i="1"/>
  <c r="M178" i="1"/>
  <c r="P200" i="1"/>
  <c r="P220" i="1"/>
  <c r="P225" i="1"/>
  <c r="P233" i="1"/>
  <c r="P237" i="1"/>
  <c r="M275" i="1"/>
  <c r="P293" i="1"/>
  <c r="M339" i="1"/>
  <c r="M383" i="1"/>
  <c r="P391" i="1"/>
  <c r="M452" i="1"/>
  <c r="M671" i="1"/>
  <c r="P708" i="1"/>
  <c r="P750" i="1"/>
  <c r="M416" i="1"/>
  <c r="M429" i="1"/>
  <c r="M499" i="1"/>
  <c r="M523" i="1"/>
  <c r="M625" i="1"/>
  <c r="M692" i="1"/>
  <c r="M837" i="1"/>
  <c r="M563" i="1"/>
  <c r="M570" i="1"/>
  <c r="M362" i="1"/>
  <c r="M379" i="1"/>
  <c r="M387" i="1"/>
  <c r="M391" i="1"/>
  <c r="M750" i="1"/>
  <c r="M319" i="1"/>
  <c r="M487" i="1"/>
  <c r="M663" i="1"/>
  <c r="M720" i="1"/>
  <c r="M351" i="1"/>
  <c r="M390" i="1"/>
  <c r="M223" i="1"/>
  <c r="M263" i="1"/>
  <c r="M324" i="1"/>
  <c r="M356" i="1"/>
  <c r="M461" i="1"/>
  <c r="M424" i="1"/>
  <c r="M443" i="1"/>
  <c r="M552" i="1"/>
  <c r="M638" i="1"/>
  <c r="M716" i="1"/>
  <c r="M783" i="1"/>
  <c r="M788" i="1"/>
  <c r="M793" i="1"/>
  <c r="M381" i="1"/>
  <c r="M430" i="1"/>
  <c r="M633" i="1"/>
  <c r="M649" i="1"/>
  <c r="M448" i="1"/>
  <c r="M472" i="1"/>
  <c r="M478" i="1"/>
  <c r="M492" i="1"/>
  <c r="M518" i="1"/>
  <c r="M583" i="1"/>
  <c r="M255" i="1"/>
  <c r="M413" i="1"/>
  <c r="M469" i="1"/>
  <c r="M475" i="1"/>
  <c r="M554" i="1"/>
  <c r="M712" i="1"/>
  <c r="M290" i="1"/>
  <c r="M295" i="1"/>
  <c r="M317" i="1"/>
  <c r="M343" i="1"/>
  <c r="M359" i="1"/>
  <c r="M420" i="1"/>
  <c r="M629" i="1"/>
  <c r="M784" i="1"/>
  <c r="M279" i="1"/>
  <c r="M327" i="1"/>
  <c r="M439" i="1"/>
  <c r="M445" i="1"/>
  <c r="M494" i="1"/>
  <c r="M520" i="1"/>
  <c r="M566" i="1"/>
  <c r="M645" i="1"/>
  <c r="M681" i="1"/>
  <c r="M648" i="1"/>
  <c r="M754" i="1"/>
  <c r="M852" i="1"/>
  <c r="M861" i="1"/>
  <c r="M609" i="1"/>
  <c r="M658" i="1"/>
  <c r="M697" i="1"/>
  <c r="M731" i="1"/>
  <c r="M769" i="1"/>
  <c r="M779" i="1"/>
  <c r="M591" i="1"/>
  <c r="M596" i="1"/>
  <c r="M664" i="1"/>
  <c r="M693" i="1"/>
  <c r="M708" i="1"/>
  <c r="M727" i="1"/>
  <c r="M814" i="1"/>
  <c r="M431" i="1"/>
  <c r="M471" i="1"/>
  <c r="M699" i="1"/>
  <c r="M704" i="1"/>
  <c r="M805" i="1"/>
  <c r="M641" i="1"/>
  <c r="M674" i="1"/>
  <c r="M689" i="1"/>
  <c r="M537" i="1"/>
  <c r="M592" i="1"/>
  <c r="M660" i="1"/>
  <c r="M679" i="1"/>
  <c r="M840" i="1"/>
  <c r="Z17" i="2"/>
  <c r="Y17" i="2"/>
  <c r="M446" i="1"/>
  <c r="M502" i="1"/>
  <c r="M551" i="1"/>
  <c r="M734" i="1"/>
  <c r="M767" i="1"/>
  <c r="M825" i="1"/>
  <c r="M464" i="1"/>
  <c r="M516" i="1"/>
  <c r="M531" i="1"/>
  <c r="M729" i="1"/>
  <c r="M772" i="1"/>
  <c r="M796" i="1"/>
  <c r="M434" i="1"/>
  <c r="M528" i="1"/>
  <c r="M539" i="1"/>
  <c r="M569" i="1"/>
  <c r="M748" i="1"/>
  <c r="M786" i="1"/>
  <c r="M860" i="1"/>
  <c r="M395" i="1"/>
  <c r="M426" i="1"/>
  <c r="M467" i="1"/>
  <c r="M495" i="1"/>
  <c r="M545" i="1"/>
  <c r="M613" i="1"/>
  <c r="M763" i="1"/>
  <c r="M831" i="1"/>
  <c r="M841" i="1"/>
  <c r="M846" i="1"/>
  <c r="M856" i="1"/>
  <c r="Z14" i="2"/>
  <c r="Z33" i="2"/>
  <c r="Y33" i="2"/>
  <c r="M483" i="1"/>
  <c r="M558" i="1"/>
  <c r="M574" i="1"/>
  <c r="M584" i="1"/>
  <c r="M696" i="1"/>
  <c r="M735" i="1"/>
  <c r="M768" i="1"/>
  <c r="M777" i="1"/>
  <c r="M511" i="1"/>
  <c r="M587" i="1"/>
  <c r="M670" i="1"/>
  <c r="M724" i="1"/>
  <c r="M737" i="1"/>
  <c r="M741" i="1"/>
  <c r="M775" i="1"/>
  <c r="M601" i="1"/>
  <c r="M622" i="1"/>
  <c r="M684" i="1"/>
  <c r="M798" i="1"/>
  <c r="M811" i="1"/>
  <c r="M828" i="1"/>
  <c r="M423" i="1"/>
  <c r="M504" i="1"/>
  <c r="M647" i="1"/>
  <c r="M756" i="1"/>
  <c r="M760" i="1"/>
  <c r="Z42" i="2"/>
  <c r="Y42" i="2"/>
  <c r="M440" i="1"/>
  <c r="M480" i="1"/>
  <c r="M535" i="1"/>
  <c r="M639" i="1"/>
  <c r="M722" i="1"/>
  <c r="Z39" i="2"/>
  <c r="Y39" i="2"/>
  <c r="M463" i="1"/>
  <c r="M527" i="1"/>
  <c r="M606" i="1"/>
  <c r="M807" i="1"/>
  <c r="M503" i="1"/>
  <c r="M575" i="1"/>
  <c r="M594" i="1"/>
  <c r="M644" i="1"/>
  <c r="M656" i="1"/>
  <c r="M795" i="1"/>
  <c r="Z43" i="2"/>
  <c r="Y43" i="2"/>
  <c r="M408" i="1"/>
  <c r="M456" i="1"/>
  <c r="M479" i="1"/>
  <c r="M512" i="1"/>
  <c r="M534" i="1"/>
  <c r="M546" i="1"/>
  <c r="M640" i="1"/>
  <c r="M673" i="1"/>
  <c r="M677" i="1"/>
  <c r="M702" i="1"/>
  <c r="M791" i="1"/>
  <c r="M821" i="1"/>
  <c r="M830" i="1"/>
  <c r="M863" i="1"/>
  <c r="Y16" i="2"/>
  <c r="Y19" i="2"/>
  <c r="M488" i="1"/>
  <c r="M561" i="1"/>
  <c r="M615" i="1"/>
  <c r="M665" i="1"/>
  <c r="M686" i="1"/>
  <c r="M868" i="1"/>
  <c r="M432" i="1"/>
  <c r="M599" i="1"/>
  <c r="M628" i="1"/>
  <c r="M632" i="1"/>
  <c r="M711" i="1"/>
  <c r="M766" i="1"/>
  <c r="Y22" i="2"/>
  <c r="Y25" i="2"/>
  <c r="Z50" i="2"/>
  <c r="Y50" i="2"/>
  <c r="M455" i="1"/>
  <c r="M620" i="1"/>
  <c r="M703" i="1"/>
  <c r="M800" i="1"/>
  <c r="M809" i="1"/>
  <c r="M864" i="1"/>
  <c r="M743" i="1"/>
  <c r="M823" i="1"/>
  <c r="M827" i="1"/>
  <c r="M862" i="1"/>
  <c r="M571" i="1"/>
  <c r="M608" i="1"/>
  <c r="M672" i="1"/>
  <c r="M736" i="1"/>
  <c r="M804" i="1"/>
  <c r="M839" i="1"/>
  <c r="M843" i="1"/>
  <c r="M547" i="1"/>
  <c r="M612" i="1"/>
  <c r="M676" i="1"/>
  <c r="M740" i="1"/>
  <c r="M816" i="1"/>
  <c r="Y53" i="2"/>
  <c r="Y56" i="2"/>
  <c r="M631" i="1"/>
  <c r="M695" i="1"/>
  <c r="M759" i="1"/>
  <c r="M820" i="1"/>
  <c r="M855" i="1"/>
  <c r="M859" i="1"/>
  <c r="M579" i="1"/>
  <c r="M654" i="1"/>
  <c r="M718" i="1"/>
  <c r="M782" i="1"/>
  <c r="M832" i="1"/>
  <c r="M624" i="1"/>
  <c r="M688" i="1"/>
  <c r="M752" i="1"/>
  <c r="M836" i="1"/>
  <c r="Z54" i="2"/>
  <c r="Y54" i="2"/>
  <c r="Y15" i="2"/>
  <c r="Y23" i="2"/>
  <c r="Y37" i="2"/>
  <c r="Z46" i="2"/>
  <c r="Y46" i="2"/>
  <c r="BL150" i="1" l="1"/>
  <c r="BL419" i="1"/>
  <c r="BL562" i="1"/>
  <c r="BL148" i="1"/>
  <c r="BL583" i="1"/>
  <c r="BL430" i="1"/>
  <c r="BL188" i="1"/>
  <c r="BL64" i="1"/>
  <c r="BL203" i="1"/>
  <c r="BL534" i="1"/>
  <c r="BL282" i="1"/>
  <c r="BL379" i="1"/>
  <c r="BL556" i="1"/>
  <c r="BL306" i="1"/>
  <c r="BL564" i="1"/>
  <c r="BL314" i="1"/>
  <c r="BL244" i="1"/>
  <c r="BL166" i="1"/>
  <c r="BL264" i="1"/>
  <c r="BL495" i="1"/>
  <c r="BL501" i="1"/>
  <c r="BL182" i="1"/>
  <c r="BL310" i="1"/>
  <c r="BL262" i="1"/>
  <c r="BL578" i="1"/>
  <c r="BL165" i="1"/>
  <c r="BL350" i="1"/>
  <c r="BL355" i="1"/>
  <c r="BL522" i="1"/>
  <c r="BL225" i="1"/>
  <c r="BL471" i="1"/>
  <c r="BL318" i="1"/>
  <c r="BL433" i="1"/>
  <c r="BL475" i="1"/>
  <c r="BL376" i="1"/>
  <c r="BL194" i="1"/>
  <c r="BL213" i="1"/>
  <c r="BL127" i="1"/>
  <c r="BL384" i="1"/>
  <c r="BL572" i="1"/>
  <c r="BL371" i="1"/>
  <c r="BL510" i="1"/>
  <c r="BL581" i="1"/>
  <c r="BL427" i="1"/>
  <c r="BL436" i="1"/>
  <c r="BL454" i="1"/>
  <c r="BL432" i="1"/>
  <c r="BL256" i="1"/>
  <c r="BL389" i="1"/>
  <c r="BL326" i="1"/>
  <c r="BL151" i="1"/>
  <c r="BL506" i="1"/>
  <c r="BL181" i="1"/>
  <c r="BL132" i="1"/>
  <c r="BL390" i="1"/>
  <c r="BL154" i="1"/>
  <c r="BL263" i="1"/>
  <c r="BL319" i="1"/>
  <c r="BL538" i="1"/>
  <c r="BL266" i="1"/>
  <c r="BL486" i="1"/>
  <c r="BL250" i="1"/>
  <c r="BL406" i="1"/>
  <c r="BL345" i="1"/>
  <c r="BL254" i="1"/>
  <c r="BL193" i="1"/>
  <c r="BL408" i="1"/>
  <c r="BL498" i="1"/>
  <c r="BL309" i="1"/>
  <c r="BL589" i="1"/>
  <c r="BL426" i="1"/>
  <c r="BL481" i="1"/>
  <c r="BL555" i="1"/>
  <c r="BL493" i="1"/>
  <c r="BL103" i="1"/>
  <c r="BL440" i="1"/>
  <c r="BL507" i="1"/>
  <c r="BL284" i="1"/>
  <c r="BL478" i="1"/>
  <c r="BL508" i="1"/>
  <c r="BL537" i="1"/>
  <c r="BL202" i="1"/>
  <c r="BL373" i="1"/>
  <c r="BL281" i="1"/>
  <c r="BL56" i="1"/>
  <c r="BL187" i="1"/>
  <c r="BL416" i="1"/>
  <c r="BL227" i="1"/>
  <c r="BL283" i="1"/>
  <c r="BL462" i="1"/>
  <c r="BL368" i="1"/>
  <c r="BL580" i="1"/>
  <c r="BL515" i="1"/>
  <c r="BL514" i="1"/>
  <c r="BL292" i="1"/>
  <c r="BL195" i="1"/>
  <c r="BL52" i="1"/>
  <c r="BL71" i="1"/>
  <c r="BL247" i="1"/>
  <c r="BL243" i="1"/>
  <c r="BL342" i="1"/>
  <c r="BL133" i="1"/>
  <c r="BL346" i="1"/>
  <c r="BL546" i="1"/>
  <c r="BL573" i="1"/>
  <c r="BL563" i="1"/>
  <c r="BL398" i="1"/>
  <c r="BL312" i="1"/>
  <c r="BL575" i="1"/>
  <c r="BL158" i="1"/>
  <c r="BL330" i="1"/>
  <c r="BL140" i="1"/>
  <c r="BL169" i="1"/>
  <c r="BL358" i="1"/>
  <c r="BL383" i="1"/>
  <c r="BL198" i="1"/>
  <c r="BL347" i="1"/>
  <c r="BL238" i="1"/>
  <c r="BL352" i="1"/>
  <c r="BL503" i="1"/>
  <c r="BL567" i="1"/>
  <c r="BL519" i="1"/>
  <c r="BL459" i="1"/>
  <c r="BL469" i="1"/>
  <c r="BL397" i="1"/>
  <c r="BL385" i="1"/>
  <c r="BL177" i="1"/>
  <c r="BL363" i="1"/>
  <c r="BL415" i="1"/>
  <c r="BL205" i="1"/>
  <c r="BL245" i="1"/>
  <c r="BL399" i="1"/>
  <c r="BL446" i="1"/>
  <c r="BL557" i="1"/>
  <c r="BL447" i="1"/>
  <c r="BL455" i="1"/>
  <c r="BL465" i="1"/>
  <c r="BL528" i="1"/>
  <c r="BL464" i="1"/>
  <c r="BL388" i="1"/>
  <c r="BL547" i="1"/>
  <c r="BL582" i="1"/>
  <c r="BL477" i="1"/>
  <c r="BL568" i="1"/>
  <c r="BL79" i="1"/>
  <c r="BL588" i="1"/>
  <c r="BL321" i="1"/>
  <c r="BL554" i="1"/>
  <c r="BL485" i="1"/>
  <c r="BL87" i="1"/>
  <c r="BL191" i="1"/>
  <c r="BL484" i="1"/>
  <c r="BL45" i="1"/>
  <c r="BL295" i="1"/>
  <c r="BL393" i="1"/>
  <c r="BL338" i="1"/>
  <c r="BL235" i="1"/>
  <c r="BL521" i="1"/>
  <c r="BL337" i="1"/>
  <c r="BL435" i="1"/>
  <c r="BL576" i="1"/>
  <c r="BL509" i="1"/>
  <c r="BL466" i="1"/>
  <c r="BL361" i="1"/>
  <c r="BL434" i="1"/>
  <c r="BL222" i="1"/>
  <c r="BL135" i="1"/>
  <c r="BL431" i="1"/>
  <c r="BL366" i="1"/>
  <c r="BL392" i="1"/>
  <c r="BL539" i="1"/>
  <c r="BL532" i="1"/>
  <c r="BL173" i="1"/>
  <c r="BL323" i="1"/>
  <c r="BL233" i="1"/>
  <c r="BL542" i="1"/>
  <c r="BL232" i="1"/>
  <c r="BL209" i="1"/>
  <c r="BL219" i="1"/>
  <c r="BL259" i="1"/>
  <c r="BL457" i="1"/>
  <c r="BL98" i="1"/>
  <c r="BL302" i="1"/>
  <c r="BL479" i="1"/>
  <c r="BL374" i="1"/>
  <c r="BL530" i="1"/>
  <c r="BL334" i="1"/>
  <c r="BL421" i="1"/>
  <c r="BL585" i="1"/>
  <c r="BL215" i="1"/>
  <c r="BL512" i="1"/>
  <c r="BL141" i="1"/>
  <c r="BL329" i="1"/>
  <c r="BL106" i="1"/>
  <c r="BL274" i="1"/>
  <c r="BL341" i="1"/>
  <c r="BL533" i="1"/>
  <c r="BL586" i="1"/>
  <c r="BL559" i="1"/>
  <c r="BL116" i="1"/>
  <c r="BL248" i="1"/>
  <c r="BL449" i="1"/>
  <c r="BL497" i="1"/>
  <c r="BL499" i="1"/>
  <c r="BL304" i="1"/>
  <c r="BL104" i="1"/>
  <c r="L22" i="5"/>
  <c r="H22" i="5"/>
  <c r="G22" i="5"/>
  <c r="BL208" i="1"/>
  <c r="BL253" i="1"/>
  <c r="BL76" i="1"/>
  <c r="BL420" i="1"/>
  <c r="BL252" i="1"/>
  <c r="BL380" i="1"/>
  <c r="BL476" i="1"/>
  <c r="BL560" i="1"/>
  <c r="BL95" i="1"/>
  <c r="AB24" i="5" a="1"/>
  <c r="AB24" i="5" s="1"/>
  <c r="AD24" i="5" s="1" a="1"/>
  <c r="AD24" i="5" s="1"/>
  <c r="AA24" i="5" a="1"/>
  <c r="AA24" i="5" s="1"/>
  <c r="AC24" i="5" s="1" a="1"/>
  <c r="AC24" i="5" s="1"/>
  <c r="CE12" i="6" a="1"/>
  <c r="CE12" i="6" s="1"/>
  <c r="CD12" i="6"/>
  <c r="CC12" i="6" a="1"/>
  <c r="CC12" i="6" s="1"/>
  <c r="CB12" i="6"/>
  <c r="CA12" i="6"/>
  <c r="BZ12" i="6"/>
  <c r="BY12" i="6"/>
  <c r="BX12" i="6"/>
  <c r="CH12" i="6" a="1"/>
  <c r="CH12" i="6" s="1"/>
  <c r="CG12" i="6"/>
  <c r="BW12" i="6"/>
  <c r="BV12" i="6"/>
  <c r="CP13" i="6"/>
  <c r="CO13" i="6"/>
  <c r="CN13" i="6"/>
  <c r="CM13" i="6"/>
  <c r="CL13" i="6"/>
  <c r="CK13" i="6"/>
  <c r="CW13" i="6" a="1"/>
  <c r="CW13" i="6" s="1"/>
  <c r="CV13" i="6"/>
  <c r="CQ13" i="6"/>
  <c r="CS13" i="6"/>
  <c r="CR13" i="6" a="1"/>
  <c r="CR13" i="6" s="1"/>
  <c r="CT13" i="6" a="1"/>
  <c r="CT13" i="6" s="1"/>
  <c r="CH11" i="6" a="1"/>
  <c r="CH11" i="6" s="1"/>
  <c r="CG11" i="6"/>
  <c r="CE11" i="6" a="1"/>
  <c r="CE11" i="6" s="1"/>
  <c r="CD11" i="6"/>
  <c r="CC11" i="6" a="1"/>
  <c r="CC11" i="6" s="1"/>
  <c r="CB11" i="6"/>
  <c r="BV11" i="6"/>
  <c r="CA11" i="6"/>
  <c r="BZ11" i="6"/>
  <c r="BY11" i="6"/>
  <c r="BX11" i="6"/>
  <c r="BW11" i="6"/>
  <c r="BL489" i="1"/>
  <c r="BL164" i="1"/>
  <c r="BL185" i="1"/>
  <c r="BL357" i="1"/>
  <c r="BL303" i="1"/>
  <c r="BL505" i="1"/>
  <c r="BL396" i="1"/>
  <c r="BL565" i="1"/>
  <c r="BL492" i="1"/>
  <c r="BL67" i="1"/>
  <c r="BL278" i="1"/>
  <c r="BL305" i="1"/>
  <c r="CV15" i="6"/>
  <c r="CT15" i="6" a="1"/>
  <c r="CT15" i="6" s="1"/>
  <c r="CS15" i="6"/>
  <c r="CR15" i="6" a="1"/>
  <c r="CR15" i="6" s="1"/>
  <c r="CQ15" i="6"/>
  <c r="CP15" i="6"/>
  <c r="CO15" i="6"/>
  <c r="CW15" i="6" a="1"/>
  <c r="CW15" i="6" s="1"/>
  <c r="CN15" i="6"/>
  <c r="CM15" i="6"/>
  <c r="CL15" i="6"/>
  <c r="CK15" i="6"/>
  <c r="BL14" i="6"/>
  <c r="BK14" i="6"/>
  <c r="BJ14" i="6"/>
  <c r="BI14" i="6"/>
  <c r="BH14" i="6"/>
  <c r="BG14" i="6"/>
  <c r="BS14" i="6" a="1"/>
  <c r="BS14" i="6" s="1"/>
  <c r="BR14" i="6"/>
  <c r="BM14" i="6"/>
  <c r="BP14" i="6" a="1"/>
  <c r="BP14" i="6" s="1"/>
  <c r="BO14" i="6"/>
  <c r="BN14" i="6" a="1"/>
  <c r="BN14" i="6" s="1"/>
  <c r="BQ14" i="6" s="1"/>
  <c r="BD12" i="6" a="1"/>
  <c r="BD12" i="6" s="1"/>
  <c r="BC12" i="6"/>
  <c r="BA12" i="6" a="1"/>
  <c r="BA12" i="6" s="1"/>
  <c r="AZ12" i="6"/>
  <c r="AY12" i="6" a="1"/>
  <c r="AY12" i="6" s="1"/>
  <c r="BB12" i="6" s="1"/>
  <c r="AX12" i="6"/>
  <c r="AR12" i="6"/>
  <c r="AW12" i="6"/>
  <c r="AV12" i="6"/>
  <c r="AU12" i="6"/>
  <c r="AT12" i="6"/>
  <c r="AS12" i="6"/>
  <c r="BL251" i="1"/>
  <c r="BL170" i="1"/>
  <c r="BL176" i="1"/>
  <c r="BL322" i="1"/>
  <c r="BL354" i="1"/>
  <c r="BL362" i="1"/>
  <c r="BL566" i="1"/>
  <c r="BL404" i="1"/>
  <c r="BL579" i="1"/>
  <c r="BL500" i="1"/>
  <c r="BL584" i="1"/>
  <c r="BL59" i="1"/>
  <c r="BL83" i="1"/>
  <c r="BL192" i="1"/>
  <c r="BL29" i="1"/>
  <c r="BL402" i="1"/>
  <c r="BL255" i="1"/>
  <c r="CH15" i="6" a="1"/>
  <c r="CH15" i="6" s="1"/>
  <c r="CG15" i="6"/>
  <c r="CE15" i="6" a="1"/>
  <c r="CE15" i="6" s="1"/>
  <c r="CD15" i="6"/>
  <c r="CC15" i="6" a="1"/>
  <c r="CC15" i="6" s="1"/>
  <c r="CF15" i="6" s="1"/>
  <c r="CB15" i="6"/>
  <c r="BV15" i="6"/>
  <c r="CA15" i="6"/>
  <c r="BZ15" i="6"/>
  <c r="BY15" i="6"/>
  <c r="BX15" i="6"/>
  <c r="BW15" i="6"/>
  <c r="BL496" i="1"/>
  <c r="BL369" i="1"/>
  <c r="BL403" i="1"/>
  <c r="BL423" i="1"/>
  <c r="BL494" i="1"/>
  <c r="BL517" i="1"/>
  <c r="BL524" i="1"/>
  <c r="BL553" i="1"/>
  <c r="BL63" i="1"/>
  <c r="BA9" i="6" a="1"/>
  <c r="BA9" i="6" s="1"/>
  <c r="AZ9" i="6"/>
  <c r="AY9" i="6" a="1"/>
  <c r="AY9" i="6" s="1"/>
  <c r="BB9" i="6" s="1"/>
  <c r="AX9" i="6"/>
  <c r="AW9" i="6"/>
  <c r="AV9" i="6"/>
  <c r="AU9" i="6"/>
  <c r="AT9" i="6"/>
  <c r="AR9" i="6"/>
  <c r="BD9" i="6" a="1"/>
  <c r="BD9" i="6" s="1"/>
  <c r="AS9" i="6"/>
  <c r="BC9" i="6"/>
  <c r="AU11" i="6"/>
  <c r="AT11" i="6"/>
  <c r="AS11" i="6"/>
  <c r="AR11" i="6"/>
  <c r="BD11" i="6" a="1"/>
  <c r="BD11" i="6" s="1"/>
  <c r="BC11" i="6"/>
  <c r="BA11" i="6" a="1"/>
  <c r="BA11" i="6" s="1"/>
  <c r="AV11" i="6"/>
  <c r="AX11" i="6"/>
  <c r="AW11" i="6"/>
  <c r="AY11" i="6" a="1"/>
  <c r="AY11" i="6" s="1"/>
  <c r="BB11" i="6" s="1"/>
  <c r="AZ11" i="6"/>
  <c r="BL72" i="1"/>
  <c r="BL450" i="1"/>
  <c r="BL387" i="1"/>
  <c r="BL425" i="1"/>
  <c r="BL293" i="1"/>
  <c r="BL574" i="1"/>
  <c r="BL548" i="1"/>
  <c r="BL308" i="1"/>
  <c r="BL502" i="1"/>
  <c r="BL525" i="1"/>
  <c r="BL531" i="1"/>
  <c r="BL561" i="1"/>
  <c r="BL162" i="1"/>
  <c r="CS12" i="6"/>
  <c r="CR12" i="6" a="1"/>
  <c r="CR12" i="6" s="1"/>
  <c r="CU12" i="6" s="1"/>
  <c r="CQ12" i="6"/>
  <c r="CP12" i="6"/>
  <c r="CO12" i="6"/>
  <c r="CN12" i="6"/>
  <c r="CM12" i="6"/>
  <c r="CL12" i="6"/>
  <c r="CK12" i="6"/>
  <c r="CT12" i="6" a="1"/>
  <c r="CT12" i="6" s="1"/>
  <c r="CW12" i="6" a="1"/>
  <c r="CW12" i="6" s="1"/>
  <c r="CV12" i="6"/>
  <c r="BY14" i="6"/>
  <c r="BX14" i="6"/>
  <c r="BW14" i="6"/>
  <c r="BV14" i="6"/>
  <c r="CH14" i="6" a="1"/>
  <c r="CH14" i="6" s="1"/>
  <c r="CG14" i="6"/>
  <c r="CE14" i="6" a="1"/>
  <c r="CE14" i="6" s="1"/>
  <c r="BZ14" i="6"/>
  <c r="CD14" i="6"/>
  <c r="CC14" i="6" a="1"/>
  <c r="CC14" i="6" s="1"/>
  <c r="CF14" i="6" s="1"/>
  <c r="CB14" i="6"/>
  <c r="CA14" i="6"/>
  <c r="BL417" i="1"/>
  <c r="BL339" i="1"/>
  <c r="CV11" i="6"/>
  <c r="CT11" i="6" a="1"/>
  <c r="CT11" i="6" s="1"/>
  <c r="CS11" i="6"/>
  <c r="CR11" i="6" a="1"/>
  <c r="CR11" i="6" s="1"/>
  <c r="CQ11" i="6"/>
  <c r="CP11" i="6"/>
  <c r="CO11" i="6"/>
  <c r="CM11" i="6"/>
  <c r="CL11" i="6"/>
  <c r="CK11" i="6"/>
  <c r="CW11" i="6" a="1"/>
  <c r="CW11" i="6" s="1"/>
  <c r="CN11" i="6"/>
  <c r="BL199" i="1"/>
  <c r="BL75" i="1"/>
  <c r="BL456" i="1"/>
  <c r="BL391" i="1"/>
  <c r="BL298" i="1"/>
  <c r="BL224" i="1"/>
  <c r="BL587" i="1"/>
  <c r="BL467" i="1"/>
  <c r="BL316" i="1"/>
  <c r="BL405" i="1"/>
  <c r="BL569" i="1"/>
  <c r="AU15" i="6"/>
  <c r="AT15" i="6"/>
  <c r="AS15" i="6"/>
  <c r="AR15" i="6"/>
  <c r="BD15" i="6" a="1"/>
  <c r="BD15" i="6" s="1"/>
  <c r="BC15" i="6"/>
  <c r="BA15" i="6" a="1"/>
  <c r="BA15" i="6" s="1"/>
  <c r="AV15" i="6"/>
  <c r="AZ15" i="6"/>
  <c r="AY15" i="6" a="1"/>
  <c r="AY15" i="6" s="1"/>
  <c r="AX15" i="6"/>
  <c r="AW15" i="6"/>
  <c r="BL242" i="1"/>
  <c r="BL351" i="1"/>
  <c r="BL474" i="1"/>
  <c r="BL331" i="1"/>
  <c r="BL265" i="1"/>
  <c r="BL395" i="1"/>
  <c r="BL277" i="1"/>
  <c r="BL473" i="1"/>
  <c r="BL315" i="1"/>
  <c r="BL370" i="1"/>
  <c r="BL327" i="1"/>
  <c r="BL400" i="1"/>
  <c r="BL472" i="1"/>
  <c r="BL487" i="1"/>
  <c r="BL196" i="1"/>
  <c r="BL518" i="1"/>
  <c r="BL413" i="1"/>
  <c r="BL550" i="1"/>
  <c r="BL577" i="1"/>
  <c r="BL286" i="1"/>
  <c r="BL296" i="1"/>
  <c r="X28" i="5"/>
  <c r="Y27" i="5" a="1"/>
  <c r="Y27" i="5" s="1"/>
  <c r="Z27" i="5" s="1" a="1"/>
  <c r="Z27" i="5" s="1"/>
  <c r="BL223" i="1"/>
  <c r="BL336" i="1"/>
  <c r="BL271" i="1"/>
  <c r="BL407" i="1"/>
  <c r="BL483" i="1"/>
  <c r="BL411" i="1"/>
  <c r="BL204" i="1"/>
  <c r="BL332" i="1"/>
  <c r="BL526" i="1"/>
  <c r="BL428" i="1"/>
  <c r="BL549" i="1"/>
  <c r="BL123" i="1"/>
  <c r="BL136" i="1"/>
  <c r="BL279" i="1"/>
  <c r="AA26" i="5" a="1"/>
  <c r="AA26" i="5" s="1"/>
  <c r="AC26" i="5" s="1" a="1"/>
  <c r="AC26" i="5" s="1"/>
  <c r="BL101" i="1"/>
  <c r="BL290" i="1"/>
  <c r="BL448" i="1"/>
  <c r="BL422" i="1"/>
  <c r="BL159" i="1"/>
  <c r="BL378" i="1"/>
  <c r="BL541" i="1"/>
  <c r="BL414" i="1"/>
  <c r="BL412" i="1"/>
  <c r="BL212" i="1"/>
  <c r="BL340" i="1"/>
  <c r="BL470" i="1"/>
  <c r="BL429" i="1"/>
  <c r="BL401" i="1"/>
  <c r="AX10" i="6"/>
  <c r="AW10" i="6"/>
  <c r="AV10" i="6"/>
  <c r="AU10" i="6"/>
  <c r="AT10" i="6"/>
  <c r="AS10" i="6"/>
  <c r="AR10" i="6"/>
  <c r="BD10" i="6" a="1"/>
  <c r="BD10" i="6" s="1"/>
  <c r="AY10" i="6" a="1"/>
  <c r="AY10" i="6" s="1"/>
  <c r="AZ10" i="6"/>
  <c r="BC10" i="6"/>
  <c r="BA10" i="6" a="1"/>
  <c r="BA10" i="6" s="1"/>
  <c r="F25" i="5"/>
  <c r="BA13" i="6" a="1"/>
  <c r="BA13" i="6" s="1"/>
  <c r="AZ13" i="6"/>
  <c r="AY13" i="6" a="1"/>
  <c r="AY13" i="6" s="1"/>
  <c r="BB13" i="6" s="1"/>
  <c r="AX13" i="6"/>
  <c r="AW13" i="6"/>
  <c r="AV13" i="6"/>
  <c r="AU13" i="6"/>
  <c r="AT13" i="6"/>
  <c r="BC13" i="6"/>
  <c r="AS13" i="6"/>
  <c r="AR13" i="6"/>
  <c r="BD13" i="6" a="1"/>
  <c r="BD13" i="6" s="1"/>
  <c r="BL545" i="1"/>
  <c r="BL333" i="1"/>
  <c r="BL343" i="1"/>
  <c r="BL114" i="1"/>
  <c r="BL147" i="1"/>
  <c r="BL113" i="1"/>
  <c r="BL480" i="1"/>
  <c r="BL288" i="1"/>
  <c r="BL258" i="1"/>
  <c r="BL382" i="1"/>
  <c r="BL571" i="1"/>
  <c r="BL458" i="1"/>
  <c r="BL353" i="1"/>
  <c r="BL513" i="1"/>
  <c r="BL520" i="1"/>
  <c r="BL220" i="1"/>
  <c r="BL348" i="1"/>
  <c r="BL490" i="1"/>
  <c r="BL437" i="1"/>
  <c r="BL590" i="1"/>
  <c r="BL444" i="1"/>
  <c r="BL124" i="1"/>
  <c r="BL214" i="1"/>
  <c r="CB13" i="6"/>
  <c r="CA13" i="6"/>
  <c r="BZ13" i="6"/>
  <c r="BY13" i="6"/>
  <c r="BX13" i="6"/>
  <c r="BW13" i="6"/>
  <c r="BV13" i="6"/>
  <c r="CH13" i="6" a="1"/>
  <c r="CH13" i="6" s="1"/>
  <c r="CC13" i="6" a="1"/>
  <c r="CC13" i="6" s="1"/>
  <c r="CG13" i="6"/>
  <c r="CE13" i="6" a="1"/>
  <c r="CE13" i="6" s="1"/>
  <c r="CD13" i="6"/>
  <c r="AB25" i="5" a="1"/>
  <c r="AB25" i="5" s="1"/>
  <c r="AD25" i="5" s="1" a="1"/>
  <c r="AD25" i="5" s="1"/>
  <c r="BL570" i="1"/>
  <c r="BL516" i="1"/>
  <c r="BL121" i="1"/>
  <c r="BL267" i="1"/>
  <c r="BL134" i="1"/>
  <c r="BL120" i="1"/>
  <c r="BL488" i="1"/>
  <c r="BL558" i="1"/>
  <c r="BL289" i="1"/>
  <c r="BL367" i="1"/>
  <c r="BL299" i="1"/>
  <c r="BL320" i="1"/>
  <c r="BL218" i="1"/>
  <c r="BL335" i="1"/>
  <c r="BL386" i="1"/>
  <c r="BL451" i="1"/>
  <c r="BL287" i="1"/>
  <c r="BL359" i="1"/>
  <c r="BL535" i="1"/>
  <c r="BL511" i="1"/>
  <c r="BL529" i="1"/>
  <c r="BL424" i="1"/>
  <c r="BL491" i="1"/>
  <c r="BL228" i="1"/>
  <c r="BL356" i="1"/>
  <c r="BL551" i="1"/>
  <c r="BL445" i="1"/>
  <c r="BL452" i="1"/>
  <c r="BL536" i="1"/>
  <c r="BL108" i="1"/>
  <c r="BL91" i="1"/>
  <c r="BL229" i="1"/>
  <c r="BO13" i="6"/>
  <c r="BN13" i="6" a="1"/>
  <c r="BN13" i="6" s="1"/>
  <c r="BQ13" i="6" s="1"/>
  <c r="BM13" i="6"/>
  <c r="BL13" i="6"/>
  <c r="BK13" i="6"/>
  <c r="BJ13" i="6"/>
  <c r="BI13" i="6"/>
  <c r="BH13" i="6"/>
  <c r="BG13" i="6"/>
  <c r="BS13" i="6" a="1"/>
  <c r="BS13" i="6" s="1"/>
  <c r="BR13" i="6"/>
  <c r="BP13" i="6" a="1"/>
  <c r="BP13" i="6" s="1"/>
  <c r="AX14" i="6"/>
  <c r="AW14" i="6"/>
  <c r="AV14" i="6"/>
  <c r="AU14" i="6"/>
  <c r="AT14" i="6"/>
  <c r="AS14" i="6"/>
  <c r="AR14" i="6"/>
  <c r="BD14" i="6" a="1"/>
  <c r="BD14" i="6" s="1"/>
  <c r="AY14" i="6" a="1"/>
  <c r="AY14" i="6" s="1"/>
  <c r="BA14" i="6" a="1"/>
  <c r="BA14" i="6" s="1"/>
  <c r="AZ14" i="6"/>
  <c r="BC14" i="6"/>
  <c r="CL14" i="6"/>
  <c r="CK14" i="6"/>
  <c r="CW14" i="6" a="1"/>
  <c r="CW14" i="6" s="1"/>
  <c r="CV14" i="6"/>
  <c r="CT14" i="6" a="1"/>
  <c r="CT14" i="6" s="1"/>
  <c r="CS14" i="6"/>
  <c r="CR14" i="6" a="1"/>
  <c r="CR14" i="6" s="1"/>
  <c r="CM14" i="6"/>
  <c r="CQ14" i="6"/>
  <c r="CP14" i="6"/>
  <c r="CO14" i="6"/>
  <c r="CN14" i="6"/>
  <c r="BL328" i="1"/>
  <c r="BL128" i="1"/>
  <c r="BL439" i="1"/>
  <c r="BL394" i="1"/>
  <c r="BL153" i="1"/>
  <c r="BL239" i="1"/>
  <c r="BL183" i="1"/>
  <c r="BL325" i="1"/>
  <c r="BL270" i="1"/>
  <c r="BL527" i="1"/>
  <c r="BL294" i="1"/>
  <c r="BL543" i="1"/>
  <c r="BL540" i="1"/>
  <c r="BL442" i="1"/>
  <c r="BL441" i="1"/>
  <c r="BL236" i="1"/>
  <c r="BL364" i="1"/>
  <c r="BL504" i="1"/>
  <c r="BL453" i="1"/>
  <c r="BL460" i="1"/>
  <c r="BL544" i="1"/>
  <c r="BL226" i="1"/>
  <c r="BR12" i="6"/>
  <c r="BP12" i="6" a="1"/>
  <c r="BP12" i="6" s="1"/>
  <c r="BO12" i="6"/>
  <c r="BN12" i="6" a="1"/>
  <c r="BN12" i="6" s="1"/>
  <c r="BM12" i="6"/>
  <c r="BL12" i="6"/>
  <c r="BK12" i="6"/>
  <c r="BS12" i="6" a="1"/>
  <c r="BS12" i="6" s="1"/>
  <c r="BI12" i="6"/>
  <c r="BG12" i="6"/>
  <c r="BJ12" i="6"/>
  <c r="BH12" i="6"/>
  <c r="BH15" i="6"/>
  <c r="BG15" i="6"/>
  <c r="BS15" i="6" a="1"/>
  <c r="BS15" i="6" s="1"/>
  <c r="BR15" i="6"/>
  <c r="BP15" i="6" a="1"/>
  <c r="BP15" i="6" s="1"/>
  <c r="BO15" i="6"/>
  <c r="BN15" i="6" a="1"/>
  <c r="BN15" i="6" s="1"/>
  <c r="BI15" i="6"/>
  <c r="BJ15" i="6"/>
  <c r="BM15" i="6"/>
  <c r="BK15" i="6"/>
  <c r="BL15" i="6"/>
  <c r="AB20" i="5" a="1"/>
  <c r="AB20" i="5" s="1"/>
  <c r="AD20" i="5" s="1" a="1"/>
  <c r="AD20" i="5" s="1"/>
  <c r="F20" i="5" s="1"/>
  <c r="BL260" i="1"/>
  <c r="BL317" i="1"/>
  <c r="BL349" i="1"/>
  <c r="BL291" i="1"/>
  <c r="BL463" i="1"/>
  <c r="BL246" i="1"/>
  <c r="BL375" i="1"/>
  <c r="BL231" i="1"/>
  <c r="BL418" i="1"/>
  <c r="BL301" i="1"/>
  <c r="BL523" i="1"/>
  <c r="BL438" i="1"/>
  <c r="BL372" i="1"/>
  <c r="BL461" i="1"/>
  <c r="BL468" i="1"/>
  <c r="BL552" i="1"/>
  <c r="BL102" i="1"/>
  <c r="BL241" i="1"/>
  <c r="BL171" i="1"/>
  <c r="AA21" i="5" a="1"/>
  <c r="AA21" i="5" s="1"/>
  <c r="AC21" i="5" s="1" a="1"/>
  <c r="AC21" i="5" s="1"/>
  <c r="F23" i="5"/>
  <c r="CU15" i="6" l="1"/>
  <c r="CF12" i="6"/>
  <c r="CF11" i="6"/>
  <c r="BB10" i="6"/>
  <c r="BB14" i="6"/>
  <c r="BQ12" i="6"/>
  <c r="CF13" i="6"/>
  <c r="CU13" i="6"/>
  <c r="BQ15" i="6"/>
  <c r="BB15" i="6"/>
  <c r="CU14" i="6"/>
  <c r="CU11" i="6"/>
  <c r="H20" i="5"/>
  <c r="L20" i="5"/>
  <c r="G20" i="5"/>
  <c r="AA27" i="5" a="1"/>
  <c r="AA27" i="5" s="1"/>
  <c r="AC27" i="5" s="1" a="1"/>
  <c r="AC27" i="5" s="1"/>
  <c r="AB21" i="5" a="1"/>
  <c r="AB21" i="5" s="1"/>
  <c r="AD21" i="5" s="1" a="1"/>
  <c r="AD21" i="5" s="1"/>
  <c r="F21" i="5" s="1"/>
  <c r="AB26" i="5" a="1"/>
  <c r="AB26" i="5" s="1"/>
  <c r="AD26" i="5" s="1" a="1"/>
  <c r="AD26" i="5" s="1"/>
  <c r="F26" i="5" s="1"/>
  <c r="L25" i="5"/>
  <c r="H25" i="5"/>
  <c r="G25" i="5"/>
  <c r="F24" i="5"/>
  <c r="H23" i="5"/>
  <c r="G23" i="5"/>
  <c r="L23" i="5"/>
  <c r="Y28" i="5" a="1"/>
  <c r="Y28" i="5" s="1"/>
  <c r="Z28" i="5" s="1" a="1"/>
  <c r="Z28" i="5" s="1"/>
  <c r="X29" i="5"/>
  <c r="T22" i="5"/>
  <c r="P22" i="5"/>
  <c r="G26" i="5" l="1"/>
  <c r="H26" i="5"/>
  <c r="L26" i="5"/>
  <c r="H21" i="5"/>
  <c r="L21" i="5"/>
  <c r="G21" i="5"/>
  <c r="AA28" i="5" a="1"/>
  <c r="AA28" i="5" s="1"/>
  <c r="AC28" i="5" s="1" a="1"/>
  <c r="AC28" i="5" s="1"/>
  <c r="T23" i="5"/>
  <c r="P23" i="5"/>
  <c r="G24" i="5"/>
  <c r="H24" i="5"/>
  <c r="L24" i="5"/>
  <c r="P20" i="5"/>
  <c r="T20" i="5"/>
  <c r="T25" i="5"/>
  <c r="P25" i="5"/>
  <c r="AB27" i="5" a="1"/>
  <c r="AB27" i="5" s="1"/>
  <c r="AD27" i="5" s="1" a="1"/>
  <c r="AD27" i="5" s="1"/>
  <c r="F27" i="5" s="1"/>
  <c r="S22" i="5"/>
  <c r="R22" i="5"/>
  <c r="Q22" i="5"/>
  <c r="X30" i="5"/>
  <c r="Y29" i="5" a="1"/>
  <c r="Y29" i="5" s="1"/>
  <c r="Z29" i="5" s="1" a="1"/>
  <c r="Z29" i="5" s="1"/>
  <c r="L27" i="5" l="1"/>
  <c r="H27" i="5"/>
  <c r="G27" i="5"/>
  <c r="Q20" i="5"/>
  <c r="S20" i="5"/>
  <c r="R20" i="5"/>
  <c r="P24" i="5"/>
  <c r="T24" i="5"/>
  <c r="S23" i="5"/>
  <c r="R23" i="5"/>
  <c r="Q23" i="5"/>
  <c r="AB28" i="5" a="1"/>
  <c r="AB28" i="5" s="1"/>
  <c r="AD28" i="5" s="1" a="1"/>
  <c r="AD28" i="5" s="1"/>
  <c r="F28" i="5" s="1"/>
  <c r="AA29" i="5" a="1"/>
  <c r="AA29" i="5" s="1"/>
  <c r="AC29" i="5" s="1" a="1"/>
  <c r="AC29" i="5" s="1"/>
  <c r="AB29" i="5" a="1"/>
  <c r="AB29" i="5" s="1"/>
  <c r="AD29" i="5" s="1" a="1"/>
  <c r="AD29" i="5" s="1"/>
  <c r="T21" i="5"/>
  <c r="P21" i="5"/>
  <c r="Y30" i="5" a="1"/>
  <c r="Y30" i="5" s="1"/>
  <c r="Z30" i="5" s="1" a="1"/>
  <c r="Z30" i="5" s="1"/>
  <c r="X31" i="5"/>
  <c r="R25" i="5"/>
  <c r="S25" i="5"/>
  <c r="Q25" i="5"/>
  <c r="P26" i="5"/>
  <c r="T26" i="5"/>
  <c r="H28" i="5" l="1"/>
  <c r="G28" i="5"/>
  <c r="L28" i="5"/>
  <c r="Q21" i="5"/>
  <c r="S21" i="5"/>
  <c r="R21" i="5"/>
  <c r="S26" i="5"/>
  <c r="R26" i="5"/>
  <c r="Q26" i="5"/>
  <c r="T27" i="5"/>
  <c r="P27" i="5"/>
  <c r="AA30" i="5" a="1"/>
  <c r="AA30" i="5" s="1"/>
  <c r="AC30" i="5" s="1" a="1"/>
  <c r="AC30" i="5" s="1"/>
  <c r="AB30" i="5" a="1"/>
  <c r="AB30" i="5" s="1"/>
  <c r="AD30" i="5" s="1" a="1"/>
  <c r="AD30" i="5" s="1"/>
  <c r="F29" i="5"/>
  <c r="S24" i="5"/>
  <c r="R24" i="5"/>
  <c r="Q24" i="5"/>
  <c r="X32" i="5"/>
  <c r="Y31" i="5" a="1"/>
  <c r="Y31" i="5" s="1"/>
  <c r="Z31" i="5" s="1" a="1"/>
  <c r="Z31" i="5" s="1"/>
  <c r="R27" i="5" l="1"/>
  <c r="S27" i="5"/>
  <c r="Q27" i="5"/>
  <c r="F30" i="5"/>
  <c r="Y32" i="5" a="1"/>
  <c r="Y32" i="5" s="1"/>
  <c r="Z32" i="5" s="1" a="1"/>
  <c r="Z32" i="5" s="1"/>
  <c r="X33" i="5"/>
  <c r="AA31" i="5" a="1"/>
  <c r="AA31" i="5" s="1"/>
  <c r="AC31" i="5" s="1" a="1"/>
  <c r="AC31" i="5" s="1"/>
  <c r="T28" i="5"/>
  <c r="P28" i="5"/>
  <c r="H29" i="5"/>
  <c r="G29" i="5"/>
  <c r="L29" i="5"/>
  <c r="T29" i="5" l="1"/>
  <c r="P29" i="5"/>
  <c r="X34" i="5"/>
  <c r="Y33" i="5" a="1"/>
  <c r="Y33" i="5" s="1"/>
  <c r="Z33" i="5" s="1" a="1"/>
  <c r="Z33" i="5" s="1"/>
  <c r="AA32" i="5" a="1"/>
  <c r="AA32" i="5" s="1"/>
  <c r="AC32" i="5" s="1" a="1"/>
  <c r="AC32" i="5" s="1"/>
  <c r="H30" i="5"/>
  <c r="L30" i="5"/>
  <c r="G30" i="5"/>
  <c r="F31" i="5"/>
  <c r="Q28" i="5"/>
  <c r="R28" i="5"/>
  <c r="S28" i="5"/>
  <c r="AB31" i="5" a="1"/>
  <c r="AB31" i="5" s="1"/>
  <c r="AD31" i="5" s="1" a="1"/>
  <c r="AD31" i="5" s="1"/>
  <c r="X35" i="5" l="1"/>
  <c r="Y34" i="5" a="1"/>
  <c r="Y34" i="5" s="1"/>
  <c r="Z34" i="5" s="1" a="1"/>
  <c r="Z34" i="5" s="1"/>
  <c r="L31" i="5"/>
  <c r="H31" i="5"/>
  <c r="G31" i="5"/>
  <c r="S29" i="5"/>
  <c r="R29" i="5"/>
  <c r="Q29" i="5"/>
  <c r="AB33" i="5" a="1"/>
  <c r="AB33" i="5" s="1"/>
  <c r="AD33" i="5" s="1" a="1"/>
  <c r="AD33" i="5" s="1"/>
  <c r="AA33" i="5" a="1"/>
  <c r="AA33" i="5" s="1"/>
  <c r="AC33" i="5" s="1" a="1"/>
  <c r="AC33" i="5" s="1"/>
  <c r="P30" i="5"/>
  <c r="T30" i="5"/>
  <c r="AB32" i="5" a="1"/>
  <c r="AB32" i="5" s="1"/>
  <c r="AD32" i="5" s="1" a="1"/>
  <c r="AD32" i="5" s="1"/>
  <c r="F32" i="5" s="1"/>
  <c r="L32" i="5" l="1"/>
  <c r="H32" i="5"/>
  <c r="G32" i="5"/>
  <c r="Q30" i="5"/>
  <c r="S30" i="5"/>
  <c r="R30" i="5"/>
  <c r="AA34" i="5" a="1"/>
  <c r="AA34" i="5" s="1"/>
  <c r="AC34" i="5" s="1" a="1"/>
  <c r="AC34" i="5" s="1"/>
  <c r="Y35" i="5" a="1"/>
  <c r="Y35" i="5" s="1"/>
  <c r="Z35" i="5" s="1" a="1"/>
  <c r="Z35" i="5" s="1"/>
  <c r="X36" i="5"/>
  <c r="F33" i="5"/>
  <c r="P31" i="5"/>
  <c r="T31" i="5"/>
  <c r="G33" i="5" l="1"/>
  <c r="H33" i="5"/>
  <c r="L33" i="5"/>
  <c r="AA35" i="5" a="1"/>
  <c r="AA35" i="5" s="1"/>
  <c r="AC35" i="5" s="1" a="1"/>
  <c r="AC35" i="5" s="1"/>
  <c r="AB34" i="5" a="1"/>
  <c r="AB34" i="5" s="1"/>
  <c r="AD34" i="5" s="1" a="1"/>
  <c r="AD34" i="5" s="1"/>
  <c r="F34" i="5" s="1"/>
  <c r="S31" i="5"/>
  <c r="Q31" i="5"/>
  <c r="R31" i="5"/>
  <c r="T32" i="5"/>
  <c r="P32" i="5"/>
  <c r="X37" i="5"/>
  <c r="Y36" i="5" a="1"/>
  <c r="Y36" i="5" s="1"/>
  <c r="Z36" i="5" s="1" a="1"/>
  <c r="Z36" i="5" s="1"/>
  <c r="L34" i="5" l="1"/>
  <c r="G34" i="5"/>
  <c r="H34" i="5"/>
  <c r="S32" i="5"/>
  <c r="R32" i="5"/>
  <c r="Q32" i="5"/>
  <c r="AB35" i="5" a="1"/>
  <c r="AB35" i="5" s="1"/>
  <c r="AD35" i="5" s="1" a="1"/>
  <c r="AD35" i="5" s="1"/>
  <c r="F35" i="5" s="1"/>
  <c r="P33" i="5"/>
  <c r="T33" i="5"/>
  <c r="AA36" i="5" a="1"/>
  <c r="AA36" i="5" s="1"/>
  <c r="AC36" i="5" s="1" a="1"/>
  <c r="AC36" i="5" s="1"/>
  <c r="X38" i="5"/>
  <c r="Y37" i="5" a="1"/>
  <c r="Y37" i="5" s="1"/>
  <c r="Z37" i="5" s="1" a="1"/>
  <c r="Z37" i="5" s="1"/>
  <c r="L35" i="5" l="1"/>
  <c r="H35" i="5"/>
  <c r="G35" i="5"/>
  <c r="Y38" i="5" a="1"/>
  <c r="Y38" i="5" s="1"/>
  <c r="Z38" i="5" s="1" a="1"/>
  <c r="Z38" i="5" s="1"/>
  <c r="X39" i="5"/>
  <c r="S33" i="5"/>
  <c r="R33" i="5"/>
  <c r="Q33" i="5"/>
  <c r="AA37" i="5" a="1"/>
  <c r="AA37" i="5" s="1"/>
  <c r="AC37" i="5" s="1" a="1"/>
  <c r="AC37" i="5" s="1"/>
  <c r="P34" i="5"/>
  <c r="T34" i="5"/>
  <c r="AB36" i="5" a="1"/>
  <c r="AB36" i="5" s="1"/>
  <c r="AD36" i="5" s="1" a="1"/>
  <c r="AD36" i="5" s="1"/>
  <c r="F36" i="5" s="1"/>
  <c r="L36" i="5" l="1"/>
  <c r="H36" i="5"/>
  <c r="G36" i="5"/>
  <c r="R34" i="5"/>
  <c r="S34" i="5"/>
  <c r="Q34" i="5"/>
  <c r="AB37" i="5" a="1"/>
  <c r="AB37" i="5" s="1"/>
  <c r="AD37" i="5" s="1" a="1"/>
  <c r="AD37" i="5" s="1"/>
  <c r="F37" i="5" s="1"/>
  <c r="Y39" i="5" a="1"/>
  <c r="Y39" i="5" s="1"/>
  <c r="Z39" i="5" s="1" a="1"/>
  <c r="Z39" i="5" s="1"/>
  <c r="X40" i="5"/>
  <c r="AA38" i="5" a="1"/>
  <c r="AA38" i="5" s="1"/>
  <c r="AC38" i="5" s="1" a="1"/>
  <c r="AC38" i="5" s="1"/>
  <c r="T35" i="5"/>
  <c r="P35" i="5"/>
  <c r="H37" i="5" l="1"/>
  <c r="L37" i="5"/>
  <c r="G37" i="5"/>
  <c r="AB38" i="5" a="1"/>
  <c r="AB38" i="5" s="1"/>
  <c r="AD38" i="5" s="1" a="1"/>
  <c r="AD38" i="5" s="1"/>
  <c r="R35" i="5"/>
  <c r="Q35" i="5"/>
  <c r="S35" i="5"/>
  <c r="X41" i="5"/>
  <c r="Y40" i="5" a="1"/>
  <c r="Y40" i="5" s="1"/>
  <c r="Z40" i="5" s="1" a="1"/>
  <c r="Z40" i="5" s="1"/>
  <c r="F38" i="5"/>
  <c r="AA39" i="5" a="1"/>
  <c r="AA39" i="5" s="1"/>
  <c r="AC39" i="5" s="1" a="1"/>
  <c r="AC39" i="5" s="1"/>
  <c r="AB39" i="5" a="1"/>
  <c r="AB39" i="5" s="1"/>
  <c r="AD39" i="5" s="1" a="1"/>
  <c r="AD39" i="5" s="1"/>
  <c r="P36" i="5"/>
  <c r="T36" i="5"/>
  <c r="AA40" i="5" l="1" a="1"/>
  <c r="AA40" i="5" s="1"/>
  <c r="AC40" i="5" s="1" a="1"/>
  <c r="AC40" i="5" s="1"/>
  <c r="Y41" i="5" a="1"/>
  <c r="Y41" i="5" s="1"/>
  <c r="Z41" i="5" s="1" a="1"/>
  <c r="Z41" i="5" s="1"/>
  <c r="X42" i="5"/>
  <c r="L38" i="5"/>
  <c r="H38" i="5"/>
  <c r="G38" i="5"/>
  <c r="F39" i="5"/>
  <c r="R36" i="5"/>
  <c r="Q36" i="5"/>
  <c r="S36" i="5"/>
  <c r="T37" i="5"/>
  <c r="P37" i="5"/>
  <c r="T38" i="5" l="1"/>
  <c r="P38" i="5"/>
  <c r="Y42" i="5" a="1"/>
  <c r="Y42" i="5" s="1"/>
  <c r="Z42" i="5" s="1" a="1"/>
  <c r="Z42" i="5" s="1"/>
  <c r="X43" i="5"/>
  <c r="AA41" i="5" a="1"/>
  <c r="AA41" i="5" s="1"/>
  <c r="AC41" i="5" s="1" a="1"/>
  <c r="AC41" i="5" s="1"/>
  <c r="Q37" i="5"/>
  <c r="R37" i="5"/>
  <c r="S37" i="5"/>
  <c r="F40" i="5"/>
  <c r="H39" i="5"/>
  <c r="G39" i="5"/>
  <c r="L39" i="5"/>
  <c r="AB40" i="5" a="1"/>
  <c r="AB40" i="5" s="1"/>
  <c r="AD40" i="5" s="1" a="1"/>
  <c r="AD40" i="5" s="1"/>
  <c r="Y43" i="5" l="1" a="1"/>
  <c r="Y43" i="5" s="1"/>
  <c r="Z43" i="5" s="1" a="1"/>
  <c r="Z43" i="5" s="1"/>
  <c r="X44" i="5"/>
  <c r="AA42" i="5" a="1"/>
  <c r="AA42" i="5" s="1"/>
  <c r="AC42" i="5" s="1" a="1"/>
  <c r="AC42" i="5" s="1"/>
  <c r="S38" i="5"/>
  <c r="R38" i="5"/>
  <c r="Q38" i="5"/>
  <c r="AB41" i="5" a="1"/>
  <c r="AB41" i="5" s="1"/>
  <c r="AD41" i="5" s="1" a="1"/>
  <c r="AD41" i="5" s="1"/>
  <c r="F41" i="5" s="1"/>
  <c r="T39" i="5"/>
  <c r="P39" i="5"/>
  <c r="G40" i="5"/>
  <c r="L40" i="5"/>
  <c r="H40" i="5"/>
  <c r="L41" i="5" l="1"/>
  <c r="H41" i="5"/>
  <c r="G41" i="5"/>
  <c r="R39" i="5"/>
  <c r="S39" i="5"/>
  <c r="Q39" i="5"/>
  <c r="P40" i="5"/>
  <c r="T40" i="5"/>
  <c r="AB42" i="5" a="1"/>
  <c r="AB42" i="5" s="1"/>
  <c r="AD42" i="5" s="1" a="1"/>
  <c r="AD42" i="5" s="1"/>
  <c r="F42" i="5" s="1"/>
  <c r="Y44" i="5" a="1"/>
  <c r="Y44" i="5" s="1"/>
  <c r="Z44" i="5" s="1" a="1"/>
  <c r="Z44" i="5" s="1"/>
  <c r="X45" i="5"/>
  <c r="AA43" i="5" a="1"/>
  <c r="AA43" i="5" s="1"/>
  <c r="AC43" i="5" s="1" a="1"/>
  <c r="AC43" i="5" s="1"/>
  <c r="G42" i="5" l="1"/>
  <c r="L42" i="5"/>
  <c r="H42" i="5"/>
  <c r="S40" i="5"/>
  <c r="R40" i="5"/>
  <c r="Q40" i="5"/>
  <c r="AA44" i="5" a="1"/>
  <c r="AA44" i="5" s="1"/>
  <c r="AC44" i="5" s="1" a="1"/>
  <c r="AC44" i="5" s="1"/>
  <c r="P41" i="5"/>
  <c r="T41" i="5"/>
  <c r="AB43" i="5" a="1"/>
  <c r="AB43" i="5" s="1"/>
  <c r="AD43" i="5" s="1" a="1"/>
  <c r="AD43" i="5" s="1"/>
  <c r="F43" i="5" s="1"/>
  <c r="X46" i="5"/>
  <c r="Y45" i="5" a="1"/>
  <c r="Y45" i="5" s="1"/>
  <c r="Z45" i="5" s="1" a="1"/>
  <c r="Z45" i="5" s="1"/>
  <c r="L43" i="5" l="1"/>
  <c r="H43" i="5"/>
  <c r="G43" i="5"/>
  <c r="AA45" i="5" a="1"/>
  <c r="AA45" i="5" s="1"/>
  <c r="AC45" i="5" s="1" a="1"/>
  <c r="AC45" i="5" s="1"/>
  <c r="Y46" i="5" a="1"/>
  <c r="Y46" i="5" s="1"/>
  <c r="Z46" i="5" s="1" a="1"/>
  <c r="Z46" i="5" s="1"/>
  <c r="X47" i="5"/>
  <c r="P42" i="5"/>
  <c r="T42" i="5"/>
  <c r="F44" i="5"/>
  <c r="R41" i="5"/>
  <c r="S41" i="5"/>
  <c r="Q41" i="5"/>
  <c r="AB44" i="5" a="1"/>
  <c r="AB44" i="5" s="1"/>
  <c r="AD44" i="5" s="1" a="1"/>
  <c r="AD44" i="5" s="1"/>
  <c r="G44" i="5" l="1"/>
  <c r="H44" i="5"/>
  <c r="L44" i="5"/>
  <c r="R42" i="5"/>
  <c r="Q42" i="5"/>
  <c r="S42" i="5"/>
  <c r="Y47" i="5" a="1"/>
  <c r="Y47" i="5" s="1"/>
  <c r="Z47" i="5" s="1" a="1"/>
  <c r="Z47" i="5" s="1"/>
  <c r="X48" i="5"/>
  <c r="AA46" i="5" a="1"/>
  <c r="AA46" i="5" s="1"/>
  <c r="AC46" i="5" s="1" a="1"/>
  <c r="AC46" i="5" s="1"/>
  <c r="AB45" i="5" a="1"/>
  <c r="AB45" i="5" s="1"/>
  <c r="AD45" i="5" s="1" a="1"/>
  <c r="AD45" i="5" s="1"/>
  <c r="F45" i="5"/>
  <c r="T43" i="5"/>
  <c r="P43" i="5"/>
  <c r="R43" i="5" l="1"/>
  <c r="Q43" i="5"/>
  <c r="S43" i="5"/>
  <c r="G45" i="5"/>
  <c r="H45" i="5"/>
  <c r="L45" i="5"/>
  <c r="AB46" i="5" a="1"/>
  <c r="AB46" i="5" s="1"/>
  <c r="AD46" i="5" s="1" a="1"/>
  <c r="AD46" i="5" s="1"/>
  <c r="F46" i="5"/>
  <c r="X49" i="5"/>
  <c r="Y48" i="5" a="1"/>
  <c r="Y48" i="5" s="1"/>
  <c r="Z48" i="5" s="1" a="1"/>
  <c r="Z48" i="5" s="1"/>
  <c r="AA47" i="5" a="1"/>
  <c r="AA47" i="5" s="1"/>
  <c r="AC47" i="5" s="1" a="1"/>
  <c r="AC47" i="5" s="1"/>
  <c r="T44" i="5"/>
  <c r="P44" i="5"/>
  <c r="Q44" i="5" l="1"/>
  <c r="S44" i="5"/>
  <c r="R44" i="5"/>
  <c r="AB47" i="5" a="1"/>
  <c r="AB47" i="5" s="1"/>
  <c r="AD47" i="5" s="1" a="1"/>
  <c r="AD47" i="5" s="1"/>
  <c r="F47" i="5" s="1"/>
  <c r="AA48" i="5" a="1"/>
  <c r="AA48" i="5" s="1"/>
  <c r="AC48" i="5" s="1" a="1"/>
  <c r="AC48" i="5" s="1"/>
  <c r="X50" i="5"/>
  <c r="Y49" i="5" a="1"/>
  <c r="Y49" i="5" s="1"/>
  <c r="Z49" i="5" s="1" a="1"/>
  <c r="Z49" i="5" s="1"/>
  <c r="H46" i="5"/>
  <c r="L46" i="5"/>
  <c r="G46" i="5"/>
  <c r="T45" i="5"/>
  <c r="P45" i="5"/>
  <c r="G47" i="5" l="1"/>
  <c r="L47" i="5"/>
  <c r="H47" i="5"/>
  <c r="T46" i="5"/>
  <c r="P46" i="5"/>
  <c r="X51" i="5"/>
  <c r="Y50" i="5" a="1"/>
  <c r="Y50" i="5" s="1"/>
  <c r="Z50" i="5" s="1" a="1"/>
  <c r="Z50" i="5" s="1"/>
  <c r="AB48" i="5" a="1"/>
  <c r="AB48" i="5" s="1"/>
  <c r="AD48" i="5" s="1" a="1"/>
  <c r="AD48" i="5" s="1"/>
  <c r="F48" i="5" s="1"/>
  <c r="S45" i="5"/>
  <c r="R45" i="5"/>
  <c r="Q45" i="5"/>
  <c r="AA49" i="5" a="1"/>
  <c r="AA49" i="5" s="1"/>
  <c r="AC49" i="5" s="1" a="1"/>
  <c r="AC49" i="5" s="1"/>
  <c r="AB49" i="5" a="1"/>
  <c r="AB49" i="5" s="1"/>
  <c r="AD49" i="5" s="1" a="1"/>
  <c r="AD49" i="5" s="1"/>
  <c r="L48" i="5" l="1"/>
  <c r="G48" i="5"/>
  <c r="H48" i="5"/>
  <c r="Y51" i="5" a="1"/>
  <c r="Y51" i="5" s="1"/>
  <c r="Z51" i="5" s="1" a="1"/>
  <c r="Z51" i="5" s="1"/>
  <c r="X52" i="5"/>
  <c r="R46" i="5"/>
  <c r="Q46" i="5"/>
  <c r="S46" i="5"/>
  <c r="F49" i="5"/>
  <c r="P47" i="5"/>
  <c r="T47" i="5"/>
  <c r="AA50" i="5" a="1"/>
  <c r="AA50" i="5" s="1"/>
  <c r="AC50" i="5" s="1" a="1"/>
  <c r="AC50" i="5" s="1"/>
  <c r="AB50" i="5" l="1" a="1"/>
  <c r="AB50" i="5" s="1"/>
  <c r="AD50" i="5" s="1" a="1"/>
  <c r="AD50" i="5" s="1"/>
  <c r="F50" i="5" s="1"/>
  <c r="Y52" i="5" a="1"/>
  <c r="Y52" i="5" s="1"/>
  <c r="Z52" i="5" s="1" a="1"/>
  <c r="Z52" i="5" s="1"/>
  <c r="X53" i="5"/>
  <c r="AB51" i="5" a="1"/>
  <c r="AB51" i="5" s="1"/>
  <c r="AD51" i="5" s="1" a="1"/>
  <c r="AD51" i="5" s="1"/>
  <c r="AA51" i="5" a="1"/>
  <c r="AA51" i="5" s="1"/>
  <c r="AC51" i="5" s="1" a="1"/>
  <c r="AC51" i="5" s="1"/>
  <c r="R47" i="5"/>
  <c r="Q47" i="5"/>
  <c r="S47" i="5"/>
  <c r="P48" i="5"/>
  <c r="T48" i="5"/>
  <c r="G49" i="5"/>
  <c r="L49" i="5"/>
  <c r="H49" i="5"/>
  <c r="L50" i="5" l="1"/>
  <c r="H50" i="5"/>
  <c r="G50" i="5"/>
  <c r="R48" i="5"/>
  <c r="S48" i="5"/>
  <c r="Q48" i="5"/>
  <c r="F51" i="5"/>
  <c r="X54" i="5"/>
  <c r="Y53" i="5" a="1"/>
  <c r="Y53" i="5" s="1"/>
  <c r="Z53" i="5" s="1" a="1"/>
  <c r="Z53" i="5" s="1"/>
  <c r="AA52" i="5" a="1"/>
  <c r="AA52" i="5" s="1"/>
  <c r="AC52" i="5" s="1" a="1"/>
  <c r="AC52" i="5" s="1"/>
  <c r="T49" i="5"/>
  <c r="P49" i="5"/>
  <c r="L51" i="5" l="1"/>
  <c r="H51" i="5"/>
  <c r="G51" i="5"/>
  <c r="S49" i="5"/>
  <c r="R49" i="5"/>
  <c r="Q49" i="5"/>
  <c r="AB52" i="5" a="1"/>
  <c r="AB52" i="5" s="1"/>
  <c r="AD52" i="5" s="1" a="1"/>
  <c r="AD52" i="5" s="1"/>
  <c r="F52" i="5" s="1"/>
  <c r="AA53" i="5" a="1"/>
  <c r="AA53" i="5" s="1"/>
  <c r="AC53" i="5" s="1" a="1"/>
  <c r="AC53" i="5" s="1"/>
  <c r="Y54" i="5" a="1"/>
  <c r="Y54" i="5" s="1"/>
  <c r="Z54" i="5" s="1" a="1"/>
  <c r="Z54" i="5" s="1"/>
  <c r="X55" i="5"/>
  <c r="T50" i="5"/>
  <c r="P50" i="5"/>
  <c r="H52" i="5" l="1"/>
  <c r="L52" i="5"/>
  <c r="G52" i="5"/>
  <c r="AA54" i="5" a="1"/>
  <c r="AA54" i="5" s="1"/>
  <c r="AC54" i="5" s="1" a="1"/>
  <c r="AC54" i="5" s="1"/>
  <c r="AB53" i="5" a="1"/>
  <c r="AB53" i="5" s="1"/>
  <c r="AD53" i="5" s="1" a="1"/>
  <c r="AD53" i="5" s="1"/>
  <c r="F53" i="5"/>
  <c r="Y55" i="5" a="1"/>
  <c r="Y55" i="5" s="1"/>
  <c r="Z55" i="5" s="1" a="1"/>
  <c r="Z55" i="5" s="1"/>
  <c r="X56" i="5"/>
  <c r="R50" i="5"/>
  <c r="S50" i="5"/>
  <c r="Q50" i="5"/>
  <c r="T51" i="5"/>
  <c r="P51" i="5"/>
  <c r="S51" i="5" l="1"/>
  <c r="R51" i="5"/>
  <c r="Q51" i="5"/>
  <c r="Y56" i="5" a="1"/>
  <c r="Y56" i="5" s="1"/>
  <c r="Z56" i="5" s="1" a="1"/>
  <c r="Z56" i="5" s="1"/>
  <c r="X57" i="5"/>
  <c r="AA55" i="5" a="1"/>
  <c r="AA55" i="5" s="1"/>
  <c r="AC55" i="5" s="1" a="1"/>
  <c r="AC55" i="5" s="1"/>
  <c r="AB55" i="5" a="1"/>
  <c r="AB55" i="5" s="1"/>
  <c r="AD55" i="5" s="1" a="1"/>
  <c r="AD55" i="5" s="1"/>
  <c r="AB54" i="5" a="1"/>
  <c r="AB54" i="5" s="1"/>
  <c r="AD54" i="5" s="1" a="1"/>
  <c r="AD54" i="5" s="1"/>
  <c r="F54" i="5" s="1"/>
  <c r="H53" i="5"/>
  <c r="L53" i="5"/>
  <c r="G53" i="5"/>
  <c r="T52" i="5"/>
  <c r="P52" i="5"/>
  <c r="L54" i="5" l="1"/>
  <c r="H54" i="5"/>
  <c r="G54" i="5"/>
  <c r="S52" i="5"/>
  <c r="Q52" i="5"/>
  <c r="R52" i="5"/>
  <c r="P53" i="5"/>
  <c r="T53" i="5"/>
  <c r="F55" i="5"/>
  <c r="X58" i="5"/>
  <c r="Y57" i="5" a="1"/>
  <c r="Y57" i="5" s="1"/>
  <c r="Z57" i="5" s="1" a="1"/>
  <c r="Z57" i="5" s="1"/>
  <c r="AA56" i="5" a="1"/>
  <c r="AA56" i="5" s="1"/>
  <c r="AC56" i="5" s="1" a="1"/>
  <c r="AC56" i="5" s="1"/>
  <c r="AB56" i="5" a="1"/>
  <c r="AB56" i="5" s="1"/>
  <c r="AD56" i="5" s="1" a="1"/>
  <c r="AD56" i="5" s="1"/>
  <c r="F56" i="5" l="1"/>
  <c r="Y58" i="5" a="1"/>
  <c r="Y58" i="5" s="1"/>
  <c r="Z58" i="5" s="1" a="1"/>
  <c r="Z58" i="5" s="1"/>
  <c r="X59" i="5"/>
  <c r="Q53" i="5"/>
  <c r="S53" i="5"/>
  <c r="R53" i="5"/>
  <c r="T54" i="5"/>
  <c r="P54" i="5"/>
  <c r="AA57" i="5" a="1"/>
  <c r="AA57" i="5" s="1"/>
  <c r="AC57" i="5" s="1" a="1"/>
  <c r="AC57" i="5" s="1"/>
  <c r="G55" i="5"/>
  <c r="H55" i="5"/>
  <c r="L55" i="5"/>
  <c r="Y59" i="5" l="1" a="1"/>
  <c r="Y59" i="5" s="1"/>
  <c r="Z59" i="5" s="1" a="1"/>
  <c r="Z59" i="5" s="1"/>
  <c r="X60" i="5"/>
  <c r="R54" i="5"/>
  <c r="S54" i="5"/>
  <c r="Q54" i="5"/>
  <c r="AA58" i="5" a="1"/>
  <c r="AA58" i="5" s="1"/>
  <c r="AC58" i="5" s="1" a="1"/>
  <c r="AC58" i="5" s="1"/>
  <c r="AB58" i="5" a="1"/>
  <c r="AB58" i="5" s="1"/>
  <c r="AD58" i="5" s="1" a="1"/>
  <c r="AD58" i="5" s="1"/>
  <c r="L56" i="5"/>
  <c r="H56" i="5"/>
  <c r="G56" i="5"/>
  <c r="T55" i="5"/>
  <c r="P55" i="5"/>
  <c r="AB57" i="5" a="1"/>
  <c r="AB57" i="5" s="1"/>
  <c r="AD57" i="5" s="1" a="1"/>
  <c r="AD57" i="5" s="1"/>
  <c r="F57" i="5" s="1"/>
  <c r="L57" i="5" l="1"/>
  <c r="H57" i="5"/>
  <c r="G57" i="5"/>
  <c r="F58" i="5"/>
  <c r="P56" i="5"/>
  <c r="T56" i="5"/>
  <c r="AA59" i="5" a="1"/>
  <c r="AA59" i="5" s="1"/>
  <c r="AC59" i="5" s="1" a="1"/>
  <c r="AC59" i="5" s="1"/>
  <c r="AB59" i="5" a="1"/>
  <c r="AB59" i="5" s="1"/>
  <c r="AD59" i="5" s="1" a="1"/>
  <c r="AD59" i="5" s="1"/>
  <c r="Y60" i="5" a="1"/>
  <c r="Y60" i="5" s="1"/>
  <c r="Z60" i="5" s="1" a="1"/>
  <c r="Z60" i="5" s="1"/>
  <c r="X61" i="5"/>
  <c r="R55" i="5"/>
  <c r="S55" i="5"/>
  <c r="Q55" i="5"/>
  <c r="X62" i="5" l="1"/>
  <c r="Y61" i="5" a="1"/>
  <c r="Y61" i="5" s="1"/>
  <c r="Z61" i="5" s="1" a="1"/>
  <c r="Z61" i="5" s="1"/>
  <c r="L58" i="5"/>
  <c r="G58" i="5"/>
  <c r="H58" i="5"/>
  <c r="AB60" i="5" a="1"/>
  <c r="AB60" i="5" s="1"/>
  <c r="AD60" i="5" s="1" a="1"/>
  <c r="AD60" i="5" s="1"/>
  <c r="AA60" i="5" a="1"/>
  <c r="AA60" i="5" s="1"/>
  <c r="AC60" i="5" s="1" a="1"/>
  <c r="AC60" i="5" s="1"/>
  <c r="F60" i="5" s="1"/>
  <c r="F59" i="5"/>
  <c r="S56" i="5"/>
  <c r="R56" i="5"/>
  <c r="Q56" i="5"/>
  <c r="P57" i="5"/>
  <c r="T57" i="5"/>
  <c r="S57" i="5" l="1"/>
  <c r="R57" i="5"/>
  <c r="Q57" i="5"/>
  <c r="H59" i="5"/>
  <c r="G59" i="5"/>
  <c r="L59" i="5"/>
  <c r="H60" i="5"/>
  <c r="G60" i="5"/>
  <c r="L60" i="5"/>
  <c r="P58" i="5"/>
  <c r="T58" i="5"/>
  <c r="AB61" i="5" a="1"/>
  <c r="AB61" i="5" s="1"/>
  <c r="AD61" i="5" s="1" a="1"/>
  <c r="AD61" i="5" s="1"/>
  <c r="AA61" i="5" a="1"/>
  <c r="AA61" i="5" s="1"/>
  <c r="AC61" i="5" s="1" a="1"/>
  <c r="AC61" i="5" s="1"/>
  <c r="F61" i="5" s="1"/>
  <c r="Y62" i="5" a="1"/>
  <c r="Y62" i="5" s="1"/>
  <c r="Z62" i="5" s="1" a="1"/>
  <c r="Z62" i="5" s="1"/>
  <c r="X63" i="5"/>
  <c r="H61" i="5" l="1"/>
  <c r="G61" i="5"/>
  <c r="L61" i="5"/>
  <c r="R58" i="5"/>
  <c r="S58" i="5"/>
  <c r="Q58" i="5"/>
  <c r="T60" i="5"/>
  <c r="P60" i="5"/>
  <c r="AB62" i="5" a="1"/>
  <c r="AB62" i="5" s="1"/>
  <c r="AD62" i="5" s="1" a="1"/>
  <c r="AD62" i="5" s="1"/>
  <c r="AA62" i="5" a="1"/>
  <c r="AA62" i="5" s="1"/>
  <c r="AC62" i="5" s="1" a="1"/>
  <c r="AC62" i="5" s="1"/>
  <c r="F62" i="5" s="1"/>
  <c r="T59" i="5"/>
  <c r="P59" i="5"/>
  <c r="Y63" i="5" a="1"/>
  <c r="Y63" i="5" s="1"/>
  <c r="Z63" i="5" s="1" a="1"/>
  <c r="Z63" i="5" s="1"/>
  <c r="X64" i="5"/>
  <c r="S60" i="5" l="1"/>
  <c r="R60" i="5"/>
  <c r="Q60" i="5"/>
  <c r="Y64" i="5" a="1"/>
  <c r="Y64" i="5" s="1"/>
  <c r="Z64" i="5" s="1" a="1"/>
  <c r="Z64" i="5" s="1"/>
  <c r="X65" i="5"/>
  <c r="AB63" i="5" a="1"/>
  <c r="AB63" i="5" s="1"/>
  <c r="AD63" i="5" s="1" a="1"/>
  <c r="AD63" i="5" s="1"/>
  <c r="AA63" i="5" a="1"/>
  <c r="AA63" i="5" s="1"/>
  <c r="AC63" i="5" s="1" a="1"/>
  <c r="AC63" i="5" s="1"/>
  <c r="F63" i="5" s="1"/>
  <c r="S59" i="5"/>
  <c r="R59" i="5"/>
  <c r="Q59" i="5"/>
  <c r="P61" i="5"/>
  <c r="T61" i="5"/>
  <c r="L62" i="5"/>
  <c r="H62" i="5"/>
  <c r="G62" i="5"/>
  <c r="S61" i="5" l="1"/>
  <c r="R61" i="5"/>
  <c r="Q61" i="5"/>
  <c r="L63" i="5"/>
  <c r="H63" i="5"/>
  <c r="G63" i="5"/>
  <c r="T62" i="5"/>
  <c r="P62" i="5"/>
  <c r="Y65" i="5" a="1"/>
  <c r="Y65" i="5" s="1"/>
  <c r="Z65" i="5" s="1" a="1"/>
  <c r="Z65" i="5" s="1"/>
  <c r="X66" i="5"/>
  <c r="AB64" i="5" a="1"/>
  <c r="AB64" i="5" s="1"/>
  <c r="AD64" i="5" s="1" a="1"/>
  <c r="AD64" i="5" s="1"/>
  <c r="AA64" i="5" a="1"/>
  <c r="AA64" i="5" s="1"/>
  <c r="AC64" i="5" s="1" a="1"/>
  <c r="AC64" i="5" s="1"/>
  <c r="F64" i="5" s="1"/>
  <c r="L64" i="5" l="1"/>
  <c r="H64" i="5"/>
  <c r="G64" i="5"/>
  <c r="Y66" i="5" a="1"/>
  <c r="Y66" i="5" s="1"/>
  <c r="Z66" i="5" s="1" a="1"/>
  <c r="Z66" i="5" s="1"/>
  <c r="X67" i="5"/>
  <c r="AB65" i="5" a="1"/>
  <c r="AB65" i="5" s="1"/>
  <c r="AD65" i="5" s="1" a="1"/>
  <c r="AD65" i="5" s="1"/>
  <c r="AA65" i="5" a="1"/>
  <c r="AA65" i="5" s="1"/>
  <c r="AC65" i="5" s="1" a="1"/>
  <c r="AC65" i="5" s="1"/>
  <c r="F65" i="5" s="1"/>
  <c r="R62" i="5"/>
  <c r="S62" i="5"/>
  <c r="Q62" i="5"/>
  <c r="P63" i="5"/>
  <c r="T63" i="5"/>
  <c r="Y67" i="5" l="1" a="1"/>
  <c r="Y67" i="5" s="1"/>
  <c r="Z67" i="5" s="1" a="1"/>
  <c r="Z67" i="5" s="1"/>
  <c r="X68" i="5"/>
  <c r="AA66" i="5" a="1"/>
  <c r="AA66" i="5" s="1"/>
  <c r="AC66" i="5" s="1" a="1"/>
  <c r="AC66" i="5" s="1"/>
  <c r="F66" i="5" s="1"/>
  <c r="AB66" i="5" a="1"/>
  <c r="AB66" i="5" s="1"/>
  <c r="AD66" i="5" s="1" a="1"/>
  <c r="AD66" i="5" s="1"/>
  <c r="R63" i="5"/>
  <c r="Q63" i="5"/>
  <c r="S63" i="5"/>
  <c r="P64" i="5"/>
  <c r="T64" i="5"/>
  <c r="L65" i="5"/>
  <c r="H65" i="5"/>
  <c r="G65" i="5"/>
  <c r="P65" i="5" l="1"/>
  <c r="T65" i="5"/>
  <c r="X69" i="5"/>
  <c r="Y68" i="5" a="1"/>
  <c r="Y68" i="5" s="1"/>
  <c r="Z68" i="5" s="1" a="1"/>
  <c r="Z68" i="5" s="1"/>
  <c r="L66" i="5"/>
  <c r="H66" i="5"/>
  <c r="G66" i="5"/>
  <c r="AA67" i="5" a="1"/>
  <c r="AA67" i="5" s="1"/>
  <c r="AC67" i="5" s="1" a="1"/>
  <c r="AC67" i="5" s="1"/>
  <c r="F67" i="5" s="1"/>
  <c r="AB67" i="5" a="1"/>
  <c r="AB67" i="5" s="1"/>
  <c r="AD67" i="5" s="1" a="1"/>
  <c r="AD67" i="5" s="1"/>
  <c r="S64" i="5"/>
  <c r="R64" i="5"/>
  <c r="Q64" i="5"/>
  <c r="AB68" i="5" l="1" a="1"/>
  <c r="AB68" i="5" s="1"/>
  <c r="AD68" i="5" s="1" a="1"/>
  <c r="AD68" i="5" s="1"/>
  <c r="AA68" i="5" a="1"/>
  <c r="AA68" i="5" s="1"/>
  <c r="AC68" i="5" s="1" a="1"/>
  <c r="AC68" i="5" s="1"/>
  <c r="F68" i="5" s="1"/>
  <c r="Y69" i="5" a="1"/>
  <c r="Y69" i="5" s="1"/>
  <c r="Z69" i="5" s="1" a="1"/>
  <c r="Z69" i="5" s="1"/>
  <c r="X70" i="5"/>
  <c r="S65" i="5"/>
  <c r="R65" i="5"/>
  <c r="Q65" i="5"/>
  <c r="L67" i="5"/>
  <c r="H67" i="5"/>
  <c r="G67" i="5"/>
  <c r="P66" i="5"/>
  <c r="T66" i="5"/>
  <c r="T67" i="5" l="1"/>
  <c r="P67" i="5"/>
  <c r="Y70" i="5" a="1"/>
  <c r="Y70" i="5" s="1"/>
  <c r="Z70" i="5" s="1" a="1"/>
  <c r="Z70" i="5" s="1"/>
  <c r="X71" i="5"/>
  <c r="AB69" i="5" a="1"/>
  <c r="AB69" i="5" s="1"/>
  <c r="AD69" i="5" s="1" a="1"/>
  <c r="AD69" i="5" s="1"/>
  <c r="AA69" i="5" a="1"/>
  <c r="AA69" i="5" s="1"/>
  <c r="AC69" i="5" s="1" a="1"/>
  <c r="AC69" i="5" s="1"/>
  <c r="F69" i="5" s="1"/>
  <c r="H68" i="5"/>
  <c r="L68" i="5"/>
  <c r="G68" i="5"/>
  <c r="S66" i="5"/>
  <c r="Q66" i="5"/>
  <c r="R66" i="5"/>
  <c r="X72" i="5" l="1"/>
  <c r="Y71" i="5" a="1"/>
  <c r="Y71" i="5" s="1"/>
  <c r="Z71" i="5" s="1" a="1"/>
  <c r="Z71" i="5" s="1"/>
  <c r="AB70" i="5" a="1"/>
  <c r="AB70" i="5" s="1"/>
  <c r="AD70" i="5" s="1" a="1"/>
  <c r="AD70" i="5" s="1"/>
  <c r="AA70" i="5" a="1"/>
  <c r="AA70" i="5" s="1"/>
  <c r="AC70" i="5" s="1" a="1"/>
  <c r="AC70" i="5" s="1"/>
  <c r="F70" i="5" s="1"/>
  <c r="T68" i="5"/>
  <c r="P68" i="5"/>
  <c r="H69" i="5"/>
  <c r="G69" i="5"/>
  <c r="L69" i="5"/>
  <c r="R67" i="5"/>
  <c r="Q67" i="5"/>
  <c r="S67" i="5"/>
  <c r="R68" i="5" l="1"/>
  <c r="Q68" i="5"/>
  <c r="S68" i="5"/>
  <c r="L70" i="5"/>
  <c r="H70" i="5"/>
  <c r="G70" i="5"/>
  <c r="AB71" i="5" a="1"/>
  <c r="AB71" i="5" s="1"/>
  <c r="AD71" i="5" s="1" a="1"/>
  <c r="AD71" i="5" s="1"/>
  <c r="AA71" i="5" a="1"/>
  <c r="AA71" i="5" s="1"/>
  <c r="AC71" i="5" s="1" a="1"/>
  <c r="AC71" i="5" s="1"/>
  <c r="F71" i="5" s="1"/>
  <c r="P69" i="5"/>
  <c r="T69" i="5"/>
  <c r="X73" i="5"/>
  <c r="Y72" i="5" a="1"/>
  <c r="Y72" i="5" s="1"/>
  <c r="Z72" i="5" s="1" a="1"/>
  <c r="Z72" i="5" s="1"/>
  <c r="Y73" i="5" l="1" a="1"/>
  <c r="Y73" i="5" s="1"/>
  <c r="Z73" i="5" s="1" a="1"/>
  <c r="Z73" i="5" s="1"/>
  <c r="X74" i="5"/>
  <c r="P70" i="5"/>
  <c r="T70" i="5"/>
  <c r="L71" i="5"/>
  <c r="H71" i="5"/>
  <c r="G71" i="5"/>
  <c r="AB72" i="5" a="1"/>
  <c r="AB72" i="5" s="1"/>
  <c r="AD72" i="5" s="1" a="1"/>
  <c r="AD72" i="5" s="1"/>
  <c r="AA72" i="5" a="1"/>
  <c r="AA72" i="5" s="1"/>
  <c r="AC72" i="5" s="1" a="1"/>
  <c r="AC72" i="5" s="1"/>
  <c r="F72" i="5" s="1"/>
  <c r="R69" i="5"/>
  <c r="Q69" i="5"/>
  <c r="S69" i="5"/>
  <c r="R70" i="5" l="1"/>
  <c r="S70" i="5"/>
  <c r="Q70" i="5"/>
  <c r="L72" i="5"/>
  <c r="G72" i="5"/>
  <c r="H72" i="5"/>
  <c r="X75" i="5"/>
  <c r="Y74" i="5" a="1"/>
  <c r="Y74" i="5" s="1"/>
  <c r="Z74" i="5" s="1" a="1"/>
  <c r="Z74" i="5" s="1"/>
  <c r="AB73" i="5" a="1"/>
  <c r="AB73" i="5" s="1"/>
  <c r="AD73" i="5" s="1" a="1"/>
  <c r="AD73" i="5" s="1"/>
  <c r="AA73" i="5" a="1"/>
  <c r="AA73" i="5" s="1"/>
  <c r="AC73" i="5" s="1" a="1"/>
  <c r="AC73" i="5" s="1"/>
  <c r="F73" i="5" s="1"/>
  <c r="T71" i="5"/>
  <c r="P71" i="5"/>
  <c r="R71" i="5" l="1"/>
  <c r="S71" i="5"/>
  <c r="Q71" i="5"/>
  <c r="H73" i="5"/>
  <c r="G73" i="5"/>
  <c r="L73" i="5"/>
  <c r="AB74" i="5" a="1"/>
  <c r="AB74" i="5" s="1"/>
  <c r="AD74" i="5" s="1" a="1"/>
  <c r="AD74" i="5" s="1"/>
  <c r="AA74" i="5" a="1"/>
  <c r="AA74" i="5" s="1"/>
  <c r="AC74" i="5" s="1" a="1"/>
  <c r="AC74" i="5" s="1"/>
  <c r="Y75" i="5" a="1"/>
  <c r="Y75" i="5" s="1"/>
  <c r="Z75" i="5" s="1" a="1"/>
  <c r="Z75" i="5" s="1"/>
  <c r="X76" i="5"/>
  <c r="T72" i="5"/>
  <c r="P72" i="5"/>
  <c r="P73" i="5" l="1"/>
  <c r="T73" i="5"/>
  <c r="R72" i="5"/>
  <c r="S72" i="5"/>
  <c r="Q72" i="5"/>
  <c r="AB75" i="5" a="1"/>
  <c r="AB75" i="5" s="1"/>
  <c r="AD75" i="5" s="1" a="1"/>
  <c r="AD75" i="5" s="1"/>
  <c r="AA75" i="5" a="1"/>
  <c r="AA75" i="5" s="1"/>
  <c r="AC75" i="5" s="1" a="1"/>
  <c r="AC75" i="5" s="1"/>
  <c r="F75" i="5" s="1"/>
  <c r="Y76" i="5" a="1"/>
  <c r="Y76" i="5" s="1"/>
  <c r="Z76" i="5" s="1" a="1"/>
  <c r="Z76" i="5" s="1"/>
  <c r="X77" i="5"/>
  <c r="F74" i="5"/>
  <c r="S73" i="5" l="1"/>
  <c r="R73" i="5"/>
  <c r="Q73" i="5"/>
  <c r="Y77" i="5" a="1"/>
  <c r="Y77" i="5" s="1"/>
  <c r="Z77" i="5" s="1" a="1"/>
  <c r="Z77" i="5" s="1"/>
  <c r="X78" i="5"/>
  <c r="AB76" i="5" a="1"/>
  <c r="AB76" i="5" s="1"/>
  <c r="AD76" i="5" s="1" a="1"/>
  <c r="AD76" i="5" s="1"/>
  <c r="AA76" i="5" a="1"/>
  <c r="AA76" i="5" s="1"/>
  <c r="AC76" i="5" s="1" a="1"/>
  <c r="AC76" i="5" s="1"/>
  <c r="F76" i="5" s="1"/>
  <c r="H75" i="5"/>
  <c r="G75" i="5"/>
  <c r="L75" i="5"/>
  <c r="H74" i="5"/>
  <c r="L74" i="5"/>
  <c r="G74" i="5"/>
  <c r="P74" i="5" l="1"/>
  <c r="T74" i="5"/>
  <c r="H76" i="5"/>
  <c r="L76" i="5"/>
  <c r="G76" i="5"/>
  <c r="Y78" i="5" a="1"/>
  <c r="Y78" i="5" s="1"/>
  <c r="Z78" i="5" s="1" a="1"/>
  <c r="Z78" i="5" s="1"/>
  <c r="X79" i="5"/>
  <c r="T75" i="5"/>
  <c r="P75" i="5"/>
  <c r="AB77" i="5" a="1"/>
  <c r="AB77" i="5" s="1"/>
  <c r="AD77" i="5" s="1" a="1"/>
  <c r="AD77" i="5" s="1"/>
  <c r="AA77" i="5" a="1"/>
  <c r="AA77" i="5" s="1"/>
  <c r="AC77" i="5" s="1" a="1"/>
  <c r="AC77" i="5" s="1"/>
  <c r="X80" i="5" l="1"/>
  <c r="Y79" i="5" a="1"/>
  <c r="Y79" i="5" s="1"/>
  <c r="Z79" i="5" s="1" a="1"/>
  <c r="Z79" i="5" s="1"/>
  <c r="AB78" i="5" a="1"/>
  <c r="AB78" i="5" s="1"/>
  <c r="AD78" i="5" s="1" a="1"/>
  <c r="AD78" i="5" s="1"/>
  <c r="AA78" i="5" a="1"/>
  <c r="AA78" i="5" s="1"/>
  <c r="AC78" i="5" s="1" a="1"/>
  <c r="AC78" i="5" s="1"/>
  <c r="F78" i="5" s="1"/>
  <c r="T76" i="5"/>
  <c r="P76" i="5"/>
  <c r="S74" i="5"/>
  <c r="R74" i="5"/>
  <c r="Q74" i="5"/>
  <c r="R75" i="5"/>
  <c r="S75" i="5"/>
  <c r="Q75" i="5"/>
  <c r="F77" i="5"/>
  <c r="H77" i="5" l="1"/>
  <c r="L77" i="5"/>
  <c r="G77" i="5"/>
  <c r="S76" i="5"/>
  <c r="R76" i="5"/>
  <c r="Q76" i="5"/>
  <c r="AB79" i="5" a="1"/>
  <c r="AB79" i="5" s="1"/>
  <c r="AD79" i="5" s="1" a="1"/>
  <c r="AD79" i="5" s="1"/>
  <c r="AA79" i="5" a="1"/>
  <c r="AA79" i="5" s="1"/>
  <c r="AC79" i="5" s="1" a="1"/>
  <c r="AC79" i="5" s="1"/>
  <c r="X81" i="5"/>
  <c r="Y80" i="5" a="1"/>
  <c r="Y80" i="5" s="1"/>
  <c r="Z80" i="5" s="1" a="1"/>
  <c r="Z80" i="5" s="1"/>
  <c r="H78" i="5"/>
  <c r="L78" i="5"/>
  <c r="G78" i="5"/>
  <c r="P78" i="5" l="1"/>
  <c r="T78" i="5"/>
  <c r="X82" i="5"/>
  <c r="Y81" i="5" a="1"/>
  <c r="Y81" i="5" s="1"/>
  <c r="Z81" i="5" s="1" a="1"/>
  <c r="Z81" i="5" s="1"/>
  <c r="AA80" i="5" a="1"/>
  <c r="AA80" i="5" s="1"/>
  <c r="AC80" i="5" s="1" a="1"/>
  <c r="AC80" i="5" s="1"/>
  <c r="F80" i="5" s="1"/>
  <c r="AB80" i="5" a="1"/>
  <c r="AB80" i="5" s="1"/>
  <c r="AD80" i="5" s="1" a="1"/>
  <c r="AD80" i="5" s="1"/>
  <c r="F79" i="5"/>
  <c r="P77" i="5"/>
  <c r="T77" i="5"/>
  <c r="R77" i="5" l="1"/>
  <c r="S77" i="5"/>
  <c r="Q77" i="5"/>
  <c r="G79" i="5"/>
  <c r="L79" i="5"/>
  <c r="H79" i="5"/>
  <c r="L80" i="5"/>
  <c r="H80" i="5"/>
  <c r="G80" i="5"/>
  <c r="AB81" i="5" a="1"/>
  <c r="AB81" i="5" s="1"/>
  <c r="AD81" i="5" s="1" a="1"/>
  <c r="AD81" i="5" s="1"/>
  <c r="AA81" i="5" a="1"/>
  <c r="AA81" i="5" s="1"/>
  <c r="AC81" i="5" s="1" a="1"/>
  <c r="AC81" i="5" s="1"/>
  <c r="F81" i="5" s="1"/>
  <c r="X83" i="5"/>
  <c r="Y82" i="5" a="1"/>
  <c r="Y82" i="5" s="1"/>
  <c r="Z82" i="5" s="1" a="1"/>
  <c r="Z82" i="5" s="1"/>
  <c r="R78" i="5"/>
  <c r="S78" i="5"/>
  <c r="Q78" i="5"/>
  <c r="H81" i="5" l="1"/>
  <c r="G81" i="5"/>
  <c r="L81" i="5"/>
  <c r="T80" i="5"/>
  <c r="P80" i="5"/>
  <c r="AB82" i="5" a="1"/>
  <c r="AB82" i="5" s="1"/>
  <c r="AD82" i="5" s="1" a="1"/>
  <c r="AD82" i="5" s="1"/>
  <c r="AA82" i="5" a="1"/>
  <c r="AA82" i="5" s="1"/>
  <c r="AC82" i="5" s="1" a="1"/>
  <c r="AC82" i="5" s="1"/>
  <c r="F82" i="5" s="1"/>
  <c r="Y83" i="5" a="1"/>
  <c r="Y83" i="5" s="1"/>
  <c r="Z83" i="5" s="1" a="1"/>
  <c r="Z83" i="5" s="1"/>
  <c r="X84" i="5"/>
  <c r="P79" i="5"/>
  <c r="T79" i="5"/>
  <c r="X85" i="5" l="1"/>
  <c r="Y84" i="5" a="1"/>
  <c r="Y84" i="5" s="1"/>
  <c r="Z84" i="5" s="1" a="1"/>
  <c r="Z84" i="5" s="1"/>
  <c r="AB83" i="5" a="1"/>
  <c r="AB83" i="5" s="1"/>
  <c r="AD83" i="5" s="1" a="1"/>
  <c r="AD83" i="5" s="1"/>
  <c r="AA83" i="5" a="1"/>
  <c r="AA83" i="5" s="1"/>
  <c r="AC83" i="5" s="1" a="1"/>
  <c r="AC83" i="5" s="1"/>
  <c r="F83" i="5" s="1"/>
  <c r="L82" i="5"/>
  <c r="H82" i="5"/>
  <c r="G82" i="5"/>
  <c r="R80" i="5"/>
  <c r="S80" i="5"/>
  <c r="Q80" i="5"/>
  <c r="R79" i="5"/>
  <c r="S79" i="5"/>
  <c r="Q79" i="5"/>
  <c r="P81" i="5"/>
  <c r="T81" i="5"/>
  <c r="P82" i="5" l="1"/>
  <c r="T82" i="5"/>
  <c r="H83" i="5"/>
  <c r="L83" i="5"/>
  <c r="G83" i="5"/>
  <c r="S81" i="5"/>
  <c r="R81" i="5"/>
  <c r="Q81" i="5"/>
  <c r="AB84" i="5" a="1"/>
  <c r="AB84" i="5" s="1"/>
  <c r="AD84" i="5" s="1" a="1"/>
  <c r="AD84" i="5" s="1"/>
  <c r="AA84" i="5" a="1"/>
  <c r="AA84" i="5" s="1"/>
  <c r="AC84" i="5" s="1" a="1"/>
  <c r="AC84" i="5" s="1"/>
  <c r="F84" i="5" s="1"/>
  <c r="X86" i="5"/>
  <c r="Y85" i="5" a="1"/>
  <c r="Y85" i="5" s="1"/>
  <c r="Z85" i="5" s="1" a="1"/>
  <c r="Z85" i="5" s="1"/>
  <c r="AB85" i="5" l="1" a="1"/>
  <c r="AB85" i="5" s="1"/>
  <c r="AD85" i="5" s="1" a="1"/>
  <c r="AD85" i="5" s="1"/>
  <c r="AA85" i="5" a="1"/>
  <c r="AA85" i="5" s="1"/>
  <c r="AC85" i="5" s="1" a="1"/>
  <c r="AC85" i="5" s="1"/>
  <c r="Y86" i="5" a="1"/>
  <c r="Y86" i="5" s="1"/>
  <c r="Z86" i="5" s="1" a="1"/>
  <c r="Z86" i="5" s="1"/>
  <c r="X87" i="5"/>
  <c r="H84" i="5"/>
  <c r="G84" i="5"/>
  <c r="L84" i="5"/>
  <c r="R82" i="5"/>
  <c r="S82" i="5"/>
  <c r="Q82" i="5"/>
  <c r="T83" i="5"/>
  <c r="P83" i="5"/>
  <c r="Q83" i="5" l="1"/>
  <c r="S83" i="5"/>
  <c r="R83" i="5"/>
  <c r="T84" i="5"/>
  <c r="P84" i="5"/>
  <c r="Y87" i="5" a="1"/>
  <c r="Y87" i="5" s="1"/>
  <c r="Z87" i="5" s="1" a="1"/>
  <c r="Z87" i="5" s="1"/>
  <c r="X88" i="5"/>
  <c r="AB86" i="5" a="1"/>
  <c r="AB86" i="5" s="1"/>
  <c r="AD86" i="5" s="1" a="1"/>
  <c r="AD86" i="5" s="1"/>
  <c r="AA86" i="5" a="1"/>
  <c r="AA86" i="5" s="1"/>
  <c r="AC86" i="5" s="1" a="1"/>
  <c r="AC86" i="5" s="1"/>
  <c r="F86" i="5" s="1"/>
  <c r="F85" i="5"/>
  <c r="H85" i="5" l="1"/>
  <c r="G85" i="5"/>
  <c r="L85" i="5"/>
  <c r="H86" i="5"/>
  <c r="L86" i="5"/>
  <c r="G86" i="5"/>
  <c r="X89" i="5"/>
  <c r="Y88" i="5" a="1"/>
  <c r="Y88" i="5" s="1"/>
  <c r="Z88" i="5" s="1" a="1"/>
  <c r="Z88" i="5" s="1"/>
  <c r="AB87" i="5" a="1"/>
  <c r="AB87" i="5" s="1"/>
  <c r="AD87" i="5" s="1" a="1"/>
  <c r="AD87" i="5" s="1"/>
  <c r="AA87" i="5" a="1"/>
  <c r="AA87" i="5" s="1"/>
  <c r="AC87" i="5" s="1" a="1"/>
  <c r="AC87" i="5" s="1"/>
  <c r="F87" i="5" s="1"/>
  <c r="R84" i="5"/>
  <c r="Q84" i="5"/>
  <c r="S84" i="5"/>
  <c r="L87" i="5" l="1"/>
  <c r="H87" i="5"/>
  <c r="G87" i="5"/>
  <c r="AA88" i="5" a="1"/>
  <c r="AA88" i="5" s="1"/>
  <c r="AC88" i="5" s="1" a="1"/>
  <c r="AC88" i="5" s="1"/>
  <c r="AB88" i="5" a="1"/>
  <c r="AB88" i="5" s="1"/>
  <c r="AD88" i="5" s="1" a="1"/>
  <c r="AD88" i="5" s="1"/>
  <c r="Y89" i="5" a="1"/>
  <c r="Y89" i="5" s="1"/>
  <c r="Z89" i="5" s="1" a="1"/>
  <c r="Z89" i="5" s="1"/>
  <c r="X90" i="5"/>
  <c r="P86" i="5"/>
  <c r="T86" i="5"/>
  <c r="T85" i="5"/>
  <c r="P85" i="5"/>
  <c r="R86" i="5" l="1"/>
  <c r="S86" i="5"/>
  <c r="Q86" i="5"/>
  <c r="X91" i="5"/>
  <c r="Y90" i="5" a="1"/>
  <c r="Y90" i="5" s="1"/>
  <c r="Z90" i="5" s="1" a="1"/>
  <c r="Z90" i="5" s="1"/>
  <c r="AB89" i="5" a="1"/>
  <c r="AB89" i="5" s="1"/>
  <c r="AD89" i="5" s="1" a="1"/>
  <c r="AD89" i="5" s="1"/>
  <c r="AA89" i="5" a="1"/>
  <c r="AA89" i="5" s="1"/>
  <c r="AC89" i="5" s="1" a="1"/>
  <c r="AC89" i="5" s="1"/>
  <c r="F88" i="5"/>
  <c r="T87" i="5"/>
  <c r="P87" i="5"/>
  <c r="R85" i="5"/>
  <c r="S85" i="5"/>
  <c r="Q85" i="5"/>
  <c r="F89" i="5" l="1"/>
  <c r="G88" i="5"/>
  <c r="L88" i="5"/>
  <c r="H88" i="5"/>
  <c r="AB90" i="5" a="1"/>
  <c r="AB90" i="5" s="1"/>
  <c r="AD90" i="5" s="1" a="1"/>
  <c r="AD90" i="5" s="1"/>
  <c r="AA90" i="5" a="1"/>
  <c r="AA90" i="5" s="1"/>
  <c r="AC90" i="5" s="1" a="1"/>
  <c r="AC90" i="5" s="1"/>
  <c r="F90" i="5" s="1"/>
  <c r="R87" i="5"/>
  <c r="Q87" i="5"/>
  <c r="S87" i="5"/>
  <c r="X92" i="5"/>
  <c r="Y91" i="5" a="1"/>
  <c r="Y91" i="5" s="1"/>
  <c r="Z91" i="5" s="1" a="1"/>
  <c r="Z91" i="5" s="1"/>
  <c r="AA91" i="5" l="1" a="1"/>
  <c r="AA91" i="5" s="1"/>
  <c r="AC91" i="5" s="1" a="1"/>
  <c r="AC91" i="5" s="1"/>
  <c r="F91" i="5" s="1"/>
  <c r="AB91" i="5" a="1"/>
  <c r="AB91" i="5" s="1"/>
  <c r="AD91" i="5" s="1" a="1"/>
  <c r="AD91" i="5" s="1"/>
  <c r="H90" i="5"/>
  <c r="G90" i="5"/>
  <c r="L90" i="5"/>
  <c r="T88" i="5"/>
  <c r="P88" i="5"/>
  <c r="H89" i="5"/>
  <c r="L89" i="5"/>
  <c r="G89" i="5"/>
  <c r="X93" i="5"/>
  <c r="Y92" i="5" a="1"/>
  <c r="Y92" i="5" s="1"/>
  <c r="Z92" i="5" s="1" a="1"/>
  <c r="Z92" i="5" s="1"/>
  <c r="AA92" i="5" l="1" a="1"/>
  <c r="AA92" i="5" s="1"/>
  <c r="AC92" i="5" s="1" a="1"/>
  <c r="AC92" i="5" s="1"/>
  <c r="F92" i="5" s="1"/>
  <c r="AB92" i="5" a="1"/>
  <c r="AB92" i="5" s="1"/>
  <c r="AD92" i="5" s="1" a="1"/>
  <c r="AD92" i="5" s="1"/>
  <c r="Y93" i="5" a="1"/>
  <c r="Y93" i="5" s="1"/>
  <c r="Z93" i="5" s="1" a="1"/>
  <c r="Z93" i="5" s="1"/>
  <c r="X94" i="5"/>
  <c r="T89" i="5"/>
  <c r="P89" i="5"/>
  <c r="R88" i="5"/>
  <c r="Q88" i="5"/>
  <c r="S88" i="5"/>
  <c r="T90" i="5"/>
  <c r="P90" i="5"/>
  <c r="L91" i="5"/>
  <c r="H91" i="5"/>
  <c r="G91" i="5"/>
  <c r="S89" i="5" l="1"/>
  <c r="R89" i="5"/>
  <c r="Q89" i="5"/>
  <c r="Y94" i="5" a="1"/>
  <c r="Y94" i="5" s="1"/>
  <c r="Z94" i="5" s="1" a="1"/>
  <c r="Z94" i="5" s="1"/>
  <c r="X95" i="5"/>
  <c r="AB93" i="5" a="1"/>
  <c r="AB93" i="5" s="1"/>
  <c r="AD93" i="5" s="1" a="1"/>
  <c r="AD93" i="5" s="1"/>
  <c r="AA93" i="5" a="1"/>
  <c r="AA93" i="5" s="1"/>
  <c r="AC93" i="5" s="1" a="1"/>
  <c r="AC93" i="5" s="1"/>
  <c r="S90" i="5"/>
  <c r="R90" i="5"/>
  <c r="Q90" i="5"/>
  <c r="T91" i="5"/>
  <c r="P91" i="5"/>
  <c r="L92" i="5"/>
  <c r="H92" i="5"/>
  <c r="G92" i="5"/>
  <c r="T92" i="5" l="1"/>
  <c r="P92" i="5"/>
  <c r="R91" i="5"/>
  <c r="Q91" i="5"/>
  <c r="S91" i="5"/>
  <c r="F93" i="5"/>
  <c r="Y95" i="5" a="1"/>
  <c r="Y95" i="5" s="1"/>
  <c r="Z95" i="5" s="1" a="1"/>
  <c r="Z95" i="5" s="1"/>
  <c r="X96" i="5"/>
  <c r="AA94" i="5" a="1"/>
  <c r="AA94" i="5" s="1"/>
  <c r="AC94" i="5" s="1" a="1"/>
  <c r="AC94" i="5" s="1"/>
  <c r="AB94" i="5" a="1"/>
  <c r="AB94" i="5" s="1"/>
  <c r="AD94" i="5" s="1" a="1"/>
  <c r="AD94" i="5" s="1"/>
  <c r="F94" i="5" l="1"/>
  <c r="Y96" i="5" a="1"/>
  <c r="Y96" i="5" s="1"/>
  <c r="Z96" i="5" s="1" a="1"/>
  <c r="Z96" i="5" s="1"/>
  <c r="X97" i="5"/>
  <c r="AB95" i="5" a="1"/>
  <c r="AB95" i="5" s="1"/>
  <c r="AD95" i="5" s="1" a="1"/>
  <c r="AD95" i="5" s="1"/>
  <c r="AA95" i="5" a="1"/>
  <c r="AA95" i="5" s="1"/>
  <c r="AC95" i="5" s="1" a="1"/>
  <c r="AC95" i="5" s="1"/>
  <c r="F95" i="5" s="1"/>
  <c r="Q92" i="5"/>
  <c r="S92" i="5"/>
  <c r="R92" i="5"/>
  <c r="H93" i="5"/>
  <c r="L93" i="5"/>
  <c r="G93" i="5"/>
  <c r="P93" i="5" l="1"/>
  <c r="T93" i="5"/>
  <c r="G95" i="5"/>
  <c r="L95" i="5"/>
  <c r="H95" i="5"/>
  <c r="AA96" i="5" a="1"/>
  <c r="AA96" i="5" s="1"/>
  <c r="AC96" i="5" s="1" a="1"/>
  <c r="AC96" i="5" s="1"/>
  <c r="F96" i="5" s="1"/>
  <c r="AB96" i="5" a="1"/>
  <c r="AB96" i="5" s="1"/>
  <c r="AD96" i="5" s="1" a="1"/>
  <c r="AD96" i="5" s="1"/>
  <c r="X98" i="5"/>
  <c r="Y97" i="5" a="1"/>
  <c r="Y97" i="5" s="1"/>
  <c r="Z97" i="5" s="1" a="1"/>
  <c r="Z97" i="5" s="1"/>
  <c r="L94" i="5"/>
  <c r="H94" i="5"/>
  <c r="G94" i="5"/>
  <c r="AB97" i="5" l="1" a="1"/>
  <c r="AB97" i="5" s="1"/>
  <c r="AD97" i="5" s="1" a="1"/>
  <c r="AD97" i="5" s="1"/>
  <c r="AA97" i="5" a="1"/>
  <c r="AA97" i="5" s="1"/>
  <c r="AC97" i="5" s="1" a="1"/>
  <c r="AC97" i="5" s="1"/>
  <c r="X99" i="5"/>
  <c r="Y98" i="5" a="1"/>
  <c r="Y98" i="5" s="1"/>
  <c r="Z98" i="5" s="1" a="1"/>
  <c r="Z98" i="5" s="1"/>
  <c r="H96" i="5"/>
  <c r="G96" i="5"/>
  <c r="L96" i="5"/>
  <c r="S93" i="5"/>
  <c r="R93" i="5"/>
  <c r="Q93" i="5"/>
  <c r="P95" i="5"/>
  <c r="T95" i="5"/>
  <c r="P94" i="5"/>
  <c r="T94" i="5"/>
  <c r="R94" i="5" l="1"/>
  <c r="S94" i="5"/>
  <c r="Q94" i="5"/>
  <c r="AB98" i="5" a="1"/>
  <c r="AB98" i="5" s="1"/>
  <c r="AD98" i="5" s="1" a="1"/>
  <c r="AD98" i="5" s="1"/>
  <c r="AA98" i="5" a="1"/>
  <c r="AA98" i="5" s="1"/>
  <c r="AC98" i="5" s="1" a="1"/>
  <c r="AC98" i="5" s="1"/>
  <c r="F98" i="5" s="1"/>
  <c r="Q95" i="5"/>
  <c r="R95" i="5"/>
  <c r="S95" i="5"/>
  <c r="T96" i="5"/>
  <c r="P96" i="5"/>
  <c r="X100" i="5"/>
  <c r="Y99" i="5" a="1"/>
  <c r="Y99" i="5" s="1"/>
  <c r="Z99" i="5" s="1" a="1"/>
  <c r="Z99" i="5" s="1"/>
  <c r="F97" i="5"/>
  <c r="R96" i="5" l="1"/>
  <c r="S96" i="5"/>
  <c r="Q96" i="5"/>
  <c r="X101" i="5"/>
  <c r="Y100" i="5" a="1"/>
  <c r="Y100" i="5" s="1"/>
  <c r="Z100" i="5" s="1" a="1"/>
  <c r="Z100" i="5" s="1"/>
  <c r="AA99" i="5" a="1"/>
  <c r="AA99" i="5" s="1"/>
  <c r="AC99" i="5" s="1" a="1"/>
  <c r="AC99" i="5" s="1"/>
  <c r="F99" i="5" s="1"/>
  <c r="AB99" i="5" a="1"/>
  <c r="AB99" i="5" s="1"/>
  <c r="AD99" i="5" s="1" a="1"/>
  <c r="AD99" i="5" s="1"/>
  <c r="L98" i="5"/>
  <c r="H98" i="5"/>
  <c r="G98" i="5"/>
  <c r="H97" i="5"/>
  <c r="G97" i="5"/>
  <c r="L97" i="5"/>
  <c r="P98" i="5" l="1"/>
  <c r="T98" i="5"/>
  <c r="T97" i="5"/>
  <c r="P97" i="5"/>
  <c r="G99" i="5"/>
  <c r="L99" i="5"/>
  <c r="H99" i="5"/>
  <c r="AB100" i="5" a="1"/>
  <c r="AB100" i="5" s="1"/>
  <c r="AD100" i="5" s="1" a="1"/>
  <c r="AD100" i="5" s="1"/>
  <c r="AA100" i="5" a="1"/>
  <c r="AA100" i="5" s="1"/>
  <c r="AC100" i="5" s="1" a="1"/>
  <c r="AC100" i="5" s="1"/>
  <c r="F100" i="5" s="1"/>
  <c r="Y101" i="5" a="1"/>
  <c r="Y101" i="5" s="1"/>
  <c r="Z101" i="5" s="1" a="1"/>
  <c r="Z101" i="5" s="1"/>
  <c r="X102" i="5"/>
  <c r="T99" i="5" l="1"/>
  <c r="P99" i="5"/>
  <c r="L100" i="5"/>
  <c r="H100" i="5"/>
  <c r="G100" i="5"/>
  <c r="S97" i="5"/>
  <c r="Q97" i="5"/>
  <c r="R97" i="5"/>
  <c r="AB101" i="5" a="1"/>
  <c r="AB101" i="5" s="1"/>
  <c r="AD101" i="5" s="1" a="1"/>
  <c r="AD101" i="5" s="1"/>
  <c r="AA101" i="5" a="1"/>
  <c r="AA101" i="5" s="1"/>
  <c r="AC101" i="5" s="1" a="1"/>
  <c r="AC101" i="5" s="1"/>
  <c r="F101" i="5" s="1"/>
  <c r="Y102" i="5" a="1"/>
  <c r="Y102" i="5" s="1"/>
  <c r="Z102" i="5" s="1" a="1"/>
  <c r="Z102" i="5" s="1"/>
  <c r="X103" i="5"/>
  <c r="S98" i="5"/>
  <c r="R98" i="5"/>
  <c r="Q98" i="5"/>
  <c r="X104" i="5" l="1"/>
  <c r="Y103" i="5" a="1"/>
  <c r="Y103" i="5" s="1"/>
  <c r="Z103" i="5" s="1" a="1"/>
  <c r="Z103" i="5" s="1"/>
  <c r="AB102" i="5" a="1"/>
  <c r="AB102" i="5" s="1"/>
  <c r="AD102" i="5" s="1" a="1"/>
  <c r="AD102" i="5" s="1"/>
  <c r="AA102" i="5" a="1"/>
  <c r="AA102" i="5" s="1"/>
  <c r="AC102" i="5" s="1" a="1"/>
  <c r="AC102" i="5" s="1"/>
  <c r="F102" i="5" s="1"/>
  <c r="H101" i="5"/>
  <c r="L101" i="5"/>
  <c r="G101" i="5"/>
  <c r="R99" i="5"/>
  <c r="S99" i="5"/>
  <c r="Q99" i="5"/>
  <c r="P100" i="5"/>
  <c r="T100" i="5"/>
  <c r="T101" i="5" l="1"/>
  <c r="P101" i="5"/>
  <c r="Q100" i="5"/>
  <c r="R100" i="5"/>
  <c r="S100" i="5"/>
  <c r="G102" i="5"/>
  <c r="L102" i="5"/>
  <c r="H102" i="5"/>
  <c r="AA103" i="5" a="1"/>
  <c r="AA103" i="5" s="1"/>
  <c r="AC103" i="5" s="1" a="1"/>
  <c r="AC103" i="5" s="1"/>
  <c r="AB103" i="5" a="1"/>
  <c r="AB103" i="5" s="1"/>
  <c r="AD103" i="5" s="1" a="1"/>
  <c r="AD103" i="5" s="1"/>
  <c r="Y104" i="5" a="1"/>
  <c r="Y104" i="5" s="1"/>
  <c r="Z104" i="5" s="1" a="1"/>
  <c r="Z104" i="5" s="1"/>
  <c r="X105" i="5"/>
  <c r="P102" i="5" l="1"/>
  <c r="T102" i="5"/>
  <c r="Q101" i="5"/>
  <c r="S101" i="5"/>
  <c r="R101" i="5"/>
  <c r="X106" i="5"/>
  <c r="Y105" i="5" a="1"/>
  <c r="Y105" i="5" s="1"/>
  <c r="Z105" i="5" s="1" a="1"/>
  <c r="Z105" i="5" s="1"/>
  <c r="F103" i="5"/>
  <c r="AB104" i="5" a="1"/>
  <c r="AB104" i="5" s="1"/>
  <c r="AD104" i="5" s="1" a="1"/>
  <c r="AD104" i="5" s="1"/>
  <c r="AA104" i="5" a="1"/>
  <c r="AA104" i="5" s="1"/>
  <c r="AC104" i="5" s="1" a="1"/>
  <c r="AC104" i="5" s="1"/>
  <c r="F104" i="5" s="1"/>
  <c r="H104" i="5" l="1"/>
  <c r="G104" i="5"/>
  <c r="L104" i="5"/>
  <c r="L103" i="5"/>
  <c r="H103" i="5"/>
  <c r="G103" i="5"/>
  <c r="AA105" i="5" a="1"/>
  <c r="AA105" i="5" s="1"/>
  <c r="AC105" i="5" s="1" a="1"/>
  <c r="AC105" i="5" s="1"/>
  <c r="AB105" i="5" a="1"/>
  <c r="AB105" i="5" s="1"/>
  <c r="AD105" i="5" s="1" a="1"/>
  <c r="AD105" i="5" s="1"/>
  <c r="X107" i="5"/>
  <c r="Y106" i="5" a="1"/>
  <c r="Y106" i="5" s="1"/>
  <c r="Z106" i="5" s="1" a="1"/>
  <c r="Z106" i="5" s="1"/>
  <c r="S102" i="5"/>
  <c r="R102" i="5"/>
  <c r="Q102" i="5"/>
  <c r="X108" i="5" l="1"/>
  <c r="Y107" i="5" a="1"/>
  <c r="Y107" i="5" s="1"/>
  <c r="Z107" i="5" s="1" a="1"/>
  <c r="Z107" i="5" s="1"/>
  <c r="F105" i="5"/>
  <c r="AA106" i="5" a="1"/>
  <c r="AA106" i="5" s="1"/>
  <c r="AC106" i="5" s="1" a="1"/>
  <c r="AC106" i="5" s="1"/>
  <c r="AB106" i="5" a="1"/>
  <c r="AB106" i="5" s="1"/>
  <c r="AD106" i="5" s="1" a="1"/>
  <c r="AD106" i="5" s="1"/>
  <c r="T103" i="5"/>
  <c r="P103" i="5"/>
  <c r="T104" i="5"/>
  <c r="P104" i="5"/>
  <c r="S104" i="5" l="1"/>
  <c r="R104" i="5"/>
  <c r="Q104" i="5"/>
  <c r="S103" i="5"/>
  <c r="R103" i="5"/>
  <c r="Q103" i="5"/>
  <c r="F106" i="5"/>
  <c r="H105" i="5"/>
  <c r="L105" i="5"/>
  <c r="G105" i="5"/>
  <c r="AA107" i="5" a="1"/>
  <c r="AA107" i="5" s="1"/>
  <c r="AC107" i="5" s="1" a="1"/>
  <c r="AC107" i="5" s="1"/>
  <c r="AB107" i="5" a="1"/>
  <c r="AB107" i="5" s="1"/>
  <c r="AD107" i="5" s="1" a="1"/>
  <c r="AD107" i="5" s="1"/>
  <c r="Y108" i="5" a="1"/>
  <c r="Y108" i="5" s="1"/>
  <c r="Z108" i="5" s="1" a="1"/>
  <c r="Z108" i="5" s="1"/>
  <c r="X109" i="5"/>
  <c r="Y109" i="5" l="1" a="1"/>
  <c r="Y109" i="5" s="1"/>
  <c r="Z109" i="5" s="1" a="1"/>
  <c r="Z109" i="5" s="1"/>
  <c r="X110" i="5"/>
  <c r="AB108" i="5" a="1"/>
  <c r="AB108" i="5" s="1"/>
  <c r="AD108" i="5" s="1" a="1"/>
  <c r="AD108" i="5" s="1"/>
  <c r="AA108" i="5" a="1"/>
  <c r="AA108" i="5" s="1"/>
  <c r="AC108" i="5" s="1" a="1"/>
  <c r="AC108" i="5" s="1"/>
  <c r="F108" i="5" s="1"/>
  <c r="F107" i="5"/>
  <c r="P105" i="5"/>
  <c r="T105" i="5"/>
  <c r="L106" i="5"/>
  <c r="H106" i="5"/>
  <c r="G106" i="5"/>
  <c r="T106" i="5" l="1"/>
  <c r="P106" i="5"/>
  <c r="L107" i="5"/>
  <c r="H107" i="5"/>
  <c r="G107" i="5"/>
  <c r="R105" i="5"/>
  <c r="Q105" i="5"/>
  <c r="S105" i="5"/>
  <c r="L108" i="5"/>
  <c r="H108" i="5"/>
  <c r="G108" i="5"/>
  <c r="X111" i="5"/>
  <c r="Y110" i="5" a="1"/>
  <c r="Y110" i="5" s="1"/>
  <c r="Z110" i="5" s="1" a="1"/>
  <c r="Z110" i="5" s="1"/>
  <c r="AB109" i="5" a="1"/>
  <c r="AB109" i="5" s="1"/>
  <c r="AD109" i="5" s="1" a="1"/>
  <c r="AD109" i="5" s="1"/>
  <c r="AA109" i="5" a="1"/>
  <c r="AA109" i="5" s="1"/>
  <c r="AC109" i="5" s="1" a="1"/>
  <c r="AC109" i="5" s="1"/>
  <c r="P107" i="5" l="1"/>
  <c r="T107" i="5"/>
  <c r="AB110" i="5" a="1"/>
  <c r="AB110" i="5" s="1"/>
  <c r="AD110" i="5" s="1" a="1"/>
  <c r="AD110" i="5" s="1"/>
  <c r="AA110" i="5" a="1"/>
  <c r="AA110" i="5" s="1"/>
  <c r="AC110" i="5" s="1" a="1"/>
  <c r="AC110" i="5" s="1"/>
  <c r="Y111" i="5" a="1"/>
  <c r="Y111" i="5" s="1"/>
  <c r="Z111" i="5" s="1" a="1"/>
  <c r="Z111" i="5" s="1"/>
  <c r="X112" i="5"/>
  <c r="T108" i="5"/>
  <c r="P108" i="5"/>
  <c r="F109" i="5"/>
  <c r="S106" i="5"/>
  <c r="R106" i="5"/>
  <c r="Q106" i="5"/>
  <c r="H109" i="5" l="1"/>
  <c r="G109" i="5"/>
  <c r="L109" i="5"/>
  <c r="F110" i="5"/>
  <c r="Q108" i="5"/>
  <c r="S108" i="5"/>
  <c r="R108" i="5"/>
  <c r="X113" i="5"/>
  <c r="Y112" i="5" a="1"/>
  <c r="Y112" i="5" s="1"/>
  <c r="Z112" i="5" s="1" a="1"/>
  <c r="Z112" i="5" s="1"/>
  <c r="AB111" i="5" a="1"/>
  <c r="AB111" i="5" s="1"/>
  <c r="AD111" i="5" s="1" a="1"/>
  <c r="AD111" i="5" s="1"/>
  <c r="AA111" i="5" a="1"/>
  <c r="AA111" i="5" s="1"/>
  <c r="AC111" i="5" s="1" a="1"/>
  <c r="AC111" i="5" s="1"/>
  <c r="R107" i="5"/>
  <c r="S107" i="5"/>
  <c r="Q107" i="5"/>
  <c r="F111" i="5" l="1"/>
  <c r="AB112" i="5" a="1"/>
  <c r="AB112" i="5" s="1"/>
  <c r="AD112" i="5" s="1" a="1"/>
  <c r="AD112" i="5" s="1"/>
  <c r="AA112" i="5" a="1"/>
  <c r="AA112" i="5" s="1"/>
  <c r="AC112" i="5" s="1" a="1"/>
  <c r="AC112" i="5" s="1"/>
  <c r="F112" i="5" s="1"/>
  <c r="X114" i="5"/>
  <c r="Y113" i="5" a="1"/>
  <c r="Y113" i="5" s="1"/>
  <c r="Z113" i="5" s="1" a="1"/>
  <c r="Z113" i="5" s="1"/>
  <c r="H110" i="5"/>
  <c r="G110" i="5"/>
  <c r="L110" i="5"/>
  <c r="T109" i="5"/>
  <c r="P109" i="5"/>
  <c r="S109" i="5" l="1"/>
  <c r="R109" i="5"/>
  <c r="Q109" i="5"/>
  <c r="P110" i="5"/>
  <c r="T110" i="5"/>
  <c r="AB113" i="5" a="1"/>
  <c r="AB113" i="5" s="1"/>
  <c r="AD113" i="5" s="1" a="1"/>
  <c r="AD113" i="5" s="1"/>
  <c r="AA113" i="5" a="1"/>
  <c r="AA113" i="5" s="1"/>
  <c r="AC113" i="5" s="1" a="1"/>
  <c r="AC113" i="5" s="1"/>
  <c r="F113" i="5" s="1"/>
  <c r="X115" i="5"/>
  <c r="Y114" i="5" a="1"/>
  <c r="Y114" i="5" s="1"/>
  <c r="Z114" i="5" s="1" a="1"/>
  <c r="Z114" i="5" s="1"/>
  <c r="H112" i="5"/>
  <c r="G112" i="5"/>
  <c r="L112" i="5"/>
  <c r="H111" i="5"/>
  <c r="G111" i="5"/>
  <c r="L111" i="5"/>
  <c r="T112" i="5" l="1"/>
  <c r="P112" i="5"/>
  <c r="AB114" i="5" a="1"/>
  <c r="AB114" i="5" s="1"/>
  <c r="AD114" i="5" s="1" a="1"/>
  <c r="AD114" i="5" s="1"/>
  <c r="AA114" i="5" a="1"/>
  <c r="AA114" i="5" s="1"/>
  <c r="AC114" i="5" s="1" a="1"/>
  <c r="AC114" i="5" s="1"/>
  <c r="F114" i="5" s="1"/>
  <c r="H113" i="5"/>
  <c r="L113" i="5"/>
  <c r="G113" i="5"/>
  <c r="Y115" i="5" a="1"/>
  <c r="Y115" i="5" s="1"/>
  <c r="Z115" i="5" s="1" a="1"/>
  <c r="Z115" i="5" s="1"/>
  <c r="X116" i="5"/>
  <c r="S110" i="5"/>
  <c r="R110" i="5"/>
  <c r="Q110" i="5"/>
  <c r="T111" i="5"/>
  <c r="P111" i="5"/>
  <c r="Y116" i="5" l="1" a="1"/>
  <c r="Y116" i="5" s="1"/>
  <c r="Z116" i="5" s="1" a="1"/>
  <c r="Z116" i="5" s="1"/>
  <c r="X117" i="5"/>
  <c r="AA115" i="5" a="1"/>
  <c r="AA115" i="5" s="1"/>
  <c r="AC115" i="5" s="1" a="1"/>
  <c r="AC115" i="5" s="1"/>
  <c r="AB115" i="5" a="1"/>
  <c r="AB115" i="5" s="1"/>
  <c r="AD115" i="5" s="1" a="1"/>
  <c r="AD115" i="5" s="1"/>
  <c r="T113" i="5"/>
  <c r="P113" i="5"/>
  <c r="L114" i="5"/>
  <c r="H114" i="5"/>
  <c r="G114" i="5"/>
  <c r="S112" i="5"/>
  <c r="R112" i="5"/>
  <c r="Q112" i="5"/>
  <c r="S111" i="5"/>
  <c r="R111" i="5"/>
  <c r="Q111" i="5"/>
  <c r="S113" i="5" l="1"/>
  <c r="R113" i="5"/>
  <c r="Q113" i="5"/>
  <c r="P114" i="5"/>
  <c r="T114" i="5"/>
  <c r="F115" i="5"/>
  <c r="Y117" i="5" a="1"/>
  <c r="Y117" i="5" s="1"/>
  <c r="Z117" i="5" s="1" a="1"/>
  <c r="Z117" i="5" s="1"/>
  <c r="X118" i="5"/>
  <c r="AB116" i="5" a="1"/>
  <c r="AB116" i="5" s="1"/>
  <c r="AD116" i="5" s="1" a="1"/>
  <c r="AD116" i="5" s="1"/>
  <c r="AA116" i="5" a="1"/>
  <c r="AA116" i="5" s="1"/>
  <c r="AC116" i="5" s="1" a="1"/>
  <c r="AC116" i="5" s="1"/>
  <c r="F116" i="5" s="1"/>
  <c r="L116" i="5" l="1"/>
  <c r="H116" i="5"/>
  <c r="G116" i="5"/>
  <c r="X119" i="5"/>
  <c r="Y118" i="5" a="1"/>
  <c r="Y118" i="5" s="1"/>
  <c r="Z118" i="5" s="1" a="1"/>
  <c r="Z118" i="5" s="1"/>
  <c r="AA117" i="5" a="1"/>
  <c r="AA117" i="5" s="1"/>
  <c r="AC117" i="5" s="1" a="1"/>
  <c r="AC117" i="5" s="1"/>
  <c r="F117" i="5" s="1"/>
  <c r="AB117" i="5" a="1"/>
  <c r="AB117" i="5" s="1"/>
  <c r="AD117" i="5" s="1" a="1"/>
  <c r="AD117" i="5" s="1"/>
  <c r="L115" i="5"/>
  <c r="H115" i="5"/>
  <c r="G115" i="5"/>
  <c r="Q114" i="5"/>
  <c r="R114" i="5"/>
  <c r="S114" i="5"/>
  <c r="P115" i="5" l="1"/>
  <c r="T115" i="5"/>
  <c r="T116" i="5"/>
  <c r="P116" i="5"/>
  <c r="L117" i="5"/>
  <c r="H117" i="5"/>
  <c r="G117" i="5"/>
  <c r="AB118" i="5" a="1"/>
  <c r="AB118" i="5" s="1"/>
  <c r="AD118" i="5" s="1" a="1"/>
  <c r="AD118" i="5" s="1"/>
  <c r="AA118" i="5" a="1"/>
  <c r="AA118" i="5" s="1"/>
  <c r="AC118" i="5" s="1" a="1"/>
  <c r="AC118" i="5" s="1"/>
  <c r="X120" i="5"/>
  <c r="Y119" i="5" a="1"/>
  <c r="Y119" i="5" s="1"/>
  <c r="Z119" i="5" s="1" a="1"/>
  <c r="Z119" i="5" s="1"/>
  <c r="T117" i="5" l="1"/>
  <c r="P117" i="5"/>
  <c r="S116" i="5"/>
  <c r="Q116" i="5"/>
  <c r="R116" i="5"/>
  <c r="R115" i="5"/>
  <c r="S115" i="5"/>
  <c r="Q115" i="5"/>
  <c r="X121" i="5"/>
  <c r="Y120" i="5" a="1"/>
  <c r="Y120" i="5" s="1"/>
  <c r="Z120" i="5" s="1" a="1"/>
  <c r="Z120" i="5" s="1"/>
  <c r="F118" i="5"/>
  <c r="AB119" i="5" a="1"/>
  <c r="AB119" i="5" s="1"/>
  <c r="AD119" i="5" s="1" a="1"/>
  <c r="AD119" i="5" s="1"/>
  <c r="AA119" i="5" a="1"/>
  <c r="AA119" i="5" s="1"/>
  <c r="AC119" i="5" s="1" a="1"/>
  <c r="AC119" i="5" s="1"/>
  <c r="G118" i="5" l="1"/>
  <c r="L118" i="5"/>
  <c r="H118" i="5"/>
  <c r="F119" i="5"/>
  <c r="Y121" i="5" a="1"/>
  <c r="Y121" i="5" s="1"/>
  <c r="Z121" i="5" s="1" a="1"/>
  <c r="Z121" i="5" s="1"/>
  <c r="X122" i="5"/>
  <c r="R117" i="5"/>
  <c r="Q117" i="5"/>
  <c r="S117" i="5"/>
  <c r="AB120" i="5" a="1"/>
  <c r="AB120" i="5" s="1"/>
  <c r="AD120" i="5" s="1" a="1"/>
  <c r="AD120" i="5" s="1"/>
  <c r="AA120" i="5" a="1"/>
  <c r="AA120" i="5" s="1"/>
  <c r="AC120" i="5" s="1" a="1"/>
  <c r="AC120" i="5" s="1"/>
  <c r="F120" i="5" s="1"/>
  <c r="G120" i="5" l="1"/>
  <c r="H120" i="5"/>
  <c r="L120" i="5"/>
  <c r="P118" i="5"/>
  <c r="T118" i="5"/>
  <c r="AB121" i="5" a="1"/>
  <c r="AB121" i="5" s="1"/>
  <c r="AD121" i="5" s="1" a="1"/>
  <c r="AD121" i="5" s="1"/>
  <c r="AA121" i="5" a="1"/>
  <c r="AA121" i="5" s="1"/>
  <c r="AC121" i="5" s="1" a="1"/>
  <c r="AC121" i="5" s="1"/>
  <c r="F121" i="5" s="1"/>
  <c r="Y122" i="5" a="1"/>
  <c r="Y122" i="5" s="1"/>
  <c r="Z122" i="5" s="1" a="1"/>
  <c r="Z122" i="5" s="1"/>
  <c r="X123" i="5"/>
  <c r="H119" i="5"/>
  <c r="G119" i="5"/>
  <c r="L119" i="5"/>
  <c r="T119" i="5" l="1"/>
  <c r="P119" i="5"/>
  <c r="Y123" i="5" a="1"/>
  <c r="Y123" i="5" s="1"/>
  <c r="Z123" i="5" s="1" a="1"/>
  <c r="Z123" i="5" s="1"/>
  <c r="X124" i="5"/>
  <c r="AA122" i="5" a="1"/>
  <c r="AA122" i="5" s="1"/>
  <c r="AC122" i="5" s="1" a="1"/>
  <c r="AC122" i="5" s="1"/>
  <c r="AB122" i="5" a="1"/>
  <c r="AB122" i="5" s="1"/>
  <c r="AD122" i="5" s="1" a="1"/>
  <c r="AD122" i="5" s="1"/>
  <c r="H121" i="5"/>
  <c r="L121" i="5"/>
  <c r="G121" i="5"/>
  <c r="S118" i="5"/>
  <c r="R118" i="5"/>
  <c r="Q118" i="5"/>
  <c r="T120" i="5"/>
  <c r="P120" i="5"/>
  <c r="T121" i="5" l="1"/>
  <c r="P121" i="5"/>
  <c r="F122" i="5"/>
  <c r="Y124" i="5" a="1"/>
  <c r="Y124" i="5" s="1"/>
  <c r="Z124" i="5" s="1" a="1"/>
  <c r="Z124" i="5" s="1"/>
  <c r="X125" i="5"/>
  <c r="S119" i="5"/>
  <c r="R119" i="5"/>
  <c r="Q119" i="5"/>
  <c r="AA123" i="5" a="1"/>
  <c r="AA123" i="5" s="1"/>
  <c r="AC123" i="5" s="1" a="1"/>
  <c r="AC123" i="5" s="1"/>
  <c r="F123" i="5" s="1"/>
  <c r="AB123" i="5" a="1"/>
  <c r="AB123" i="5" s="1"/>
  <c r="AD123" i="5" s="1" a="1"/>
  <c r="AD123" i="5" s="1"/>
  <c r="S120" i="5"/>
  <c r="R120" i="5"/>
  <c r="Q120" i="5"/>
  <c r="AB124" i="5" l="1" a="1"/>
  <c r="AB124" i="5" s="1"/>
  <c r="AD124" i="5" s="1" a="1"/>
  <c r="AD124" i="5" s="1"/>
  <c r="AA124" i="5" a="1"/>
  <c r="AA124" i="5" s="1"/>
  <c r="AC124" i="5" s="1" a="1"/>
  <c r="AC124" i="5" s="1"/>
  <c r="F124" i="5" s="1"/>
  <c r="L122" i="5"/>
  <c r="G122" i="5"/>
  <c r="H122" i="5"/>
  <c r="L123" i="5"/>
  <c r="H123" i="5"/>
  <c r="G123" i="5"/>
  <c r="X126" i="5"/>
  <c r="Y125" i="5" a="1"/>
  <c r="Y125" i="5" s="1"/>
  <c r="Z125" i="5" s="1" a="1"/>
  <c r="Z125" i="5" s="1"/>
  <c r="R121" i="5"/>
  <c r="S121" i="5"/>
  <c r="Q121" i="5"/>
  <c r="X127" i="5" l="1"/>
  <c r="Y126" i="5" a="1"/>
  <c r="Y126" i="5" s="1"/>
  <c r="Z126" i="5" s="1" a="1"/>
  <c r="Z126" i="5" s="1"/>
  <c r="P123" i="5"/>
  <c r="T123" i="5"/>
  <c r="P122" i="5"/>
  <c r="T122" i="5"/>
  <c r="L124" i="5"/>
  <c r="H124" i="5"/>
  <c r="G124" i="5"/>
  <c r="AB125" i="5" a="1"/>
  <c r="AB125" i="5" s="1"/>
  <c r="AD125" i="5" s="1" a="1"/>
  <c r="AD125" i="5" s="1"/>
  <c r="AA125" i="5" a="1"/>
  <c r="AA125" i="5" s="1"/>
  <c r="AC125" i="5" s="1" a="1"/>
  <c r="AC125" i="5" s="1"/>
  <c r="R123" i="5" l="1"/>
  <c r="S123" i="5"/>
  <c r="Q123" i="5"/>
  <c r="AB126" i="5" a="1"/>
  <c r="AB126" i="5" s="1"/>
  <c r="AD126" i="5" s="1" a="1"/>
  <c r="AD126" i="5" s="1"/>
  <c r="AA126" i="5" a="1"/>
  <c r="AA126" i="5" s="1"/>
  <c r="AC126" i="5" s="1" a="1"/>
  <c r="AC126" i="5" s="1"/>
  <c r="F126" i="5" s="1"/>
  <c r="T124" i="5"/>
  <c r="P124" i="5"/>
  <c r="S122" i="5"/>
  <c r="R122" i="5"/>
  <c r="Q122" i="5"/>
  <c r="F125" i="5"/>
  <c r="X128" i="5"/>
  <c r="Y127" i="5" a="1"/>
  <c r="Y127" i="5" s="1"/>
  <c r="Z127" i="5" s="1" a="1"/>
  <c r="Z127" i="5" s="1"/>
  <c r="AA127" i="5" l="1" a="1"/>
  <c r="AA127" i="5" s="1"/>
  <c r="AC127" i="5" s="1" a="1"/>
  <c r="AC127" i="5" s="1"/>
  <c r="F127" i="5" s="1"/>
  <c r="AB127" i="5" a="1"/>
  <c r="AB127" i="5" s="1"/>
  <c r="AD127" i="5" s="1" a="1"/>
  <c r="AD127" i="5" s="1"/>
  <c r="L125" i="5"/>
  <c r="G125" i="5"/>
  <c r="H125" i="5"/>
  <c r="R124" i="5"/>
  <c r="Q124" i="5"/>
  <c r="S124" i="5"/>
  <c r="X129" i="5"/>
  <c r="Y128" i="5" a="1"/>
  <c r="Y128" i="5" s="1"/>
  <c r="Z128" i="5" s="1" a="1"/>
  <c r="Z128" i="5" s="1"/>
  <c r="G126" i="5"/>
  <c r="L126" i="5"/>
  <c r="H126" i="5"/>
  <c r="AA128" i="5" l="1" a="1"/>
  <c r="AA128" i="5" s="1"/>
  <c r="AC128" i="5" s="1" a="1"/>
  <c r="AC128" i="5" s="1"/>
  <c r="F128" i="5" s="1"/>
  <c r="AB128" i="5" a="1"/>
  <c r="AB128" i="5" s="1"/>
  <c r="AD128" i="5" s="1" a="1"/>
  <c r="AD128" i="5" s="1"/>
  <c r="X130" i="5"/>
  <c r="Y129" i="5" a="1"/>
  <c r="Y129" i="5" s="1"/>
  <c r="Z129" i="5" s="1" a="1"/>
  <c r="Z129" i="5" s="1"/>
  <c r="T125" i="5"/>
  <c r="P125" i="5"/>
  <c r="L127" i="5"/>
  <c r="H127" i="5"/>
  <c r="G127" i="5"/>
  <c r="P126" i="5"/>
  <c r="T126" i="5"/>
  <c r="S126" i="5" l="1"/>
  <c r="R126" i="5"/>
  <c r="Q126" i="5"/>
  <c r="T127" i="5"/>
  <c r="P127" i="5"/>
  <c r="R125" i="5"/>
  <c r="Q125" i="5"/>
  <c r="S125" i="5"/>
  <c r="AB129" i="5" a="1"/>
  <c r="AB129" i="5" s="1"/>
  <c r="AD129" i="5" s="1" a="1"/>
  <c r="AD129" i="5" s="1"/>
  <c r="AA129" i="5" a="1"/>
  <c r="AA129" i="5" s="1"/>
  <c r="AC129" i="5" s="1" a="1"/>
  <c r="AC129" i="5" s="1"/>
  <c r="F129" i="5" s="1"/>
  <c r="X131" i="5"/>
  <c r="Y131" i="5" s="1" a="1"/>
  <c r="Y131" i="5" s="1"/>
  <c r="Z131" i="5" s="1" a="1"/>
  <c r="Z131" i="5" s="1"/>
  <c r="Y130" i="5" a="1"/>
  <c r="Y130" i="5" s="1"/>
  <c r="Z130" i="5" s="1" a="1"/>
  <c r="Z130" i="5" s="1"/>
  <c r="L128" i="5"/>
  <c r="H128" i="5"/>
  <c r="G128" i="5"/>
  <c r="AA131" i="5" l="1" a="1"/>
  <c r="AA131" i="5" s="1"/>
  <c r="AC131" i="5" s="1" a="1"/>
  <c r="AC131" i="5" s="1"/>
  <c r="F131" i="5" s="1"/>
  <c r="AB131" i="5" a="1"/>
  <c r="AB131" i="5" s="1"/>
  <c r="AD131" i="5" s="1" a="1"/>
  <c r="AD131" i="5" s="1"/>
  <c r="AA130" i="5" a="1"/>
  <c r="AA130" i="5" s="1"/>
  <c r="AC130" i="5" s="1" a="1"/>
  <c r="AC130" i="5" s="1"/>
  <c r="F130" i="5" s="1"/>
  <c r="AB130" i="5" a="1"/>
  <c r="AB130" i="5" s="1"/>
  <c r="AD130" i="5" s="1" a="1"/>
  <c r="AD130" i="5" s="1"/>
  <c r="S127" i="5"/>
  <c r="Q127" i="5"/>
  <c r="R127" i="5"/>
  <c r="T128" i="5"/>
  <c r="P128" i="5"/>
  <c r="H129" i="5"/>
  <c r="L129" i="5"/>
  <c r="G129" i="5"/>
  <c r="CE9" i="6" l="1" a="1"/>
  <c r="CE9" i="6" s="1"/>
  <c r="BN6" i="6" a="1"/>
  <c r="BN6" i="6" s="1"/>
  <c r="G130" i="5"/>
  <c r="BP11" i="6" s="1" a="1"/>
  <c r="BP11" i="6" s="1"/>
  <c r="H130" i="5"/>
  <c r="L130" i="5"/>
  <c r="BN7" i="6" a="1"/>
  <c r="BN7" i="6" s="1"/>
  <c r="P129" i="5"/>
  <c r="T129" i="5"/>
  <c r="S128" i="5"/>
  <c r="Q128" i="5"/>
  <c r="R128" i="5"/>
  <c r="BN8" i="6" a="1"/>
  <c r="BN8" i="6" s="1"/>
  <c r="G131" i="5"/>
  <c r="H131" i="5"/>
  <c r="L131" i="5"/>
  <c r="CT9" i="6" a="1"/>
  <c r="CT9" i="6" s="1"/>
  <c r="AY6" i="6" l="1" a="1"/>
  <c r="AY6" i="6" s="1"/>
  <c r="BA6" i="6" a="1"/>
  <c r="BA6" i="6" s="1"/>
  <c r="BN11" i="6" a="1"/>
  <c r="BN11" i="6" s="1"/>
  <c r="CE10" i="6" a="1"/>
  <c r="CE10" i="6" s="1"/>
  <c r="CR7" i="6" a="1"/>
  <c r="CR7" i="6" s="1"/>
  <c r="AY8" i="6" a="1"/>
  <c r="AY8" i="6" s="1"/>
  <c r="BP10" i="6" a="1"/>
  <c r="BP10" i="6" s="1"/>
  <c r="S129" i="5"/>
  <c r="R129" i="5"/>
  <c r="Q129" i="5"/>
  <c r="CC8" i="6" a="1"/>
  <c r="CC8" i="6" s="1"/>
  <c r="P130" i="5"/>
  <c r="T130" i="5"/>
  <c r="CT6" i="6" a="1"/>
  <c r="CT6" i="6" s="1"/>
  <c r="BN10" i="6" a="1"/>
  <c r="BN10" i="6" s="1"/>
  <c r="CT7" i="6" a="1"/>
  <c r="CT7" i="6" s="1"/>
  <c r="CT8" i="6" a="1"/>
  <c r="CT8" i="6" s="1"/>
  <c r="CE7" i="6" a="1"/>
  <c r="CE7" i="6" s="1"/>
  <c r="CR6" i="6" a="1"/>
  <c r="CR6" i="6" s="1"/>
  <c r="CR8" i="6" a="1"/>
  <c r="CR8" i="6" s="1"/>
  <c r="CU8" i="6" s="1"/>
  <c r="CE8" i="6" a="1"/>
  <c r="CE8" i="6" s="1"/>
  <c r="CC6" i="6" a="1"/>
  <c r="CC6" i="6" s="1"/>
  <c r="BP7" i="6" a="1"/>
  <c r="BP7" i="6" s="1"/>
  <c r="BQ7" i="6" s="1"/>
  <c r="BN9" i="6" a="1"/>
  <c r="BN9" i="6" s="1"/>
  <c r="CC10" i="6" a="1"/>
  <c r="CC10" i="6" s="1"/>
  <c r="CN7" i="6"/>
  <c r="CL8" i="6"/>
  <c r="BI6" i="6"/>
  <c r="CO10" i="6"/>
  <c r="BK10" i="6"/>
  <c r="CS10" i="6"/>
  <c r="BG6" i="6"/>
  <c r="BG8" i="6"/>
  <c r="BO7" i="6"/>
  <c r="BJ8" i="6"/>
  <c r="AR8" i="6"/>
  <c r="BG11" i="6"/>
  <c r="CB7" i="6"/>
  <c r="CK6" i="6"/>
  <c r="BO11" i="6"/>
  <c r="CQ10" i="6"/>
  <c r="BO6" i="6"/>
  <c r="BX9" i="6"/>
  <c r="CM9" i="6"/>
  <c r="BV10" i="6"/>
  <c r="AU8" i="6"/>
  <c r="BG9" i="6"/>
  <c r="BX8" i="6"/>
  <c r="BJ11" i="6"/>
  <c r="AZ6" i="6"/>
  <c r="BZ9" i="6"/>
  <c r="CQ8" i="6"/>
  <c r="AV6" i="6"/>
  <c r="CM7" i="6"/>
  <c r="BW8" i="6"/>
  <c r="AU6" i="6"/>
  <c r="BH8" i="6"/>
  <c r="AR7" i="6"/>
  <c r="BJ9" i="6"/>
  <c r="AT6" i="6"/>
  <c r="BH6" i="6"/>
  <c r="CO9" i="6"/>
  <c r="BY9" i="6"/>
  <c r="CD6" i="6"/>
  <c r="CL7" i="6"/>
  <c r="CQ6" i="6"/>
  <c r="AS6" i="6"/>
  <c r="BK11" i="6"/>
  <c r="BH11" i="6"/>
  <c r="BI10" i="6"/>
  <c r="BW6" i="6"/>
  <c r="CL10" i="6"/>
  <c r="BY6" i="6"/>
  <c r="BZ8" i="6"/>
  <c r="CL6" i="6"/>
  <c r="BY10" i="6"/>
  <c r="BJ6" i="6"/>
  <c r="CD7" i="6"/>
  <c r="BW10" i="6"/>
  <c r="BM9" i="6"/>
  <c r="BG10" i="6"/>
  <c r="CK9" i="6"/>
  <c r="CQ7" i="6"/>
  <c r="BM8" i="6"/>
  <c r="CM8" i="6"/>
  <c r="CL9" i="6"/>
  <c r="CS6" i="6"/>
  <c r="AZ8" i="6"/>
  <c r="BK8" i="6"/>
  <c r="CO8" i="6"/>
  <c r="CB10" i="6"/>
  <c r="CS7" i="6"/>
  <c r="AU7" i="6"/>
  <c r="AX6" i="6"/>
  <c r="CO7" i="6"/>
  <c r="BK6" i="6"/>
  <c r="BM7" i="6"/>
  <c r="BV8" i="6"/>
  <c r="AX8" i="6"/>
  <c r="BI9" i="6"/>
  <c r="CS8" i="6"/>
  <c r="AX7" i="6"/>
  <c r="CK7" i="6"/>
  <c r="BH9" i="6"/>
  <c r="AS7" i="6"/>
  <c r="CB8" i="6"/>
  <c r="BV6" i="6"/>
  <c r="AR6" i="6"/>
  <c r="CO6" i="6"/>
  <c r="BV7" i="6"/>
  <c r="BM6" i="6"/>
  <c r="AT8" i="6"/>
  <c r="BY8" i="6"/>
  <c r="AZ7" i="6"/>
  <c r="BX6" i="6"/>
  <c r="BO9" i="6"/>
  <c r="CD8" i="6"/>
  <c r="CS9" i="6"/>
  <c r="BM10" i="6"/>
  <c r="CN8" i="6"/>
  <c r="BW7" i="6"/>
  <c r="BW9" i="6"/>
  <c r="CB9" i="6"/>
  <c r="CM10" i="6"/>
  <c r="BY7" i="6"/>
  <c r="CB6" i="6"/>
  <c r="BI11" i="6"/>
  <c r="BZ10" i="6"/>
  <c r="BZ7" i="6"/>
  <c r="CM6" i="6"/>
  <c r="AV8" i="6"/>
  <c r="BO10" i="6"/>
  <c r="BO8" i="6"/>
  <c r="CN9" i="6"/>
  <c r="BH10" i="6"/>
  <c r="AS8" i="6"/>
  <c r="AT7" i="6"/>
  <c r="CD9" i="6"/>
  <c r="BK9" i="6"/>
  <c r="BX7" i="6"/>
  <c r="CN6" i="6"/>
  <c r="BM11" i="6"/>
  <c r="BJ10" i="6"/>
  <c r="CK10" i="6"/>
  <c r="CQ9" i="6"/>
  <c r="CN10" i="6"/>
  <c r="CK8" i="6"/>
  <c r="BX10" i="6"/>
  <c r="AV7" i="6"/>
  <c r="BZ6" i="6"/>
  <c r="BV9" i="6"/>
  <c r="CD10" i="6"/>
  <c r="CE6" i="6" a="1"/>
  <c r="CE6" i="6" s="1"/>
  <c r="BA7" i="6" a="1"/>
  <c r="BA7" i="6" s="1"/>
  <c r="CC7" i="6" a="1"/>
  <c r="CC7" i="6" s="1"/>
  <c r="CF7" i="6" s="1"/>
  <c r="CC9" i="6" a="1"/>
  <c r="CC9" i="6" s="1"/>
  <c r="CF9" i="6" s="1"/>
  <c r="CT10" i="6" a="1"/>
  <c r="CT10" i="6" s="1"/>
  <c r="T131" i="5"/>
  <c r="P131" i="5"/>
  <c r="F8" i="5" a="1"/>
  <c r="BP8" i="6" a="1"/>
  <c r="BP8" i="6" s="1"/>
  <c r="BQ8" i="6" s="1"/>
  <c r="BA8" i="6" a="1"/>
  <c r="BA8" i="6" s="1"/>
  <c r="BP6" i="6" a="1"/>
  <c r="BP6" i="6" s="1"/>
  <c r="BQ6" i="6" s="1"/>
  <c r="AY7" i="6" a="1"/>
  <c r="AY7" i="6" s="1"/>
  <c r="CR9" i="6" a="1"/>
  <c r="CR9" i="6" s="1"/>
  <c r="CU9" i="6" s="1"/>
  <c r="CR10" i="6" a="1"/>
  <c r="CR10" i="6" s="1"/>
  <c r="BP9" i="6" a="1"/>
  <c r="BP9" i="6" s="1"/>
  <c r="CA9" i="6" l="1"/>
  <c r="BL9" i="6"/>
  <c r="CA8" i="6"/>
  <c r="CP9" i="6"/>
  <c r="CF6" i="6"/>
  <c r="AW8" i="6"/>
  <c r="CP10" i="6"/>
  <c r="BB7" i="6"/>
  <c r="BL11" i="6"/>
  <c r="CU7" i="6"/>
  <c r="CU10" i="6"/>
  <c r="CA7" i="6"/>
  <c r="CG7" i="6" s="1"/>
  <c r="CU6" i="6"/>
  <c r="CG9" i="6"/>
  <c r="BL10" i="6"/>
  <c r="BR10" i="6" s="1"/>
  <c r="CA10" i="6"/>
  <c r="BQ10" i="6"/>
  <c r="R131" i="5"/>
  <c r="S131" i="5"/>
  <c r="Q131" i="5"/>
  <c r="BI7" i="6"/>
  <c r="BK7" i="6"/>
  <c r="BH7" i="6"/>
  <c r="BJ7" i="6"/>
  <c r="BI8" i="6"/>
  <c r="BG7" i="6"/>
  <c r="BL6" i="6"/>
  <c r="BR6" i="6" s="1"/>
  <c r="CV9" i="6"/>
  <c r="CP6" i="6"/>
  <c r="CP8" i="6"/>
  <c r="CV8" i="6" s="1"/>
  <c r="R130" i="5"/>
  <c r="Q130" i="5"/>
  <c r="S130" i="5"/>
  <c r="CF8" i="6"/>
  <c r="AW7" i="6"/>
  <c r="BL8" i="6"/>
  <c r="BR8" i="6" s="1"/>
  <c r="CF10" i="6"/>
  <c r="BQ9" i="6"/>
  <c r="BR9" i="6" s="1"/>
  <c r="CA6" i="6"/>
  <c r="CG6" i="6" s="1"/>
  <c r="CG8" i="6"/>
  <c r="BB8" i="6"/>
  <c r="BC8" i="6" s="1"/>
  <c r="AW6" i="6"/>
  <c r="BQ11" i="6"/>
  <c r="BR11" i="6" s="1"/>
  <c r="I9" i="5"/>
  <c r="F8" i="5"/>
  <c r="F9" i="5"/>
  <c r="O8" i="5"/>
  <c r="P9" i="5"/>
  <c r="I8" i="5"/>
  <c r="O9" i="5"/>
  <c r="H8" i="5"/>
  <c r="K9" i="5"/>
  <c r="K8" i="5"/>
  <c r="J8" i="5"/>
  <c r="G8" i="5"/>
  <c r="N9" i="5"/>
  <c r="Q9" i="5"/>
  <c r="M9" i="5"/>
  <c r="L9" i="5"/>
  <c r="G9" i="5"/>
  <c r="Q8" i="5"/>
  <c r="P8" i="5"/>
  <c r="L8" i="5"/>
  <c r="N8" i="5"/>
  <c r="M8" i="5"/>
  <c r="H9" i="5"/>
  <c r="J9" i="5"/>
  <c r="CP7" i="6"/>
  <c r="BB6" i="6"/>
  <c r="CV10" i="6" l="1"/>
  <c r="CV7" i="6"/>
  <c r="CV6" i="6"/>
  <c r="CW9" i="6" s="1" a="1"/>
  <c r="CW9" i="6" s="1"/>
  <c r="BC7" i="6"/>
  <c r="BL7" i="6"/>
  <c r="BR7" i="6" s="1"/>
  <c r="BS7" i="6" s="1" a="1"/>
  <c r="BS7" i="6" s="1"/>
  <c r="CW10" i="6" a="1"/>
  <c r="CW10" i="6" s="1"/>
  <c r="Q28" i="6"/>
  <c r="Q24" i="6"/>
  <c r="Q20" i="6"/>
  <c r="Q25" i="6"/>
  <c r="Q21" i="6"/>
  <c r="Q26" i="6"/>
  <c r="Q22" i="6"/>
  <c r="Q27" i="6"/>
  <c r="Q23" i="6"/>
  <c r="Q19" i="6"/>
  <c r="CW6" i="6" a="1"/>
  <c r="CW6" i="6" s="1"/>
  <c r="BC6" i="6"/>
  <c r="CG10" i="6"/>
  <c r="CH10" i="6" s="1" a="1"/>
  <c r="CH10" i="6" s="1"/>
  <c r="CW8" i="6" a="1"/>
  <c r="CW8" i="6" s="1"/>
  <c r="C21" i="6" l="1"/>
  <c r="N21" i="6" s="1"/>
  <c r="C25" i="6"/>
  <c r="CW7" i="6" a="1"/>
  <c r="CW7" i="6" s="1"/>
  <c r="R28" i="6"/>
  <c r="AB28" i="6"/>
  <c r="AA28" i="6" a="1"/>
  <c r="AA28" i="6" s="1"/>
  <c r="Z28" i="6"/>
  <c r="Y28" i="6" a="1"/>
  <c r="Y28" i="6" s="1"/>
  <c r="W28" i="6"/>
  <c r="U28" i="6"/>
  <c r="S28" i="6"/>
  <c r="X28" i="6"/>
  <c r="V28" i="6"/>
  <c r="T28" i="6"/>
  <c r="CH7" i="6" a="1"/>
  <c r="CH7" i="6" s="1"/>
  <c r="CH6" i="6" a="1"/>
  <c r="CH6" i="6" s="1"/>
  <c r="R24" i="6"/>
  <c r="AB24" i="6"/>
  <c r="AA24" i="6" a="1"/>
  <c r="AA24" i="6" s="1"/>
  <c r="Z24" i="6"/>
  <c r="Y24" i="6" a="1"/>
  <c r="Y24" i="6" s="1"/>
  <c r="W24" i="6"/>
  <c r="U24" i="6"/>
  <c r="S24" i="6"/>
  <c r="X24" i="6"/>
  <c r="V24" i="6"/>
  <c r="T24" i="6"/>
  <c r="CH8" i="6" a="1"/>
  <c r="CH8" i="6" s="1"/>
  <c r="Q9" i="6"/>
  <c r="BS6" i="6" a="1"/>
  <c r="BS6" i="6" s="1"/>
  <c r="Q12" i="6"/>
  <c r="Q6" i="6"/>
  <c r="F21" i="6"/>
  <c r="E21" i="6"/>
  <c r="D21" i="6"/>
  <c r="M21" i="6" a="1"/>
  <c r="M21" i="6" s="1"/>
  <c r="L21" i="6"/>
  <c r="I21" i="6"/>
  <c r="G21" i="6"/>
  <c r="H21" i="6"/>
  <c r="J21" i="6"/>
  <c r="K21" i="6" a="1"/>
  <c r="K21" i="6" s="1"/>
  <c r="BS9" i="6" a="1"/>
  <c r="BS9" i="6" s="1"/>
  <c r="Q14" i="6"/>
  <c r="CH9" i="6" a="1"/>
  <c r="CH9" i="6" s="1"/>
  <c r="Q10" i="6"/>
  <c r="Y22" i="6" a="1"/>
  <c r="Y22" i="6" s="1"/>
  <c r="X22" i="6"/>
  <c r="W22" i="6"/>
  <c r="V22" i="6"/>
  <c r="U22" i="6"/>
  <c r="T22" i="6"/>
  <c r="S22" i="6"/>
  <c r="R22" i="6"/>
  <c r="AA22" i="6" a="1"/>
  <c r="AA22" i="6" s="1"/>
  <c r="Z22" i="6"/>
  <c r="AB22" i="6"/>
  <c r="C28" i="6"/>
  <c r="Q11" i="6"/>
  <c r="AB19" i="6"/>
  <c r="AA19" i="6" a="1"/>
  <c r="AA19" i="6" s="1"/>
  <c r="Z19" i="6"/>
  <c r="Y19" i="6" a="1"/>
  <c r="Y19" i="6" s="1"/>
  <c r="X19" i="6"/>
  <c r="W19" i="6"/>
  <c r="V19" i="6"/>
  <c r="U19" i="6"/>
  <c r="T19" i="6"/>
  <c r="S19" i="6"/>
  <c r="R19" i="6"/>
  <c r="Q7" i="6"/>
  <c r="C23" i="6"/>
  <c r="Q15" i="6"/>
  <c r="F25" i="6"/>
  <c r="E25" i="6"/>
  <c r="D25" i="6"/>
  <c r="N25" i="6"/>
  <c r="M25" i="6" a="1"/>
  <c r="M25" i="6" s="1"/>
  <c r="L25" i="6"/>
  <c r="I25" i="6"/>
  <c r="G25" i="6"/>
  <c r="K25" i="6" a="1"/>
  <c r="K25" i="6" s="1"/>
  <c r="J25" i="6"/>
  <c r="H25" i="6"/>
  <c r="Q13" i="6"/>
  <c r="C15" i="6"/>
  <c r="C11" i="6"/>
  <c r="C7" i="6"/>
  <c r="C14" i="6"/>
  <c r="C10" i="6"/>
  <c r="C6" i="6"/>
  <c r="C13" i="6"/>
  <c r="C9" i="6"/>
  <c r="C8" i="6"/>
  <c r="C12" i="6"/>
  <c r="BD8" i="6" a="1"/>
  <c r="BD8" i="6" s="1"/>
  <c r="BD7" i="6" a="1"/>
  <c r="BD7" i="6" s="1"/>
  <c r="BD6" i="6" a="1"/>
  <c r="BD6" i="6" s="1"/>
  <c r="Q8" i="6"/>
  <c r="C19" i="6"/>
  <c r="AB27" i="6"/>
  <c r="AA27" i="6" a="1"/>
  <c r="AA27" i="6" s="1"/>
  <c r="Z27" i="6"/>
  <c r="Y27" i="6" a="1"/>
  <c r="Y27" i="6" s="1"/>
  <c r="X27" i="6"/>
  <c r="W27" i="6"/>
  <c r="V27" i="6"/>
  <c r="U27" i="6"/>
  <c r="S27" i="6"/>
  <c r="T27" i="6"/>
  <c r="R27" i="6"/>
  <c r="Y26" i="6" a="1"/>
  <c r="Y26" i="6" s="1"/>
  <c r="X26" i="6"/>
  <c r="W26" i="6"/>
  <c r="V26" i="6"/>
  <c r="U26" i="6"/>
  <c r="T26" i="6"/>
  <c r="S26" i="6"/>
  <c r="R26" i="6"/>
  <c r="AA26" i="6" a="1"/>
  <c r="AA26" i="6" s="1"/>
  <c r="Z26" i="6"/>
  <c r="AB26" i="6"/>
  <c r="V21" i="6"/>
  <c r="U21" i="6"/>
  <c r="T21" i="6"/>
  <c r="S21" i="6"/>
  <c r="R21" i="6"/>
  <c r="AB21" i="6"/>
  <c r="AA21" i="6" a="1"/>
  <c r="AA21" i="6" s="1"/>
  <c r="W21" i="6"/>
  <c r="Z21" i="6"/>
  <c r="X21" i="6"/>
  <c r="Y21" i="6" a="1"/>
  <c r="Y21" i="6" s="1"/>
  <c r="C27" i="6"/>
  <c r="BS10" i="6" a="1"/>
  <c r="BS10" i="6" s="1"/>
  <c r="BS8" i="6" a="1"/>
  <c r="BS8" i="6" s="1"/>
  <c r="C20" i="6"/>
  <c r="C22" i="6"/>
  <c r="AB23" i="6"/>
  <c r="AA23" i="6" a="1"/>
  <c r="AA23" i="6" s="1"/>
  <c r="Z23" i="6"/>
  <c r="Y23" i="6" a="1"/>
  <c r="Y23" i="6" s="1"/>
  <c r="X23" i="6"/>
  <c r="W23" i="6"/>
  <c r="V23" i="6"/>
  <c r="U23" i="6"/>
  <c r="S23" i="6"/>
  <c r="R23" i="6"/>
  <c r="T23" i="6"/>
  <c r="C24" i="6"/>
  <c r="V25" i="6"/>
  <c r="U25" i="6"/>
  <c r="T25" i="6"/>
  <c r="S25" i="6"/>
  <c r="R25" i="6"/>
  <c r="AB25" i="6"/>
  <c r="AA25" i="6" a="1"/>
  <c r="AA25" i="6" s="1"/>
  <c r="Z25" i="6"/>
  <c r="W25" i="6"/>
  <c r="Y25" i="6" a="1"/>
  <c r="Y25" i="6" s="1"/>
  <c r="X25" i="6"/>
  <c r="R20" i="6"/>
  <c r="AB20" i="6"/>
  <c r="AA20" i="6" a="1"/>
  <c r="AA20" i="6" s="1"/>
  <c r="Z20" i="6"/>
  <c r="Y20" i="6" a="1"/>
  <c r="Y20" i="6" s="1"/>
  <c r="U20" i="6"/>
  <c r="S20" i="6"/>
  <c r="X20" i="6"/>
  <c r="W20" i="6"/>
  <c r="V20" i="6"/>
  <c r="T20" i="6"/>
  <c r="C26" i="6"/>
  <c r="BS11" i="6" a="1"/>
  <c r="BS11" i="6" s="1"/>
  <c r="X6" i="6" l="1"/>
  <c r="W6" i="6"/>
  <c r="V6" i="6"/>
  <c r="U6" i="6"/>
  <c r="T6" i="6"/>
  <c r="S6" i="6"/>
  <c r="R6" i="6"/>
  <c r="Z6" i="6"/>
  <c r="Y6" i="6" a="1"/>
  <c r="Y6" i="6" s="1"/>
  <c r="AA6" i="6" a="1"/>
  <c r="AA6" i="6" s="1"/>
  <c r="AB6" i="6"/>
  <c r="N8" i="6"/>
  <c r="M8" i="6" a="1"/>
  <c r="M8" i="6" s="1"/>
  <c r="L8" i="6"/>
  <c r="K8" i="6" a="1"/>
  <c r="K8" i="6" s="1"/>
  <c r="J8" i="6"/>
  <c r="I8" i="6"/>
  <c r="H8" i="6"/>
  <c r="G8" i="6"/>
  <c r="F8" i="6"/>
  <c r="E8" i="6"/>
  <c r="D8" i="6"/>
  <c r="X10" i="6"/>
  <c r="W10" i="6"/>
  <c r="V10" i="6"/>
  <c r="U10" i="6"/>
  <c r="T10" i="6"/>
  <c r="S10" i="6"/>
  <c r="R10" i="6"/>
  <c r="AB10" i="6"/>
  <c r="AA10" i="6" a="1"/>
  <c r="AA10" i="6" s="1"/>
  <c r="Z10" i="6"/>
  <c r="Y10" i="6" a="1"/>
  <c r="Y10" i="6" s="1"/>
  <c r="AB12" i="6"/>
  <c r="AA12" i="6" a="1"/>
  <c r="AA12" i="6" s="1"/>
  <c r="Z12" i="6"/>
  <c r="Y12" i="6" a="1"/>
  <c r="Y12" i="6" s="1"/>
  <c r="X12" i="6"/>
  <c r="W12" i="6"/>
  <c r="V12" i="6"/>
  <c r="U12" i="6"/>
  <c r="T12" i="6"/>
  <c r="S12" i="6"/>
  <c r="R12" i="6"/>
  <c r="K13" i="6" a="1"/>
  <c r="K13" i="6" s="1"/>
  <c r="J13" i="6"/>
  <c r="I13" i="6"/>
  <c r="H13" i="6"/>
  <c r="G13" i="6"/>
  <c r="F13" i="6"/>
  <c r="E13" i="6"/>
  <c r="D13" i="6"/>
  <c r="L13" i="6"/>
  <c r="N13" i="6"/>
  <c r="M13" i="6" a="1"/>
  <c r="M13" i="6" s="1"/>
  <c r="X14" i="6"/>
  <c r="W14" i="6"/>
  <c r="V14" i="6"/>
  <c r="U14" i="6"/>
  <c r="T14" i="6"/>
  <c r="S14" i="6"/>
  <c r="R14" i="6"/>
  <c r="AB14" i="6"/>
  <c r="AA14" i="6" a="1"/>
  <c r="AA14" i="6" s="1"/>
  <c r="Z14" i="6"/>
  <c r="Y14" i="6" a="1"/>
  <c r="Y14" i="6" s="1"/>
  <c r="Z9" i="6"/>
  <c r="Y9" i="6" a="1"/>
  <c r="Y9" i="6" s="1"/>
  <c r="X9" i="6"/>
  <c r="W9" i="6"/>
  <c r="V9" i="6"/>
  <c r="U9" i="6"/>
  <c r="T9" i="6"/>
  <c r="S9" i="6"/>
  <c r="AA9" i="6" a="1"/>
  <c r="AA9" i="6" s="1"/>
  <c r="AB9" i="6"/>
  <c r="R9" i="6"/>
  <c r="N12" i="6"/>
  <c r="M12" i="6" a="1"/>
  <c r="M12" i="6" s="1"/>
  <c r="L12" i="6"/>
  <c r="K12" i="6" a="1"/>
  <c r="K12" i="6" s="1"/>
  <c r="J12" i="6"/>
  <c r="I12" i="6"/>
  <c r="H12" i="6"/>
  <c r="G12" i="6"/>
  <c r="F12" i="6"/>
  <c r="D12" i="6"/>
  <c r="E12" i="6"/>
  <c r="J26" i="6"/>
  <c r="I26" i="6"/>
  <c r="H26" i="6"/>
  <c r="G26" i="6"/>
  <c r="F26" i="6"/>
  <c r="E26" i="6"/>
  <c r="D26" i="6"/>
  <c r="M26" i="6" a="1"/>
  <c r="M26" i="6" s="1"/>
  <c r="L26" i="6"/>
  <c r="N26" i="6"/>
  <c r="K26" i="6" a="1"/>
  <c r="K26" i="6" s="1"/>
  <c r="H6" i="6"/>
  <c r="G6" i="6"/>
  <c r="F6" i="6"/>
  <c r="E6" i="6"/>
  <c r="D6" i="6"/>
  <c r="N6" i="6"/>
  <c r="M6" i="6" a="1"/>
  <c r="M6" i="6" s="1"/>
  <c r="I6" i="6"/>
  <c r="L6" i="6"/>
  <c r="K6" i="6" a="1"/>
  <c r="K6" i="6" s="1"/>
  <c r="J6" i="6"/>
  <c r="T11" i="6"/>
  <c r="S11" i="6"/>
  <c r="R11" i="6"/>
  <c r="AB11" i="6"/>
  <c r="AA11" i="6" a="1"/>
  <c r="AA11" i="6" s="1"/>
  <c r="Z11" i="6"/>
  <c r="U11" i="6"/>
  <c r="Y11" i="6" a="1"/>
  <c r="Y11" i="6" s="1"/>
  <c r="X11" i="6"/>
  <c r="W11" i="6"/>
  <c r="V11" i="6"/>
  <c r="K9" i="6" a="1"/>
  <c r="K9" i="6" s="1"/>
  <c r="J9" i="6"/>
  <c r="I9" i="6"/>
  <c r="H9" i="6"/>
  <c r="G9" i="6"/>
  <c r="F9" i="6"/>
  <c r="E9" i="6"/>
  <c r="D9" i="6"/>
  <c r="L9" i="6"/>
  <c r="N9" i="6"/>
  <c r="M9" i="6" a="1"/>
  <c r="M9" i="6" s="1"/>
  <c r="J22" i="6"/>
  <c r="I22" i="6"/>
  <c r="H22" i="6"/>
  <c r="G22" i="6"/>
  <c r="F22" i="6"/>
  <c r="E22" i="6"/>
  <c r="D22" i="6"/>
  <c r="L22" i="6"/>
  <c r="N22" i="6"/>
  <c r="M22" i="6" a="1"/>
  <c r="M22" i="6" s="1"/>
  <c r="K22" i="6" a="1"/>
  <c r="K22" i="6" s="1"/>
  <c r="H10" i="6"/>
  <c r="G10" i="6"/>
  <c r="F10" i="6"/>
  <c r="E10" i="6"/>
  <c r="D10" i="6"/>
  <c r="N10" i="6"/>
  <c r="M10" i="6" a="1"/>
  <c r="M10" i="6" s="1"/>
  <c r="I10" i="6"/>
  <c r="L10" i="6"/>
  <c r="K10" i="6" a="1"/>
  <c r="K10" i="6" s="1"/>
  <c r="J10" i="6"/>
  <c r="H14" i="6"/>
  <c r="G14" i="6"/>
  <c r="F14" i="6"/>
  <c r="E14" i="6"/>
  <c r="D14" i="6"/>
  <c r="N14" i="6"/>
  <c r="M14" i="6" a="1"/>
  <c r="M14" i="6" s="1"/>
  <c r="I14" i="6"/>
  <c r="L14" i="6"/>
  <c r="K14" i="6" a="1"/>
  <c r="K14" i="6" s="1"/>
  <c r="J14" i="6"/>
  <c r="T15" i="6"/>
  <c r="S15" i="6"/>
  <c r="R15" i="6"/>
  <c r="AB15" i="6"/>
  <c r="AA15" i="6" a="1"/>
  <c r="AA15" i="6" s="1"/>
  <c r="Z15" i="6"/>
  <c r="U15" i="6"/>
  <c r="Y15" i="6" a="1"/>
  <c r="Y15" i="6" s="1"/>
  <c r="X15" i="6"/>
  <c r="W15" i="6"/>
  <c r="V15" i="6"/>
  <c r="N28" i="6"/>
  <c r="M28" i="6" a="1"/>
  <c r="M28" i="6" s="1"/>
  <c r="L28" i="6"/>
  <c r="K28" i="6" a="1"/>
  <c r="K28" i="6" s="1"/>
  <c r="J28" i="6"/>
  <c r="I28" i="6"/>
  <c r="G28" i="6"/>
  <c r="E28" i="6"/>
  <c r="H28" i="6"/>
  <c r="F28" i="6"/>
  <c r="D28" i="6"/>
  <c r="N20" i="6"/>
  <c r="M20" i="6" a="1"/>
  <c r="M20" i="6" s="1"/>
  <c r="L20" i="6"/>
  <c r="K20" i="6" a="1"/>
  <c r="K20" i="6" s="1"/>
  <c r="J20" i="6"/>
  <c r="I20" i="6"/>
  <c r="E20" i="6"/>
  <c r="H20" i="6"/>
  <c r="G20" i="6"/>
  <c r="F20" i="6"/>
  <c r="D20" i="6"/>
  <c r="D7" i="6"/>
  <c r="N7" i="6"/>
  <c r="M7" i="6" a="1"/>
  <c r="M7" i="6" s="1"/>
  <c r="L7" i="6"/>
  <c r="K7" i="6" a="1"/>
  <c r="K7" i="6" s="1"/>
  <c r="E7" i="6"/>
  <c r="J7" i="6"/>
  <c r="I7" i="6"/>
  <c r="H7" i="6"/>
  <c r="G7" i="6"/>
  <c r="F7" i="6"/>
  <c r="L23" i="6"/>
  <c r="K23" i="6" a="1"/>
  <c r="K23" i="6" s="1"/>
  <c r="J23" i="6"/>
  <c r="I23" i="6"/>
  <c r="H23" i="6"/>
  <c r="G23" i="6"/>
  <c r="F23" i="6"/>
  <c r="E23" i="6"/>
  <c r="M23" i="6" a="1"/>
  <c r="M23" i="6" s="1"/>
  <c r="N23" i="6"/>
  <c r="D23" i="6"/>
  <c r="N24" i="6"/>
  <c r="M24" i="6" a="1"/>
  <c r="M24" i="6" s="1"/>
  <c r="L24" i="6"/>
  <c r="K24" i="6" a="1"/>
  <c r="K24" i="6" s="1"/>
  <c r="J24" i="6"/>
  <c r="I24" i="6"/>
  <c r="G24" i="6"/>
  <c r="E24" i="6"/>
  <c r="H24" i="6"/>
  <c r="D24" i="6"/>
  <c r="F24" i="6"/>
  <c r="L27" i="6"/>
  <c r="K27" i="6" a="1"/>
  <c r="K27" i="6" s="1"/>
  <c r="J27" i="6"/>
  <c r="I27" i="6"/>
  <c r="H27" i="6"/>
  <c r="G27" i="6"/>
  <c r="F27" i="6"/>
  <c r="E27" i="6"/>
  <c r="M27" i="6" a="1"/>
  <c r="M27" i="6" s="1"/>
  <c r="N27" i="6"/>
  <c r="D27" i="6"/>
  <c r="D15" i="6"/>
  <c r="N15" i="6"/>
  <c r="M15" i="6" a="1"/>
  <c r="M15" i="6" s="1"/>
  <c r="L15" i="6"/>
  <c r="K15" i="6" a="1"/>
  <c r="K15" i="6" s="1"/>
  <c r="E15" i="6"/>
  <c r="I15" i="6"/>
  <c r="G15" i="6"/>
  <c r="F15" i="6"/>
  <c r="H15" i="6"/>
  <c r="J15" i="6"/>
  <c r="D11" i="6"/>
  <c r="N11" i="6"/>
  <c r="M11" i="6" a="1"/>
  <c r="M11" i="6" s="1"/>
  <c r="L11" i="6"/>
  <c r="K11" i="6" a="1"/>
  <c r="K11" i="6" s="1"/>
  <c r="E11" i="6"/>
  <c r="J11" i="6"/>
  <c r="I11" i="6"/>
  <c r="H11" i="6"/>
  <c r="F11" i="6"/>
  <c r="G11" i="6"/>
  <c r="T7" i="6"/>
  <c r="S7" i="6"/>
  <c r="R7" i="6"/>
  <c r="AB7" i="6"/>
  <c r="AA7" i="6" a="1"/>
  <c r="AA7" i="6" s="1"/>
  <c r="Z7" i="6"/>
  <c r="U7" i="6"/>
  <c r="Y7" i="6" a="1"/>
  <c r="Y7" i="6" s="1"/>
  <c r="X7" i="6"/>
  <c r="W7" i="6"/>
  <c r="V7" i="6"/>
  <c r="Z13" i="6"/>
  <c r="Y13" i="6" a="1"/>
  <c r="Y13" i="6" s="1"/>
  <c r="X13" i="6"/>
  <c r="W13" i="6"/>
  <c r="V13" i="6"/>
  <c r="U13" i="6"/>
  <c r="T13" i="6"/>
  <c r="S13" i="6"/>
  <c r="AA13" i="6" a="1"/>
  <c r="AA13" i="6" s="1"/>
  <c r="AB13" i="6"/>
  <c r="R13" i="6"/>
  <c r="L19" i="6"/>
  <c r="K19" i="6" a="1"/>
  <c r="K19" i="6" s="1"/>
  <c r="J19" i="6"/>
  <c r="I19" i="6"/>
  <c r="H19" i="6"/>
  <c r="G19" i="6"/>
  <c r="F19" i="6"/>
  <c r="E19" i="6"/>
  <c r="M19" i="6" a="1"/>
  <c r="M19" i="6" s="1"/>
  <c r="N19" i="6"/>
  <c r="D19" i="6"/>
  <c r="AB8" i="6"/>
  <c r="AA8" i="6" a="1"/>
  <c r="AA8" i="6" s="1"/>
  <c r="Z8" i="6"/>
  <c r="Y8" i="6" a="1"/>
  <c r="Y8" i="6" s="1"/>
  <c r="X8" i="6"/>
  <c r="W8" i="6"/>
  <c r="V8" i="6"/>
  <c r="U8" i="6"/>
  <c r="T8" i="6"/>
  <c r="S8" i="6"/>
  <c r="R8" i="6"/>
</calcChain>
</file>

<file path=xl/sharedStrings.xml><?xml version="1.0" encoding="utf-8"?>
<sst xmlns="http://schemas.openxmlformats.org/spreadsheetml/2006/main" count="31967" uniqueCount="4412">
  <si>
    <t>🏏 PvP CRICKET TOURNAMENT - SEASON 2</t>
  </si>
  <si>
    <t>🔍 SELECT YOUR TEAM :</t>
  </si>
  <si>
    <t>Manish</t>
  </si>
  <si>
    <t>← Change this team to update the table below</t>
  </si>
  <si>
    <t>TOURNAMENT CONFIGURATION</t>
  </si>
  <si>
    <t>📋 MY TEAM'S MATCHES - auto-filtered from the full schedule</t>
  </si>
  <si>
    <t>Group Name</t>
  </si>
  <si>
    <t>Teams</t>
  </si>
  <si>
    <t>Total Teams:</t>
  </si>
  <si>
    <t>Match#</t>
  </si>
  <si>
    <t>Group</t>
  </si>
  <si>
    <t>Team A</t>
  </si>
  <si>
    <t>Runs A</t>
  </si>
  <si>
    <t>Wkts A</t>
  </si>
  <si>
    <t>Overs A</t>
  </si>
  <si>
    <t>Team B</t>
  </si>
  <si>
    <t>Runs B</t>
  </si>
  <si>
    <t>Wkts B</t>
  </si>
  <si>
    <t>Overs B</t>
  </si>
  <si>
    <t>Result</t>
  </si>
  <si>
    <t>Winner</t>
  </si>
  <si>
    <t>Elite</t>
  </si>
  <si>
    <t>Number of Groups:</t>
  </si>
  <si>
    <t>Super</t>
  </si>
  <si>
    <t>Max Overs per Innings:</t>
  </si>
  <si>
    <t>Golden</t>
  </si>
  <si>
    <t>Group Size Mode:</t>
  </si>
  <si>
    <t>Custom</t>
  </si>
  <si>
    <t>Challenger</t>
  </si>
  <si>
    <t>Registered Teams:</t>
  </si>
  <si>
    <t>ICC POINTS SYSTEM</t>
  </si>
  <si>
    <t>Win:</t>
  </si>
  <si>
    <t>=</t>
  </si>
  <si>
    <t>2 Points</t>
  </si>
  <si>
    <t>Loss:</t>
  </si>
  <si>
    <t>0 Points</t>
  </si>
  <si>
    <t>Tie:</t>
  </si>
  <si>
    <t>1 Point</t>
  </si>
  <si>
    <t>Pair rows needed = Teams × (Teams - 1) ÷ 2</t>
  </si>
  <si>
    <t>No Result:</t>
  </si>
  <si>
    <t>Max teams in any group:</t>
  </si>
  <si>
    <t>Wickets per Innings:</t>
  </si>
  <si>
    <t>Pair rows needed:</t>
  </si>
  <si>
    <t>Copy pair lookup down to this many rows if needed</t>
  </si>
  <si>
    <t>TEAM REGISTRATION</t>
  </si>
  <si>
    <t>MATCH RESULTS ENTRY</t>
  </si>
  <si>
    <t>SCHEDULE HELPER (Round-Robin)</t>
  </si>
  <si>
    <t>PAIR LOOKUP TABLE</t>
  </si>
  <si>
    <t>#</t>
  </si>
  <si>
    <t>Team Name</t>
  </si>
  <si>
    <t>Margin</t>
  </si>
  <si>
    <t>Win
Type</t>
  </si>
  <si>
    <t>🔍 Filter Team</t>
  </si>
  <si>
    <t>Pair#</t>
  </si>
  <si>
    <t>TeamA_Idx</t>
  </si>
  <si>
    <t>TeamB_Idx</t>
  </si>
  <si>
    <t>Ritesh</t>
  </si>
  <si>
    <t>Nyx668</t>
  </si>
  <si>
    <t>Animal</t>
  </si>
  <si>
    <t>Arjun Reddy</t>
  </si>
  <si>
    <t>KC Mehta</t>
  </si>
  <si>
    <t>IMCRCKET</t>
  </si>
  <si>
    <t>Onkar</t>
  </si>
  <si>
    <t>Senthil</t>
  </si>
  <si>
    <t>Haseeb Sha</t>
  </si>
  <si>
    <t>Kalyan</t>
  </si>
  <si>
    <t>Veer Bhatia</t>
  </si>
  <si>
    <t>Shubham Mahajan</t>
  </si>
  <si>
    <t>Vishal  Sahani</t>
  </si>
  <si>
    <t>Aamod</t>
  </si>
  <si>
    <t>Zain</t>
  </si>
  <si>
    <t>Kiran</t>
  </si>
  <si>
    <t>Kunal</t>
  </si>
  <si>
    <t>Zubair</t>
  </si>
  <si>
    <t>➡️ VIEW STANDINGS: Go to 'Points_Tables' sheet to see group standings</t>
  </si>
  <si>
    <t>📋 INSTRUCTIONS:</t>
  </si>
  <si>
    <t>1. Choose Number of Groups in D8, enter group names in U8:U11, and group sizes in V8:V11.</t>
  </si>
  <si>
    <t>2. Register teams in C20:C51; column D auto-assigns groups using the custom sizes.</t>
  </si>
  <si>
    <t>3. Enter match results in yellow cells; wickets are capped by D17, and 5 wickets means innings over.</t>
  </si>
  <si>
    <t>4. View standings: Points tables update automatically on the 'Points_Tables' sheet</t>
  </si>
  <si>
    <t>5. Filter by team: Use dropdown in cell H10 to select a team, then scroll down to row 90 to see only their matches</t>
  </si>
  <si>
    <t>📊 NRR Formula: (Runs Scored / adjusted overs faced) - (Runs Conceded / adjusted overs bowled); all-out at D17 wickets counts as full D9 overs.</t>
  </si>
  <si>
    <t>⚠️ Schedule supports up to 4 groups and up to 8 teams in any one group.</t>
  </si>
  <si>
    <t>📋 MY TEAM'S MATCHES (Auto-updates when you select a team above)</t>
  </si>
  <si>
    <t>BATTING</t>
  </si>
  <si>
    <t>EXTRAS</t>
  </si>
  <si>
    <t>TOTAL SCORE</t>
  </si>
  <si>
    <t>Match</t>
  </si>
  <si>
    <t>Team</t>
  </si>
  <si>
    <t>Batsman</t>
  </si>
  <si>
    <t>Dismissal</t>
  </si>
  <si>
    <t>R</t>
  </si>
  <si>
    <t>M</t>
  </si>
  <si>
    <t>B</t>
  </si>
  <si>
    <t>4s</t>
  </si>
  <si>
    <t>6s</t>
  </si>
  <si>
    <t>SR</t>
  </si>
  <si>
    <t>Bat Number</t>
  </si>
  <si>
    <t>LINK</t>
  </si>
  <si>
    <t>SEL TEAM BAT</t>
  </si>
  <si>
    <t>SEL TEAM RUNS</t>
  </si>
  <si>
    <t>BATSMAN NAME</t>
  </si>
  <si>
    <t>Batsman Cum Score</t>
  </si>
  <si>
    <t>Match Number</t>
  </si>
  <si>
    <t>Team Batting</t>
  </si>
  <si>
    <t>LB</t>
  </si>
  <si>
    <t>W</t>
  </si>
  <si>
    <t>NB</t>
  </si>
  <si>
    <t>BYES</t>
  </si>
  <si>
    <t>TOTAL</t>
  </si>
  <si>
    <t>Wickets</t>
  </si>
  <si>
    <t>Total</t>
  </si>
  <si>
    <t>RPO</t>
  </si>
  <si>
    <t>Overs</t>
  </si>
  <si>
    <t>ORDER</t>
  </si>
  <si>
    <t>ORDER LINK</t>
  </si>
  <si>
    <t>BOWLING TEAM</t>
  </si>
  <si>
    <t>Counting Overs</t>
  </si>
  <si>
    <t>Counting balls</t>
  </si>
  <si>
    <t>Counting Actual Balls</t>
  </si>
  <si>
    <t>Counted Runs</t>
  </si>
  <si>
    <t>Bowler</t>
  </si>
  <si>
    <t>Maidens</t>
  </si>
  <si>
    <t>Runs</t>
  </si>
  <si>
    <t>Econ</t>
  </si>
  <si>
    <t>0s</t>
  </si>
  <si>
    <t>Wides</t>
  </si>
  <si>
    <t>No balls</t>
  </si>
  <si>
    <t>BOWL NUM</t>
  </si>
  <si>
    <t>SEL TEAM BOWLER</t>
  </si>
  <si>
    <t>BALLS BOWLED</t>
  </si>
  <si>
    <t>BATTING TEAM</t>
  </si>
  <si>
    <t>SEL TEAM WICKETS</t>
  </si>
  <si>
    <t>VALUE WICKETS</t>
  </si>
  <si>
    <t>BOWLER CUML WICKETS</t>
  </si>
  <si>
    <t>BOWLER CUML RUNS</t>
  </si>
  <si>
    <t>BOWLER CUML VALUE</t>
  </si>
  <si>
    <t>India</t>
  </si>
  <si>
    <t>RG Sharma</t>
  </si>
  <si>
    <t xml:space="preserve">run out (de Villiers) </t>
  </si>
  <si>
    <t>New Zealand</t>
  </si>
  <si>
    <t>South Africa</t>
  </si>
  <si>
    <t>DW Steyn</t>
  </si>
  <si>
    <t>S Dhawan</t>
  </si>
  <si>
    <t xml:space="preserve">c Amla b Parnell </t>
  </si>
  <si>
    <t>Sri Lanka</t>
  </si>
  <si>
    <t>VD Philander</t>
  </si>
  <si>
    <t>V Kohli</t>
  </si>
  <si>
    <t xml:space="preserve">c du Plessis b Imran Tahir </t>
  </si>
  <si>
    <t>Australia</t>
  </si>
  <si>
    <t>JP Duminy</t>
  </si>
  <si>
    <t>AM Rahane</t>
  </si>
  <si>
    <t xml:space="preserve">lbw b Steyn </t>
  </si>
  <si>
    <t>Pakistan</t>
  </si>
  <si>
    <t>England</t>
  </si>
  <si>
    <t>M Morkel</t>
  </si>
  <si>
    <t>SK Raina</t>
  </si>
  <si>
    <t xml:space="preserve">c sub (RR Rossouw) b Morkel </t>
  </si>
  <si>
    <t>Zimbabwe</t>
  </si>
  <si>
    <t>Imran Tahir</t>
  </si>
  <si>
    <t>MS Dhoni*†</t>
  </si>
  <si>
    <t xml:space="preserve">c †de Kock b Morkel </t>
  </si>
  <si>
    <t>WD Parnell</t>
  </si>
  <si>
    <t>RA Jadeja</t>
  </si>
  <si>
    <t>UAE</t>
  </si>
  <si>
    <t>UT Yadav</t>
  </si>
  <si>
    <t>R Ashwin</t>
  </si>
  <si>
    <t>not out</t>
  </si>
  <si>
    <t>Mohammed Shami</t>
  </si>
  <si>
    <t>Ireland</t>
  </si>
  <si>
    <t>West Indies</t>
  </si>
  <si>
    <t>MM Sharma</t>
  </si>
  <si>
    <t>HM Amla</t>
  </si>
  <si>
    <t xml:space="preserve">c Mohammed Shami b MM Sharma </t>
  </si>
  <si>
    <t>Q de Kock†</t>
  </si>
  <si>
    <t xml:space="preserve">c Kohli b Mohammed Shami </t>
  </si>
  <si>
    <t>Scotland</t>
  </si>
  <si>
    <t>F du Plessis</t>
  </si>
  <si>
    <t xml:space="preserve">c Dhawan b MM Sharma </t>
  </si>
  <si>
    <t>AB de Villiers*</t>
  </si>
  <si>
    <t xml:space="preserve">run out (MM Sharma/†Dhoni) </t>
  </si>
  <si>
    <t>Bangladesh</t>
  </si>
  <si>
    <t>Mohammad Irfan</t>
  </si>
  <si>
    <t>DA Miller</t>
  </si>
  <si>
    <t xml:space="preserve">run out (Yadav/†Dhoni) </t>
  </si>
  <si>
    <t>Afghanistan</t>
  </si>
  <si>
    <t>Sohail Khan</t>
  </si>
  <si>
    <t xml:space="preserve">c Raina b Ashwin </t>
  </si>
  <si>
    <t>Shahid Afridi</t>
  </si>
  <si>
    <t>Wahab Riaz</t>
  </si>
  <si>
    <t xml:space="preserve">lbw b Ashwin </t>
  </si>
  <si>
    <t>Yasir Shah</t>
  </si>
  <si>
    <t xml:space="preserve">c Dhawan b Mohammed Shami </t>
  </si>
  <si>
    <t>Haris Sohail</t>
  </si>
  <si>
    <t xml:space="preserve">b Ashwin </t>
  </si>
  <si>
    <t xml:space="preserve">lbw b Jadeja </t>
  </si>
  <si>
    <t xml:space="preserve">c Misbah-ul-Haq b Sohail Khan </t>
  </si>
  <si>
    <t xml:space="preserve">run out (Misbah-ul-Haq) </t>
  </si>
  <si>
    <t xml:space="preserve">c †Umar Akmal b Sohail Khan </t>
  </si>
  <si>
    <t xml:space="preserve">c Haris Sohail b Sohail Khan </t>
  </si>
  <si>
    <t xml:space="preserve">b Wahab Riaz </t>
  </si>
  <si>
    <t xml:space="preserve">b Sohail Khan </t>
  </si>
  <si>
    <t>Ahmed Shehzad</t>
  </si>
  <si>
    <t>c Jadeja b Yadav</t>
  </si>
  <si>
    <t>T Panyangara</t>
  </si>
  <si>
    <t>Younis Khan</t>
  </si>
  <si>
    <t xml:space="preserve">c †Dhoni b Mohammed Shami </t>
  </si>
  <si>
    <t>TL Chatara</t>
  </si>
  <si>
    <t>T Mupariwa</t>
  </si>
  <si>
    <t>Misbah-ul-Haq*</t>
  </si>
  <si>
    <t xml:space="preserve">c Rahane b Mohammed Shami </t>
  </si>
  <si>
    <t>SF Mire</t>
  </si>
  <si>
    <t>Sohaib Maqsood</t>
  </si>
  <si>
    <t xml:space="preserve">c Raina b Yadav </t>
  </si>
  <si>
    <t>SC Williams</t>
  </si>
  <si>
    <t>Umar Akmal†</t>
  </si>
  <si>
    <t xml:space="preserve">c †Dhoni b Jadeja </t>
  </si>
  <si>
    <t>Sikandar Raza</t>
  </si>
  <si>
    <t>H Masakadza</t>
  </si>
  <si>
    <t>B Kumar</t>
  </si>
  <si>
    <t xml:space="preserve">c Yadav b MM Sharma </t>
  </si>
  <si>
    <t>CJ Chibhabha</t>
  </si>
  <si>
    <t xml:space="preserve">c †Dhoni b Yadav </t>
  </si>
  <si>
    <t>Mohammad Naveed</t>
  </si>
  <si>
    <t xml:space="preserve">c †Dhoni b MM Sharma </t>
  </si>
  <si>
    <t>AM Guruge</t>
  </si>
  <si>
    <t>BRM Taylor*†</t>
  </si>
  <si>
    <t>c Dhawan b MM Sharma  </t>
  </si>
  <si>
    <t>Amjad Javed</t>
  </si>
  <si>
    <t xml:space="preserve">c &amp; b Ashwin </t>
  </si>
  <si>
    <t>Krishna Chandran</t>
  </si>
  <si>
    <t>CR Ervine</t>
  </si>
  <si>
    <t xml:space="preserve">c &amp; b MM Sharma </t>
  </si>
  <si>
    <t>Mohammad Tauqir</t>
  </si>
  <si>
    <t xml:space="preserve">b Mohammed Shami </t>
  </si>
  <si>
    <t>RW Chakabva</t>
  </si>
  <si>
    <t>c RG Sharma b Yadav  </t>
  </si>
  <si>
    <t xml:space="preserve">c Yadav b Mohammed Shami </t>
  </si>
  <si>
    <t xml:space="preserve">b Yadav </t>
  </si>
  <si>
    <t xml:space="preserve">c Sikandar Raza b Panyangara </t>
  </si>
  <si>
    <t xml:space="preserve">b Panyangara </t>
  </si>
  <si>
    <t xml:space="preserve">b Sikandar Raza </t>
  </si>
  <si>
    <t>JF Mooney</t>
  </si>
  <si>
    <t xml:space="preserve">run out (Sikandar Raza/†Taylor) </t>
  </si>
  <si>
    <t>AR Cusack</t>
  </si>
  <si>
    <t>SR Thompson</t>
  </si>
  <si>
    <t>GH Dockrell</t>
  </si>
  <si>
    <t>Amjad Ali</t>
  </si>
  <si>
    <t xml:space="preserve">c †Dhoni b Kumar </t>
  </si>
  <si>
    <t>PR Stirling</t>
  </si>
  <si>
    <t>AR Berenger</t>
  </si>
  <si>
    <t>KJ O'Brien</t>
  </si>
  <si>
    <t>Khurram Khan</t>
  </si>
  <si>
    <t>SP Patil†</t>
  </si>
  <si>
    <t xml:space="preserve">c Dhawan b Ashwin </t>
  </si>
  <si>
    <t>Shaiman Anwar</t>
  </si>
  <si>
    <t>Rohan Mustafa</t>
  </si>
  <si>
    <t xml:space="preserve">lbw b MM Sharma </t>
  </si>
  <si>
    <t xml:space="preserve">c Raina b Jadeja </t>
  </si>
  <si>
    <t>JE Taylor</t>
  </si>
  <si>
    <t>JO Holder</t>
  </si>
  <si>
    <t>Mohammad Tauqir*</t>
  </si>
  <si>
    <t xml:space="preserve">b Jadeja </t>
  </si>
  <si>
    <t>KAJ Roach</t>
  </si>
  <si>
    <t>AD Russell</t>
  </si>
  <si>
    <t>DR Smith</t>
  </si>
  <si>
    <t xml:space="preserve">c Rohan Mustafa b Mohammad Naveed </t>
  </si>
  <si>
    <t>MN Samuels</t>
  </si>
  <si>
    <t>Mashrafe Mortaza</t>
  </si>
  <si>
    <t>WTS Porterfield*</t>
  </si>
  <si>
    <t>Taskin Ahmed</t>
  </si>
  <si>
    <t xml:space="preserve">c Rahane b Ashwin </t>
  </si>
  <si>
    <t>Nasir Hossain</t>
  </si>
  <si>
    <t>EC Joyce</t>
  </si>
  <si>
    <t xml:space="preserve">b Raina </t>
  </si>
  <si>
    <t>Mahmudullah</t>
  </si>
  <si>
    <t>NJ O'Brien</t>
  </si>
  <si>
    <t>Rubel Hossain</t>
  </si>
  <si>
    <t>A Balbirnie</t>
  </si>
  <si>
    <t xml:space="preserve">c Mohammed Shami b Ashwin </t>
  </si>
  <si>
    <t>Shakib Al Hasan</t>
  </si>
  <si>
    <t>GC Wilson†</t>
  </si>
  <si>
    <t>c Rahane b Jadeja  </t>
  </si>
  <si>
    <t xml:space="preserve">run out (Kohli) </t>
  </si>
  <si>
    <t xml:space="preserve">b Thompson </t>
  </si>
  <si>
    <t>KMDN Kulasekara</t>
  </si>
  <si>
    <t xml:space="preserve">c Porterfield b Thompson </t>
  </si>
  <si>
    <t>SL Malinga</t>
  </si>
  <si>
    <t>AD Mathews</t>
  </si>
  <si>
    <t>HMRKB Herath</t>
  </si>
  <si>
    <t>TM Dilshan</t>
  </si>
  <si>
    <t>CH Gayle</t>
  </si>
  <si>
    <t xml:space="preserve">c MM Sharma b Mohammed Shami </t>
  </si>
  <si>
    <t>RAS Lakmal</t>
  </si>
  <si>
    <t xml:space="preserve">run out (MM Sharma/Kohli) </t>
  </si>
  <si>
    <t>BMAJ Mendis</t>
  </si>
  <si>
    <t>JL Carter</t>
  </si>
  <si>
    <t>TG Southee</t>
  </si>
  <si>
    <t>D Ramdin†</t>
  </si>
  <si>
    <t>TA Boult</t>
  </si>
  <si>
    <t>LMP Simmons</t>
  </si>
  <si>
    <t>AF Milne</t>
  </si>
  <si>
    <t>DJG Sammy</t>
  </si>
  <si>
    <t>DL Vettori</t>
  </si>
  <si>
    <t xml:space="preserve">c Kohli b Jadeja </t>
  </si>
  <si>
    <t>GD Elliott</t>
  </si>
  <si>
    <t>JO Holder*</t>
  </si>
  <si>
    <t>KS Williamson</t>
  </si>
  <si>
    <t xml:space="preserve">c &amp; b Yadav </t>
  </si>
  <si>
    <t>CJ Anderson</t>
  </si>
  <si>
    <t>JM Anderson</t>
  </si>
  <si>
    <t xml:space="preserve">c †Ramdin b Taylor </t>
  </si>
  <si>
    <t>SCJ Broad</t>
  </si>
  <si>
    <t xml:space="preserve">c Sammy b Taylor </t>
  </si>
  <si>
    <t>CR Woakes</t>
  </si>
  <si>
    <t xml:space="preserve">c Samuels b Russell </t>
  </si>
  <si>
    <t>ST Finn</t>
  </si>
  <si>
    <t xml:space="preserve">c †Ramdin b Roach </t>
  </si>
  <si>
    <t>MM Ali</t>
  </si>
  <si>
    <t xml:space="preserve">c †Ramdin b Smith </t>
  </si>
  <si>
    <t>JE Root</t>
  </si>
  <si>
    <t>MA Starc</t>
  </si>
  <si>
    <t>JR Hazlewood</t>
  </si>
  <si>
    <t>MG Johnson</t>
  </si>
  <si>
    <t xml:space="preserve">b Taskin Ahmed </t>
  </si>
  <si>
    <t>MR Marsh</t>
  </si>
  <si>
    <t xml:space="preserve">st †Mushfiqur Rahim b Shakib Al Hasan </t>
  </si>
  <si>
    <t>SR Watson</t>
  </si>
  <si>
    <t xml:space="preserve">c †Mushfiqur Rahim b Rubel Hossain </t>
  </si>
  <si>
    <t>GJ Maxwell</t>
  </si>
  <si>
    <t xml:space="preserve">c Shakib Al Hasan b Taskin Ahmed </t>
  </si>
  <si>
    <t>SPD Smith</t>
  </si>
  <si>
    <t xml:space="preserve">c †Mushfiqur Rahim b Mashrafe Mortaza </t>
  </si>
  <si>
    <t xml:space="preserve">c Nasir Hossain b Taskin Ahmed </t>
  </si>
  <si>
    <t>E Chigumbura</t>
  </si>
  <si>
    <t>Tamim Iqbal</t>
  </si>
  <si>
    <t>Imrul Kayes</t>
  </si>
  <si>
    <t xml:space="preserve">run out (Jadeja/Yadav) </t>
  </si>
  <si>
    <t>T Kamungozi</t>
  </si>
  <si>
    <t>Soumya Sarkar</t>
  </si>
  <si>
    <t xml:space="preserve">c Mohammed Shami b Jadeja </t>
  </si>
  <si>
    <t>Mushfiqur Rahim†</t>
  </si>
  <si>
    <t>Sabbir Rahman</t>
  </si>
  <si>
    <t xml:space="preserve">c Mohammed Shami b Yadav </t>
  </si>
  <si>
    <t xml:space="preserve">c Ashwin b Jadeja </t>
  </si>
  <si>
    <t>F Behardien</t>
  </si>
  <si>
    <t>Mashrafe Mortaza*</t>
  </si>
  <si>
    <t xml:space="preserve">c Ashwin b Yadav </t>
  </si>
  <si>
    <t>-</t>
  </si>
  <si>
    <t>MJ Guptill</t>
  </si>
  <si>
    <t xml:space="preserve">c †Sangakkara b Lakmal </t>
  </si>
  <si>
    <t>MC Sorensen</t>
  </si>
  <si>
    <t>BB McCullum*</t>
  </si>
  <si>
    <t xml:space="preserve">c Mendis b Herath </t>
  </si>
  <si>
    <t>AR McBrine</t>
  </si>
  <si>
    <t xml:space="preserve">c Karunaratne b Mendis </t>
  </si>
  <si>
    <t>LRPL Taylor</t>
  </si>
  <si>
    <t xml:space="preserve">st †Sangakkara b Mendis </t>
  </si>
  <si>
    <t xml:space="preserve">c Thirimanne b Lakmal </t>
  </si>
  <si>
    <t xml:space="preserve">c Lakmal b Kulasekara </t>
  </si>
  <si>
    <t>L Ronchi†</t>
  </si>
  <si>
    <t>HDRL Thirimanne</t>
  </si>
  <si>
    <t xml:space="preserve">b Boult </t>
  </si>
  <si>
    <t xml:space="preserve">c &amp; b Vettori </t>
  </si>
  <si>
    <t>KC Sangakkara†</t>
  </si>
  <si>
    <t xml:space="preserve">lbw b Boult </t>
  </si>
  <si>
    <t>DPMD Jayawardene</t>
  </si>
  <si>
    <t xml:space="preserve">c †Ronchi b Vettori </t>
  </si>
  <si>
    <t>FDM Karunaratne</t>
  </si>
  <si>
    <t xml:space="preserve">b Milne </t>
  </si>
  <si>
    <t>AD Mathews*</t>
  </si>
  <si>
    <t xml:space="preserve">c Vettori b Southee </t>
  </si>
  <si>
    <t xml:space="preserve">c †Ronchi b Milne </t>
  </si>
  <si>
    <t xml:space="preserve">c Elliott b Anderson </t>
  </si>
  <si>
    <t xml:space="preserve">c Milne b Anderson </t>
  </si>
  <si>
    <t xml:space="preserve">c †Ronchi b Southee </t>
  </si>
  <si>
    <t>DA Warner</t>
  </si>
  <si>
    <t xml:space="preserve">b Broad </t>
  </si>
  <si>
    <t>AJ Finch</t>
  </si>
  <si>
    <t xml:space="preserve">run out (Morgan) </t>
  </si>
  <si>
    <t>I Wardlaw</t>
  </si>
  <si>
    <t xml:space="preserve">c †Buttler b Broad </t>
  </si>
  <si>
    <t>RML Taylor</t>
  </si>
  <si>
    <t xml:space="preserve">b Woakes </t>
  </si>
  <si>
    <t>JH Davey</t>
  </si>
  <si>
    <t>GJ Bailey*</t>
  </si>
  <si>
    <t xml:space="preserve">b Finn </t>
  </si>
  <si>
    <t>RM Haq</t>
  </si>
  <si>
    <t xml:space="preserve">c Root b Finn </t>
  </si>
  <si>
    <t>Hamid Hassan</t>
  </si>
  <si>
    <t>Shapoor Zadran</t>
  </si>
  <si>
    <t>BJ Haddin†</t>
  </si>
  <si>
    <t xml:space="preserve">c Broad b Finn </t>
  </si>
  <si>
    <t>Aftab Alam</t>
  </si>
  <si>
    <t xml:space="preserve">c Anderson b Finn </t>
  </si>
  <si>
    <t>Mirwais Ashraf</t>
  </si>
  <si>
    <t>Mohammad Nabi</t>
  </si>
  <si>
    <t xml:space="preserve">c Bailey b Starc </t>
  </si>
  <si>
    <t>Javed Ahmadi</t>
  </si>
  <si>
    <t>IR Bell</t>
  </si>
  <si>
    <t xml:space="preserve">c Starc b Marsh </t>
  </si>
  <si>
    <t>Samiullah Shenwari</t>
  </si>
  <si>
    <t>GS Ballance</t>
  </si>
  <si>
    <t xml:space="preserve">c Finch b Marsh </t>
  </si>
  <si>
    <t xml:space="preserve">c †Haddin b Marsh </t>
  </si>
  <si>
    <t>EJG Morgan*</t>
  </si>
  <si>
    <t>JWA Taylor</t>
  </si>
  <si>
    <t>JC Buttler†</t>
  </si>
  <si>
    <t xml:space="preserve">c Smith b Marsh </t>
  </si>
  <si>
    <t xml:space="preserve">c Smith b Johnson </t>
  </si>
  <si>
    <t xml:space="preserve">b Starc </t>
  </si>
  <si>
    <t xml:space="preserve">c &amp; b Johnson </t>
  </si>
  <si>
    <t xml:space="preserve">run out (Maxwell) </t>
  </si>
  <si>
    <t xml:space="preserve">c Ervine b Chatara </t>
  </si>
  <si>
    <t xml:space="preserve">c †Taylor b Chigumbura </t>
  </si>
  <si>
    <t xml:space="preserve">c Ervine b Kamungozi </t>
  </si>
  <si>
    <t xml:space="preserve">c Duminy b Imran Tahir </t>
  </si>
  <si>
    <t xml:space="preserve">b Philander </t>
  </si>
  <si>
    <t xml:space="preserve">c Amla b Imran Tahir </t>
  </si>
  <si>
    <t>Nasir Aziz</t>
  </si>
  <si>
    <t>BRM Taylor†</t>
  </si>
  <si>
    <t xml:space="preserve">c Philander b Morkel </t>
  </si>
  <si>
    <t xml:space="preserve">c †de Kock b Duminy </t>
  </si>
  <si>
    <t xml:space="preserve">c de Villiers b Steyn </t>
  </si>
  <si>
    <t>E Chigumbura*</t>
  </si>
  <si>
    <t xml:space="preserve">c de Villiers b Philander </t>
  </si>
  <si>
    <t xml:space="preserve">c de Villiers b Imran Tahir </t>
  </si>
  <si>
    <t xml:space="preserve">c &amp; b Morkel </t>
  </si>
  <si>
    <t xml:space="preserve">c Mooney b KJ O'Brien </t>
  </si>
  <si>
    <t>c KJ O'Brien b Dockrell</t>
  </si>
  <si>
    <t>DM Bravo</t>
  </si>
  <si>
    <t xml:space="preserve">run out (McBrine) </t>
  </si>
  <si>
    <t>lbw b Dockrell</t>
  </si>
  <si>
    <t xml:space="preserve">lbw b Dockrell </t>
  </si>
  <si>
    <t>c Dockrell b Sorensen</t>
  </si>
  <si>
    <t>c Dockrell b Mooney</t>
  </si>
  <si>
    <t xml:space="preserve">c †Ramdin b Gayle </t>
  </si>
  <si>
    <t xml:space="preserve">c †Ramdin b Samuels </t>
  </si>
  <si>
    <t xml:space="preserve">c Bravo b Taylor </t>
  </si>
  <si>
    <t xml:space="preserve">c Gayle b Taylor </t>
  </si>
  <si>
    <t>SJ Benn</t>
  </si>
  <si>
    <t xml:space="preserve">run out (Smith/Roach) </t>
  </si>
  <si>
    <t>KJ Coetzer</t>
  </si>
  <si>
    <t xml:space="preserve">c Elliott b Southee </t>
  </si>
  <si>
    <t>CS MacLeod</t>
  </si>
  <si>
    <t>NLTC Perera</t>
  </si>
  <si>
    <t>HJW Gardiner</t>
  </si>
  <si>
    <t>MW Machan</t>
  </si>
  <si>
    <t xml:space="preserve">c McCullum b Anderson </t>
  </si>
  <si>
    <t>PL Mommsen*</t>
  </si>
  <si>
    <t xml:space="preserve">lbw b Southee </t>
  </si>
  <si>
    <t>Dawlat Zadran</t>
  </si>
  <si>
    <t>RD Berrington</t>
  </si>
  <si>
    <t>MH Cross†</t>
  </si>
  <si>
    <t xml:space="preserve">c †Ronchi b Anderson </t>
  </si>
  <si>
    <t xml:space="preserve">st †Ronchi b Vettori </t>
  </si>
  <si>
    <t xml:space="preserve">c Taylor b Vettori </t>
  </si>
  <si>
    <t>Asghar Stanikzai</t>
  </si>
  <si>
    <t xml:space="preserve">lbw b Vettori </t>
  </si>
  <si>
    <t xml:space="preserve">c †Cross b Wardlaw </t>
  </si>
  <si>
    <t xml:space="preserve">c †Cross b Davey </t>
  </si>
  <si>
    <t>AC Evans</t>
  </si>
  <si>
    <t xml:space="preserve">c Taylor b Haq </t>
  </si>
  <si>
    <t xml:space="preserve">c Wardlaw b Davey </t>
  </si>
  <si>
    <t xml:space="preserve">c Gardiner b Davey </t>
  </si>
  <si>
    <t>Anamul Haque</t>
  </si>
  <si>
    <t xml:space="preserve">lbw b Mirwais Ashraf </t>
  </si>
  <si>
    <t xml:space="preserve">c †Afsar Zazai b Mirwais Ashraf </t>
  </si>
  <si>
    <t xml:space="preserve">lbw b Shapoor Zadran </t>
  </si>
  <si>
    <t xml:space="preserve">c †Afsar Zazai b Shapoor Zadran </t>
  </si>
  <si>
    <t xml:space="preserve">b Hamid Hassan </t>
  </si>
  <si>
    <t xml:space="preserve">c Samiullah Shenwari b Mohammad Nabi </t>
  </si>
  <si>
    <t xml:space="preserve">b Aftab Alam </t>
  </si>
  <si>
    <t>Mominul Haque</t>
  </si>
  <si>
    <t xml:space="preserve">run out (†Afsar Zazai) </t>
  </si>
  <si>
    <t xml:space="preserve">c &amp; b Mashrafe Mortaza </t>
  </si>
  <si>
    <t>Afsar Zazai†</t>
  </si>
  <si>
    <t xml:space="preserve">lbw b Rubel Hossain </t>
  </si>
  <si>
    <t>Nawroz Mangal</t>
  </si>
  <si>
    <t xml:space="preserve">c Rubel Hossain b Mahmudullah </t>
  </si>
  <si>
    <t>NO Miller</t>
  </si>
  <si>
    <t xml:space="preserve">c Mahmudullah b Mashrafe Mortaza </t>
  </si>
  <si>
    <t xml:space="preserve">run out (Sabbir Rahman/†Mushfiqur Rahim) </t>
  </si>
  <si>
    <t>Mohammad Nabi*</t>
  </si>
  <si>
    <t xml:space="preserve">c Soumya Sarkar b Mashrafe Mortaza </t>
  </si>
  <si>
    <t>Najibullah Zadran</t>
  </si>
  <si>
    <t xml:space="preserve">lbw b Shakib Al Hasan </t>
  </si>
  <si>
    <t xml:space="preserve">c Sabbir Rahman b Shakib Al Hasan </t>
  </si>
  <si>
    <t xml:space="preserve">run out (Soumya Sarkar/†Mushfiqur Rahim) </t>
  </si>
  <si>
    <t>KJ Abbott</t>
  </si>
  <si>
    <t xml:space="preserve">c Anamul Haque b Taskin Ahmed </t>
  </si>
  <si>
    <t xml:space="preserve">c †Taylor b Mire </t>
  </si>
  <si>
    <t xml:space="preserve">c Chigumbura b Mire </t>
  </si>
  <si>
    <t xml:space="preserve">c Williams b Chatara </t>
  </si>
  <si>
    <t xml:space="preserve">c Chakabva b Williams </t>
  </si>
  <si>
    <t>PHT Kaushal</t>
  </si>
  <si>
    <t xml:space="preserve">c Ervine b Williams </t>
  </si>
  <si>
    <t>PVD Chameera</t>
  </si>
  <si>
    <t xml:space="preserve">c †Taylor b Chatara </t>
  </si>
  <si>
    <t xml:space="preserve">c Krishna Chandran b Mohammad Tauqir </t>
  </si>
  <si>
    <t xml:space="preserve">hit wicket b Mohammad Tauqir </t>
  </si>
  <si>
    <t xml:space="preserve">lbw b Amjad Javed </t>
  </si>
  <si>
    <t xml:space="preserve">lbw b Nasir Aziz </t>
  </si>
  <si>
    <t xml:space="preserve">c †Patil b Mohammad Naveed </t>
  </si>
  <si>
    <t xml:space="preserve">c &amp; b Krishna Chandran </t>
  </si>
  <si>
    <t>JP Faulkner</t>
  </si>
  <si>
    <t xml:space="preserve">b Southee </t>
  </si>
  <si>
    <t xml:space="preserve">c Williamson b Boult </t>
  </si>
  <si>
    <t xml:space="preserve">c Vettori b Milne </t>
  </si>
  <si>
    <t xml:space="preserve">c Milne b Vettori </t>
  </si>
  <si>
    <t xml:space="preserve">c Taylor b Southee </t>
  </si>
  <si>
    <t>Ehsan Adil</t>
  </si>
  <si>
    <t>Rahat Ali</t>
  </si>
  <si>
    <t xml:space="preserve">c Wahab Riaz b Mohammad Irfan </t>
  </si>
  <si>
    <t xml:space="preserve">retired hurt </t>
  </si>
  <si>
    <t xml:space="preserve">c sub (Yasir Shah) b Haris Sohail </t>
  </si>
  <si>
    <t xml:space="preserve">run out (Sohail Khan/†Umar Akmal) </t>
  </si>
  <si>
    <t xml:space="preserve">c Shahid Afridi b Wahab Riaz </t>
  </si>
  <si>
    <t>Nasir Jamshed</t>
  </si>
  <si>
    <t xml:space="preserve">c Russell b Taylor </t>
  </si>
  <si>
    <t xml:space="preserve">c Simmons b Holder </t>
  </si>
  <si>
    <t xml:space="preserve">c sub (JL Carter) b Taylor </t>
  </si>
  <si>
    <t xml:space="preserve">c Gayle b Russell </t>
  </si>
  <si>
    <t>MJ Henry</t>
  </si>
  <si>
    <t xml:space="preserve">c Benn b Sammy </t>
  </si>
  <si>
    <t xml:space="preserve">c Smith b Russell </t>
  </si>
  <si>
    <t xml:space="preserve">c Holder b Benn </t>
  </si>
  <si>
    <t xml:space="preserve">c †Ramdin b Russell </t>
  </si>
  <si>
    <t xml:space="preserve">c †Ramdin b Benn </t>
  </si>
  <si>
    <t xml:space="preserve">c Herath b Lakmal </t>
  </si>
  <si>
    <t xml:space="preserve">c Thirimanne b Mathews </t>
  </si>
  <si>
    <t xml:space="preserve">c Mathews b Perera </t>
  </si>
  <si>
    <t>AB de Villiers</t>
  </si>
  <si>
    <t xml:space="preserve">b Malinga </t>
  </si>
  <si>
    <t xml:space="preserve">c Perera b Lakmal </t>
  </si>
  <si>
    <t xml:space="preserve">c Herath b Malinga </t>
  </si>
  <si>
    <t xml:space="preserve">c Lakmal b Malinga </t>
  </si>
  <si>
    <t xml:space="preserve">b Mathews </t>
  </si>
  <si>
    <t xml:space="preserve">c Mendis b Mathews </t>
  </si>
  <si>
    <t xml:space="preserve">lbw b Dawlat Zadran </t>
  </si>
  <si>
    <t xml:space="preserve">c Nawroz Mangal b Hamid Hassan </t>
  </si>
  <si>
    <t xml:space="preserve">run out (Mohammad Nabi) </t>
  </si>
  <si>
    <t xml:space="preserve">c Coleman b Haq </t>
  </si>
  <si>
    <t xml:space="preserve">c Coetzer b Berrington </t>
  </si>
  <si>
    <t xml:space="preserve">b Evans </t>
  </si>
  <si>
    <t xml:space="preserve">c Mommsen b Davey </t>
  </si>
  <si>
    <t xml:space="preserve">st †Cross b Davey </t>
  </si>
  <si>
    <t xml:space="preserve">c Davey b Wardlaw </t>
  </si>
  <si>
    <t xml:space="preserve">c Woakes b Ali </t>
  </si>
  <si>
    <t xml:space="preserve">c †Buttler b Anderson </t>
  </si>
  <si>
    <t>Gulbadin Naib</t>
  </si>
  <si>
    <t>FRJ Coleman</t>
  </si>
  <si>
    <t xml:space="preserve">c Morgan b Woakes </t>
  </si>
  <si>
    <t xml:space="preserve">c †Buttler b Finn </t>
  </si>
  <si>
    <t xml:space="preserve">c Broad b Root </t>
  </si>
  <si>
    <t xml:space="preserve">c Morgan b Ali </t>
  </si>
  <si>
    <t xml:space="preserve">c Ballance b Woakes </t>
  </si>
  <si>
    <t xml:space="preserve">c Chigumbura b Masakadza </t>
  </si>
  <si>
    <t xml:space="preserve">lbw b Holder </t>
  </si>
  <si>
    <t xml:space="preserve">lbw b Taylor </t>
  </si>
  <si>
    <t xml:space="preserve">c Smith b Holder </t>
  </si>
  <si>
    <t xml:space="preserve">b Gayle </t>
  </si>
  <si>
    <t>S Matsikenyeri</t>
  </si>
  <si>
    <t xml:space="preserve">lbw b Gayle </t>
  </si>
  <si>
    <t xml:space="preserve">b Miller </t>
  </si>
  <si>
    <t>MDKJ Perera</t>
  </si>
  <si>
    <t xml:space="preserve">c †de Kock b Abbott </t>
  </si>
  <si>
    <t xml:space="preserve">c du Plessis b Steyn </t>
  </si>
  <si>
    <t xml:space="preserve">c Miller b Morkel </t>
  </si>
  <si>
    <t xml:space="preserve">c &amp; b Imran Tahir </t>
  </si>
  <si>
    <t xml:space="preserve">c du Plessis b Duminy </t>
  </si>
  <si>
    <t xml:space="preserve">c Rossouw b Imran Tahir </t>
  </si>
  <si>
    <t xml:space="preserve">lbw b Duminy </t>
  </si>
  <si>
    <t xml:space="preserve">c Miller b Imran Tahir </t>
  </si>
  <si>
    <t xml:space="preserve">c Kulasekara b Malinga </t>
  </si>
  <si>
    <t xml:space="preserve">c Dhawan b Yadav </t>
  </si>
  <si>
    <t xml:space="preserve">c Kohli b Yadav </t>
  </si>
  <si>
    <t>PJ Cummins</t>
  </si>
  <si>
    <t xml:space="preserve">c RG Sharma b Yadav </t>
  </si>
  <si>
    <t xml:space="preserve">c Rahane b MM Sharma </t>
  </si>
  <si>
    <t>MJ Clarke*</t>
  </si>
  <si>
    <t xml:space="preserve">c RG Sharma b MM Sharma </t>
  </si>
  <si>
    <t xml:space="preserve">b Johnson </t>
  </si>
  <si>
    <t xml:space="preserve">c Maxwell b Hazlewood </t>
  </si>
  <si>
    <t xml:space="preserve">c †Haddin b Johnson </t>
  </si>
  <si>
    <t xml:space="preserve">c †Haddin b Starc </t>
  </si>
  <si>
    <t xml:space="preserve">c †Haddin b Faulkner </t>
  </si>
  <si>
    <t xml:space="preserve">run out (Smith) </t>
  </si>
  <si>
    <t xml:space="preserve">b Faulkner </t>
  </si>
  <si>
    <t xml:space="preserve">c Clarke b Hazlewood </t>
  </si>
  <si>
    <t>Sarfraz Ahmed†</t>
  </si>
  <si>
    <t xml:space="preserve">c Watson b Starc </t>
  </si>
  <si>
    <t xml:space="preserve">c Finch b Maxwell </t>
  </si>
  <si>
    <t>Umar Akmal</t>
  </si>
  <si>
    <t xml:space="preserve">c Johnson b Hazlewood </t>
  </si>
  <si>
    <t xml:space="preserve">c Finch b Hazlewood </t>
  </si>
  <si>
    <t xml:space="preserve">c Starc b Faulkner </t>
  </si>
  <si>
    <t xml:space="preserve">c †Haddin b Hazlewood </t>
  </si>
  <si>
    <t xml:space="preserve">c Rahat Ali b Wahab Riaz </t>
  </si>
  <si>
    <t xml:space="preserve">lbw b Sohail Khan </t>
  </si>
  <si>
    <t xml:space="preserve">lbw b Ehsan Adil </t>
  </si>
  <si>
    <t xml:space="preserve">c Sohaib Maqsood b Wahab Riaz </t>
  </si>
  <si>
    <t xml:space="preserve">c Holder b Taylor </t>
  </si>
  <si>
    <t xml:space="preserve">run out (†Ramdin/Benn) </t>
  </si>
  <si>
    <t>RR Rossouw</t>
  </si>
  <si>
    <t xml:space="preserve">c Benn b Taylor </t>
  </si>
  <si>
    <t>J Charles</t>
  </si>
  <si>
    <t xml:space="preserve">c Guptill b Boult </t>
  </si>
  <si>
    <t xml:space="preserve">c Vettori b Boult </t>
  </si>
  <si>
    <t xml:space="preserve">b Vettori </t>
  </si>
  <si>
    <t xml:space="preserve">c Anderson b Vettori </t>
  </si>
  <si>
    <t xml:space="preserve">c Guptill b Southee </t>
  </si>
  <si>
    <t xml:space="preserve">c Southee b Boult </t>
  </si>
  <si>
    <t xml:space="preserve">c Guptill b Anderson </t>
  </si>
  <si>
    <t xml:space="preserve">run out (Amla/†de Kock) </t>
  </si>
  <si>
    <t xml:space="preserve">c Steyn b Morkel </t>
  </si>
  <si>
    <t xml:space="preserve">b Morkel </t>
  </si>
  <si>
    <t>MJ Clarke</t>
  </si>
  <si>
    <t xml:space="preserve">c du Plessis b Morkel </t>
  </si>
  <si>
    <t xml:space="preserve">c Rossouw b Steyn </t>
  </si>
  <si>
    <t xml:space="preserve">b Maxwell </t>
  </si>
  <si>
    <t xml:space="preserve">c Clarke b Starc </t>
  </si>
  <si>
    <t xml:space="preserve">c Starc b Johnson </t>
  </si>
  <si>
    <t xml:space="preserve">c Elliott b Henry </t>
  </si>
  <si>
    <t xml:space="preserve">c &amp; b Boult </t>
  </si>
  <si>
    <t xml:space="preserve">b Henry </t>
  </si>
  <si>
    <t xml:space="preserve">c Sorensen b KJ O'Brien </t>
  </si>
  <si>
    <t>c Porterfield b Stirling  </t>
  </si>
  <si>
    <t xml:space="preserve">c KJ O'Brien b Stirling </t>
  </si>
  <si>
    <t xml:space="preserve">c Stirling b KJ O'Brien </t>
  </si>
  <si>
    <t xml:space="preserve">c †Wilson b Sorensen </t>
  </si>
  <si>
    <t xml:space="preserve">c †Wilson b Cusack </t>
  </si>
  <si>
    <t xml:space="preserve">c Joyce b Sorensen </t>
  </si>
  <si>
    <t xml:space="preserve">c &amp; b Cusack </t>
  </si>
  <si>
    <t xml:space="preserve">b Mohammad Tauqir </t>
  </si>
  <si>
    <t xml:space="preserve">c †Patil b Guruge </t>
  </si>
  <si>
    <t xml:space="preserve">c †Patil b Amjad Javed </t>
  </si>
  <si>
    <t xml:space="preserve">lbw b Mohammad Tauqir </t>
  </si>
  <si>
    <t xml:space="preserve">c sub (Saqlain Haider) b Mohammad Naveed </t>
  </si>
  <si>
    <t xml:space="preserve">c Amjad Javed b Mohammad Naveed </t>
  </si>
  <si>
    <t xml:space="preserve">c Mohammad Naveed b Amjad Javed </t>
  </si>
  <si>
    <t xml:space="preserve">c Amjad Ali b Amjad Javed </t>
  </si>
  <si>
    <t xml:space="preserve">b Dawlat Zadran </t>
  </si>
  <si>
    <t xml:space="preserve">c Najibullah Zadran b Dawlat Zadran </t>
  </si>
  <si>
    <t xml:space="preserve">lbw b Hamid Hassan </t>
  </si>
  <si>
    <t xml:space="preserve">b Mohammad Nabi </t>
  </si>
  <si>
    <t xml:space="preserve">c †Afsar Zazai b Gulbadin Naib </t>
  </si>
  <si>
    <t xml:space="preserve">c †Afsar Zazai b Dawlat Zadran </t>
  </si>
  <si>
    <t xml:space="preserve">c Hamid Hassan b Shapoor Zadran </t>
  </si>
  <si>
    <t xml:space="preserve">c Gulbadin Naib b Shapoor Zadran </t>
  </si>
  <si>
    <t xml:space="preserve">c Mohammad Nabi b Shapoor Zadran </t>
  </si>
  <si>
    <t xml:space="preserve">c Machan b Berrington </t>
  </si>
  <si>
    <t>SMSM Senanayake</t>
  </si>
  <si>
    <t xml:space="preserve">c †Cross b Evans </t>
  </si>
  <si>
    <t>S Prasanna</t>
  </si>
  <si>
    <t xml:space="preserve">c Davey b Haq </t>
  </si>
  <si>
    <t xml:space="preserve">lbw b Davey </t>
  </si>
  <si>
    <t xml:space="preserve">lbw b Berrington </t>
  </si>
  <si>
    <t xml:space="preserve">c Haq b Berrington </t>
  </si>
  <si>
    <t xml:space="preserve">c Haq b Davey </t>
  </si>
  <si>
    <t xml:space="preserve">c Mommsen b Berrington </t>
  </si>
  <si>
    <t>XJ Doherty</t>
  </si>
  <si>
    <t xml:space="preserve">c Taskin Ahmed b Rubel Hossain </t>
  </si>
  <si>
    <t>CJ Jordan</t>
  </si>
  <si>
    <t xml:space="preserve">run out (Mathews) </t>
  </si>
  <si>
    <t xml:space="preserve">c †Sangakkara b Mathews </t>
  </si>
  <si>
    <t xml:space="preserve">c Jayawardene b Lakmal </t>
  </si>
  <si>
    <t xml:space="preserve">c Herath b Perera </t>
  </si>
  <si>
    <t xml:space="preserve">c Malinga b Dilshan </t>
  </si>
  <si>
    <t>Arafat Sunny</t>
  </si>
  <si>
    <t xml:space="preserve">b Lakmal </t>
  </si>
  <si>
    <t xml:space="preserve">c †Sangakkara b Malinga </t>
  </si>
  <si>
    <t xml:space="preserve">st †Sangakkara b Dilshan </t>
  </si>
  <si>
    <t xml:space="preserve">lbw b Malinga </t>
  </si>
  <si>
    <t xml:space="preserve">c Russell b Holder </t>
  </si>
  <si>
    <t>MA Leask</t>
  </si>
  <si>
    <t xml:space="preserve">c Taylor b Russell </t>
  </si>
  <si>
    <t xml:space="preserve">b Abbott </t>
  </si>
  <si>
    <t xml:space="preserve">c de Villiers b Morkel </t>
  </si>
  <si>
    <t xml:space="preserve">b Imran Tahir </t>
  </si>
  <si>
    <t xml:space="preserve">lbw b Imran Tahir </t>
  </si>
  <si>
    <t>Kamran Shazad</t>
  </si>
  <si>
    <t xml:space="preserve">st †de Kock b Imran Tahir </t>
  </si>
  <si>
    <t xml:space="preserve">c Abbott b Imran Tahir </t>
  </si>
  <si>
    <t xml:space="preserve">c Amla b Steyn </t>
  </si>
  <si>
    <t>Fahad Alhashmi</t>
  </si>
  <si>
    <t xml:space="preserve">c Amla b Morkel </t>
  </si>
  <si>
    <t xml:space="preserve">c Southee b Vettori </t>
  </si>
  <si>
    <t xml:space="preserve">c sub (TWM Latham) b Anderson </t>
  </si>
  <si>
    <t>MJ McClenaghan</t>
  </si>
  <si>
    <t xml:space="preserve">c Cummins b Starc </t>
  </si>
  <si>
    <t xml:space="preserve">c Starc b Cummins </t>
  </si>
  <si>
    <t>Taijul Islam</t>
  </si>
  <si>
    <t xml:space="preserve">c Cummins b Maxwell </t>
  </si>
  <si>
    <t xml:space="preserve">c Warner b Cummins </t>
  </si>
  <si>
    <t xml:space="preserve">c Lakmal b Mathews </t>
  </si>
  <si>
    <t xml:space="preserve">c &amp; b Dilshan </t>
  </si>
  <si>
    <t>RS Bopara</t>
  </si>
  <si>
    <t xml:space="preserve">lbw b Herath </t>
  </si>
  <si>
    <t>JC Tredwell</t>
  </si>
  <si>
    <t xml:space="preserve">c Dilshan b Perera </t>
  </si>
  <si>
    <t xml:space="preserve">c Dilshan b Malinga </t>
  </si>
  <si>
    <t xml:space="preserve">c Sikandar Raza b Chatara </t>
  </si>
  <si>
    <t xml:space="preserve">c Williams b Sikandar Raza </t>
  </si>
  <si>
    <t xml:space="preserve">b Williams </t>
  </si>
  <si>
    <t xml:space="preserve">c &amp; b Mupariwa </t>
  </si>
  <si>
    <t xml:space="preserve">c Haris Sohail b Mohammad Irfan </t>
  </si>
  <si>
    <t xml:space="preserve">c Misbah-ul-Haq b Mohammad Irfan </t>
  </si>
  <si>
    <t xml:space="preserve">c †Umar Akmal b Wahab Riaz </t>
  </si>
  <si>
    <t xml:space="preserve">c Ahmed Shehzad b Rahat Ali </t>
  </si>
  <si>
    <t xml:space="preserve">c †Umar Akmal b Mohammad Irfan </t>
  </si>
  <si>
    <t xml:space="preserve">run out (†Umar Akmal/Wahab Riaz) </t>
  </si>
  <si>
    <t xml:space="preserve">c Joyce b McBrine </t>
  </si>
  <si>
    <t xml:space="preserve">c †Wilson b Mooney </t>
  </si>
  <si>
    <t xml:space="preserve">b KJ O'Brien </t>
  </si>
  <si>
    <t xml:space="preserve">c NJ O'Brien b McBrine </t>
  </si>
  <si>
    <t xml:space="preserve">c du Plessis b Abbott </t>
  </si>
  <si>
    <t xml:space="preserve">c †de Kock b Steyn </t>
  </si>
  <si>
    <t xml:space="preserve">c Amla b Abbott </t>
  </si>
  <si>
    <t xml:space="preserve">c Rossouw b Morkel </t>
  </si>
  <si>
    <t xml:space="preserve">lbw b Abbott </t>
  </si>
  <si>
    <t xml:space="preserve">c Rossouw b Abbott </t>
  </si>
  <si>
    <t xml:space="preserve">b de Villiers </t>
  </si>
  <si>
    <t xml:space="preserve">c Khurram Khan b Guruge </t>
  </si>
  <si>
    <t xml:space="preserve">run out (Shaiman Anwar/†Patil) </t>
  </si>
  <si>
    <t xml:space="preserve">c Shaiman Anwar b Mohammad Naveed </t>
  </si>
  <si>
    <t xml:space="preserve">c Rohan Mustafa b Guruge </t>
  </si>
  <si>
    <t xml:space="preserve">c Amjad Ali b Guruge </t>
  </si>
  <si>
    <t xml:space="preserve">b Rahat Ali </t>
  </si>
  <si>
    <t xml:space="preserve">c Wahab Riaz b Sohaib Maqsood </t>
  </si>
  <si>
    <t xml:space="preserve">c Nasir Jamshed b Shahid Afridi </t>
  </si>
  <si>
    <t xml:space="preserve">c Ahmed Shehzad b Shahid Afridi </t>
  </si>
  <si>
    <t xml:space="preserve">c Sohail Khan b Wahab Riaz </t>
  </si>
  <si>
    <t xml:space="preserve">c Nawroz Mangal b Dawlat Zadran </t>
  </si>
  <si>
    <t xml:space="preserve">c Najibullah Zadran b Shapoor Zadran </t>
  </si>
  <si>
    <t xml:space="preserve">c Mohammad Nabi b Dawlat Zadran </t>
  </si>
  <si>
    <t xml:space="preserve">c Najibullah Zadran b Nawroz Mangal </t>
  </si>
  <si>
    <t>Usman Ghani</t>
  </si>
  <si>
    <t xml:space="preserve">c Faulkner b Johnson </t>
  </si>
  <si>
    <t xml:space="preserve">c Finch b Johnson </t>
  </si>
  <si>
    <t xml:space="preserve">c Johnson b Clarke </t>
  </si>
  <si>
    <t xml:space="preserve">c Clarke b Maxwell </t>
  </si>
  <si>
    <t xml:space="preserve">c Warner b Johnson </t>
  </si>
  <si>
    <t xml:space="preserve">c Soumya Sarkar b Nasir Hossain </t>
  </si>
  <si>
    <t xml:space="preserve">c Soumya Sarkar b Taskin Ahmed </t>
  </si>
  <si>
    <t xml:space="preserve">c &amp; b Sabbir Rahman </t>
  </si>
  <si>
    <t xml:space="preserve">c †Mushfiqur Rahim b Taskin Ahmed </t>
  </si>
  <si>
    <t xml:space="preserve">c Sabbir Rahman b Taskin Ahmed </t>
  </si>
  <si>
    <t xml:space="preserve">c Soumya Sarkar b Shakib Al Hasan </t>
  </si>
  <si>
    <t xml:space="preserve">b Wardlaw </t>
  </si>
  <si>
    <t xml:space="preserve">c MacLeod b Evans </t>
  </si>
  <si>
    <t xml:space="preserve">run out (Miller/†de Kock) </t>
  </si>
  <si>
    <t xml:space="preserve">c Steyn b Abbott </t>
  </si>
  <si>
    <t xml:space="preserve">c Rossouw b de Villiers </t>
  </si>
  <si>
    <t xml:space="preserve">c Morkel b Steyn </t>
  </si>
  <si>
    <t xml:space="preserve">c Duminy b Steyn </t>
  </si>
  <si>
    <t xml:space="preserve">c Duminy b Morkel </t>
  </si>
  <si>
    <t xml:space="preserve">c Imran Tahir b Steyn </t>
  </si>
  <si>
    <t xml:space="preserve">c †Sarfraz Ahmed b Mohammad Irfan </t>
  </si>
  <si>
    <t xml:space="preserve">c †Sarfraz Ahmed b Wahab Riaz </t>
  </si>
  <si>
    <t xml:space="preserve">c †Sarfraz Ahmed b Rahat Ali </t>
  </si>
  <si>
    <t xml:space="preserve">c †Sarfraz Ahmed b Sohail Khan </t>
  </si>
  <si>
    <t xml:space="preserve">lbw b Rahat Ali </t>
  </si>
  <si>
    <t xml:space="preserve">c Younis Khan b Rahat Ali </t>
  </si>
  <si>
    <t xml:space="preserve">c Masakadza b Williams </t>
  </si>
  <si>
    <t xml:space="preserve">c Williams b Panyangara </t>
  </si>
  <si>
    <t xml:space="preserve">run out (Chakabva/†Taylor) </t>
  </si>
  <si>
    <t xml:space="preserve">c Chakabva b Chatara </t>
  </si>
  <si>
    <t xml:space="preserve">c Panyangara b Chatara </t>
  </si>
  <si>
    <t xml:space="preserve">c Porterfield b Cusack </t>
  </si>
  <si>
    <t xml:space="preserve">c Stirling b Mooney </t>
  </si>
  <si>
    <t xml:space="preserve">c Cusack b Dockrell </t>
  </si>
  <si>
    <t xml:space="preserve">c †Wilson b KJ O'Brien </t>
  </si>
  <si>
    <t xml:space="preserve">c KJ O'Brien b Cusack </t>
  </si>
  <si>
    <t xml:space="preserve">b Cusack </t>
  </si>
  <si>
    <t xml:space="preserve">c Porterfield b Mooney </t>
  </si>
  <si>
    <t xml:space="preserve">c Taylor b Anderson </t>
  </si>
  <si>
    <t xml:space="preserve">c †Ronchi b Boult </t>
  </si>
  <si>
    <t xml:space="preserve">run out (Nawroz Mangal/Samiullah Shenwari) </t>
  </si>
  <si>
    <t xml:space="preserve">c Samiullah Shenwari b Shapoor Zadran </t>
  </si>
  <si>
    <t xml:space="preserve">st †Sangakkara b Prasanna </t>
  </si>
  <si>
    <t xml:space="preserve">c Prasanna b Malinga </t>
  </si>
  <si>
    <t>c Perera b Dilshan</t>
  </si>
  <si>
    <t xml:space="preserve">c Malinga b Perera </t>
  </si>
  <si>
    <t xml:space="preserve">c Chandimal b Perera </t>
  </si>
  <si>
    <t xml:space="preserve">run out (Mathews/Perera) </t>
  </si>
  <si>
    <t xml:space="preserve">c Perera b Mathews </t>
  </si>
  <si>
    <t xml:space="preserve">run out (Perera/Mathews) </t>
  </si>
  <si>
    <t xml:space="preserve">lbw b Faulkner </t>
  </si>
  <si>
    <t xml:space="preserve">c Finch b Faulkner </t>
  </si>
  <si>
    <t xml:space="preserve">run out (Clarke) </t>
  </si>
  <si>
    <t xml:space="preserve">c †Haddin b Watson </t>
  </si>
  <si>
    <t>LD Chandimal</t>
  </si>
  <si>
    <t xml:space="preserve">c Doherty b Johnson </t>
  </si>
  <si>
    <t>WU Tharanga</t>
  </si>
  <si>
    <t xml:space="preserve">c Warner b Faulkner </t>
  </si>
  <si>
    <t xml:space="preserve">c Doherty b Starc </t>
  </si>
  <si>
    <t xml:space="preserve">c Root b Anderson </t>
  </si>
  <si>
    <t xml:space="preserve">c Jordan b Anderson </t>
  </si>
  <si>
    <t xml:space="preserve">c †Buttler b Jordan </t>
  </si>
  <si>
    <t xml:space="preserve">run out (Woakes) </t>
  </si>
  <si>
    <t xml:space="preserve">c Root b Ali </t>
  </si>
  <si>
    <t xml:space="preserve">c Jordan b Broad </t>
  </si>
  <si>
    <t xml:space="preserve">c Morgan b Jordan </t>
  </si>
  <si>
    <t>AD Hales</t>
  </si>
  <si>
    <t xml:space="preserve">c Shakib Al Hasan b Rubel Hossain </t>
  </si>
  <si>
    <t xml:space="preserve">c Imrul Kayes b Taskin Ahmed </t>
  </si>
  <si>
    <t xml:space="preserve">run out (Shakib Al Hasan) </t>
  </si>
  <si>
    <t xml:space="preserve">b Rubel Hossain </t>
  </si>
  <si>
    <t xml:space="preserve">c Mommsen b Evans </t>
  </si>
  <si>
    <t xml:space="preserve">c MacLeod b Davey </t>
  </si>
  <si>
    <t xml:space="preserve">c Coleman b Machan </t>
  </si>
  <si>
    <t xml:space="preserve">c MacLeod b Taylor </t>
  </si>
  <si>
    <t xml:space="preserve">c Coleman b Berrington </t>
  </si>
  <si>
    <t xml:space="preserve">c Coleman b Evans </t>
  </si>
  <si>
    <t xml:space="preserve">c Leask b Berrington </t>
  </si>
  <si>
    <t xml:space="preserve">c &amp; b Malinga </t>
  </si>
  <si>
    <t xml:space="preserve">b Kulasekara </t>
  </si>
  <si>
    <t xml:space="preserve">lbw b Dilshan </t>
  </si>
  <si>
    <t xml:space="preserve">c Thirimanne b NLTC Perera </t>
  </si>
  <si>
    <t xml:space="preserve">c NLTC Perera b Kulasekara </t>
  </si>
  <si>
    <t xml:space="preserve">c Kulasekara b Chameera </t>
  </si>
  <si>
    <t xml:space="preserve">c †Sangakkara b Kulasekara </t>
  </si>
  <si>
    <t xml:space="preserve">c †Sangakkara b Chameera </t>
  </si>
  <si>
    <t xml:space="preserve">c NLTC Perera b Malinga </t>
  </si>
  <si>
    <t xml:space="preserve">c Thirimanne b Chameera </t>
  </si>
  <si>
    <t xml:space="preserve">c Amjad Ali b Mohammad Naveed </t>
  </si>
  <si>
    <t xml:space="preserve">c †Saqlain Haider b Amjad Javed </t>
  </si>
  <si>
    <t xml:space="preserve">c &amp; b Mohammad Tauqir </t>
  </si>
  <si>
    <t xml:space="preserve">c Amjad Javed b Kamran Shazad </t>
  </si>
  <si>
    <t xml:space="preserve">b Mohammad Naveed </t>
  </si>
  <si>
    <t xml:space="preserve">lbw b Mohammad Naveed </t>
  </si>
  <si>
    <t xml:space="preserve">c Behardien b Duminy </t>
  </si>
  <si>
    <t>c †de Kock b Morkel  </t>
  </si>
  <si>
    <t>Saqlain Haider</t>
  </si>
  <si>
    <t xml:space="preserve">c sub (WD Parnell) b de Villiers </t>
  </si>
  <si>
    <t xml:space="preserve">b Steyn </t>
  </si>
  <si>
    <t xml:space="preserve">c Steyn b Philander </t>
  </si>
  <si>
    <t xml:space="preserve">c Anderson b Boult </t>
  </si>
  <si>
    <t>Shakib Al Hasan*</t>
  </si>
  <si>
    <t xml:space="preserve">c McCullum b Elliott </t>
  </si>
  <si>
    <t xml:space="preserve">c Taylor b Elliott </t>
  </si>
  <si>
    <t xml:space="preserve">c Rubel Hossain b Shakib Al Hasan </t>
  </si>
  <si>
    <t xml:space="preserve">c Tamim Iqbal b Shakib Al Hasan </t>
  </si>
  <si>
    <t xml:space="preserve">lbw b Nasir Hossain </t>
  </si>
  <si>
    <t xml:space="preserve">b Nasir Hossain </t>
  </si>
  <si>
    <t xml:space="preserve">c Nasir Hossain b Shakib Al Hasan </t>
  </si>
  <si>
    <t xml:space="preserve">c Root b Broad </t>
  </si>
  <si>
    <t>Nasir Jamal</t>
  </si>
  <si>
    <t xml:space="preserve">c †Buttler b Bopara </t>
  </si>
  <si>
    <t>Shafiqullah</t>
  </si>
  <si>
    <t xml:space="preserve">c Bopara b Tredwell </t>
  </si>
  <si>
    <t xml:space="preserve">c Tredwell b Bopara </t>
  </si>
  <si>
    <t xml:space="preserve">c †Afsar Zazai b Hamid Hassan </t>
  </si>
  <si>
    <t xml:space="preserve">c Smith b Starc </t>
  </si>
  <si>
    <t xml:space="preserve">c Warner b Starc </t>
  </si>
  <si>
    <t xml:space="preserve">c Faulkner b Cummins </t>
  </si>
  <si>
    <t xml:space="preserve">c Starc b Watson </t>
  </si>
  <si>
    <t xml:space="preserve">c Clarke b Johnson </t>
  </si>
  <si>
    <t xml:space="preserve">c Warner b Maxwell </t>
  </si>
  <si>
    <t xml:space="preserve">c †Haddin b Cummins </t>
  </si>
  <si>
    <t xml:space="preserve">c Leask b Wardlaw </t>
  </si>
  <si>
    <t xml:space="preserve">c Coleman b Taylor </t>
  </si>
  <si>
    <t xml:space="preserve">c †Ramdin b Holder </t>
  </si>
  <si>
    <t xml:space="preserve">b Taylor </t>
  </si>
  <si>
    <t xml:space="preserve">b Holder </t>
  </si>
  <si>
    <t xml:space="preserve">b Russell </t>
  </si>
  <si>
    <t xml:space="preserve">c Holder b Samuels </t>
  </si>
  <si>
    <t xml:space="preserve">c Krishna Chandran b Amjad Javed </t>
  </si>
  <si>
    <t xml:space="preserve">c Berenger b Guruge </t>
  </si>
  <si>
    <t xml:space="preserve">c &amp; b Amjad Javed </t>
  </si>
  <si>
    <t xml:space="preserve">c Shahid Afridi b Sohail Khan </t>
  </si>
  <si>
    <t xml:space="preserve">c Umar Akmal b Wahab Riaz </t>
  </si>
  <si>
    <t xml:space="preserve">c Umar Akmal b Rahat Ali </t>
  </si>
  <si>
    <t xml:space="preserve">c Shahid Afridi b Haris Sohail </t>
  </si>
  <si>
    <t xml:space="preserve">c Wahab Riaz b Sohail Khan </t>
  </si>
  <si>
    <t xml:space="preserve">run out (†Sarfraz Ahmed/Wahab Riaz) </t>
  </si>
  <si>
    <t xml:space="preserve">c Joyce b Thompson </t>
  </si>
  <si>
    <t xml:space="preserve">run out (Balbirnie/Dockrell) </t>
  </si>
  <si>
    <t xml:space="preserve">hit wicket b Cusack </t>
  </si>
  <si>
    <t>Over</t>
  </si>
  <si>
    <t>Score</t>
  </si>
  <si>
    <t>Run Rate</t>
  </si>
  <si>
    <t>Rate/5ov</t>
  </si>
  <si>
    <t xml:space="preserve">Score2 </t>
  </si>
  <si>
    <t>Runs 2</t>
  </si>
  <si>
    <t>Run Rate 2</t>
  </si>
  <si>
    <t>Rate/5ov 2</t>
  </si>
  <si>
    <t>Rate Req</t>
  </si>
  <si>
    <t>Runs Req</t>
  </si>
  <si>
    <t>Balls Rem</t>
  </si>
  <si>
    <t>Score One</t>
  </si>
  <si>
    <t>Score Two</t>
  </si>
  <si>
    <t>Team 1</t>
  </si>
  <si>
    <t>Team2</t>
  </si>
  <si>
    <t>Link</t>
  </si>
  <si>
    <t>WORM</t>
  </si>
  <si>
    <t>2/0</t>
  </si>
  <si>
    <t>2</t>
  </si>
  <si>
    <t>2.00</t>
  </si>
  <si>
    <t>6.10</t>
  </si>
  <si>
    <t>299</t>
  </si>
  <si>
    <t>294</t>
  </si>
  <si>
    <t>5/0</t>
  </si>
  <si>
    <t>3</t>
  </si>
  <si>
    <t>2.50</t>
  </si>
  <si>
    <t>4/0</t>
  </si>
  <si>
    <t>6.18</t>
  </si>
  <si>
    <t>297</t>
  </si>
  <si>
    <t>288</t>
  </si>
  <si>
    <t xml:space="preserve">OVER </t>
  </si>
  <si>
    <t>TEAM 1 SCORE</t>
  </si>
  <si>
    <t>TEAM 2 SCORE</t>
  </si>
  <si>
    <t>7/0</t>
  </si>
  <si>
    <t>2.33</t>
  </si>
  <si>
    <t>11/0</t>
  </si>
  <si>
    <t>7</t>
  </si>
  <si>
    <t>3.66</t>
  </si>
  <si>
    <t>6.17</t>
  </si>
  <si>
    <t>290</t>
  </si>
  <si>
    <t>282</t>
  </si>
  <si>
    <t>13/0</t>
  </si>
  <si>
    <t>6</t>
  </si>
  <si>
    <t>3.25</t>
  </si>
  <si>
    <t>14/1</t>
  </si>
  <si>
    <t>3.50</t>
  </si>
  <si>
    <t>6.23</t>
  </si>
  <si>
    <t>287</t>
  </si>
  <si>
    <t>276</t>
  </si>
  <si>
    <t>21/0</t>
  </si>
  <si>
    <t>8</t>
  </si>
  <si>
    <t>4.20</t>
  </si>
  <si>
    <t>28/1</t>
  </si>
  <si>
    <t>14</t>
  </si>
  <si>
    <t>5.60</t>
  </si>
  <si>
    <t>6.06</t>
  </si>
  <si>
    <t>273</t>
  </si>
  <si>
    <t>270</t>
  </si>
  <si>
    <t>24/0</t>
  </si>
  <si>
    <t>4.00</t>
  </si>
  <si>
    <t>4.40</t>
  </si>
  <si>
    <t>34/1</t>
  </si>
  <si>
    <t>5.66</t>
  </si>
  <si>
    <t>6.40</t>
  </si>
  <si>
    <t>267</t>
  </si>
  <si>
    <t>264</t>
  </si>
  <si>
    <t>33/0</t>
  </si>
  <si>
    <t>9</t>
  </si>
  <si>
    <t>4.71</t>
  </si>
  <si>
    <t>39/1</t>
  </si>
  <si>
    <t>5</t>
  </si>
  <si>
    <t>5.57</t>
  </si>
  <si>
    <t>7.00</t>
  </si>
  <si>
    <t>6.09</t>
  </si>
  <si>
    <t>262</t>
  </si>
  <si>
    <t>258</t>
  </si>
  <si>
    <t>35/1</t>
  </si>
  <si>
    <t>4.37</t>
  </si>
  <si>
    <t>44/1</t>
  </si>
  <si>
    <t>5.50</t>
  </si>
  <si>
    <t>6.60</t>
  </si>
  <si>
    <t>6.11</t>
  </si>
  <si>
    <t>257</t>
  </si>
  <si>
    <t>252</t>
  </si>
  <si>
    <t>40/1</t>
  </si>
  <si>
    <t>4.44</t>
  </si>
  <si>
    <t>5.40</t>
  </si>
  <si>
    <t>45/1</t>
  </si>
  <si>
    <t>1</t>
  </si>
  <si>
    <t>5.00</t>
  </si>
  <si>
    <t>6.20</t>
  </si>
  <si>
    <t>6.24</t>
  </si>
  <si>
    <t>256</t>
  </si>
  <si>
    <t>246</t>
  </si>
  <si>
    <t>42/1</t>
  </si>
  <si>
    <t>46/1</t>
  </si>
  <si>
    <t>4.60</t>
  </si>
  <si>
    <t>3.60</t>
  </si>
  <si>
    <t>6.37</t>
  </si>
  <si>
    <t>255</t>
  </si>
  <si>
    <t>240</t>
  </si>
  <si>
    <t>4.09</t>
  </si>
  <si>
    <t>47/1</t>
  </si>
  <si>
    <t>4.27</t>
  </si>
  <si>
    <t>2.60</t>
  </si>
  <si>
    <t>6.51</t>
  </si>
  <si>
    <t>254</t>
  </si>
  <si>
    <t>234</t>
  </si>
  <si>
    <t>52/1</t>
  </si>
  <si>
    <t>4.33</t>
  </si>
  <si>
    <t>3.80</t>
  </si>
  <si>
    <t>53/1</t>
  </si>
  <si>
    <t>4.41</t>
  </si>
  <si>
    <t>2.80</t>
  </si>
  <si>
    <t>6.52</t>
  </si>
  <si>
    <t>248</t>
  </si>
  <si>
    <t>228</t>
  </si>
  <si>
    <t>56/1</t>
  </si>
  <si>
    <t>4</t>
  </si>
  <si>
    <t>4.30</t>
  </si>
  <si>
    <t>58/1</t>
  </si>
  <si>
    <t>4.46</t>
  </si>
  <si>
    <t>6.56</t>
  </si>
  <si>
    <t>243</t>
  </si>
  <si>
    <t>222</t>
  </si>
  <si>
    <t>62/1</t>
  </si>
  <si>
    <t>4.42</t>
  </si>
  <si>
    <t>0</t>
  </si>
  <si>
    <t>4.14</t>
  </si>
  <si>
    <t>6.75</t>
  </si>
  <si>
    <t>216</t>
  </si>
  <si>
    <t>71/1</t>
  </si>
  <si>
    <t>4.73</t>
  </si>
  <si>
    <t>5.80</t>
  </si>
  <si>
    <t>67/1</t>
  </si>
  <si>
    <t>6.68</t>
  </si>
  <si>
    <t>210</t>
  </si>
  <si>
    <t>75/1</t>
  </si>
  <si>
    <t>4.68</t>
  </si>
  <si>
    <t>6.00</t>
  </si>
  <si>
    <t>72/1</t>
  </si>
  <si>
    <t>4.50</t>
  </si>
  <si>
    <t>6.73</t>
  </si>
  <si>
    <t>229</t>
  </si>
  <si>
    <t>204</t>
  </si>
  <si>
    <t>82/1</t>
  </si>
  <si>
    <t>4.82</t>
  </si>
  <si>
    <t>79/1</t>
  </si>
  <si>
    <t>4.64</t>
  </si>
  <si>
    <t>5.20</t>
  </si>
  <si>
    <t>6.72</t>
  </si>
  <si>
    <t>198</t>
  </si>
  <si>
    <t>89/1</t>
  </si>
  <si>
    <t>4.94</t>
  </si>
  <si>
    <t>79/2</t>
  </si>
  <si>
    <t>4.38</t>
  </si>
  <si>
    <t>6.93</t>
  </si>
  <si>
    <t>192</t>
  </si>
  <si>
    <t>94/1</t>
  </si>
  <si>
    <t>83/2</t>
  </si>
  <si>
    <t>4.36</t>
  </si>
  <si>
    <t>7.03</t>
  </si>
  <si>
    <t>218</t>
  </si>
  <si>
    <t>186</t>
  </si>
  <si>
    <t>98/1</t>
  </si>
  <si>
    <t>4.90</t>
  </si>
  <si>
    <t>92/2</t>
  </si>
  <si>
    <t>6.96</t>
  </si>
  <si>
    <t>209</t>
  </si>
  <si>
    <t>180</t>
  </si>
  <si>
    <t>109/1</t>
  </si>
  <si>
    <t>11</t>
  </si>
  <si>
    <t>5.19</t>
  </si>
  <si>
    <t>6.80</t>
  </si>
  <si>
    <t>97/2</t>
  </si>
  <si>
    <t>4.61</t>
  </si>
  <si>
    <t>174</t>
  </si>
  <si>
    <t>115/1</t>
  </si>
  <si>
    <t>5.22</t>
  </si>
  <si>
    <t>98/2</t>
  </si>
  <si>
    <t>4.45</t>
  </si>
  <si>
    <t>7.25</t>
  </si>
  <si>
    <t>203</t>
  </si>
  <si>
    <t>168</t>
  </si>
  <si>
    <t>122/1</t>
  </si>
  <si>
    <t>5.30</t>
  </si>
  <si>
    <t>101/2</t>
  </si>
  <si>
    <t>4.39</t>
  </si>
  <si>
    <t>7.40</t>
  </si>
  <si>
    <t>200</t>
  </si>
  <si>
    <t>162</t>
  </si>
  <si>
    <t>127/1</t>
  </si>
  <si>
    <t>5.29</t>
  </si>
  <si>
    <t>102/4</t>
  </si>
  <si>
    <t>4.25</t>
  </si>
  <si>
    <t>7.65</t>
  </si>
  <si>
    <t>199</t>
  </si>
  <si>
    <t>156</t>
  </si>
  <si>
    <t>131/1</t>
  </si>
  <si>
    <t>5.24</t>
  </si>
  <si>
    <t>105/5</t>
  </si>
  <si>
    <t>7.84</t>
  </si>
  <si>
    <t>196</t>
  </si>
  <si>
    <t>150</t>
  </si>
  <si>
    <t>134/1</t>
  </si>
  <si>
    <t>5.15</t>
  </si>
  <si>
    <t>109/5</t>
  </si>
  <si>
    <t>4.19</t>
  </si>
  <si>
    <t>2.40</t>
  </si>
  <si>
    <t>8.00</t>
  </si>
  <si>
    <t>144</t>
  </si>
  <si>
    <t>139/1</t>
  </si>
  <si>
    <t>5.14</t>
  </si>
  <si>
    <t>4.80</t>
  </si>
  <si>
    <t>119/5</t>
  </si>
  <si>
    <t>10</t>
  </si>
  <si>
    <t>7.91</t>
  </si>
  <si>
    <t>182</t>
  </si>
  <si>
    <t>138</t>
  </si>
  <si>
    <t>144/1</t>
  </si>
  <si>
    <t>8.27</t>
  </si>
  <si>
    <t>132</t>
  </si>
  <si>
    <t>156/1</t>
  </si>
  <si>
    <t>12</t>
  </si>
  <si>
    <t>5.37</t>
  </si>
  <si>
    <t>124/5</t>
  </si>
  <si>
    <t>8.42</t>
  </si>
  <si>
    <t>177</t>
  </si>
  <si>
    <t>126</t>
  </si>
  <si>
    <t>165/2</t>
  </si>
  <si>
    <t>132/5</t>
  </si>
  <si>
    <t>8.45</t>
  </si>
  <si>
    <t>169</t>
  </si>
  <si>
    <t>120</t>
  </si>
  <si>
    <t>170/2</t>
  </si>
  <si>
    <t>5.48</t>
  </si>
  <si>
    <t>7.20</t>
  </si>
  <si>
    <t>134/5</t>
  </si>
  <si>
    <t>4.32</t>
  </si>
  <si>
    <t>8.78</t>
  </si>
  <si>
    <t>167</t>
  </si>
  <si>
    <t>114</t>
  </si>
  <si>
    <t>173/2</t>
  </si>
  <si>
    <t>137/5</t>
  </si>
  <si>
    <t>4.28</t>
  </si>
  <si>
    <t>9.11</t>
  </si>
  <si>
    <t>164</t>
  </si>
  <si>
    <t>108</t>
  </si>
  <si>
    <t>181/2</t>
  </si>
  <si>
    <t>139/5</t>
  </si>
  <si>
    <t>4.21</t>
  </si>
  <si>
    <t>9.52</t>
  </si>
  <si>
    <t>102</t>
  </si>
  <si>
    <t>190/2</t>
  </si>
  <si>
    <t>5.58</t>
  </si>
  <si>
    <t>149/5</t>
  </si>
  <si>
    <t>9.50</t>
  </si>
  <si>
    <t>152</t>
  </si>
  <si>
    <t>96</t>
  </si>
  <si>
    <t>192/2</t>
  </si>
  <si>
    <t>154/7</t>
  </si>
  <si>
    <t>9.80</t>
  </si>
  <si>
    <t>147</t>
  </si>
  <si>
    <t>90</t>
  </si>
  <si>
    <t>196/2</t>
  </si>
  <si>
    <t>5.44</t>
  </si>
  <si>
    <t>169/7</t>
  </si>
  <si>
    <t>15</t>
  </si>
  <si>
    <t>4.69</t>
  </si>
  <si>
    <t>9.42</t>
  </si>
  <si>
    <t>84</t>
  </si>
  <si>
    <t>200/2</t>
  </si>
  <si>
    <t>181/7</t>
  </si>
  <si>
    <t>4.89</t>
  </si>
  <si>
    <t>8.80</t>
  </si>
  <si>
    <t>9.23</t>
  </si>
  <si>
    <t>78</t>
  </si>
  <si>
    <t>206/2</t>
  </si>
  <si>
    <t>5.42</t>
  </si>
  <si>
    <t>184/7</t>
  </si>
  <si>
    <t>4.84</t>
  </si>
  <si>
    <t>9.00</t>
  </si>
  <si>
    <t>9.75</t>
  </si>
  <si>
    <t>117</t>
  </si>
  <si>
    <t>72</t>
  </si>
  <si>
    <t>213/2</t>
  </si>
  <si>
    <t>5.46</t>
  </si>
  <si>
    <t>188/7</t>
  </si>
  <si>
    <t>7.80</t>
  </si>
  <si>
    <t>10.27</t>
  </si>
  <si>
    <t>113</t>
  </si>
  <si>
    <t>66</t>
  </si>
  <si>
    <t>217/2</t>
  </si>
  <si>
    <t>194/7</t>
  </si>
  <si>
    <t>4.85</t>
  </si>
  <si>
    <t>10.70</t>
  </si>
  <si>
    <t>107</t>
  </si>
  <si>
    <t>60</t>
  </si>
  <si>
    <t>224/2</t>
  </si>
  <si>
    <t>196/7</t>
  </si>
  <si>
    <t>4.78</t>
  </si>
  <si>
    <t>11.66</t>
  </si>
  <si>
    <t>105</t>
  </si>
  <si>
    <t>54</t>
  </si>
  <si>
    <t>235/2</t>
  </si>
  <si>
    <t>5.59</t>
  </si>
  <si>
    <t>200/7</t>
  </si>
  <si>
    <t>4.76</t>
  </si>
  <si>
    <t>12.62</t>
  </si>
  <si>
    <t>101</t>
  </si>
  <si>
    <t>48</t>
  </si>
  <si>
    <t>245/2</t>
  </si>
  <si>
    <t>5.69</t>
  </si>
  <si>
    <t>203/8</t>
  </si>
  <si>
    <t>4.72</t>
  </si>
  <si>
    <t>14.00</t>
  </si>
  <si>
    <t>98</t>
  </si>
  <si>
    <t>42</t>
  </si>
  <si>
    <t>259/2</t>
  </si>
  <si>
    <t>5.88</t>
  </si>
  <si>
    <t>9.20</t>
  </si>
  <si>
    <t>215/8</t>
  </si>
  <si>
    <t>4.88</t>
  </si>
  <si>
    <t>14.33</t>
  </si>
  <si>
    <t>86</t>
  </si>
  <si>
    <t>36</t>
  </si>
  <si>
    <t>273/2</t>
  </si>
  <si>
    <t>11.20</t>
  </si>
  <si>
    <t>220/8</t>
  </si>
  <si>
    <t>16.20</t>
  </si>
  <si>
    <t>81</t>
  </si>
  <si>
    <t>30</t>
  </si>
  <si>
    <t>279/3</t>
  </si>
  <si>
    <t>11.00</t>
  </si>
  <si>
    <t>220/9</t>
  </si>
  <si>
    <t>20.25</t>
  </si>
  <si>
    <t>24</t>
  </si>
  <si>
    <t>283/3</t>
  </si>
  <si>
    <t>6.02</t>
  </si>
  <si>
    <t>9.60</t>
  </si>
  <si>
    <t>224/10</t>
  </si>
  <si>
    <t>25.66</t>
  </si>
  <si>
    <t>77</t>
  </si>
  <si>
    <t>18</t>
  </si>
  <si>
    <t>292/4</t>
  </si>
  <si>
    <t>6.08</t>
  </si>
  <si>
    <t>9.40</t>
  </si>
  <si>
    <t>296/5</t>
  </si>
  <si>
    <t>6.04</t>
  </si>
  <si>
    <t>300/7</t>
  </si>
  <si>
    <t>0/0</t>
  </si>
  <si>
    <t>0.00</t>
  </si>
  <si>
    <t>6/0</t>
  </si>
  <si>
    <t>6.16</t>
  </si>
  <si>
    <t>302</t>
  </si>
  <si>
    <t>9/0</t>
  </si>
  <si>
    <t>6.22</t>
  </si>
  <si>
    <t>9/1</t>
  </si>
  <si>
    <t>3.00</t>
  </si>
  <si>
    <t>12/0</t>
  </si>
  <si>
    <t>6.29</t>
  </si>
  <si>
    <t>296</t>
  </si>
  <si>
    <t>2.25</t>
  </si>
  <si>
    <t>12/1</t>
  </si>
  <si>
    <t>6.43</t>
  </si>
  <si>
    <t>10/1</t>
  </si>
  <si>
    <t>17/1</t>
  </si>
  <si>
    <t>3.40</t>
  </si>
  <si>
    <t>6.46</t>
  </si>
  <si>
    <t>291</t>
  </si>
  <si>
    <t>19/1</t>
  </si>
  <si>
    <t>3.16</t>
  </si>
  <si>
    <t>289</t>
  </si>
  <si>
    <t>2.71</t>
  </si>
  <si>
    <t>26/1</t>
  </si>
  <si>
    <t>3.71</t>
  </si>
  <si>
    <t>6.55</t>
  </si>
  <si>
    <t>29/1</t>
  </si>
  <si>
    <t>3.62</t>
  </si>
  <si>
    <t>3.20</t>
  </si>
  <si>
    <t>6.66</t>
  </si>
  <si>
    <t>280</t>
  </si>
  <si>
    <t>32/1</t>
  </si>
  <si>
    <t>3.55</t>
  </si>
  <si>
    <t>30/1</t>
  </si>
  <si>
    <t>3.33</t>
  </si>
  <si>
    <t>6.78</t>
  </si>
  <si>
    <t>278</t>
  </si>
  <si>
    <t>36/1</t>
  </si>
  <si>
    <t>38/1</t>
  </si>
  <si>
    <t>37/1</t>
  </si>
  <si>
    <t>3.36</t>
  </si>
  <si>
    <t>43/2</t>
  </si>
  <si>
    <t>3.90</t>
  </si>
  <si>
    <t>6.79</t>
  </si>
  <si>
    <t>265</t>
  </si>
  <si>
    <t>3.75</t>
  </si>
  <si>
    <t>47/2</t>
  </si>
  <si>
    <t>3.91</t>
  </si>
  <si>
    <t>6.86</t>
  </si>
  <si>
    <t>261</t>
  </si>
  <si>
    <t>49/1</t>
  </si>
  <si>
    <t>3.76</t>
  </si>
  <si>
    <t>49/2</t>
  </si>
  <si>
    <t>259</t>
  </si>
  <si>
    <t>52/2</t>
  </si>
  <si>
    <t>7.11</t>
  </si>
  <si>
    <t>61/1</t>
  </si>
  <si>
    <t>4.06</t>
  </si>
  <si>
    <t>61/2</t>
  </si>
  <si>
    <t>7.05</t>
  </si>
  <si>
    <t>247</t>
  </si>
  <si>
    <t>4.18</t>
  </si>
  <si>
    <t>63/2</t>
  </si>
  <si>
    <t>3.93</t>
  </si>
  <si>
    <t>245</t>
  </si>
  <si>
    <t>70/1</t>
  </si>
  <si>
    <t>4.11</t>
  </si>
  <si>
    <t>74/2</t>
  </si>
  <si>
    <t>4.35</t>
  </si>
  <si>
    <t>7.09</t>
  </si>
  <si>
    <t>77/1</t>
  </si>
  <si>
    <t>7.15</t>
  </si>
  <si>
    <t>4.15</t>
  </si>
  <si>
    <t>84/2</t>
  </si>
  <si>
    <t>7.22</t>
  </si>
  <si>
    <t>224</t>
  </si>
  <si>
    <t>83/1</t>
  </si>
  <si>
    <t>87/1</t>
  </si>
  <si>
    <t>7.27</t>
  </si>
  <si>
    <t>211</t>
  </si>
  <si>
    <t>107/2</t>
  </si>
  <si>
    <t>4.86</t>
  </si>
  <si>
    <t>7.17</t>
  </si>
  <si>
    <t>201</t>
  </si>
  <si>
    <t>103/1</t>
  </si>
  <si>
    <t>4.47</t>
  </si>
  <si>
    <t>108/3</t>
  </si>
  <si>
    <t>114/1</t>
  </si>
  <si>
    <t>4.75</t>
  </si>
  <si>
    <t>113/3</t>
  </si>
  <si>
    <t>4.70</t>
  </si>
  <si>
    <t>7.50</t>
  </si>
  <si>
    <t>195</t>
  </si>
  <si>
    <t>123/1</t>
  </si>
  <si>
    <t>4.92</t>
  </si>
  <si>
    <t>115/3</t>
  </si>
  <si>
    <t>7.72</t>
  </si>
  <si>
    <t>193</t>
  </si>
  <si>
    <t>121/3</t>
  </si>
  <si>
    <t>4.65</t>
  </si>
  <si>
    <t>7.79</t>
  </si>
  <si>
    <t>187</t>
  </si>
  <si>
    <t>136/1</t>
  </si>
  <si>
    <t>5.03</t>
  </si>
  <si>
    <t>8.40</t>
  </si>
  <si>
    <t>131/3</t>
  </si>
  <si>
    <t>7.69</t>
  </si>
  <si>
    <t>138/2</t>
  </si>
  <si>
    <t>133/3</t>
  </si>
  <si>
    <t>7.95</t>
  </si>
  <si>
    <t>175</t>
  </si>
  <si>
    <t>141/2</t>
  </si>
  <si>
    <t>134/4</t>
  </si>
  <si>
    <t>4.62</t>
  </si>
  <si>
    <t>8.28</t>
  </si>
  <si>
    <t>146/2</t>
  </si>
  <si>
    <t>142/4</t>
  </si>
  <si>
    <t>8.30</t>
  </si>
  <si>
    <t>166</t>
  </si>
  <si>
    <t>153/2</t>
  </si>
  <si>
    <t>4.93</t>
  </si>
  <si>
    <t>147/4</t>
  </si>
  <si>
    <t>4.74</t>
  </si>
  <si>
    <t>8.47</t>
  </si>
  <si>
    <t>161</t>
  </si>
  <si>
    <t>156/2</t>
  </si>
  <si>
    <t>4.87</t>
  </si>
  <si>
    <t>148/5</t>
  </si>
  <si>
    <t>8.88</t>
  </si>
  <si>
    <t>160</t>
  </si>
  <si>
    <t>151/5</t>
  </si>
  <si>
    <t>4.57</t>
  </si>
  <si>
    <t>157</t>
  </si>
  <si>
    <t>172/2</t>
  </si>
  <si>
    <t>5.05</t>
  </si>
  <si>
    <t>153/7</t>
  </si>
  <si>
    <t>9.68</t>
  </si>
  <si>
    <t>155</t>
  </si>
  <si>
    <t>183/2</t>
  </si>
  <si>
    <t>156/7</t>
  </si>
  <si>
    <t>10.13</t>
  </si>
  <si>
    <t>195/2</t>
  </si>
  <si>
    <t>5.41</t>
  </si>
  <si>
    <t>157/7</t>
  </si>
  <si>
    <t>10.78</t>
  </si>
  <si>
    <t>151</t>
  </si>
  <si>
    <t>204/2</t>
  </si>
  <si>
    <t>5.51</t>
  </si>
  <si>
    <t>161/8</t>
  </si>
  <si>
    <t>11.30</t>
  </si>
  <si>
    <t>162/9</t>
  </si>
  <si>
    <t>4.26</t>
  </si>
  <si>
    <t>2.20</t>
  </si>
  <si>
    <t>12.16</t>
  </si>
  <si>
    <t>146</t>
  </si>
  <si>
    <t>214/2</t>
  </si>
  <si>
    <t>170/9</t>
  </si>
  <si>
    <t>12.54</t>
  </si>
  <si>
    <t>227/2</t>
  </si>
  <si>
    <t>13</t>
  </si>
  <si>
    <t>5.67</t>
  </si>
  <si>
    <t>175/9</t>
  </si>
  <si>
    <t>13.30</t>
  </si>
  <si>
    <t>133</t>
  </si>
  <si>
    <t>237/2</t>
  </si>
  <si>
    <t>5.78</t>
  </si>
  <si>
    <t>177/10</t>
  </si>
  <si>
    <t>2*</t>
  </si>
  <si>
    <t>4.38*</t>
  </si>
  <si>
    <t>4.61*</t>
  </si>
  <si>
    <t>13.55*</t>
  </si>
  <si>
    <t>131</t>
  </si>
  <si>
    <t>58</t>
  </si>
  <si>
    <t>5.83</t>
  </si>
  <si>
    <t>8.20</t>
  </si>
  <si>
    <t>254/2</t>
  </si>
  <si>
    <t>5.90</t>
  </si>
  <si>
    <t>266/3</t>
  </si>
  <si>
    <t>10.40</t>
  </si>
  <si>
    <t>271/4</t>
  </si>
  <si>
    <t>278/5</t>
  </si>
  <si>
    <t>284/5</t>
  </si>
  <si>
    <t>297/6</t>
  </si>
  <si>
    <t>8.60</t>
  </si>
  <si>
    <t>302/7</t>
  </si>
  <si>
    <t>307/7</t>
  </si>
  <si>
    <t>6.14</t>
  </si>
  <si>
    <t>3/0</t>
  </si>
  <si>
    <t>279</t>
  </si>
  <si>
    <t>5.81</t>
  </si>
  <si>
    <t>10/0</t>
  </si>
  <si>
    <t>5.91</t>
  </si>
  <si>
    <t>13/1</t>
  </si>
  <si>
    <t>15/0</t>
  </si>
  <si>
    <t>5.93</t>
  </si>
  <si>
    <t>13/2</t>
  </si>
  <si>
    <t>20/0</t>
  </si>
  <si>
    <t>5.95</t>
  </si>
  <si>
    <t>268</t>
  </si>
  <si>
    <t>2.16</t>
  </si>
  <si>
    <t>1.85</t>
  </si>
  <si>
    <t>1.40</t>
  </si>
  <si>
    <t>21/2</t>
  </si>
  <si>
    <t>18/2</t>
  </si>
  <si>
    <t>31/2</t>
  </si>
  <si>
    <t>3.87</t>
  </si>
  <si>
    <t>19/2</t>
  </si>
  <si>
    <t>2.11</t>
  </si>
  <si>
    <t>1.20</t>
  </si>
  <si>
    <t>32/2</t>
  </si>
  <si>
    <t>27/2</t>
  </si>
  <si>
    <t>2.70</t>
  </si>
  <si>
    <t>35/2</t>
  </si>
  <si>
    <t>6.32</t>
  </si>
  <si>
    <t>253</t>
  </si>
  <si>
    <t>33/3</t>
  </si>
  <si>
    <t>44/2</t>
  </si>
  <si>
    <t>6.25</t>
  </si>
  <si>
    <t>244</t>
  </si>
  <si>
    <t>36/3</t>
  </si>
  <si>
    <t>45/2</t>
  </si>
  <si>
    <t>6.39</t>
  </si>
  <si>
    <t>42/3</t>
  </si>
  <si>
    <t>3.23</t>
  </si>
  <si>
    <t>50/2</t>
  </si>
  <si>
    <t>3.84</t>
  </si>
  <si>
    <t>238</t>
  </si>
  <si>
    <t>58/2</t>
  </si>
  <si>
    <t>6.38</t>
  </si>
  <si>
    <t>230</t>
  </si>
  <si>
    <t>43/3</t>
  </si>
  <si>
    <t>2.86</t>
  </si>
  <si>
    <t>65/2</t>
  </si>
  <si>
    <t>223</t>
  </si>
  <si>
    <t>46/3</t>
  </si>
  <si>
    <t>2.87</t>
  </si>
  <si>
    <t>69/2</t>
  </si>
  <si>
    <t>4.31</t>
  </si>
  <si>
    <t>6.44</t>
  </si>
  <si>
    <t>219</t>
  </si>
  <si>
    <t>56/3</t>
  </si>
  <si>
    <t>3.29</t>
  </si>
  <si>
    <t>73/3</t>
  </si>
  <si>
    <t>4.29</t>
  </si>
  <si>
    <t>215</t>
  </si>
  <si>
    <t>59/3</t>
  </si>
  <si>
    <t>3.27</t>
  </si>
  <si>
    <t>74/3</t>
  </si>
  <si>
    <t>214</t>
  </si>
  <si>
    <t>61/3</t>
  </si>
  <si>
    <t>3.21</t>
  </si>
  <si>
    <t>78/3</t>
  </si>
  <si>
    <t>4.10</t>
  </si>
  <si>
    <t>6.77</t>
  </si>
  <si>
    <t>64/3</t>
  </si>
  <si>
    <t>83/3</t>
  </si>
  <si>
    <t>6.83</t>
  </si>
  <si>
    <t>205</t>
  </si>
  <si>
    <t>72/3</t>
  </si>
  <si>
    <t>3.42</t>
  </si>
  <si>
    <t>84/3</t>
  </si>
  <si>
    <t>82/3</t>
  </si>
  <si>
    <t>3.72</t>
  </si>
  <si>
    <t>90/3</t>
  </si>
  <si>
    <t>7.07</t>
  </si>
  <si>
    <t>89/3</t>
  </si>
  <si>
    <t>3.86</t>
  </si>
  <si>
    <t>92/4</t>
  </si>
  <si>
    <t>98/3</t>
  </si>
  <si>
    <t>4.08</t>
  </si>
  <si>
    <t>94/4</t>
  </si>
  <si>
    <t>7.46</t>
  </si>
  <si>
    <t>194</t>
  </si>
  <si>
    <t>101/3</t>
  </si>
  <si>
    <t>4.04</t>
  </si>
  <si>
    <t>98/4</t>
  </si>
  <si>
    <t>3.92</t>
  </si>
  <si>
    <t>7.60</t>
  </si>
  <si>
    <t>190</t>
  </si>
  <si>
    <t>117/3</t>
  </si>
  <si>
    <t>16</t>
  </si>
  <si>
    <t>103/4</t>
  </si>
  <si>
    <t>3.96</t>
  </si>
  <si>
    <t>7.70</t>
  </si>
  <si>
    <t>185</t>
  </si>
  <si>
    <t>119/3</t>
  </si>
  <si>
    <t>104/4</t>
  </si>
  <si>
    <t>3.85</t>
  </si>
  <si>
    <t>184</t>
  </si>
  <si>
    <t>125/3</t>
  </si>
  <si>
    <t>107/4</t>
  </si>
  <si>
    <t>3.82</t>
  </si>
  <si>
    <t>8.22</t>
  </si>
  <si>
    <t>181</t>
  </si>
  <si>
    <t>126/4</t>
  </si>
  <si>
    <t>4.34</t>
  </si>
  <si>
    <t>112/4</t>
  </si>
  <si>
    <t>8.38</t>
  </si>
  <si>
    <t>176</t>
  </si>
  <si>
    <t>128/4</t>
  </si>
  <si>
    <t>127/4</t>
  </si>
  <si>
    <t>4.23</t>
  </si>
  <si>
    <t>8.05</t>
  </si>
  <si>
    <t>131/4</t>
  </si>
  <si>
    <t>4.22</t>
  </si>
  <si>
    <t>130/4</t>
  </si>
  <si>
    <t>8.31</t>
  </si>
  <si>
    <t>158</t>
  </si>
  <si>
    <t>141/4</t>
  </si>
  <si>
    <t>8.16</t>
  </si>
  <si>
    <t>149/4</t>
  </si>
  <si>
    <t>4.51</t>
  </si>
  <si>
    <t>8.17</t>
  </si>
  <si>
    <t>139</t>
  </si>
  <si>
    <t>151/4</t>
  </si>
  <si>
    <t>8.56</t>
  </si>
  <si>
    <t>137</t>
  </si>
  <si>
    <t>158/4</t>
  </si>
  <si>
    <t>8.66</t>
  </si>
  <si>
    <t>130</t>
  </si>
  <si>
    <t>163/4</t>
  </si>
  <si>
    <t>4.52</t>
  </si>
  <si>
    <t>8.92</t>
  </si>
  <si>
    <t>125</t>
  </si>
  <si>
    <t>171/4</t>
  </si>
  <si>
    <t>170/4</t>
  </si>
  <si>
    <t>4.59</t>
  </si>
  <si>
    <t>9.07</t>
  </si>
  <si>
    <t>118</t>
  </si>
  <si>
    <t>183/4</t>
  </si>
  <si>
    <t>4.81</t>
  </si>
  <si>
    <t>182/4</t>
  </si>
  <si>
    <t>8.83</t>
  </si>
  <si>
    <t>106</t>
  </si>
  <si>
    <t>200/4</t>
  </si>
  <si>
    <t>17</t>
  </si>
  <si>
    <t>5.12</t>
  </si>
  <si>
    <t>10.60</t>
  </si>
  <si>
    <t>184/4</t>
  </si>
  <si>
    <t>9.45</t>
  </si>
  <si>
    <t>104</t>
  </si>
  <si>
    <t>207/4</t>
  </si>
  <si>
    <t>5.17</t>
  </si>
  <si>
    <t>197/4</t>
  </si>
  <si>
    <t>9.10</t>
  </si>
  <si>
    <t>91</t>
  </si>
  <si>
    <t>232/4</t>
  </si>
  <si>
    <t>25</t>
  </si>
  <si>
    <t>5.65</t>
  </si>
  <si>
    <t>13.80</t>
  </si>
  <si>
    <t>204/4</t>
  </si>
  <si>
    <t>4.97</t>
  </si>
  <si>
    <t>9.33</t>
  </si>
  <si>
    <t>239/5</t>
  </si>
  <si>
    <t>13.60</t>
  </si>
  <si>
    <t>217/4</t>
  </si>
  <si>
    <t>5.16</t>
  </si>
  <si>
    <t>8.87</t>
  </si>
  <si>
    <t>71</t>
  </si>
  <si>
    <t>241/5</t>
  </si>
  <si>
    <t>11.60</t>
  </si>
  <si>
    <t>227/4</t>
  </si>
  <si>
    <t>5.27</t>
  </si>
  <si>
    <t>8.71</t>
  </si>
  <si>
    <t>61</t>
  </si>
  <si>
    <t>252/6</t>
  </si>
  <si>
    <t>5.72</t>
  </si>
  <si>
    <t>240/4</t>
  </si>
  <si>
    <t>5.45</t>
  </si>
  <si>
    <t>259/6</t>
  </si>
  <si>
    <t>5.75</t>
  </si>
  <si>
    <t>249/4</t>
  </si>
  <si>
    <t>5.53</t>
  </si>
  <si>
    <t>39</t>
  </si>
  <si>
    <t>276/7</t>
  </si>
  <si>
    <t>256/4</t>
  </si>
  <si>
    <t>5.56</t>
  </si>
  <si>
    <t>32</t>
  </si>
  <si>
    <t>284/7</t>
  </si>
  <si>
    <t>5.76</t>
  </si>
  <si>
    <t>10.80</t>
  </si>
  <si>
    <t>286/8</t>
  </si>
  <si>
    <t>279/4</t>
  </si>
  <si>
    <t>287/10</t>
  </si>
  <si>
    <t>1*</t>
  </si>
  <si>
    <t>5.87*</t>
  </si>
  <si>
    <t>7.24*</t>
  </si>
  <si>
    <t>288/4</t>
  </si>
  <si>
    <t>9*</t>
  </si>
  <si>
    <t>5.91*</t>
  </si>
  <si>
    <t>10.28*</t>
  </si>
  <si>
    <t>-*</t>
  </si>
  <si>
    <t>2.02</t>
  </si>
  <si>
    <t>99</t>
  </si>
  <si>
    <t>7/1</t>
  </si>
  <si>
    <t>2.04</t>
  </si>
  <si>
    <t>1.97</t>
  </si>
  <si>
    <t>93</t>
  </si>
  <si>
    <t>19/0</t>
  </si>
  <si>
    <t>1.86</t>
  </si>
  <si>
    <t>25/0</t>
  </si>
  <si>
    <t>4.16</t>
  </si>
  <si>
    <t>1.77</t>
  </si>
  <si>
    <t>16/2</t>
  </si>
  <si>
    <t>2.28</t>
  </si>
  <si>
    <t>1.80</t>
  </si>
  <si>
    <t>1.69</t>
  </si>
  <si>
    <t>73</t>
  </si>
  <si>
    <t>1.64</t>
  </si>
  <si>
    <t>69</t>
  </si>
  <si>
    <t>24/2</t>
  </si>
  <si>
    <t>2.66</t>
  </si>
  <si>
    <t>5.11</t>
  </si>
  <si>
    <t>1.39</t>
  </si>
  <si>
    <t>57</t>
  </si>
  <si>
    <t>28/2</t>
  </si>
  <si>
    <t>1.27</t>
  </si>
  <si>
    <t>51</t>
  </si>
  <si>
    <t>29/3</t>
  </si>
  <si>
    <t>2.63</t>
  </si>
  <si>
    <t>59/1</t>
  </si>
  <si>
    <t>5.36</t>
  </si>
  <si>
    <t>1.12</t>
  </si>
  <si>
    <t>44</t>
  </si>
  <si>
    <t>34/3</t>
  </si>
  <si>
    <t>2.83</t>
  </si>
  <si>
    <t>5.08</t>
  </si>
  <si>
    <t>1.10</t>
  </si>
  <si>
    <t>2.76</t>
  </si>
  <si>
    <t>66/1</t>
  </si>
  <si>
    <t>5.07</t>
  </si>
  <si>
    <t>1.00</t>
  </si>
  <si>
    <t>37</t>
  </si>
  <si>
    <t>2.57</t>
  </si>
  <si>
    <t>0.86</t>
  </si>
  <si>
    <t>31</t>
  </si>
  <si>
    <t>41/4</t>
  </si>
  <si>
    <t>2.73</t>
  </si>
  <si>
    <t>0.57</t>
  </si>
  <si>
    <t>20</t>
  </si>
  <si>
    <t>44/4</t>
  </si>
  <si>
    <t>2.75</t>
  </si>
  <si>
    <t>88/1</t>
  </si>
  <si>
    <t>0.44</t>
  </si>
  <si>
    <t>44/5</t>
  </si>
  <si>
    <t>2.58</t>
  </si>
  <si>
    <t>5.52</t>
  </si>
  <si>
    <t>0.27</t>
  </si>
  <si>
    <t>49/5</t>
  </si>
  <si>
    <t>2.72</t>
  </si>
  <si>
    <t>100/1</t>
  </si>
  <si>
    <t>5.55</t>
  </si>
  <si>
    <t>0.09</t>
  </si>
  <si>
    <t>19</t>
  </si>
  <si>
    <t>51/5</t>
  </si>
  <si>
    <t>2.68</t>
  </si>
  <si>
    <t>104/1</t>
  </si>
  <si>
    <t>4*</t>
  </si>
  <si>
    <t>5.52*</t>
  </si>
  <si>
    <t>6.62*</t>
  </si>
  <si>
    <t>54/6</t>
  </si>
  <si>
    <t>21</t>
  </si>
  <si>
    <t>61/6</t>
  </si>
  <si>
    <t>2.90</t>
  </si>
  <si>
    <t>22</t>
  </si>
  <si>
    <t>67/7</t>
  </si>
  <si>
    <t>3.04</t>
  </si>
  <si>
    <t>23</t>
  </si>
  <si>
    <t>68/8</t>
  </si>
  <si>
    <t>2.95</t>
  </si>
  <si>
    <t>71/9</t>
  </si>
  <si>
    <t>72/9</t>
  </si>
  <si>
    <t>2.88</t>
  </si>
  <si>
    <t>26</t>
  </si>
  <si>
    <t>78/9</t>
  </si>
  <si>
    <t>27</t>
  </si>
  <si>
    <t>84/9</t>
  </si>
  <si>
    <t>3.11</t>
  </si>
  <si>
    <t>28</t>
  </si>
  <si>
    <t>88/9</t>
  </si>
  <si>
    <t>3.14</t>
  </si>
  <si>
    <t>29</t>
  </si>
  <si>
    <t>90/9</t>
  </si>
  <si>
    <t>3.10</t>
  </si>
  <si>
    <t>94/9</t>
  </si>
  <si>
    <t>3.13</t>
  </si>
  <si>
    <t>98/9</t>
  </si>
  <si>
    <t>102/10</t>
  </si>
  <si>
    <t>3.23*</t>
  </si>
  <si>
    <t>4.00*</t>
  </si>
  <si>
    <t>8/0</t>
  </si>
  <si>
    <t>5.25</t>
  </si>
  <si>
    <t>6.33</t>
  </si>
  <si>
    <t>27/0</t>
  </si>
  <si>
    <t>16/0</t>
  </si>
  <si>
    <t>22/0</t>
  </si>
  <si>
    <t>5.28</t>
  </si>
  <si>
    <t>39/0</t>
  </si>
  <si>
    <t>6.50</t>
  </si>
  <si>
    <t>23/0</t>
  </si>
  <si>
    <t>3.83</t>
  </si>
  <si>
    <t>5.38</t>
  </si>
  <si>
    <t>237</t>
  </si>
  <si>
    <t>47/0</t>
  </si>
  <si>
    <t>6.71</t>
  </si>
  <si>
    <t>36/0</t>
  </si>
  <si>
    <t>53/0</t>
  </si>
  <si>
    <t>6.62</t>
  </si>
  <si>
    <t>44/0</t>
  </si>
  <si>
    <t>57/0</t>
  </si>
  <si>
    <t>62/0</t>
  </si>
  <si>
    <t>6.88</t>
  </si>
  <si>
    <t>60/0</t>
  </si>
  <si>
    <t>73/0</t>
  </si>
  <si>
    <t>7.30</t>
  </si>
  <si>
    <t>10.20</t>
  </si>
  <si>
    <t>4.67</t>
  </si>
  <si>
    <t>64/0</t>
  </si>
  <si>
    <t>74/0</t>
  </si>
  <si>
    <t>69/0</t>
  </si>
  <si>
    <t>78/0</t>
  </si>
  <si>
    <t>5.61</t>
  </si>
  <si>
    <t>86/0</t>
  </si>
  <si>
    <t>6.61</t>
  </si>
  <si>
    <t>85/0</t>
  </si>
  <si>
    <t>6.07</t>
  </si>
  <si>
    <t>99/0</t>
  </si>
  <si>
    <t>103/0</t>
  </si>
  <si>
    <t>4.48</t>
  </si>
  <si>
    <t>91/1</t>
  </si>
  <si>
    <t>5.68</t>
  </si>
  <si>
    <t>107/0</t>
  </si>
  <si>
    <t>153</t>
  </si>
  <si>
    <t>92/1</t>
  </si>
  <si>
    <t>121/0</t>
  </si>
  <si>
    <t>93/2</t>
  </si>
  <si>
    <t>125/0</t>
  </si>
  <si>
    <t>6.94</t>
  </si>
  <si>
    <t>135</t>
  </si>
  <si>
    <t>1.60</t>
  </si>
  <si>
    <t>134/0</t>
  </si>
  <si>
    <t>96/2</t>
  </si>
  <si>
    <t>144/0</t>
  </si>
  <si>
    <t>116</t>
  </si>
  <si>
    <t>152/0</t>
  </si>
  <si>
    <t>7.23</t>
  </si>
  <si>
    <t>103/2</t>
  </si>
  <si>
    <t>162/0</t>
  </si>
  <si>
    <t>7.36</t>
  </si>
  <si>
    <t>105/2</t>
  </si>
  <si>
    <t>4.56</t>
  </si>
  <si>
    <t>172/0</t>
  </si>
  <si>
    <t>7.47</t>
  </si>
  <si>
    <t>88</t>
  </si>
  <si>
    <t>110/2</t>
  </si>
  <si>
    <t>4.58</t>
  </si>
  <si>
    <t>174/1</t>
  </si>
  <si>
    <t>3.30</t>
  </si>
  <si>
    <t>113/2</t>
  </si>
  <si>
    <t>175/1</t>
  </si>
  <si>
    <t>85</t>
  </si>
  <si>
    <t>118/2</t>
  </si>
  <si>
    <t>4.53</t>
  </si>
  <si>
    <t>178/1</t>
  </si>
  <si>
    <t>6.84</t>
  </si>
  <si>
    <t>3.41</t>
  </si>
  <si>
    <t>82</t>
  </si>
  <si>
    <t>122/2</t>
  </si>
  <si>
    <t>183/1</t>
  </si>
  <si>
    <t>3.34</t>
  </si>
  <si>
    <t>126/2</t>
  </si>
  <si>
    <t>191/2</t>
  </si>
  <si>
    <t>6.82</t>
  </si>
  <si>
    <t>130/2</t>
  </si>
  <si>
    <t>64</t>
  </si>
  <si>
    <t>142/2</t>
  </si>
  <si>
    <t>203/2</t>
  </si>
  <si>
    <t>6.76</t>
  </si>
  <si>
    <t>2.85</t>
  </si>
  <si>
    <t>144/2</t>
  </si>
  <si>
    <t>210/2</t>
  </si>
  <si>
    <t>50</t>
  </si>
  <si>
    <t>146/3</t>
  </si>
  <si>
    <t>218/2</t>
  </si>
  <si>
    <t>6.81</t>
  </si>
  <si>
    <t>156/3</t>
  </si>
  <si>
    <t>228/2</t>
  </si>
  <si>
    <t>6.90</t>
  </si>
  <si>
    <t>1.88</t>
  </si>
  <si>
    <t>168/3</t>
  </si>
  <si>
    <t>236/2</t>
  </si>
  <si>
    <t>1.50</t>
  </si>
  <si>
    <t>171/3</t>
  </si>
  <si>
    <t>242/2</t>
  </si>
  <si>
    <t>6.91</t>
  </si>
  <si>
    <t>173/3</t>
  </si>
  <si>
    <t>0.42</t>
  </si>
  <si>
    <t>181/3</t>
  </si>
  <si>
    <t>260/2</t>
  </si>
  <si>
    <t>6*</t>
  </si>
  <si>
    <t>7.05*</t>
  </si>
  <si>
    <t>8.68*</t>
  </si>
  <si>
    <t>79</t>
  </si>
  <si>
    <t>194/3</t>
  </si>
  <si>
    <t>5.10</t>
  </si>
  <si>
    <t>206/4</t>
  </si>
  <si>
    <t>212/5</t>
  </si>
  <si>
    <t>222/5</t>
  </si>
  <si>
    <t>226/6</t>
  </si>
  <si>
    <t>227/8</t>
  </si>
  <si>
    <t>233/8</t>
  </si>
  <si>
    <t>234/8</t>
  </si>
  <si>
    <t>243/9</t>
  </si>
  <si>
    <t>247/9</t>
  </si>
  <si>
    <t>253/9</t>
  </si>
  <si>
    <t>259/10</t>
  </si>
  <si>
    <t>3.69</t>
  </si>
  <si>
    <t>3.73</t>
  </si>
  <si>
    <t>172</t>
  </si>
  <si>
    <t>8/1</t>
  </si>
  <si>
    <t>171</t>
  </si>
  <si>
    <t>1.66</t>
  </si>
  <si>
    <t>3.77</t>
  </si>
  <si>
    <t>20/2</t>
  </si>
  <si>
    <t>3.79</t>
  </si>
  <si>
    <t>163</t>
  </si>
  <si>
    <t>25/2</t>
  </si>
  <si>
    <t>3.12</t>
  </si>
  <si>
    <t>35/3</t>
  </si>
  <si>
    <t>3.88</t>
  </si>
  <si>
    <t>3.68</t>
  </si>
  <si>
    <t>38/4</t>
  </si>
  <si>
    <t>41/2</t>
  </si>
  <si>
    <t>142</t>
  </si>
  <si>
    <t>42/4</t>
  </si>
  <si>
    <t>3.81</t>
  </si>
  <si>
    <t>3.43</t>
  </si>
  <si>
    <t>134</t>
  </si>
  <si>
    <t>49/4</t>
  </si>
  <si>
    <t>56/2</t>
  </si>
  <si>
    <t>127</t>
  </si>
  <si>
    <t>51/4</t>
  </si>
  <si>
    <t>3.64</t>
  </si>
  <si>
    <t>3.52</t>
  </si>
  <si>
    <t>54/4</t>
  </si>
  <si>
    <t>63/3</t>
  </si>
  <si>
    <t>61/4</t>
  </si>
  <si>
    <t>68/3</t>
  </si>
  <si>
    <t>3.38</t>
  </si>
  <si>
    <t>115</t>
  </si>
  <si>
    <t>3.58</t>
  </si>
  <si>
    <t>70/3</t>
  </si>
  <si>
    <t>67/4</t>
  </si>
  <si>
    <t>78/4</t>
  </si>
  <si>
    <t>3.28</t>
  </si>
  <si>
    <t>68/5</t>
  </si>
  <si>
    <t>3.57</t>
  </si>
  <si>
    <t>84/4</t>
  </si>
  <si>
    <t>3.19</t>
  </si>
  <si>
    <t>71/5</t>
  </si>
  <si>
    <t>93/4</t>
  </si>
  <si>
    <t>97/4</t>
  </si>
  <si>
    <t>2.96</t>
  </si>
  <si>
    <t>72/6</t>
  </si>
  <si>
    <t>80</t>
  </si>
  <si>
    <t>84/6</t>
  </si>
  <si>
    <t>3.65</t>
  </si>
  <si>
    <t>107/5</t>
  </si>
  <si>
    <t>2.81</t>
  </si>
  <si>
    <t>76</t>
  </si>
  <si>
    <t>85/6</t>
  </si>
  <si>
    <t>3.54</t>
  </si>
  <si>
    <t>113/5</t>
  </si>
  <si>
    <t>2.69</t>
  </si>
  <si>
    <t>70</t>
  </si>
  <si>
    <t>88/7</t>
  </si>
  <si>
    <t>114/5</t>
  </si>
  <si>
    <t>93/7</t>
  </si>
  <si>
    <t>118/5</t>
  </si>
  <si>
    <t>65</t>
  </si>
  <si>
    <t>96/7</t>
  </si>
  <si>
    <t>122/5</t>
  </si>
  <si>
    <t>2.65</t>
  </si>
  <si>
    <t>100/7</t>
  </si>
  <si>
    <t>128/5</t>
  </si>
  <si>
    <t>55</t>
  </si>
  <si>
    <t>101/7</t>
  </si>
  <si>
    <t>3.48</t>
  </si>
  <si>
    <t>4.55</t>
  </si>
  <si>
    <t>2.42</t>
  </si>
  <si>
    <t>105/7</t>
  </si>
  <si>
    <t>135/6</t>
  </si>
  <si>
    <t>109/7</t>
  </si>
  <si>
    <t>3.51</t>
  </si>
  <si>
    <t>138/6</t>
  </si>
  <si>
    <t>2.36</t>
  </si>
  <si>
    <t>45</t>
  </si>
  <si>
    <t>115/7</t>
  </si>
  <si>
    <t>3.59</t>
  </si>
  <si>
    <t>148/6</t>
  </si>
  <si>
    <t>1.94</t>
  </si>
  <si>
    <t>35</t>
  </si>
  <si>
    <t>117/7</t>
  </si>
  <si>
    <t>153/6</t>
  </si>
  <si>
    <t>4.63</t>
  </si>
  <si>
    <t>1.76</t>
  </si>
  <si>
    <t>119/7</t>
  </si>
  <si>
    <t>155/6</t>
  </si>
  <si>
    <t>1.75</t>
  </si>
  <si>
    <t>120/7</t>
  </si>
  <si>
    <t>164/6</t>
  </si>
  <si>
    <t>1.26</t>
  </si>
  <si>
    <t>125/8</t>
  </si>
  <si>
    <t>3.47</t>
  </si>
  <si>
    <t>166/6</t>
  </si>
  <si>
    <t>1.21</t>
  </si>
  <si>
    <t>134/8</t>
  </si>
  <si>
    <t>171/6</t>
  </si>
  <si>
    <t>0.92</t>
  </si>
  <si>
    <t>145/8</t>
  </si>
  <si>
    <t>173/6</t>
  </si>
  <si>
    <t>0.83</t>
  </si>
  <si>
    <t>151/8</t>
  </si>
  <si>
    <t>181/6</t>
  </si>
  <si>
    <t>0.18</t>
  </si>
  <si>
    <t>162/8</t>
  </si>
  <si>
    <t>4.05</t>
  </si>
  <si>
    <t>185/6</t>
  </si>
  <si>
    <t>4.72*</t>
  </si>
  <si>
    <t>5.04*</t>
  </si>
  <si>
    <t>168/8</t>
  </si>
  <si>
    <t>172/8</t>
  </si>
  <si>
    <t>182/9</t>
  </si>
  <si>
    <t>4.13</t>
  </si>
  <si>
    <t>182/10</t>
  </si>
  <si>
    <t>0*</t>
  </si>
  <si>
    <t>4.10*</t>
  </si>
  <si>
    <t>6.12</t>
  </si>
  <si>
    <t>300</t>
  </si>
  <si>
    <t>17/0</t>
  </si>
  <si>
    <t>6.15</t>
  </si>
  <si>
    <t>283</t>
  </si>
  <si>
    <t>26/0</t>
  </si>
  <si>
    <t>28/0</t>
  </si>
  <si>
    <t>4.66</t>
  </si>
  <si>
    <t>31/0</t>
  </si>
  <si>
    <t>272</t>
  </si>
  <si>
    <t>33/2</t>
  </si>
  <si>
    <t>6.27</t>
  </si>
  <si>
    <t>41/0</t>
  </si>
  <si>
    <t>38/2</t>
  </si>
  <si>
    <t>6.30</t>
  </si>
  <si>
    <t>39/2</t>
  </si>
  <si>
    <t>51/0</t>
  </si>
  <si>
    <t>6.47</t>
  </si>
  <si>
    <t>55/0</t>
  </si>
  <si>
    <t>46/2</t>
  </si>
  <si>
    <t>6.58</t>
  </si>
  <si>
    <t>56/0</t>
  </si>
  <si>
    <t>59/0</t>
  </si>
  <si>
    <t>54/2</t>
  </si>
  <si>
    <t>249</t>
  </si>
  <si>
    <t>63/0</t>
  </si>
  <si>
    <t>242</t>
  </si>
  <si>
    <t>70/0</t>
  </si>
  <si>
    <t>6.85</t>
  </si>
  <si>
    <t>72/0</t>
  </si>
  <si>
    <t>71/2</t>
  </si>
  <si>
    <t>4.43</t>
  </si>
  <si>
    <t>232</t>
  </si>
  <si>
    <t>78/1</t>
  </si>
  <si>
    <t>80/3</t>
  </si>
  <si>
    <t>81/2</t>
  </si>
  <si>
    <t>220</t>
  </si>
  <si>
    <t>86/3</t>
  </si>
  <si>
    <t>217</t>
  </si>
  <si>
    <t>86/2</t>
  </si>
  <si>
    <t>90/4</t>
  </si>
  <si>
    <t>7.34</t>
  </si>
  <si>
    <t>213</t>
  </si>
  <si>
    <t>89/2</t>
  </si>
  <si>
    <t>95/2</t>
  </si>
  <si>
    <t>7.88</t>
  </si>
  <si>
    <t>91/4</t>
  </si>
  <si>
    <t>8.15</t>
  </si>
  <si>
    <t>212</t>
  </si>
  <si>
    <t>99/2</t>
  </si>
  <si>
    <t>95/4</t>
  </si>
  <si>
    <t>8.32</t>
  </si>
  <si>
    <t>208</t>
  </si>
  <si>
    <t>4.03</t>
  </si>
  <si>
    <t>100/4</t>
  </si>
  <si>
    <t>108/2</t>
  </si>
  <si>
    <t>8.73</t>
  </si>
  <si>
    <t>9.04</t>
  </si>
  <si>
    <t>120/3</t>
  </si>
  <si>
    <t>126/3</t>
  </si>
  <si>
    <t>3.56</t>
  </si>
  <si>
    <t>132/3</t>
  </si>
  <si>
    <t>3.67</t>
  </si>
  <si>
    <t>9.94</t>
  </si>
  <si>
    <t>189</t>
  </si>
  <si>
    <t>143/3</t>
  </si>
  <si>
    <t>10.22</t>
  </si>
  <si>
    <t>147/3</t>
  </si>
  <si>
    <t>127/5</t>
  </si>
  <si>
    <t>10.35</t>
  </si>
  <si>
    <t>152/3</t>
  </si>
  <si>
    <t>133/5</t>
  </si>
  <si>
    <t>10.62</t>
  </si>
  <si>
    <t>170</t>
  </si>
  <si>
    <t>155/3</t>
  </si>
  <si>
    <t>3.97</t>
  </si>
  <si>
    <t>10.93</t>
  </si>
  <si>
    <t>164/3</t>
  </si>
  <si>
    <t>152/6</t>
  </si>
  <si>
    <t>175/3</t>
  </si>
  <si>
    <t>159/6</t>
  </si>
  <si>
    <t>11.07</t>
  </si>
  <si>
    <t>184/3</t>
  </si>
  <si>
    <t>161/6</t>
  </si>
  <si>
    <t>11.83</t>
  </si>
  <si>
    <t>165/6</t>
  </si>
  <si>
    <t>205/3</t>
  </si>
  <si>
    <t>10.00</t>
  </si>
  <si>
    <t>169/6</t>
  </si>
  <si>
    <t>13.40</t>
  </si>
  <si>
    <t>217/3</t>
  </si>
  <si>
    <t>174/6</t>
  </si>
  <si>
    <t>4.24</t>
  </si>
  <si>
    <t>129</t>
  </si>
  <si>
    <t>229/3</t>
  </si>
  <si>
    <t>179/6</t>
  </si>
  <si>
    <t>15.50</t>
  </si>
  <si>
    <t>124</t>
  </si>
  <si>
    <t>233/3</t>
  </si>
  <si>
    <t>189/7</t>
  </si>
  <si>
    <t>16.28</t>
  </si>
  <si>
    <t>241/4</t>
  </si>
  <si>
    <t>5.47</t>
  </si>
  <si>
    <t>192/8</t>
  </si>
  <si>
    <t>18.50</t>
  </si>
  <si>
    <t>111</t>
  </si>
  <si>
    <t>245/4</t>
  </si>
  <si>
    <t>193/10</t>
  </si>
  <si>
    <t>22.00</t>
  </si>
  <si>
    <t>110</t>
  </si>
  <si>
    <t>261/4</t>
  </si>
  <si>
    <t>273/5</t>
  </si>
  <si>
    <t>283/5</t>
  </si>
  <si>
    <t>5.89</t>
  </si>
  <si>
    <t>296/6</t>
  </si>
  <si>
    <t>302/6</t>
  </si>
  <si>
    <t>11.40</t>
  </si>
  <si>
    <t>329</t>
  </si>
  <si>
    <t>6.64</t>
  </si>
  <si>
    <t>319</t>
  </si>
  <si>
    <t>6.89</t>
  </si>
  <si>
    <t>317</t>
  </si>
  <si>
    <t>38/0</t>
  </si>
  <si>
    <t>315</t>
  </si>
  <si>
    <t>7.33</t>
  </si>
  <si>
    <t>308</t>
  </si>
  <si>
    <t>45/0</t>
  </si>
  <si>
    <t>6.42</t>
  </si>
  <si>
    <t>29/0</t>
  </si>
  <si>
    <t>7.04</t>
  </si>
  <si>
    <t>303</t>
  </si>
  <si>
    <t>68/0</t>
  </si>
  <si>
    <t>8.50</t>
  </si>
  <si>
    <t>37/0</t>
  </si>
  <si>
    <t>7.02</t>
  </si>
  <si>
    <t>295</t>
  </si>
  <si>
    <t>42/0</t>
  </si>
  <si>
    <t>77/0</t>
  </si>
  <si>
    <t>46/0</t>
  </si>
  <si>
    <t>286</t>
  </si>
  <si>
    <t>52/0</t>
  </si>
  <si>
    <t>87/0</t>
  </si>
  <si>
    <t>5.33</t>
  </si>
  <si>
    <t>97/0</t>
  </si>
  <si>
    <t>7.16</t>
  </si>
  <si>
    <t>104/0</t>
  </si>
  <si>
    <t>7.42</t>
  </si>
  <si>
    <t>69/1</t>
  </si>
  <si>
    <t>263</t>
  </si>
  <si>
    <t>110/0</t>
  </si>
  <si>
    <t>74/1</t>
  </si>
  <si>
    <t>7.37</t>
  </si>
  <si>
    <t>111/1</t>
  </si>
  <si>
    <t>86/1</t>
  </si>
  <si>
    <t>112/1</t>
  </si>
  <si>
    <t>5.35</t>
  </si>
  <si>
    <t>241</t>
  </si>
  <si>
    <t>97/1</t>
  </si>
  <si>
    <t>235</t>
  </si>
  <si>
    <t>7.38</t>
  </si>
  <si>
    <t>6.35</t>
  </si>
  <si>
    <t>128/1</t>
  </si>
  <si>
    <t>119/1</t>
  </si>
  <si>
    <t>132/1</t>
  </si>
  <si>
    <t>124/2</t>
  </si>
  <si>
    <t>5.63</t>
  </si>
  <si>
    <t>137/2</t>
  </si>
  <si>
    <t>5.43</t>
  </si>
  <si>
    <t>7.66</t>
  </si>
  <si>
    <t>207</t>
  </si>
  <si>
    <t>133/4</t>
  </si>
  <si>
    <t>5.54</t>
  </si>
  <si>
    <t>145/2</t>
  </si>
  <si>
    <t>136/4</t>
  </si>
  <si>
    <t>149/2</t>
  </si>
  <si>
    <t>5.73</t>
  </si>
  <si>
    <t>151/2</t>
  </si>
  <si>
    <t>8.04</t>
  </si>
  <si>
    <t>150/4</t>
  </si>
  <si>
    <t>158/2</t>
  </si>
  <si>
    <t>8.61</t>
  </si>
  <si>
    <t>166/2</t>
  </si>
  <si>
    <t>155/4</t>
  </si>
  <si>
    <t>8.85</t>
  </si>
  <si>
    <t>161/4</t>
  </si>
  <si>
    <t>5.71</t>
  </si>
  <si>
    <t>168/6</t>
  </si>
  <si>
    <t>170/6</t>
  </si>
  <si>
    <t>193/4</t>
  </si>
  <si>
    <t>177/6</t>
  </si>
  <si>
    <t>196/4</t>
  </si>
  <si>
    <t>183/6</t>
  </si>
  <si>
    <t>10.64</t>
  </si>
  <si>
    <t>149</t>
  </si>
  <si>
    <t>210/4</t>
  </si>
  <si>
    <t>187/6</t>
  </si>
  <si>
    <t>11.15</t>
  </si>
  <si>
    <t>145</t>
  </si>
  <si>
    <t>195/6</t>
  </si>
  <si>
    <t>5.13</t>
  </si>
  <si>
    <t>11.41</t>
  </si>
  <si>
    <t>225/4</t>
  </si>
  <si>
    <t>201/7</t>
  </si>
  <si>
    <t>11.90</t>
  </si>
  <si>
    <t>229/4</t>
  </si>
  <si>
    <t>209/7</t>
  </si>
  <si>
    <t>12.30</t>
  </si>
  <si>
    <t>123</t>
  </si>
  <si>
    <t>238/4</t>
  </si>
  <si>
    <t>216/7</t>
  </si>
  <si>
    <t>5.26</t>
  </si>
  <si>
    <t>12.88</t>
  </si>
  <si>
    <t>242/4</t>
  </si>
  <si>
    <t>218/9</t>
  </si>
  <si>
    <t>14.25</t>
  </si>
  <si>
    <t>252/4</t>
  </si>
  <si>
    <t>5.86</t>
  </si>
  <si>
    <t>219/9</t>
  </si>
  <si>
    <t>5.09</t>
  </si>
  <si>
    <t>16.14</t>
  </si>
  <si>
    <t>260/5</t>
  </si>
  <si>
    <t>224/9</t>
  </si>
  <si>
    <t>18.00</t>
  </si>
  <si>
    <t>270/5</t>
  </si>
  <si>
    <t>227/9</t>
  </si>
  <si>
    <t>5.04</t>
  </si>
  <si>
    <t>21.00</t>
  </si>
  <si>
    <t>287/5</t>
  </si>
  <si>
    <t>232/9</t>
  </si>
  <si>
    <t>25.00</t>
  </si>
  <si>
    <t>100</t>
  </si>
  <si>
    <t>294/5</t>
  </si>
  <si>
    <t>233/10</t>
  </si>
  <si>
    <t>3.60*</t>
  </si>
  <si>
    <t>25.82*</t>
  </si>
  <si>
    <t>309/5</t>
  </si>
  <si>
    <t>319/5</t>
  </si>
  <si>
    <t>11.80</t>
  </si>
  <si>
    <t>331/6</t>
  </si>
  <si>
    <t>12.20</t>
  </si>
  <si>
    <t>343</t>
  </si>
  <si>
    <t>338</t>
  </si>
  <si>
    <t>7.08</t>
  </si>
  <si>
    <t>333</t>
  </si>
  <si>
    <t>6.97</t>
  </si>
  <si>
    <t>314</t>
  </si>
  <si>
    <t>7.83</t>
  </si>
  <si>
    <t>305</t>
  </si>
  <si>
    <t>41/1</t>
  </si>
  <si>
    <t>5.85</t>
  </si>
  <si>
    <t>57/2</t>
  </si>
  <si>
    <t>7.12</t>
  </si>
  <si>
    <t>43/1</t>
  </si>
  <si>
    <t>7.14</t>
  </si>
  <si>
    <t>60/2</t>
  </si>
  <si>
    <t>48/1</t>
  </si>
  <si>
    <t>7.19</t>
  </si>
  <si>
    <t>66/2</t>
  </si>
  <si>
    <t>7.32</t>
  </si>
  <si>
    <t>293</t>
  </si>
  <si>
    <t>6.54</t>
  </si>
  <si>
    <t>7.41</t>
  </si>
  <si>
    <t>77/3</t>
  </si>
  <si>
    <t>6.41</t>
  </si>
  <si>
    <t>7.44</t>
  </si>
  <si>
    <t>81/3</t>
  </si>
  <si>
    <t>7.51</t>
  </si>
  <si>
    <t>5.92</t>
  </si>
  <si>
    <t>66/4</t>
  </si>
  <si>
    <t>277</t>
  </si>
  <si>
    <t>93/3</t>
  </si>
  <si>
    <t>70/4</t>
  </si>
  <si>
    <t>8.02</t>
  </si>
  <si>
    <t>96/3</t>
  </si>
  <si>
    <t>5.64</t>
  </si>
  <si>
    <t>72/4</t>
  </si>
  <si>
    <t>8.21</t>
  </si>
  <si>
    <t>271</t>
  </si>
  <si>
    <t>102/3</t>
  </si>
  <si>
    <t>73/5</t>
  </si>
  <si>
    <t>8.43</t>
  </si>
  <si>
    <t>104/3</t>
  </si>
  <si>
    <t>79/5</t>
  </si>
  <si>
    <t>8.51</t>
  </si>
  <si>
    <t>105/3</t>
  </si>
  <si>
    <t>81/5</t>
  </si>
  <si>
    <t>107/3</t>
  </si>
  <si>
    <t>91/5</t>
  </si>
  <si>
    <t>8.68</t>
  </si>
  <si>
    <t>5.31</t>
  </si>
  <si>
    <t>94/6</t>
  </si>
  <si>
    <t>8.89</t>
  </si>
  <si>
    <t>99/6</t>
  </si>
  <si>
    <t>9.03</t>
  </si>
  <si>
    <t>129/3</t>
  </si>
  <si>
    <t>107/6</t>
  </si>
  <si>
    <t>236</t>
  </si>
  <si>
    <t>140/3</t>
  </si>
  <si>
    <t>113/6</t>
  </si>
  <si>
    <t>115/6</t>
  </si>
  <si>
    <t>5.62</t>
  </si>
  <si>
    <t>124/6</t>
  </si>
  <si>
    <t>131/6</t>
  </si>
  <si>
    <t>9.63</t>
  </si>
  <si>
    <t>158/3</t>
  </si>
  <si>
    <t>141/6</t>
  </si>
  <si>
    <t>9.61</t>
  </si>
  <si>
    <t>202</t>
  </si>
  <si>
    <t>161/3</t>
  </si>
  <si>
    <t>172/3</t>
  </si>
  <si>
    <t>157/6</t>
  </si>
  <si>
    <t>5.06</t>
  </si>
  <si>
    <t>9.78</t>
  </si>
  <si>
    <t>176/3</t>
  </si>
  <si>
    <t>4.96</t>
  </si>
  <si>
    <t>179/3</t>
  </si>
  <si>
    <t>163/6</t>
  </si>
  <si>
    <t>10.58</t>
  </si>
  <si>
    <t>188/3</t>
  </si>
  <si>
    <t>176/6</t>
  </si>
  <si>
    <t>10.43</t>
  </si>
  <si>
    <t>184/6</t>
  </si>
  <si>
    <t>159</t>
  </si>
  <si>
    <t>210/3</t>
  </si>
  <si>
    <t>219/4</t>
  </si>
  <si>
    <t>195/8</t>
  </si>
  <si>
    <t>11.38</t>
  </si>
  <si>
    <t>148</t>
  </si>
  <si>
    <t>228/4</t>
  </si>
  <si>
    <t>205/9</t>
  </si>
  <si>
    <t>5.39</t>
  </si>
  <si>
    <t>11.50</t>
  </si>
  <si>
    <t>230/5</t>
  </si>
  <si>
    <t>11.36</t>
  </si>
  <si>
    <t>237/5</t>
  </si>
  <si>
    <t>221/9</t>
  </si>
  <si>
    <t>122</t>
  </si>
  <si>
    <t>240/5</t>
  </si>
  <si>
    <t>225/9</t>
  </si>
  <si>
    <t>13.11</t>
  </si>
  <si>
    <t>250/5</t>
  </si>
  <si>
    <t>231/10</t>
  </si>
  <si>
    <t>7.44*</t>
  </si>
  <si>
    <t>13.71*</t>
  </si>
  <si>
    <t>112</t>
  </si>
  <si>
    <t>49</t>
  </si>
  <si>
    <t>258/5</t>
  </si>
  <si>
    <t>266/5</t>
  </si>
  <si>
    <t>281/5</t>
  </si>
  <si>
    <t>299/6</t>
  </si>
  <si>
    <t>310/6</t>
  </si>
  <si>
    <t>6.59</t>
  </si>
  <si>
    <t>12.00</t>
  </si>
  <si>
    <t>321/6</t>
  </si>
  <si>
    <t>12.60</t>
  </si>
  <si>
    <t>334/6</t>
  </si>
  <si>
    <t>342/9</t>
  </si>
  <si>
    <t>334</t>
  </si>
  <si>
    <t>18/0</t>
  </si>
  <si>
    <t>6.70</t>
  </si>
  <si>
    <t>322</t>
  </si>
  <si>
    <t>313</t>
  </si>
  <si>
    <t>32/0</t>
  </si>
  <si>
    <t>20/1</t>
  </si>
  <si>
    <t>21/1</t>
  </si>
  <si>
    <t>2.62</t>
  </si>
  <si>
    <t>5.87</t>
  </si>
  <si>
    <t>50/1</t>
  </si>
  <si>
    <t>7.10</t>
  </si>
  <si>
    <t>284</t>
  </si>
  <si>
    <t>30/2</t>
  </si>
  <si>
    <t>34/2</t>
  </si>
  <si>
    <t>65/1</t>
  </si>
  <si>
    <t>275</t>
  </si>
  <si>
    <t>3.15</t>
  </si>
  <si>
    <t>269</t>
  </si>
  <si>
    <t>48/2</t>
  </si>
  <si>
    <t>55/2</t>
  </si>
  <si>
    <t>81/1</t>
  </si>
  <si>
    <t>59/2</t>
  </si>
  <si>
    <t>67/3</t>
  </si>
  <si>
    <t>3.94</t>
  </si>
  <si>
    <t>7.45</t>
  </si>
  <si>
    <t>7.59</t>
  </si>
  <si>
    <t>101/1</t>
  </si>
  <si>
    <t>239</t>
  </si>
  <si>
    <t>102/1</t>
  </si>
  <si>
    <t>7.93</t>
  </si>
  <si>
    <t>226</t>
  </si>
  <si>
    <t>88/4</t>
  </si>
  <si>
    <t>118/1</t>
  </si>
  <si>
    <t>7.92</t>
  </si>
  <si>
    <t>130/1</t>
  </si>
  <si>
    <t>7.77</t>
  </si>
  <si>
    <t>5.70</t>
  </si>
  <si>
    <t>5.84</t>
  </si>
  <si>
    <t>7.76</t>
  </si>
  <si>
    <t>109/4</t>
  </si>
  <si>
    <t>114/4</t>
  </si>
  <si>
    <t>161/2</t>
  </si>
  <si>
    <t>5.96</t>
  </si>
  <si>
    <t>7.78</t>
  </si>
  <si>
    <t>179</t>
  </si>
  <si>
    <t>121/4</t>
  </si>
  <si>
    <t>7.90</t>
  </si>
  <si>
    <t>125/4</t>
  </si>
  <si>
    <t>169/2</t>
  </si>
  <si>
    <t>5.82</t>
  </si>
  <si>
    <t>8.14</t>
  </si>
  <si>
    <t>178/2</t>
  </si>
  <si>
    <t>8.10</t>
  </si>
  <si>
    <t>8.36</t>
  </si>
  <si>
    <t>189/2</t>
  </si>
  <si>
    <t>143/4</t>
  </si>
  <si>
    <t>191/3</t>
  </si>
  <si>
    <t>8.76</t>
  </si>
  <si>
    <t>145/4</t>
  </si>
  <si>
    <t>9.12</t>
  </si>
  <si>
    <t>207/3</t>
  </si>
  <si>
    <t>8.86</t>
  </si>
  <si>
    <t>214/3</t>
  </si>
  <si>
    <t>5.94</t>
  </si>
  <si>
    <t>165/4</t>
  </si>
  <si>
    <t>9.46</t>
  </si>
  <si>
    <t>174/4</t>
  </si>
  <si>
    <t>220/5</t>
  </si>
  <si>
    <t>228/5</t>
  </si>
  <si>
    <t>10.18</t>
  </si>
  <si>
    <t>234/5</t>
  </si>
  <si>
    <t>237/6</t>
  </si>
  <si>
    <t>11.44</t>
  </si>
  <si>
    <t>103</t>
  </si>
  <si>
    <t>214/4</t>
  </si>
  <si>
    <t>238/6</t>
  </si>
  <si>
    <t>12.75</t>
  </si>
  <si>
    <t>220/4</t>
  </si>
  <si>
    <t>240/7</t>
  </si>
  <si>
    <t>14.28</t>
  </si>
  <si>
    <t>5.18</t>
  </si>
  <si>
    <t>246/8</t>
  </si>
  <si>
    <t>15.66</t>
  </si>
  <si>
    <t>94</t>
  </si>
  <si>
    <t>243/4</t>
  </si>
  <si>
    <t>262/8</t>
  </si>
  <si>
    <t>15.60</t>
  </si>
  <si>
    <t>262/4</t>
  </si>
  <si>
    <t>264/8</t>
  </si>
  <si>
    <t>19.00</t>
  </si>
  <si>
    <t>278/4</t>
  </si>
  <si>
    <t>12.80</t>
  </si>
  <si>
    <t>272/8</t>
  </si>
  <si>
    <t>22.66</t>
  </si>
  <si>
    <t>68</t>
  </si>
  <si>
    <t>308/4</t>
  </si>
  <si>
    <t>17.60</t>
  </si>
  <si>
    <t>277/9</t>
  </si>
  <si>
    <t>5.77</t>
  </si>
  <si>
    <t>31.50</t>
  </si>
  <si>
    <t>63</t>
  </si>
  <si>
    <t>320/4</t>
  </si>
  <si>
    <t>6.53</t>
  </si>
  <si>
    <t>18.40</t>
  </si>
  <si>
    <t>277/10</t>
  </si>
  <si>
    <t>5.73*</t>
  </si>
  <si>
    <t>7.15*</t>
  </si>
  <si>
    <t>37.80*</t>
  </si>
  <si>
    <t>339/4</t>
  </si>
  <si>
    <t>19.20</t>
  </si>
  <si>
    <t>7.75</t>
  </si>
  <si>
    <t>274</t>
  </si>
  <si>
    <t>4.83</t>
  </si>
  <si>
    <t>40/0</t>
  </si>
  <si>
    <t>6.28</t>
  </si>
  <si>
    <t>54/0</t>
  </si>
  <si>
    <t>5.97</t>
  </si>
  <si>
    <t>251</t>
  </si>
  <si>
    <t>40/2</t>
  </si>
  <si>
    <t>61/0</t>
  </si>
  <si>
    <t>65/0</t>
  </si>
  <si>
    <t>66/0</t>
  </si>
  <si>
    <t>73/1</t>
  </si>
  <si>
    <t>5.21</t>
  </si>
  <si>
    <t>76/1</t>
  </si>
  <si>
    <t>51/2</t>
  </si>
  <si>
    <t>3.18</t>
  </si>
  <si>
    <t>3.17</t>
  </si>
  <si>
    <t>6.45</t>
  </si>
  <si>
    <t>62/2</t>
  </si>
  <si>
    <t>3.44</t>
  </si>
  <si>
    <t>99/1</t>
  </si>
  <si>
    <t>206</t>
  </si>
  <si>
    <t>67/2</t>
  </si>
  <si>
    <t>106/1</t>
  </si>
  <si>
    <t>6.63</t>
  </si>
  <si>
    <t>78/2</t>
  </si>
  <si>
    <t>86/4</t>
  </si>
  <si>
    <t>90/5</t>
  </si>
  <si>
    <t>6.19</t>
  </si>
  <si>
    <t>93/5</t>
  </si>
  <si>
    <t>162/1</t>
  </si>
  <si>
    <t>6.48</t>
  </si>
  <si>
    <t>143</t>
  </si>
  <si>
    <t>99/5</t>
  </si>
  <si>
    <t>166/1</t>
  </si>
  <si>
    <t>5.79</t>
  </si>
  <si>
    <t>101/5</t>
  </si>
  <si>
    <t>3.74</t>
  </si>
  <si>
    <t>171/1</t>
  </si>
  <si>
    <t>102/5</t>
  </si>
  <si>
    <t>177/2</t>
  </si>
  <si>
    <t>128</t>
  </si>
  <si>
    <t>104/5</t>
  </si>
  <si>
    <t>180/2</t>
  </si>
  <si>
    <t>106/5</t>
  </si>
  <si>
    <t>3.53</t>
  </si>
  <si>
    <t>186/2</t>
  </si>
  <si>
    <t>119</t>
  </si>
  <si>
    <t>110/5</t>
  </si>
  <si>
    <t>120/5</t>
  </si>
  <si>
    <t>201/2</t>
  </si>
  <si>
    <t>123/5</t>
  </si>
  <si>
    <t>92</t>
  </si>
  <si>
    <t>129/5</t>
  </si>
  <si>
    <t>233/2</t>
  </si>
  <si>
    <t>6.65</t>
  </si>
  <si>
    <t>144/5</t>
  </si>
  <si>
    <t>238/2</t>
  </si>
  <si>
    <t>67</t>
  </si>
  <si>
    <t>152/5</t>
  </si>
  <si>
    <t>244/2</t>
  </si>
  <si>
    <t>163/5</t>
  </si>
  <si>
    <t>255/2</t>
  </si>
  <si>
    <t>168/5</t>
  </si>
  <si>
    <t>269/2</t>
  </si>
  <si>
    <t>180/5</t>
  </si>
  <si>
    <t>190/5</t>
  </si>
  <si>
    <t>285/3</t>
  </si>
  <si>
    <t>6.95</t>
  </si>
  <si>
    <t>2.22</t>
  </si>
  <si>
    <t>198/5</t>
  </si>
  <si>
    <t>286/4</t>
  </si>
  <si>
    <t>2.37</t>
  </si>
  <si>
    <t>206/5</t>
  </si>
  <si>
    <t>4.79</t>
  </si>
  <si>
    <t>289/4</t>
  </si>
  <si>
    <t>290/5</t>
  </si>
  <si>
    <t>243/6</t>
  </si>
  <si>
    <t>301/6</t>
  </si>
  <si>
    <t>0.80</t>
  </si>
  <si>
    <t>254/6</t>
  </si>
  <si>
    <t>307/6</t>
  </si>
  <si>
    <t>6.69*</t>
  </si>
  <si>
    <t>4.55*</t>
  </si>
  <si>
    <t>261/6</t>
  </si>
  <si>
    <t>280/6</t>
  </si>
  <si>
    <t>14.80</t>
  </si>
  <si>
    <t>295/6</t>
  </si>
  <si>
    <t>304/7</t>
  </si>
  <si>
    <t>1/2</t>
  </si>
  <si>
    <t>0.50</t>
  </si>
  <si>
    <t>2.77</t>
  </si>
  <si>
    <t>7/2</t>
  </si>
  <si>
    <t>18/1</t>
  </si>
  <si>
    <t>12/2</t>
  </si>
  <si>
    <t>2.47</t>
  </si>
  <si>
    <t>12/4</t>
  </si>
  <si>
    <t>2.35</t>
  </si>
  <si>
    <t>14/4</t>
  </si>
  <si>
    <t>19/4</t>
  </si>
  <si>
    <t>95</t>
  </si>
  <si>
    <t>22/4</t>
  </si>
  <si>
    <t>2.07</t>
  </si>
  <si>
    <t>87</t>
  </si>
  <si>
    <t>2.44</t>
  </si>
  <si>
    <t>1.95</t>
  </si>
  <si>
    <t>1.92</t>
  </si>
  <si>
    <t>27/4</t>
  </si>
  <si>
    <t>2.45</t>
  </si>
  <si>
    <t>69/3</t>
  </si>
  <si>
    <t>74</t>
  </si>
  <si>
    <t>40/4</t>
  </si>
  <si>
    <t>3.07</t>
  </si>
  <si>
    <t>75/3</t>
  </si>
  <si>
    <t>1.83</t>
  </si>
  <si>
    <t>43/4</t>
  </si>
  <si>
    <t>1.63</t>
  </si>
  <si>
    <t>59</t>
  </si>
  <si>
    <t>47/4</t>
  </si>
  <si>
    <t>91/3</t>
  </si>
  <si>
    <t>1.48</t>
  </si>
  <si>
    <t>52</t>
  </si>
  <si>
    <t>2.93</t>
  </si>
  <si>
    <t>97/3</t>
  </si>
  <si>
    <t>1.35</t>
  </si>
  <si>
    <t>46</t>
  </si>
  <si>
    <t>52/4</t>
  </si>
  <si>
    <t>3.05</t>
  </si>
  <si>
    <t>1.18</t>
  </si>
  <si>
    <t>55/4</t>
  </si>
  <si>
    <t>58/4</t>
  </si>
  <si>
    <t>1.09</t>
  </si>
  <si>
    <t>34</t>
  </si>
  <si>
    <t>60/4</t>
  </si>
  <si>
    <t>110/4</t>
  </si>
  <si>
    <t>33</t>
  </si>
  <si>
    <t>69/4</t>
  </si>
  <si>
    <t>117/5</t>
  </si>
  <si>
    <t>0.89</t>
  </si>
  <si>
    <t>71/4</t>
  </si>
  <si>
    <t>3.22</t>
  </si>
  <si>
    <t>0.75</t>
  </si>
  <si>
    <t>83/4</t>
  </si>
  <si>
    <t>0.51</t>
  </si>
  <si>
    <t>138/7</t>
  </si>
  <si>
    <t>0.19</t>
  </si>
  <si>
    <t>89/4</t>
  </si>
  <si>
    <t>146/7</t>
  </si>
  <si>
    <t>8*</t>
  </si>
  <si>
    <t>105/4</t>
  </si>
  <si>
    <t>115/5</t>
  </si>
  <si>
    <t>118/6</t>
  </si>
  <si>
    <t>122/6</t>
  </si>
  <si>
    <t>129/6</t>
  </si>
  <si>
    <t>133/7</t>
  </si>
  <si>
    <t>136/8</t>
  </si>
  <si>
    <t>142/8</t>
  </si>
  <si>
    <t>142/10</t>
  </si>
  <si>
    <t>3.90*</t>
  </si>
  <si>
    <t>2/1</t>
  </si>
  <si>
    <t>266</t>
  </si>
  <si>
    <t>3/2</t>
  </si>
  <si>
    <t>3/3</t>
  </si>
  <si>
    <t>6/3</t>
  </si>
  <si>
    <t>8/3</t>
  </si>
  <si>
    <t>260</t>
  </si>
  <si>
    <t>12/3</t>
  </si>
  <si>
    <t>13/3</t>
  </si>
  <si>
    <t>18/3</t>
  </si>
  <si>
    <t>250</t>
  </si>
  <si>
    <t>19/3</t>
  </si>
  <si>
    <t>24/3</t>
  </si>
  <si>
    <t>3.45</t>
  </si>
  <si>
    <t>25/3</t>
  </si>
  <si>
    <t>2.27</t>
  </si>
  <si>
    <t>2.08</t>
  </si>
  <si>
    <t>43/0</t>
  </si>
  <si>
    <t>2.23</t>
  </si>
  <si>
    <t>3.35</t>
  </si>
  <si>
    <t>233</t>
  </si>
  <si>
    <t>44/3</t>
  </si>
  <si>
    <t>48/3</t>
  </si>
  <si>
    <t>2.82</t>
  </si>
  <si>
    <t>50/3</t>
  </si>
  <si>
    <t>53/3</t>
  </si>
  <si>
    <t>2.78</t>
  </si>
  <si>
    <t>62/3</t>
  </si>
  <si>
    <t>72/2</t>
  </si>
  <si>
    <t>7.06</t>
  </si>
  <si>
    <t>76/2</t>
  </si>
  <si>
    <t>7.28</t>
  </si>
  <si>
    <t>65/4</t>
  </si>
  <si>
    <t>73/4</t>
  </si>
  <si>
    <t>2.92</t>
  </si>
  <si>
    <t>106/3</t>
  </si>
  <si>
    <t>4.07</t>
  </si>
  <si>
    <t>78/5</t>
  </si>
  <si>
    <t>109/3</t>
  </si>
  <si>
    <t>85/5</t>
  </si>
  <si>
    <t>183</t>
  </si>
  <si>
    <t>111/3</t>
  </si>
  <si>
    <t>89/5</t>
  </si>
  <si>
    <t>8.13</t>
  </si>
  <si>
    <t>95/5</t>
  </si>
  <si>
    <t>8.23</t>
  </si>
  <si>
    <t>173</t>
  </si>
  <si>
    <t>122/4</t>
  </si>
  <si>
    <t>96/5</t>
  </si>
  <si>
    <t>123/4</t>
  </si>
  <si>
    <t>129/4</t>
  </si>
  <si>
    <t>9.05</t>
  </si>
  <si>
    <t>9.29</t>
  </si>
  <si>
    <t>138/4</t>
  </si>
  <si>
    <t>9.43</t>
  </si>
  <si>
    <t>146/4</t>
  </si>
  <si>
    <t>4.17</t>
  </si>
  <si>
    <t>126/5</t>
  </si>
  <si>
    <t>156/4</t>
  </si>
  <si>
    <t>131/5</t>
  </si>
  <si>
    <t>3.63</t>
  </si>
  <si>
    <t>136/6</t>
  </si>
  <si>
    <t>10.15</t>
  </si>
  <si>
    <t>175/4</t>
  </si>
  <si>
    <t>140/7</t>
  </si>
  <si>
    <t>10.66</t>
  </si>
  <si>
    <t>186/4</t>
  </si>
  <si>
    <t>145/7</t>
  </si>
  <si>
    <t>11.18</t>
  </si>
  <si>
    <t>194/4</t>
  </si>
  <si>
    <t>154/8</t>
  </si>
  <si>
    <t>12.66</t>
  </si>
  <si>
    <t>209/4</t>
  </si>
  <si>
    <t>155/9</t>
  </si>
  <si>
    <t>14.12</t>
  </si>
  <si>
    <t>213/4</t>
  </si>
  <si>
    <t>4.95</t>
  </si>
  <si>
    <t>162/10</t>
  </si>
  <si>
    <t>7*</t>
  </si>
  <si>
    <t>3.78*</t>
  </si>
  <si>
    <t>14.79*</t>
  </si>
  <si>
    <t>43</t>
  </si>
  <si>
    <t>223/4</t>
  </si>
  <si>
    <t>233/5</t>
  </si>
  <si>
    <t>238/5</t>
  </si>
  <si>
    <t>242/6</t>
  </si>
  <si>
    <t>256/7</t>
  </si>
  <si>
    <t>263/8</t>
  </si>
  <si>
    <t>267/10</t>
  </si>
  <si>
    <t>5.34</t>
  </si>
  <si>
    <t>1/0</t>
  </si>
  <si>
    <t>285</t>
  </si>
  <si>
    <t>1.33</t>
  </si>
  <si>
    <t>14/0</t>
  </si>
  <si>
    <t>27/1</t>
  </si>
  <si>
    <t>31/1</t>
  </si>
  <si>
    <t>231</t>
  </si>
  <si>
    <t>225</t>
  </si>
  <si>
    <t>64/1</t>
  </si>
  <si>
    <t>4.77</t>
  </si>
  <si>
    <t>87/2</t>
  </si>
  <si>
    <t>6.21</t>
  </si>
  <si>
    <t>90/2</t>
  </si>
  <si>
    <t>94/2</t>
  </si>
  <si>
    <t>6.26</t>
  </si>
  <si>
    <t>188</t>
  </si>
  <si>
    <t>104/2</t>
  </si>
  <si>
    <t>112/2</t>
  </si>
  <si>
    <t>100/2</t>
  </si>
  <si>
    <t>106/2</t>
  </si>
  <si>
    <t>6.34</t>
  </si>
  <si>
    <t>165</t>
  </si>
  <si>
    <t>109/2</t>
  </si>
  <si>
    <t>115/2</t>
  </si>
  <si>
    <t>154</t>
  </si>
  <si>
    <t>142/3</t>
  </si>
  <si>
    <t>128/3</t>
  </si>
  <si>
    <t>141</t>
  </si>
  <si>
    <t>130/3</t>
  </si>
  <si>
    <t>154/4</t>
  </si>
  <si>
    <t>134/3</t>
  </si>
  <si>
    <t>157/4</t>
  </si>
  <si>
    <t>5.23</t>
  </si>
  <si>
    <t>5.32</t>
  </si>
  <si>
    <t>6.36</t>
  </si>
  <si>
    <t>121</t>
  </si>
  <si>
    <t>167/4</t>
  </si>
  <si>
    <t>170/5</t>
  </si>
  <si>
    <t>175/5</t>
  </si>
  <si>
    <t>177/5</t>
  </si>
  <si>
    <t>7.26</t>
  </si>
  <si>
    <t>109</t>
  </si>
  <si>
    <t>183/5</t>
  </si>
  <si>
    <t>7.35</t>
  </si>
  <si>
    <t>191/5</t>
  </si>
  <si>
    <t>200/5</t>
  </si>
  <si>
    <t>214/5</t>
  </si>
  <si>
    <t>47</t>
  </si>
  <si>
    <t>218/5</t>
  </si>
  <si>
    <t>227/5</t>
  </si>
  <si>
    <t>250/6</t>
  </si>
  <si>
    <t>232/6</t>
  </si>
  <si>
    <t>251/6</t>
  </si>
  <si>
    <t>233/7</t>
  </si>
  <si>
    <t>255/6</t>
  </si>
  <si>
    <t>246/7</t>
  </si>
  <si>
    <t>263/6</t>
  </si>
  <si>
    <t>250/7</t>
  </si>
  <si>
    <t>270/6</t>
  </si>
  <si>
    <t>5.74</t>
  </si>
  <si>
    <t>254/7</t>
  </si>
  <si>
    <t>286/6</t>
  </si>
  <si>
    <t>274/7</t>
  </si>
  <si>
    <t>285/7</t>
  </si>
  <si>
    <t>2.34</t>
  </si>
  <si>
    <t>13.50</t>
  </si>
  <si>
    <t>97</t>
  </si>
  <si>
    <t>12.33</t>
  </si>
  <si>
    <t>1.45</t>
  </si>
  <si>
    <t>67/0</t>
  </si>
  <si>
    <t>96/0</t>
  </si>
  <si>
    <t>16.00</t>
  </si>
  <si>
    <t>17.40</t>
  </si>
  <si>
    <t>0.63</t>
  </si>
  <si>
    <t>36/2</t>
  </si>
  <si>
    <t>105/0</t>
  </si>
  <si>
    <t>15.00</t>
  </si>
  <si>
    <t>13.62</t>
  </si>
  <si>
    <t>14.40</t>
  </si>
  <si>
    <t>0.35</t>
  </si>
  <si>
    <t>42/2</t>
  </si>
  <si>
    <t>12.44</t>
  </si>
  <si>
    <t>0.29</t>
  </si>
  <si>
    <t>116/2</t>
  </si>
  <si>
    <t>0.20</t>
  </si>
  <si>
    <t>119/2</t>
  </si>
  <si>
    <t>10.81</t>
  </si>
  <si>
    <t>0.12</t>
  </si>
  <si>
    <t>9.91</t>
  </si>
  <si>
    <t>0.13</t>
  </si>
  <si>
    <t>125/2</t>
  </si>
  <si>
    <t>10.13*</t>
  </si>
  <si>
    <t>3.69*</t>
  </si>
  <si>
    <t>57/3</t>
  </si>
  <si>
    <t>60/3</t>
  </si>
  <si>
    <t>71/3</t>
  </si>
  <si>
    <t>3.78</t>
  </si>
  <si>
    <t>79/3</t>
  </si>
  <si>
    <t>3.95</t>
  </si>
  <si>
    <t>108/5</t>
  </si>
  <si>
    <t>112/7</t>
  </si>
  <si>
    <t>114/7</t>
  </si>
  <si>
    <t>116/8</t>
  </si>
  <si>
    <t>119/9</t>
  </si>
  <si>
    <t>123/10</t>
  </si>
  <si>
    <t>2.53*</t>
  </si>
  <si>
    <t>310</t>
  </si>
  <si>
    <t>1/3</t>
  </si>
  <si>
    <t>0.33</t>
  </si>
  <si>
    <t>1/4</t>
  </si>
  <si>
    <t>0.25</t>
  </si>
  <si>
    <t>3/4</t>
  </si>
  <si>
    <t>0.60</t>
  </si>
  <si>
    <t>8/4</t>
  </si>
  <si>
    <t>22/1</t>
  </si>
  <si>
    <t>9/4</t>
  </si>
  <si>
    <t>1.28</t>
  </si>
  <si>
    <t>29/2</t>
  </si>
  <si>
    <t>17/4</t>
  </si>
  <si>
    <t>25/4</t>
  </si>
  <si>
    <t>25/5</t>
  </si>
  <si>
    <t>27/5</t>
  </si>
  <si>
    <t>34/5</t>
  </si>
  <si>
    <t>2.61</t>
  </si>
  <si>
    <t>7.48</t>
  </si>
  <si>
    <t>40/5</t>
  </si>
  <si>
    <t>7.52</t>
  </si>
  <si>
    <t>50/5</t>
  </si>
  <si>
    <t>61/5</t>
  </si>
  <si>
    <t>63/5</t>
  </si>
  <si>
    <t>3.70</t>
  </si>
  <si>
    <t>70/5</t>
  </si>
  <si>
    <t>7.53</t>
  </si>
  <si>
    <t>75/5</t>
  </si>
  <si>
    <t>7.61</t>
  </si>
  <si>
    <t>88/2</t>
  </si>
  <si>
    <t>80/5</t>
  </si>
  <si>
    <t>91/2</t>
  </si>
  <si>
    <t>87/5</t>
  </si>
  <si>
    <t>92/5</t>
  </si>
  <si>
    <t>8.11</t>
  </si>
  <si>
    <t>114/3</t>
  </si>
  <si>
    <t>105/6</t>
  </si>
  <si>
    <t>8.58</t>
  </si>
  <si>
    <t>110/6</t>
  </si>
  <si>
    <t>116/6</t>
  </si>
  <si>
    <t>9.19</t>
  </si>
  <si>
    <t>130/6</t>
  </si>
  <si>
    <t>151/3</t>
  </si>
  <si>
    <t>133/6</t>
  </si>
  <si>
    <t>9.36</t>
  </si>
  <si>
    <t>178</t>
  </si>
  <si>
    <t>141/7</t>
  </si>
  <si>
    <t>9.44</t>
  </si>
  <si>
    <t>9.70</t>
  </si>
  <si>
    <t>157/3</t>
  </si>
  <si>
    <t>152/7</t>
  </si>
  <si>
    <t>9.93</t>
  </si>
  <si>
    <t>163/3</t>
  </si>
  <si>
    <t>10.46</t>
  </si>
  <si>
    <t>167/3</t>
  </si>
  <si>
    <t>155/8</t>
  </si>
  <si>
    <t>11.14</t>
  </si>
  <si>
    <t>177/3</t>
  </si>
  <si>
    <t>158/9</t>
  </si>
  <si>
    <t>11.76</t>
  </si>
  <si>
    <t>182/3</t>
  </si>
  <si>
    <t>160/10</t>
  </si>
  <si>
    <t>13.72</t>
  </si>
  <si>
    <t>195/4</t>
  </si>
  <si>
    <t>201/4</t>
  </si>
  <si>
    <t>216/4</t>
  </si>
  <si>
    <t>218/4</t>
  </si>
  <si>
    <t>221/4</t>
  </si>
  <si>
    <t>5.02</t>
  </si>
  <si>
    <t>231/4</t>
  </si>
  <si>
    <t>258/4</t>
  </si>
  <si>
    <t>271/5</t>
  </si>
  <si>
    <t>293/5</t>
  </si>
  <si>
    <t>15.80</t>
  </si>
  <si>
    <t>1/1</t>
  </si>
  <si>
    <t>4/2</t>
  </si>
  <si>
    <t>0.66</t>
  </si>
  <si>
    <t>6/2</t>
  </si>
  <si>
    <t>227</t>
  </si>
  <si>
    <t>17/2</t>
  </si>
  <si>
    <t>23/3</t>
  </si>
  <si>
    <t>30/3</t>
  </si>
  <si>
    <t>34/0</t>
  </si>
  <si>
    <t>31/3</t>
  </si>
  <si>
    <t>32/3</t>
  </si>
  <si>
    <t>191</t>
  </si>
  <si>
    <t>53/2</t>
  </si>
  <si>
    <t>56/4</t>
  </si>
  <si>
    <t>4.91</t>
  </si>
  <si>
    <t>59/4</t>
  </si>
  <si>
    <t>68/2</t>
  </si>
  <si>
    <t>63/4</t>
  </si>
  <si>
    <t>73/2</t>
  </si>
  <si>
    <t>76/4</t>
  </si>
  <si>
    <t>81/4</t>
  </si>
  <si>
    <t>102/2</t>
  </si>
  <si>
    <t>82/4</t>
  </si>
  <si>
    <t>117/2</t>
  </si>
  <si>
    <t>99/4</t>
  </si>
  <si>
    <t>128/2</t>
  </si>
  <si>
    <t>137/3</t>
  </si>
  <si>
    <t>117/4</t>
  </si>
  <si>
    <t>141/3</t>
  </si>
  <si>
    <t>4.54</t>
  </si>
  <si>
    <t>135/4</t>
  </si>
  <si>
    <t>4.12</t>
  </si>
  <si>
    <t>169/4</t>
  </si>
  <si>
    <t>172/5</t>
  </si>
  <si>
    <t>152/4</t>
  </si>
  <si>
    <t>173/5</t>
  </si>
  <si>
    <t>178/6</t>
  </si>
  <si>
    <t>173/4</t>
  </si>
  <si>
    <t>180/6</t>
  </si>
  <si>
    <t>178/5</t>
  </si>
  <si>
    <t>189/6</t>
  </si>
  <si>
    <t>192/6</t>
  </si>
  <si>
    <t>188/6</t>
  </si>
  <si>
    <t>197/6</t>
  </si>
  <si>
    <t>206/6</t>
  </si>
  <si>
    <t>207/6</t>
  </si>
  <si>
    <t>216/6</t>
  </si>
  <si>
    <t>219/6</t>
  </si>
  <si>
    <t>222/7</t>
  </si>
  <si>
    <t>230/6</t>
  </si>
  <si>
    <t>236/6</t>
  </si>
  <si>
    <t>4.88*</t>
  </si>
  <si>
    <t>11.07*</t>
  </si>
  <si>
    <t>232/10</t>
  </si>
  <si>
    <t>5*</t>
  </si>
  <si>
    <t>4.67*</t>
  </si>
  <si>
    <t>7.92*</t>
  </si>
  <si>
    <t>49/0</t>
  </si>
  <si>
    <t>58/0</t>
  </si>
  <si>
    <t>54/3</t>
  </si>
  <si>
    <t>6.57</t>
  </si>
  <si>
    <t>80/0</t>
  </si>
  <si>
    <t>58/3</t>
  </si>
  <si>
    <t>82/0</t>
  </si>
  <si>
    <t>89/0</t>
  </si>
  <si>
    <t>91/0</t>
  </si>
  <si>
    <t>102/0</t>
  </si>
  <si>
    <t>66/3</t>
  </si>
  <si>
    <t>7.21</t>
  </si>
  <si>
    <t>112/0</t>
  </si>
  <si>
    <t>3.89</t>
  </si>
  <si>
    <t>117/0</t>
  </si>
  <si>
    <t>120/0</t>
  </si>
  <si>
    <t>85/3</t>
  </si>
  <si>
    <t>7.55</t>
  </si>
  <si>
    <t>126/0</t>
  </si>
  <si>
    <t>7.39</t>
  </si>
  <si>
    <t>132/0</t>
  </si>
  <si>
    <t>103/3</t>
  </si>
  <si>
    <t>138/0</t>
  </si>
  <si>
    <t>150/0</t>
  </si>
  <si>
    <t>118/4</t>
  </si>
  <si>
    <t>151/0</t>
  </si>
  <si>
    <t>7.86</t>
  </si>
  <si>
    <t>157/0</t>
  </si>
  <si>
    <t>168/0</t>
  </si>
  <si>
    <t>8.33</t>
  </si>
  <si>
    <t>132/6</t>
  </si>
  <si>
    <t>8.84</t>
  </si>
  <si>
    <t>184/1</t>
  </si>
  <si>
    <t>144/6</t>
  </si>
  <si>
    <t>195/1</t>
  </si>
  <si>
    <t>9.17</t>
  </si>
  <si>
    <t>200/1</t>
  </si>
  <si>
    <t>150/7</t>
  </si>
  <si>
    <t>9.62</t>
  </si>
  <si>
    <t>9.86</t>
  </si>
  <si>
    <t>203/3</t>
  </si>
  <si>
    <t>10.57</t>
  </si>
  <si>
    <t>160/7</t>
  </si>
  <si>
    <t>208/4</t>
  </si>
  <si>
    <t>160/8</t>
  </si>
  <si>
    <t>163/8</t>
  </si>
  <si>
    <t>12.81</t>
  </si>
  <si>
    <t>175/8</t>
  </si>
  <si>
    <t>12.90</t>
  </si>
  <si>
    <t>226/4</t>
  </si>
  <si>
    <t>183/8</t>
  </si>
  <si>
    <t>13.44</t>
  </si>
  <si>
    <t>184/9</t>
  </si>
  <si>
    <t>184/10</t>
  </si>
  <si>
    <t>4.34*</t>
  </si>
  <si>
    <t>5.53*</t>
  </si>
  <si>
    <t>15.65*</t>
  </si>
  <si>
    <t>246/4</t>
  </si>
  <si>
    <t>256/5</t>
  </si>
  <si>
    <t>267/5</t>
  </si>
  <si>
    <t>276/5</t>
  </si>
  <si>
    <t>286/5</t>
  </si>
  <si>
    <t>303/8</t>
  </si>
  <si>
    <t>3/1</t>
  </si>
  <si>
    <t>367</t>
  </si>
  <si>
    <t>6/1</t>
  </si>
  <si>
    <t>16/1</t>
  </si>
  <si>
    <t>7.43</t>
  </si>
  <si>
    <t>357</t>
  </si>
  <si>
    <t>345</t>
  </si>
  <si>
    <t>26/2</t>
  </si>
  <si>
    <t>337</t>
  </si>
  <si>
    <t>33/1</t>
  </si>
  <si>
    <t>7.97</t>
  </si>
  <si>
    <t>327</t>
  </si>
  <si>
    <t>309</t>
  </si>
  <si>
    <t>8.24</t>
  </si>
  <si>
    <t>51/1</t>
  </si>
  <si>
    <t>8.19</t>
  </si>
  <si>
    <t>57/1</t>
  </si>
  <si>
    <t>8.29</t>
  </si>
  <si>
    <t>92/3</t>
  </si>
  <si>
    <t>6.13</t>
  </si>
  <si>
    <t>8.26</t>
  </si>
  <si>
    <t>122/3</t>
  </si>
  <si>
    <t>8.46</t>
  </si>
  <si>
    <t>95/1</t>
  </si>
  <si>
    <t>8.62</t>
  </si>
  <si>
    <t>96/1</t>
  </si>
  <si>
    <t>221</t>
  </si>
  <si>
    <t>144/4</t>
  </si>
  <si>
    <t>8.79</t>
  </si>
  <si>
    <t>107/1</t>
  </si>
  <si>
    <t>121/1</t>
  </si>
  <si>
    <t>164/4</t>
  </si>
  <si>
    <t>9.30</t>
  </si>
  <si>
    <t>145/1</t>
  </si>
  <si>
    <t>181/5</t>
  </si>
  <si>
    <t>9.57</t>
  </si>
  <si>
    <t>149/1</t>
  </si>
  <si>
    <t>197/5</t>
  </si>
  <si>
    <t>9.22</t>
  </si>
  <si>
    <t>154/1</t>
  </si>
  <si>
    <t>205/5</t>
  </si>
  <si>
    <t>158/1</t>
  </si>
  <si>
    <t>213/5</t>
  </si>
  <si>
    <t>9.37</t>
  </si>
  <si>
    <t>224/5</t>
  </si>
  <si>
    <t>9.26</t>
  </si>
  <si>
    <t>228/6</t>
  </si>
  <si>
    <t>9.64</t>
  </si>
  <si>
    <t>165/1</t>
  </si>
  <si>
    <t>9.69</t>
  </si>
  <si>
    <t>10.25</t>
  </si>
  <si>
    <t>177/1</t>
  </si>
  <si>
    <t>244/7</t>
  </si>
  <si>
    <t>10.90</t>
  </si>
  <si>
    <t>203/1</t>
  </si>
  <si>
    <t>256/8</t>
  </si>
  <si>
    <t>11.88</t>
  </si>
  <si>
    <t>220/1</t>
  </si>
  <si>
    <t>233/1</t>
  </si>
  <si>
    <t>266/9</t>
  </si>
  <si>
    <t>13.85</t>
  </si>
  <si>
    <t>251/1</t>
  </si>
  <si>
    <t>271/9</t>
  </si>
  <si>
    <t>15.33</t>
  </si>
  <si>
    <t>258/1</t>
  </si>
  <si>
    <t>276/9</t>
  </si>
  <si>
    <t>279/1</t>
  </si>
  <si>
    <t>15.20</t>
  </si>
  <si>
    <t>285/9</t>
  </si>
  <si>
    <t>19.50</t>
  </si>
  <si>
    <t>300/1</t>
  </si>
  <si>
    <t>289/10</t>
  </si>
  <si>
    <t>6.49*</t>
  </si>
  <si>
    <t>6.00*</t>
  </si>
  <si>
    <t>21.14*</t>
  </si>
  <si>
    <t>317/1</t>
  </si>
  <si>
    <t>16.80</t>
  </si>
  <si>
    <t>325/1</t>
  </si>
  <si>
    <t>334/1</t>
  </si>
  <si>
    <t>356/1</t>
  </si>
  <si>
    <t>15.40</t>
  </si>
  <si>
    <t>372/2</t>
  </si>
  <si>
    <t>4/1</t>
  </si>
  <si>
    <t>2.39</t>
  </si>
  <si>
    <t>2.26</t>
  </si>
  <si>
    <t>2.09</t>
  </si>
  <si>
    <t>89</t>
  </si>
  <si>
    <t>1.82</t>
  </si>
  <si>
    <t>1.46</t>
  </si>
  <si>
    <t>1.44</t>
  </si>
  <si>
    <t>1.02</t>
  </si>
  <si>
    <t>38</t>
  </si>
  <si>
    <t>0.94</t>
  </si>
  <si>
    <t>110/1</t>
  </si>
  <si>
    <t>0.68</t>
  </si>
  <si>
    <t>0.47</t>
  </si>
  <si>
    <t>64/2</t>
  </si>
  <si>
    <t>76/3</t>
  </si>
  <si>
    <t>3.61</t>
  </si>
  <si>
    <t>87/4</t>
  </si>
  <si>
    <t>3.31</t>
  </si>
  <si>
    <t>127/8</t>
  </si>
  <si>
    <t>133/9</t>
  </si>
  <si>
    <t>133/10</t>
  </si>
  <si>
    <t>3.56*</t>
  </si>
  <si>
    <t>325</t>
  </si>
  <si>
    <t>320</t>
  </si>
  <si>
    <t>30/0</t>
  </si>
  <si>
    <t>80/2</t>
  </si>
  <si>
    <t>82/2</t>
  </si>
  <si>
    <t>94/3</t>
  </si>
  <si>
    <t>7.58</t>
  </si>
  <si>
    <t>105/1</t>
  </si>
  <si>
    <t>95/3</t>
  </si>
  <si>
    <t>7.96</t>
  </si>
  <si>
    <t>108/4</t>
  </si>
  <si>
    <t>8.18</t>
  </si>
  <si>
    <t>124/1</t>
  </si>
  <si>
    <t>115/4</t>
  </si>
  <si>
    <t>135/1</t>
  </si>
  <si>
    <t>143/1</t>
  </si>
  <si>
    <t>147/1</t>
  </si>
  <si>
    <t>153/1</t>
  </si>
  <si>
    <t>155/1</t>
  </si>
  <si>
    <t>9.55</t>
  </si>
  <si>
    <t>161/1</t>
  </si>
  <si>
    <t>148/4</t>
  </si>
  <si>
    <t>167/1</t>
  </si>
  <si>
    <t>181/1</t>
  </si>
  <si>
    <t>10.11</t>
  </si>
  <si>
    <t>197/1</t>
  </si>
  <si>
    <t>216/2</t>
  </si>
  <si>
    <t>177/4</t>
  </si>
  <si>
    <t>10.85</t>
  </si>
  <si>
    <t>231/2</t>
  </si>
  <si>
    <t>179/5</t>
  </si>
  <si>
    <t>11.53</t>
  </si>
  <si>
    <t>235/4</t>
  </si>
  <si>
    <t>192/5</t>
  </si>
  <si>
    <t>12.45</t>
  </si>
  <si>
    <t>239/4</t>
  </si>
  <si>
    <t>196/5</t>
  </si>
  <si>
    <t>204/5</t>
  </si>
  <si>
    <t>13.88</t>
  </si>
  <si>
    <t>248/4</t>
  </si>
  <si>
    <t>208/6</t>
  </si>
  <si>
    <t>15.12</t>
  </si>
  <si>
    <t>223/6</t>
  </si>
  <si>
    <t>15.14</t>
  </si>
  <si>
    <t>16.83</t>
  </si>
  <si>
    <t>232/7</t>
  </si>
  <si>
    <t>19.40</t>
  </si>
  <si>
    <t>279/5</t>
  </si>
  <si>
    <t>24.25</t>
  </si>
  <si>
    <t>288/6</t>
  </si>
  <si>
    <t>4.97*</t>
  </si>
  <si>
    <t>5.17*</t>
  </si>
  <si>
    <t>30.31*</t>
  </si>
  <si>
    <t>299/7</t>
  </si>
  <si>
    <t>313/7</t>
  </si>
  <si>
    <t>328/7</t>
  </si>
  <si>
    <t>15/1</t>
  </si>
  <si>
    <t>197</t>
  </si>
  <si>
    <t>24/1</t>
  </si>
  <si>
    <t>23/1</t>
  </si>
  <si>
    <t>37/2</t>
  </si>
  <si>
    <t>140</t>
  </si>
  <si>
    <t>88/3</t>
  </si>
  <si>
    <t>77/2</t>
  </si>
  <si>
    <t>112/3</t>
  </si>
  <si>
    <t>123/3</t>
  </si>
  <si>
    <t>135/3</t>
  </si>
  <si>
    <t>3.03</t>
  </si>
  <si>
    <t>139/3</t>
  </si>
  <si>
    <t>75</t>
  </si>
  <si>
    <t>153/4</t>
  </si>
  <si>
    <t>124/4</t>
  </si>
  <si>
    <t>160/4</t>
  </si>
  <si>
    <t>135/5</t>
  </si>
  <si>
    <t>1.68</t>
  </si>
  <si>
    <t>143/5</t>
  </si>
  <si>
    <t>6.03</t>
  </si>
  <si>
    <t>1.16</t>
  </si>
  <si>
    <t>203/4</t>
  </si>
  <si>
    <t>0.64</t>
  </si>
  <si>
    <t>158/6</t>
  </si>
  <si>
    <t>13*</t>
  </si>
  <si>
    <t>6.38*</t>
  </si>
  <si>
    <t>11.58*</t>
  </si>
  <si>
    <t>162/6</t>
  </si>
  <si>
    <t>167/6</t>
  </si>
  <si>
    <t>182/6</t>
  </si>
  <si>
    <t>195/9</t>
  </si>
  <si>
    <t>196/9</t>
  </si>
  <si>
    <t>200/9</t>
  </si>
  <si>
    <t>203/9</t>
  </si>
  <si>
    <t>206/9</t>
  </si>
  <si>
    <t>213/10</t>
  </si>
  <si>
    <t>4.27*</t>
  </si>
  <si>
    <t>3.51*</t>
  </si>
  <si>
    <t>390</t>
  </si>
  <si>
    <t>8.12</t>
  </si>
  <si>
    <t>5/1</t>
  </si>
  <si>
    <t>389</t>
  </si>
  <si>
    <t>388</t>
  </si>
  <si>
    <t>373</t>
  </si>
  <si>
    <t>364</t>
  </si>
  <si>
    <t>335</t>
  </si>
  <si>
    <t>63/1</t>
  </si>
  <si>
    <t>80/4</t>
  </si>
  <si>
    <t>7.85</t>
  </si>
  <si>
    <t>12.40</t>
  </si>
  <si>
    <t>7.74</t>
  </si>
  <si>
    <t>101/4</t>
  </si>
  <si>
    <t>8.41</t>
  </si>
  <si>
    <t>7.71</t>
  </si>
  <si>
    <t>7.94</t>
  </si>
  <si>
    <t>120/4</t>
  </si>
  <si>
    <t>161/5</t>
  </si>
  <si>
    <t>165/5</t>
  </si>
  <si>
    <t>7.89</t>
  </si>
  <si>
    <t>121/2</t>
  </si>
  <si>
    <t>172/6</t>
  </si>
  <si>
    <t>7.81</t>
  </si>
  <si>
    <t>174/7</t>
  </si>
  <si>
    <t>7.56</t>
  </si>
  <si>
    <t>135/2</t>
  </si>
  <si>
    <t>191/7</t>
  </si>
  <si>
    <t>140/2</t>
  </si>
  <si>
    <t>217/8</t>
  </si>
  <si>
    <t>8.34</t>
  </si>
  <si>
    <t>221/8</t>
  </si>
  <si>
    <t>155/2</t>
  </si>
  <si>
    <t>237/9</t>
  </si>
  <si>
    <t>160/2</t>
  </si>
  <si>
    <t>250/9</t>
  </si>
  <si>
    <t>163/2</t>
  </si>
  <si>
    <t>250/10</t>
  </si>
  <si>
    <t>8.19*</t>
  </si>
  <si>
    <t>7.33*</t>
  </si>
  <si>
    <t>7.38*</t>
  </si>
  <si>
    <t>175/2</t>
  </si>
  <si>
    <t>179/2</t>
  </si>
  <si>
    <t>187/2</t>
  </si>
  <si>
    <t>209/2</t>
  </si>
  <si>
    <t>225/2</t>
  </si>
  <si>
    <t>240/3</t>
  </si>
  <si>
    <t>247/3</t>
  </si>
  <si>
    <t>262/3</t>
  </si>
  <si>
    <t>278/3</t>
  </si>
  <si>
    <t>282/4</t>
  </si>
  <si>
    <t>309/4</t>
  </si>
  <si>
    <t>328/4</t>
  </si>
  <si>
    <t>7.13</t>
  </si>
  <si>
    <t>339/5</t>
  </si>
  <si>
    <t>357/5</t>
  </si>
  <si>
    <t>373/6</t>
  </si>
  <si>
    <t>18.20</t>
  </si>
  <si>
    <t>393/6</t>
  </si>
  <si>
    <t>6.92</t>
  </si>
  <si>
    <t>13.00</t>
  </si>
  <si>
    <t>25/1</t>
  </si>
  <si>
    <t>71/0</t>
  </si>
  <si>
    <t>14.20</t>
  </si>
  <si>
    <t>10.28</t>
  </si>
  <si>
    <t>6.31</t>
  </si>
  <si>
    <t>8.54</t>
  </si>
  <si>
    <t>6.74</t>
  </si>
  <si>
    <t>85/2</t>
  </si>
  <si>
    <t>148/3</t>
  </si>
  <si>
    <t>6.87</t>
  </si>
  <si>
    <t>6.69</t>
  </si>
  <si>
    <t>7.29</t>
  </si>
  <si>
    <t>116/3</t>
  </si>
  <si>
    <t>179/4</t>
  </si>
  <si>
    <t>199/4</t>
  </si>
  <si>
    <t>162/3</t>
  </si>
  <si>
    <t>8.77</t>
  </si>
  <si>
    <t>8.37</t>
  </si>
  <si>
    <t>199/3</t>
  </si>
  <si>
    <t>204/3</t>
  </si>
  <si>
    <t>251/4</t>
  </si>
  <si>
    <t>216/3</t>
  </si>
  <si>
    <t>252/5</t>
  </si>
  <si>
    <t>222/4</t>
  </si>
  <si>
    <t>262/5</t>
  </si>
  <si>
    <t>269/5</t>
  </si>
  <si>
    <t>9.66</t>
  </si>
  <si>
    <t>259/4</t>
  </si>
  <si>
    <t>275/6</t>
  </si>
  <si>
    <t>266/4</t>
  </si>
  <si>
    <t>6.98*</t>
  </si>
  <si>
    <t>9.72*</t>
  </si>
  <si>
    <t>11/1</t>
  </si>
  <si>
    <t>3.32</t>
  </si>
  <si>
    <t>41/3</t>
  </si>
  <si>
    <t>47/3</t>
  </si>
  <si>
    <t>51/3</t>
  </si>
  <si>
    <t>3.26</t>
  </si>
  <si>
    <t>2.89</t>
  </si>
  <si>
    <t>99/3</t>
  </si>
  <si>
    <t>134/2</t>
  </si>
  <si>
    <t>139/2</t>
  </si>
  <si>
    <t>118/3</t>
  </si>
  <si>
    <t>1.57</t>
  </si>
  <si>
    <t>157/2</t>
  </si>
  <si>
    <t>174/2</t>
  </si>
  <si>
    <t>0.52</t>
  </si>
  <si>
    <t>180/3</t>
  </si>
  <si>
    <t>0.22</t>
  </si>
  <si>
    <t>0.11</t>
  </si>
  <si>
    <t>186/3</t>
  </si>
  <si>
    <t>5.60*</t>
  </si>
  <si>
    <t>8.40*</t>
  </si>
  <si>
    <t>150/3</t>
  </si>
  <si>
    <t>150/5</t>
  </si>
  <si>
    <t>151/6</t>
  </si>
  <si>
    <t>167/7</t>
  </si>
  <si>
    <t>171/8</t>
  </si>
  <si>
    <t>178/8</t>
  </si>
  <si>
    <t>181/8</t>
  </si>
  <si>
    <t>183/10</t>
  </si>
  <si>
    <t>48/0</t>
  </si>
  <si>
    <t>60/1</t>
  </si>
  <si>
    <t>68/1</t>
  </si>
  <si>
    <t>6.67</t>
  </si>
  <si>
    <t>7.54</t>
  </si>
  <si>
    <t>106/4</t>
  </si>
  <si>
    <t>7.68</t>
  </si>
  <si>
    <t>116/4</t>
  </si>
  <si>
    <t>125/5</t>
  </si>
  <si>
    <t>130/5</t>
  </si>
  <si>
    <t>8.53</t>
  </si>
  <si>
    <t>137/6</t>
  </si>
  <si>
    <t>8.64</t>
  </si>
  <si>
    <t>149/6</t>
  </si>
  <si>
    <t>4.02</t>
  </si>
  <si>
    <t>162/4</t>
  </si>
  <si>
    <t>184/5</t>
  </si>
  <si>
    <t>194/5</t>
  </si>
  <si>
    <t>200/6</t>
  </si>
  <si>
    <t>207/5</t>
  </si>
  <si>
    <t>214/6</t>
  </si>
  <si>
    <t>219/5</t>
  </si>
  <si>
    <t>8.57</t>
  </si>
  <si>
    <t>225/6</t>
  </si>
  <si>
    <t>231/5</t>
  </si>
  <si>
    <t>256/6</t>
  </si>
  <si>
    <t>259/7</t>
  </si>
  <si>
    <t>265/7</t>
  </si>
  <si>
    <t>269/8</t>
  </si>
  <si>
    <t>270/8</t>
  </si>
  <si>
    <t>276/8</t>
  </si>
  <si>
    <t>278/9</t>
  </si>
  <si>
    <t>279/8</t>
  </si>
  <si>
    <t>3*</t>
  </si>
  <si>
    <t>5.65*</t>
  </si>
  <si>
    <t>8.30*</t>
  </si>
  <si>
    <t>55/3</t>
  </si>
  <si>
    <t>70/2</t>
  </si>
  <si>
    <t>87/3</t>
  </si>
  <si>
    <t>96/6</t>
  </si>
  <si>
    <t>97/7</t>
  </si>
  <si>
    <t>98/7</t>
  </si>
  <si>
    <t>107/7</t>
  </si>
  <si>
    <t>116/7</t>
  </si>
  <si>
    <t>134/6</t>
  </si>
  <si>
    <t>134/7</t>
  </si>
  <si>
    <t>124/7</t>
  </si>
  <si>
    <t>126/7</t>
  </si>
  <si>
    <t>142/7</t>
  </si>
  <si>
    <t>132/8</t>
  </si>
  <si>
    <t>143/7</t>
  </si>
  <si>
    <t>133/8</t>
  </si>
  <si>
    <t>144/8</t>
  </si>
  <si>
    <t>148/8</t>
  </si>
  <si>
    <t>137/8</t>
  </si>
  <si>
    <t>149/8</t>
  </si>
  <si>
    <t>153/8</t>
  </si>
  <si>
    <t>157/8</t>
  </si>
  <si>
    <t>56</t>
  </si>
  <si>
    <t>167/8</t>
  </si>
  <si>
    <t>180/8</t>
  </si>
  <si>
    <t>170/8</t>
  </si>
  <si>
    <t>41</t>
  </si>
  <si>
    <t>182/8</t>
  </si>
  <si>
    <t>173/8</t>
  </si>
  <si>
    <t>192/9</t>
  </si>
  <si>
    <t>196/8</t>
  </si>
  <si>
    <t>197/9</t>
  </si>
  <si>
    <t>206/8</t>
  </si>
  <si>
    <t>210/10</t>
  </si>
  <si>
    <t>211/9</t>
  </si>
  <si>
    <t>4.26*</t>
  </si>
  <si>
    <t>9.11*</t>
  </si>
  <si>
    <t>316</t>
  </si>
  <si>
    <t>292</t>
  </si>
  <si>
    <t>49/3</t>
  </si>
  <si>
    <t>65/3</t>
  </si>
  <si>
    <t>76/0</t>
  </si>
  <si>
    <t>83/0</t>
  </si>
  <si>
    <t>90/0</t>
  </si>
  <si>
    <t>100/5</t>
  </si>
  <si>
    <t>8.03</t>
  </si>
  <si>
    <t>109/0</t>
  </si>
  <si>
    <t>114/0</t>
  </si>
  <si>
    <t>8.25</t>
  </si>
  <si>
    <t>8.72</t>
  </si>
  <si>
    <t>8.95</t>
  </si>
  <si>
    <t>133/1</t>
  </si>
  <si>
    <t>137/1</t>
  </si>
  <si>
    <t>9.59</t>
  </si>
  <si>
    <t>140/1</t>
  </si>
  <si>
    <t>138/5</t>
  </si>
  <si>
    <t>9.28</t>
  </si>
  <si>
    <t>145/5</t>
  </si>
  <si>
    <t>157/5</t>
  </si>
  <si>
    <t>168/1</t>
  </si>
  <si>
    <t>9.81</t>
  </si>
  <si>
    <t>179/1</t>
  </si>
  <si>
    <t>10.06</t>
  </si>
  <si>
    <t>186/1</t>
  </si>
  <si>
    <t>186/6</t>
  </si>
  <si>
    <t>10.50</t>
  </si>
  <si>
    <t>196/1</t>
  </si>
  <si>
    <t>193/6</t>
  </si>
  <si>
    <t>10.76</t>
  </si>
  <si>
    <t>204/1</t>
  </si>
  <si>
    <t>11.33</t>
  </si>
  <si>
    <t>136</t>
  </si>
  <si>
    <t>210/1</t>
  </si>
  <si>
    <t>199/6</t>
  </si>
  <si>
    <t>12.18</t>
  </si>
  <si>
    <t>217/1</t>
  </si>
  <si>
    <t>204/6</t>
  </si>
  <si>
    <t>224/1</t>
  </si>
  <si>
    <t>215/7</t>
  </si>
  <si>
    <t>239/1</t>
  </si>
  <si>
    <t>14.62</t>
  </si>
  <si>
    <t>247/1</t>
  </si>
  <si>
    <t>15.85</t>
  </si>
  <si>
    <t>228/8</t>
  </si>
  <si>
    <t>17.50</t>
  </si>
  <si>
    <t>274/1</t>
  </si>
  <si>
    <t>20.00</t>
  </si>
  <si>
    <t>282/1</t>
  </si>
  <si>
    <t>24.75</t>
  </si>
  <si>
    <t>296/1</t>
  </si>
  <si>
    <t>240/10</t>
  </si>
  <si>
    <t>31.00</t>
  </si>
  <si>
    <t>309/1</t>
  </si>
  <si>
    <t>320/1</t>
  </si>
  <si>
    <t>332/1</t>
  </si>
  <si>
    <t>399</t>
  </si>
  <si>
    <t>396</t>
  </si>
  <si>
    <t>394</t>
  </si>
  <si>
    <t>393</t>
  </si>
  <si>
    <t>8.63</t>
  </si>
  <si>
    <t>380</t>
  </si>
  <si>
    <t>378</t>
  </si>
  <si>
    <t>3.37</t>
  </si>
  <si>
    <t>372</t>
  </si>
  <si>
    <t>362</t>
  </si>
  <si>
    <t>3.09</t>
  </si>
  <si>
    <t>52/3</t>
  </si>
  <si>
    <t>9.15</t>
  </si>
  <si>
    <t>53/5</t>
  </si>
  <si>
    <t>356</t>
  </si>
  <si>
    <t>57/5</t>
  </si>
  <si>
    <t>9.51</t>
  </si>
  <si>
    <t>352</t>
  </si>
  <si>
    <t>60/5</t>
  </si>
  <si>
    <t>349</t>
  </si>
  <si>
    <t>348</t>
  </si>
  <si>
    <t>62/5</t>
  </si>
  <si>
    <t>347</t>
  </si>
  <si>
    <t>10.48</t>
  </si>
  <si>
    <t>346</t>
  </si>
  <si>
    <t>63/7</t>
  </si>
  <si>
    <t>64/7</t>
  </si>
  <si>
    <t>11.12</t>
  </si>
  <si>
    <t>72/7</t>
  </si>
  <si>
    <t>11.23</t>
  </si>
  <si>
    <t>90/1</t>
  </si>
  <si>
    <t>76/7</t>
  </si>
  <si>
    <t>11.48</t>
  </si>
  <si>
    <t>85/7</t>
  </si>
  <si>
    <t>11.57</t>
  </si>
  <si>
    <t>324</t>
  </si>
  <si>
    <t>91/7</t>
  </si>
  <si>
    <t>11.77</t>
  </si>
  <si>
    <t>318</t>
  </si>
  <si>
    <t>12.03</t>
  </si>
  <si>
    <t>103/7</t>
  </si>
  <si>
    <t>12.24</t>
  </si>
  <si>
    <t>306</t>
  </si>
  <si>
    <t>108/8</t>
  </si>
  <si>
    <t>301</t>
  </si>
  <si>
    <t>110/8</t>
  </si>
  <si>
    <t>13.59</t>
  </si>
  <si>
    <t>13.95</t>
  </si>
  <si>
    <t>129/8</t>
  </si>
  <si>
    <t>153/3</t>
  </si>
  <si>
    <t>14.31</t>
  </si>
  <si>
    <t>159/3</t>
  </si>
  <si>
    <t>14.72</t>
  </si>
  <si>
    <t>151/9</t>
  </si>
  <si>
    <t>15.17</t>
  </si>
  <si>
    <t>151/10</t>
  </si>
  <si>
    <t>15.32*</t>
  </si>
  <si>
    <t>212/3</t>
  </si>
  <si>
    <t>224/3</t>
  </si>
  <si>
    <t>258/3</t>
  </si>
  <si>
    <t>269/3</t>
  </si>
  <si>
    <t>280/3</t>
  </si>
  <si>
    <t>299/4</t>
  </si>
  <si>
    <t>312/4</t>
  </si>
  <si>
    <t>323/4</t>
  </si>
  <si>
    <t>330/5</t>
  </si>
  <si>
    <t>364/5</t>
  </si>
  <si>
    <t>378/5</t>
  </si>
  <si>
    <t>408/5</t>
  </si>
  <si>
    <t>12.50</t>
  </si>
  <si>
    <t>2.64</t>
  </si>
  <si>
    <t>2.43</t>
  </si>
  <si>
    <t>55/1</t>
  </si>
  <si>
    <t>9.16</t>
  </si>
  <si>
    <t>7.57</t>
  </si>
  <si>
    <t>9.87</t>
  </si>
  <si>
    <t>1.73</t>
  </si>
  <si>
    <t>1.65</t>
  </si>
  <si>
    <t>1.67</t>
  </si>
  <si>
    <t>62</t>
  </si>
  <si>
    <t>1.25</t>
  </si>
  <si>
    <t>96/4</t>
  </si>
  <si>
    <t>1.03</t>
  </si>
  <si>
    <t>97/6</t>
  </si>
  <si>
    <t>0.71</t>
  </si>
  <si>
    <t>103/6</t>
  </si>
  <si>
    <t>0.70</t>
  </si>
  <si>
    <t>104/7</t>
  </si>
  <si>
    <t>106/7</t>
  </si>
  <si>
    <t>139/6</t>
  </si>
  <si>
    <t>106/9</t>
  </si>
  <si>
    <t>109/9</t>
  </si>
  <si>
    <t>146/9</t>
  </si>
  <si>
    <t>111/9</t>
  </si>
  <si>
    <t>152/9</t>
  </si>
  <si>
    <t>6.56*</t>
  </si>
  <si>
    <t>5.28*</t>
  </si>
  <si>
    <t>124/9</t>
  </si>
  <si>
    <t>128/9</t>
  </si>
  <si>
    <t>129/9</t>
  </si>
  <si>
    <t>136/9</t>
  </si>
  <si>
    <t>140/9</t>
  </si>
  <si>
    <t>144/9</t>
  </si>
  <si>
    <t>145/9</t>
  </si>
  <si>
    <t>5.07*</t>
  </si>
  <si>
    <t>7.62</t>
  </si>
  <si>
    <t>84/0</t>
  </si>
  <si>
    <t>93/0</t>
  </si>
  <si>
    <t>116/1</t>
  </si>
  <si>
    <t>129/1</t>
  </si>
  <si>
    <t>146/1</t>
  </si>
  <si>
    <t>145/3</t>
  </si>
  <si>
    <t>170/1</t>
  </si>
  <si>
    <t>154/3</t>
  </si>
  <si>
    <t>172/1</t>
  </si>
  <si>
    <t>188/1</t>
  </si>
  <si>
    <t>188/4</t>
  </si>
  <si>
    <t>227/1</t>
  </si>
  <si>
    <t>83</t>
  </si>
  <si>
    <t>242/1</t>
  </si>
  <si>
    <t>255/1</t>
  </si>
  <si>
    <t>265/1</t>
  </si>
  <si>
    <t>273/1</t>
  </si>
  <si>
    <t>257/4</t>
  </si>
  <si>
    <t>290/1</t>
  </si>
  <si>
    <t>264/5</t>
  </si>
  <si>
    <t>267/6</t>
  </si>
  <si>
    <t>304/1</t>
  </si>
  <si>
    <t>279/6</t>
  </si>
  <si>
    <t>312/1</t>
  </si>
  <si>
    <t>6.59*</t>
  </si>
  <si>
    <t>9.00*</t>
  </si>
  <si>
    <t>287/6</t>
  </si>
  <si>
    <t>309/6</t>
  </si>
  <si>
    <t>5/2</t>
  </si>
  <si>
    <t>10/2</t>
  </si>
  <si>
    <t>11/2</t>
  </si>
  <si>
    <t>22/2</t>
  </si>
  <si>
    <t>23/2</t>
  </si>
  <si>
    <t>14/2</t>
  </si>
  <si>
    <t>1.54</t>
  </si>
  <si>
    <t>1.41</t>
  </si>
  <si>
    <t>1.84</t>
  </si>
  <si>
    <t>3.46</t>
  </si>
  <si>
    <t>2.12</t>
  </si>
  <si>
    <t>3.08</t>
  </si>
  <si>
    <t>124/3</t>
  </si>
  <si>
    <t>160/5</t>
  </si>
  <si>
    <t>164/5</t>
  </si>
  <si>
    <t>141/5</t>
  </si>
  <si>
    <t>174/8</t>
  </si>
  <si>
    <t>186/8</t>
  </si>
  <si>
    <t>189/8</t>
  </si>
  <si>
    <t>202/6</t>
  </si>
  <si>
    <t>202/8</t>
  </si>
  <si>
    <t>206/7</t>
  </si>
  <si>
    <t>208/8</t>
  </si>
  <si>
    <t>212/8</t>
  </si>
  <si>
    <t>24.00</t>
  </si>
  <si>
    <t>235/7</t>
  </si>
  <si>
    <t>215/10</t>
  </si>
  <si>
    <t>4.32*</t>
  </si>
  <si>
    <t>4.28*</t>
  </si>
  <si>
    <t>407</t>
  </si>
  <si>
    <t>405</t>
  </si>
  <si>
    <t>395</t>
  </si>
  <si>
    <t>391</t>
  </si>
  <si>
    <t>387</t>
  </si>
  <si>
    <t>26/3</t>
  </si>
  <si>
    <t>386</t>
  </si>
  <si>
    <t>8.74</t>
  </si>
  <si>
    <t>376</t>
  </si>
  <si>
    <t>37/3</t>
  </si>
  <si>
    <t>375</t>
  </si>
  <si>
    <t>9.02</t>
  </si>
  <si>
    <t>370</t>
  </si>
  <si>
    <t>365</t>
  </si>
  <si>
    <t>48/5</t>
  </si>
  <si>
    <t>361</t>
  </si>
  <si>
    <t>359</t>
  </si>
  <si>
    <t>54/5</t>
  </si>
  <si>
    <t>358</t>
  </si>
  <si>
    <t>80/1</t>
  </si>
  <si>
    <t>10.02</t>
  </si>
  <si>
    <t>351</t>
  </si>
  <si>
    <t>65/5</t>
  </si>
  <si>
    <t>72/5</t>
  </si>
  <si>
    <t>10.30</t>
  </si>
  <si>
    <t>340</t>
  </si>
  <si>
    <t>10.34</t>
  </si>
  <si>
    <t>331</t>
  </si>
  <si>
    <t>82/5</t>
  </si>
  <si>
    <t>330</t>
  </si>
  <si>
    <t>10.83</t>
  </si>
  <si>
    <t>11.06</t>
  </si>
  <si>
    <t>321</t>
  </si>
  <si>
    <t>11.17</t>
  </si>
  <si>
    <t>11.29</t>
  </si>
  <si>
    <t>152/1</t>
  </si>
  <si>
    <t>11.42</t>
  </si>
  <si>
    <t>160/1</t>
  </si>
  <si>
    <t>11.52</t>
  </si>
  <si>
    <t>163/1</t>
  </si>
  <si>
    <t>11.75</t>
  </si>
  <si>
    <t>169/1</t>
  </si>
  <si>
    <t>12.04</t>
  </si>
  <si>
    <t>176/1</t>
  </si>
  <si>
    <t>146/6</t>
  </si>
  <si>
    <t>150/6</t>
  </si>
  <si>
    <t>13.10</t>
  </si>
  <si>
    <t>190/1</t>
  </si>
  <si>
    <t>155/7</t>
  </si>
  <si>
    <t>13.52</t>
  </si>
  <si>
    <t>194/1</t>
  </si>
  <si>
    <t>14.27</t>
  </si>
  <si>
    <t>202/1</t>
  </si>
  <si>
    <t>206/1</t>
  </si>
  <si>
    <t>6.05</t>
  </si>
  <si>
    <t>163/7</t>
  </si>
  <si>
    <t>15.56</t>
  </si>
  <si>
    <t>211/1</t>
  </si>
  <si>
    <t>166/7</t>
  </si>
  <si>
    <t>16.40</t>
  </si>
  <si>
    <t>215/1</t>
  </si>
  <si>
    <t>17.42</t>
  </si>
  <si>
    <t>228/1</t>
  </si>
  <si>
    <t>169/8</t>
  </si>
  <si>
    <t>18.69</t>
  </si>
  <si>
    <t>262/2</t>
  </si>
  <si>
    <t>176/8</t>
  </si>
  <si>
    <t>21.45</t>
  </si>
  <si>
    <t>280/2</t>
  </si>
  <si>
    <t>184/8</t>
  </si>
  <si>
    <t>22.80</t>
  </si>
  <si>
    <t>299/2</t>
  </si>
  <si>
    <t>25.11</t>
  </si>
  <si>
    <t>307/4</t>
  </si>
  <si>
    <t>199/8</t>
  </si>
  <si>
    <t>26.62</t>
  </si>
  <si>
    <t>30.28</t>
  </si>
  <si>
    <t>336/4</t>
  </si>
  <si>
    <t>7.63</t>
  </si>
  <si>
    <t>34.83</t>
  </si>
  <si>
    <t>347/4</t>
  </si>
  <si>
    <t>40.40</t>
  </si>
  <si>
    <t>350/4</t>
  </si>
  <si>
    <t>360/4</t>
  </si>
  <si>
    <t>371/4</t>
  </si>
  <si>
    <t>387/4</t>
  </si>
  <si>
    <t>411/4</t>
  </si>
  <si>
    <t>339</t>
  </si>
  <si>
    <t>2.14</t>
  </si>
  <si>
    <t>2.55</t>
  </si>
  <si>
    <t>7.73</t>
  </si>
  <si>
    <t>7.87</t>
  </si>
  <si>
    <t>311</t>
  </si>
  <si>
    <t>2.41</t>
  </si>
  <si>
    <t>2.38</t>
  </si>
  <si>
    <t>8.35</t>
  </si>
  <si>
    <t>298</t>
  </si>
  <si>
    <t>8.75</t>
  </si>
  <si>
    <t>85/1</t>
  </si>
  <si>
    <t>8.81</t>
  </si>
  <si>
    <t>9.24</t>
  </si>
  <si>
    <t>9.25</t>
  </si>
  <si>
    <t>9.48</t>
  </si>
  <si>
    <t>108/1</t>
  </si>
  <si>
    <t>9.84</t>
  </si>
  <si>
    <t>113/1</t>
  </si>
  <si>
    <t>10.04</t>
  </si>
  <si>
    <t>126/1</t>
  </si>
  <si>
    <t>10.33</t>
  </si>
  <si>
    <t>10.56</t>
  </si>
  <si>
    <t>10.77</t>
  </si>
  <si>
    <t>11.04</t>
  </si>
  <si>
    <t>148/1</t>
  </si>
  <si>
    <t>11.55</t>
  </si>
  <si>
    <t>157/1</t>
  </si>
  <si>
    <t>12.38</t>
  </si>
  <si>
    <t>12.52</t>
  </si>
  <si>
    <t>13.25</t>
  </si>
  <si>
    <t>13.93</t>
  </si>
  <si>
    <t>183/3</t>
  </si>
  <si>
    <t>14.71</t>
  </si>
  <si>
    <t>193/3</t>
  </si>
  <si>
    <t>15.69</t>
  </si>
  <si>
    <t>196/3</t>
  </si>
  <si>
    <t>140/4</t>
  </si>
  <si>
    <t>16.66</t>
  </si>
  <si>
    <t>209/3</t>
  </si>
  <si>
    <t>142/6</t>
  </si>
  <si>
    <t>215/3</t>
  </si>
  <si>
    <t>145/6</t>
  </si>
  <si>
    <t>221/3</t>
  </si>
  <si>
    <t>21.66</t>
  </si>
  <si>
    <t>238/3</t>
  </si>
  <si>
    <t>23.75</t>
  </si>
  <si>
    <t>26.71</t>
  </si>
  <si>
    <t>260/4</t>
  </si>
  <si>
    <t>160/6</t>
  </si>
  <si>
    <t>30.00</t>
  </si>
  <si>
    <t>268/4</t>
  </si>
  <si>
    <t>35.20</t>
  </si>
  <si>
    <t>284/4</t>
  </si>
  <si>
    <t>38.75</t>
  </si>
  <si>
    <t>303/4</t>
  </si>
  <si>
    <t>51.00</t>
  </si>
  <si>
    <t>198/6</t>
  </si>
  <si>
    <t>71.00</t>
  </si>
  <si>
    <t>319/6</t>
  </si>
  <si>
    <t>134.00</t>
  </si>
  <si>
    <t>339/6</t>
  </si>
  <si>
    <t>210/8</t>
  </si>
  <si>
    <t>411</t>
  </si>
  <si>
    <t>410</t>
  </si>
  <si>
    <t>8.70</t>
  </si>
  <si>
    <t>409</t>
  </si>
  <si>
    <t>402</t>
  </si>
  <si>
    <t>8.93</t>
  </si>
  <si>
    <t>385</t>
  </si>
  <si>
    <t>54/1</t>
  </si>
  <si>
    <t>9.31</t>
  </si>
  <si>
    <t>382</t>
  </si>
  <si>
    <t>9.35</t>
  </si>
  <si>
    <t>374</t>
  </si>
  <si>
    <t>9.53</t>
  </si>
  <si>
    <t>9.73</t>
  </si>
  <si>
    <t>9.71</t>
  </si>
  <si>
    <t>9.88</t>
  </si>
  <si>
    <t>336</t>
  </si>
  <si>
    <t>10.09</t>
  </si>
  <si>
    <t>10.31</t>
  </si>
  <si>
    <t>117/1</t>
  </si>
  <si>
    <t>125/1</t>
  </si>
  <si>
    <t>11.10</t>
  </si>
  <si>
    <t>97/5</t>
  </si>
  <si>
    <t>11.46</t>
  </si>
  <si>
    <t>11.70</t>
  </si>
  <si>
    <t>103/5</t>
  </si>
  <si>
    <t>12.11</t>
  </si>
  <si>
    <t>151/1</t>
  </si>
  <si>
    <t>13.04</t>
  </si>
  <si>
    <t>13.13</t>
  </si>
  <si>
    <t>173/1</t>
  </si>
  <si>
    <t>120/6</t>
  </si>
  <si>
    <t>13.54</t>
  </si>
  <si>
    <t>180/1</t>
  </si>
  <si>
    <t>121/6</t>
  </si>
  <si>
    <t>14.14</t>
  </si>
  <si>
    <t>207/1</t>
  </si>
  <si>
    <t>15.10</t>
  </si>
  <si>
    <t>222/1</t>
  </si>
  <si>
    <t>15.88</t>
  </si>
  <si>
    <t>135/8</t>
  </si>
  <si>
    <t>16.64</t>
  </si>
  <si>
    <t>246/1</t>
  </si>
  <si>
    <t>13.20</t>
  </si>
  <si>
    <t>17.56</t>
  </si>
  <si>
    <t>281</t>
  </si>
  <si>
    <t>248/1</t>
  </si>
  <si>
    <t>138/8</t>
  </si>
  <si>
    <t>18.66</t>
  </si>
  <si>
    <t>266/1</t>
  </si>
  <si>
    <t>140/8</t>
  </si>
  <si>
    <t>19.85</t>
  </si>
  <si>
    <t>21.38</t>
  </si>
  <si>
    <t>278/2</t>
  </si>
  <si>
    <t>7.31</t>
  </si>
  <si>
    <t>1.55*</t>
  </si>
  <si>
    <t>22.08*</t>
  </si>
  <si>
    <t>286/2</t>
  </si>
  <si>
    <t>316/2</t>
  </si>
  <si>
    <t>325/2</t>
  </si>
  <si>
    <t>340/3</t>
  </si>
  <si>
    <t>350/3</t>
  </si>
  <si>
    <t>366/3</t>
  </si>
  <si>
    <t>382/3</t>
  </si>
  <si>
    <t>386/4</t>
  </si>
  <si>
    <t>397/5</t>
  </si>
  <si>
    <t>403/5</t>
  </si>
  <si>
    <t>417/6</t>
  </si>
  <si>
    <t>75/2</t>
  </si>
  <si>
    <t>150/2</t>
  </si>
  <si>
    <t>164/2</t>
  </si>
  <si>
    <t>127/3</t>
  </si>
  <si>
    <t>168/2</t>
  </si>
  <si>
    <t>136/3</t>
  </si>
  <si>
    <t>176/2</t>
  </si>
  <si>
    <t>199/2</t>
  </si>
  <si>
    <t>208/3</t>
  </si>
  <si>
    <t>178/3</t>
  </si>
  <si>
    <t>227/3</t>
  </si>
  <si>
    <t>198/3</t>
  </si>
  <si>
    <t>242/3</t>
  </si>
  <si>
    <t>206/3</t>
  </si>
  <si>
    <t>247/4</t>
  </si>
  <si>
    <t>230/3</t>
  </si>
  <si>
    <t>235/3</t>
  </si>
  <si>
    <t>250/3</t>
  </si>
  <si>
    <t>277/4</t>
  </si>
  <si>
    <t>285/4</t>
  </si>
  <si>
    <t>301/4</t>
  </si>
  <si>
    <t>304/5</t>
  </si>
  <si>
    <t>318/4</t>
  </si>
  <si>
    <t>312/7</t>
  </si>
  <si>
    <t>322/4</t>
  </si>
  <si>
    <t>6.68*</t>
  </si>
  <si>
    <t>8.88*</t>
  </si>
  <si>
    <t>318/8</t>
  </si>
  <si>
    <t>74/4</t>
  </si>
  <si>
    <t>75/4</t>
  </si>
  <si>
    <t>94/5</t>
  </si>
  <si>
    <t>98/5</t>
  </si>
  <si>
    <t>111/2</t>
  </si>
  <si>
    <t>128/6</t>
  </si>
  <si>
    <t>139/7</t>
  </si>
  <si>
    <t>129/2</t>
  </si>
  <si>
    <t>148/7</t>
  </si>
  <si>
    <t>168/7</t>
  </si>
  <si>
    <t>177/8</t>
  </si>
  <si>
    <t>185/8</t>
  </si>
  <si>
    <t>201/9</t>
  </si>
  <si>
    <t>2.21</t>
  </si>
  <si>
    <t>202/10</t>
  </si>
  <si>
    <t>6.02*</t>
  </si>
  <si>
    <t>7.55*</t>
  </si>
  <si>
    <t>2.22*</t>
  </si>
  <si>
    <t>193/5</t>
  </si>
  <si>
    <t>203/5</t>
  </si>
  <si>
    <t>212/6</t>
  </si>
  <si>
    <t>214/7</t>
  </si>
  <si>
    <t>218/8</t>
  </si>
  <si>
    <t>222/10</t>
  </si>
  <si>
    <t>4.75*</t>
  </si>
  <si>
    <t>2.14*</t>
  </si>
  <si>
    <t>79/4</t>
  </si>
  <si>
    <t>8.07</t>
  </si>
  <si>
    <t>113/4</t>
  </si>
  <si>
    <t>127/2</t>
  </si>
  <si>
    <t>159/2</t>
  </si>
  <si>
    <t>180/4</t>
  </si>
  <si>
    <t>8.44</t>
  </si>
  <si>
    <t>198/4</t>
  </si>
  <si>
    <t>9.14</t>
  </si>
  <si>
    <t>198/2</t>
  </si>
  <si>
    <t>212/2</t>
  </si>
  <si>
    <t>218/3</t>
  </si>
  <si>
    <t>8.90</t>
  </si>
  <si>
    <t>223/3</t>
  </si>
  <si>
    <t>254/5</t>
  </si>
  <si>
    <t>239/3</t>
  </si>
  <si>
    <t>257/5</t>
  </si>
  <si>
    <t>260/3</t>
  </si>
  <si>
    <t>262/6</t>
  </si>
  <si>
    <t>271/3</t>
  </si>
  <si>
    <t>273/6</t>
  </si>
  <si>
    <t>9.83</t>
  </si>
  <si>
    <t>281/4</t>
  </si>
  <si>
    <t>283/6</t>
  </si>
  <si>
    <t>293/6</t>
  </si>
  <si>
    <t>304/4</t>
  </si>
  <si>
    <t>301/7</t>
  </si>
  <si>
    <t>320/6</t>
  </si>
  <si>
    <t>306/8</t>
  </si>
  <si>
    <t>325/7</t>
  </si>
  <si>
    <t>325/8</t>
  </si>
  <si>
    <t>331/8</t>
  </si>
  <si>
    <t>326/10</t>
  </si>
  <si>
    <t>6.58*</t>
  </si>
  <si>
    <t>9.55*</t>
  </si>
  <si>
    <t>35/0</t>
  </si>
  <si>
    <t>3.24</t>
  </si>
  <si>
    <t>3.02</t>
  </si>
  <si>
    <t>28/3</t>
  </si>
  <si>
    <t>2.97</t>
  </si>
  <si>
    <t>2.79</t>
  </si>
  <si>
    <t>38/3</t>
  </si>
  <si>
    <t>53/4</t>
  </si>
  <si>
    <t>57/4</t>
  </si>
  <si>
    <t>2.46</t>
  </si>
  <si>
    <t>59/6</t>
  </si>
  <si>
    <t>69/6</t>
  </si>
  <si>
    <t>73/6</t>
  </si>
  <si>
    <t>78/6</t>
  </si>
  <si>
    <t>3.39</t>
  </si>
  <si>
    <t>83/6</t>
  </si>
  <si>
    <t>95/6</t>
  </si>
  <si>
    <t>53</t>
  </si>
  <si>
    <t>98/6</t>
  </si>
  <si>
    <t>1.81</t>
  </si>
  <si>
    <t>40</t>
  </si>
  <si>
    <t>1.52</t>
  </si>
  <si>
    <t>108/6</t>
  </si>
  <si>
    <t>112/6</t>
  </si>
  <si>
    <t>1.05</t>
  </si>
  <si>
    <t>174/3</t>
  </si>
  <si>
    <t>0.76</t>
  </si>
  <si>
    <t>0.53</t>
  </si>
  <si>
    <t>0.21</t>
  </si>
  <si>
    <t>5.19*</t>
  </si>
  <si>
    <t>4.80*</t>
  </si>
  <si>
    <t>147/7</t>
  </si>
  <si>
    <t>151/7</t>
  </si>
  <si>
    <t>152/8</t>
  </si>
  <si>
    <t>159/8</t>
  </si>
  <si>
    <t>166/8</t>
  </si>
  <si>
    <t>181/9</t>
  </si>
  <si>
    <t>186/10</t>
  </si>
  <si>
    <t>7.28*</t>
  </si>
  <si>
    <t>371</t>
  </si>
  <si>
    <t>312</t>
  </si>
  <si>
    <t>114/2</t>
  </si>
  <si>
    <t>9.08</t>
  </si>
  <si>
    <t>154/2</t>
  </si>
  <si>
    <t>9.47</t>
  </si>
  <si>
    <t>9.90</t>
  </si>
  <si>
    <t>195/3</t>
  </si>
  <si>
    <t>178/4</t>
  </si>
  <si>
    <t>200/3</t>
  </si>
  <si>
    <t>10.41</t>
  </si>
  <si>
    <t>185/4</t>
  </si>
  <si>
    <t>202/4</t>
  </si>
  <si>
    <t>11.26</t>
  </si>
  <si>
    <t>224/4</t>
  </si>
  <si>
    <t>10.92</t>
  </si>
  <si>
    <t>10.54</t>
  </si>
  <si>
    <t>253/4</t>
  </si>
  <si>
    <t>272/4</t>
  </si>
  <si>
    <t>270/4</t>
  </si>
  <si>
    <t>280/4</t>
  </si>
  <si>
    <t>292/5</t>
  </si>
  <si>
    <t>300/4</t>
  </si>
  <si>
    <t>315/4</t>
  </si>
  <si>
    <t>304/6</t>
  </si>
  <si>
    <t>321/4</t>
  </si>
  <si>
    <t>306/7</t>
  </si>
  <si>
    <t>337/4</t>
  </si>
  <si>
    <t>308/8</t>
  </si>
  <si>
    <t>17.25</t>
  </si>
  <si>
    <t>345/6</t>
  </si>
  <si>
    <t>312/9</t>
  </si>
  <si>
    <t>6.73*</t>
  </si>
  <si>
    <t>17.72*</t>
  </si>
  <si>
    <t>349/6</t>
  </si>
  <si>
    <t>368/7</t>
  </si>
  <si>
    <t>376/9</t>
  </si>
  <si>
    <t>111/4</t>
  </si>
  <si>
    <t>139/4</t>
  </si>
  <si>
    <t>147/5</t>
  </si>
  <si>
    <t>155/5</t>
  </si>
  <si>
    <t>176/4</t>
  </si>
  <si>
    <t>181/4</t>
  </si>
  <si>
    <t>203/6</t>
  </si>
  <si>
    <t>211/6</t>
  </si>
  <si>
    <t>224/6</t>
  </si>
  <si>
    <t>237/4</t>
  </si>
  <si>
    <t>229/6</t>
  </si>
  <si>
    <t>243/5</t>
  </si>
  <si>
    <t>238/8</t>
  </si>
  <si>
    <t>251/5</t>
  </si>
  <si>
    <t>245/8</t>
  </si>
  <si>
    <t>260/8</t>
  </si>
  <si>
    <t>260/10</t>
  </si>
  <si>
    <t>5.36*</t>
  </si>
  <si>
    <t>8.00*</t>
  </si>
  <si>
    <t>10.66*</t>
  </si>
  <si>
    <t>275/7</t>
  </si>
  <si>
    <t>8.55</t>
  </si>
  <si>
    <t>9.09</t>
  </si>
  <si>
    <t>9.41</t>
  </si>
  <si>
    <t>142/1</t>
  </si>
  <si>
    <t>144/3</t>
  </si>
  <si>
    <t>10.47</t>
  </si>
  <si>
    <t>192/1</t>
  </si>
  <si>
    <t>199/1</t>
  </si>
  <si>
    <t>11.22</t>
  </si>
  <si>
    <t>201/1</t>
  </si>
  <si>
    <t>11.56</t>
  </si>
  <si>
    <t>11.73</t>
  </si>
  <si>
    <t>189/5</t>
  </si>
  <si>
    <t>13.38</t>
  </si>
  <si>
    <t>15.18</t>
  </si>
  <si>
    <t>207/7</t>
  </si>
  <si>
    <t>15.70</t>
  </si>
  <si>
    <t>291/5</t>
  </si>
  <si>
    <t>17.11</t>
  </si>
  <si>
    <t>295/5</t>
  </si>
  <si>
    <t>212/9</t>
  </si>
  <si>
    <t>301/5</t>
  </si>
  <si>
    <t>215/9</t>
  </si>
  <si>
    <t>21.28</t>
  </si>
  <si>
    <t>326/6</t>
  </si>
  <si>
    <t>4.98*</t>
  </si>
  <si>
    <t>21.80*</t>
  </si>
  <si>
    <t>329/7</t>
  </si>
  <si>
    <t>333/8</t>
  </si>
  <si>
    <t>337/9</t>
  </si>
  <si>
    <t>355/9</t>
  </si>
  <si>
    <t>7.24</t>
  </si>
  <si>
    <t>363/9</t>
  </si>
  <si>
    <t>328</t>
  </si>
  <si>
    <t>323</t>
  </si>
  <si>
    <t>45/3</t>
  </si>
  <si>
    <t>9.85</t>
  </si>
  <si>
    <t>10.36</t>
  </si>
  <si>
    <t>138/3</t>
  </si>
  <si>
    <t>10.45</t>
  </si>
  <si>
    <t>10.65</t>
  </si>
  <si>
    <t>11.28</t>
  </si>
  <si>
    <t>12.21</t>
  </si>
  <si>
    <t>12.61</t>
  </si>
  <si>
    <t>185/3</t>
  </si>
  <si>
    <t>192/3</t>
  </si>
  <si>
    <t>121/5</t>
  </si>
  <si>
    <t>13.81</t>
  </si>
  <si>
    <t>14.13</t>
  </si>
  <si>
    <t>14.50</t>
  </si>
  <si>
    <t>154/6</t>
  </si>
  <si>
    <t>14.46</t>
  </si>
  <si>
    <t>16.36</t>
  </si>
  <si>
    <t>173/7</t>
  </si>
  <si>
    <t>18.77</t>
  </si>
  <si>
    <t>177/7</t>
  </si>
  <si>
    <t>20.62</t>
  </si>
  <si>
    <t>23.00</t>
  </si>
  <si>
    <t>268/5</t>
  </si>
  <si>
    <t>26.83</t>
  </si>
  <si>
    <t>186/7</t>
  </si>
  <si>
    <t>31.20</t>
  </si>
  <si>
    <t>38.25</t>
  </si>
  <si>
    <t>292/6</t>
  </si>
  <si>
    <t>49.00</t>
  </si>
  <si>
    <t>195/10</t>
  </si>
  <si>
    <t>3.11*</t>
  </si>
  <si>
    <t>58.80*</t>
  </si>
  <si>
    <t>316/6</t>
  </si>
  <si>
    <t>341/6</t>
  </si>
  <si>
    <t>0.40</t>
  </si>
  <si>
    <t>1.14</t>
  </si>
  <si>
    <t>1.87</t>
  </si>
  <si>
    <t>148/2</t>
  </si>
  <si>
    <t>168/4</t>
  </si>
  <si>
    <t>197/3</t>
  </si>
  <si>
    <t>7.18</t>
  </si>
  <si>
    <t>211/4</t>
  </si>
  <si>
    <t>223/5</t>
  </si>
  <si>
    <t>209/5</t>
  </si>
  <si>
    <t>235/5</t>
  </si>
  <si>
    <t>216/5</t>
  </si>
  <si>
    <t>249/6</t>
  </si>
  <si>
    <t>265/6</t>
  </si>
  <si>
    <t>278/7</t>
  </si>
  <si>
    <t>272/6</t>
  </si>
  <si>
    <t>290/7</t>
  </si>
  <si>
    <t>12*</t>
  </si>
  <si>
    <t>5.93*</t>
  </si>
  <si>
    <t>10.34*</t>
  </si>
  <si>
    <t>288/7</t>
  </si>
  <si>
    <t>3.06</t>
  </si>
  <si>
    <t>1.91</t>
  </si>
  <si>
    <t>84/1</t>
  </si>
  <si>
    <t>34/4</t>
  </si>
  <si>
    <t>1.11</t>
  </si>
  <si>
    <t>35/4</t>
  </si>
  <si>
    <t>2.05</t>
  </si>
  <si>
    <t>37/4</t>
  </si>
  <si>
    <t>0.14</t>
  </si>
  <si>
    <t>2.15</t>
  </si>
  <si>
    <t>5.55*</t>
  </si>
  <si>
    <t>4.08*</t>
  </si>
  <si>
    <t>45/4</t>
  </si>
  <si>
    <t>2.52</t>
  </si>
  <si>
    <t>62/4</t>
  </si>
  <si>
    <t>2.48</t>
  </si>
  <si>
    <t>2.51</t>
  </si>
  <si>
    <t>74/5</t>
  </si>
  <si>
    <t>93/6</t>
  </si>
  <si>
    <t>101/6</t>
  </si>
  <si>
    <t>111/7</t>
  </si>
  <si>
    <t>3.05*</t>
  </si>
  <si>
    <t>4.15*</t>
  </si>
  <si>
    <t>2.19</t>
  </si>
  <si>
    <t>1.70</t>
  </si>
  <si>
    <t>1.53</t>
  </si>
  <si>
    <t>1.31</t>
  </si>
  <si>
    <t>64/5</t>
  </si>
  <si>
    <t>8.67*</t>
  </si>
  <si>
    <t>14.30*</t>
  </si>
  <si>
    <t>79/7</t>
  </si>
  <si>
    <t>90/7</t>
  </si>
  <si>
    <t>95/7</t>
  </si>
  <si>
    <t>102/8</t>
  </si>
  <si>
    <t>109/8</t>
  </si>
  <si>
    <t>121/8</t>
  </si>
  <si>
    <t>130/8</t>
  </si>
  <si>
    <t>130/10</t>
  </si>
  <si>
    <t>5.06*</t>
  </si>
  <si>
    <t>17/3</t>
  </si>
  <si>
    <t>24/4</t>
  </si>
  <si>
    <t>29/5</t>
  </si>
  <si>
    <t>31/5</t>
  </si>
  <si>
    <t>2.67</t>
  </si>
  <si>
    <t>42/5</t>
  </si>
  <si>
    <t>47/6</t>
  </si>
  <si>
    <t>49/6</t>
  </si>
  <si>
    <t>50/6</t>
  </si>
  <si>
    <t>56/6</t>
  </si>
  <si>
    <t>60/6</t>
  </si>
  <si>
    <t>66/6</t>
  </si>
  <si>
    <t>1.58</t>
  </si>
  <si>
    <t>77/6</t>
  </si>
  <si>
    <t>1.42</t>
  </si>
  <si>
    <t>79/6</t>
  </si>
  <si>
    <t>87/6</t>
  </si>
  <si>
    <t>0.96</t>
  </si>
  <si>
    <t>0.91</t>
  </si>
  <si>
    <t>0.82</t>
  </si>
  <si>
    <t>0.23</t>
  </si>
  <si>
    <t>0.15</t>
  </si>
  <si>
    <t>5.77*</t>
  </si>
  <si>
    <t>125/6</t>
  </si>
  <si>
    <t>168/9</t>
  </si>
  <si>
    <t>173/9</t>
  </si>
  <si>
    <t>175/10</t>
  </si>
  <si>
    <t>3.67*</t>
  </si>
  <si>
    <t>1.71*</t>
  </si>
  <si>
    <t>111/0</t>
  </si>
  <si>
    <t>115/0</t>
  </si>
  <si>
    <t>116/0</t>
  </si>
  <si>
    <t>167/2</t>
  </si>
  <si>
    <t>207/2</t>
  </si>
  <si>
    <t>188/5</t>
  </si>
  <si>
    <t>190/6</t>
  </si>
  <si>
    <t>205/7</t>
  </si>
  <si>
    <t>231/3</t>
  </si>
  <si>
    <t>210/7</t>
  </si>
  <si>
    <t>237/3</t>
  </si>
  <si>
    <t>241/3</t>
  </si>
  <si>
    <t>5.22*</t>
  </si>
  <si>
    <t>229/8</t>
  </si>
  <si>
    <t>237/10</t>
  </si>
  <si>
    <t>Ground</t>
  </si>
  <si>
    <t>TEAM ONE</t>
  </si>
  <si>
    <t>TEAM TWO</t>
  </si>
  <si>
    <t>DATE</t>
  </si>
  <si>
    <t>RESULT</t>
  </si>
  <si>
    <t>WINNER</t>
  </si>
  <si>
    <t>WIN MARGIN</t>
  </si>
  <si>
    <t>MATCH NAME</t>
  </si>
  <si>
    <t>LOSING TEAM</t>
  </si>
  <si>
    <t>DL</t>
  </si>
  <si>
    <t>Innings</t>
  </si>
  <si>
    <t>D/L Overs</t>
  </si>
  <si>
    <t>link</t>
  </si>
  <si>
    <t>d/l score</t>
  </si>
  <si>
    <t>Hagley Oval, Christchurch</t>
  </si>
  <si>
    <t>NEW ZEALAND</t>
  </si>
  <si>
    <t>SRI LANKA</t>
  </si>
  <si>
    <t>98 RUNS</t>
  </si>
  <si>
    <t>Melbourne Cricket Ground, Melbourne</t>
  </si>
  <si>
    <t>AUSTRALIA</t>
  </si>
  <si>
    <t>ENGLAND</t>
  </si>
  <si>
    <t>111 RUNS</t>
  </si>
  <si>
    <t>Seddon Park, Hamilton</t>
  </si>
  <si>
    <t>SOUTH AFRICA</t>
  </si>
  <si>
    <t>ZIMBABWE</t>
  </si>
  <si>
    <t>62 RUNS</t>
  </si>
  <si>
    <t>Adelaide Oval, Adelaide</t>
  </si>
  <si>
    <t>INDIA</t>
  </si>
  <si>
    <t>PAKISTAN</t>
  </si>
  <si>
    <t>76 RUNS</t>
  </si>
  <si>
    <t>Saxton Oval, Nelson</t>
  </si>
  <si>
    <t>WEST INDIES</t>
  </si>
  <si>
    <t>IRELAND</t>
  </si>
  <si>
    <t>4 WICKETS</t>
  </si>
  <si>
    <t>University Oval, Dunedin</t>
  </si>
  <si>
    <t>SCOTLAND</t>
  </si>
  <si>
    <t>3 WICKETS</t>
  </si>
  <si>
    <t>Manuka Oval, Canberra</t>
  </si>
  <si>
    <t>BANGLADESH</t>
  </si>
  <si>
    <t>AFGHANISTAN</t>
  </si>
  <si>
    <t>105 RUNS</t>
  </si>
  <si>
    <t>Westpac Stadium, Wellington</t>
  </si>
  <si>
    <t>8 WICKETS</t>
  </si>
  <si>
    <t>150 RUNS</t>
  </si>
  <si>
    <t>Brisbane Cricket Ground, Brisbane</t>
  </si>
  <si>
    <t>ABAN</t>
  </si>
  <si>
    <t>Match 32</t>
  </si>
  <si>
    <t>Sri Lanka - 9 out, 1 retired; counts as 10 wickets for Net Run Rate calculation. This is included in the formula for calculating balls bowled.</t>
  </si>
  <si>
    <t>130 RUNS</t>
  </si>
  <si>
    <t>Match 36</t>
  </si>
  <si>
    <t>119 RUNS</t>
  </si>
  <si>
    <t>UAE - 9 out, 1 hurt; counts as 10 wickets for Net Run Rate calculation. This is included in the formula for calculating balls bowled.</t>
  </si>
  <si>
    <t>73 RUNS</t>
  </si>
  <si>
    <t>D/L METHOD</t>
  </si>
  <si>
    <t>2 WICKETS</t>
  </si>
  <si>
    <t>1 WICKET</t>
  </si>
  <si>
    <t>92 RUNS</t>
  </si>
  <si>
    <t>Sydney Cricket Ground</t>
  </si>
  <si>
    <t>257 RUNS</t>
  </si>
  <si>
    <t>Eden Park, Auckland</t>
  </si>
  <si>
    <t>WACA, Perth</t>
  </si>
  <si>
    <t>9 WICKETS</t>
  </si>
  <si>
    <t>20 RUNS</t>
  </si>
  <si>
    <t>201 RUNS</t>
  </si>
  <si>
    <t>McLean Park, Napier</t>
  </si>
  <si>
    <t>129 RUNS</t>
  </si>
  <si>
    <t>275 RUNS</t>
  </si>
  <si>
    <t>6 WICKETS</t>
  </si>
  <si>
    <t>29 RUNS</t>
  </si>
  <si>
    <t>Bellerie Oval, Hobart</t>
  </si>
  <si>
    <t>5 RUNS</t>
  </si>
  <si>
    <t>64 RUNS</t>
  </si>
  <si>
    <t>15 RUNS</t>
  </si>
  <si>
    <t>148 RUNS</t>
  </si>
  <si>
    <t>146 RUNS</t>
  </si>
  <si>
    <t>7 WICKETS</t>
  </si>
  <si>
    <t>109 RUNS</t>
  </si>
  <si>
    <t>143 RUNS</t>
  </si>
  <si>
    <t>95 RUNS</t>
  </si>
  <si>
    <t>TEAM</t>
  </si>
  <si>
    <t>FLAG</t>
  </si>
  <si>
    <t>TEAM ABR</t>
  </si>
  <si>
    <t>COLORS</t>
  </si>
  <si>
    <t>LOGO</t>
  </si>
  <si>
    <t>GROUP</t>
  </si>
  <si>
    <t>AFG</t>
  </si>
  <si>
    <t>A</t>
  </si>
  <si>
    <t>AUS</t>
  </si>
  <si>
    <t>BAN</t>
  </si>
  <si>
    <t>ENG</t>
  </si>
  <si>
    <t>IND</t>
  </si>
  <si>
    <t>IRE</t>
  </si>
  <si>
    <t>NZ</t>
  </si>
  <si>
    <t>PAK</t>
  </si>
  <si>
    <t>SCO</t>
  </si>
  <si>
    <t>SAF</t>
  </si>
  <si>
    <t>SL</t>
  </si>
  <si>
    <t>WI</t>
  </si>
  <si>
    <t>ZIM</t>
  </si>
  <si>
    <t>🏆 TOURNAMENT STANDINGS</t>
  </si>
  <si>
    <t>Rank</t>
  </si>
  <si>
    <t>P</t>
  </si>
  <si>
    <t>L</t>
  </si>
  <si>
    <t>T</t>
  </si>
  <si>
    <t>NR</t>
  </si>
  <si>
    <t>Pts</t>
  </si>
  <si>
    <t>Runs For</t>
  </si>
  <si>
    <t>Overs For</t>
  </si>
  <si>
    <t>Runs Agst</t>
  </si>
  <si>
    <t>Overs Agst</t>
  </si>
  <si>
    <t>NRR</t>
  </si>
  <si>
    <t>RunsFor</t>
  </si>
  <si>
    <t>OversFor</t>
  </si>
  <si>
    <t>RunsAgst</t>
  </si>
  <si>
    <t>OversAgst</t>
  </si>
  <si>
    <t>RankScore</t>
  </si>
  <si>
    <t>📝 NOTES:</t>
  </si>
  <si>
    <t>⭐ = Qualifying Position (controlled per group below)</t>
  </si>
  <si>
    <t>• Teams are automatically sorted by rank (1=top, 10=bottom)</t>
  </si>
  <si>
    <t>• Gold highlighted rows indicate qualifying positions based on B39:C42 controls</t>
  </si>
  <si>
    <t>• NRR = Net Run Rate (Runs per over scored - Runs per over conceded)</t>
  </si>
  <si>
    <t>📊 Ranking: Points first (higher is better), then NRR (tiebreaker)</t>
  </si>
  <si>
    <t>⚠️ Teams with negative NRR rank below teams with no NRR (haven't played)</t>
  </si>
  <si>
    <t>⚙️ QUALIFICATION SETTINGS BY GROUP</t>
  </si>
  <si>
    <t>Qualifiers</t>
  </si>
  <si>
    <t>Points Table</t>
  </si>
  <si>
    <t>Notes</t>
  </si>
  <si>
    <t>Top-left table</t>
  </si>
  <si>
    <t>Change to highlight Group A qualifiers</t>
  </si>
  <si>
    <t>Bottom-left table</t>
  </si>
  <si>
    <t>Change to highlight Group B qualifiers</t>
  </si>
  <si>
    <t>Top-right table</t>
  </si>
  <si>
    <t>Change to highlight Group C qualifiers</t>
  </si>
  <si>
    <t>Bottom-right table</t>
  </si>
  <si>
    <t>Change to highlight Group D qualifiers</t>
  </si>
  <si>
    <t>Accharu vs Haseeb sha ── [BOUNCY PITCH] (Played: Haseeb Won)</t>
  </si>
  <si>
    <t>🏏 GROUP A PLAYERS</t>
  </si>
  <si>
    <t>​Ritesh vs Kunal ── [NORMAL PITCH] (Played: Ritesh Won)</t>
  </si>
  <si>
    <t>Player Name</t>
  </si>
  <si>
    <t>​Shubham mahajan vs Nouman Khan ── [DRY PITCH]</t>
  </si>
  <si>
    <t>Accharu</t>
  </si>
  <si>
    <t>​Kiran vs Chinu ── [NORMAL PITCH]</t>
  </si>
  <si>
    <t>Chinu</t>
  </si>
  <si>
    <t>​Haseeb sha vs Ritesh ── [BOUNCY PITCH] (Played: Ritesh Won)</t>
  </si>
  <si>
    <t>Haseeb sha</t>
  </si>
  <si>
    <t>​Kunal vs Shubham mahajan ── [DRY PITCH] (Played: Shubham Won)</t>
  </si>
  <si>
    <t>​Nouman Khan vs Kiran ── [NORMAL PITCH]</t>
  </si>
  <si>
    <t>​Chinu vs Accharu ── [BOUNCY PITCH] (Played: Accharu Won)</t>
  </si>
  <si>
    <t>Nouman Khan</t>
  </si>
  <si>
    <t>​Accharu vs Ritesh ── [DRY PITCH] (Played: Ritesh Won)</t>
  </si>
  <si>
    <t>​Haseeb sha vs Kunal ── [NORMAL PITCH]</t>
  </si>
  <si>
    <t>Shubham mahajan</t>
  </si>
  <si>
    <t>​Shubham mahajan vs Kiran ── [BOUNCY PITCH]</t>
  </si>
  <si>
    <t>​Nouman Khan vs Chinu ── [DRY PITCH]</t>
  </si>
  <si>
    <t>​Nouman Khan vs Accharu ── [BOUNCY PITCH]</t>
  </si>
  <si>
    <t>🏏 GROUP B PLAYERS</t>
  </si>
  <si>
    <t>​Ritesh vs Shubham mahajan ── [NORMAL PITCH] (Played: Ritesh Won)</t>
  </si>
  <si>
    <t>​Kunal vs Nouman Khan ── [DRY PITCH]</t>
  </si>
  <si>
    <t>Arsalan</t>
  </si>
  <si>
    <t>​Kiran vs Haseeb sha ── [DRY PITCH]</t>
  </si>
  <si>
    <t>Jay kakadiya</t>
  </si>
  <si>
    <t>​Chinu vs Ritesh ── [NORMAL PITCH]</t>
  </si>
  <si>
    <t>​Accharu vs Kunal ── [NORMAL PITCH]</t>
  </si>
  <si>
    <t>Rahul</t>
  </si>
  <si>
    <t>​Haseeb sha vs Shubham mahajan ── [BOUNCY PITCH]</t>
  </si>
  <si>
    <t>​Ritesh vs Nouman Khan ── [DRY PITCH]</t>
  </si>
  <si>
    <t>Taran</t>
  </si>
  <si>
    <t>​Kunal vs Kiran ── [BOUNCY PITCH]</t>
  </si>
  <si>
    <t>Vimal</t>
  </si>
  <si>
    <t>​Shubham mahajan vs Chinu ── [DRY PITCH] (Played: Chinu Won)</t>
  </si>
  <si>
    <t>Vishal Shahi</t>
  </si>
  <si>
    <t>​Accharu vs Shubham mahajan ── [DRY PITCH] (Played: Accharu Won)</t>
  </si>
  <si>
    <t>​Haseeb sha vs Nouman Khan ── [NORMAL PITCH]</t>
  </si>
  <si>
    <t>​Ritesh vs Kiran ── [BOUNCY PITCH] (Played: Ritesh Won)</t>
  </si>
  <si>
    <t>​Kunal vs Chinu ── [NORMAL PITCH]</t>
  </si>
  <si>
    <t>​Accharu vs Kiran ── [NORMAL PITCH] (Played: Accharu Won)</t>
  </si>
  <si>
    <t>​Haseeb sha vs Chinu ── [DRY PITCH]</t>
  </si>
  <si>
    <t>​📢 GROUP B FIXTURES</t>
  </si>
  <si>
    <t>​━━━━━━━━━━━━━━━━━━━━━━━━━</t>
  </si>
  <si>
    <t>​Arsalan vs Manish ── [DRY PITCH] (Played: Arsalan Won)</t>
  </si>
  <si>
    <t>​Rahul vs Jay kakadiya ── [BOUNCY PITCH]</t>
  </si>
  <si>
    <t>​Senthil vs Vishal Shahi ── [NORMAL PITCH] (Played: Senthil Won)</t>
  </si>
  <si>
    <t>​Taran vs Vimal ── [DRY PITCH] 🔄 (kartik Replaced)</t>
  </si>
  <si>
    <t>​Manish vs Rahul ── [NORMAL PITCH]</t>
  </si>
  <si>
    <t>​Jay kakadiya vs Senthil ── [DRY PITCH]</t>
  </si>
  <si>
    <t>​Vishal Shahi vs Taran ── [BOUNCY PITCH] 🔄 (kartik Replaced)</t>
  </si>
  <si>
    <t>​Vimal vs Arsalan ── [NORMAL PITCH]</t>
  </si>
  <si>
    <t>​Arsalan vs Rahul ── [NORMAL PITCH] (Played: Arsalan Won)</t>
  </si>
  <si>
    <t>​Manish vs Jay kakadiya ── [BOUNCY PITCH] (Played: Manish Won)</t>
  </si>
  <si>
    <t>​Senthil vs Taran ── [DRY PITCH] 🔄 (kartik Replaced)</t>
  </si>
  <si>
    <t>​Vishal Shahi vs Vimal ── [BOUNCY PITCH]</t>
  </si>
  <si>
    <t>​Vishal Shahi vs Arsalan ── [DRY PITCH] (Played: Arsalan Won)</t>
  </si>
  <si>
    <t>​Rahul vs Senthil ── [BOUNCY PITCH]</t>
  </si>
  <si>
    <t>​Jay kakadiya vs Vishal Shahi ── [NORMAL PITCH] (Played: Vishal Won)</t>
  </si>
  <si>
    <t>​Taran vs Manish ── [NORMAL PITCH] 🔄 (kartik Replaced)</t>
  </si>
  <si>
    <t>​Vimal vs Rahul ── [DRY PITCH]</t>
  </si>
  <si>
    <t>​Arsalan vs Jay kakadiya ── [BOUNCY PITCH]</t>
  </si>
  <si>
    <t>​Manish vs Senthil ── [DRY PITCH] (Played: Senthil Won)</t>
  </si>
  <si>
    <t>​Rahul vs Vishal Shahi ── [DRY PITCH]</t>
  </si>
  <si>
    <t>​Jay kakadiya vs Taran ── [NORMAL PITCH] 🔄 (kartik Replaced)</t>
  </si>
  <si>
    <t>​Senthil vs Vimal ── [NORMAL PITCH] (Played: Vimal Won)</t>
  </si>
  <si>
    <t>​Arsalan vs Senthil ── [NORMAL PITCH]</t>
  </si>
  <si>
    <t>​Manish vs Vishal Shahi ── [BOUNCY PITCH]</t>
  </si>
  <si>
    <t>​Rahul vs Taran ── [DRY PITCH] 🔄 (kartik Replaced)</t>
  </si>
  <si>
    <t>​Jay kakadiya vs Vimal ── [BOUNCY PITCH] (Played: Jay Won)</t>
  </si>
  <si>
    <t>​Arsalan vs Taran ── [BOUNCY PITCH] 🔄 (kartik Replaced)</t>
  </si>
  <si>
    <t>​Manish vs Vimal ── [DRY PITCH] (Played: Manish Won)</t>
  </si>
  <si>
    <t>Date</t>
  </si>
  <si>
    <t>TeamA</t>
  </si>
  <si>
    <t>RunsA</t>
  </si>
  <si>
    <t>WicketsA</t>
  </si>
  <si>
    <t>OversA</t>
  </si>
  <si>
    <t>TeamB</t>
  </si>
  <si>
    <t>RunsB</t>
  </si>
  <si>
    <t>WicketsB</t>
  </si>
  <si>
    <t>OversB</t>
  </si>
  <si>
    <t>Status</t>
  </si>
  <si>
    <t>Elite Points Table</t>
  </si>
  <si>
    <t>Played</t>
  </si>
  <si>
    <t>Wins</t>
  </si>
  <si>
    <t>Losses</t>
  </si>
  <si>
    <t>Ties</t>
  </si>
  <si>
    <t>Points</t>
  </si>
  <si>
    <t>ActualOversFor</t>
  </si>
  <si>
    <t>RunsAgainst</t>
  </si>
  <si>
    <t>ActualOversAgainst</t>
  </si>
  <si>
    <t>Scored</t>
  </si>
  <si>
    <t>Conceded</t>
  </si>
  <si>
    <t>Super Points Table</t>
  </si>
  <si>
    <t>0 / 0.0</t>
  </si>
  <si>
    <t>Golden Points Table</t>
  </si>
  <si>
    <t>Challenger Points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</si>
</sst>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\+0.000;\-0.000;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20"/>
      <color rgb="FF1F4E7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rgb="FF806000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i/>
      <sz val="11"/>
      <color rgb="FF666666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1F1F1F"/>
      <name val="Calibri"/>
      <family val="2"/>
      <scheme val="minor"/>
    </font>
    <font>
      <sz val="10"/>
      <color rgb="FF1F1F1F"/>
      <name val="Calibri"/>
      <family val="2"/>
      <scheme val="minor"/>
    </font>
    <font>
      <b/>
      <sz val="20"/>
      <color rgb="FF00000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96CC5"/>
        <bgColor indexed="64"/>
      </patternFill>
    </fill>
    <fill>
      <patternFill patternType="solid">
        <fgColor rgb="FFFCD049"/>
        <bgColor indexed="64"/>
      </patternFill>
    </fill>
    <fill>
      <patternFill patternType="solid">
        <fgColor rgb="FF12B051"/>
        <bgColor indexed="64"/>
      </patternFill>
    </fill>
    <fill>
      <patternFill patternType="solid">
        <fgColor rgb="FF06050B"/>
        <bgColor indexed="64"/>
      </patternFill>
    </fill>
    <fill>
      <patternFill patternType="solid">
        <fgColor rgb="FF121B56"/>
        <bgColor indexed="64"/>
      </patternFill>
    </fill>
    <fill>
      <patternFill patternType="solid">
        <fgColor rgb="FF118159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248327"/>
        <bgColor indexed="64"/>
      </patternFill>
    </fill>
    <fill>
      <patternFill patternType="solid">
        <fgColor rgb="FF007C2F"/>
        <bgColor indexed="64"/>
      </patternFill>
    </fill>
    <fill>
      <patternFill patternType="solid">
        <fgColor rgb="FF1E3048"/>
        <bgColor indexed="64"/>
      </patternFill>
    </fill>
    <fill>
      <patternFill patternType="solid">
        <fgColor rgb="FF2B2F6E"/>
        <bgColor indexed="64"/>
      </patternFill>
    </fill>
    <fill>
      <patternFill patternType="solid">
        <fgColor rgb="FF5E0605"/>
        <bgColor indexed="64"/>
      </patternFill>
    </fill>
    <fill>
      <patternFill patternType="solid">
        <fgColor rgb="FFE6D7D2"/>
        <bgColor indexed="64"/>
      </patternFill>
    </fill>
    <fill>
      <patternFill patternType="solid">
        <fgColor rgb="FFFF3A20"/>
        <bgColor indexed="64"/>
      </patternFill>
    </fill>
    <fill>
      <patternFill patternType="solid">
        <fgColor rgb="FFF2F2F2"/>
      </patternFill>
    </fill>
    <fill>
      <patternFill patternType="solid">
        <fgColor rgb="FFD6DCE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9EDF3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3F8"/>
        <bgColor indexed="64"/>
      </patternFill>
    </fill>
    <fill>
      <patternFill patternType="solid">
        <fgColor rgb="FFEBF1FA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F0F7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9A57CD"/>
        <bgColor indexed="64"/>
      </patternFill>
    </fill>
    <fill>
      <patternFill patternType="solid">
        <fgColor rgb="FF1E6B5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5EFDF"/>
        <bgColor indexed="64"/>
      </patternFill>
    </fill>
    <fill>
      <patternFill patternType="solid">
        <fgColor rgb="FFE9F7EF"/>
        <bgColor indexed="64"/>
      </patternFill>
    </fill>
    <fill>
      <patternFill patternType="solid">
        <fgColor rgb="FFFDF2EC"/>
        <bgColor indexed="64"/>
      </patternFill>
    </fill>
    <fill>
      <patternFill patternType="solid">
        <fgColor rgb="FF5B2C6F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F4EBF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F2F2F2"/>
        <bgColor indexed="64"/>
      </patternFill>
    </fill>
  </fills>
  <borders count="1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1F4E79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medium">
        <color rgb="FF1F4E79"/>
      </right>
      <top style="thin">
        <color rgb="FF9DC3E6"/>
      </top>
      <bottom style="thin">
        <color rgb="FF9DC3E6"/>
      </bottom>
      <diagonal/>
    </border>
    <border>
      <left style="medium">
        <color rgb="FF1F4E79"/>
      </left>
      <right style="thin">
        <color rgb="FF9DC3E6"/>
      </right>
      <top style="thin">
        <color rgb="FF9DC3E6"/>
      </top>
      <bottom style="medium">
        <color rgb="FF1F4E79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medium">
        <color rgb="FF1F4E79"/>
      </bottom>
      <diagonal/>
    </border>
    <border>
      <left style="thin">
        <color rgb="FF9DC3E6"/>
      </left>
      <right style="medium">
        <color rgb="FF1F4E79"/>
      </right>
      <top style="thin">
        <color rgb="FF9DC3E6"/>
      </top>
      <bottom style="medium">
        <color rgb="FF1F4E79"/>
      </bottom>
      <diagonal/>
    </border>
    <border>
      <left style="medium">
        <color rgb="FF385723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A9D18E"/>
      </left>
      <right style="medium">
        <color rgb="FF385723"/>
      </right>
      <top style="thin">
        <color rgb="FFA9D18E"/>
      </top>
      <bottom style="thin">
        <color rgb="FFA9D18E"/>
      </bottom>
      <diagonal/>
    </border>
    <border>
      <left style="medium">
        <color rgb="FF385723"/>
      </left>
      <right style="thin">
        <color rgb="FFA9D18E"/>
      </right>
      <top style="thin">
        <color rgb="FFA9D18E"/>
      </top>
      <bottom style="medium">
        <color rgb="FF385723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medium">
        <color rgb="FF385723"/>
      </bottom>
      <diagonal/>
    </border>
    <border>
      <left style="thin">
        <color rgb="FFA9D18E"/>
      </left>
      <right style="medium">
        <color rgb="FF385723"/>
      </right>
      <top style="thin">
        <color rgb="FFA9D18E"/>
      </top>
      <bottom style="medium">
        <color rgb="FF385723"/>
      </bottom>
      <diagonal/>
    </border>
    <border>
      <left style="medium">
        <color rgb="FF1F4E79"/>
      </left>
      <right style="thin">
        <color rgb="FF9DC3E6"/>
      </right>
      <top style="medium">
        <color rgb="FF1F4E79"/>
      </top>
      <bottom/>
      <diagonal/>
    </border>
    <border>
      <left style="medium">
        <color rgb="FF1F4E79"/>
      </left>
      <right style="thin">
        <color rgb="FF9DC3E6"/>
      </right>
      <top/>
      <bottom style="thin">
        <color rgb="FF9DC3E6"/>
      </bottom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  <border>
      <left style="thin">
        <color rgb="FF9DC3E6"/>
      </left>
      <right style="medium">
        <color rgb="FF1F4E79"/>
      </right>
      <top/>
      <bottom style="thin">
        <color rgb="FF9DC3E6"/>
      </bottom>
      <diagonal/>
    </border>
    <border>
      <left style="medium">
        <color rgb="FF385723"/>
      </left>
      <right style="thin">
        <color rgb="FFA9D18E"/>
      </right>
      <top style="medium">
        <color rgb="FF385723"/>
      </top>
      <bottom/>
      <diagonal/>
    </border>
    <border>
      <left style="medium">
        <color rgb="FF385723"/>
      </left>
      <right style="thin">
        <color rgb="FFA9D18E"/>
      </right>
      <top/>
      <bottom style="thin">
        <color rgb="FFA9D18E"/>
      </bottom>
      <diagonal/>
    </border>
    <border>
      <left style="thin">
        <color rgb="FFA9D18E"/>
      </left>
      <right style="thin">
        <color rgb="FFA9D18E"/>
      </right>
      <top/>
      <bottom style="thin">
        <color rgb="FFA9D18E"/>
      </bottom>
      <diagonal/>
    </border>
    <border>
      <left style="thin">
        <color rgb="FFA9D18E"/>
      </left>
      <right style="medium">
        <color rgb="FF385723"/>
      </right>
      <top/>
      <bottom style="thin">
        <color rgb="FFA9D18E"/>
      </bottom>
      <diagonal/>
    </border>
    <border>
      <left style="medium">
        <color rgb="FFC65911"/>
      </left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thin">
        <color rgb="FFF4B183"/>
      </left>
      <right style="medium">
        <color rgb="FFC65911"/>
      </right>
      <top style="thin">
        <color rgb="FFF4B183"/>
      </top>
      <bottom style="thin">
        <color rgb="FFF4B183"/>
      </bottom>
      <diagonal/>
    </border>
    <border>
      <left style="medium">
        <color rgb="FFC65911"/>
      </left>
      <right style="thin">
        <color rgb="FFF4B183"/>
      </right>
      <top style="thin">
        <color rgb="FFF4B183"/>
      </top>
      <bottom style="medium">
        <color rgb="FFC65911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medium">
        <color rgb="FFC65911"/>
      </bottom>
      <diagonal/>
    </border>
    <border>
      <left style="thin">
        <color rgb="FFF4B183"/>
      </left>
      <right style="medium">
        <color rgb="FFC65911"/>
      </right>
      <top style="thin">
        <color rgb="FFF4B183"/>
      </top>
      <bottom style="medium">
        <color rgb="FFC65911"/>
      </bottom>
      <diagonal/>
    </border>
    <border>
      <left style="medium">
        <color rgb="FF7030A0"/>
      </left>
      <right style="thin">
        <color rgb="FFC9A3E0"/>
      </right>
      <top style="thin">
        <color rgb="FFC9A3E0"/>
      </top>
      <bottom style="thin">
        <color rgb="FFC9A3E0"/>
      </bottom>
      <diagonal/>
    </border>
    <border>
      <left style="thin">
        <color rgb="FFC9A3E0"/>
      </left>
      <right style="thin">
        <color rgb="FFC9A3E0"/>
      </right>
      <top style="thin">
        <color rgb="FFC9A3E0"/>
      </top>
      <bottom style="thin">
        <color rgb="FFC9A3E0"/>
      </bottom>
      <diagonal/>
    </border>
    <border>
      <left style="thin">
        <color rgb="FFC9A3E0"/>
      </left>
      <right style="medium">
        <color rgb="FF7030A0"/>
      </right>
      <top style="thin">
        <color rgb="FFC9A3E0"/>
      </top>
      <bottom style="thin">
        <color rgb="FFC9A3E0"/>
      </bottom>
      <diagonal/>
    </border>
    <border>
      <left style="medium">
        <color rgb="FF7030A0"/>
      </left>
      <right style="thin">
        <color rgb="FFC9A3E0"/>
      </right>
      <top style="thin">
        <color rgb="FFC9A3E0"/>
      </top>
      <bottom style="medium">
        <color rgb="FF7030A0"/>
      </bottom>
      <diagonal/>
    </border>
    <border>
      <left style="thin">
        <color rgb="FFC9A3E0"/>
      </left>
      <right style="thin">
        <color rgb="FFC9A3E0"/>
      </right>
      <top style="thin">
        <color rgb="FFC9A3E0"/>
      </top>
      <bottom style="medium">
        <color rgb="FF7030A0"/>
      </bottom>
      <diagonal/>
    </border>
    <border>
      <left style="thin">
        <color rgb="FFC9A3E0"/>
      </left>
      <right style="medium">
        <color rgb="FF7030A0"/>
      </right>
      <top style="thin">
        <color rgb="FFC9A3E0"/>
      </top>
      <bottom style="medium">
        <color rgb="FF7030A0"/>
      </bottom>
      <diagonal/>
    </border>
    <border>
      <left style="medium">
        <color rgb="FFC65911"/>
      </left>
      <right style="thin">
        <color rgb="FFF4B183"/>
      </right>
      <top style="medium">
        <color rgb="FFC65911"/>
      </top>
      <bottom/>
      <diagonal/>
    </border>
    <border>
      <left style="medium">
        <color rgb="FFC65911"/>
      </left>
      <right style="thin">
        <color rgb="FFF4B183"/>
      </right>
      <top/>
      <bottom style="thin">
        <color rgb="FFF4B183"/>
      </bottom>
      <diagonal/>
    </border>
    <border>
      <left style="thin">
        <color rgb="FFF4B183"/>
      </left>
      <right style="thin">
        <color rgb="FFF4B183"/>
      </right>
      <top/>
      <bottom style="thin">
        <color rgb="FFF4B183"/>
      </bottom>
      <diagonal/>
    </border>
    <border>
      <left style="thin">
        <color rgb="FFF4B183"/>
      </left>
      <right style="medium">
        <color rgb="FFC65911"/>
      </right>
      <top/>
      <bottom style="thin">
        <color rgb="FFF4B183"/>
      </bottom>
      <diagonal/>
    </border>
    <border>
      <left style="medium">
        <color rgb="FF7030A0"/>
      </left>
      <right style="thin">
        <color rgb="FFC9A3E0"/>
      </right>
      <top style="medium">
        <color rgb="FF7030A0"/>
      </top>
      <bottom/>
      <diagonal/>
    </border>
    <border>
      <left style="medium">
        <color rgb="FF7030A0"/>
      </left>
      <right style="thin">
        <color rgb="FFC9A3E0"/>
      </right>
      <top/>
      <bottom style="thin">
        <color rgb="FFC9A3E0"/>
      </bottom>
      <diagonal/>
    </border>
    <border>
      <left style="thin">
        <color rgb="FFC9A3E0"/>
      </left>
      <right style="thin">
        <color rgb="FFC9A3E0"/>
      </right>
      <top/>
      <bottom style="thin">
        <color rgb="FFC9A3E0"/>
      </bottom>
      <diagonal/>
    </border>
    <border>
      <left style="thin">
        <color rgb="FFC9A3E0"/>
      </left>
      <right style="medium">
        <color rgb="FF7030A0"/>
      </right>
      <top/>
      <bottom style="thin">
        <color rgb="FFC9A3E0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 style="thin">
        <color rgb="FF9BC2E6"/>
      </right>
      <top style="medium">
        <color auto="1"/>
      </top>
      <bottom style="thin">
        <color rgb="FF9BC2E6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9BC2E6"/>
      </right>
      <top style="medium">
        <color auto="1"/>
      </top>
      <bottom style="thin">
        <color rgb="FF9BC2E6"/>
      </bottom>
      <diagonal/>
    </border>
    <border>
      <left style="medium">
        <color auto="1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medium">
        <color auto="1"/>
      </left>
      <right style="thin">
        <color rgb="FF9BC2E6"/>
      </right>
      <top style="thin">
        <color rgb="FF9BC2E6"/>
      </top>
      <bottom style="medium">
        <color auto="1"/>
      </bottom>
      <diagonal/>
    </border>
    <border>
      <left style="thin">
        <color rgb="FF9BC2E6"/>
      </left>
      <right style="medium">
        <color auto="1"/>
      </right>
      <top style="medium">
        <color auto="1"/>
      </top>
      <bottom style="thin">
        <color rgb="FF9BC2E6"/>
      </bottom>
      <diagonal/>
    </border>
    <border>
      <left style="thin">
        <color rgb="FF9BC2E6"/>
      </left>
      <right style="medium">
        <color auto="1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 style="medium">
        <color auto="1"/>
      </right>
      <top style="thin">
        <color rgb="FF9BC2E6"/>
      </top>
      <bottom style="medium">
        <color auto="1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medium">
        <color auto="1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medium">
        <color auto="1"/>
      </bottom>
      <diagonal/>
    </border>
    <border>
      <left style="medium">
        <color auto="1"/>
      </left>
      <right style="thin">
        <color rgb="FF92D050"/>
      </right>
      <top style="medium">
        <color auto="1"/>
      </top>
      <bottom style="thin">
        <color rgb="FF92D050"/>
      </bottom>
      <diagonal/>
    </border>
    <border>
      <left style="medium">
        <color auto="1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medium">
        <color auto="1"/>
      </left>
      <right style="thin">
        <color rgb="FF92D050"/>
      </right>
      <top style="thin">
        <color rgb="FF92D050"/>
      </top>
      <bottom style="medium">
        <color auto="1"/>
      </bottom>
      <diagonal/>
    </border>
    <border>
      <left style="thin">
        <color rgb="FF92D050"/>
      </left>
      <right style="medium">
        <color auto="1"/>
      </right>
      <top style="medium">
        <color auto="1"/>
      </top>
      <bottom style="thin">
        <color rgb="FF92D050"/>
      </bottom>
      <diagonal/>
    </border>
    <border>
      <left style="thin">
        <color rgb="FF92D050"/>
      </left>
      <right style="medium">
        <color auto="1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medium">
        <color auto="1"/>
      </right>
      <top style="thin">
        <color rgb="FF92D050"/>
      </top>
      <bottom style="medium">
        <color auto="1"/>
      </bottom>
      <diagonal/>
    </border>
    <border>
      <left style="thin">
        <color rgb="FFF4B183"/>
      </left>
      <right style="thin">
        <color rgb="FFF4B183"/>
      </right>
      <top style="medium">
        <color auto="1"/>
      </top>
      <bottom style="thin">
        <color rgb="FFF4B183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medium">
        <color auto="1"/>
      </bottom>
      <diagonal/>
    </border>
    <border>
      <left style="medium">
        <color auto="1"/>
      </left>
      <right style="thin">
        <color rgb="FFF4B183"/>
      </right>
      <top style="medium">
        <color auto="1"/>
      </top>
      <bottom style="thin">
        <color rgb="FFF4B183"/>
      </bottom>
      <diagonal/>
    </border>
    <border>
      <left style="medium">
        <color auto="1"/>
      </left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medium">
        <color auto="1"/>
      </left>
      <right style="thin">
        <color rgb="FFF4B183"/>
      </right>
      <top style="thin">
        <color rgb="FFF4B183"/>
      </top>
      <bottom style="medium">
        <color auto="1"/>
      </bottom>
      <diagonal/>
    </border>
    <border>
      <left style="thin">
        <color rgb="FFF4B183"/>
      </left>
      <right style="medium">
        <color auto="1"/>
      </right>
      <top style="medium">
        <color auto="1"/>
      </top>
      <bottom style="thin">
        <color rgb="FFF4B183"/>
      </bottom>
      <diagonal/>
    </border>
    <border>
      <left style="thin">
        <color rgb="FFF4B183"/>
      </left>
      <right style="medium">
        <color auto="1"/>
      </right>
      <top style="thin">
        <color rgb="FFF4B183"/>
      </top>
      <bottom style="thin">
        <color rgb="FFF4B183"/>
      </bottom>
      <diagonal/>
    </border>
    <border>
      <left style="thin">
        <color rgb="FFF4B183"/>
      </left>
      <right style="medium">
        <color auto="1"/>
      </right>
      <top style="thin">
        <color rgb="FFF4B183"/>
      </top>
      <bottom style="medium">
        <color auto="1"/>
      </bottom>
      <diagonal/>
    </border>
    <border>
      <left style="thin">
        <color rgb="FFC39BD3"/>
      </left>
      <right style="thin">
        <color rgb="FFC39BD3"/>
      </right>
      <top style="thin">
        <color rgb="FFC39BD3"/>
      </top>
      <bottom style="thin">
        <color rgb="FFC39BD3"/>
      </bottom>
      <diagonal/>
    </border>
    <border>
      <left style="thin">
        <color rgb="FFC39BD3"/>
      </left>
      <right style="thin">
        <color rgb="FFC39BD3"/>
      </right>
      <top style="medium">
        <color auto="1"/>
      </top>
      <bottom style="thin">
        <color rgb="FFC39BD3"/>
      </bottom>
      <diagonal/>
    </border>
    <border>
      <left style="thin">
        <color rgb="FFC39BD3"/>
      </left>
      <right style="thin">
        <color rgb="FFC39BD3"/>
      </right>
      <top style="thin">
        <color rgb="FFC39BD3"/>
      </top>
      <bottom style="medium">
        <color auto="1"/>
      </bottom>
      <diagonal/>
    </border>
    <border>
      <left style="medium">
        <color auto="1"/>
      </left>
      <right style="thin">
        <color rgb="FFC39BD3"/>
      </right>
      <top style="medium">
        <color auto="1"/>
      </top>
      <bottom style="thin">
        <color rgb="FFC39BD3"/>
      </bottom>
      <diagonal/>
    </border>
    <border>
      <left style="medium">
        <color auto="1"/>
      </left>
      <right style="thin">
        <color rgb="FFC39BD3"/>
      </right>
      <top style="thin">
        <color rgb="FFC39BD3"/>
      </top>
      <bottom style="thin">
        <color rgb="FFC39BD3"/>
      </bottom>
      <diagonal/>
    </border>
    <border>
      <left style="medium">
        <color auto="1"/>
      </left>
      <right style="thin">
        <color rgb="FFC39BD3"/>
      </right>
      <top style="thin">
        <color rgb="FFC39BD3"/>
      </top>
      <bottom style="medium">
        <color auto="1"/>
      </bottom>
      <diagonal/>
    </border>
    <border>
      <left style="thin">
        <color rgb="FFC39BD3"/>
      </left>
      <right style="medium">
        <color auto="1"/>
      </right>
      <top style="medium">
        <color auto="1"/>
      </top>
      <bottom style="thin">
        <color rgb="FFC39BD3"/>
      </bottom>
      <diagonal/>
    </border>
    <border>
      <left style="thin">
        <color rgb="FFC39BD3"/>
      </left>
      <right style="medium">
        <color auto="1"/>
      </right>
      <top style="thin">
        <color rgb="FFC39BD3"/>
      </top>
      <bottom style="thin">
        <color rgb="FFC39BD3"/>
      </bottom>
      <diagonal/>
    </border>
    <border>
      <left style="thin">
        <color rgb="FFC39BD3"/>
      </left>
      <right style="medium">
        <color auto="1"/>
      </right>
      <top style="thin">
        <color rgb="FFC39BD3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3F3F3F"/>
      </right>
      <top style="thin">
        <color indexed="64"/>
      </top>
      <bottom style="thin">
        <color indexed="64"/>
      </bottom>
      <diagonal/>
    </border>
    <border>
      <left style="medium">
        <color rgb="FF1F4E79"/>
      </left>
      <right style="thin">
        <color auto="1"/>
      </right>
      <top style="medium">
        <color rgb="FF1F4E79"/>
      </top>
      <bottom style="medium">
        <color rgb="FF1F4E79"/>
      </bottom>
      <diagonal/>
    </border>
    <border>
      <left style="thin">
        <color auto="1"/>
      </left>
      <right style="thin">
        <color auto="1"/>
      </right>
      <top style="medium">
        <color rgb="FF1F4E79"/>
      </top>
      <bottom style="medium">
        <color rgb="FF1F4E79"/>
      </bottom>
      <diagonal/>
    </border>
    <border>
      <left style="thin">
        <color auto="1"/>
      </left>
      <right style="thin">
        <color auto="1"/>
      </right>
      <top style="medium">
        <color rgb="FF1F4E79"/>
      </top>
      <bottom style="thin">
        <color auto="1"/>
      </bottom>
      <diagonal/>
    </border>
    <border>
      <left style="medium">
        <color rgb="FF1F4E79"/>
      </left>
      <right style="thin">
        <color auto="1"/>
      </right>
      <top style="medium">
        <color rgb="FF1F4E79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1F4E79"/>
      </top>
      <bottom/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thin">
        <color auto="1"/>
      </right>
      <top style="medium">
        <color rgb="FF1F4E79"/>
      </top>
      <bottom style="medium">
        <color rgb="FF1F4E79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rgb="FF9DC3E6"/>
      </right>
      <top style="medium">
        <color rgb="FF1F4E79"/>
      </top>
      <bottom/>
      <diagonal/>
    </border>
    <border>
      <left/>
      <right/>
      <top style="medium">
        <color rgb="FFC65911"/>
      </top>
      <bottom/>
      <diagonal/>
    </border>
    <border>
      <left/>
      <right style="thin">
        <color rgb="FFF4B183"/>
      </right>
      <top style="medium">
        <color rgb="FFC65911"/>
      </top>
      <bottom/>
      <diagonal/>
    </border>
    <border>
      <left/>
      <right/>
      <top style="medium">
        <color rgb="FF7030A0"/>
      </top>
      <bottom/>
      <diagonal/>
    </border>
    <border>
      <left/>
      <right style="thin">
        <color rgb="FFC9A3E0"/>
      </right>
      <top style="medium">
        <color rgb="FF7030A0"/>
      </top>
      <bottom/>
      <diagonal/>
    </border>
    <border>
      <left/>
      <right/>
      <top style="medium">
        <color rgb="FF385723"/>
      </top>
      <bottom/>
      <diagonal/>
    </border>
    <border>
      <left/>
      <right style="thin">
        <color rgb="FFA9D18E"/>
      </right>
      <top style="medium">
        <color rgb="FF385723"/>
      </top>
      <bottom/>
      <diagonal/>
    </border>
  </borders>
  <cellStyleXfs count="2">
    <xf numFmtId="0" fontId="0" fillId="0" borderId="0"/>
    <xf numFmtId="0" fontId="2" fillId="17" borderId="16"/>
  </cellStyleXfs>
  <cellXfs count="327">
    <xf numFmtId="0" fontId="0" fillId="0" borderId="0" xfId="0"/>
    <xf numFmtId="49" fontId="0" fillId="0" borderId="0" xfId="0" applyNumberFormat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0" xfId="0" applyFont="1" applyFill="1"/>
    <xf numFmtId="0" fontId="0" fillId="2" borderId="0" xfId="0" applyFill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0" xfId="0" applyNumberFormat="1"/>
    <xf numFmtId="0" fontId="0" fillId="0" borderId="1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0" borderId="5" xfId="0" applyBorder="1" applyAlignment="1">
      <alignment horizontal="center"/>
    </xf>
    <xf numFmtId="0" fontId="1" fillId="0" borderId="0" xfId="0" applyFont="1"/>
    <xf numFmtId="0" fontId="0" fillId="21" borderId="1" xfId="0" applyFill="1" applyBorder="1" applyAlignment="1">
      <alignment horizontal="center"/>
    </xf>
    <xf numFmtId="0" fontId="0" fillId="0" borderId="4" xfId="0" applyBorder="1"/>
    <xf numFmtId="0" fontId="1" fillId="2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0" borderId="1" xfId="0" applyFill="1" applyBorder="1"/>
    <xf numFmtId="0" fontId="0" fillId="20" borderId="1" xfId="0" applyFill="1" applyBorder="1" applyAlignment="1">
      <alignment horizontal="center"/>
    </xf>
    <xf numFmtId="0" fontId="0" fillId="20" borderId="15" xfId="0" applyFill="1" applyBorder="1"/>
    <xf numFmtId="0" fontId="1" fillId="29" borderId="0" xfId="0" applyFont="1" applyFill="1"/>
    <xf numFmtId="0" fontId="0" fillId="36" borderId="0" xfId="0" applyFill="1"/>
    <xf numFmtId="0" fontId="9" fillId="36" borderId="0" xfId="0" applyFont="1" applyFill="1"/>
    <xf numFmtId="0" fontId="10" fillId="36" borderId="0" xfId="0" applyFont="1" applyFill="1"/>
    <xf numFmtId="0" fontId="11" fillId="36" borderId="0" xfId="0" applyFont="1" applyFill="1"/>
    <xf numFmtId="0" fontId="6" fillId="36" borderId="0" xfId="0" applyFont="1" applyFill="1"/>
    <xf numFmtId="0" fontId="7" fillId="31" borderId="20" xfId="0" applyFont="1" applyFill="1" applyBorder="1" applyAlignment="1">
      <alignment horizontal="center"/>
    </xf>
    <xf numFmtId="0" fontId="7" fillId="31" borderId="21" xfId="0" applyFont="1" applyFill="1" applyBorder="1" applyAlignment="1">
      <alignment horizontal="center"/>
    </xf>
    <xf numFmtId="0" fontId="7" fillId="31" borderId="22" xfId="0" applyFont="1" applyFill="1" applyBorder="1" applyAlignment="1">
      <alignment horizontal="center"/>
    </xf>
    <xf numFmtId="0" fontId="7" fillId="22" borderId="26" xfId="0" applyFont="1" applyFill="1" applyBorder="1" applyAlignment="1">
      <alignment horizontal="center"/>
    </xf>
    <xf numFmtId="0" fontId="7" fillId="22" borderId="27" xfId="0" applyFont="1" applyFill="1" applyBorder="1" applyAlignment="1">
      <alignment horizontal="center"/>
    </xf>
    <xf numFmtId="0" fontId="7" fillId="22" borderId="28" xfId="0" applyFont="1" applyFill="1" applyBorder="1" applyAlignment="1">
      <alignment horizontal="center"/>
    </xf>
    <xf numFmtId="0" fontId="12" fillId="37" borderId="21" xfId="0" applyFont="1" applyFill="1" applyBorder="1" applyAlignment="1">
      <alignment horizontal="center"/>
    </xf>
    <xf numFmtId="0" fontId="12" fillId="37" borderId="27" xfId="0" applyFont="1" applyFill="1" applyBorder="1" applyAlignment="1">
      <alignment horizontal="center"/>
    </xf>
    <xf numFmtId="0" fontId="0" fillId="28" borderId="38" xfId="0" applyFill="1" applyBorder="1" applyAlignment="1">
      <alignment horizontal="center"/>
    </xf>
    <xf numFmtId="0" fontId="7" fillId="38" borderId="40" xfId="0" applyFont="1" applyFill="1" applyBorder="1" applyAlignment="1">
      <alignment horizontal="center"/>
    </xf>
    <xf numFmtId="0" fontId="7" fillId="38" borderId="41" xfId="0" applyFont="1" applyFill="1" applyBorder="1" applyAlignment="1">
      <alignment horizontal="center"/>
    </xf>
    <xf numFmtId="0" fontId="7" fillId="38" borderId="42" xfId="0" applyFont="1" applyFill="1" applyBorder="1" applyAlignment="1">
      <alignment horizontal="center"/>
    </xf>
    <xf numFmtId="0" fontId="7" fillId="39" borderId="46" xfId="0" applyFont="1" applyFill="1" applyBorder="1" applyAlignment="1">
      <alignment horizontal="center"/>
    </xf>
    <xf numFmtId="0" fontId="7" fillId="39" borderId="47" xfId="0" applyFont="1" applyFill="1" applyBorder="1" applyAlignment="1">
      <alignment horizontal="center"/>
    </xf>
    <xf numFmtId="0" fontId="7" fillId="39" borderId="48" xfId="0" applyFont="1" applyFill="1" applyBorder="1" applyAlignment="1">
      <alignment horizontal="center"/>
    </xf>
    <xf numFmtId="0" fontId="12" fillId="37" borderId="41" xfId="0" applyFont="1" applyFill="1" applyBorder="1" applyAlignment="1">
      <alignment horizontal="center"/>
    </xf>
    <xf numFmtId="0" fontId="12" fillId="37" borderId="47" xfId="0" applyFont="1" applyFill="1" applyBorder="1" applyAlignment="1">
      <alignment horizontal="center"/>
    </xf>
    <xf numFmtId="0" fontId="7" fillId="31" borderId="58" xfId="0" applyFont="1" applyFill="1" applyBorder="1" applyAlignment="1">
      <alignment horizontal="center"/>
    </xf>
    <xf numFmtId="0" fontId="7" fillId="31" borderId="62" xfId="0" applyFont="1" applyFill="1" applyBorder="1" applyAlignment="1">
      <alignment horizontal="center"/>
    </xf>
    <xf numFmtId="0" fontId="7" fillId="31" borderId="65" xfId="0" applyFont="1" applyFill="1" applyBorder="1" applyAlignment="1">
      <alignment horizontal="center"/>
    </xf>
    <xf numFmtId="0" fontId="7" fillId="41" borderId="69" xfId="0" applyFont="1" applyFill="1" applyBorder="1" applyAlignment="1">
      <alignment horizontal="center"/>
    </xf>
    <xf numFmtId="0" fontId="7" fillId="41" borderId="71" xfId="0" applyFont="1" applyFill="1" applyBorder="1" applyAlignment="1">
      <alignment horizontal="center"/>
    </xf>
    <xf numFmtId="0" fontId="7" fillId="41" borderId="74" xfId="0" applyFont="1" applyFill="1" applyBorder="1" applyAlignment="1">
      <alignment horizontal="center"/>
    </xf>
    <xf numFmtId="0" fontId="7" fillId="38" borderId="77" xfId="0" applyFont="1" applyFill="1" applyBorder="1" applyAlignment="1">
      <alignment horizontal="center"/>
    </xf>
    <xf numFmtId="0" fontId="7" fillId="38" borderId="79" xfId="0" applyFont="1" applyFill="1" applyBorder="1" applyAlignment="1">
      <alignment horizontal="center"/>
    </xf>
    <xf numFmtId="0" fontId="7" fillId="38" borderId="82" xfId="0" applyFont="1" applyFill="1" applyBorder="1" applyAlignment="1">
      <alignment horizontal="center"/>
    </xf>
    <xf numFmtId="0" fontId="7" fillId="27" borderId="86" xfId="0" applyFont="1" applyFill="1" applyBorder="1" applyAlignment="1">
      <alignment horizontal="center"/>
    </xf>
    <xf numFmtId="0" fontId="7" fillId="27" borderId="88" xfId="0" applyFont="1" applyFill="1" applyBorder="1" applyAlignment="1">
      <alignment horizontal="center"/>
    </xf>
    <xf numFmtId="0" fontId="7" fillId="27" borderId="91" xfId="0" applyFont="1" applyFill="1" applyBorder="1" applyAlignment="1">
      <alignment horizontal="center"/>
    </xf>
    <xf numFmtId="0" fontId="0" fillId="32" borderId="57" xfId="0" applyFill="1" applyBorder="1" applyAlignment="1">
      <alignment horizontal="center"/>
    </xf>
    <xf numFmtId="164" fontId="0" fillId="32" borderId="57" xfId="0" applyNumberFormat="1" applyFill="1" applyBorder="1" applyAlignment="1">
      <alignment horizontal="center"/>
    </xf>
    <xf numFmtId="165" fontId="0" fillId="32" borderId="57" xfId="0" applyNumberFormat="1" applyFill="1" applyBorder="1" applyAlignment="1">
      <alignment horizontal="center"/>
    </xf>
    <xf numFmtId="0" fontId="0" fillId="32" borderId="66" xfId="0" applyFill="1" applyBorder="1" applyAlignment="1">
      <alignment horizontal="center"/>
    </xf>
    <xf numFmtId="0" fontId="0" fillId="33" borderId="57" xfId="0" applyFill="1" applyBorder="1" applyAlignment="1">
      <alignment horizontal="center"/>
    </xf>
    <xf numFmtId="164" fontId="0" fillId="33" borderId="57" xfId="0" applyNumberFormat="1" applyFill="1" applyBorder="1" applyAlignment="1">
      <alignment horizontal="center"/>
    </xf>
    <xf numFmtId="165" fontId="0" fillId="33" borderId="57" xfId="0" applyNumberFormat="1" applyFill="1" applyBorder="1" applyAlignment="1">
      <alignment horizontal="center"/>
    </xf>
    <xf numFmtId="0" fontId="0" fillId="33" borderId="66" xfId="0" applyFill="1" applyBorder="1" applyAlignment="1">
      <alignment horizontal="center"/>
    </xf>
    <xf numFmtId="0" fontId="0" fillId="33" borderId="60" xfId="0" applyFill="1" applyBorder="1" applyAlignment="1">
      <alignment horizontal="center"/>
    </xf>
    <xf numFmtId="164" fontId="0" fillId="33" borderId="60" xfId="0" applyNumberFormat="1" applyFill="1" applyBorder="1" applyAlignment="1">
      <alignment horizontal="center"/>
    </xf>
    <xf numFmtId="165" fontId="0" fillId="33" borderId="60" xfId="0" applyNumberFormat="1" applyFill="1" applyBorder="1" applyAlignment="1">
      <alignment horizontal="center"/>
    </xf>
    <xf numFmtId="0" fontId="0" fillId="33" borderId="67" xfId="0" applyFill="1" applyBorder="1" applyAlignment="1">
      <alignment horizontal="center"/>
    </xf>
    <xf numFmtId="0" fontId="0" fillId="42" borderId="68" xfId="0" applyFill="1" applyBorder="1" applyAlignment="1">
      <alignment horizontal="center"/>
    </xf>
    <xf numFmtId="164" fontId="0" fillId="42" borderId="68" xfId="0" applyNumberFormat="1" applyFill="1" applyBorder="1" applyAlignment="1">
      <alignment horizontal="center"/>
    </xf>
    <xf numFmtId="165" fontId="0" fillId="42" borderId="68" xfId="0" applyNumberFormat="1" applyFill="1" applyBorder="1" applyAlignment="1">
      <alignment horizontal="center"/>
    </xf>
    <xf numFmtId="0" fontId="0" fillId="42" borderId="75" xfId="0" applyFill="1" applyBorder="1" applyAlignment="1">
      <alignment horizontal="center"/>
    </xf>
    <xf numFmtId="0" fontId="0" fillId="43" borderId="68" xfId="0" applyFill="1" applyBorder="1" applyAlignment="1">
      <alignment horizontal="center"/>
    </xf>
    <xf numFmtId="164" fontId="0" fillId="43" borderId="68" xfId="0" applyNumberFormat="1" applyFill="1" applyBorder="1" applyAlignment="1">
      <alignment horizontal="center"/>
    </xf>
    <xf numFmtId="165" fontId="0" fillId="43" borderId="68" xfId="0" applyNumberFormat="1" applyFill="1" applyBorder="1" applyAlignment="1">
      <alignment horizontal="center"/>
    </xf>
    <xf numFmtId="0" fontId="0" fillId="43" borderId="75" xfId="0" applyFill="1" applyBorder="1" applyAlignment="1">
      <alignment horizontal="center"/>
    </xf>
    <xf numFmtId="0" fontId="0" fillId="43" borderId="70" xfId="0" applyFill="1" applyBorder="1" applyAlignment="1">
      <alignment horizontal="center"/>
    </xf>
    <xf numFmtId="164" fontId="0" fillId="43" borderId="70" xfId="0" applyNumberFormat="1" applyFill="1" applyBorder="1" applyAlignment="1">
      <alignment horizontal="center"/>
    </xf>
    <xf numFmtId="165" fontId="0" fillId="43" borderId="70" xfId="0" applyNumberFormat="1" applyFill="1" applyBorder="1" applyAlignment="1">
      <alignment horizontal="center"/>
    </xf>
    <xf numFmtId="0" fontId="0" fillId="43" borderId="76" xfId="0" applyFill="1" applyBorder="1" applyAlignment="1">
      <alignment horizontal="center"/>
    </xf>
    <xf numFmtId="164" fontId="0" fillId="28" borderId="38" xfId="0" applyNumberFormat="1" applyFill="1" applyBorder="1" applyAlignment="1">
      <alignment horizontal="center"/>
    </xf>
    <xf numFmtId="165" fontId="0" fillId="28" borderId="38" xfId="0" applyNumberFormat="1" applyFill="1" applyBorder="1" applyAlignment="1">
      <alignment horizontal="center"/>
    </xf>
    <xf numFmtId="0" fontId="0" fillId="28" borderId="83" xfId="0" applyFill="1" applyBorder="1" applyAlignment="1">
      <alignment horizontal="center"/>
    </xf>
    <xf numFmtId="0" fontId="0" fillId="44" borderId="38" xfId="0" applyFill="1" applyBorder="1" applyAlignment="1">
      <alignment horizontal="center"/>
    </xf>
    <xf numFmtId="164" fontId="0" fillId="44" borderId="38" xfId="0" applyNumberFormat="1" applyFill="1" applyBorder="1" applyAlignment="1">
      <alignment horizontal="center"/>
    </xf>
    <xf numFmtId="165" fontId="0" fillId="44" borderId="38" xfId="0" applyNumberFormat="1" applyFill="1" applyBorder="1" applyAlignment="1">
      <alignment horizontal="center"/>
    </xf>
    <xf numFmtId="0" fontId="0" fillId="44" borderId="83" xfId="0" applyFill="1" applyBorder="1" applyAlignment="1">
      <alignment horizontal="center"/>
    </xf>
    <xf numFmtId="0" fontId="0" fillId="44" borderId="78" xfId="0" applyFill="1" applyBorder="1" applyAlignment="1">
      <alignment horizontal="center"/>
    </xf>
    <xf numFmtId="164" fontId="0" fillId="44" borderId="78" xfId="0" applyNumberFormat="1" applyFill="1" applyBorder="1" applyAlignment="1">
      <alignment horizontal="center"/>
    </xf>
    <xf numFmtId="165" fontId="0" fillId="44" borderId="78" xfId="0" applyNumberFormat="1" applyFill="1" applyBorder="1" applyAlignment="1">
      <alignment horizontal="center"/>
    </xf>
    <xf numFmtId="0" fontId="0" fillId="44" borderId="84" xfId="0" applyFill="1" applyBorder="1" applyAlignment="1">
      <alignment horizontal="center"/>
    </xf>
    <xf numFmtId="0" fontId="0" fillId="46" borderId="85" xfId="0" applyFill="1" applyBorder="1" applyAlignment="1">
      <alignment horizontal="center"/>
    </xf>
    <xf numFmtId="164" fontId="0" fillId="46" borderId="85" xfId="0" applyNumberFormat="1" applyFill="1" applyBorder="1" applyAlignment="1">
      <alignment horizontal="center"/>
    </xf>
    <xf numFmtId="165" fontId="0" fillId="46" borderId="85" xfId="0" applyNumberFormat="1" applyFill="1" applyBorder="1" applyAlignment="1">
      <alignment horizontal="center"/>
    </xf>
    <xf numFmtId="0" fontId="0" fillId="46" borderId="92" xfId="0" applyFill="1" applyBorder="1" applyAlignment="1">
      <alignment horizontal="center"/>
    </xf>
    <xf numFmtId="0" fontId="0" fillId="47" borderId="85" xfId="0" applyFill="1" applyBorder="1" applyAlignment="1">
      <alignment horizontal="center"/>
    </xf>
    <xf numFmtId="164" fontId="0" fillId="47" borderId="85" xfId="0" applyNumberFormat="1" applyFill="1" applyBorder="1" applyAlignment="1">
      <alignment horizontal="center"/>
    </xf>
    <xf numFmtId="165" fontId="0" fillId="47" borderId="85" xfId="0" applyNumberFormat="1" applyFill="1" applyBorder="1" applyAlignment="1">
      <alignment horizontal="center"/>
    </xf>
    <xf numFmtId="0" fontId="0" fillId="47" borderId="92" xfId="0" applyFill="1" applyBorder="1" applyAlignment="1">
      <alignment horizontal="center"/>
    </xf>
    <xf numFmtId="0" fontId="0" fillId="47" borderId="87" xfId="0" applyFill="1" applyBorder="1" applyAlignment="1">
      <alignment horizontal="center"/>
    </xf>
    <xf numFmtId="164" fontId="0" fillId="47" borderId="87" xfId="0" applyNumberFormat="1" applyFill="1" applyBorder="1" applyAlignment="1">
      <alignment horizontal="center"/>
    </xf>
    <xf numFmtId="165" fontId="0" fillId="47" borderId="87" xfId="0" applyNumberFormat="1" applyFill="1" applyBorder="1" applyAlignment="1">
      <alignment horizontal="center"/>
    </xf>
    <xf numFmtId="0" fontId="0" fillId="47" borderId="93" xfId="0" applyFill="1" applyBorder="1" applyAlignment="1">
      <alignment horizontal="center"/>
    </xf>
    <xf numFmtId="0" fontId="0" fillId="32" borderId="63" xfId="0" applyFill="1" applyBorder="1" applyAlignment="1">
      <alignment horizontal="left"/>
    </xf>
    <xf numFmtId="0" fontId="0" fillId="33" borderId="63" xfId="0" applyFill="1" applyBorder="1" applyAlignment="1">
      <alignment horizontal="left"/>
    </xf>
    <xf numFmtId="0" fontId="0" fillId="33" borderId="64" xfId="0" applyFill="1" applyBorder="1" applyAlignment="1">
      <alignment horizontal="left"/>
    </xf>
    <xf numFmtId="0" fontId="0" fillId="42" borderId="72" xfId="0" applyFill="1" applyBorder="1" applyAlignment="1">
      <alignment horizontal="left"/>
    </xf>
    <xf numFmtId="0" fontId="0" fillId="43" borderId="72" xfId="0" applyFill="1" applyBorder="1" applyAlignment="1">
      <alignment horizontal="left"/>
    </xf>
    <xf numFmtId="0" fontId="0" fillId="43" borderId="73" xfId="0" applyFill="1" applyBorder="1" applyAlignment="1">
      <alignment horizontal="left"/>
    </xf>
    <xf numFmtId="0" fontId="0" fillId="28" borderId="80" xfId="0" applyFill="1" applyBorder="1" applyAlignment="1">
      <alignment horizontal="left"/>
    </xf>
    <xf numFmtId="0" fontId="0" fillId="44" borderId="80" xfId="0" applyFill="1" applyBorder="1" applyAlignment="1">
      <alignment horizontal="left"/>
    </xf>
    <xf numFmtId="0" fontId="0" fillId="44" borderId="81" xfId="0" applyFill="1" applyBorder="1" applyAlignment="1">
      <alignment horizontal="left"/>
    </xf>
    <xf numFmtId="0" fontId="0" fillId="46" borderId="89" xfId="0" applyFill="1" applyBorder="1" applyAlignment="1">
      <alignment horizontal="left"/>
    </xf>
    <xf numFmtId="0" fontId="0" fillId="47" borderId="89" xfId="0" applyFill="1" applyBorder="1" applyAlignment="1">
      <alignment horizontal="left"/>
    </xf>
    <xf numFmtId="0" fontId="0" fillId="47" borderId="90" xfId="0" applyFill="1" applyBorder="1" applyAlignment="1">
      <alignment horizontal="left"/>
    </xf>
    <xf numFmtId="0" fontId="13" fillId="0" borderId="61" xfId="0" applyFont="1" applyBorder="1"/>
    <xf numFmtId="0" fontId="13" fillId="0" borderId="59" xfId="0" applyFont="1" applyBorder="1"/>
    <xf numFmtId="0" fontId="13" fillId="0" borderId="94" xfId="0" applyFont="1" applyBorder="1"/>
    <xf numFmtId="0" fontId="1" fillId="48" borderId="1" xfId="0" applyFont="1" applyFill="1" applyBorder="1"/>
    <xf numFmtId="0" fontId="0" fillId="18" borderId="1" xfId="0" applyFill="1" applyBorder="1"/>
    <xf numFmtId="0" fontId="0" fillId="30" borderId="1" xfId="0" applyFill="1" applyBorder="1"/>
    <xf numFmtId="0" fontId="1" fillId="23" borderId="1" xfId="0" applyFont="1" applyFill="1" applyBorder="1"/>
    <xf numFmtId="0" fontId="0" fillId="21" borderId="1" xfId="0" applyFill="1" applyBorder="1"/>
    <xf numFmtId="0" fontId="0" fillId="35" borderId="1" xfId="0" applyFill="1" applyBorder="1"/>
    <xf numFmtId="0" fontId="1" fillId="48" borderId="1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35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1" fillId="25" borderId="1" xfId="0" applyFont="1" applyFill="1" applyBorder="1" applyAlignment="1">
      <alignment horizontal="left" wrapText="1"/>
    </xf>
    <xf numFmtId="0" fontId="2" fillId="17" borderId="16" xfId="1" applyAlignment="1">
      <alignment horizontal="left"/>
    </xf>
    <xf numFmtId="0" fontId="13" fillId="0" borderId="59" xfId="0" applyFont="1" applyBorder="1" applyAlignment="1">
      <alignment horizontal="left"/>
    </xf>
    <xf numFmtId="0" fontId="15" fillId="20" borderId="1" xfId="0" applyFont="1" applyFill="1" applyBorder="1" applyAlignment="1">
      <alignment horizontal="center"/>
    </xf>
    <xf numFmtId="0" fontId="0" fillId="0" borderId="14" xfId="0" applyBorder="1"/>
    <xf numFmtId="0" fontId="0" fillId="0" borderId="12" xfId="0" applyBorder="1"/>
    <xf numFmtId="0" fontId="0" fillId="0" borderId="15" xfId="0" applyBorder="1"/>
    <xf numFmtId="0" fontId="0" fillId="0" borderId="2" xfId="0" applyBorder="1"/>
    <xf numFmtId="0" fontId="16" fillId="53" borderId="1" xfId="0" applyFont="1" applyFill="1" applyBorder="1" applyAlignment="1">
      <alignment horizontal="center"/>
    </xf>
    <xf numFmtId="0" fontId="16" fillId="53" borderId="12" xfId="0" applyFont="1" applyFill="1" applyBorder="1" applyAlignment="1">
      <alignment horizontal="center"/>
    </xf>
    <xf numFmtId="0" fontId="1" fillId="25" borderId="15" xfId="0" applyFont="1" applyFill="1" applyBorder="1" applyAlignment="1">
      <alignment horizontal="center" wrapText="1"/>
    </xf>
    <xf numFmtId="0" fontId="1" fillId="25" borderId="15" xfId="0" applyFont="1" applyFill="1" applyBorder="1" applyAlignment="1">
      <alignment horizontal="left" wrapText="1"/>
    </xf>
    <xf numFmtId="0" fontId="1" fillId="25" borderId="15" xfId="0" applyFont="1" applyFill="1" applyBorder="1" applyAlignment="1">
      <alignment horizontal="center"/>
    </xf>
    <xf numFmtId="0" fontId="2" fillId="17" borderId="1" xfId="1" applyBorder="1" applyAlignment="1">
      <alignment horizontal="center"/>
    </xf>
    <xf numFmtId="0" fontId="2" fillId="17" borderId="95" xfId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Alignment="1">
      <alignment wrapText="1"/>
    </xf>
    <xf numFmtId="0" fontId="7" fillId="50" borderId="0" xfId="0" applyFont="1" applyFill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7" fillId="0" borderId="0" xfId="0" applyFont="1"/>
    <xf numFmtId="0" fontId="7" fillId="50" borderId="14" xfId="0" applyFont="1" applyFill="1" applyBorder="1" applyAlignment="1">
      <alignment horizontal="center"/>
    </xf>
    <xf numFmtId="0" fontId="7" fillId="50" borderId="12" xfId="0" applyFont="1" applyFill="1" applyBorder="1" applyAlignment="1">
      <alignment horizontal="center"/>
    </xf>
    <xf numFmtId="0" fontId="17" fillId="20" borderId="12" xfId="0" applyFont="1" applyFill="1" applyBorder="1" applyAlignment="1">
      <alignment horizontal="center"/>
    </xf>
    <xf numFmtId="0" fontId="0" fillId="54" borderId="1" xfId="0" applyFill="1" applyBorder="1" applyAlignment="1">
      <alignment horizontal="center"/>
    </xf>
    <xf numFmtId="0" fontId="0" fillId="54" borderId="1" xfId="0" applyFill="1" applyBorder="1" applyAlignment="1">
      <alignment horizontal="left"/>
    </xf>
    <xf numFmtId="0" fontId="16" fillId="57" borderId="0" xfId="0" applyFont="1" applyFill="1" applyAlignment="1">
      <alignment horizontal="center"/>
    </xf>
    <xf numFmtId="0" fontId="15" fillId="20" borderId="14" xfId="0" applyFont="1" applyFill="1" applyBorder="1"/>
    <xf numFmtId="0" fontId="16" fillId="20" borderId="12" xfId="0" applyFont="1" applyFill="1" applyBorder="1"/>
    <xf numFmtId="0" fontId="16" fillId="20" borderId="12" xfId="0" applyFont="1" applyFill="1" applyBorder="1" applyAlignment="1">
      <alignment wrapText="1"/>
    </xf>
    <xf numFmtId="0" fontId="16" fillId="36" borderId="30" xfId="0" applyFont="1" applyFill="1" applyBorder="1" applyAlignment="1">
      <alignment horizontal="center"/>
    </xf>
    <xf numFmtId="0" fontId="16" fillId="36" borderId="31" xfId="0" applyFont="1" applyFill="1" applyBorder="1" applyAlignment="1">
      <alignment horizontal="left"/>
    </xf>
    <xf numFmtId="0" fontId="16" fillId="36" borderId="31" xfId="0" applyFont="1" applyFill="1" applyBorder="1" applyAlignment="1">
      <alignment horizontal="center"/>
    </xf>
    <xf numFmtId="0" fontId="15" fillId="36" borderId="31" xfId="0" applyFont="1" applyFill="1" applyBorder="1" applyAlignment="1">
      <alignment horizontal="center"/>
    </xf>
    <xf numFmtId="166" fontId="16" fillId="36" borderId="31" xfId="0" applyNumberFormat="1" applyFont="1" applyFill="1" applyBorder="1" applyAlignment="1">
      <alignment horizontal="center"/>
    </xf>
    <xf numFmtId="167" fontId="16" fillId="36" borderId="32" xfId="0" applyNumberFormat="1" applyFont="1" applyFill="1" applyBorder="1" applyAlignment="1">
      <alignment horizontal="center"/>
    </xf>
    <xf numFmtId="0" fontId="16" fillId="36" borderId="17" xfId="0" applyFont="1" applyFill="1" applyBorder="1" applyAlignment="1">
      <alignment horizontal="center"/>
    </xf>
    <xf numFmtId="0" fontId="16" fillId="36" borderId="18" xfId="0" applyFont="1" applyFill="1" applyBorder="1" applyAlignment="1">
      <alignment horizontal="left"/>
    </xf>
    <xf numFmtId="0" fontId="16" fillId="36" borderId="18" xfId="0" applyFont="1" applyFill="1" applyBorder="1" applyAlignment="1">
      <alignment horizontal="center"/>
    </xf>
    <xf numFmtId="0" fontId="15" fillId="36" borderId="18" xfId="0" applyFont="1" applyFill="1" applyBorder="1" applyAlignment="1">
      <alignment horizontal="center"/>
    </xf>
    <xf numFmtId="166" fontId="16" fillId="36" borderId="18" xfId="0" applyNumberFormat="1" applyFont="1" applyFill="1" applyBorder="1" applyAlignment="1">
      <alignment horizontal="center"/>
    </xf>
    <xf numFmtId="167" fontId="16" fillId="36" borderId="19" xfId="0" applyNumberFormat="1" applyFont="1" applyFill="1" applyBorder="1" applyAlignment="1">
      <alignment horizontal="center"/>
    </xf>
    <xf numFmtId="0" fontId="16" fillId="36" borderId="20" xfId="0" applyFont="1" applyFill="1" applyBorder="1" applyAlignment="1">
      <alignment horizontal="center"/>
    </xf>
    <xf numFmtId="0" fontId="16" fillId="36" borderId="21" xfId="0" applyFont="1" applyFill="1" applyBorder="1" applyAlignment="1">
      <alignment horizontal="left"/>
    </xf>
    <xf numFmtId="0" fontId="16" fillId="36" borderId="21" xfId="0" applyFont="1" applyFill="1" applyBorder="1" applyAlignment="1">
      <alignment horizontal="center"/>
    </xf>
    <xf numFmtId="0" fontId="15" fillId="36" borderId="21" xfId="0" applyFont="1" applyFill="1" applyBorder="1" applyAlignment="1">
      <alignment horizontal="center"/>
    </xf>
    <xf numFmtId="166" fontId="16" fillId="36" borderId="21" xfId="0" applyNumberFormat="1" applyFont="1" applyFill="1" applyBorder="1" applyAlignment="1">
      <alignment horizontal="center"/>
    </xf>
    <xf numFmtId="167" fontId="16" fillId="36" borderId="22" xfId="0" applyNumberFormat="1" applyFont="1" applyFill="1" applyBorder="1" applyAlignment="1">
      <alignment horizontal="center"/>
    </xf>
    <xf numFmtId="0" fontId="16" fillId="36" borderId="50" xfId="0" applyFont="1" applyFill="1" applyBorder="1" applyAlignment="1">
      <alignment horizontal="center"/>
    </xf>
    <xf numFmtId="0" fontId="16" fillId="36" borderId="51" xfId="0" applyFont="1" applyFill="1" applyBorder="1" applyAlignment="1">
      <alignment horizontal="left"/>
    </xf>
    <xf numFmtId="0" fontId="16" fillId="36" borderId="51" xfId="0" applyFont="1" applyFill="1" applyBorder="1" applyAlignment="1">
      <alignment horizontal="center"/>
    </xf>
    <xf numFmtId="0" fontId="15" fillId="36" borderId="51" xfId="0" applyFont="1" applyFill="1" applyBorder="1" applyAlignment="1">
      <alignment horizontal="center"/>
    </xf>
    <xf numFmtId="166" fontId="16" fillId="36" borderId="51" xfId="0" applyNumberFormat="1" applyFont="1" applyFill="1" applyBorder="1" applyAlignment="1">
      <alignment horizontal="center"/>
    </xf>
    <xf numFmtId="167" fontId="16" fillId="36" borderId="52" xfId="0" applyNumberFormat="1" applyFont="1" applyFill="1" applyBorder="1" applyAlignment="1">
      <alignment horizontal="center"/>
    </xf>
    <xf numFmtId="0" fontId="16" fillId="36" borderId="37" xfId="0" applyFont="1" applyFill="1" applyBorder="1" applyAlignment="1">
      <alignment horizontal="center"/>
    </xf>
    <xf numFmtId="0" fontId="16" fillId="36" borderId="38" xfId="0" applyFont="1" applyFill="1" applyBorder="1" applyAlignment="1">
      <alignment horizontal="left"/>
    </xf>
    <xf numFmtId="0" fontId="16" fillId="36" borderId="38" xfId="0" applyFont="1" applyFill="1" applyBorder="1" applyAlignment="1">
      <alignment horizontal="center"/>
    </xf>
    <xf numFmtId="0" fontId="15" fillId="36" borderId="38" xfId="0" applyFont="1" applyFill="1" applyBorder="1" applyAlignment="1">
      <alignment horizontal="center"/>
    </xf>
    <xf numFmtId="166" fontId="16" fillId="36" borderId="38" xfId="0" applyNumberFormat="1" applyFont="1" applyFill="1" applyBorder="1" applyAlignment="1">
      <alignment horizontal="center"/>
    </xf>
    <xf numFmtId="167" fontId="16" fillId="36" borderId="39" xfId="0" applyNumberFormat="1" applyFont="1" applyFill="1" applyBorder="1" applyAlignment="1">
      <alignment horizontal="center"/>
    </xf>
    <xf numFmtId="0" fontId="16" fillId="36" borderId="40" xfId="0" applyFont="1" applyFill="1" applyBorder="1" applyAlignment="1">
      <alignment horizontal="center"/>
    </xf>
    <xf numFmtId="0" fontId="16" fillId="36" borderId="41" xfId="0" applyFont="1" applyFill="1" applyBorder="1" applyAlignment="1">
      <alignment horizontal="left"/>
    </xf>
    <xf numFmtId="0" fontId="16" fillId="36" borderId="41" xfId="0" applyFont="1" applyFill="1" applyBorder="1" applyAlignment="1">
      <alignment horizontal="center"/>
    </xf>
    <xf numFmtId="0" fontId="15" fillId="36" borderId="41" xfId="0" applyFont="1" applyFill="1" applyBorder="1" applyAlignment="1">
      <alignment horizontal="center"/>
    </xf>
    <xf numFmtId="166" fontId="16" fillId="36" borderId="41" xfId="0" applyNumberFormat="1" applyFont="1" applyFill="1" applyBorder="1" applyAlignment="1">
      <alignment horizontal="center"/>
    </xf>
    <xf numFmtId="167" fontId="16" fillId="36" borderId="42" xfId="0" applyNumberFormat="1" applyFont="1" applyFill="1" applyBorder="1" applyAlignment="1">
      <alignment horizontal="center"/>
    </xf>
    <xf numFmtId="0" fontId="16" fillId="36" borderId="34" xfId="0" applyFont="1" applyFill="1" applyBorder="1" applyAlignment="1">
      <alignment horizontal="center"/>
    </xf>
    <xf numFmtId="0" fontId="16" fillId="36" borderId="35" xfId="0" applyFont="1" applyFill="1" applyBorder="1" applyAlignment="1">
      <alignment horizontal="left"/>
    </xf>
    <xf numFmtId="0" fontId="16" fillId="36" borderId="35" xfId="0" applyFont="1" applyFill="1" applyBorder="1" applyAlignment="1">
      <alignment horizontal="center"/>
    </xf>
    <xf numFmtId="0" fontId="15" fillId="36" borderId="35" xfId="0" applyFont="1" applyFill="1" applyBorder="1" applyAlignment="1">
      <alignment horizontal="center"/>
    </xf>
    <xf numFmtId="166" fontId="16" fillId="36" borderId="35" xfId="0" applyNumberFormat="1" applyFont="1" applyFill="1" applyBorder="1" applyAlignment="1">
      <alignment horizontal="center"/>
    </xf>
    <xf numFmtId="167" fontId="16" fillId="36" borderId="36" xfId="0" applyNumberFormat="1" applyFont="1" applyFill="1" applyBorder="1" applyAlignment="1">
      <alignment horizontal="center"/>
    </xf>
    <xf numFmtId="0" fontId="16" fillId="36" borderId="23" xfId="0" applyFont="1" applyFill="1" applyBorder="1" applyAlignment="1">
      <alignment horizontal="center"/>
    </xf>
    <xf numFmtId="0" fontId="16" fillId="36" borderId="24" xfId="0" applyFont="1" applyFill="1" applyBorder="1" applyAlignment="1">
      <alignment horizontal="left"/>
    </xf>
    <xf numFmtId="0" fontId="16" fillId="36" borderId="24" xfId="0" applyFont="1" applyFill="1" applyBorder="1" applyAlignment="1">
      <alignment horizontal="center"/>
    </xf>
    <xf numFmtId="0" fontId="15" fillId="36" borderId="24" xfId="0" applyFont="1" applyFill="1" applyBorder="1" applyAlignment="1">
      <alignment horizontal="center"/>
    </xf>
    <xf numFmtId="166" fontId="16" fillId="36" borderId="24" xfId="0" applyNumberFormat="1" applyFont="1" applyFill="1" applyBorder="1" applyAlignment="1">
      <alignment horizontal="center"/>
    </xf>
    <xf numFmtId="167" fontId="16" fillId="36" borderId="25" xfId="0" applyNumberFormat="1" applyFont="1" applyFill="1" applyBorder="1" applyAlignment="1">
      <alignment horizontal="center"/>
    </xf>
    <xf numFmtId="0" fontId="16" fillId="36" borderId="26" xfId="0" applyFont="1" applyFill="1" applyBorder="1" applyAlignment="1">
      <alignment horizontal="center"/>
    </xf>
    <xf numFmtId="0" fontId="16" fillId="36" borderId="27" xfId="0" applyFont="1" applyFill="1" applyBorder="1" applyAlignment="1">
      <alignment horizontal="left"/>
    </xf>
    <xf numFmtId="0" fontId="16" fillId="36" borderId="27" xfId="0" applyFont="1" applyFill="1" applyBorder="1" applyAlignment="1">
      <alignment horizontal="center"/>
    </xf>
    <xf numFmtId="0" fontId="15" fillId="36" borderId="27" xfId="0" applyFont="1" applyFill="1" applyBorder="1" applyAlignment="1">
      <alignment horizontal="center"/>
    </xf>
    <xf numFmtId="166" fontId="16" fillId="36" borderId="27" xfId="0" applyNumberFormat="1" applyFont="1" applyFill="1" applyBorder="1" applyAlignment="1">
      <alignment horizontal="center"/>
    </xf>
    <xf numFmtId="167" fontId="16" fillId="36" borderId="28" xfId="0" applyNumberFormat="1" applyFont="1" applyFill="1" applyBorder="1" applyAlignment="1">
      <alignment horizontal="center"/>
    </xf>
    <xf numFmtId="0" fontId="16" fillId="36" borderId="54" xfId="0" applyFont="1" applyFill="1" applyBorder="1" applyAlignment="1">
      <alignment horizontal="center"/>
    </xf>
    <xf numFmtId="0" fontId="16" fillId="36" borderId="55" xfId="0" applyFont="1" applyFill="1" applyBorder="1" applyAlignment="1">
      <alignment horizontal="left"/>
    </xf>
    <xf numFmtId="0" fontId="16" fillId="36" borderId="55" xfId="0" applyFont="1" applyFill="1" applyBorder="1" applyAlignment="1">
      <alignment horizontal="center"/>
    </xf>
    <xf numFmtId="0" fontId="15" fillId="36" borderId="55" xfId="0" applyFont="1" applyFill="1" applyBorder="1" applyAlignment="1">
      <alignment horizontal="center"/>
    </xf>
    <xf numFmtId="166" fontId="16" fillId="36" borderId="55" xfId="0" applyNumberFormat="1" applyFont="1" applyFill="1" applyBorder="1" applyAlignment="1">
      <alignment horizontal="center"/>
    </xf>
    <xf numFmtId="167" fontId="16" fillId="36" borderId="56" xfId="0" applyNumberFormat="1" applyFont="1" applyFill="1" applyBorder="1" applyAlignment="1">
      <alignment horizontal="center"/>
    </xf>
    <xf numFmtId="0" fontId="16" fillId="36" borderId="43" xfId="0" applyFont="1" applyFill="1" applyBorder="1" applyAlignment="1">
      <alignment horizontal="center"/>
    </xf>
    <xf numFmtId="0" fontId="16" fillId="36" borderId="44" xfId="0" applyFont="1" applyFill="1" applyBorder="1" applyAlignment="1">
      <alignment horizontal="left"/>
    </xf>
    <xf numFmtId="0" fontId="16" fillId="36" borderId="44" xfId="0" applyFont="1" applyFill="1" applyBorder="1" applyAlignment="1">
      <alignment horizontal="center"/>
    </xf>
    <xf numFmtId="0" fontId="15" fillId="36" borderId="44" xfId="0" applyFont="1" applyFill="1" applyBorder="1" applyAlignment="1">
      <alignment horizontal="center"/>
    </xf>
    <xf numFmtId="166" fontId="16" fillId="36" borderId="44" xfId="0" applyNumberFormat="1" applyFont="1" applyFill="1" applyBorder="1" applyAlignment="1">
      <alignment horizontal="center"/>
    </xf>
    <xf numFmtId="167" fontId="16" fillId="36" borderId="45" xfId="0" applyNumberFormat="1" applyFont="1" applyFill="1" applyBorder="1" applyAlignment="1">
      <alignment horizontal="center"/>
    </xf>
    <xf numFmtId="0" fontId="16" fillId="36" borderId="46" xfId="0" applyFont="1" applyFill="1" applyBorder="1" applyAlignment="1">
      <alignment horizontal="center"/>
    </xf>
    <xf numFmtId="0" fontId="16" fillId="36" borderId="47" xfId="0" applyFont="1" applyFill="1" applyBorder="1" applyAlignment="1">
      <alignment horizontal="left"/>
    </xf>
    <xf numFmtId="0" fontId="16" fillId="36" borderId="47" xfId="0" applyFont="1" applyFill="1" applyBorder="1" applyAlignment="1">
      <alignment horizontal="center"/>
    </xf>
    <xf numFmtId="0" fontId="15" fillId="36" borderId="47" xfId="0" applyFont="1" applyFill="1" applyBorder="1" applyAlignment="1">
      <alignment horizontal="center"/>
    </xf>
    <xf numFmtId="166" fontId="16" fillId="36" borderId="47" xfId="0" applyNumberFormat="1" applyFont="1" applyFill="1" applyBorder="1" applyAlignment="1">
      <alignment horizontal="center"/>
    </xf>
    <xf numFmtId="167" fontId="16" fillId="36" borderId="48" xfId="0" applyNumberFormat="1" applyFont="1" applyFill="1" applyBorder="1" applyAlignment="1">
      <alignment horizontal="center"/>
    </xf>
    <xf numFmtId="0" fontId="7" fillId="55" borderId="1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12" fillId="20" borderId="14" xfId="0" applyFont="1" applyFill="1" applyBorder="1" applyAlignment="1">
      <alignment horizontal="center"/>
    </xf>
    <xf numFmtId="0" fontId="7" fillId="50" borderId="15" xfId="0" applyFont="1" applyFill="1" applyBorder="1" applyAlignment="1">
      <alignment horizontal="center"/>
    </xf>
    <xf numFmtId="0" fontId="8" fillId="55" borderId="96" xfId="0" applyFont="1" applyFill="1" applyBorder="1" applyAlignment="1">
      <alignment horizontal="center" vertical="center"/>
    </xf>
    <xf numFmtId="0" fontId="8" fillId="55" borderId="97" xfId="0" applyFont="1" applyFill="1" applyBorder="1" applyAlignment="1">
      <alignment horizontal="center" vertical="center"/>
    </xf>
    <xf numFmtId="0" fontId="18" fillId="56" borderId="96" xfId="0" applyFont="1" applyFill="1" applyBorder="1" applyAlignment="1">
      <alignment horizontal="center" vertical="center"/>
    </xf>
    <xf numFmtId="0" fontId="19" fillId="56" borderId="97" xfId="0" applyFont="1" applyFill="1" applyBorder="1" applyAlignment="1">
      <alignment horizontal="center" vertical="center"/>
    </xf>
    <xf numFmtId="0" fontId="18" fillId="56" borderId="97" xfId="0" applyFont="1" applyFill="1" applyBorder="1" applyAlignment="1">
      <alignment horizontal="left" vertical="center"/>
    </xf>
    <xf numFmtId="0" fontId="18" fillId="56" borderId="97" xfId="0" applyFont="1" applyFill="1" applyBorder="1" applyAlignment="1">
      <alignment horizontal="center" vertical="center"/>
    </xf>
    <xf numFmtId="0" fontId="19" fillId="56" borderId="96" xfId="0" applyFont="1" applyFill="1" applyBorder="1" applyAlignment="1">
      <alignment horizontal="center"/>
    </xf>
    <xf numFmtId="0" fontId="19" fillId="56" borderId="97" xfId="0" applyFont="1" applyFill="1" applyBorder="1" applyAlignment="1">
      <alignment horizontal="center"/>
    </xf>
    <xf numFmtId="0" fontId="19" fillId="56" borderId="97" xfId="0" applyFont="1" applyFill="1" applyBorder="1" applyAlignment="1">
      <alignment horizontal="left"/>
    </xf>
    <xf numFmtId="0" fontId="16" fillId="56" borderId="99" xfId="0" applyFont="1" applyFill="1" applyBorder="1" applyAlignment="1">
      <alignment horizontal="center"/>
    </xf>
    <xf numFmtId="0" fontId="16" fillId="56" borderId="98" xfId="0" applyFont="1" applyFill="1" applyBorder="1" applyAlignment="1">
      <alignment horizontal="center"/>
    </xf>
    <xf numFmtId="0" fontId="16" fillId="56" borderId="98" xfId="0" applyFont="1" applyFill="1" applyBorder="1" applyAlignment="1">
      <alignment horizontal="left"/>
    </xf>
    <xf numFmtId="0" fontId="0" fillId="0" borderId="1" xfId="0" applyBorder="1" applyAlignment="1" applyProtection="1">
      <alignment horizontal="center"/>
      <protection locked="0"/>
    </xf>
    <xf numFmtId="0" fontId="0" fillId="54" borderId="1" xfId="0" applyFill="1" applyBorder="1" applyAlignment="1" applyProtection="1">
      <alignment horizontal="center"/>
      <protection locked="0"/>
    </xf>
    <xf numFmtId="0" fontId="0" fillId="54" borderId="1" xfId="0" applyFill="1" applyBorder="1" applyAlignment="1" applyProtection="1">
      <alignment horizontal="left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2" fillId="17" borderId="1" xfId="1" applyBorder="1" applyAlignment="1" applyProtection="1">
      <alignment horizontal="center"/>
      <protection locked="0"/>
    </xf>
    <xf numFmtId="0" fontId="2" fillId="17" borderId="95" xfId="1" applyBorder="1" applyAlignment="1" applyProtection="1">
      <alignment horizontal="center"/>
      <protection locked="0"/>
    </xf>
    <xf numFmtId="0" fontId="15" fillId="51" borderId="1" xfId="0" applyFont="1" applyFill="1" applyBorder="1"/>
    <xf numFmtId="0" fontId="15" fillId="52" borderId="1" xfId="0" applyFont="1" applyFill="1" applyBorder="1" applyAlignment="1">
      <alignment horizontal="center"/>
    </xf>
    <xf numFmtId="0" fontId="12" fillId="20" borderId="1" xfId="0" applyFont="1" applyFill="1" applyBorder="1" applyAlignment="1">
      <alignment horizontal="center"/>
    </xf>
    <xf numFmtId="0" fontId="15" fillId="53" borderId="1" xfId="0" applyFont="1" applyFill="1" applyBorder="1" applyAlignment="1">
      <alignment horizontal="center"/>
    </xf>
    <xf numFmtId="0" fontId="15" fillId="51" borderId="10" xfId="0" applyFont="1" applyFill="1" applyBorder="1"/>
    <xf numFmtId="0" fontId="15" fillId="52" borderId="0" xfId="0" applyFont="1" applyFill="1" applyAlignment="1">
      <alignment horizontal="center"/>
    </xf>
    <xf numFmtId="0" fontId="1" fillId="0" borderId="2" xfId="0" applyFont="1" applyBorder="1"/>
    <xf numFmtId="0" fontId="0" fillId="0" borderId="3" xfId="0" applyBorder="1"/>
    <xf numFmtId="0" fontId="1" fillId="0" borderId="5" xfId="0" applyFont="1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15" fillId="51" borderId="5" xfId="0" applyFont="1" applyFill="1" applyBorder="1"/>
    <xf numFmtId="0" fontId="15" fillId="51" borderId="0" xfId="0" applyFont="1" applyFill="1"/>
    <xf numFmtId="0" fontId="15" fillId="20" borderId="0" xfId="0" applyFont="1" applyFill="1" applyAlignment="1">
      <alignment horizontal="center"/>
    </xf>
    <xf numFmtId="0" fontId="3" fillId="18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7" fillId="50" borderId="14" xfId="0" applyFont="1" applyFill="1" applyBorder="1"/>
    <xf numFmtId="0" fontId="0" fillId="0" borderId="13" xfId="0" applyBorder="1"/>
    <xf numFmtId="0" fontId="0" fillId="0" borderId="14" xfId="0" applyBorder="1"/>
    <xf numFmtId="0" fontId="20" fillId="20" borderId="104" xfId="0" applyFont="1" applyFill="1" applyBorder="1" applyAlignment="1" applyProtection="1">
      <alignment horizontal="center"/>
      <protection locked="0"/>
    </xf>
    <xf numFmtId="0" fontId="0" fillId="0" borderId="59" xfId="0" applyBorder="1" applyProtection="1">
      <protection locked="0"/>
    </xf>
    <xf numFmtId="0" fontId="0" fillId="0" borderId="105" xfId="0" applyBorder="1" applyProtection="1">
      <protection locked="0"/>
    </xf>
    <xf numFmtId="0" fontId="7" fillId="26" borderId="0" xfId="0" applyFont="1" applyFill="1"/>
    <xf numFmtId="0" fontId="14" fillId="0" borderId="100" xfId="0" applyFont="1" applyBorder="1" applyAlignment="1">
      <alignment horizontal="center"/>
    </xf>
    <xf numFmtId="0" fontId="4" fillId="22" borderId="0" xfId="0" applyFont="1" applyFill="1" applyAlignment="1">
      <alignment horizontal="center"/>
    </xf>
    <xf numFmtId="0" fontId="4" fillId="50" borderId="96" xfId="0" applyFont="1" applyFill="1" applyBorder="1" applyAlignment="1">
      <alignment horizontal="center"/>
    </xf>
    <xf numFmtId="0" fontId="0" fillId="0" borderId="102" xfId="0" applyBorder="1"/>
    <xf numFmtId="0" fontId="0" fillId="0" borderId="103" xfId="0" applyBorder="1"/>
    <xf numFmtId="0" fontId="4" fillId="19" borderId="8" xfId="0" applyFont="1" applyFill="1" applyBorder="1" applyAlignment="1">
      <alignment horizontal="center"/>
    </xf>
    <xf numFmtId="0" fontId="0" fillId="0" borderId="8" xfId="0" applyBorder="1"/>
    <xf numFmtId="0" fontId="4" fillId="24" borderId="8" xfId="0" applyFont="1" applyFill="1" applyBorder="1" applyAlignment="1">
      <alignment horizontal="center"/>
    </xf>
    <xf numFmtId="0" fontId="4" fillId="50" borderId="8" xfId="0" applyFont="1" applyFill="1" applyBorder="1" applyAlignment="1">
      <alignment horizontal="center"/>
    </xf>
    <xf numFmtId="0" fontId="7" fillId="45" borderId="0" xfId="0" applyFont="1" applyFill="1" applyAlignment="1">
      <alignment horizontal="center"/>
    </xf>
    <xf numFmtId="0" fontId="16" fillId="20" borderId="1" xfId="0" applyFont="1" applyFill="1" applyBorder="1" applyAlignment="1">
      <alignment horizontal="left"/>
    </xf>
    <xf numFmtId="0" fontId="5" fillId="24" borderId="49" xfId="0" applyFont="1" applyFill="1" applyBorder="1" applyAlignment="1">
      <alignment horizontal="center"/>
    </xf>
    <xf numFmtId="0" fontId="0" fillId="0" borderId="107" xfId="0" applyBorder="1"/>
    <xf numFmtId="0" fontId="0" fillId="0" borderId="108" xfId="0" applyBorder="1"/>
    <xf numFmtId="0" fontId="7" fillId="55" borderId="1" xfId="0" applyFont="1" applyFill="1" applyBorder="1" applyAlignment="1">
      <alignment horizontal="left"/>
    </xf>
    <xf numFmtId="0" fontId="7" fillId="40" borderId="0" xfId="0" applyFont="1" applyFill="1" applyAlignment="1">
      <alignment horizontal="center"/>
    </xf>
    <xf numFmtId="0" fontId="7" fillId="26" borderId="0" xfId="0" applyFont="1" applyFill="1" applyAlignment="1">
      <alignment horizontal="center"/>
    </xf>
    <xf numFmtId="0" fontId="5" fillId="34" borderId="33" xfId="0" applyFont="1" applyFill="1" applyBorder="1" applyAlignment="1">
      <alignment horizontal="center"/>
    </xf>
    <xf numFmtId="0" fontId="0" fillId="0" borderId="111" xfId="0" applyBorder="1"/>
    <xf numFmtId="0" fontId="0" fillId="0" borderId="112" xfId="0" applyBorder="1"/>
    <xf numFmtId="0" fontId="7" fillId="24" borderId="0" xfId="0" applyFont="1" applyFill="1" applyAlignment="1">
      <alignment horizontal="center"/>
    </xf>
    <xf numFmtId="0" fontId="5" fillId="27" borderId="53" xfId="0" applyFont="1" applyFill="1" applyBorder="1" applyAlignment="1">
      <alignment horizontal="center"/>
    </xf>
    <xf numFmtId="0" fontId="0" fillId="0" borderId="109" xfId="0" applyBorder="1"/>
    <xf numFmtId="0" fontId="0" fillId="0" borderId="110" xfId="0" applyBorder="1"/>
    <xf numFmtId="0" fontId="7" fillId="50" borderId="1" xfId="0" applyFont="1" applyFill="1" applyBorder="1" applyAlignment="1">
      <alignment horizontal="center"/>
    </xf>
    <xf numFmtId="0" fontId="3" fillId="36" borderId="0" xfId="0" applyFont="1" applyFill="1" applyAlignment="1">
      <alignment horizontal="center"/>
    </xf>
    <xf numFmtId="0" fontId="5" fillId="26" borderId="29" xfId="0" applyFont="1" applyFill="1" applyBorder="1" applyAlignment="1">
      <alignment horizontal="center"/>
    </xf>
    <xf numFmtId="0" fontId="0" fillId="0" borderId="101" xfId="0" applyBorder="1"/>
    <xf numFmtId="0" fontId="0" fillId="0" borderId="106" xfId="0" applyBorder="1"/>
    <xf numFmtId="0" fontId="4" fillId="19" borderId="1" xfId="0" applyFont="1" applyFill="1" applyBorder="1"/>
    <xf numFmtId="0" fontId="4" fillId="49" borderId="1" xfId="0" applyFont="1" applyFill="1" applyBorder="1"/>
  </cellXfs>
  <cellStyles count="2">
    <cellStyle name="Normal" xfId="0" builtinId="0"/>
    <cellStyle name="Output" xfId="1" builtinId="21"/>
  </cellStyles>
  <dxfs count="51"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>
          <bgColor rgb="FFFF3A2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8</xdr:row>
      <xdr:rowOff>13692</xdr:rowOff>
    </xdr:from>
    <xdr:to>
      <xdr:col>2</xdr:col>
      <xdr:colOff>1840</xdr:colOff>
      <xdr:row>9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8725" y="775692"/>
          <a:ext cx="838200" cy="4911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1484586</xdr:colOff>
      <xdr:row>11</xdr:row>
      <xdr:rowOff>13137</xdr:rowOff>
    </xdr:from>
    <xdr:to>
      <xdr:col>2</xdr:col>
      <xdr:colOff>553</xdr:colOff>
      <xdr:row>11</xdr:row>
      <xdr:rowOff>490828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84586" y="4309106"/>
          <a:ext cx="858339" cy="47769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6569</xdr:colOff>
      <xdr:row>13</xdr:row>
      <xdr:rowOff>0</xdr:rowOff>
    </xdr:from>
    <xdr:to>
      <xdr:col>2</xdr:col>
      <xdr:colOff>2570</xdr:colOff>
      <xdr:row>14</xdr:row>
      <xdr:rowOff>21167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115207" y="1773621"/>
          <a:ext cx="840827" cy="52697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21169</xdr:colOff>
      <xdr:row>17</xdr:row>
      <xdr:rowOff>52918</xdr:rowOff>
    </xdr:from>
    <xdr:to>
      <xdr:col>2</xdr:col>
      <xdr:colOff>0</xdr:colOff>
      <xdr:row>17</xdr:row>
      <xdr:rowOff>492672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129807" y="2332349"/>
          <a:ext cx="826228" cy="43975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</xdr:colOff>
      <xdr:row>15</xdr:row>
      <xdr:rowOff>21166</xdr:rowOff>
    </xdr:from>
    <xdr:to>
      <xdr:col>2</xdr:col>
      <xdr:colOff>13138</xdr:colOff>
      <xdr:row>15</xdr:row>
      <xdr:rowOff>478366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108639" y="2806407"/>
          <a:ext cx="860534" cy="4572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9</xdr:row>
      <xdr:rowOff>1</xdr:rowOff>
    </xdr:from>
    <xdr:to>
      <xdr:col>2</xdr:col>
      <xdr:colOff>10582</xdr:colOff>
      <xdr:row>10</xdr:row>
      <xdr:rowOff>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108638" y="3291053"/>
          <a:ext cx="857979" cy="5058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16</xdr:row>
      <xdr:rowOff>1</xdr:rowOff>
    </xdr:from>
    <xdr:to>
      <xdr:col>2</xdr:col>
      <xdr:colOff>6568</xdr:colOff>
      <xdr:row>17</xdr:row>
      <xdr:rowOff>11758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108638" y="3796863"/>
          <a:ext cx="853965" cy="51756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6</xdr:row>
      <xdr:rowOff>1</xdr:rowOff>
    </xdr:from>
    <xdr:to>
      <xdr:col>2</xdr:col>
      <xdr:colOff>15726</xdr:colOff>
      <xdr:row>7</xdr:row>
      <xdr:rowOff>9780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45167" y="4318001"/>
          <a:ext cx="862394" cy="51777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5</xdr:row>
      <xdr:rowOff>13138</xdr:rowOff>
    </xdr:from>
    <xdr:to>
      <xdr:col>2</xdr:col>
      <xdr:colOff>6772</xdr:colOff>
      <xdr:row>6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08638" y="4821621"/>
          <a:ext cx="854169" cy="4926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6568</xdr:colOff>
      <xdr:row>10</xdr:row>
      <xdr:rowOff>16058</xdr:rowOff>
    </xdr:from>
    <xdr:to>
      <xdr:col>2</xdr:col>
      <xdr:colOff>8716</xdr:colOff>
      <xdr:row>11</xdr:row>
      <xdr:rowOff>571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115206" y="5330351"/>
          <a:ext cx="849545" cy="48975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14</xdr:row>
      <xdr:rowOff>21166</xdr:rowOff>
    </xdr:from>
    <xdr:to>
      <xdr:col>2</xdr:col>
      <xdr:colOff>6772</xdr:colOff>
      <xdr:row>14</xdr:row>
      <xdr:rowOff>499242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108638" y="5841269"/>
          <a:ext cx="854169" cy="47807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1470134</xdr:colOff>
      <xdr:row>6</xdr:row>
      <xdr:rowOff>471390</xdr:rowOff>
    </xdr:from>
    <xdr:to>
      <xdr:col>2</xdr:col>
      <xdr:colOff>65032</xdr:colOff>
      <xdr:row>8</xdr:row>
      <xdr:rowOff>43027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470134" y="2240319"/>
          <a:ext cx="937270" cy="58245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36129</xdr:colOff>
      <xdr:row>8</xdr:row>
      <xdr:rowOff>13138</xdr:rowOff>
    </xdr:from>
    <xdr:to>
      <xdr:col>4</xdr:col>
      <xdr:colOff>550479</xdr:colOff>
      <xdr:row>9</xdr:row>
      <xdr:rowOff>21678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273112" y="775138"/>
          <a:ext cx="514350" cy="514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36129</xdr:colOff>
      <xdr:row>11</xdr:row>
      <xdr:rowOff>0</xdr:rowOff>
    </xdr:from>
    <xdr:to>
      <xdr:col>4</xdr:col>
      <xdr:colOff>550479</xdr:colOff>
      <xdr:row>12</xdr:row>
      <xdr:rowOff>8539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273112" y="1267810"/>
          <a:ext cx="514350" cy="514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514350</xdr:colOff>
      <xdr:row>14</xdr:row>
      <xdr:rowOff>8540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236983" y="1773621"/>
          <a:ext cx="514350" cy="514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6043</xdr:colOff>
      <xdr:row>13</xdr:row>
      <xdr:rowOff>6254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497724" y="6831724"/>
          <a:ext cx="853440" cy="51206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4</xdr:row>
      <xdr:rowOff>1</xdr:rowOff>
    </xdr:from>
    <xdr:to>
      <xdr:col>2</xdr:col>
      <xdr:colOff>6043</xdr:colOff>
      <xdr:row>5</xdr:row>
      <xdr:rowOff>6569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497724" y="7337535"/>
          <a:ext cx="853440" cy="51237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BATTINGDATA" displayName="T_BATTINGDATA" ref="A5:P868" totalsRowShown="0">
  <autoFilter ref="A5:P868" xr:uid="{00000000-0009-0000-0100-000001000000}"/>
  <tableColumns count="16">
    <tableColumn id="1" xr3:uid="{00000000-0010-0000-0000-000001000000}" name="Match"/>
    <tableColumn id="11" xr3:uid="{00000000-0010-0000-0000-00000B000000}" name="Team"/>
    <tableColumn id="2" xr3:uid="{00000000-0010-0000-0000-000002000000}" name="Batsman"/>
    <tableColumn id="3" xr3:uid="{00000000-0010-0000-0000-000003000000}" name="Dismissal"/>
    <tableColumn id="4" xr3:uid="{00000000-0010-0000-0000-000004000000}" name="R"/>
    <tableColumn id="5" xr3:uid="{00000000-0010-0000-0000-000005000000}" name="M"/>
    <tableColumn id="6" xr3:uid="{00000000-0010-0000-0000-000006000000}" name="B"/>
    <tableColumn id="7" xr3:uid="{00000000-0010-0000-0000-000007000000}" name="4s"/>
    <tableColumn id="8" xr3:uid="{00000000-0010-0000-0000-000008000000}" name="6s"/>
    <tableColumn id="9" xr3:uid="{00000000-0010-0000-0000-000009000000}" name="SR"/>
    <tableColumn id="10" xr3:uid="{00000000-0010-0000-0000-00000A000000}" name="Bat Number"/>
    <tableColumn id="12" xr3:uid="{00000000-0010-0000-0000-00000C000000}" name="LINK" dataDxfId="50">
      <calculatedColumnFormula>CONCATENATE(T_BATTINGDATA[[#This Row],[Match]],T_BATTINGDATA[[#This Row],[Team]],T_BATTINGDATA[[#This Row],[Bat Number]])</calculatedColumnFormula>
    </tableColumn>
    <tableColumn id="13" xr3:uid="{00000000-0010-0000-0000-00000D000000}" name="SEL TEAM BAT" dataDxfId="49">
      <calculatedColumnFormula>IFERROR(IF(AND(T_BATTINGDATA[[#This Row],[Team]]=I_TEAM,IFERROR(IF(MATCH(T_BATTINGDATA[[#This Row],[BATSMAN NAME]],$O$5:O5,0)&gt;0,0),1)),1,0),"")</calculatedColumnFormula>
    </tableColumn>
    <tableColumn id="14" xr3:uid="{00000000-0010-0000-0000-00000E000000}" name="SEL TEAM RUNS" dataDxfId="48">
      <calculatedColumnFormula>IF(T_BATTINGDATA[[#This Row],[Team]]=I_TEAM,T_BATTINGDATA[[#This Row],[R]],0)</calculatedColumnFormula>
    </tableColumn>
    <tableColumn id="15" xr3:uid="{00000000-0010-0000-0000-00000F000000}" name="BATSMAN NAME" dataDxfId="47">
      <calculatedColumnFormula>LEFT(T_BATTINGDATA[[#This Row],[Batsman]],IFERROR(FIND("*",T_BATTINGDATA[[#This Row],[Batsman]])-1,IFERROR(FIND("†",T_BATTINGDATA[[#This Row],[Batsman]])-1,LEN(T_BATTINGDATA[[#This Row],[Batsman]]))))</calculatedColumnFormula>
    </tableColumn>
    <tableColumn id="16" xr3:uid="{00000000-0010-0000-0000-000010000000}" name="Batsman Cum Score" dataDxfId="46">
      <calculatedColumnFormula>IFERROR(IF(MATCH(T_BATTINGDATA[[#This Row],[BATSMAN NAME]],OFFSET(O7,0,0,BATROWS-ROW(O6)-ROW(T_BATTINGDATA[[#Headers],[BATSMAN NAME]])),0)&gt;0,0,SUMIF($O$6:O6,T_BATTINGDATA[[#This Row],[BATSMAN NAME]],$E$6:E6)),SUMIF($O$6:O6,T_BATTINGDATA[[#This Row],[BATSMAN NAME]],$E$6:E6))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EXTRAS" displayName="T_EXTRAS" ref="R5:Y101" totalsRowShown="0">
  <autoFilter ref="R5:Y101" xr:uid="{00000000-0009-0000-0100-000002000000}"/>
  <tableColumns count="8">
    <tableColumn id="1" xr3:uid="{00000000-0010-0000-0100-000001000000}" name="Match Number"/>
    <tableColumn id="2" xr3:uid="{00000000-0010-0000-0100-000002000000}" name="Team Batting"/>
    <tableColumn id="3" xr3:uid="{00000000-0010-0000-0100-000003000000}" name="LB"/>
    <tableColumn id="4" xr3:uid="{00000000-0010-0000-0100-000004000000}" name="W"/>
    <tableColumn id="5" xr3:uid="{00000000-0010-0000-0100-000005000000}" name="NB"/>
    <tableColumn id="6" xr3:uid="{00000000-0010-0000-0100-000006000000}" name="BYES"/>
    <tableColumn id="7" xr3:uid="{00000000-0010-0000-0100-000007000000}" name="TOTAL"/>
    <tableColumn id="8" xr3:uid="{00000000-0010-0000-0100-000008000000}" name="LINK" dataDxfId="45">
      <calculatedColumnFormula>CONCATENATE(T_EXTRAS[[#This Row],[Match Number]],T_EXTRAS[[#This Row],[Team Batting]])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MTOTAL" displayName="T_MTOTAL" ref="AA5:AN103" totalsRowShown="0">
  <autoFilter ref="AA5:AN103" xr:uid="{00000000-0009-0000-0100-000003000000}"/>
  <sortState xmlns:xlrd2="http://schemas.microsoft.com/office/spreadsheetml/2017/richdata2" ref="AA6:AM103">
    <sortCondition ref="AA6:AA103"/>
    <sortCondition ref="AH6:AH103"/>
  </sortState>
  <tableColumns count="14">
    <tableColumn id="1" xr3:uid="{00000000-0010-0000-0200-000001000000}" name="Match Number"/>
    <tableColumn id="2" xr3:uid="{00000000-0010-0000-0200-000002000000}" name="Team"/>
    <tableColumn id="3" xr3:uid="{00000000-0010-0000-0200-000003000000}" name="Wickets"/>
    <tableColumn id="4" xr3:uid="{00000000-0010-0000-0200-000004000000}" name="Total"/>
    <tableColumn id="5" xr3:uid="{00000000-0010-0000-0200-000005000000}" name="RPO"/>
    <tableColumn id="6" xr3:uid="{00000000-0010-0000-0200-000006000000}" name="Overs"/>
    <tableColumn id="7" xr3:uid="{00000000-0010-0000-0200-000007000000}" name="LINK" dataDxfId="44">
      <calculatedColumnFormula>T_MTOTAL[[#This Row],[Match Number]]&amp;T_MTOTAL[[#This Row],[Team]]</calculatedColumnFormula>
    </tableColumn>
    <tableColumn id="8" xr3:uid="{00000000-0010-0000-0200-000008000000}" name="ORDER"/>
    <tableColumn id="9" xr3:uid="{00000000-0010-0000-0200-000009000000}" name="ORDER LINK" dataDxfId="43">
      <calculatedColumnFormula>T_MTOTAL[[#This Row],[Match Number]]&amp;" "&amp;T_MTOTAL[[#This Row],[ORDER]]</calculatedColumnFormula>
    </tableColumn>
    <tableColumn id="10" xr3:uid="{00000000-0010-0000-0200-00000A000000}" name="BOWLING TEAM" dataDxfId="42">
      <calculatedColumnFormula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calculatedColumnFormula>
    </tableColumn>
    <tableColumn id="11" xr3:uid="{00000000-0010-0000-0200-00000B000000}" name="Counting Overs" dataDxfId="41">
      <calculatedColumnFormula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calculatedColumnFormula>
    </tableColumn>
    <tableColumn id="12" xr3:uid="{00000000-0010-0000-0200-00000C000000}" name="Counting balls" dataDxfId="40">
      <calculatedColumnFormula>(LEFT(T_MTOTAL[[#This Row],[Counting Overs]],IFERROR(FIND(".",T_MTOTAL[[#This Row],[Counting Overs]])-1,LEN(T_MTOTAL[[#This Row],[Counting Overs]])))*6) + IFERROR(IF(FIND(".",T_MTOTAL[[#This Row],[Counting Overs]])+1&gt;0,RIGHT(T_MTOTAL[[#This Row],[Counting Overs]],1),0),0)</calculatedColumnFormula>
    </tableColumn>
    <tableColumn id="13" xr3:uid="{00000000-0010-0000-0200-00000D000000}" name="Counting Actual Balls" dataDxfId="39">
      <calculatedColumnFormula>(LEFT(T_MTOTAL[[#This Row],[Overs]],IFERROR(FIND(".",T_MTOTAL[[#This Row],[Overs]])-1,LEN(T_MTOTAL[[#This Row],[Overs]])))*6) + IFERROR(IF(FIND(".",T_MTOTAL[[#This Row],[Overs]])+1&gt;0,RIGHT(T_MTOTAL[[#This Row],[Overs]],1),0),0)</calculatedColumnFormula>
    </tableColumn>
    <tableColumn id="14" xr3:uid="{00000000-0010-0000-0200-00000E000000}" name="Counted Runs" dataDxfId="38">
      <calculatedColumnFormula>IFERROR(IF(MATCH(T_MTOTAL[[#This Row],[ORDER LINK]],T_DL[link],0)&gt;0,INDEX(T_DL[d/l score],MATCH(T_MTOTAL[[#This Row],[ORDER LINK]],T_DL[link],0)),""),T_MTOTAL[[#This Row],[Total]])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9" displayName="Table9" ref="AP5:BL590" totalsRowShown="0">
  <autoFilter ref="AP5:BL590" xr:uid="{00000000-0009-0000-0100-000004000000}"/>
  <tableColumns count="23">
    <tableColumn id="24" xr3:uid="{00000000-0010-0000-0300-000018000000}" name="Match Number"/>
    <tableColumn id="23" xr3:uid="{00000000-0010-0000-0300-000017000000}" name="Team"/>
    <tableColumn id="1" xr3:uid="{00000000-0010-0000-0300-000001000000}" name="Bowler"/>
    <tableColumn id="2" xr3:uid="{00000000-0010-0000-0300-000002000000}" name="Overs"/>
    <tableColumn id="3" xr3:uid="{00000000-0010-0000-0300-000003000000}" name="Maidens"/>
    <tableColumn id="4" xr3:uid="{00000000-0010-0000-0300-000004000000}" name="Runs"/>
    <tableColumn id="5" xr3:uid="{00000000-0010-0000-0300-000005000000}" name="Wickets"/>
    <tableColumn id="6" xr3:uid="{00000000-0010-0000-0300-000006000000}" name="Econ"/>
    <tableColumn id="7" xr3:uid="{00000000-0010-0000-0300-000007000000}" name="0s"/>
    <tableColumn id="8" xr3:uid="{00000000-0010-0000-0300-000008000000}" name="4s"/>
    <tableColumn id="9" xr3:uid="{00000000-0010-0000-0300-000009000000}" name="6s"/>
    <tableColumn id="10" xr3:uid="{00000000-0010-0000-0300-00000A000000}" name="Wides"/>
    <tableColumn id="11" xr3:uid="{00000000-0010-0000-0300-00000B000000}" name="No balls"/>
    <tableColumn id="26" xr3:uid="{00000000-0010-0000-0300-00001A000000}" name="BOWL NUM"/>
    <tableColumn id="25" xr3:uid="{00000000-0010-0000-0300-000019000000}" name="LINK" dataDxfId="37">
      <calculatedColumnFormula>CONCATENATE(Table9[[#This Row],[Match Number]],Table9[[#This Row],[Team]],Table9[[#This Row],[BOWL NUM]])</calculatedColumnFormula>
    </tableColumn>
    <tableColumn id="12" xr3:uid="{00000000-0010-0000-0300-00000C000000}" name="SEL TEAM BOWLER" dataDxfId="36">
      <calculatedColumnFormula>IFERROR(IF(AND(Table9[[#This Row],[Team]]=I_TEAM,IFERROR(IF(MATCH(Table9[[#This Row],[Bowler]],$AR$5:AR5,0)&gt;0,0),1)),1,0),"")</calculatedColumnFormula>
    </tableColumn>
    <tableColumn id="13" xr3:uid="{00000000-0010-0000-0300-00000D000000}" name="BALLS BOWLED" dataDxfId="35">
      <calculatedColumnFormula>(LEFT(Table9[[#This Row],[Overs]],IFERROR(FIND(".",Table9[[#This Row],[Overs]])-1,LEN(Table9[[#This Row],[Overs]])))*6) + IFERROR(IF(FIND(".",Table9[[#This Row],[Overs]])+1&gt;0,RIGHT(Table9[[#This Row],[Overs]],1),0),0)</calculatedColumnFormula>
    </tableColumn>
    <tableColumn id="14" xr3:uid="{00000000-0010-0000-0300-00000E000000}" name="BATTING TEAM" dataDxfId="34">
      <calculatedColumnFormula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calculatedColumnFormula>
    </tableColumn>
    <tableColumn id="15" xr3:uid="{00000000-0010-0000-0300-00000F000000}" name="SEL TEAM WICKETS" dataDxfId="33">
      <calculatedColumnFormula>IF(Table9[[#This Row],[Team]]=I_TEAM,Table9[[#This Row],[Wickets]]*100-Table9[[#This Row],[Runs]],0)</calculatedColumnFormula>
    </tableColumn>
    <tableColumn id="16" xr3:uid="{00000000-0010-0000-0300-000010000000}" name="VALUE WICKETS" dataDxfId="32">
      <calculatedColumnFormula>Table9[[#This Row],[Wickets]]*100-Table9[[#This Row],[Runs]]</calculatedColumnFormula>
    </tableColumn>
    <tableColumn id="17" xr3:uid="{00000000-0010-0000-0300-000011000000}" name="BOWLER CUML WICKETS" dataDxfId="31">
      <calculatedColumnFormula>IFERROR(IF(MATCH(Table9[[#This Row],[Bowler]],OFFSET(AR7,0,0,BOWLROWS-ROW(AR6)-ROW(Table9[[#Headers],[BOWLER CUML WICKETS]])),0)&gt;0,0,SUMIF($AR$6:AR6,Table9[[#This Row],[Bowler]],$AV$6:AV6)),SUMIF($AR$6:AR6,Table9[[#This Row],[Bowler]],$AV$6:AV6))</calculatedColumnFormula>
    </tableColumn>
    <tableColumn id="18" xr3:uid="{00000000-0010-0000-0300-000012000000}" name="BOWLER CUML RUNS" dataDxfId="30">
      <calculatedColumnFormula>IFERROR(IF(MATCH(Table9[[#This Row],[Bowler]],OFFSET(AR7,0,0,BOWLROWS-ROW(AR6)-ROW(Table9[[#Headers],[BOWLER CUML WICKETS]])),0)&gt;0,0,SUMIF($AR$6:AR6,Table9[[#This Row],[Bowler]],$AU$6:AU6)),SUMIF($AR$6:AR6,Table9[[#This Row],[Bowler]],$AU$6:AU6))</calculatedColumnFormula>
    </tableColumn>
    <tableColumn id="19" xr3:uid="{00000000-0010-0000-0300-000013000000}" name="BOWLER CUML VALUE" dataDxfId="29">
      <calculatedColumnFormula>Table9[[#This Row],[BOWLER CUML WICKETS]]*100-Table9[[#This Row],[BOWLER CUML RUNS]]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1" displayName="Table11" ref="A6:R2267" totalsRowShown="0" headerRowDxfId="28">
  <autoFilter ref="A6:R2267" xr:uid="{00000000-0009-0000-0100-000005000000}"/>
  <tableColumns count="18">
    <tableColumn id="1" xr3:uid="{00000000-0010-0000-0400-000001000000}" name="Match"/>
    <tableColumn id="3" xr3:uid="{00000000-0010-0000-0400-000003000000}" name="Over" dataDxfId="27"/>
    <tableColumn id="4" xr3:uid="{00000000-0010-0000-0400-000004000000}" name="Score" dataDxfId="26"/>
    <tableColumn id="5" xr3:uid="{00000000-0010-0000-0400-000005000000}" name="Runs" dataDxfId="25"/>
    <tableColumn id="6" xr3:uid="{00000000-0010-0000-0400-000006000000}" name="Run Rate" dataDxfId="24"/>
    <tableColumn id="7" xr3:uid="{00000000-0010-0000-0400-000007000000}" name="Rate/5ov" dataDxfId="23"/>
    <tableColumn id="9" xr3:uid="{00000000-0010-0000-0400-000009000000}" name="Score2 " dataDxfId="22"/>
    <tableColumn id="10" xr3:uid="{00000000-0010-0000-0400-00000A000000}" name="Runs 2" dataDxfId="21"/>
    <tableColumn id="11" xr3:uid="{00000000-0010-0000-0400-00000B000000}" name="Run Rate 2" dataDxfId="20"/>
    <tableColumn id="12" xr3:uid="{00000000-0010-0000-0400-00000C000000}" name="Rate/5ov 2" dataDxfId="19"/>
    <tableColumn id="13" xr3:uid="{00000000-0010-0000-0400-00000D000000}" name="Rate Req" dataDxfId="18"/>
    <tableColumn id="14" xr3:uid="{00000000-0010-0000-0400-00000E000000}" name="Runs Req" dataDxfId="17"/>
    <tableColumn id="15" xr3:uid="{00000000-0010-0000-0400-00000F000000}" name="Balls Rem" dataDxfId="16"/>
    <tableColumn id="16" xr3:uid="{00000000-0010-0000-0400-000010000000}" name="Score One" dataDxfId="15">
      <calculatedColumnFormula>_xlfn.NUMBERVALUE(LEFT(Table11[[#This Row],[Score]],FIND("/",Table11[[#This Row],[Score]])-1))</calculatedColumnFormula>
    </tableColumn>
    <tableColumn id="17" xr3:uid="{00000000-0010-0000-0400-000011000000}" name="Score Two" dataDxfId="14">
      <calculatedColumnFormula>IFERROR(_xlfn.NUMBERVALUE(LEFT(Table11[[#This Row],[Score2 ]],FIND("/",Table11[[#This Row],[Score2 ]])-1)),"")</calculatedColumnFormula>
    </tableColumn>
    <tableColumn id="2" xr3:uid="{00000000-0010-0000-0400-000002000000}" name="Team 1" dataDxfId="13"/>
    <tableColumn id="8" xr3:uid="{00000000-0010-0000-0400-000008000000}" name="Team2" dataDxfId="12"/>
    <tableColumn id="18" xr3:uid="{00000000-0010-0000-0400-000012000000}" name="Link" dataDxfId="11">
      <calculatedColumnFormula>Table11[[#This Row],[Match]]&amp;" "&amp;Table11[[#This Row],[Over]]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MATCHSUM" displayName="T_MATCHSUM" ref="A5:K54" totalsRowShown="0">
  <autoFilter ref="A5:K54" xr:uid="{00000000-0009-0000-0100-000006000000}"/>
  <sortState xmlns:xlrd2="http://schemas.microsoft.com/office/spreadsheetml/2017/richdata2" ref="A6:K54">
    <sortCondition ref="A5:A54"/>
  </sortState>
  <tableColumns count="11">
    <tableColumn id="1" xr3:uid="{00000000-0010-0000-0500-000001000000}" name="Match Number"/>
    <tableColumn id="2" xr3:uid="{00000000-0010-0000-0500-000002000000}" name="Ground"/>
    <tableColumn id="3" xr3:uid="{00000000-0010-0000-0500-000003000000}" name="TEAM ONE"/>
    <tableColumn id="4" xr3:uid="{00000000-0010-0000-0500-000004000000}" name="TEAM TWO"/>
    <tableColumn id="5" xr3:uid="{00000000-0010-0000-0500-000005000000}" name="DATE"/>
    <tableColumn id="8" xr3:uid="{00000000-0010-0000-0500-000008000000}" name="RESULT"/>
    <tableColumn id="6" xr3:uid="{00000000-0010-0000-0500-000006000000}" name="WINNER"/>
    <tableColumn id="7" xr3:uid="{00000000-0010-0000-0500-000007000000}" name="WIN MARGIN"/>
    <tableColumn id="9" xr3:uid="{00000000-0010-0000-0500-000009000000}" name="MATCH NAME" dataDxfId="10">
      <calculatedColumnFormula>T_MATCHSUM[[#This Row],[Match Number]]&amp;" "&amp;T_MATCHSUM[[#This Row],[TEAM ONE]]&amp;" Vs "&amp;T_MATCHSUM[[#This Row],[TEAM TWO]]</calculatedColumnFormula>
    </tableColumn>
    <tableColumn id="10" xr3:uid="{00000000-0010-0000-0500-00000A000000}" name="LOSING TEAM" dataDxfId="9">
      <calculatedColumnFormula>IF(T_MATCHSUM[[#This Row],[RESULT]]="ABAN","",IF(T_MATCHSUM[[#This Row],[TEAM ONE]]=T_MATCHSUM[[#This Row],[WINNER]],T_MATCHSUM[[#This Row],[TEAM TWO]],T_MATCHSUM[[#This Row],[TEAM ONE]]))</calculatedColumnFormula>
    </tableColumn>
    <tableColumn id="11" xr3:uid="{00000000-0010-0000-0500-00000B000000}" name="D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DL" displayName="T_DL" ref="M5:Q13" totalsRowShown="0">
  <autoFilter ref="M5:Q13" xr:uid="{00000000-0009-0000-0100-000007000000}"/>
  <tableColumns count="5">
    <tableColumn id="1" xr3:uid="{00000000-0010-0000-0600-000001000000}" name="Match Number"/>
    <tableColumn id="2" xr3:uid="{00000000-0010-0000-0600-000002000000}" name="Innings"/>
    <tableColumn id="3" xr3:uid="{00000000-0010-0000-0600-000003000000}" name="D/L Overs"/>
    <tableColumn id="4" xr3:uid="{00000000-0010-0000-0600-000004000000}" name="link" dataDxfId="8">
      <calculatedColumnFormula>T_DL[[#This Row],[Match Number]]&amp;" "&amp;T_DL[[#This Row],[Innings]]</calculatedColumnFormula>
    </tableColumn>
    <tableColumn id="5" xr3:uid="{00000000-0010-0000-0600-000005000000}" name="d/l sco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FLAGS" displayName="T_FLAGS" ref="A4:F18" totalsRowShown="0">
  <autoFilter ref="A4:F18" xr:uid="{00000000-0009-0000-0100-000008000000}"/>
  <sortState xmlns:xlrd2="http://schemas.microsoft.com/office/spreadsheetml/2017/richdata2" ref="A5:E18">
    <sortCondition ref="A4:A18"/>
  </sortState>
  <tableColumns count="6">
    <tableColumn id="1" xr3:uid="{00000000-0010-0000-0700-000001000000}" name="TEAM"/>
    <tableColumn id="2" xr3:uid="{00000000-0010-0000-0700-000002000000}" name="FLAG" dataDxfId="7"/>
    <tableColumn id="3" xr3:uid="{00000000-0010-0000-0700-000003000000}" name="TEAM ABR"/>
    <tableColumn id="4" xr3:uid="{00000000-0010-0000-0700-000004000000}" name="COLORS"/>
    <tableColumn id="5" xr3:uid="{00000000-0010-0000-0700-000005000000}" name="LOGO"/>
    <tableColumn id="6" xr3:uid="{00000000-0010-0000-0700-000006000000}" name="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2:BL868"/>
  <sheetViews>
    <sheetView topLeftCell="Z1" workbookViewId="0"/>
  </sheetViews>
  <sheetFormatPr defaultRowHeight="14.4" x14ac:dyDescent="0.3"/>
  <cols>
    <col min="2" max="2" width="17.88671875" bestFit="1" customWidth="1"/>
    <col min="3" max="3" width="28.109375" customWidth="1"/>
    <col min="4" max="4" width="32.44140625" bestFit="1" customWidth="1"/>
    <col min="10" max="10" width="13.88671875" bestFit="1" customWidth="1"/>
    <col min="11" max="14" width="13.88671875" customWidth="1"/>
    <col min="15" max="16" width="18.33203125" customWidth="1"/>
    <col min="17" max="17" width="16.44140625" customWidth="1"/>
    <col min="19" max="19" width="25.6640625" customWidth="1"/>
    <col min="25" max="26" width="16.44140625" customWidth="1"/>
    <col min="28" max="28" width="10.33203125" customWidth="1"/>
    <col min="33" max="33" width="21.33203125" customWidth="1"/>
    <col min="35" max="67" width="16.44140625" customWidth="1"/>
    <col min="71" max="71" width="9.44140625" customWidth="1"/>
    <col min="73" max="73" width="10.88671875" customWidth="1"/>
    <col min="75" max="75" width="10.33203125" customWidth="1"/>
    <col min="81" max="81" width="10.33203125" customWidth="1"/>
  </cols>
  <sheetData>
    <row r="2" spans="1:64" x14ac:dyDescent="0.3">
      <c r="P2">
        <f>ROWS(T_BATTINGDATA[Match])</f>
        <v>863</v>
      </c>
    </row>
    <row r="3" spans="1:64" x14ac:dyDescent="0.3">
      <c r="A3" t="s">
        <v>84</v>
      </c>
      <c r="R3" t="s">
        <v>85</v>
      </c>
      <c r="AA3" t="s">
        <v>86</v>
      </c>
      <c r="BJ3">
        <f>ROWS(Table9[Match Number])</f>
        <v>585</v>
      </c>
    </row>
    <row r="5" spans="1:64" x14ac:dyDescent="0.3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94</v>
      </c>
      <c r="I5" t="s">
        <v>95</v>
      </c>
      <c r="J5" t="s">
        <v>96</v>
      </c>
      <c r="K5" t="s">
        <v>97</v>
      </c>
      <c r="L5" t="s">
        <v>98</v>
      </c>
      <c r="M5" t="s">
        <v>99</v>
      </c>
      <c r="N5" t="s">
        <v>100</v>
      </c>
      <c r="O5" t="s">
        <v>101</v>
      </c>
      <c r="P5" t="s">
        <v>102</v>
      </c>
      <c r="R5" t="s">
        <v>103</v>
      </c>
      <c r="S5" t="s">
        <v>104</v>
      </c>
      <c r="T5" t="s">
        <v>105</v>
      </c>
      <c r="U5" t="s">
        <v>106</v>
      </c>
      <c r="V5" t="s">
        <v>107</v>
      </c>
      <c r="W5" t="s">
        <v>108</v>
      </c>
      <c r="X5" t="s">
        <v>109</v>
      </c>
      <c r="Y5" t="s">
        <v>98</v>
      </c>
      <c r="AA5" t="s">
        <v>103</v>
      </c>
      <c r="AB5" t="s">
        <v>88</v>
      </c>
      <c r="AC5" t="s">
        <v>110</v>
      </c>
      <c r="AD5" t="s">
        <v>111</v>
      </c>
      <c r="AE5" t="s">
        <v>112</v>
      </c>
      <c r="AF5" t="s">
        <v>113</v>
      </c>
      <c r="AG5" t="s">
        <v>98</v>
      </c>
      <c r="AH5" t="s">
        <v>114</v>
      </c>
      <c r="AI5" t="s">
        <v>115</v>
      </c>
      <c r="AJ5" t="s">
        <v>116</v>
      </c>
      <c r="AK5" t="s">
        <v>117</v>
      </c>
      <c r="AL5" t="s">
        <v>118</v>
      </c>
      <c r="AM5" t="s">
        <v>119</v>
      </c>
      <c r="AN5" t="s">
        <v>120</v>
      </c>
      <c r="AP5" t="s">
        <v>103</v>
      </c>
      <c r="AQ5" t="s">
        <v>88</v>
      </c>
      <c r="AR5" t="s">
        <v>121</v>
      </c>
      <c r="AS5" t="s">
        <v>113</v>
      </c>
      <c r="AT5" t="s">
        <v>122</v>
      </c>
      <c r="AU5" t="s">
        <v>123</v>
      </c>
      <c r="AV5" t="s">
        <v>110</v>
      </c>
      <c r="AW5" t="s">
        <v>124</v>
      </c>
      <c r="AX5" t="s">
        <v>125</v>
      </c>
      <c r="AY5" t="s">
        <v>94</v>
      </c>
      <c r="AZ5" t="s">
        <v>95</v>
      </c>
      <c r="BA5" t="s">
        <v>126</v>
      </c>
      <c r="BB5" t="s">
        <v>127</v>
      </c>
      <c r="BC5" t="s">
        <v>128</v>
      </c>
      <c r="BD5" t="s">
        <v>98</v>
      </c>
      <c r="BE5" t="s">
        <v>129</v>
      </c>
      <c r="BF5" t="s">
        <v>130</v>
      </c>
      <c r="BG5" t="s">
        <v>131</v>
      </c>
      <c r="BH5" t="s">
        <v>132</v>
      </c>
      <c r="BI5" t="s">
        <v>133</v>
      </c>
      <c r="BJ5" t="s">
        <v>134</v>
      </c>
      <c r="BK5" t="s">
        <v>135</v>
      </c>
      <c r="BL5" t="s">
        <v>136</v>
      </c>
    </row>
    <row r="6" spans="1:64" x14ac:dyDescent="0.3">
      <c r="A6">
        <v>13</v>
      </c>
      <c r="B6" t="s">
        <v>137</v>
      </c>
      <c r="C6" t="s">
        <v>138</v>
      </c>
      <c r="D6" t="s">
        <v>139</v>
      </c>
      <c r="E6">
        <v>0</v>
      </c>
      <c r="F6">
        <v>13</v>
      </c>
      <c r="G6">
        <v>6</v>
      </c>
      <c r="H6">
        <v>0</v>
      </c>
      <c r="I6">
        <v>0</v>
      </c>
      <c r="J6">
        <v>0</v>
      </c>
      <c r="K6">
        <v>1</v>
      </c>
      <c r="L6" t="str">
        <f>CONCATENATE(T_BATTINGDATA[[#This Row],[Match]],T_BATTINGDATA[[#This Row],[Team]],T_BATTINGDATA[[#This Row],[Bat Number]])</f>
        <v>13India1</v>
      </c>
      <c r="M6" t="str">
        <f>IFERROR(IF(AND(T_BATTINGDATA[[#This Row],[Team]]=I_TEAM,IFERROR(IF(MATCH(T_BATTINGDATA[[#This Row],[BATSMAN NAME]],$O$5:O5,0)&gt;0,0),1)),1,0),"")</f>
        <v/>
      </c>
      <c r="N6" t="e">
        <f>IF(T_BATTINGDATA[[#This Row],[Team]]=I_TEAM,T_BATTINGDATA[[#This Row],[R]],0)</f>
        <v>#REF!</v>
      </c>
      <c r="O6" t="str">
        <f>LEFT(T_BATTINGDATA[[#This Row],[Batsman]],IFERROR(FIND("*",T_BATTINGDATA[[#This Row],[Batsman]])-1,IFERROR(FIND("†",T_BATTINGDATA[[#This Row],[Batsman]])-1,LEN(T_BATTINGDATA[[#This Row],[Batsman]]))))</f>
        <v>RG Sharma</v>
      </c>
      <c r="P6">
        <f ca="1">IFERROR(IF(MATCH(T_BATTINGDATA[[#This Row],[BATSMAN NAME]],OFFSET(O7,0,0,BATROWS-ROW(O6)-ROW(T_BATTINGDATA[[#Headers],[BATSMAN NAME]])),0)&gt;0,0,SUMIF($O$6:O6,T_BATTINGDATA[[#This Row],[BATSMAN NAME]],$E$6:E6)),SUMIF($O$6:O6,T_BATTINGDATA[[#This Row],[BATSMAN NAME]],$E$6:E6))</f>
        <v>0</v>
      </c>
      <c r="R6">
        <v>13</v>
      </c>
      <c r="S6" t="s">
        <v>137</v>
      </c>
      <c r="T6">
        <v>2</v>
      </c>
      <c r="U6">
        <v>6</v>
      </c>
      <c r="V6">
        <v>2</v>
      </c>
      <c r="X6">
        <v>10</v>
      </c>
      <c r="Y6" t="str">
        <f>CONCATENATE(T_EXTRAS[[#This Row],[Match Number]],T_EXTRAS[[#This Row],[Team Batting]])</f>
        <v>13India</v>
      </c>
      <c r="AA6">
        <v>1</v>
      </c>
      <c r="AB6" t="s">
        <v>140</v>
      </c>
      <c r="AC6">
        <v>6</v>
      </c>
      <c r="AD6">
        <v>331</v>
      </c>
      <c r="AE6">
        <v>6.62</v>
      </c>
      <c r="AF6">
        <v>50</v>
      </c>
      <c r="AG6" t="str">
        <f>T_MTOTAL[[#This Row],[Match Number]]&amp;T_MTOTAL[[#This Row],[Team]]</f>
        <v>1New Zealand</v>
      </c>
      <c r="AH6">
        <v>1</v>
      </c>
      <c r="AI6" t="str">
        <f>T_MTOTAL[[#This Row],[Match Number]]&amp;" "&amp;T_MTOTAL[[#This Row],[ORDER]]</f>
        <v>1 1</v>
      </c>
      <c r="AJ6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SRI LANKA</v>
      </c>
      <c r="AK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6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6">
        <f>IFERROR(IF(MATCH(T_MTOTAL[[#This Row],[ORDER LINK]],T_DL[link],0)&gt;0,INDEX(T_DL[d/l score],MATCH(T_MTOTAL[[#This Row],[ORDER LINK]],T_DL[link],0)),""),T_MTOTAL[[#This Row],[Total]])</f>
        <v>331</v>
      </c>
      <c r="AP6">
        <v>13</v>
      </c>
      <c r="AQ6" t="s">
        <v>141</v>
      </c>
      <c r="AR6" t="s">
        <v>142</v>
      </c>
      <c r="AS6">
        <v>10</v>
      </c>
      <c r="AT6">
        <v>1</v>
      </c>
      <c r="AU6">
        <v>55</v>
      </c>
      <c r="AV6">
        <v>1</v>
      </c>
      <c r="AW6">
        <v>5.5</v>
      </c>
      <c r="AX6">
        <v>36</v>
      </c>
      <c r="AY6">
        <v>6</v>
      </c>
      <c r="AZ6">
        <v>2</v>
      </c>
      <c r="BC6">
        <v>1</v>
      </c>
      <c r="BD6" t="str">
        <f>CONCATENATE(Table9[[#This Row],[Match Number]],Table9[[#This Row],[Team]],Table9[[#This Row],[BOWL NUM]])</f>
        <v>13South Africa1</v>
      </c>
      <c r="BE6" t="str">
        <f>IFERROR(IF(AND(Table9[[#This Row],[Team]]=I_TEAM,IFERROR(IF(MATCH(Table9[[#This Row],[Bowler]],$AR$5:AR5,0)&gt;0,0),1)),1,0),"")</f>
        <v/>
      </c>
      <c r="BF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6" t="e">
        <f>IF(Table9[[#This Row],[Team]]=I_TEAM,Table9[[#This Row],[Wickets]]*100-Table9[[#This Row],[Runs]],0)</f>
        <v>#REF!</v>
      </c>
      <c r="BI6">
        <f>Table9[[#This Row],[Wickets]]*100-Table9[[#This Row],[Runs]]</f>
        <v>45</v>
      </c>
      <c r="BJ6">
        <f ca="1">IFERROR(IF(MATCH(Table9[[#This Row],[Bowler]],OFFSET(AR7,0,0,BOWLROWS-ROW(AR6)-ROW(Table9[[#Headers],[BOWLER CUML WICKETS]])),0)&gt;0,0,SUMIF($AR$6:AR6,Table9[[#This Row],[Bowler]],$AV$6:AV6)),SUMIF($AR$6:AR6,Table9[[#This Row],[Bowler]],$AV$6:AV6))</f>
        <v>0</v>
      </c>
      <c r="BK6">
        <f ca="1">IFERROR(IF(MATCH(Table9[[#This Row],[Bowler]],OFFSET(AR7,0,0,BOWLROWS-ROW(AR6)-ROW(Table9[[#Headers],[BOWLER CUML WICKETS]])),0)&gt;0,0,SUMIF($AR$6:AR6,Table9[[#This Row],[Bowler]],$AU$6:AU6)),SUMIF($AR$6:AR6,Table9[[#This Row],[Bowler]],$AU$6:AU6))</f>
        <v>0</v>
      </c>
      <c r="BL6">
        <f ca="1">Table9[[#This Row],[BOWLER CUML WICKETS]]*100-Table9[[#This Row],[BOWLER CUML RUNS]]</f>
        <v>0</v>
      </c>
    </row>
    <row r="7" spans="1:64" x14ac:dyDescent="0.3">
      <c r="A7">
        <v>13</v>
      </c>
      <c r="B7" t="s">
        <v>137</v>
      </c>
      <c r="C7" t="s">
        <v>143</v>
      </c>
      <c r="D7" t="s">
        <v>144</v>
      </c>
      <c r="E7">
        <v>137</v>
      </c>
      <c r="F7">
        <v>199</v>
      </c>
      <c r="G7">
        <v>146</v>
      </c>
      <c r="H7">
        <v>16</v>
      </c>
      <c r="I7">
        <v>2</v>
      </c>
      <c r="J7">
        <v>93.83</v>
      </c>
      <c r="K7">
        <v>2</v>
      </c>
      <c r="L7" t="str">
        <f>CONCATENATE(T_BATTINGDATA[[#This Row],[Match]],T_BATTINGDATA[[#This Row],[Team]],T_BATTINGDATA[[#This Row],[Bat Number]])</f>
        <v>13India2</v>
      </c>
      <c r="M7" t="str">
        <f>IFERROR(IF(AND(T_BATTINGDATA[[#This Row],[Team]]=I_TEAM,IFERROR(IF(MATCH(T_BATTINGDATA[[#This Row],[BATSMAN NAME]],$O$5:O6,0)&gt;0,0),1)),1,0),"")</f>
        <v/>
      </c>
      <c r="N7" t="e">
        <f>IF(T_BATTINGDATA[[#This Row],[Team]]=I_TEAM,T_BATTINGDATA[[#This Row],[R]],0)</f>
        <v>#REF!</v>
      </c>
      <c r="O7" t="str">
        <f>LEFT(T_BATTINGDATA[[#This Row],[Batsman]],IFERROR(FIND("*",T_BATTINGDATA[[#This Row],[Batsman]])-1,IFERROR(FIND("†",T_BATTINGDATA[[#This Row],[Batsman]])-1,LEN(T_BATTINGDATA[[#This Row],[Batsman]]))))</f>
        <v>S Dhawan</v>
      </c>
      <c r="P7">
        <f ca="1">IFERROR(IF(MATCH(T_BATTINGDATA[[#This Row],[BATSMAN NAME]],OFFSET(O8,0,0,BATROWS-ROW(O7)-ROW(T_BATTINGDATA[[#Headers],[BATSMAN NAME]])),0)&gt;0,0,SUMIF($O$6:O7,T_BATTINGDATA[[#This Row],[BATSMAN NAME]],$E$6:E7)),SUMIF($O$6:O7,T_BATTINGDATA[[#This Row],[BATSMAN NAME]],$E$6:E7))</f>
        <v>0</v>
      </c>
      <c r="R7">
        <v>13</v>
      </c>
      <c r="S7" t="s">
        <v>141</v>
      </c>
      <c r="T7">
        <v>1</v>
      </c>
      <c r="U7">
        <v>6</v>
      </c>
      <c r="X7">
        <v>7</v>
      </c>
      <c r="Y7" t="str">
        <f>CONCATENATE(T_EXTRAS[[#This Row],[Match Number]],T_EXTRAS[[#This Row],[Team Batting]])</f>
        <v>13South Africa</v>
      </c>
      <c r="AA7">
        <v>1</v>
      </c>
      <c r="AB7" t="s">
        <v>145</v>
      </c>
      <c r="AC7">
        <v>10</v>
      </c>
      <c r="AD7">
        <v>233</v>
      </c>
      <c r="AE7">
        <v>5.04</v>
      </c>
      <c r="AF7">
        <v>46.1</v>
      </c>
      <c r="AG7" t="str">
        <f>T_MTOTAL[[#This Row],[Match Number]]&amp;T_MTOTAL[[#This Row],[Team]]</f>
        <v>1Sri Lanka</v>
      </c>
      <c r="AH7">
        <v>2</v>
      </c>
      <c r="AI7" t="str">
        <f>T_MTOTAL[[#This Row],[Match Number]]&amp;" "&amp;T_MTOTAL[[#This Row],[ORDER]]</f>
        <v>1 2</v>
      </c>
      <c r="AJ7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NEW ZEALAND</v>
      </c>
      <c r="AK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7">
        <f>(LEFT(T_MTOTAL[[#This Row],[Overs]],IFERROR(FIND(".",T_MTOTAL[[#This Row],[Overs]])-1,LEN(T_MTOTAL[[#This Row],[Overs]])))*6) + IFERROR(IF(FIND(".",T_MTOTAL[[#This Row],[Overs]])+1&gt;0,RIGHT(T_MTOTAL[[#This Row],[Overs]],1),0),0)</f>
        <v>277</v>
      </c>
      <c r="AN7">
        <f>IFERROR(IF(MATCH(T_MTOTAL[[#This Row],[ORDER LINK]],T_DL[link],0)&gt;0,INDEX(T_DL[d/l score],MATCH(T_MTOTAL[[#This Row],[ORDER LINK]],T_DL[link],0)),""),T_MTOTAL[[#This Row],[Total]])</f>
        <v>233</v>
      </c>
      <c r="AP7">
        <v>13</v>
      </c>
      <c r="AQ7" t="s">
        <v>141</v>
      </c>
      <c r="AR7" t="s">
        <v>146</v>
      </c>
      <c r="AS7">
        <v>4</v>
      </c>
      <c r="AT7">
        <v>1</v>
      </c>
      <c r="AU7">
        <v>19</v>
      </c>
      <c r="AV7">
        <v>0</v>
      </c>
      <c r="AW7">
        <v>4.75</v>
      </c>
      <c r="AX7">
        <v>15</v>
      </c>
      <c r="AY7">
        <v>3</v>
      </c>
      <c r="AZ7">
        <v>0</v>
      </c>
      <c r="BC7">
        <v>2</v>
      </c>
      <c r="BD7" t="str">
        <f>CONCATENATE(Table9[[#This Row],[Match Number]],Table9[[#This Row],[Team]],Table9[[#This Row],[BOWL NUM]])</f>
        <v>13South Africa2</v>
      </c>
      <c r="BE7" t="str">
        <f>IFERROR(IF(AND(Table9[[#This Row],[Team]]=I_TEAM,IFERROR(IF(MATCH(Table9[[#This Row],[Bowler]],$AR$5:AR6,0)&gt;0,0),1)),1,0),"")</f>
        <v/>
      </c>
      <c r="BF7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" t="e">
        <f>IF(Table9[[#This Row],[Team]]=I_TEAM,Table9[[#This Row],[Wickets]]*100-Table9[[#This Row],[Runs]],0)</f>
        <v>#REF!</v>
      </c>
      <c r="BI7">
        <f>Table9[[#This Row],[Wickets]]*100-Table9[[#This Row],[Runs]]</f>
        <v>-19</v>
      </c>
      <c r="BJ7">
        <f ca="1">IFERROR(IF(MATCH(Table9[[#This Row],[Bowler]],OFFSET(AR8,0,0,BOWLROWS-ROW(AR7)-ROW(Table9[[#Headers],[BOWLER CUML WICKETS]])),0)&gt;0,0,SUMIF($AR$6:AR7,Table9[[#This Row],[Bowler]],$AV$6:AV7)),SUMIF($AR$6:AR7,Table9[[#This Row],[Bowler]],$AV$6:AV7))</f>
        <v>0</v>
      </c>
      <c r="BK7">
        <f ca="1">IFERROR(IF(MATCH(Table9[[#This Row],[Bowler]],OFFSET(AR8,0,0,BOWLROWS-ROW(AR7)-ROW(Table9[[#Headers],[BOWLER CUML WICKETS]])),0)&gt;0,0,SUMIF($AR$6:AR7,Table9[[#This Row],[Bowler]],$AU$6:AU7)),SUMIF($AR$6:AR7,Table9[[#This Row],[Bowler]],$AU$6:AU7))</f>
        <v>0</v>
      </c>
      <c r="BL7">
        <f ca="1">Table9[[#This Row],[BOWLER CUML WICKETS]]*100-Table9[[#This Row],[BOWLER CUML RUNS]]</f>
        <v>0</v>
      </c>
    </row>
    <row r="8" spans="1:64" x14ac:dyDescent="0.3">
      <c r="A8">
        <v>13</v>
      </c>
      <c r="B8" t="s">
        <v>137</v>
      </c>
      <c r="C8" t="s">
        <v>147</v>
      </c>
      <c r="D8" t="s">
        <v>148</v>
      </c>
      <c r="E8">
        <v>46</v>
      </c>
      <c r="F8">
        <v>106</v>
      </c>
      <c r="G8">
        <v>60</v>
      </c>
      <c r="H8">
        <v>3</v>
      </c>
      <c r="I8">
        <v>0</v>
      </c>
      <c r="J8">
        <v>76.66</v>
      </c>
      <c r="K8">
        <v>3</v>
      </c>
      <c r="L8" t="str">
        <f>CONCATENATE(T_BATTINGDATA[[#This Row],[Match]],T_BATTINGDATA[[#This Row],[Team]],T_BATTINGDATA[[#This Row],[Bat Number]])</f>
        <v>13India3</v>
      </c>
      <c r="M8" t="str">
        <f>IFERROR(IF(AND(T_BATTINGDATA[[#This Row],[Team]]=I_TEAM,IFERROR(IF(MATCH(T_BATTINGDATA[[#This Row],[BATSMAN NAME]],$O$5:O7,0)&gt;0,0),1)),1,0),"")</f>
        <v/>
      </c>
      <c r="N8" t="e">
        <f>IF(T_BATTINGDATA[[#This Row],[Team]]=I_TEAM,T_BATTINGDATA[[#This Row],[R]],0)</f>
        <v>#REF!</v>
      </c>
      <c r="O8" t="str">
        <f>LEFT(T_BATTINGDATA[[#This Row],[Batsman]],IFERROR(FIND("*",T_BATTINGDATA[[#This Row],[Batsman]])-1,IFERROR(FIND("†",T_BATTINGDATA[[#This Row],[Batsman]])-1,LEN(T_BATTINGDATA[[#This Row],[Batsman]]))))</f>
        <v>V Kohli</v>
      </c>
      <c r="P8">
        <f ca="1">IFERROR(IF(MATCH(T_BATTINGDATA[[#This Row],[BATSMAN NAME]],OFFSET(O9,0,0,BATROWS-ROW(O8)-ROW(T_BATTINGDATA[[#Headers],[BATSMAN NAME]])),0)&gt;0,0,SUMIF($O$6:O8,T_BATTINGDATA[[#This Row],[BATSMAN NAME]],$E$6:E8)),SUMIF($O$6:O8,T_BATTINGDATA[[#This Row],[BATSMAN NAME]],$E$6:E8))</f>
        <v>0</v>
      </c>
      <c r="R8">
        <v>4</v>
      </c>
      <c r="S8" t="s">
        <v>137</v>
      </c>
      <c r="T8">
        <v>2</v>
      </c>
      <c r="U8">
        <v>3</v>
      </c>
      <c r="V8">
        <v>1</v>
      </c>
      <c r="X8">
        <v>6</v>
      </c>
      <c r="Y8" t="str">
        <f>CONCATENATE(T_EXTRAS[[#This Row],[Match Number]],T_EXTRAS[[#This Row],[Team Batting]])</f>
        <v>4India</v>
      </c>
      <c r="AA8">
        <v>2</v>
      </c>
      <c r="AB8" t="s">
        <v>149</v>
      </c>
      <c r="AC8">
        <v>9</v>
      </c>
      <c r="AD8">
        <v>342</v>
      </c>
      <c r="AE8">
        <v>6.84</v>
      </c>
      <c r="AF8">
        <v>50</v>
      </c>
      <c r="AG8" t="str">
        <f>T_MTOTAL[[#This Row],[Match Number]]&amp;T_MTOTAL[[#This Row],[Team]]</f>
        <v>2Australia</v>
      </c>
      <c r="AH8">
        <v>1</v>
      </c>
      <c r="AI8" t="str">
        <f>T_MTOTAL[[#This Row],[Match Number]]&amp;" "&amp;T_MTOTAL[[#This Row],[ORDER]]</f>
        <v>2 1</v>
      </c>
      <c r="AJ8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ENGLAND</v>
      </c>
      <c r="AK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8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8">
        <f>IFERROR(IF(MATCH(T_MTOTAL[[#This Row],[ORDER LINK]],T_DL[link],0)&gt;0,INDEX(T_DL[d/l score],MATCH(T_MTOTAL[[#This Row],[ORDER LINK]],T_DL[link],0)),""),T_MTOTAL[[#This Row],[Total]])</f>
        <v>342</v>
      </c>
      <c r="AP8">
        <v>13</v>
      </c>
      <c r="AQ8" t="s">
        <v>141</v>
      </c>
      <c r="AR8" t="s">
        <v>150</v>
      </c>
      <c r="AS8">
        <v>7</v>
      </c>
      <c r="AT8">
        <v>0</v>
      </c>
      <c r="AU8">
        <v>39</v>
      </c>
      <c r="AV8">
        <v>0</v>
      </c>
      <c r="AW8">
        <v>5.57</v>
      </c>
      <c r="AX8">
        <v>17</v>
      </c>
      <c r="AY8">
        <v>3</v>
      </c>
      <c r="AZ8">
        <v>0</v>
      </c>
      <c r="BA8">
        <v>1</v>
      </c>
      <c r="BC8">
        <v>3</v>
      </c>
      <c r="BD8" t="str">
        <f>CONCATENATE(Table9[[#This Row],[Match Number]],Table9[[#This Row],[Team]],Table9[[#This Row],[BOWL NUM]])</f>
        <v>13South Africa3</v>
      </c>
      <c r="BE8" t="str">
        <f>IFERROR(IF(AND(Table9[[#This Row],[Team]]=I_TEAM,IFERROR(IF(MATCH(Table9[[#This Row],[Bowler]],$AR$5:AR7,0)&gt;0,0),1)),1,0),"")</f>
        <v/>
      </c>
      <c r="BF8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8" t="e">
        <f>IF(Table9[[#This Row],[Team]]=I_TEAM,Table9[[#This Row],[Wickets]]*100-Table9[[#This Row],[Runs]],0)</f>
        <v>#REF!</v>
      </c>
      <c r="BI8">
        <f>Table9[[#This Row],[Wickets]]*100-Table9[[#This Row],[Runs]]</f>
        <v>-39</v>
      </c>
      <c r="BJ8">
        <f ca="1">IFERROR(IF(MATCH(Table9[[#This Row],[Bowler]],OFFSET(AR9,0,0,BOWLROWS-ROW(AR8)-ROW(Table9[[#Headers],[BOWLER CUML WICKETS]])),0)&gt;0,0,SUMIF($AR$6:AR8,Table9[[#This Row],[Bowler]],$AV$6:AV8)),SUMIF($AR$6:AR8,Table9[[#This Row],[Bowler]],$AV$6:AV8))</f>
        <v>0</v>
      </c>
      <c r="BK8">
        <f ca="1">IFERROR(IF(MATCH(Table9[[#This Row],[Bowler]],OFFSET(AR9,0,0,BOWLROWS-ROW(AR8)-ROW(Table9[[#Headers],[BOWLER CUML WICKETS]])),0)&gt;0,0,SUMIF($AR$6:AR8,Table9[[#This Row],[Bowler]],$AU$6:AU8)),SUMIF($AR$6:AR8,Table9[[#This Row],[Bowler]],$AU$6:AU8))</f>
        <v>0</v>
      </c>
      <c r="BL8">
        <f ca="1">Table9[[#This Row],[BOWLER CUML WICKETS]]*100-Table9[[#This Row],[BOWLER CUML RUNS]]</f>
        <v>0</v>
      </c>
    </row>
    <row r="9" spans="1:64" x14ac:dyDescent="0.3">
      <c r="A9">
        <v>13</v>
      </c>
      <c r="B9" t="s">
        <v>137</v>
      </c>
      <c r="C9" t="s">
        <v>151</v>
      </c>
      <c r="D9" t="s">
        <v>152</v>
      </c>
      <c r="E9">
        <v>79</v>
      </c>
      <c r="F9">
        <v>90</v>
      </c>
      <c r="G9">
        <v>60</v>
      </c>
      <c r="H9">
        <v>7</v>
      </c>
      <c r="I9">
        <v>3</v>
      </c>
      <c r="J9">
        <v>131.66</v>
      </c>
      <c r="K9">
        <v>4</v>
      </c>
      <c r="L9" t="str">
        <f>CONCATENATE(T_BATTINGDATA[[#This Row],[Match]],T_BATTINGDATA[[#This Row],[Team]],T_BATTINGDATA[[#This Row],[Bat Number]])</f>
        <v>13India4</v>
      </c>
      <c r="M9" t="str">
        <f>IFERROR(IF(AND(T_BATTINGDATA[[#This Row],[Team]]=I_TEAM,IFERROR(IF(MATCH(T_BATTINGDATA[[#This Row],[BATSMAN NAME]],$O$5:O8,0)&gt;0,0),1)),1,0),"")</f>
        <v/>
      </c>
      <c r="N9" t="e">
        <f>IF(T_BATTINGDATA[[#This Row],[Team]]=I_TEAM,T_BATTINGDATA[[#This Row],[R]],0)</f>
        <v>#REF!</v>
      </c>
      <c r="O9" t="str">
        <f>LEFT(T_BATTINGDATA[[#This Row],[Batsman]],IFERROR(FIND("*",T_BATTINGDATA[[#This Row],[Batsman]])-1,IFERROR(FIND("†",T_BATTINGDATA[[#This Row],[Batsman]])-1,LEN(T_BATTINGDATA[[#This Row],[Batsman]]))))</f>
        <v>AM Rahane</v>
      </c>
      <c r="P9">
        <f ca="1">IFERROR(IF(MATCH(T_BATTINGDATA[[#This Row],[BATSMAN NAME]],OFFSET(O10,0,0,BATROWS-ROW(O9)-ROW(T_BATTINGDATA[[#Headers],[BATSMAN NAME]])),0)&gt;0,0,SUMIF($O$6:O9,T_BATTINGDATA[[#This Row],[BATSMAN NAME]],$E$6:E9)),SUMIF($O$6:O9,T_BATTINGDATA[[#This Row],[BATSMAN NAME]],$E$6:E9))</f>
        <v>0</v>
      </c>
      <c r="R9">
        <v>4</v>
      </c>
      <c r="S9" t="s">
        <v>153</v>
      </c>
      <c r="T9">
        <v>1</v>
      </c>
      <c r="U9">
        <v>10</v>
      </c>
      <c r="V9">
        <v>1</v>
      </c>
      <c r="X9">
        <v>12</v>
      </c>
      <c r="Y9" t="str">
        <f>CONCATENATE(T_EXTRAS[[#This Row],[Match Number]],T_EXTRAS[[#This Row],[Team Batting]])</f>
        <v>4Pakistan</v>
      </c>
      <c r="AA9">
        <v>2</v>
      </c>
      <c r="AB9" t="s">
        <v>154</v>
      </c>
      <c r="AC9">
        <v>10</v>
      </c>
      <c r="AD9">
        <v>231</v>
      </c>
      <c r="AE9">
        <v>5.52</v>
      </c>
      <c r="AF9">
        <v>41.5</v>
      </c>
      <c r="AG9" t="str">
        <f>T_MTOTAL[[#This Row],[Match Number]]&amp;T_MTOTAL[[#This Row],[Team]]</f>
        <v>2England</v>
      </c>
      <c r="AH9">
        <v>2</v>
      </c>
      <c r="AI9" t="str">
        <f>T_MTOTAL[[#This Row],[Match Number]]&amp;" "&amp;T_MTOTAL[[#This Row],[ORDER]]</f>
        <v>2 2</v>
      </c>
      <c r="AJ9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AUSTRALIA</v>
      </c>
      <c r="AK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9">
        <f>(LEFT(T_MTOTAL[[#This Row],[Overs]],IFERROR(FIND(".",T_MTOTAL[[#This Row],[Overs]])-1,LEN(T_MTOTAL[[#This Row],[Overs]])))*6) + IFERROR(IF(FIND(".",T_MTOTAL[[#This Row],[Overs]])+1&gt;0,RIGHT(T_MTOTAL[[#This Row],[Overs]],1),0),0)</f>
        <v>251</v>
      </c>
      <c r="AN9">
        <f>IFERROR(IF(MATCH(T_MTOTAL[[#This Row],[ORDER LINK]],T_DL[link],0)&gt;0,INDEX(T_DL[d/l score],MATCH(T_MTOTAL[[#This Row],[ORDER LINK]],T_DL[link],0)),""),T_MTOTAL[[#This Row],[Total]])</f>
        <v>231</v>
      </c>
      <c r="AP9">
        <v>13</v>
      </c>
      <c r="AQ9" t="s">
        <v>141</v>
      </c>
      <c r="AR9" t="s">
        <v>155</v>
      </c>
      <c r="AS9">
        <v>10</v>
      </c>
      <c r="AT9">
        <v>0</v>
      </c>
      <c r="AU9">
        <v>59</v>
      </c>
      <c r="AV9">
        <v>2</v>
      </c>
      <c r="AW9">
        <v>5.9</v>
      </c>
      <c r="AX9">
        <v>29</v>
      </c>
      <c r="AY9">
        <v>6</v>
      </c>
      <c r="AZ9">
        <v>1</v>
      </c>
      <c r="BC9">
        <v>4</v>
      </c>
      <c r="BD9" t="str">
        <f>CONCATENATE(Table9[[#This Row],[Match Number]],Table9[[#This Row],[Team]],Table9[[#This Row],[BOWL NUM]])</f>
        <v>13South Africa4</v>
      </c>
      <c r="BE9" t="str">
        <f>IFERROR(IF(AND(Table9[[#This Row],[Team]]=I_TEAM,IFERROR(IF(MATCH(Table9[[#This Row],[Bowler]],$AR$5:AR8,0)&gt;0,0),1)),1,0),"")</f>
        <v/>
      </c>
      <c r="BF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9" t="e">
        <f>IF(Table9[[#This Row],[Team]]=I_TEAM,Table9[[#This Row],[Wickets]]*100-Table9[[#This Row],[Runs]],0)</f>
        <v>#REF!</v>
      </c>
      <c r="BI9">
        <f>Table9[[#This Row],[Wickets]]*100-Table9[[#This Row],[Runs]]</f>
        <v>141</v>
      </c>
      <c r="BJ9">
        <f ca="1">IFERROR(IF(MATCH(Table9[[#This Row],[Bowler]],OFFSET(AR10,0,0,BOWLROWS-ROW(AR9)-ROW(Table9[[#Headers],[BOWLER CUML WICKETS]])),0)&gt;0,0,SUMIF($AR$6:AR9,Table9[[#This Row],[Bowler]],$AV$6:AV9)),SUMIF($AR$6:AR9,Table9[[#This Row],[Bowler]],$AV$6:AV9))</f>
        <v>0</v>
      </c>
      <c r="BK9">
        <f ca="1">IFERROR(IF(MATCH(Table9[[#This Row],[Bowler]],OFFSET(AR10,0,0,BOWLROWS-ROW(AR9)-ROW(Table9[[#Headers],[BOWLER CUML WICKETS]])),0)&gt;0,0,SUMIF($AR$6:AR9,Table9[[#This Row],[Bowler]],$AU$6:AU9)),SUMIF($AR$6:AR9,Table9[[#This Row],[Bowler]],$AU$6:AU9))</f>
        <v>0</v>
      </c>
      <c r="BL9">
        <f ca="1">Table9[[#This Row],[BOWLER CUML WICKETS]]*100-Table9[[#This Row],[BOWLER CUML RUNS]]</f>
        <v>0</v>
      </c>
    </row>
    <row r="10" spans="1:64" x14ac:dyDescent="0.3">
      <c r="A10">
        <v>13</v>
      </c>
      <c r="B10" t="s">
        <v>137</v>
      </c>
      <c r="C10" t="s">
        <v>156</v>
      </c>
      <c r="D10" t="s">
        <v>157</v>
      </c>
      <c r="E10">
        <v>6</v>
      </c>
      <c r="F10">
        <v>6</v>
      </c>
      <c r="G10">
        <v>5</v>
      </c>
      <c r="H10">
        <v>1</v>
      </c>
      <c r="I10">
        <v>0</v>
      </c>
      <c r="J10">
        <v>120</v>
      </c>
      <c r="K10">
        <v>5</v>
      </c>
      <c r="L10" t="str">
        <f>CONCATENATE(T_BATTINGDATA[[#This Row],[Match]],T_BATTINGDATA[[#This Row],[Team]],T_BATTINGDATA[[#This Row],[Bat Number]])</f>
        <v>13India5</v>
      </c>
      <c r="M10" t="str">
        <f>IFERROR(IF(AND(T_BATTINGDATA[[#This Row],[Team]]=I_TEAM,IFERROR(IF(MATCH(T_BATTINGDATA[[#This Row],[BATSMAN NAME]],$O$5:O9,0)&gt;0,0),1)),1,0),"")</f>
        <v/>
      </c>
      <c r="N10" t="e">
        <f>IF(T_BATTINGDATA[[#This Row],[Team]]=I_TEAM,T_BATTINGDATA[[#This Row],[R]],0)</f>
        <v>#REF!</v>
      </c>
      <c r="O10" t="str">
        <f>LEFT(T_BATTINGDATA[[#This Row],[Batsman]],IFERROR(FIND("*",T_BATTINGDATA[[#This Row],[Batsman]])-1,IFERROR(FIND("†",T_BATTINGDATA[[#This Row],[Batsman]])-1,LEN(T_BATTINGDATA[[#This Row],[Batsman]]))))</f>
        <v>SK Raina</v>
      </c>
      <c r="P10">
        <f ca="1">IFERROR(IF(MATCH(T_BATTINGDATA[[#This Row],[BATSMAN NAME]],OFFSET(O11,0,0,BATROWS-ROW(O10)-ROW(T_BATTINGDATA[[#Headers],[BATSMAN NAME]])),0)&gt;0,0,SUMIF($O$6:O10,T_BATTINGDATA[[#This Row],[BATSMAN NAME]],$E$6:E10)),SUMIF($O$6:O10,T_BATTINGDATA[[#This Row],[BATSMAN NAME]],$E$6:E10))</f>
        <v>0</v>
      </c>
      <c r="R10">
        <v>39</v>
      </c>
      <c r="S10" t="s">
        <v>158</v>
      </c>
      <c r="T10">
        <v>2</v>
      </c>
      <c r="U10">
        <v>7</v>
      </c>
      <c r="X10">
        <v>9</v>
      </c>
      <c r="Y10" t="str">
        <f>CONCATENATE(T_EXTRAS[[#This Row],[Match Number]],T_EXTRAS[[#This Row],[Team Batting]])</f>
        <v>39Zimbabwe</v>
      </c>
      <c r="AA10">
        <v>3</v>
      </c>
      <c r="AB10" t="s">
        <v>141</v>
      </c>
      <c r="AC10">
        <v>4</v>
      </c>
      <c r="AD10">
        <v>339</v>
      </c>
      <c r="AE10">
        <v>6.78</v>
      </c>
      <c r="AF10">
        <v>50</v>
      </c>
      <c r="AG10" t="str">
        <f>T_MTOTAL[[#This Row],[Match Number]]&amp;T_MTOTAL[[#This Row],[Team]]</f>
        <v>3South Africa</v>
      </c>
      <c r="AH10">
        <v>1</v>
      </c>
      <c r="AI10" t="str">
        <f>T_MTOTAL[[#This Row],[Match Number]]&amp;" "&amp;T_MTOTAL[[#This Row],[ORDER]]</f>
        <v>3 1</v>
      </c>
      <c r="AJ10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ZIMBABWE</v>
      </c>
      <c r="AK1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0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10">
        <f>IFERROR(IF(MATCH(T_MTOTAL[[#This Row],[ORDER LINK]],T_DL[link],0)&gt;0,INDEX(T_DL[d/l score],MATCH(T_MTOTAL[[#This Row],[ORDER LINK]],T_DL[link],0)),""),T_MTOTAL[[#This Row],[Total]])</f>
        <v>339</v>
      </c>
      <c r="AP10">
        <v>13</v>
      </c>
      <c r="AQ10" t="s">
        <v>141</v>
      </c>
      <c r="AR10" t="s">
        <v>159</v>
      </c>
      <c r="AS10">
        <v>10</v>
      </c>
      <c r="AT10">
        <v>0</v>
      </c>
      <c r="AU10">
        <v>48</v>
      </c>
      <c r="AV10">
        <v>1</v>
      </c>
      <c r="AW10">
        <v>4.8</v>
      </c>
      <c r="AX10">
        <v>26</v>
      </c>
      <c r="AY10">
        <v>2</v>
      </c>
      <c r="AZ10">
        <v>1</v>
      </c>
      <c r="BA10">
        <v>1</v>
      </c>
      <c r="BC10">
        <v>5</v>
      </c>
      <c r="BD10" t="str">
        <f>CONCATENATE(Table9[[#This Row],[Match Number]],Table9[[#This Row],[Team]],Table9[[#This Row],[BOWL NUM]])</f>
        <v>13South Africa5</v>
      </c>
      <c r="BE10" t="str">
        <f>IFERROR(IF(AND(Table9[[#This Row],[Team]]=I_TEAM,IFERROR(IF(MATCH(Table9[[#This Row],[Bowler]],$AR$5:AR9,0)&gt;0,0),1)),1,0),"")</f>
        <v/>
      </c>
      <c r="BF1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10" t="e">
        <f>IF(Table9[[#This Row],[Team]]=I_TEAM,Table9[[#This Row],[Wickets]]*100-Table9[[#This Row],[Runs]],0)</f>
        <v>#REF!</v>
      </c>
      <c r="BI10">
        <f>Table9[[#This Row],[Wickets]]*100-Table9[[#This Row],[Runs]]</f>
        <v>52</v>
      </c>
      <c r="BJ10">
        <f ca="1">IFERROR(IF(MATCH(Table9[[#This Row],[Bowler]],OFFSET(AR11,0,0,BOWLROWS-ROW(AR10)-ROW(Table9[[#Headers],[BOWLER CUML WICKETS]])),0)&gt;0,0,SUMIF($AR$6:AR10,Table9[[#This Row],[Bowler]],$AV$6:AV10)),SUMIF($AR$6:AR10,Table9[[#This Row],[Bowler]],$AV$6:AV10))</f>
        <v>0</v>
      </c>
      <c r="BK10">
        <f ca="1">IFERROR(IF(MATCH(Table9[[#This Row],[Bowler]],OFFSET(AR11,0,0,BOWLROWS-ROW(AR10)-ROW(Table9[[#Headers],[BOWLER CUML WICKETS]])),0)&gt;0,0,SUMIF($AR$6:AR10,Table9[[#This Row],[Bowler]],$AU$6:AU10)),SUMIF($AR$6:AR10,Table9[[#This Row],[Bowler]],$AU$6:AU10))</f>
        <v>0</v>
      </c>
      <c r="BL10">
        <f ca="1">Table9[[#This Row],[BOWLER CUML WICKETS]]*100-Table9[[#This Row],[BOWLER CUML RUNS]]</f>
        <v>0</v>
      </c>
    </row>
    <row r="11" spans="1:64" x14ac:dyDescent="0.3">
      <c r="A11">
        <v>13</v>
      </c>
      <c r="B11" t="s">
        <v>137</v>
      </c>
      <c r="C11" t="s">
        <v>160</v>
      </c>
      <c r="D11" t="s">
        <v>161</v>
      </c>
      <c r="E11">
        <v>18</v>
      </c>
      <c r="F11">
        <v>22</v>
      </c>
      <c r="G11">
        <v>11</v>
      </c>
      <c r="H11">
        <v>3</v>
      </c>
      <c r="I11">
        <v>0</v>
      </c>
      <c r="J11">
        <v>163.63</v>
      </c>
      <c r="K11">
        <v>6</v>
      </c>
      <c r="L11" t="str">
        <f>CONCATENATE(T_BATTINGDATA[[#This Row],[Match]],T_BATTINGDATA[[#This Row],[Team]],T_BATTINGDATA[[#This Row],[Bat Number]])</f>
        <v>13India6</v>
      </c>
      <c r="M11" t="str">
        <f>IFERROR(IF(AND(T_BATTINGDATA[[#This Row],[Team]]=I_TEAM,IFERROR(IF(MATCH(T_BATTINGDATA[[#This Row],[BATSMAN NAME]],$O$5:O10,0)&gt;0,0),1)),1,0),"")</f>
        <v/>
      </c>
      <c r="N11" t="e">
        <f>IF(T_BATTINGDATA[[#This Row],[Team]]=I_TEAM,T_BATTINGDATA[[#This Row],[R]],0)</f>
        <v>#REF!</v>
      </c>
      <c r="O11" t="str">
        <f>LEFT(T_BATTINGDATA[[#This Row],[Batsman]],IFERROR(FIND("*",T_BATTINGDATA[[#This Row],[Batsman]])-1,IFERROR(FIND("†",T_BATTINGDATA[[#This Row],[Batsman]])-1,LEN(T_BATTINGDATA[[#This Row],[Batsman]]))))</f>
        <v>MS Dhoni</v>
      </c>
      <c r="P11">
        <f ca="1">IFERROR(IF(MATCH(T_BATTINGDATA[[#This Row],[BATSMAN NAME]],OFFSET(O12,0,0,BATROWS-ROW(O11)-ROW(T_BATTINGDATA[[#Headers],[BATSMAN NAME]])),0)&gt;0,0,SUMIF($O$6:O11,T_BATTINGDATA[[#This Row],[BATSMAN NAME]],$E$6:E11)),SUMIF($O$6:O11,T_BATTINGDATA[[#This Row],[BATSMAN NAME]],$E$6:E11))</f>
        <v>0</v>
      </c>
      <c r="R11">
        <v>39</v>
      </c>
      <c r="S11" t="s">
        <v>137</v>
      </c>
      <c r="T11">
        <v>2</v>
      </c>
      <c r="U11">
        <v>12</v>
      </c>
      <c r="V11">
        <v>1</v>
      </c>
      <c r="W11">
        <v>1</v>
      </c>
      <c r="X11">
        <v>16</v>
      </c>
      <c r="Y11" t="str">
        <f>CONCATENATE(T_EXTRAS[[#This Row],[Match Number]],T_EXTRAS[[#This Row],[Team Batting]])</f>
        <v>39India</v>
      </c>
      <c r="AA11">
        <v>3</v>
      </c>
      <c r="AB11" t="s">
        <v>158</v>
      </c>
      <c r="AC11">
        <v>10</v>
      </c>
      <c r="AD11">
        <v>277</v>
      </c>
      <c r="AE11">
        <v>5.73</v>
      </c>
      <c r="AF11">
        <v>48.2</v>
      </c>
      <c r="AG11" t="str">
        <f>T_MTOTAL[[#This Row],[Match Number]]&amp;T_MTOTAL[[#This Row],[Team]]</f>
        <v>3Zimbabwe</v>
      </c>
      <c r="AH11">
        <v>2</v>
      </c>
      <c r="AI11" t="str">
        <f>T_MTOTAL[[#This Row],[Match Number]]&amp;" "&amp;T_MTOTAL[[#This Row],[ORDER]]</f>
        <v>3 2</v>
      </c>
      <c r="AJ11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SOUTH AFRICA</v>
      </c>
      <c r="AK1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1">
        <f>(LEFT(T_MTOTAL[[#This Row],[Overs]],IFERROR(FIND(".",T_MTOTAL[[#This Row],[Overs]])-1,LEN(T_MTOTAL[[#This Row],[Overs]])))*6) + IFERROR(IF(FIND(".",T_MTOTAL[[#This Row],[Overs]])+1&gt;0,RIGHT(T_MTOTAL[[#This Row],[Overs]],1),0),0)</f>
        <v>290</v>
      </c>
      <c r="AN11">
        <f>IFERROR(IF(MATCH(T_MTOTAL[[#This Row],[ORDER LINK]],T_DL[link],0)&gt;0,INDEX(T_DL[d/l score],MATCH(T_MTOTAL[[#This Row],[ORDER LINK]],T_DL[link],0)),""),T_MTOTAL[[#This Row],[Total]])</f>
        <v>277</v>
      </c>
      <c r="AP11">
        <v>13</v>
      </c>
      <c r="AQ11" t="s">
        <v>141</v>
      </c>
      <c r="AR11" t="s">
        <v>162</v>
      </c>
      <c r="AS11">
        <v>9</v>
      </c>
      <c r="AT11">
        <v>0</v>
      </c>
      <c r="AU11">
        <v>85</v>
      </c>
      <c r="AV11">
        <v>1</v>
      </c>
      <c r="AW11">
        <v>9.44</v>
      </c>
      <c r="AX11">
        <v>21</v>
      </c>
      <c r="AY11">
        <v>11</v>
      </c>
      <c r="AZ11">
        <v>1</v>
      </c>
      <c r="BA11">
        <v>4</v>
      </c>
      <c r="BB11">
        <v>2</v>
      </c>
      <c r="BC11">
        <v>6</v>
      </c>
      <c r="BD11" t="str">
        <f>CONCATENATE(Table9[[#This Row],[Match Number]],Table9[[#This Row],[Team]],Table9[[#This Row],[BOWL NUM]])</f>
        <v>13South Africa6</v>
      </c>
      <c r="BE11" t="str">
        <f>IFERROR(IF(AND(Table9[[#This Row],[Team]]=I_TEAM,IFERROR(IF(MATCH(Table9[[#This Row],[Bowler]],$AR$5:AR10,0)&gt;0,0),1)),1,0),"")</f>
        <v/>
      </c>
      <c r="BF11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11" t="e">
        <f>IF(Table9[[#This Row],[Team]]=I_TEAM,Table9[[#This Row],[Wickets]]*100-Table9[[#This Row],[Runs]],0)</f>
        <v>#REF!</v>
      </c>
      <c r="BI11">
        <f>Table9[[#This Row],[Wickets]]*100-Table9[[#This Row],[Runs]]</f>
        <v>15</v>
      </c>
      <c r="BJ11">
        <f ca="1">IFERROR(IF(MATCH(Table9[[#This Row],[Bowler]],OFFSET(AR12,0,0,BOWLROWS-ROW(AR11)-ROW(Table9[[#Headers],[BOWLER CUML WICKETS]])),0)&gt;0,0,SUMIF($AR$6:AR11,Table9[[#This Row],[Bowler]],$AV$6:AV11)),SUMIF($AR$6:AR11,Table9[[#This Row],[Bowler]],$AV$6:AV11))</f>
        <v>1</v>
      </c>
      <c r="BK11">
        <f ca="1">IFERROR(IF(MATCH(Table9[[#This Row],[Bowler]],OFFSET(AR12,0,0,BOWLROWS-ROW(AR11)-ROW(Table9[[#Headers],[BOWLER CUML WICKETS]])),0)&gt;0,0,SUMIF($AR$6:AR11,Table9[[#This Row],[Bowler]],$AU$6:AU11)),SUMIF($AR$6:AR11,Table9[[#This Row],[Bowler]],$AU$6:AU11))</f>
        <v>85</v>
      </c>
      <c r="BL11">
        <f ca="1">Table9[[#This Row],[BOWLER CUML WICKETS]]*100-Table9[[#This Row],[BOWLER CUML RUNS]]</f>
        <v>15</v>
      </c>
    </row>
    <row r="12" spans="1:64" x14ac:dyDescent="0.3">
      <c r="A12">
        <v>13</v>
      </c>
      <c r="B12" t="s">
        <v>137</v>
      </c>
      <c r="C12" t="s">
        <v>163</v>
      </c>
      <c r="D12" t="s">
        <v>139</v>
      </c>
      <c r="E12">
        <v>2</v>
      </c>
      <c r="F12">
        <v>4</v>
      </c>
      <c r="G12">
        <v>4</v>
      </c>
      <c r="H12">
        <v>0</v>
      </c>
      <c r="I12">
        <v>0</v>
      </c>
      <c r="J12">
        <v>50</v>
      </c>
      <c r="K12">
        <v>7</v>
      </c>
      <c r="L12" t="str">
        <f>CONCATENATE(T_BATTINGDATA[[#This Row],[Match]],T_BATTINGDATA[[#This Row],[Team]],T_BATTINGDATA[[#This Row],[Bat Number]])</f>
        <v>13India7</v>
      </c>
      <c r="M12" t="str">
        <f>IFERROR(IF(AND(T_BATTINGDATA[[#This Row],[Team]]=I_TEAM,IFERROR(IF(MATCH(T_BATTINGDATA[[#This Row],[BATSMAN NAME]],$O$5:O11,0)&gt;0,0),1)),1,0),"")</f>
        <v/>
      </c>
      <c r="N12" t="e">
        <f>IF(T_BATTINGDATA[[#This Row],[Team]]=I_TEAM,T_BATTINGDATA[[#This Row],[R]],0)</f>
        <v>#REF!</v>
      </c>
      <c r="O12" t="str">
        <f>LEFT(T_BATTINGDATA[[#This Row],[Batsman]],IFERROR(FIND("*",T_BATTINGDATA[[#This Row],[Batsman]])-1,IFERROR(FIND("†",T_BATTINGDATA[[#This Row],[Batsman]])-1,LEN(T_BATTINGDATA[[#This Row],[Batsman]]))))</f>
        <v>RA Jadeja</v>
      </c>
      <c r="P12">
        <f ca="1">IFERROR(IF(MATCH(T_BATTINGDATA[[#This Row],[BATSMAN NAME]],OFFSET(O13,0,0,BATROWS-ROW(O12)-ROW(T_BATTINGDATA[[#Headers],[BATSMAN NAME]])),0)&gt;0,0,SUMIF($O$6:O12,T_BATTINGDATA[[#This Row],[BATSMAN NAME]],$E$6:E12)),SUMIF($O$6:O12,T_BATTINGDATA[[#This Row],[BATSMAN NAME]],$E$6:E12))</f>
        <v>0</v>
      </c>
      <c r="R12">
        <v>21</v>
      </c>
      <c r="S12" t="s">
        <v>164</v>
      </c>
      <c r="T12">
        <v>4</v>
      </c>
      <c r="U12">
        <v>9</v>
      </c>
      <c r="X12">
        <v>13</v>
      </c>
      <c r="Y12" t="str">
        <f>CONCATENATE(T_EXTRAS[[#This Row],[Match Number]],T_EXTRAS[[#This Row],[Team Batting]])</f>
        <v>21UAE</v>
      </c>
      <c r="AA12">
        <v>4</v>
      </c>
      <c r="AB12" t="s">
        <v>137</v>
      </c>
      <c r="AC12">
        <v>7</v>
      </c>
      <c r="AD12">
        <v>300</v>
      </c>
      <c r="AE12">
        <v>6</v>
      </c>
      <c r="AF12">
        <v>50</v>
      </c>
      <c r="AG12" t="str">
        <f>T_MTOTAL[[#This Row],[Match Number]]&amp;T_MTOTAL[[#This Row],[Team]]</f>
        <v>4India</v>
      </c>
      <c r="AH12">
        <v>1</v>
      </c>
      <c r="AI12" t="str">
        <f>T_MTOTAL[[#This Row],[Match Number]]&amp;" "&amp;T_MTOTAL[[#This Row],[ORDER]]</f>
        <v>4 1</v>
      </c>
      <c r="AJ12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PAKISTAN</v>
      </c>
      <c r="AK1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2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12">
        <f>IFERROR(IF(MATCH(T_MTOTAL[[#This Row],[ORDER LINK]],T_DL[link],0)&gt;0,INDEX(T_DL[d/l score],MATCH(T_MTOTAL[[#This Row],[ORDER LINK]],T_DL[link],0)),""),T_MTOTAL[[#This Row],[Total]])</f>
        <v>300</v>
      </c>
      <c r="AP12">
        <v>13</v>
      </c>
      <c r="AQ12" t="s">
        <v>137</v>
      </c>
      <c r="AR12" t="s">
        <v>165</v>
      </c>
      <c r="AS12">
        <v>6</v>
      </c>
      <c r="AT12">
        <v>0</v>
      </c>
      <c r="AU12">
        <v>34</v>
      </c>
      <c r="AV12">
        <v>0</v>
      </c>
      <c r="AW12">
        <v>5.66</v>
      </c>
      <c r="AX12">
        <v>20</v>
      </c>
      <c r="AY12">
        <v>4</v>
      </c>
      <c r="AZ12">
        <v>0</v>
      </c>
      <c r="BA12">
        <v>1</v>
      </c>
      <c r="BC12">
        <v>1</v>
      </c>
      <c r="BD12" t="str">
        <f>CONCATENATE(Table9[[#This Row],[Match Number]],Table9[[#This Row],[Team]],Table9[[#This Row],[BOWL NUM]])</f>
        <v>13India1</v>
      </c>
      <c r="BE12" t="str">
        <f>IFERROR(IF(AND(Table9[[#This Row],[Team]]=I_TEAM,IFERROR(IF(MATCH(Table9[[#This Row],[Bowler]],$AR$5:AR11,0)&gt;0,0),1)),1,0),"")</f>
        <v/>
      </c>
      <c r="BF12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1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2" t="e">
        <f>IF(Table9[[#This Row],[Team]]=I_TEAM,Table9[[#This Row],[Wickets]]*100-Table9[[#This Row],[Runs]],0)</f>
        <v>#REF!</v>
      </c>
      <c r="BI12">
        <f>Table9[[#This Row],[Wickets]]*100-Table9[[#This Row],[Runs]]</f>
        <v>-34</v>
      </c>
      <c r="BJ12">
        <f ca="1">IFERROR(IF(MATCH(Table9[[#This Row],[Bowler]],OFFSET(AR13,0,0,BOWLROWS-ROW(AR12)-ROW(Table9[[#Headers],[BOWLER CUML WICKETS]])),0)&gt;0,0,SUMIF($AR$6:AR12,Table9[[#This Row],[Bowler]],$AV$6:AV12)),SUMIF($AR$6:AR12,Table9[[#This Row],[Bowler]],$AV$6:AV12))</f>
        <v>0</v>
      </c>
      <c r="BK12">
        <f ca="1">IFERROR(IF(MATCH(Table9[[#This Row],[Bowler]],OFFSET(AR13,0,0,BOWLROWS-ROW(AR12)-ROW(Table9[[#Headers],[BOWLER CUML WICKETS]])),0)&gt;0,0,SUMIF($AR$6:AR12,Table9[[#This Row],[Bowler]],$AU$6:AU12)),SUMIF($AR$6:AR12,Table9[[#This Row],[Bowler]],$AU$6:AU12))</f>
        <v>0</v>
      </c>
      <c r="BL12">
        <f ca="1">Table9[[#This Row],[BOWLER CUML WICKETS]]*100-Table9[[#This Row],[BOWLER CUML RUNS]]</f>
        <v>0</v>
      </c>
    </row>
    <row r="13" spans="1:64" x14ac:dyDescent="0.3">
      <c r="A13">
        <v>13</v>
      </c>
      <c r="B13" t="s">
        <v>137</v>
      </c>
      <c r="C13" t="s">
        <v>166</v>
      </c>
      <c r="D13" t="s">
        <v>167</v>
      </c>
      <c r="E13">
        <v>5</v>
      </c>
      <c r="F13">
        <v>14</v>
      </c>
      <c r="G13">
        <v>5</v>
      </c>
      <c r="H13">
        <v>0</v>
      </c>
      <c r="I13">
        <v>0</v>
      </c>
      <c r="J13">
        <v>100</v>
      </c>
      <c r="K13">
        <v>8</v>
      </c>
      <c r="L13" t="str">
        <f>CONCATENATE(T_BATTINGDATA[[#This Row],[Match]],T_BATTINGDATA[[#This Row],[Team]],T_BATTINGDATA[[#This Row],[Bat Number]])</f>
        <v>13India8</v>
      </c>
      <c r="M13" t="str">
        <f>IFERROR(IF(AND(T_BATTINGDATA[[#This Row],[Team]]=I_TEAM,IFERROR(IF(MATCH(T_BATTINGDATA[[#This Row],[BATSMAN NAME]],$O$5:O12,0)&gt;0,0),1)),1,0),"")</f>
        <v/>
      </c>
      <c r="N13" t="e">
        <f>IF(T_BATTINGDATA[[#This Row],[Team]]=I_TEAM,T_BATTINGDATA[[#This Row],[R]],0)</f>
        <v>#REF!</v>
      </c>
      <c r="O13" t="str">
        <f>LEFT(T_BATTINGDATA[[#This Row],[Batsman]],IFERROR(FIND("*",T_BATTINGDATA[[#This Row],[Batsman]])-1,IFERROR(FIND("†",T_BATTINGDATA[[#This Row],[Batsman]])-1,LEN(T_BATTINGDATA[[#This Row],[Batsman]]))))</f>
        <v>R Ashwin</v>
      </c>
      <c r="P13">
        <f ca="1">IFERROR(IF(MATCH(T_BATTINGDATA[[#This Row],[BATSMAN NAME]],OFFSET(O14,0,0,BATROWS-ROW(O13)-ROW(T_BATTINGDATA[[#Headers],[BATSMAN NAME]])),0)&gt;0,0,SUMIF($O$6:O13,T_BATTINGDATA[[#This Row],[BATSMAN NAME]],$E$6:E13)),SUMIF($O$6:O13,T_BATTINGDATA[[#This Row],[BATSMAN NAME]],$E$6:E13))</f>
        <v>0</v>
      </c>
      <c r="R13">
        <v>21</v>
      </c>
      <c r="S13" t="s">
        <v>137</v>
      </c>
      <c r="T13">
        <v>0</v>
      </c>
      <c r="U13">
        <v>0</v>
      </c>
      <c r="V13">
        <v>0</v>
      </c>
      <c r="W13">
        <v>0</v>
      </c>
      <c r="X13">
        <v>0</v>
      </c>
      <c r="Y13" t="str">
        <f>CONCATENATE(T_EXTRAS[[#This Row],[Match Number]],T_EXTRAS[[#This Row],[Team Batting]])</f>
        <v>21India</v>
      </c>
      <c r="AA13">
        <v>4</v>
      </c>
      <c r="AB13" t="s">
        <v>153</v>
      </c>
      <c r="AC13">
        <v>10</v>
      </c>
      <c r="AD13">
        <v>224</v>
      </c>
      <c r="AE13">
        <v>4.76</v>
      </c>
      <c r="AF13">
        <v>47</v>
      </c>
      <c r="AG13" t="str">
        <f>T_MTOTAL[[#This Row],[Match Number]]&amp;T_MTOTAL[[#This Row],[Team]]</f>
        <v>4Pakistan</v>
      </c>
      <c r="AH13">
        <v>2</v>
      </c>
      <c r="AI13" t="str">
        <f>T_MTOTAL[[#This Row],[Match Number]]&amp;" "&amp;T_MTOTAL[[#This Row],[ORDER]]</f>
        <v>4 2</v>
      </c>
      <c r="AJ13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INDIA</v>
      </c>
      <c r="AK1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3">
        <f>(LEFT(T_MTOTAL[[#This Row],[Overs]],IFERROR(FIND(".",T_MTOTAL[[#This Row],[Overs]])-1,LEN(T_MTOTAL[[#This Row],[Overs]])))*6) + IFERROR(IF(FIND(".",T_MTOTAL[[#This Row],[Overs]])+1&gt;0,RIGHT(T_MTOTAL[[#This Row],[Overs]],1),0),0)</f>
        <v>282</v>
      </c>
      <c r="AN13">
        <f>IFERROR(IF(MATCH(T_MTOTAL[[#This Row],[ORDER LINK]],T_DL[link],0)&gt;0,INDEX(T_DL[d/l score],MATCH(T_MTOTAL[[#This Row],[ORDER LINK]],T_DL[link],0)),""),T_MTOTAL[[#This Row],[Total]])</f>
        <v>224</v>
      </c>
      <c r="AP13">
        <v>13</v>
      </c>
      <c r="AQ13" t="s">
        <v>137</v>
      </c>
      <c r="AR13" t="s">
        <v>168</v>
      </c>
      <c r="AS13">
        <v>8</v>
      </c>
      <c r="AT13">
        <v>1</v>
      </c>
      <c r="AU13">
        <v>30</v>
      </c>
      <c r="AV13">
        <v>2</v>
      </c>
      <c r="AW13">
        <v>3.75</v>
      </c>
      <c r="AX13">
        <v>30</v>
      </c>
      <c r="AY13">
        <v>2</v>
      </c>
      <c r="AZ13">
        <v>0</v>
      </c>
      <c r="BA13">
        <v>2</v>
      </c>
      <c r="BC13">
        <v>2</v>
      </c>
      <c r="BD13" t="str">
        <f>CONCATENATE(Table9[[#This Row],[Match Number]],Table9[[#This Row],[Team]],Table9[[#This Row],[BOWL NUM]])</f>
        <v>13India2</v>
      </c>
      <c r="BE13" t="str">
        <f>IFERROR(IF(AND(Table9[[#This Row],[Team]]=I_TEAM,IFERROR(IF(MATCH(Table9[[#This Row],[Bowler]],$AR$5:AR12,0)&gt;0,0),1)),1,0),"")</f>
        <v/>
      </c>
      <c r="BF13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3" t="e">
        <f>IF(Table9[[#This Row],[Team]]=I_TEAM,Table9[[#This Row],[Wickets]]*100-Table9[[#This Row],[Runs]],0)</f>
        <v>#REF!</v>
      </c>
      <c r="BI13">
        <f>Table9[[#This Row],[Wickets]]*100-Table9[[#This Row],[Runs]]</f>
        <v>170</v>
      </c>
      <c r="BJ13">
        <f ca="1">IFERROR(IF(MATCH(Table9[[#This Row],[Bowler]],OFFSET(AR14,0,0,BOWLROWS-ROW(AR13)-ROW(Table9[[#Headers],[BOWLER CUML WICKETS]])),0)&gt;0,0,SUMIF($AR$6:AR13,Table9[[#This Row],[Bowler]],$AV$6:AV13)),SUMIF($AR$6:AR13,Table9[[#This Row],[Bowler]],$AV$6:AV13))</f>
        <v>0</v>
      </c>
      <c r="BK13">
        <f ca="1">IFERROR(IF(MATCH(Table9[[#This Row],[Bowler]],OFFSET(AR14,0,0,BOWLROWS-ROW(AR13)-ROW(Table9[[#Headers],[BOWLER CUML WICKETS]])),0)&gt;0,0,SUMIF($AR$6:AR13,Table9[[#This Row],[Bowler]],$AU$6:AU13)),SUMIF($AR$6:AR13,Table9[[#This Row],[Bowler]],$AU$6:AU13))</f>
        <v>0</v>
      </c>
      <c r="BL13">
        <f ca="1">Table9[[#This Row],[BOWLER CUML WICKETS]]*100-Table9[[#This Row],[BOWLER CUML RUNS]]</f>
        <v>0</v>
      </c>
    </row>
    <row r="14" spans="1:64" x14ac:dyDescent="0.3">
      <c r="A14">
        <v>13</v>
      </c>
      <c r="B14" t="s">
        <v>137</v>
      </c>
      <c r="C14" t="s">
        <v>168</v>
      </c>
      <c r="D14" t="s">
        <v>167</v>
      </c>
      <c r="E14">
        <v>4</v>
      </c>
      <c r="F14">
        <v>5</v>
      </c>
      <c r="G14">
        <v>5</v>
      </c>
      <c r="H14">
        <v>1</v>
      </c>
      <c r="I14">
        <v>0</v>
      </c>
      <c r="J14">
        <v>80</v>
      </c>
      <c r="K14">
        <v>9</v>
      </c>
      <c r="L14" t="str">
        <f>CONCATENATE(T_BATTINGDATA[[#This Row],[Match]],T_BATTINGDATA[[#This Row],[Team]],T_BATTINGDATA[[#This Row],[Bat Number]])</f>
        <v>13India9</v>
      </c>
      <c r="M14" t="str">
        <f>IFERROR(IF(AND(T_BATTINGDATA[[#This Row],[Team]]=I_TEAM,IFERROR(IF(MATCH(T_BATTINGDATA[[#This Row],[BATSMAN NAME]],$O$5:O13,0)&gt;0,0),1)),1,0),"")</f>
        <v/>
      </c>
      <c r="N14" t="e">
        <f>IF(T_BATTINGDATA[[#This Row],[Team]]=I_TEAM,T_BATTINGDATA[[#This Row],[R]],0)</f>
        <v>#REF!</v>
      </c>
      <c r="O14" t="str">
        <f>LEFT(T_BATTINGDATA[[#This Row],[Batsman]],IFERROR(FIND("*",T_BATTINGDATA[[#This Row],[Batsman]])-1,IFERROR(FIND("†",T_BATTINGDATA[[#This Row],[Batsman]])-1,LEN(T_BATTINGDATA[[#This Row],[Batsman]]))))</f>
        <v>Mohammed Shami</v>
      </c>
      <c r="P14">
        <f ca="1">IFERROR(IF(MATCH(T_BATTINGDATA[[#This Row],[BATSMAN NAME]],OFFSET(O15,0,0,BATROWS-ROW(O14)-ROW(T_BATTINGDATA[[#Headers],[BATSMAN NAME]])),0)&gt;0,0,SUMIF($O$6:O14,T_BATTINGDATA[[#This Row],[BATSMAN NAME]],$E$6:E14)),SUMIF($O$6:O14,T_BATTINGDATA[[#This Row],[BATSMAN NAME]],$E$6:E14))</f>
        <v>0</v>
      </c>
      <c r="R14">
        <v>34</v>
      </c>
      <c r="S14" t="s">
        <v>169</v>
      </c>
      <c r="T14">
        <v>2</v>
      </c>
      <c r="U14">
        <v>9</v>
      </c>
      <c r="X14">
        <v>11</v>
      </c>
      <c r="Y14" t="str">
        <f>CONCATENATE(T_EXTRAS[[#This Row],[Match Number]],T_EXTRAS[[#This Row],[Team Batting]])</f>
        <v>34Ireland</v>
      </c>
      <c r="AA14">
        <v>5</v>
      </c>
      <c r="AB14" t="s">
        <v>170</v>
      </c>
      <c r="AC14">
        <v>7</v>
      </c>
      <c r="AD14">
        <v>304</v>
      </c>
      <c r="AE14">
        <v>6.08</v>
      </c>
      <c r="AF14">
        <v>50</v>
      </c>
      <c r="AG14" t="str">
        <f>T_MTOTAL[[#This Row],[Match Number]]&amp;T_MTOTAL[[#This Row],[Team]]</f>
        <v>5West Indies</v>
      </c>
      <c r="AH14">
        <v>1</v>
      </c>
      <c r="AI14" t="str">
        <f>T_MTOTAL[[#This Row],[Match Number]]&amp;" "&amp;T_MTOTAL[[#This Row],[ORDER]]</f>
        <v>5 1</v>
      </c>
      <c r="AJ14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IRELAND</v>
      </c>
      <c r="AK1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4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14">
        <f>IFERROR(IF(MATCH(T_MTOTAL[[#This Row],[ORDER LINK]],T_DL[link],0)&gt;0,INDEX(T_DL[d/l score],MATCH(T_MTOTAL[[#This Row],[ORDER LINK]],T_DL[link],0)),""),T_MTOTAL[[#This Row],[Total]])</f>
        <v>304</v>
      </c>
      <c r="AP14">
        <v>13</v>
      </c>
      <c r="AQ14" t="s">
        <v>137</v>
      </c>
      <c r="AR14" t="s">
        <v>171</v>
      </c>
      <c r="AS14">
        <v>7</v>
      </c>
      <c r="AT14">
        <v>0</v>
      </c>
      <c r="AU14">
        <v>31</v>
      </c>
      <c r="AV14">
        <v>2</v>
      </c>
      <c r="AW14">
        <v>4.42</v>
      </c>
      <c r="AX14">
        <v>25</v>
      </c>
      <c r="AY14">
        <v>3</v>
      </c>
      <c r="AZ14">
        <v>0</v>
      </c>
      <c r="BA14">
        <v>2</v>
      </c>
      <c r="BC14">
        <v>3</v>
      </c>
      <c r="BD14" t="str">
        <f>CONCATENATE(Table9[[#This Row],[Match Number]],Table9[[#This Row],[Team]],Table9[[#This Row],[BOWL NUM]])</f>
        <v>13India3</v>
      </c>
      <c r="BE14" t="str">
        <f>IFERROR(IF(AND(Table9[[#This Row],[Team]]=I_TEAM,IFERROR(IF(MATCH(Table9[[#This Row],[Bowler]],$AR$5:AR13,0)&gt;0,0),1)),1,0),"")</f>
        <v/>
      </c>
      <c r="BF14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1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4" t="e">
        <f>IF(Table9[[#This Row],[Team]]=I_TEAM,Table9[[#This Row],[Wickets]]*100-Table9[[#This Row],[Runs]],0)</f>
        <v>#REF!</v>
      </c>
      <c r="BI14">
        <f>Table9[[#This Row],[Wickets]]*100-Table9[[#This Row],[Runs]]</f>
        <v>169</v>
      </c>
      <c r="BJ14">
        <f ca="1">IFERROR(IF(MATCH(Table9[[#This Row],[Bowler]],OFFSET(AR15,0,0,BOWLROWS-ROW(AR14)-ROW(Table9[[#Headers],[BOWLER CUML WICKETS]])),0)&gt;0,0,SUMIF($AR$6:AR14,Table9[[#This Row],[Bowler]],$AV$6:AV14)),SUMIF($AR$6:AR14,Table9[[#This Row],[Bowler]],$AV$6:AV14))</f>
        <v>0</v>
      </c>
      <c r="BK14">
        <f ca="1">IFERROR(IF(MATCH(Table9[[#This Row],[Bowler]],OFFSET(AR15,0,0,BOWLROWS-ROW(AR14)-ROW(Table9[[#Headers],[BOWLER CUML WICKETS]])),0)&gt;0,0,SUMIF($AR$6:AR14,Table9[[#This Row],[Bowler]],$AU$6:AU14)),SUMIF($AR$6:AR14,Table9[[#This Row],[Bowler]],$AU$6:AU14))</f>
        <v>0</v>
      </c>
      <c r="BL14">
        <f ca="1">Table9[[#This Row],[BOWLER CUML WICKETS]]*100-Table9[[#This Row],[BOWLER CUML RUNS]]</f>
        <v>0</v>
      </c>
    </row>
    <row r="15" spans="1:64" x14ac:dyDescent="0.3">
      <c r="A15">
        <v>13</v>
      </c>
      <c r="B15" t="s">
        <v>141</v>
      </c>
      <c r="C15" t="s">
        <v>172</v>
      </c>
      <c r="D15" t="s">
        <v>173</v>
      </c>
      <c r="E15">
        <v>22</v>
      </c>
      <c r="F15">
        <v>50</v>
      </c>
      <c r="G15">
        <v>28</v>
      </c>
      <c r="H15">
        <v>2</v>
      </c>
      <c r="I15">
        <v>0</v>
      </c>
      <c r="J15">
        <v>78.569999999999993</v>
      </c>
      <c r="K15">
        <v>1</v>
      </c>
      <c r="L15" t="str">
        <f>CONCATENATE(T_BATTINGDATA[[#This Row],[Match]],T_BATTINGDATA[[#This Row],[Team]],T_BATTINGDATA[[#This Row],[Bat Number]])</f>
        <v>13South Africa1</v>
      </c>
      <c r="M15" t="str">
        <f>IFERROR(IF(AND(T_BATTINGDATA[[#This Row],[Team]]=I_TEAM,IFERROR(IF(MATCH(T_BATTINGDATA[[#This Row],[BATSMAN NAME]],$O$5:O14,0)&gt;0,0),1)),1,0),"")</f>
        <v/>
      </c>
      <c r="N15" t="e">
        <f>IF(T_BATTINGDATA[[#This Row],[Team]]=I_TEAM,T_BATTINGDATA[[#This Row],[R]],0)</f>
        <v>#REF!</v>
      </c>
      <c r="O15" t="str">
        <f>LEFT(T_BATTINGDATA[[#This Row],[Batsman]],IFERROR(FIND("*",T_BATTINGDATA[[#This Row],[Batsman]])-1,IFERROR(FIND("†",T_BATTINGDATA[[#This Row],[Batsman]])-1,LEN(T_BATTINGDATA[[#This Row],[Batsman]]))))</f>
        <v>HM Amla</v>
      </c>
      <c r="P15">
        <f ca="1">IFERROR(IF(MATCH(T_BATTINGDATA[[#This Row],[BATSMAN NAME]],OFFSET(O16,0,0,BATROWS-ROW(O15)-ROW(T_BATTINGDATA[[#Headers],[BATSMAN NAME]])),0)&gt;0,0,SUMIF($O$6:O15,T_BATTINGDATA[[#This Row],[BATSMAN NAME]],$E$6:E15)),SUMIF($O$6:O15,T_BATTINGDATA[[#This Row],[BATSMAN NAME]],$E$6:E15))</f>
        <v>0</v>
      </c>
      <c r="R15">
        <v>34</v>
      </c>
      <c r="S15" t="s">
        <v>137</v>
      </c>
      <c r="T15">
        <v>2</v>
      </c>
      <c r="U15">
        <v>13</v>
      </c>
      <c r="W15">
        <v>4</v>
      </c>
      <c r="X15">
        <v>19</v>
      </c>
      <c r="Y15" t="str">
        <f>CONCATENATE(T_EXTRAS[[#This Row],[Match Number]],T_EXTRAS[[#This Row],[Team Batting]])</f>
        <v>34India</v>
      </c>
      <c r="AA15">
        <v>5</v>
      </c>
      <c r="AB15" t="s">
        <v>169</v>
      </c>
      <c r="AC15">
        <v>6</v>
      </c>
      <c r="AD15">
        <v>307</v>
      </c>
      <c r="AE15">
        <v>6.69</v>
      </c>
      <c r="AF15">
        <v>45.5</v>
      </c>
      <c r="AG15" t="str">
        <f>T_MTOTAL[[#This Row],[Match Number]]&amp;T_MTOTAL[[#This Row],[Team]]</f>
        <v>5Ireland</v>
      </c>
      <c r="AH15">
        <v>2</v>
      </c>
      <c r="AI15" t="str">
        <f>T_MTOTAL[[#This Row],[Match Number]]&amp;" "&amp;T_MTOTAL[[#This Row],[ORDER]]</f>
        <v>5 2</v>
      </c>
      <c r="AJ15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WEST INDIES</v>
      </c>
      <c r="AK1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45.5</v>
      </c>
      <c r="AL1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275</v>
      </c>
      <c r="AM15">
        <f>(LEFT(T_MTOTAL[[#This Row],[Overs]],IFERROR(FIND(".",T_MTOTAL[[#This Row],[Overs]])-1,LEN(T_MTOTAL[[#This Row],[Overs]])))*6) + IFERROR(IF(FIND(".",T_MTOTAL[[#This Row],[Overs]])+1&gt;0,RIGHT(T_MTOTAL[[#This Row],[Overs]],1),0),0)</f>
        <v>275</v>
      </c>
      <c r="AN15">
        <f>IFERROR(IF(MATCH(T_MTOTAL[[#This Row],[ORDER LINK]],T_DL[link],0)&gt;0,INDEX(T_DL[d/l score],MATCH(T_MTOTAL[[#This Row],[ORDER LINK]],T_DL[link],0)),""),T_MTOTAL[[#This Row],[Total]])</f>
        <v>307</v>
      </c>
      <c r="AP15">
        <v>13</v>
      </c>
      <c r="AQ15" t="s">
        <v>137</v>
      </c>
      <c r="AR15" t="s">
        <v>163</v>
      </c>
      <c r="AS15">
        <v>8.1999999999999993</v>
      </c>
      <c r="AT15">
        <v>0</v>
      </c>
      <c r="AU15">
        <v>37</v>
      </c>
      <c r="AV15">
        <v>1</v>
      </c>
      <c r="AW15">
        <v>4.4400000000000004</v>
      </c>
      <c r="AX15">
        <v>22</v>
      </c>
      <c r="AY15">
        <v>2</v>
      </c>
      <c r="AZ15">
        <v>0</v>
      </c>
      <c r="BA15">
        <v>1</v>
      </c>
      <c r="BC15">
        <v>4</v>
      </c>
      <c r="BD15" t="str">
        <f>CONCATENATE(Table9[[#This Row],[Match Number]],Table9[[#This Row],[Team]],Table9[[#This Row],[BOWL NUM]])</f>
        <v>13India4</v>
      </c>
      <c r="BE15" t="str">
        <f>IFERROR(IF(AND(Table9[[#This Row],[Team]]=I_TEAM,IFERROR(IF(MATCH(Table9[[#This Row],[Bowler]],$AR$5:AR14,0)&gt;0,0),1)),1,0),"")</f>
        <v/>
      </c>
      <c r="BF15">
        <f>(LEFT(Table9[[#This Row],[Overs]],IFERROR(FIND(".",Table9[[#This Row],[Overs]])-1,LEN(Table9[[#This Row],[Overs]])))*6) + IFERROR(IF(FIND(".",Table9[[#This Row],[Overs]])+1&gt;0,RIGHT(Table9[[#This Row],[Overs]],1),0),0)</f>
        <v>50</v>
      </c>
      <c r="BG1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5" t="e">
        <f>IF(Table9[[#This Row],[Team]]=I_TEAM,Table9[[#This Row],[Wickets]]*100-Table9[[#This Row],[Runs]],0)</f>
        <v>#REF!</v>
      </c>
      <c r="BI15">
        <f>Table9[[#This Row],[Wickets]]*100-Table9[[#This Row],[Runs]]</f>
        <v>63</v>
      </c>
      <c r="BJ15">
        <f ca="1">IFERROR(IF(MATCH(Table9[[#This Row],[Bowler]],OFFSET(AR16,0,0,BOWLROWS-ROW(AR15)-ROW(Table9[[#Headers],[BOWLER CUML WICKETS]])),0)&gt;0,0,SUMIF($AR$6:AR15,Table9[[#This Row],[Bowler]],$AV$6:AV15)),SUMIF($AR$6:AR15,Table9[[#This Row],[Bowler]],$AV$6:AV15))</f>
        <v>0</v>
      </c>
      <c r="BK15">
        <f ca="1">IFERROR(IF(MATCH(Table9[[#This Row],[Bowler]],OFFSET(AR16,0,0,BOWLROWS-ROW(AR15)-ROW(Table9[[#Headers],[BOWLER CUML WICKETS]])),0)&gt;0,0,SUMIF($AR$6:AR15,Table9[[#This Row],[Bowler]],$AU$6:AU15)),SUMIF($AR$6:AR15,Table9[[#This Row],[Bowler]],$AU$6:AU15))</f>
        <v>0</v>
      </c>
      <c r="BL15">
        <f ca="1">Table9[[#This Row],[BOWLER CUML WICKETS]]*100-Table9[[#This Row],[BOWLER CUML RUNS]]</f>
        <v>0</v>
      </c>
    </row>
    <row r="16" spans="1:64" x14ac:dyDescent="0.3">
      <c r="A16">
        <v>13</v>
      </c>
      <c r="B16" t="s">
        <v>141</v>
      </c>
      <c r="C16" t="s">
        <v>174</v>
      </c>
      <c r="D16" t="s">
        <v>175</v>
      </c>
      <c r="E16">
        <v>7</v>
      </c>
      <c r="F16">
        <v>15</v>
      </c>
      <c r="G16">
        <v>15</v>
      </c>
      <c r="H16">
        <v>1</v>
      </c>
      <c r="I16">
        <v>0</v>
      </c>
      <c r="J16">
        <v>46.66</v>
      </c>
      <c r="K16">
        <v>2</v>
      </c>
      <c r="L16" t="str">
        <f>CONCATENATE(T_BATTINGDATA[[#This Row],[Match]],T_BATTINGDATA[[#This Row],[Team]],T_BATTINGDATA[[#This Row],[Bat Number]])</f>
        <v>13South Africa2</v>
      </c>
      <c r="M16" t="str">
        <f>IFERROR(IF(AND(T_BATTINGDATA[[#This Row],[Team]]=I_TEAM,IFERROR(IF(MATCH(T_BATTINGDATA[[#This Row],[BATSMAN NAME]],$O$5:O15,0)&gt;0,0),1)),1,0),"")</f>
        <v/>
      </c>
      <c r="N16" t="e">
        <f>IF(T_BATTINGDATA[[#This Row],[Team]]=I_TEAM,T_BATTINGDATA[[#This Row],[R]],0)</f>
        <v>#REF!</v>
      </c>
      <c r="O16" t="str">
        <f>LEFT(T_BATTINGDATA[[#This Row],[Batsman]],IFERROR(FIND("*",T_BATTINGDATA[[#This Row],[Batsman]])-1,IFERROR(FIND("†",T_BATTINGDATA[[#This Row],[Batsman]])-1,LEN(T_BATTINGDATA[[#This Row],[Batsman]]))))</f>
        <v>Q de Kock</v>
      </c>
      <c r="P16">
        <f ca="1">IFERROR(IF(MATCH(T_BATTINGDATA[[#This Row],[BATSMAN NAME]],OFFSET(O17,0,0,BATROWS-ROW(O16)-ROW(T_BATTINGDATA[[#Headers],[BATSMAN NAME]])),0)&gt;0,0,SUMIF($O$6:O16,T_BATTINGDATA[[#This Row],[BATSMAN NAME]],$E$6:E16)),SUMIF($O$6:O16,T_BATTINGDATA[[#This Row],[BATSMAN NAME]],$E$6:E16))</f>
        <v>0</v>
      </c>
      <c r="R16">
        <v>28</v>
      </c>
      <c r="S16" t="s">
        <v>170</v>
      </c>
      <c r="T16">
        <v>5</v>
      </c>
      <c r="U16">
        <v>16</v>
      </c>
      <c r="X16">
        <v>21</v>
      </c>
      <c r="Y16" t="str">
        <f>CONCATENATE(T_EXTRAS[[#This Row],[Match Number]],T_EXTRAS[[#This Row],[Team Batting]])</f>
        <v>28West Indies</v>
      </c>
      <c r="AA16">
        <v>6</v>
      </c>
      <c r="AB16" t="s">
        <v>176</v>
      </c>
      <c r="AC16">
        <v>10</v>
      </c>
      <c r="AD16">
        <v>142</v>
      </c>
      <c r="AE16">
        <v>3.9</v>
      </c>
      <c r="AF16">
        <v>36.200000000000003</v>
      </c>
      <c r="AG16" t="str">
        <f>T_MTOTAL[[#This Row],[Match Number]]&amp;T_MTOTAL[[#This Row],[Team]]</f>
        <v>6Scotland</v>
      </c>
      <c r="AH16">
        <v>1</v>
      </c>
      <c r="AI16" t="str">
        <f>T_MTOTAL[[#This Row],[Match Number]]&amp;" "&amp;T_MTOTAL[[#This Row],[ORDER]]</f>
        <v>6 1</v>
      </c>
      <c r="AJ16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NEW ZEALAND</v>
      </c>
      <c r="AK1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6">
        <f>(LEFT(T_MTOTAL[[#This Row],[Overs]],IFERROR(FIND(".",T_MTOTAL[[#This Row],[Overs]])-1,LEN(T_MTOTAL[[#This Row],[Overs]])))*6) + IFERROR(IF(FIND(".",T_MTOTAL[[#This Row],[Overs]])+1&gt;0,RIGHT(T_MTOTAL[[#This Row],[Overs]],1),0),0)</f>
        <v>218</v>
      </c>
      <c r="AN16">
        <f>IFERROR(IF(MATCH(T_MTOTAL[[#This Row],[ORDER LINK]],T_DL[link],0)&gt;0,INDEX(T_DL[d/l score],MATCH(T_MTOTAL[[#This Row],[ORDER LINK]],T_DL[link],0)),""),T_MTOTAL[[#This Row],[Total]])</f>
        <v>142</v>
      </c>
      <c r="AP16">
        <v>13</v>
      </c>
      <c r="AQ16" t="s">
        <v>137</v>
      </c>
      <c r="AR16" t="s">
        <v>166</v>
      </c>
      <c r="AS16">
        <v>10</v>
      </c>
      <c r="AT16">
        <v>0</v>
      </c>
      <c r="AU16">
        <v>41</v>
      </c>
      <c r="AV16">
        <v>3</v>
      </c>
      <c r="AW16">
        <v>4.0999999999999996</v>
      </c>
      <c r="AX16">
        <v>34</v>
      </c>
      <c r="AY16">
        <v>4</v>
      </c>
      <c r="AZ16">
        <v>0</v>
      </c>
      <c r="BC16">
        <v>5</v>
      </c>
      <c r="BD16" t="str">
        <f>CONCATENATE(Table9[[#This Row],[Match Number]],Table9[[#This Row],[Team]],Table9[[#This Row],[BOWL NUM]])</f>
        <v>13India5</v>
      </c>
      <c r="BE16" t="str">
        <f>IFERROR(IF(AND(Table9[[#This Row],[Team]]=I_TEAM,IFERROR(IF(MATCH(Table9[[#This Row],[Bowler]],$AR$5:AR15,0)&gt;0,0),1)),1,0),"")</f>
        <v/>
      </c>
      <c r="BF1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6" t="e">
        <f>IF(Table9[[#This Row],[Team]]=I_TEAM,Table9[[#This Row],[Wickets]]*100-Table9[[#This Row],[Runs]],0)</f>
        <v>#REF!</v>
      </c>
      <c r="BI16">
        <f>Table9[[#This Row],[Wickets]]*100-Table9[[#This Row],[Runs]]</f>
        <v>259</v>
      </c>
      <c r="BJ16">
        <f ca="1">IFERROR(IF(MATCH(Table9[[#This Row],[Bowler]],OFFSET(AR17,0,0,BOWLROWS-ROW(AR16)-ROW(Table9[[#Headers],[BOWLER CUML WICKETS]])),0)&gt;0,0,SUMIF($AR$6:AR16,Table9[[#This Row],[Bowler]],$AV$6:AV16)),SUMIF($AR$6:AR16,Table9[[#This Row],[Bowler]],$AV$6:AV16))</f>
        <v>0</v>
      </c>
      <c r="BK16">
        <f ca="1">IFERROR(IF(MATCH(Table9[[#This Row],[Bowler]],OFFSET(AR17,0,0,BOWLROWS-ROW(AR16)-ROW(Table9[[#Headers],[BOWLER CUML WICKETS]])),0)&gt;0,0,SUMIF($AR$6:AR16,Table9[[#This Row],[Bowler]],$AU$6:AU16)),SUMIF($AR$6:AR16,Table9[[#This Row],[Bowler]],$AU$6:AU16))</f>
        <v>0</v>
      </c>
      <c r="BL16">
        <f ca="1">Table9[[#This Row],[BOWLER CUML WICKETS]]*100-Table9[[#This Row],[BOWLER CUML RUNS]]</f>
        <v>0</v>
      </c>
    </row>
    <row r="17" spans="1:64" ht="15" customHeight="1" x14ac:dyDescent="0.3">
      <c r="A17">
        <v>13</v>
      </c>
      <c r="B17" t="s">
        <v>141</v>
      </c>
      <c r="C17" t="s">
        <v>177</v>
      </c>
      <c r="D17" t="s">
        <v>178</v>
      </c>
      <c r="E17">
        <v>55</v>
      </c>
      <c r="F17">
        <v>98</v>
      </c>
      <c r="G17">
        <v>71</v>
      </c>
      <c r="H17">
        <v>5</v>
      </c>
      <c r="I17">
        <v>0</v>
      </c>
      <c r="J17">
        <v>77.459999999999994</v>
      </c>
      <c r="K17">
        <v>3</v>
      </c>
      <c r="L17" t="str">
        <f>CONCATENATE(T_BATTINGDATA[[#This Row],[Match]],T_BATTINGDATA[[#This Row],[Team]],T_BATTINGDATA[[#This Row],[Bat Number]])</f>
        <v>13South Africa3</v>
      </c>
      <c r="M17" t="str">
        <f>IFERROR(IF(AND(T_BATTINGDATA[[#This Row],[Team]]=I_TEAM,IFERROR(IF(MATCH(T_BATTINGDATA[[#This Row],[BATSMAN NAME]],$O$5:O16,0)&gt;0,0),1)),1,0),"")</f>
        <v/>
      </c>
      <c r="N17" t="e">
        <f>IF(T_BATTINGDATA[[#This Row],[Team]]=I_TEAM,T_BATTINGDATA[[#This Row],[R]],0)</f>
        <v>#REF!</v>
      </c>
      <c r="O17" t="str">
        <f>LEFT(T_BATTINGDATA[[#This Row],[Batsman]],IFERROR(FIND("*",T_BATTINGDATA[[#This Row],[Batsman]])-1,IFERROR(FIND("†",T_BATTINGDATA[[#This Row],[Batsman]])-1,LEN(T_BATTINGDATA[[#This Row],[Batsman]]))))</f>
        <v>F du Plessis</v>
      </c>
      <c r="P17">
        <f ca="1">IFERROR(IF(MATCH(T_BATTINGDATA[[#This Row],[BATSMAN NAME]],OFFSET(O18,0,0,BATROWS-ROW(O17)-ROW(T_BATTINGDATA[[#Headers],[BATSMAN NAME]])),0)&gt;0,0,SUMIF($O$6:O17,T_BATTINGDATA[[#This Row],[BATSMAN NAME]],$E$6:E17)),SUMIF($O$6:O17,T_BATTINGDATA[[#This Row],[BATSMAN NAME]],$E$6:E17))</f>
        <v>0</v>
      </c>
      <c r="R17">
        <v>28</v>
      </c>
      <c r="S17" t="s">
        <v>137</v>
      </c>
      <c r="T17">
        <v>3</v>
      </c>
      <c r="U17">
        <v>19</v>
      </c>
      <c r="V17">
        <v>3</v>
      </c>
      <c r="W17">
        <v>1</v>
      </c>
      <c r="X17">
        <v>26</v>
      </c>
      <c r="Y17" t="str">
        <f>CONCATENATE(T_EXTRAS[[#This Row],[Match Number]],T_EXTRAS[[#This Row],[Team Batting]])</f>
        <v>28India</v>
      </c>
      <c r="AA17">
        <v>6</v>
      </c>
      <c r="AB17" t="s">
        <v>140</v>
      </c>
      <c r="AC17">
        <v>7</v>
      </c>
      <c r="AD17">
        <v>146</v>
      </c>
      <c r="AE17">
        <v>5.87</v>
      </c>
      <c r="AF17">
        <v>24.5</v>
      </c>
      <c r="AG17" t="str">
        <f>T_MTOTAL[[#This Row],[Match Number]]&amp;T_MTOTAL[[#This Row],[Team]]</f>
        <v>6New Zealand</v>
      </c>
      <c r="AH17">
        <v>2</v>
      </c>
      <c r="AI17" t="str">
        <f>T_MTOTAL[[#This Row],[Match Number]]&amp;" "&amp;T_MTOTAL[[#This Row],[ORDER]]</f>
        <v>6 2</v>
      </c>
      <c r="AJ17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SCOTLAND</v>
      </c>
      <c r="AK1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24.5</v>
      </c>
      <c r="AL1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149</v>
      </c>
      <c r="AM17">
        <f>(LEFT(T_MTOTAL[[#This Row],[Overs]],IFERROR(FIND(".",T_MTOTAL[[#This Row],[Overs]])-1,LEN(T_MTOTAL[[#This Row],[Overs]])))*6) + IFERROR(IF(FIND(".",T_MTOTAL[[#This Row],[Overs]])+1&gt;0,RIGHT(T_MTOTAL[[#This Row],[Overs]],1),0),0)</f>
        <v>149</v>
      </c>
      <c r="AN17">
        <f>IFERROR(IF(MATCH(T_MTOTAL[[#This Row],[ORDER LINK]],T_DL[link],0)&gt;0,INDEX(T_DL[d/l score],MATCH(T_MTOTAL[[#This Row],[ORDER LINK]],T_DL[link],0)),""),T_MTOTAL[[#This Row],[Total]])</f>
        <v>146</v>
      </c>
      <c r="AP17">
        <v>13</v>
      </c>
      <c r="AQ17" t="s">
        <v>137</v>
      </c>
      <c r="AR17" t="s">
        <v>156</v>
      </c>
      <c r="AS17">
        <v>1</v>
      </c>
      <c r="AT17">
        <v>0</v>
      </c>
      <c r="AU17">
        <v>3</v>
      </c>
      <c r="AV17">
        <v>0</v>
      </c>
      <c r="AW17">
        <v>3</v>
      </c>
      <c r="AX17">
        <v>3</v>
      </c>
      <c r="AY17">
        <v>0</v>
      </c>
      <c r="AZ17">
        <v>0</v>
      </c>
      <c r="BC17">
        <v>6</v>
      </c>
      <c r="BD17" t="str">
        <f>CONCATENATE(Table9[[#This Row],[Match Number]],Table9[[#This Row],[Team]],Table9[[#This Row],[BOWL NUM]])</f>
        <v>13India6</v>
      </c>
      <c r="BE17" t="str">
        <f>IFERROR(IF(AND(Table9[[#This Row],[Team]]=I_TEAM,IFERROR(IF(MATCH(Table9[[#This Row],[Bowler]],$AR$5:AR16,0)&gt;0,0),1)),1,0),"")</f>
        <v/>
      </c>
      <c r="BF17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1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7" t="e">
        <f>IF(Table9[[#This Row],[Team]]=I_TEAM,Table9[[#This Row],[Wickets]]*100-Table9[[#This Row],[Runs]],0)</f>
        <v>#REF!</v>
      </c>
      <c r="BI17">
        <f>Table9[[#This Row],[Wickets]]*100-Table9[[#This Row],[Runs]]</f>
        <v>-3</v>
      </c>
      <c r="BJ17">
        <f ca="1">IFERROR(IF(MATCH(Table9[[#This Row],[Bowler]],OFFSET(AR18,0,0,BOWLROWS-ROW(AR17)-ROW(Table9[[#Headers],[BOWLER CUML WICKETS]])),0)&gt;0,0,SUMIF($AR$6:AR17,Table9[[#This Row],[Bowler]],$AV$6:AV17)),SUMIF($AR$6:AR17,Table9[[#This Row],[Bowler]],$AV$6:AV17))</f>
        <v>0</v>
      </c>
      <c r="BK17">
        <f ca="1">IFERROR(IF(MATCH(Table9[[#This Row],[Bowler]],OFFSET(AR18,0,0,BOWLROWS-ROW(AR17)-ROW(Table9[[#Headers],[BOWLER CUML WICKETS]])),0)&gt;0,0,SUMIF($AR$6:AR17,Table9[[#This Row],[Bowler]],$AU$6:AU17)),SUMIF($AR$6:AR17,Table9[[#This Row],[Bowler]],$AU$6:AU17))</f>
        <v>0</v>
      </c>
      <c r="BL17">
        <f ca="1">Table9[[#This Row],[BOWLER CUML WICKETS]]*100-Table9[[#This Row],[BOWLER CUML RUNS]]</f>
        <v>0</v>
      </c>
    </row>
    <row r="18" spans="1:64" x14ac:dyDescent="0.3">
      <c r="A18">
        <v>13</v>
      </c>
      <c r="B18" t="s">
        <v>141</v>
      </c>
      <c r="C18" t="s">
        <v>179</v>
      </c>
      <c r="D18" t="s">
        <v>180</v>
      </c>
      <c r="E18">
        <v>30</v>
      </c>
      <c r="F18">
        <v>47</v>
      </c>
      <c r="G18">
        <v>38</v>
      </c>
      <c r="H18">
        <v>3</v>
      </c>
      <c r="I18">
        <v>0</v>
      </c>
      <c r="J18">
        <v>78.94</v>
      </c>
      <c r="K18">
        <v>4</v>
      </c>
      <c r="L18" t="str">
        <f>CONCATENATE(T_BATTINGDATA[[#This Row],[Match]],T_BATTINGDATA[[#This Row],[Team]],T_BATTINGDATA[[#This Row],[Bat Number]])</f>
        <v>13South Africa4</v>
      </c>
      <c r="M18" t="str">
        <f>IFERROR(IF(AND(T_BATTINGDATA[[#This Row],[Team]]=I_TEAM,IFERROR(IF(MATCH(T_BATTINGDATA[[#This Row],[BATSMAN NAME]],$O$5:O17,0)&gt;0,0),1)),1,0),"")</f>
        <v/>
      </c>
      <c r="N18" t="e">
        <f>IF(T_BATTINGDATA[[#This Row],[Team]]=I_TEAM,T_BATTINGDATA[[#This Row],[R]],0)</f>
        <v>#REF!</v>
      </c>
      <c r="O18" t="str">
        <f>LEFT(T_BATTINGDATA[[#This Row],[Batsman]],IFERROR(FIND("*",T_BATTINGDATA[[#This Row],[Batsman]])-1,IFERROR(FIND("†",T_BATTINGDATA[[#This Row],[Batsman]])-1,LEN(T_BATTINGDATA[[#This Row],[Batsman]]))))</f>
        <v>AB de Villiers</v>
      </c>
      <c r="P18">
        <f ca="1">IFERROR(IF(MATCH(T_BATTINGDATA[[#This Row],[BATSMAN NAME]],OFFSET(O19,0,0,BATROWS-ROW(O18)-ROW(T_BATTINGDATA[[#Headers],[BATSMAN NAME]])),0)&gt;0,0,SUMIF($O$6:O18,T_BATTINGDATA[[#This Row],[BATSMAN NAME]],$E$6:E18)),SUMIF($O$6:O18,T_BATTINGDATA[[#This Row],[BATSMAN NAME]],$E$6:E18))</f>
        <v>0</v>
      </c>
      <c r="R18">
        <v>44</v>
      </c>
      <c r="S18" t="s">
        <v>137</v>
      </c>
      <c r="T18">
        <v>7</v>
      </c>
      <c r="U18">
        <v>3</v>
      </c>
      <c r="V18">
        <v>2</v>
      </c>
      <c r="W18">
        <v>4</v>
      </c>
      <c r="X18">
        <v>16</v>
      </c>
      <c r="Y18" t="str">
        <f>CONCATENATE(T_EXTRAS[[#This Row],[Match Number]],T_EXTRAS[[#This Row],[Team Batting]])</f>
        <v>44India</v>
      </c>
      <c r="AA18">
        <v>7</v>
      </c>
      <c r="AB18" t="s">
        <v>181</v>
      </c>
      <c r="AC18">
        <v>10</v>
      </c>
      <c r="AD18">
        <v>267</v>
      </c>
      <c r="AE18">
        <v>5.34</v>
      </c>
      <c r="AF18">
        <v>50</v>
      </c>
      <c r="AG18" t="str">
        <f>T_MTOTAL[[#This Row],[Match Number]]&amp;T_MTOTAL[[#This Row],[Team]]</f>
        <v>7Bangladesh</v>
      </c>
      <c r="AH18">
        <v>1</v>
      </c>
      <c r="AI18" t="str">
        <f>T_MTOTAL[[#This Row],[Match Number]]&amp;" "&amp;T_MTOTAL[[#This Row],[ORDER]]</f>
        <v>7 1</v>
      </c>
      <c r="AJ18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AFGHANISTAN</v>
      </c>
      <c r="AK1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8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18">
        <f>IFERROR(IF(MATCH(T_MTOTAL[[#This Row],[ORDER LINK]],T_DL[link],0)&gt;0,INDEX(T_DL[d/l score],MATCH(T_MTOTAL[[#This Row],[ORDER LINK]],T_DL[link],0)),""),T_MTOTAL[[#This Row],[Total]])</f>
        <v>267</v>
      </c>
      <c r="AP18">
        <v>4</v>
      </c>
      <c r="AQ18" t="s">
        <v>153</v>
      </c>
      <c r="AR18" t="s">
        <v>182</v>
      </c>
      <c r="AS18">
        <v>10</v>
      </c>
      <c r="AT18">
        <v>0</v>
      </c>
      <c r="AU18">
        <v>58</v>
      </c>
      <c r="AV18">
        <v>0</v>
      </c>
      <c r="AW18">
        <v>5.8</v>
      </c>
      <c r="AX18">
        <v>31</v>
      </c>
      <c r="AY18">
        <v>6</v>
      </c>
      <c r="AZ18">
        <v>1</v>
      </c>
      <c r="BA18">
        <v>2</v>
      </c>
      <c r="BB18">
        <v>1</v>
      </c>
      <c r="BC18">
        <v>1</v>
      </c>
      <c r="BD18" t="str">
        <f>CONCATENATE(Table9[[#This Row],[Match Number]],Table9[[#This Row],[Team]],Table9[[#This Row],[BOWL NUM]])</f>
        <v>4Pakistan1</v>
      </c>
      <c r="BE18" t="str">
        <f>IFERROR(IF(AND(Table9[[#This Row],[Team]]=I_TEAM,IFERROR(IF(MATCH(Table9[[#This Row],[Bowler]],$AR$5:AR17,0)&gt;0,0),1)),1,0),"")</f>
        <v/>
      </c>
      <c r="BF1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18" t="e">
        <f>IF(Table9[[#This Row],[Team]]=I_TEAM,Table9[[#This Row],[Wickets]]*100-Table9[[#This Row],[Runs]],0)</f>
        <v>#REF!</v>
      </c>
      <c r="BI18">
        <f>Table9[[#This Row],[Wickets]]*100-Table9[[#This Row],[Runs]]</f>
        <v>-58</v>
      </c>
      <c r="BJ18">
        <f ca="1">IFERROR(IF(MATCH(Table9[[#This Row],[Bowler]],OFFSET(AR19,0,0,BOWLROWS-ROW(AR18)-ROW(Table9[[#Headers],[BOWLER CUML WICKETS]])),0)&gt;0,0,SUMIF($AR$6:AR18,Table9[[#This Row],[Bowler]],$AV$6:AV18)),SUMIF($AR$6:AR18,Table9[[#This Row],[Bowler]],$AV$6:AV18))</f>
        <v>0</v>
      </c>
      <c r="BK18">
        <f ca="1">IFERROR(IF(MATCH(Table9[[#This Row],[Bowler]],OFFSET(AR19,0,0,BOWLROWS-ROW(AR18)-ROW(Table9[[#Headers],[BOWLER CUML WICKETS]])),0)&gt;0,0,SUMIF($AR$6:AR18,Table9[[#This Row],[Bowler]],$AU$6:AU18)),SUMIF($AR$6:AR18,Table9[[#This Row],[Bowler]],$AU$6:AU18))</f>
        <v>0</v>
      </c>
      <c r="BL18">
        <f ca="1">Table9[[#This Row],[BOWLER CUML WICKETS]]*100-Table9[[#This Row],[BOWLER CUML RUNS]]</f>
        <v>0</v>
      </c>
    </row>
    <row r="19" spans="1:64" x14ac:dyDescent="0.3">
      <c r="A19">
        <v>13</v>
      </c>
      <c r="B19" t="s">
        <v>141</v>
      </c>
      <c r="C19" t="s">
        <v>183</v>
      </c>
      <c r="D19" t="s">
        <v>184</v>
      </c>
      <c r="E19">
        <v>22</v>
      </c>
      <c r="F19">
        <v>45</v>
      </c>
      <c r="G19">
        <v>23</v>
      </c>
      <c r="H19">
        <v>2</v>
      </c>
      <c r="I19">
        <v>0</v>
      </c>
      <c r="J19">
        <v>95.65</v>
      </c>
      <c r="K19">
        <v>5</v>
      </c>
      <c r="L19" t="str">
        <f>CONCATENATE(T_BATTINGDATA[[#This Row],[Match]],T_BATTINGDATA[[#This Row],[Team]],T_BATTINGDATA[[#This Row],[Bat Number]])</f>
        <v>13South Africa5</v>
      </c>
      <c r="M19" t="str">
        <f>IFERROR(IF(AND(T_BATTINGDATA[[#This Row],[Team]]=I_TEAM,IFERROR(IF(MATCH(T_BATTINGDATA[[#This Row],[BATSMAN NAME]],$O$5:O18,0)&gt;0,0),1)),1,0),"")</f>
        <v/>
      </c>
      <c r="N19" t="e">
        <f>IF(T_BATTINGDATA[[#This Row],[Team]]=I_TEAM,T_BATTINGDATA[[#This Row],[R]],0)</f>
        <v>#REF!</v>
      </c>
      <c r="O19" t="str">
        <f>LEFT(T_BATTINGDATA[[#This Row],[Batsman]],IFERROR(FIND("*",T_BATTINGDATA[[#This Row],[Batsman]])-1,IFERROR(FIND("†",T_BATTINGDATA[[#This Row],[Batsman]])-1,LEN(T_BATTINGDATA[[#This Row],[Batsman]]))))</f>
        <v>DA Miller</v>
      </c>
      <c r="P19">
        <f ca="1">IFERROR(IF(MATCH(T_BATTINGDATA[[#This Row],[BATSMAN NAME]],OFFSET(O20,0,0,BATROWS-ROW(O19)-ROW(T_BATTINGDATA[[#Headers],[BATSMAN NAME]])),0)&gt;0,0,SUMIF($O$6:O19,T_BATTINGDATA[[#This Row],[BATSMAN NAME]],$E$6:E19)),SUMIF($O$6:O19,T_BATTINGDATA[[#This Row],[BATSMAN NAME]],$E$6:E19))</f>
        <v>0</v>
      </c>
      <c r="R19">
        <v>44</v>
      </c>
      <c r="S19" t="s">
        <v>181</v>
      </c>
      <c r="T19">
        <v>1</v>
      </c>
      <c r="U19">
        <v>8</v>
      </c>
      <c r="W19">
        <v>1</v>
      </c>
      <c r="X19">
        <v>10</v>
      </c>
      <c r="Y19" t="str">
        <f>CONCATENATE(T_EXTRAS[[#This Row],[Match Number]],T_EXTRAS[[#This Row],[Team Batting]])</f>
        <v>44Bangladesh</v>
      </c>
      <c r="AA19">
        <v>7</v>
      </c>
      <c r="AB19" t="s">
        <v>185</v>
      </c>
      <c r="AC19">
        <v>10</v>
      </c>
      <c r="AD19">
        <v>162</v>
      </c>
      <c r="AE19">
        <v>3.78</v>
      </c>
      <c r="AF19">
        <v>42.5</v>
      </c>
      <c r="AG19" t="str">
        <f>T_MTOTAL[[#This Row],[Match Number]]&amp;T_MTOTAL[[#This Row],[Team]]</f>
        <v>7Afghanistan</v>
      </c>
      <c r="AH19">
        <v>2</v>
      </c>
      <c r="AI19" t="str">
        <f>T_MTOTAL[[#This Row],[Match Number]]&amp;" "&amp;T_MTOTAL[[#This Row],[ORDER]]</f>
        <v>7 2</v>
      </c>
      <c r="AJ19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BANGLADESH</v>
      </c>
      <c r="AK1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9">
        <f>(LEFT(T_MTOTAL[[#This Row],[Overs]],IFERROR(FIND(".",T_MTOTAL[[#This Row],[Overs]])-1,LEN(T_MTOTAL[[#This Row],[Overs]])))*6) + IFERROR(IF(FIND(".",T_MTOTAL[[#This Row],[Overs]])+1&gt;0,RIGHT(T_MTOTAL[[#This Row],[Overs]],1),0),0)</f>
        <v>257</v>
      </c>
      <c r="AN19">
        <f>IFERROR(IF(MATCH(T_MTOTAL[[#This Row],[ORDER LINK]],T_DL[link],0)&gt;0,INDEX(T_DL[d/l score],MATCH(T_MTOTAL[[#This Row],[ORDER LINK]],T_DL[link],0)),""),T_MTOTAL[[#This Row],[Total]])</f>
        <v>162</v>
      </c>
      <c r="AP19">
        <v>4</v>
      </c>
      <c r="AQ19" t="s">
        <v>153</v>
      </c>
      <c r="AR19" t="s">
        <v>186</v>
      </c>
      <c r="AS19">
        <v>10</v>
      </c>
      <c r="AT19">
        <v>0</v>
      </c>
      <c r="AU19">
        <v>55</v>
      </c>
      <c r="AV19">
        <v>5</v>
      </c>
      <c r="AW19">
        <v>5.5</v>
      </c>
      <c r="AX19">
        <v>32</v>
      </c>
      <c r="AY19">
        <v>6</v>
      </c>
      <c r="AZ19">
        <v>1</v>
      </c>
      <c r="BA19">
        <v>1</v>
      </c>
      <c r="BC19">
        <v>2</v>
      </c>
      <c r="BD19" t="str">
        <f>CONCATENATE(Table9[[#This Row],[Match Number]],Table9[[#This Row],[Team]],Table9[[#This Row],[BOWL NUM]])</f>
        <v>4Pakistan2</v>
      </c>
      <c r="BE19" t="str">
        <f>IFERROR(IF(AND(Table9[[#This Row],[Team]]=I_TEAM,IFERROR(IF(MATCH(Table9[[#This Row],[Bowler]],$AR$5:AR18,0)&gt;0,0),1)),1,0),"")</f>
        <v/>
      </c>
      <c r="BF1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19" t="e">
        <f>IF(Table9[[#This Row],[Team]]=I_TEAM,Table9[[#This Row],[Wickets]]*100-Table9[[#This Row],[Runs]],0)</f>
        <v>#REF!</v>
      </c>
      <c r="BI19">
        <f>Table9[[#This Row],[Wickets]]*100-Table9[[#This Row],[Runs]]</f>
        <v>445</v>
      </c>
      <c r="BJ19">
        <f ca="1">IFERROR(IF(MATCH(Table9[[#This Row],[Bowler]],OFFSET(AR20,0,0,BOWLROWS-ROW(AR19)-ROW(Table9[[#Headers],[BOWLER CUML WICKETS]])),0)&gt;0,0,SUMIF($AR$6:AR19,Table9[[#This Row],[Bowler]],$AV$6:AV19)),SUMIF($AR$6:AR19,Table9[[#This Row],[Bowler]],$AV$6:AV19))</f>
        <v>0</v>
      </c>
      <c r="BK19">
        <f ca="1">IFERROR(IF(MATCH(Table9[[#This Row],[Bowler]],OFFSET(AR20,0,0,BOWLROWS-ROW(AR19)-ROW(Table9[[#Headers],[BOWLER CUML WICKETS]])),0)&gt;0,0,SUMIF($AR$6:AR19,Table9[[#This Row],[Bowler]],$AU$6:AU19)),SUMIF($AR$6:AR19,Table9[[#This Row],[Bowler]],$AU$6:AU19))</f>
        <v>0</v>
      </c>
      <c r="BL19">
        <f ca="1">Table9[[#This Row],[BOWLER CUML WICKETS]]*100-Table9[[#This Row],[BOWLER CUML RUNS]]</f>
        <v>0</v>
      </c>
    </row>
    <row r="20" spans="1:64" x14ac:dyDescent="0.3">
      <c r="A20">
        <v>13</v>
      </c>
      <c r="B20" t="s">
        <v>141</v>
      </c>
      <c r="C20" t="s">
        <v>150</v>
      </c>
      <c r="D20" t="s">
        <v>187</v>
      </c>
      <c r="E20">
        <v>6</v>
      </c>
      <c r="F20">
        <v>16</v>
      </c>
      <c r="G20">
        <v>15</v>
      </c>
      <c r="H20">
        <v>0</v>
      </c>
      <c r="I20">
        <v>0</v>
      </c>
      <c r="J20">
        <v>40</v>
      </c>
      <c r="K20">
        <v>6</v>
      </c>
      <c r="L20" t="str">
        <f>CONCATENATE(T_BATTINGDATA[[#This Row],[Match]],T_BATTINGDATA[[#This Row],[Team]],T_BATTINGDATA[[#This Row],[Bat Number]])</f>
        <v>13South Africa6</v>
      </c>
      <c r="M20" t="str">
        <f>IFERROR(IF(AND(T_BATTINGDATA[[#This Row],[Team]]=I_TEAM,IFERROR(IF(MATCH(T_BATTINGDATA[[#This Row],[BATSMAN NAME]],$O$5:O19,0)&gt;0,0),1)),1,0),"")</f>
        <v/>
      </c>
      <c r="N20" t="e">
        <f>IF(T_BATTINGDATA[[#This Row],[Team]]=I_TEAM,T_BATTINGDATA[[#This Row],[R]],0)</f>
        <v>#REF!</v>
      </c>
      <c r="O20" t="str">
        <f>LEFT(T_BATTINGDATA[[#This Row],[Batsman]],IFERROR(FIND("*",T_BATTINGDATA[[#This Row],[Batsman]])-1,IFERROR(FIND("†",T_BATTINGDATA[[#This Row],[Batsman]])-1,LEN(T_BATTINGDATA[[#This Row],[Batsman]]))))</f>
        <v>JP Duminy</v>
      </c>
      <c r="P20">
        <f ca="1">IFERROR(IF(MATCH(T_BATTINGDATA[[#This Row],[BATSMAN NAME]],OFFSET(O21,0,0,BATROWS-ROW(O20)-ROW(T_BATTINGDATA[[#Headers],[BATSMAN NAME]])),0)&gt;0,0,SUMIF($O$6:O20,T_BATTINGDATA[[#This Row],[BATSMAN NAME]],$E$6:E20)),SUMIF($O$6:O20,T_BATTINGDATA[[#This Row],[BATSMAN NAME]],$E$6:E20))</f>
        <v>0</v>
      </c>
      <c r="R20">
        <v>1</v>
      </c>
      <c r="S20" t="s">
        <v>140</v>
      </c>
      <c r="T20">
        <v>2</v>
      </c>
      <c r="U20">
        <v>8</v>
      </c>
      <c r="V20">
        <v>3</v>
      </c>
      <c r="X20">
        <v>13</v>
      </c>
      <c r="Y20" t="str">
        <f>CONCATENATE(T_EXTRAS[[#This Row],[Match Number]],T_EXTRAS[[#This Row],[Team Batting]])</f>
        <v>1New Zealand</v>
      </c>
      <c r="AA20">
        <v>8</v>
      </c>
      <c r="AB20" t="s">
        <v>164</v>
      </c>
      <c r="AC20">
        <v>7</v>
      </c>
      <c r="AD20">
        <v>285</v>
      </c>
      <c r="AE20">
        <v>5.7</v>
      </c>
      <c r="AF20">
        <v>50</v>
      </c>
      <c r="AG20" t="str">
        <f>T_MTOTAL[[#This Row],[Match Number]]&amp;T_MTOTAL[[#This Row],[Team]]</f>
        <v>8UAE</v>
      </c>
      <c r="AH20">
        <v>1</v>
      </c>
      <c r="AI20" t="str">
        <f>T_MTOTAL[[#This Row],[Match Number]]&amp;" "&amp;T_MTOTAL[[#This Row],[ORDER]]</f>
        <v>8 1</v>
      </c>
      <c r="AJ20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ZIMBABWE</v>
      </c>
      <c r="AK2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2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20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20">
        <f>IFERROR(IF(MATCH(T_MTOTAL[[#This Row],[ORDER LINK]],T_DL[link],0)&gt;0,INDEX(T_DL[d/l score],MATCH(T_MTOTAL[[#This Row],[ORDER LINK]],T_DL[link],0)),""),T_MTOTAL[[#This Row],[Total]])</f>
        <v>285</v>
      </c>
      <c r="AP20">
        <v>4</v>
      </c>
      <c r="AQ20" t="s">
        <v>153</v>
      </c>
      <c r="AR20" t="s">
        <v>188</v>
      </c>
      <c r="AS20">
        <v>8</v>
      </c>
      <c r="AT20">
        <v>0</v>
      </c>
      <c r="AU20">
        <v>50</v>
      </c>
      <c r="AV20">
        <v>0</v>
      </c>
      <c r="AW20">
        <v>6.25</v>
      </c>
      <c r="AX20">
        <v>12</v>
      </c>
      <c r="AY20">
        <v>1</v>
      </c>
      <c r="AZ20">
        <v>1</v>
      </c>
      <c r="BC20">
        <v>3</v>
      </c>
      <c r="BD20" t="str">
        <f>CONCATENATE(Table9[[#This Row],[Match Number]],Table9[[#This Row],[Team]],Table9[[#This Row],[BOWL NUM]])</f>
        <v>4Pakistan3</v>
      </c>
      <c r="BE20" t="str">
        <f>IFERROR(IF(AND(Table9[[#This Row],[Team]]=I_TEAM,IFERROR(IF(MATCH(Table9[[#This Row],[Bowler]],$AR$5:AR19,0)&gt;0,0),1)),1,0),"")</f>
        <v/>
      </c>
      <c r="BF2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2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20" t="e">
        <f>IF(Table9[[#This Row],[Team]]=I_TEAM,Table9[[#This Row],[Wickets]]*100-Table9[[#This Row],[Runs]],0)</f>
        <v>#REF!</v>
      </c>
      <c r="BI20">
        <f>Table9[[#This Row],[Wickets]]*100-Table9[[#This Row],[Runs]]</f>
        <v>-50</v>
      </c>
      <c r="BJ20">
        <f ca="1">IFERROR(IF(MATCH(Table9[[#This Row],[Bowler]],OFFSET(AR21,0,0,BOWLROWS-ROW(AR20)-ROW(Table9[[#Headers],[BOWLER CUML WICKETS]])),0)&gt;0,0,SUMIF($AR$6:AR20,Table9[[#This Row],[Bowler]],$AV$6:AV20)),SUMIF($AR$6:AR20,Table9[[#This Row],[Bowler]],$AV$6:AV20))</f>
        <v>0</v>
      </c>
      <c r="BK20">
        <f ca="1">IFERROR(IF(MATCH(Table9[[#This Row],[Bowler]],OFFSET(AR21,0,0,BOWLROWS-ROW(AR20)-ROW(Table9[[#Headers],[BOWLER CUML WICKETS]])),0)&gt;0,0,SUMIF($AR$6:AR20,Table9[[#This Row],[Bowler]],$AU$6:AU20)),SUMIF($AR$6:AR20,Table9[[#This Row],[Bowler]],$AU$6:AU20))</f>
        <v>0</v>
      </c>
      <c r="BL20">
        <f ca="1">Table9[[#This Row],[BOWLER CUML WICKETS]]*100-Table9[[#This Row],[BOWLER CUML RUNS]]</f>
        <v>0</v>
      </c>
    </row>
    <row r="21" spans="1:64" ht="15" customHeight="1" x14ac:dyDescent="0.3">
      <c r="A21">
        <v>13</v>
      </c>
      <c r="B21" t="s">
        <v>141</v>
      </c>
      <c r="C21" t="s">
        <v>162</v>
      </c>
      <c r="D21" t="s">
        <v>167</v>
      </c>
      <c r="E21">
        <v>17</v>
      </c>
      <c r="F21">
        <v>41</v>
      </c>
      <c r="G21">
        <v>28</v>
      </c>
      <c r="H21">
        <v>1</v>
      </c>
      <c r="I21">
        <v>0</v>
      </c>
      <c r="J21">
        <v>60.71</v>
      </c>
      <c r="K21">
        <v>7</v>
      </c>
      <c r="L21" t="str">
        <f>CONCATENATE(T_BATTINGDATA[[#This Row],[Match]],T_BATTINGDATA[[#This Row],[Team]],T_BATTINGDATA[[#This Row],[Bat Number]])</f>
        <v>13South Africa7</v>
      </c>
      <c r="M21" t="str">
        <f>IFERROR(IF(AND(T_BATTINGDATA[[#This Row],[Team]]=I_TEAM,IFERROR(IF(MATCH(T_BATTINGDATA[[#This Row],[BATSMAN NAME]],$O$5:O20,0)&gt;0,0),1)),1,0),"")</f>
        <v/>
      </c>
      <c r="N21" t="e">
        <f>IF(T_BATTINGDATA[[#This Row],[Team]]=I_TEAM,T_BATTINGDATA[[#This Row],[R]],0)</f>
        <v>#REF!</v>
      </c>
      <c r="O21" t="str">
        <f>LEFT(T_BATTINGDATA[[#This Row],[Batsman]],IFERROR(FIND("*",T_BATTINGDATA[[#This Row],[Batsman]])-1,IFERROR(FIND("†",T_BATTINGDATA[[#This Row],[Batsman]])-1,LEN(T_BATTINGDATA[[#This Row],[Batsman]]))))</f>
        <v>WD Parnell</v>
      </c>
      <c r="P21">
        <f ca="1">IFERROR(IF(MATCH(T_BATTINGDATA[[#This Row],[BATSMAN NAME]],OFFSET(O22,0,0,BATROWS-ROW(O21)-ROW(T_BATTINGDATA[[#Headers],[BATSMAN NAME]])),0)&gt;0,0,SUMIF($O$6:O21,T_BATTINGDATA[[#This Row],[BATSMAN NAME]],$E$6:E21)),SUMIF($O$6:O21,T_BATTINGDATA[[#This Row],[BATSMAN NAME]],$E$6:E21))</f>
        <v>17</v>
      </c>
      <c r="R21">
        <v>1</v>
      </c>
      <c r="S21" t="s">
        <v>145</v>
      </c>
      <c r="U21">
        <v>10</v>
      </c>
      <c r="V21">
        <v>1</v>
      </c>
      <c r="X21">
        <v>11</v>
      </c>
      <c r="Y21" t="str">
        <f>CONCATENATE(T_EXTRAS[[#This Row],[Match Number]],T_EXTRAS[[#This Row],[Team Batting]])</f>
        <v>1Sri Lanka</v>
      </c>
      <c r="AA21">
        <v>8</v>
      </c>
      <c r="AB21" t="s">
        <v>158</v>
      </c>
      <c r="AC21">
        <v>6</v>
      </c>
      <c r="AD21">
        <v>286</v>
      </c>
      <c r="AE21">
        <v>5.95</v>
      </c>
      <c r="AF21">
        <v>48</v>
      </c>
      <c r="AG21" t="str">
        <f>T_MTOTAL[[#This Row],[Match Number]]&amp;T_MTOTAL[[#This Row],[Team]]</f>
        <v>8Zimbabwe</v>
      </c>
      <c r="AH21">
        <v>2</v>
      </c>
      <c r="AI21" t="str">
        <f>T_MTOTAL[[#This Row],[Match Number]]&amp;" "&amp;T_MTOTAL[[#This Row],[ORDER]]</f>
        <v>8 2</v>
      </c>
      <c r="AJ21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UAE</v>
      </c>
      <c r="AK2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48</v>
      </c>
      <c r="AL2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288</v>
      </c>
      <c r="AM21">
        <f>(LEFT(T_MTOTAL[[#This Row],[Overs]],IFERROR(FIND(".",T_MTOTAL[[#This Row],[Overs]])-1,LEN(T_MTOTAL[[#This Row],[Overs]])))*6) + IFERROR(IF(FIND(".",T_MTOTAL[[#This Row],[Overs]])+1&gt;0,RIGHT(T_MTOTAL[[#This Row],[Overs]],1),0),0)</f>
        <v>288</v>
      </c>
      <c r="AN21">
        <f>IFERROR(IF(MATCH(T_MTOTAL[[#This Row],[ORDER LINK]],T_DL[link],0)&gt;0,INDEX(T_DL[d/l score],MATCH(T_MTOTAL[[#This Row],[ORDER LINK]],T_DL[link],0)),""),T_MTOTAL[[#This Row],[Total]])</f>
        <v>286</v>
      </c>
      <c r="AP21">
        <v>4</v>
      </c>
      <c r="AQ21" t="s">
        <v>153</v>
      </c>
      <c r="AR21" t="s">
        <v>189</v>
      </c>
      <c r="AS21">
        <v>10</v>
      </c>
      <c r="AT21">
        <v>0</v>
      </c>
      <c r="AU21">
        <v>49</v>
      </c>
      <c r="AV21">
        <v>1</v>
      </c>
      <c r="AW21">
        <v>4.9000000000000004</v>
      </c>
      <c r="AX21">
        <v>23</v>
      </c>
      <c r="AY21">
        <v>3</v>
      </c>
      <c r="AZ21">
        <v>0</v>
      </c>
      <c r="BC21">
        <v>4</v>
      </c>
      <c r="BD21" t="str">
        <f>CONCATENATE(Table9[[#This Row],[Match Number]],Table9[[#This Row],[Team]],Table9[[#This Row],[BOWL NUM]])</f>
        <v>4Pakistan4</v>
      </c>
      <c r="BE21" t="str">
        <f>IFERROR(IF(AND(Table9[[#This Row],[Team]]=I_TEAM,IFERROR(IF(MATCH(Table9[[#This Row],[Bowler]],$AR$5:AR20,0)&gt;0,0),1)),1,0),"")</f>
        <v/>
      </c>
      <c r="BF2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21" t="e">
        <f>IF(Table9[[#This Row],[Team]]=I_TEAM,Table9[[#This Row],[Wickets]]*100-Table9[[#This Row],[Runs]],0)</f>
        <v>#REF!</v>
      </c>
      <c r="BI21">
        <f>Table9[[#This Row],[Wickets]]*100-Table9[[#This Row],[Runs]]</f>
        <v>51</v>
      </c>
      <c r="BJ21">
        <f ca="1">IFERROR(IF(MATCH(Table9[[#This Row],[Bowler]],OFFSET(AR22,0,0,BOWLROWS-ROW(AR21)-ROW(Table9[[#Headers],[BOWLER CUML WICKETS]])),0)&gt;0,0,SUMIF($AR$6:AR21,Table9[[#This Row],[Bowler]],$AV$6:AV21)),SUMIF($AR$6:AR21,Table9[[#This Row],[Bowler]],$AV$6:AV21))</f>
        <v>0</v>
      </c>
      <c r="BK21">
        <f ca="1">IFERROR(IF(MATCH(Table9[[#This Row],[Bowler]],OFFSET(AR22,0,0,BOWLROWS-ROW(AR21)-ROW(Table9[[#Headers],[BOWLER CUML WICKETS]])),0)&gt;0,0,SUMIF($AR$6:AR21,Table9[[#This Row],[Bowler]],$AU$6:AU21)),SUMIF($AR$6:AR21,Table9[[#This Row],[Bowler]],$AU$6:AU21))</f>
        <v>0</v>
      </c>
      <c r="BL21">
        <f ca="1">Table9[[#This Row],[BOWLER CUML WICKETS]]*100-Table9[[#This Row],[BOWLER CUML RUNS]]</f>
        <v>0</v>
      </c>
    </row>
    <row r="22" spans="1:64" x14ac:dyDescent="0.3">
      <c r="A22">
        <v>13</v>
      </c>
      <c r="B22" t="s">
        <v>141</v>
      </c>
      <c r="C22" t="s">
        <v>146</v>
      </c>
      <c r="D22" t="s">
        <v>190</v>
      </c>
      <c r="E22">
        <v>0</v>
      </c>
      <c r="F22">
        <v>4</v>
      </c>
      <c r="G22">
        <v>2</v>
      </c>
      <c r="H22">
        <v>0</v>
      </c>
      <c r="I22">
        <v>0</v>
      </c>
      <c r="J22">
        <v>0</v>
      </c>
      <c r="K22">
        <v>8</v>
      </c>
      <c r="L22" t="str">
        <f>CONCATENATE(T_BATTINGDATA[[#This Row],[Match]],T_BATTINGDATA[[#This Row],[Team]],T_BATTINGDATA[[#This Row],[Bat Number]])</f>
        <v>13South Africa8</v>
      </c>
      <c r="M22" t="str">
        <f>IFERROR(IF(AND(T_BATTINGDATA[[#This Row],[Team]]=I_TEAM,IFERROR(IF(MATCH(T_BATTINGDATA[[#This Row],[BATSMAN NAME]],$O$5:O21,0)&gt;0,0),1)),1,0),"")</f>
        <v/>
      </c>
      <c r="N22" t="e">
        <f>IF(T_BATTINGDATA[[#This Row],[Team]]=I_TEAM,T_BATTINGDATA[[#This Row],[R]],0)</f>
        <v>#REF!</v>
      </c>
      <c r="O22" t="str">
        <f>LEFT(T_BATTINGDATA[[#This Row],[Batsman]],IFERROR(FIND("*",T_BATTINGDATA[[#This Row],[Batsman]])-1,IFERROR(FIND("†",T_BATTINGDATA[[#This Row],[Batsman]])-1,LEN(T_BATTINGDATA[[#This Row],[Batsman]]))))</f>
        <v>VD Philander</v>
      </c>
      <c r="P22">
        <f ca="1">IFERROR(IF(MATCH(T_BATTINGDATA[[#This Row],[BATSMAN NAME]],OFFSET(O23,0,0,BATROWS-ROW(O22)-ROW(T_BATTINGDATA[[#Headers],[BATSMAN NAME]])),0)&gt;0,0,SUMIF($O$6:O22,T_BATTINGDATA[[#This Row],[BATSMAN NAME]],$E$6:E22)),SUMIF($O$6:O22,T_BATTINGDATA[[#This Row],[BATSMAN NAME]],$E$6:E22))</f>
        <v>0</v>
      </c>
      <c r="R22">
        <v>2</v>
      </c>
      <c r="S22" t="s">
        <v>149</v>
      </c>
      <c r="T22">
        <v>2</v>
      </c>
      <c r="U22">
        <v>3</v>
      </c>
      <c r="X22">
        <v>5</v>
      </c>
      <c r="Y22" t="str">
        <f>CONCATENATE(T_EXTRAS[[#This Row],[Match Number]],T_EXTRAS[[#This Row],[Team Batting]])</f>
        <v>2Australia</v>
      </c>
      <c r="AA22">
        <v>9</v>
      </c>
      <c r="AB22" t="s">
        <v>154</v>
      </c>
      <c r="AC22">
        <v>10</v>
      </c>
      <c r="AD22">
        <v>123</v>
      </c>
      <c r="AE22">
        <v>3.69</v>
      </c>
      <c r="AF22">
        <v>33.200000000000003</v>
      </c>
      <c r="AG22" t="str">
        <f>T_MTOTAL[[#This Row],[Match Number]]&amp;T_MTOTAL[[#This Row],[Team]]</f>
        <v>9England</v>
      </c>
      <c r="AH22">
        <v>1</v>
      </c>
      <c r="AI22" t="str">
        <f>T_MTOTAL[[#This Row],[Match Number]]&amp;" "&amp;T_MTOTAL[[#This Row],[ORDER]]</f>
        <v>9 1</v>
      </c>
      <c r="AJ22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NEW ZEALAND</v>
      </c>
      <c r="AK2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2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22">
        <f>(LEFT(T_MTOTAL[[#This Row],[Overs]],IFERROR(FIND(".",T_MTOTAL[[#This Row],[Overs]])-1,LEN(T_MTOTAL[[#This Row],[Overs]])))*6) + IFERROR(IF(FIND(".",T_MTOTAL[[#This Row],[Overs]])+1&gt;0,RIGHT(T_MTOTAL[[#This Row],[Overs]],1),0),0)</f>
        <v>200</v>
      </c>
      <c r="AN22">
        <f>IFERROR(IF(MATCH(T_MTOTAL[[#This Row],[ORDER LINK]],T_DL[link],0)&gt;0,INDEX(T_DL[d/l score],MATCH(T_MTOTAL[[#This Row],[ORDER LINK]],T_DL[link],0)),""),T_MTOTAL[[#This Row],[Total]])</f>
        <v>123</v>
      </c>
      <c r="AP22">
        <v>4</v>
      </c>
      <c r="AQ22" t="s">
        <v>153</v>
      </c>
      <c r="AR22" t="s">
        <v>191</v>
      </c>
      <c r="AS22">
        <v>8</v>
      </c>
      <c r="AT22">
        <v>0</v>
      </c>
      <c r="AU22">
        <v>60</v>
      </c>
      <c r="AV22">
        <v>0</v>
      </c>
      <c r="AW22">
        <v>7.5</v>
      </c>
      <c r="AX22">
        <v>14</v>
      </c>
      <c r="AY22">
        <v>6</v>
      </c>
      <c r="AZ22">
        <v>1</v>
      </c>
      <c r="BC22">
        <v>5</v>
      </c>
      <c r="BD22" t="str">
        <f>CONCATENATE(Table9[[#This Row],[Match Number]],Table9[[#This Row],[Team]],Table9[[#This Row],[BOWL NUM]])</f>
        <v>4Pakistan5</v>
      </c>
      <c r="BE22" t="str">
        <f>IFERROR(IF(AND(Table9[[#This Row],[Team]]=I_TEAM,IFERROR(IF(MATCH(Table9[[#This Row],[Bowler]],$AR$5:AR21,0)&gt;0,0),1)),1,0),"")</f>
        <v/>
      </c>
      <c r="BF22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2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22" t="e">
        <f>IF(Table9[[#This Row],[Team]]=I_TEAM,Table9[[#This Row],[Wickets]]*100-Table9[[#This Row],[Runs]],0)</f>
        <v>#REF!</v>
      </c>
      <c r="BI22">
        <f>Table9[[#This Row],[Wickets]]*100-Table9[[#This Row],[Runs]]</f>
        <v>-60</v>
      </c>
      <c r="BJ22">
        <f ca="1">IFERROR(IF(MATCH(Table9[[#This Row],[Bowler]],OFFSET(AR23,0,0,BOWLROWS-ROW(AR22)-ROW(Table9[[#Headers],[BOWLER CUML WICKETS]])),0)&gt;0,0,SUMIF($AR$6:AR22,Table9[[#This Row],[Bowler]],$AV$6:AV22)),SUMIF($AR$6:AR22,Table9[[#This Row],[Bowler]],$AV$6:AV22))</f>
        <v>0</v>
      </c>
      <c r="BK22">
        <f ca="1">IFERROR(IF(MATCH(Table9[[#This Row],[Bowler]],OFFSET(AR23,0,0,BOWLROWS-ROW(AR22)-ROW(Table9[[#Headers],[BOWLER CUML WICKETS]])),0)&gt;0,0,SUMIF($AR$6:AR22,Table9[[#This Row],[Bowler]],$AU$6:AU22)),SUMIF($AR$6:AR22,Table9[[#This Row],[Bowler]],$AU$6:AU22))</f>
        <v>60</v>
      </c>
      <c r="BL22">
        <f ca="1">Table9[[#This Row],[BOWLER CUML WICKETS]]*100-Table9[[#This Row],[BOWLER CUML RUNS]]</f>
        <v>-60</v>
      </c>
    </row>
    <row r="23" spans="1:64" x14ac:dyDescent="0.3">
      <c r="A23">
        <v>13</v>
      </c>
      <c r="B23" t="s">
        <v>141</v>
      </c>
      <c r="C23" t="s">
        <v>142</v>
      </c>
      <c r="D23" t="s">
        <v>192</v>
      </c>
      <c r="E23">
        <v>1</v>
      </c>
      <c r="F23">
        <v>8</v>
      </c>
      <c r="G23">
        <v>7</v>
      </c>
      <c r="H23">
        <v>0</v>
      </c>
      <c r="I23">
        <v>0</v>
      </c>
      <c r="J23">
        <v>14.28</v>
      </c>
      <c r="K23">
        <v>9</v>
      </c>
      <c r="L23" t="str">
        <f>CONCATENATE(T_BATTINGDATA[[#This Row],[Match]],T_BATTINGDATA[[#This Row],[Team]],T_BATTINGDATA[[#This Row],[Bat Number]])</f>
        <v>13South Africa9</v>
      </c>
      <c r="M23" t="str">
        <f>IFERROR(IF(AND(T_BATTINGDATA[[#This Row],[Team]]=I_TEAM,IFERROR(IF(MATCH(T_BATTINGDATA[[#This Row],[BATSMAN NAME]],$O$5:O22,0)&gt;0,0),1)),1,0),"")</f>
        <v/>
      </c>
      <c r="N23" t="e">
        <f>IF(T_BATTINGDATA[[#This Row],[Team]]=I_TEAM,T_BATTINGDATA[[#This Row],[R]],0)</f>
        <v>#REF!</v>
      </c>
      <c r="O23" t="str">
        <f>LEFT(T_BATTINGDATA[[#This Row],[Batsman]],IFERROR(FIND("*",T_BATTINGDATA[[#This Row],[Batsman]])-1,IFERROR(FIND("†",T_BATTINGDATA[[#This Row],[Batsman]])-1,LEN(T_BATTINGDATA[[#This Row],[Batsman]]))))</f>
        <v>DW Steyn</v>
      </c>
      <c r="P23">
        <f ca="1">IFERROR(IF(MATCH(T_BATTINGDATA[[#This Row],[BATSMAN NAME]],OFFSET(O24,0,0,BATROWS-ROW(O23)-ROW(T_BATTINGDATA[[#Headers],[BATSMAN NAME]])),0)&gt;0,0,SUMIF($O$6:O23,T_BATTINGDATA[[#This Row],[BATSMAN NAME]],$E$6:E23)),SUMIF($O$6:O23,T_BATTINGDATA[[#This Row],[BATSMAN NAME]],$E$6:E23))</f>
        <v>0</v>
      </c>
      <c r="R23">
        <v>2</v>
      </c>
      <c r="S23" t="s">
        <v>154</v>
      </c>
      <c r="T23">
        <v>5</v>
      </c>
      <c r="U23">
        <v>11</v>
      </c>
      <c r="X23">
        <v>16</v>
      </c>
      <c r="Y23" t="str">
        <f>CONCATENATE(T_EXTRAS[[#This Row],[Match Number]],T_EXTRAS[[#This Row],[Team Batting]])</f>
        <v>2England</v>
      </c>
      <c r="AA23">
        <v>9</v>
      </c>
      <c r="AB23" t="s">
        <v>140</v>
      </c>
      <c r="AC23">
        <v>2</v>
      </c>
      <c r="AD23">
        <v>125</v>
      </c>
      <c r="AE23">
        <v>10.130000000000001</v>
      </c>
      <c r="AF23">
        <v>12.2</v>
      </c>
      <c r="AG23" t="str">
        <f>T_MTOTAL[[#This Row],[Match Number]]&amp;T_MTOTAL[[#This Row],[Team]]</f>
        <v>9New Zealand</v>
      </c>
      <c r="AH23">
        <v>2</v>
      </c>
      <c r="AI23" t="str">
        <f>T_MTOTAL[[#This Row],[Match Number]]&amp;" "&amp;T_MTOTAL[[#This Row],[ORDER]]</f>
        <v>9 2</v>
      </c>
      <c r="AJ23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ENGLAND</v>
      </c>
      <c r="AK2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12.2</v>
      </c>
      <c r="AL2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74</v>
      </c>
      <c r="AM23">
        <f>(LEFT(T_MTOTAL[[#This Row],[Overs]],IFERROR(FIND(".",T_MTOTAL[[#This Row],[Overs]])-1,LEN(T_MTOTAL[[#This Row],[Overs]])))*6) + IFERROR(IF(FIND(".",T_MTOTAL[[#This Row],[Overs]])+1&gt;0,RIGHT(T_MTOTAL[[#This Row],[Overs]],1),0),0)</f>
        <v>74</v>
      </c>
      <c r="AN23">
        <f>IFERROR(IF(MATCH(T_MTOTAL[[#This Row],[ORDER LINK]],T_DL[link],0)&gt;0,INDEX(T_DL[d/l score],MATCH(T_MTOTAL[[#This Row],[ORDER LINK]],T_DL[link],0)),""),T_MTOTAL[[#This Row],[Total]])</f>
        <v>125</v>
      </c>
      <c r="AP23">
        <v>4</v>
      </c>
      <c r="AQ23" t="s">
        <v>153</v>
      </c>
      <c r="AR23" t="s">
        <v>193</v>
      </c>
      <c r="AS23">
        <v>4</v>
      </c>
      <c r="AT23">
        <v>0</v>
      </c>
      <c r="AU23">
        <v>26</v>
      </c>
      <c r="AV23">
        <v>0</v>
      </c>
      <c r="AW23">
        <v>6.5</v>
      </c>
      <c r="AX23">
        <v>9</v>
      </c>
      <c r="AY23">
        <v>1</v>
      </c>
      <c r="AZ23">
        <v>1</v>
      </c>
      <c r="BC23">
        <v>6</v>
      </c>
      <c r="BD23" t="str">
        <f>CONCATENATE(Table9[[#This Row],[Match Number]],Table9[[#This Row],[Team]],Table9[[#This Row],[BOWL NUM]])</f>
        <v>4Pakistan6</v>
      </c>
      <c r="BE23" t="str">
        <f>IFERROR(IF(AND(Table9[[#This Row],[Team]]=I_TEAM,IFERROR(IF(MATCH(Table9[[#This Row],[Bowler]],$AR$5:AR22,0)&gt;0,0),1)),1,0),"")</f>
        <v/>
      </c>
      <c r="BF23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2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23" t="e">
        <f>IF(Table9[[#This Row],[Team]]=I_TEAM,Table9[[#This Row],[Wickets]]*100-Table9[[#This Row],[Runs]],0)</f>
        <v>#REF!</v>
      </c>
      <c r="BI23">
        <f>Table9[[#This Row],[Wickets]]*100-Table9[[#This Row],[Runs]]</f>
        <v>-26</v>
      </c>
      <c r="BJ23">
        <f ca="1">IFERROR(IF(MATCH(Table9[[#This Row],[Bowler]],OFFSET(AR24,0,0,BOWLROWS-ROW(AR23)-ROW(Table9[[#Headers],[BOWLER CUML WICKETS]])),0)&gt;0,0,SUMIF($AR$6:AR23,Table9[[#This Row],[Bowler]],$AV$6:AV23)),SUMIF($AR$6:AR23,Table9[[#This Row],[Bowler]],$AV$6:AV23))</f>
        <v>0</v>
      </c>
      <c r="BK23">
        <f ca="1">IFERROR(IF(MATCH(Table9[[#This Row],[Bowler]],OFFSET(AR24,0,0,BOWLROWS-ROW(AR23)-ROW(Table9[[#Headers],[BOWLER CUML WICKETS]])),0)&gt;0,0,SUMIF($AR$6:AR23,Table9[[#This Row],[Bowler]],$AU$6:AU23)),SUMIF($AR$6:AR23,Table9[[#This Row],[Bowler]],$AU$6:AU23))</f>
        <v>0</v>
      </c>
      <c r="BL23">
        <f ca="1">Table9[[#This Row],[BOWLER CUML WICKETS]]*100-Table9[[#This Row],[BOWLER CUML RUNS]]</f>
        <v>0</v>
      </c>
    </row>
    <row r="24" spans="1:64" x14ac:dyDescent="0.3">
      <c r="A24">
        <v>13</v>
      </c>
      <c r="B24" t="s">
        <v>141</v>
      </c>
      <c r="C24" t="s">
        <v>155</v>
      </c>
      <c r="D24" t="s">
        <v>194</v>
      </c>
      <c r="E24">
        <v>2</v>
      </c>
      <c r="F24">
        <v>3</v>
      </c>
      <c r="G24">
        <v>5</v>
      </c>
      <c r="H24">
        <v>0</v>
      </c>
      <c r="I24">
        <v>0</v>
      </c>
      <c r="J24">
        <v>40</v>
      </c>
      <c r="K24">
        <v>10</v>
      </c>
      <c r="L24" t="str">
        <f>CONCATENATE(T_BATTINGDATA[[#This Row],[Match]],T_BATTINGDATA[[#This Row],[Team]],T_BATTINGDATA[[#This Row],[Bat Number]])</f>
        <v>13South Africa10</v>
      </c>
      <c r="M24" t="str">
        <f>IFERROR(IF(AND(T_BATTINGDATA[[#This Row],[Team]]=I_TEAM,IFERROR(IF(MATCH(T_BATTINGDATA[[#This Row],[BATSMAN NAME]],$O$5:O23,0)&gt;0,0),1)),1,0),"")</f>
        <v/>
      </c>
      <c r="N24" t="e">
        <f>IF(T_BATTINGDATA[[#This Row],[Team]]=I_TEAM,T_BATTINGDATA[[#This Row],[R]],0)</f>
        <v>#REF!</v>
      </c>
      <c r="O24" t="str">
        <f>LEFT(T_BATTINGDATA[[#This Row],[Batsman]],IFERROR(FIND("*",T_BATTINGDATA[[#This Row],[Batsman]])-1,IFERROR(FIND("†",T_BATTINGDATA[[#This Row],[Batsman]])-1,LEN(T_BATTINGDATA[[#This Row],[Batsman]]))))</f>
        <v>M Morkel</v>
      </c>
      <c r="P24">
        <f ca="1">IFERROR(IF(MATCH(T_BATTINGDATA[[#This Row],[BATSMAN NAME]],OFFSET(O25,0,0,BATROWS-ROW(O24)-ROW(T_BATTINGDATA[[#Headers],[BATSMAN NAME]])),0)&gt;0,0,SUMIF($O$6:O24,T_BATTINGDATA[[#This Row],[BATSMAN NAME]],$E$6:E24)),SUMIF($O$6:O24,T_BATTINGDATA[[#This Row],[BATSMAN NAME]],$E$6:E24))</f>
        <v>0</v>
      </c>
      <c r="R24">
        <v>3</v>
      </c>
      <c r="S24" t="s">
        <v>141</v>
      </c>
      <c r="T24">
        <v>1</v>
      </c>
      <c r="U24">
        <v>16</v>
      </c>
      <c r="V24">
        <v>2</v>
      </c>
      <c r="X24">
        <v>19</v>
      </c>
      <c r="Y24" t="str">
        <f>CONCATENATE(T_EXTRAS[[#This Row],[Match Number]],T_EXTRAS[[#This Row],[Team Batting]])</f>
        <v>3South Africa</v>
      </c>
      <c r="AA24">
        <v>10</v>
      </c>
      <c r="AB24" t="s">
        <v>170</v>
      </c>
      <c r="AC24">
        <v>6</v>
      </c>
      <c r="AD24">
        <v>310</v>
      </c>
      <c r="AE24">
        <v>6.2</v>
      </c>
      <c r="AF24">
        <v>50</v>
      </c>
      <c r="AG24" t="str">
        <f>T_MTOTAL[[#This Row],[Match Number]]&amp;T_MTOTAL[[#This Row],[Team]]</f>
        <v>10West Indies</v>
      </c>
      <c r="AH24">
        <v>1</v>
      </c>
      <c r="AI24" t="str">
        <f>T_MTOTAL[[#This Row],[Match Number]]&amp;" "&amp;T_MTOTAL[[#This Row],[ORDER]]</f>
        <v>10 1</v>
      </c>
      <c r="AJ24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PAKISTAN</v>
      </c>
      <c r="AK2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2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24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24">
        <f>IFERROR(IF(MATCH(T_MTOTAL[[#This Row],[ORDER LINK]],T_DL[link],0)&gt;0,INDEX(T_DL[d/l score],MATCH(T_MTOTAL[[#This Row],[ORDER LINK]],T_DL[link],0)),""),T_MTOTAL[[#This Row],[Total]])</f>
        <v>310</v>
      </c>
      <c r="AP24">
        <v>4</v>
      </c>
      <c r="AQ24" t="s">
        <v>137</v>
      </c>
      <c r="AR24" t="s">
        <v>165</v>
      </c>
      <c r="AS24">
        <v>10</v>
      </c>
      <c r="AT24">
        <v>0</v>
      </c>
      <c r="AU24">
        <v>50</v>
      </c>
      <c r="AV24">
        <v>2</v>
      </c>
      <c r="AW24">
        <v>5</v>
      </c>
      <c r="AX24">
        <v>37</v>
      </c>
      <c r="AY24">
        <v>7</v>
      </c>
      <c r="AZ24">
        <v>0</v>
      </c>
      <c r="BA24">
        <v>5</v>
      </c>
      <c r="BC24">
        <v>1</v>
      </c>
      <c r="BD24" t="str">
        <f>CONCATENATE(Table9[[#This Row],[Match Number]],Table9[[#This Row],[Team]],Table9[[#This Row],[BOWL NUM]])</f>
        <v>4India1</v>
      </c>
      <c r="BE24" t="str">
        <f>IFERROR(IF(AND(Table9[[#This Row],[Team]]=I_TEAM,IFERROR(IF(MATCH(Table9[[#This Row],[Bowler]],$AR$5:AR23,0)&gt;0,0),1)),1,0),"")</f>
        <v/>
      </c>
      <c r="BF2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4" t="e">
        <f>IF(Table9[[#This Row],[Team]]=I_TEAM,Table9[[#This Row],[Wickets]]*100-Table9[[#This Row],[Runs]],0)</f>
        <v>#REF!</v>
      </c>
      <c r="BI24">
        <f>Table9[[#This Row],[Wickets]]*100-Table9[[#This Row],[Runs]]</f>
        <v>150</v>
      </c>
      <c r="BJ24">
        <f ca="1">IFERROR(IF(MATCH(Table9[[#This Row],[Bowler]],OFFSET(AR25,0,0,BOWLROWS-ROW(AR24)-ROW(Table9[[#Headers],[BOWLER CUML WICKETS]])),0)&gt;0,0,SUMIF($AR$6:AR24,Table9[[#This Row],[Bowler]],$AV$6:AV24)),SUMIF($AR$6:AR24,Table9[[#This Row],[Bowler]],$AV$6:AV24))</f>
        <v>0</v>
      </c>
      <c r="BK24">
        <f ca="1">IFERROR(IF(MATCH(Table9[[#This Row],[Bowler]],OFFSET(AR25,0,0,BOWLROWS-ROW(AR24)-ROW(Table9[[#Headers],[BOWLER CUML WICKETS]])),0)&gt;0,0,SUMIF($AR$6:AR24,Table9[[#This Row],[Bowler]],$AU$6:AU24)),SUMIF($AR$6:AR24,Table9[[#This Row],[Bowler]],$AU$6:AU24))</f>
        <v>0</v>
      </c>
      <c r="BL24">
        <f ca="1">Table9[[#This Row],[BOWLER CUML WICKETS]]*100-Table9[[#This Row],[BOWLER CUML RUNS]]</f>
        <v>0</v>
      </c>
    </row>
    <row r="25" spans="1:64" x14ac:dyDescent="0.3">
      <c r="A25">
        <v>13</v>
      </c>
      <c r="B25" t="s">
        <v>141</v>
      </c>
      <c r="C25" t="s">
        <v>159</v>
      </c>
      <c r="D25" t="s">
        <v>195</v>
      </c>
      <c r="E25">
        <v>8</v>
      </c>
      <c r="F25">
        <v>11</v>
      </c>
      <c r="G25">
        <v>10</v>
      </c>
      <c r="H25">
        <v>1</v>
      </c>
      <c r="I25">
        <v>0</v>
      </c>
      <c r="J25">
        <v>80</v>
      </c>
      <c r="K25">
        <v>11</v>
      </c>
      <c r="L25" t="str">
        <f>CONCATENATE(T_BATTINGDATA[[#This Row],[Match]],T_BATTINGDATA[[#This Row],[Team]],T_BATTINGDATA[[#This Row],[Bat Number]])</f>
        <v>13South Africa11</v>
      </c>
      <c r="M25" t="str">
        <f>IFERROR(IF(AND(T_BATTINGDATA[[#This Row],[Team]]=I_TEAM,IFERROR(IF(MATCH(T_BATTINGDATA[[#This Row],[BATSMAN NAME]],$O$5:O24,0)&gt;0,0),1)),1,0),"")</f>
        <v/>
      </c>
      <c r="N25" t="e">
        <f>IF(T_BATTINGDATA[[#This Row],[Team]]=I_TEAM,T_BATTINGDATA[[#This Row],[R]],0)</f>
        <v>#REF!</v>
      </c>
      <c r="O25" t="str">
        <f>LEFT(T_BATTINGDATA[[#This Row],[Batsman]],IFERROR(FIND("*",T_BATTINGDATA[[#This Row],[Batsman]])-1,IFERROR(FIND("†",T_BATTINGDATA[[#This Row],[Batsman]])-1,LEN(T_BATTINGDATA[[#This Row],[Batsman]]))))</f>
        <v>Imran Tahir</v>
      </c>
      <c r="P25">
        <f ca="1">IFERROR(IF(MATCH(T_BATTINGDATA[[#This Row],[BATSMAN NAME]],OFFSET(O26,0,0,BATROWS-ROW(O25)-ROW(T_BATTINGDATA[[#Headers],[BATSMAN NAME]])),0)&gt;0,0,SUMIF($O$6:O25,T_BATTINGDATA[[#This Row],[BATSMAN NAME]],$E$6:E25)),SUMIF($O$6:O25,T_BATTINGDATA[[#This Row],[BATSMAN NAME]],$E$6:E25))</f>
        <v>0</v>
      </c>
      <c r="R25">
        <v>3</v>
      </c>
      <c r="S25" t="s">
        <v>158</v>
      </c>
      <c r="T25">
        <v>13</v>
      </c>
      <c r="U25">
        <v>9</v>
      </c>
      <c r="V25">
        <v>0</v>
      </c>
      <c r="W25">
        <v>0</v>
      </c>
      <c r="X25">
        <v>22</v>
      </c>
      <c r="Y25" t="str">
        <f>CONCATENATE(T_EXTRAS[[#This Row],[Match Number]],T_EXTRAS[[#This Row],[Team Batting]])</f>
        <v>3Zimbabwe</v>
      </c>
      <c r="AA25">
        <v>10</v>
      </c>
      <c r="AB25" t="s">
        <v>153</v>
      </c>
      <c r="AC25">
        <v>10</v>
      </c>
      <c r="AD25">
        <v>160</v>
      </c>
      <c r="AE25">
        <v>4.0999999999999996</v>
      </c>
      <c r="AF25">
        <v>39</v>
      </c>
      <c r="AG25" t="str">
        <f>T_MTOTAL[[#This Row],[Match Number]]&amp;T_MTOTAL[[#This Row],[Team]]</f>
        <v>10Pakistan</v>
      </c>
      <c r="AH25">
        <v>2</v>
      </c>
      <c r="AI25" t="str">
        <f>T_MTOTAL[[#This Row],[Match Number]]&amp;" "&amp;T_MTOTAL[[#This Row],[ORDER]]</f>
        <v>10 2</v>
      </c>
      <c r="AJ25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WEST INDIES</v>
      </c>
      <c r="AK2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2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25">
        <f>(LEFT(T_MTOTAL[[#This Row],[Overs]],IFERROR(FIND(".",T_MTOTAL[[#This Row],[Overs]])-1,LEN(T_MTOTAL[[#This Row],[Overs]])))*6) + IFERROR(IF(FIND(".",T_MTOTAL[[#This Row],[Overs]])+1&gt;0,RIGHT(T_MTOTAL[[#This Row],[Overs]],1),0),0)</f>
        <v>234</v>
      </c>
      <c r="AN25">
        <f>IFERROR(IF(MATCH(T_MTOTAL[[#This Row],[ORDER LINK]],T_DL[link],0)&gt;0,INDEX(T_DL[d/l score],MATCH(T_MTOTAL[[#This Row],[ORDER LINK]],T_DL[link],0)),""),T_MTOTAL[[#This Row],[Total]])</f>
        <v>160</v>
      </c>
      <c r="AP25">
        <v>4</v>
      </c>
      <c r="AQ25" t="s">
        <v>137</v>
      </c>
      <c r="AR25" t="s">
        <v>168</v>
      </c>
      <c r="AS25">
        <v>9</v>
      </c>
      <c r="AT25">
        <v>1</v>
      </c>
      <c r="AU25">
        <v>35</v>
      </c>
      <c r="AV25">
        <v>4</v>
      </c>
      <c r="AW25">
        <v>3.88</v>
      </c>
      <c r="AX25">
        <v>38</v>
      </c>
      <c r="AY25">
        <v>4</v>
      </c>
      <c r="AZ25">
        <v>0</v>
      </c>
      <c r="BA25">
        <v>4</v>
      </c>
      <c r="BC25">
        <v>2</v>
      </c>
      <c r="BD25" t="str">
        <f>CONCATENATE(Table9[[#This Row],[Match Number]],Table9[[#This Row],[Team]],Table9[[#This Row],[BOWL NUM]])</f>
        <v>4India2</v>
      </c>
      <c r="BE25" t="str">
        <f>IFERROR(IF(AND(Table9[[#This Row],[Team]]=I_TEAM,IFERROR(IF(MATCH(Table9[[#This Row],[Bowler]],$AR$5:AR24,0)&gt;0,0),1)),1,0),"")</f>
        <v/>
      </c>
      <c r="BF25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5" t="e">
        <f>IF(Table9[[#This Row],[Team]]=I_TEAM,Table9[[#This Row],[Wickets]]*100-Table9[[#This Row],[Runs]],0)</f>
        <v>#REF!</v>
      </c>
      <c r="BI25">
        <f>Table9[[#This Row],[Wickets]]*100-Table9[[#This Row],[Runs]]</f>
        <v>365</v>
      </c>
      <c r="BJ25">
        <f ca="1">IFERROR(IF(MATCH(Table9[[#This Row],[Bowler]],OFFSET(AR26,0,0,BOWLROWS-ROW(AR25)-ROW(Table9[[#Headers],[BOWLER CUML WICKETS]])),0)&gt;0,0,SUMIF($AR$6:AR25,Table9[[#This Row],[Bowler]],$AV$6:AV25)),SUMIF($AR$6:AR25,Table9[[#This Row],[Bowler]],$AV$6:AV25))</f>
        <v>0</v>
      </c>
      <c r="BK25">
        <f ca="1">IFERROR(IF(MATCH(Table9[[#This Row],[Bowler]],OFFSET(AR26,0,0,BOWLROWS-ROW(AR25)-ROW(Table9[[#Headers],[BOWLER CUML WICKETS]])),0)&gt;0,0,SUMIF($AR$6:AR25,Table9[[#This Row],[Bowler]],$AU$6:AU25)),SUMIF($AR$6:AR25,Table9[[#This Row],[Bowler]],$AU$6:AU25))</f>
        <v>0</v>
      </c>
      <c r="BL25">
        <f ca="1">Table9[[#This Row],[BOWLER CUML WICKETS]]*100-Table9[[#This Row],[BOWLER CUML RUNS]]</f>
        <v>0</v>
      </c>
    </row>
    <row r="26" spans="1:64" x14ac:dyDescent="0.3">
      <c r="A26">
        <v>4</v>
      </c>
      <c r="B26" t="s">
        <v>137</v>
      </c>
      <c r="C26" t="s">
        <v>138</v>
      </c>
      <c r="D26" t="s">
        <v>196</v>
      </c>
      <c r="E26">
        <v>15</v>
      </c>
      <c r="F26">
        <v>35</v>
      </c>
      <c r="G26">
        <v>20</v>
      </c>
      <c r="H26">
        <v>2</v>
      </c>
      <c r="I26">
        <v>0</v>
      </c>
      <c r="J26">
        <v>75</v>
      </c>
      <c r="K26">
        <v>1</v>
      </c>
      <c r="L26" t="str">
        <f>CONCATENATE(T_BATTINGDATA[[#This Row],[Match]],T_BATTINGDATA[[#This Row],[Team]],T_BATTINGDATA[[#This Row],[Bat Number]])</f>
        <v>4India1</v>
      </c>
      <c r="M26" t="str">
        <f>IFERROR(IF(AND(T_BATTINGDATA[[#This Row],[Team]]=I_TEAM,IFERROR(IF(MATCH(T_BATTINGDATA[[#This Row],[BATSMAN NAME]],$O$5:O25,0)&gt;0,0),1)),1,0),"")</f>
        <v/>
      </c>
      <c r="N26" t="e">
        <f>IF(T_BATTINGDATA[[#This Row],[Team]]=I_TEAM,T_BATTINGDATA[[#This Row],[R]],0)</f>
        <v>#REF!</v>
      </c>
      <c r="O26" t="str">
        <f>LEFT(T_BATTINGDATA[[#This Row],[Batsman]],IFERROR(FIND("*",T_BATTINGDATA[[#This Row],[Batsman]])-1,IFERROR(FIND("†",T_BATTINGDATA[[#This Row],[Batsman]])-1,LEN(T_BATTINGDATA[[#This Row],[Batsman]]))))</f>
        <v>RG Sharma</v>
      </c>
      <c r="P26">
        <f ca="1">IFERROR(IF(MATCH(T_BATTINGDATA[[#This Row],[BATSMAN NAME]],OFFSET(O27,0,0,BATROWS-ROW(O26)-ROW(T_BATTINGDATA[[#Headers],[BATSMAN NAME]])),0)&gt;0,0,SUMIF($O$6:O26,T_BATTINGDATA[[#This Row],[BATSMAN NAME]],$E$6:E26)),SUMIF($O$6:O26,T_BATTINGDATA[[#This Row],[BATSMAN NAME]],$E$6:E26))</f>
        <v>0</v>
      </c>
      <c r="R26">
        <v>5</v>
      </c>
      <c r="S26" t="s">
        <v>170</v>
      </c>
      <c r="T26">
        <v>1</v>
      </c>
      <c r="U26">
        <v>9</v>
      </c>
      <c r="V26">
        <v>0</v>
      </c>
      <c r="W26">
        <v>0</v>
      </c>
      <c r="X26">
        <v>10</v>
      </c>
      <c r="Y26" t="str">
        <f>CONCATENATE(T_EXTRAS[[#This Row],[Match Number]],T_EXTRAS[[#This Row],[Team Batting]])</f>
        <v>5West Indies</v>
      </c>
      <c r="AA26">
        <v>11</v>
      </c>
      <c r="AB26" t="s">
        <v>149</v>
      </c>
      <c r="AC26">
        <v>0</v>
      </c>
      <c r="AD26">
        <v>0</v>
      </c>
      <c r="AF26">
        <v>0</v>
      </c>
      <c r="AG26" t="str">
        <f>T_MTOTAL[[#This Row],[Match Number]]&amp;T_MTOTAL[[#This Row],[Team]]</f>
        <v>11Australia</v>
      </c>
      <c r="AH26">
        <v>1</v>
      </c>
      <c r="AI26" t="str">
        <f>T_MTOTAL[[#This Row],[Match Number]]&amp;" "&amp;T_MTOTAL[[#This Row],[ORDER]]</f>
        <v>11 1</v>
      </c>
      <c r="AJ26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BANGLADESH</v>
      </c>
      <c r="AK2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0</v>
      </c>
      <c r="AL2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0</v>
      </c>
      <c r="AM26">
        <f>(LEFT(T_MTOTAL[[#This Row],[Overs]],IFERROR(FIND(".",T_MTOTAL[[#This Row],[Overs]])-1,LEN(T_MTOTAL[[#This Row],[Overs]])))*6) + IFERROR(IF(FIND(".",T_MTOTAL[[#This Row],[Overs]])+1&gt;0,RIGHT(T_MTOTAL[[#This Row],[Overs]],1),0),0)</f>
        <v>0</v>
      </c>
      <c r="AN26">
        <f>IFERROR(IF(MATCH(T_MTOTAL[[#This Row],[ORDER LINK]],T_DL[link],0)&gt;0,INDEX(T_DL[d/l score],MATCH(T_MTOTAL[[#This Row],[ORDER LINK]],T_DL[link],0)),""),T_MTOTAL[[#This Row],[Total]])</f>
        <v>0</v>
      </c>
      <c r="AP26">
        <v>4</v>
      </c>
      <c r="AQ26" t="s">
        <v>137</v>
      </c>
      <c r="AR26" t="s">
        <v>171</v>
      </c>
      <c r="AS26">
        <v>9</v>
      </c>
      <c r="AT26">
        <v>0</v>
      </c>
      <c r="AU26">
        <v>35</v>
      </c>
      <c r="AV26">
        <v>2</v>
      </c>
      <c r="AW26">
        <v>3.88</v>
      </c>
      <c r="AX26">
        <v>33</v>
      </c>
      <c r="AY26">
        <v>2</v>
      </c>
      <c r="AZ26">
        <v>0</v>
      </c>
      <c r="BB26">
        <v>1</v>
      </c>
      <c r="BC26">
        <v>3</v>
      </c>
      <c r="BD26" t="str">
        <f>CONCATENATE(Table9[[#This Row],[Match Number]],Table9[[#This Row],[Team]],Table9[[#This Row],[BOWL NUM]])</f>
        <v>4India3</v>
      </c>
      <c r="BE26" t="str">
        <f>IFERROR(IF(AND(Table9[[#This Row],[Team]]=I_TEAM,IFERROR(IF(MATCH(Table9[[#This Row],[Bowler]],$AR$5:AR25,0)&gt;0,0),1)),1,0),"")</f>
        <v/>
      </c>
      <c r="BF26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6" t="e">
        <f>IF(Table9[[#This Row],[Team]]=I_TEAM,Table9[[#This Row],[Wickets]]*100-Table9[[#This Row],[Runs]],0)</f>
        <v>#REF!</v>
      </c>
      <c r="BI26">
        <f>Table9[[#This Row],[Wickets]]*100-Table9[[#This Row],[Runs]]</f>
        <v>165</v>
      </c>
      <c r="BJ26">
        <f ca="1">IFERROR(IF(MATCH(Table9[[#This Row],[Bowler]],OFFSET(AR27,0,0,BOWLROWS-ROW(AR26)-ROW(Table9[[#Headers],[BOWLER CUML WICKETS]])),0)&gt;0,0,SUMIF($AR$6:AR26,Table9[[#This Row],[Bowler]],$AV$6:AV26)),SUMIF($AR$6:AR26,Table9[[#This Row],[Bowler]],$AV$6:AV26))</f>
        <v>0</v>
      </c>
      <c r="BK26">
        <f ca="1">IFERROR(IF(MATCH(Table9[[#This Row],[Bowler]],OFFSET(AR27,0,0,BOWLROWS-ROW(AR26)-ROW(Table9[[#Headers],[BOWLER CUML WICKETS]])),0)&gt;0,0,SUMIF($AR$6:AR26,Table9[[#This Row],[Bowler]],$AU$6:AU26)),SUMIF($AR$6:AR26,Table9[[#This Row],[Bowler]],$AU$6:AU26))</f>
        <v>0</v>
      </c>
      <c r="BL26">
        <f ca="1">Table9[[#This Row],[BOWLER CUML WICKETS]]*100-Table9[[#This Row],[BOWLER CUML RUNS]]</f>
        <v>0</v>
      </c>
    </row>
    <row r="27" spans="1:64" x14ac:dyDescent="0.3">
      <c r="A27">
        <v>4</v>
      </c>
      <c r="B27" t="s">
        <v>137</v>
      </c>
      <c r="C27" t="s">
        <v>143</v>
      </c>
      <c r="D27" t="s">
        <v>197</v>
      </c>
      <c r="E27">
        <v>73</v>
      </c>
      <c r="F27">
        <v>136</v>
      </c>
      <c r="G27">
        <v>76</v>
      </c>
      <c r="H27">
        <v>7</v>
      </c>
      <c r="I27">
        <v>1</v>
      </c>
      <c r="J27">
        <v>96.05</v>
      </c>
      <c r="K27">
        <v>2</v>
      </c>
      <c r="L27" t="str">
        <f>CONCATENATE(T_BATTINGDATA[[#This Row],[Match]],T_BATTINGDATA[[#This Row],[Team]],T_BATTINGDATA[[#This Row],[Bat Number]])</f>
        <v>4India2</v>
      </c>
      <c r="M27" t="str">
        <f>IFERROR(IF(AND(T_BATTINGDATA[[#This Row],[Team]]=I_TEAM,IFERROR(IF(MATCH(T_BATTINGDATA[[#This Row],[BATSMAN NAME]],$O$5:O26,0)&gt;0,0),1)),1,0),"")</f>
        <v/>
      </c>
      <c r="N27" t="e">
        <f>IF(T_BATTINGDATA[[#This Row],[Team]]=I_TEAM,T_BATTINGDATA[[#This Row],[R]],0)</f>
        <v>#REF!</v>
      </c>
      <c r="O27" t="str">
        <f>LEFT(T_BATTINGDATA[[#This Row],[Batsman]],IFERROR(FIND("*",T_BATTINGDATA[[#This Row],[Batsman]])-1,IFERROR(FIND("†",T_BATTINGDATA[[#This Row],[Batsman]])-1,LEN(T_BATTINGDATA[[#This Row],[Batsman]]))))</f>
        <v>S Dhawan</v>
      </c>
      <c r="P27">
        <f ca="1">IFERROR(IF(MATCH(T_BATTINGDATA[[#This Row],[BATSMAN NAME]],OFFSET(O28,0,0,BATROWS-ROW(O27)-ROW(T_BATTINGDATA[[#Headers],[BATSMAN NAME]])),0)&gt;0,0,SUMIF($O$6:O27,T_BATTINGDATA[[#This Row],[BATSMAN NAME]],$E$6:E27)),SUMIF($O$6:O27,T_BATTINGDATA[[#This Row],[BATSMAN NAME]],$E$6:E27))</f>
        <v>0</v>
      </c>
      <c r="R27">
        <v>5</v>
      </c>
      <c r="S27" t="s">
        <v>169</v>
      </c>
      <c r="T27">
        <v>0</v>
      </c>
      <c r="U27">
        <v>9</v>
      </c>
      <c r="V27">
        <v>0</v>
      </c>
      <c r="W27">
        <v>4</v>
      </c>
      <c r="X27">
        <v>13</v>
      </c>
      <c r="Y27" t="str">
        <f>CONCATENATE(T_EXTRAS[[#This Row],[Match Number]],T_EXTRAS[[#This Row],[Team Batting]])</f>
        <v>5Ireland</v>
      </c>
      <c r="AA27">
        <v>11</v>
      </c>
      <c r="AB27" t="s">
        <v>181</v>
      </c>
      <c r="AC27">
        <v>0</v>
      </c>
      <c r="AD27">
        <v>0</v>
      </c>
      <c r="AF27">
        <v>0</v>
      </c>
      <c r="AG27" t="str">
        <f>T_MTOTAL[[#This Row],[Match Number]]&amp;T_MTOTAL[[#This Row],[Team]]</f>
        <v>11Bangladesh</v>
      </c>
      <c r="AH27">
        <v>2</v>
      </c>
      <c r="AI27" t="str">
        <f>T_MTOTAL[[#This Row],[Match Number]]&amp;" "&amp;T_MTOTAL[[#This Row],[ORDER]]</f>
        <v>11 2</v>
      </c>
      <c r="AJ27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AUSTRALIA</v>
      </c>
      <c r="AK2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0</v>
      </c>
      <c r="AL2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0</v>
      </c>
      <c r="AM27">
        <f>(LEFT(T_MTOTAL[[#This Row],[Overs]],IFERROR(FIND(".",T_MTOTAL[[#This Row],[Overs]])-1,LEN(T_MTOTAL[[#This Row],[Overs]])))*6) + IFERROR(IF(FIND(".",T_MTOTAL[[#This Row],[Overs]])+1&gt;0,RIGHT(T_MTOTAL[[#This Row],[Overs]],1),0),0)</f>
        <v>0</v>
      </c>
      <c r="AN27">
        <f>IFERROR(IF(MATCH(T_MTOTAL[[#This Row],[ORDER LINK]],T_DL[link],0)&gt;0,INDEX(T_DL[d/l score],MATCH(T_MTOTAL[[#This Row],[ORDER LINK]],T_DL[link],0)),""),T_MTOTAL[[#This Row],[Total]])</f>
        <v>0</v>
      </c>
      <c r="AP27">
        <v>4</v>
      </c>
      <c r="AQ27" t="s">
        <v>137</v>
      </c>
      <c r="AR27" t="s">
        <v>156</v>
      </c>
      <c r="AS27">
        <v>1</v>
      </c>
      <c r="AT27">
        <v>0</v>
      </c>
      <c r="AU27">
        <v>6</v>
      </c>
      <c r="AV27">
        <v>0</v>
      </c>
      <c r="AW27">
        <v>6</v>
      </c>
      <c r="AX27">
        <v>2</v>
      </c>
      <c r="AY27">
        <v>0</v>
      </c>
      <c r="AZ27">
        <v>0</v>
      </c>
      <c r="BC27">
        <v>4</v>
      </c>
      <c r="BD27" t="str">
        <f>CONCATENATE(Table9[[#This Row],[Match Number]],Table9[[#This Row],[Team]],Table9[[#This Row],[BOWL NUM]])</f>
        <v>4India4</v>
      </c>
      <c r="BE27" t="str">
        <f>IFERROR(IF(AND(Table9[[#This Row],[Team]]=I_TEAM,IFERROR(IF(MATCH(Table9[[#This Row],[Bowler]],$AR$5:AR26,0)&gt;0,0),1)),1,0),"")</f>
        <v/>
      </c>
      <c r="BF27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2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7" t="e">
        <f>IF(Table9[[#This Row],[Team]]=I_TEAM,Table9[[#This Row],[Wickets]]*100-Table9[[#This Row],[Runs]],0)</f>
        <v>#REF!</v>
      </c>
      <c r="BI27">
        <f>Table9[[#This Row],[Wickets]]*100-Table9[[#This Row],[Runs]]</f>
        <v>-6</v>
      </c>
      <c r="BJ27">
        <f ca="1">IFERROR(IF(MATCH(Table9[[#This Row],[Bowler]],OFFSET(AR28,0,0,BOWLROWS-ROW(AR27)-ROW(Table9[[#Headers],[BOWLER CUML WICKETS]])),0)&gt;0,0,SUMIF($AR$6:AR27,Table9[[#This Row],[Bowler]],$AV$6:AV27)),SUMIF($AR$6:AR27,Table9[[#This Row],[Bowler]],$AV$6:AV27))</f>
        <v>0</v>
      </c>
      <c r="BK27">
        <f ca="1">IFERROR(IF(MATCH(Table9[[#This Row],[Bowler]],OFFSET(AR28,0,0,BOWLROWS-ROW(AR27)-ROW(Table9[[#Headers],[BOWLER CUML WICKETS]])),0)&gt;0,0,SUMIF($AR$6:AR27,Table9[[#This Row],[Bowler]],$AU$6:AU27)),SUMIF($AR$6:AR27,Table9[[#This Row],[Bowler]],$AU$6:AU27))</f>
        <v>0</v>
      </c>
      <c r="BL27">
        <f ca="1">Table9[[#This Row],[BOWLER CUML WICKETS]]*100-Table9[[#This Row],[BOWLER CUML RUNS]]</f>
        <v>0</v>
      </c>
    </row>
    <row r="28" spans="1:64" x14ac:dyDescent="0.3">
      <c r="A28">
        <v>4</v>
      </c>
      <c r="B28" t="s">
        <v>137</v>
      </c>
      <c r="C28" t="s">
        <v>147</v>
      </c>
      <c r="D28" t="s">
        <v>198</v>
      </c>
      <c r="E28">
        <v>107</v>
      </c>
      <c r="F28">
        <v>168</v>
      </c>
      <c r="G28">
        <v>126</v>
      </c>
      <c r="H28">
        <v>8</v>
      </c>
      <c r="I28">
        <v>0</v>
      </c>
      <c r="J28">
        <v>84.92</v>
      </c>
      <c r="K28">
        <v>3</v>
      </c>
      <c r="L28" t="str">
        <f>CONCATENATE(T_BATTINGDATA[[#This Row],[Match]],T_BATTINGDATA[[#This Row],[Team]],T_BATTINGDATA[[#This Row],[Bat Number]])</f>
        <v>4India3</v>
      </c>
      <c r="M28" t="str">
        <f>IFERROR(IF(AND(T_BATTINGDATA[[#This Row],[Team]]=I_TEAM,IFERROR(IF(MATCH(T_BATTINGDATA[[#This Row],[BATSMAN NAME]],$O$5:O27,0)&gt;0,0),1)),1,0),"")</f>
        <v/>
      </c>
      <c r="N28" t="e">
        <f>IF(T_BATTINGDATA[[#This Row],[Team]]=I_TEAM,T_BATTINGDATA[[#This Row],[R]],0)</f>
        <v>#REF!</v>
      </c>
      <c r="O28" t="str">
        <f>LEFT(T_BATTINGDATA[[#This Row],[Batsman]],IFERROR(FIND("*",T_BATTINGDATA[[#This Row],[Batsman]])-1,IFERROR(FIND("†",T_BATTINGDATA[[#This Row],[Batsman]])-1,LEN(T_BATTINGDATA[[#This Row],[Batsman]]))))</f>
        <v>V Kohli</v>
      </c>
      <c r="P28">
        <f ca="1">IFERROR(IF(MATCH(T_BATTINGDATA[[#This Row],[BATSMAN NAME]],OFFSET(O29,0,0,BATROWS-ROW(O28)-ROW(T_BATTINGDATA[[#Headers],[BATSMAN NAME]])),0)&gt;0,0,SUMIF($O$6:O28,T_BATTINGDATA[[#This Row],[BATSMAN NAME]],$E$6:E28)),SUMIF($O$6:O28,T_BATTINGDATA[[#This Row],[BATSMAN NAME]],$E$6:E28))</f>
        <v>0</v>
      </c>
      <c r="R28">
        <v>6</v>
      </c>
      <c r="S28" t="s">
        <v>176</v>
      </c>
      <c r="T28">
        <v>0</v>
      </c>
      <c r="U28">
        <v>5</v>
      </c>
      <c r="V28">
        <v>0</v>
      </c>
      <c r="W28">
        <v>1</v>
      </c>
      <c r="X28">
        <v>6</v>
      </c>
      <c r="Y28" t="str">
        <f>CONCATENATE(T_EXTRAS[[#This Row],[Match Number]],T_EXTRAS[[#This Row],[Team Batting]])</f>
        <v>6Scotland</v>
      </c>
      <c r="AA28">
        <v>12</v>
      </c>
      <c r="AB28" t="s">
        <v>185</v>
      </c>
      <c r="AC28">
        <v>10</v>
      </c>
      <c r="AD28">
        <v>232</v>
      </c>
      <c r="AE28">
        <v>4.67</v>
      </c>
      <c r="AF28">
        <v>49.4</v>
      </c>
      <c r="AG28" t="str">
        <f>T_MTOTAL[[#This Row],[Match Number]]&amp;T_MTOTAL[[#This Row],[Team]]</f>
        <v>12Afghanistan</v>
      </c>
      <c r="AH28">
        <v>1</v>
      </c>
      <c r="AI28" t="str">
        <f>T_MTOTAL[[#This Row],[Match Number]]&amp;" "&amp;T_MTOTAL[[#This Row],[ORDER]]</f>
        <v>12 1</v>
      </c>
      <c r="AJ28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SRI LANKA</v>
      </c>
      <c r="AK2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2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28">
        <f>(LEFT(T_MTOTAL[[#This Row],[Overs]],IFERROR(FIND(".",T_MTOTAL[[#This Row],[Overs]])-1,LEN(T_MTOTAL[[#This Row],[Overs]])))*6) + IFERROR(IF(FIND(".",T_MTOTAL[[#This Row],[Overs]])+1&gt;0,RIGHT(T_MTOTAL[[#This Row],[Overs]],1),0),0)</f>
        <v>298</v>
      </c>
      <c r="AN28">
        <f>IFERROR(IF(MATCH(T_MTOTAL[[#This Row],[ORDER LINK]],T_DL[link],0)&gt;0,INDEX(T_DL[d/l score],MATCH(T_MTOTAL[[#This Row],[ORDER LINK]],T_DL[link],0)),""),T_MTOTAL[[#This Row],[Total]])</f>
        <v>232</v>
      </c>
      <c r="AP28">
        <v>4</v>
      </c>
      <c r="AQ28" t="s">
        <v>137</v>
      </c>
      <c r="AR28" t="s">
        <v>166</v>
      </c>
      <c r="AS28">
        <v>8</v>
      </c>
      <c r="AT28">
        <v>3</v>
      </c>
      <c r="AU28">
        <v>41</v>
      </c>
      <c r="AV28">
        <v>1</v>
      </c>
      <c r="AW28">
        <v>5.12</v>
      </c>
      <c r="AX28">
        <v>30</v>
      </c>
      <c r="AY28">
        <v>5</v>
      </c>
      <c r="AZ28">
        <v>1</v>
      </c>
      <c r="BA28">
        <v>1</v>
      </c>
      <c r="BC28">
        <v>5</v>
      </c>
      <c r="BD28" t="str">
        <f>CONCATENATE(Table9[[#This Row],[Match Number]],Table9[[#This Row],[Team]],Table9[[#This Row],[BOWL NUM]])</f>
        <v>4India5</v>
      </c>
      <c r="BE28" t="str">
        <f>IFERROR(IF(AND(Table9[[#This Row],[Team]]=I_TEAM,IFERROR(IF(MATCH(Table9[[#This Row],[Bowler]],$AR$5:AR27,0)&gt;0,0),1)),1,0),"")</f>
        <v/>
      </c>
      <c r="BF28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2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8" t="e">
        <f>IF(Table9[[#This Row],[Team]]=I_TEAM,Table9[[#This Row],[Wickets]]*100-Table9[[#This Row],[Runs]],0)</f>
        <v>#REF!</v>
      </c>
      <c r="BI28">
        <f>Table9[[#This Row],[Wickets]]*100-Table9[[#This Row],[Runs]]</f>
        <v>59</v>
      </c>
      <c r="BJ28">
        <f ca="1">IFERROR(IF(MATCH(Table9[[#This Row],[Bowler]],OFFSET(AR29,0,0,BOWLROWS-ROW(AR28)-ROW(Table9[[#Headers],[BOWLER CUML WICKETS]])),0)&gt;0,0,SUMIF($AR$6:AR28,Table9[[#This Row],[Bowler]],$AV$6:AV28)),SUMIF($AR$6:AR28,Table9[[#This Row],[Bowler]],$AV$6:AV28))</f>
        <v>0</v>
      </c>
      <c r="BK28">
        <f ca="1">IFERROR(IF(MATCH(Table9[[#This Row],[Bowler]],OFFSET(AR29,0,0,BOWLROWS-ROW(AR28)-ROW(Table9[[#Headers],[BOWLER CUML WICKETS]])),0)&gt;0,0,SUMIF($AR$6:AR28,Table9[[#This Row],[Bowler]],$AU$6:AU28)),SUMIF($AR$6:AR28,Table9[[#This Row],[Bowler]],$AU$6:AU28))</f>
        <v>0</v>
      </c>
      <c r="BL28">
        <f ca="1">Table9[[#This Row],[BOWLER CUML WICKETS]]*100-Table9[[#This Row],[BOWLER CUML RUNS]]</f>
        <v>0</v>
      </c>
    </row>
    <row r="29" spans="1:64" x14ac:dyDescent="0.3">
      <c r="A29">
        <v>4</v>
      </c>
      <c r="B29" t="s">
        <v>137</v>
      </c>
      <c r="C29" t="s">
        <v>156</v>
      </c>
      <c r="D29" t="s">
        <v>199</v>
      </c>
      <c r="E29">
        <v>74</v>
      </c>
      <c r="F29">
        <v>78</v>
      </c>
      <c r="G29">
        <v>56</v>
      </c>
      <c r="H29">
        <v>5</v>
      </c>
      <c r="I29">
        <v>3</v>
      </c>
      <c r="J29">
        <v>132.13999999999999</v>
      </c>
      <c r="K29">
        <v>4</v>
      </c>
      <c r="L29" t="str">
        <f>CONCATENATE(T_BATTINGDATA[[#This Row],[Match]],T_BATTINGDATA[[#This Row],[Team]],T_BATTINGDATA[[#This Row],[Bat Number]])</f>
        <v>4India4</v>
      </c>
      <c r="M29" t="str">
        <f>IFERROR(IF(AND(T_BATTINGDATA[[#This Row],[Team]]=I_TEAM,IFERROR(IF(MATCH(T_BATTINGDATA[[#This Row],[BATSMAN NAME]],$O$5:O28,0)&gt;0,0),1)),1,0),"")</f>
        <v/>
      </c>
      <c r="N29" t="e">
        <f>IF(T_BATTINGDATA[[#This Row],[Team]]=I_TEAM,T_BATTINGDATA[[#This Row],[R]],0)</f>
        <v>#REF!</v>
      </c>
      <c r="O29" t="str">
        <f>LEFT(T_BATTINGDATA[[#This Row],[Batsman]],IFERROR(FIND("*",T_BATTINGDATA[[#This Row],[Batsman]])-1,IFERROR(FIND("†",T_BATTINGDATA[[#This Row],[Batsman]])-1,LEN(T_BATTINGDATA[[#This Row],[Batsman]]))))</f>
        <v>SK Raina</v>
      </c>
      <c r="P29">
        <f ca="1">IFERROR(IF(MATCH(T_BATTINGDATA[[#This Row],[BATSMAN NAME]],OFFSET(O30,0,0,BATROWS-ROW(O29)-ROW(T_BATTINGDATA[[#Headers],[BATSMAN NAME]])),0)&gt;0,0,SUMIF($O$6:O29,T_BATTINGDATA[[#This Row],[BATSMAN NAME]],$E$6:E29)),SUMIF($O$6:O29,T_BATTINGDATA[[#This Row],[BATSMAN NAME]],$E$6:E29))</f>
        <v>0</v>
      </c>
      <c r="R29">
        <v>6</v>
      </c>
      <c r="S29" t="s">
        <v>140</v>
      </c>
      <c r="T29">
        <v>1</v>
      </c>
      <c r="U29">
        <v>5</v>
      </c>
      <c r="V29">
        <v>0</v>
      </c>
      <c r="W29">
        <v>0</v>
      </c>
      <c r="X29">
        <v>6</v>
      </c>
      <c r="Y29" t="str">
        <f>CONCATENATE(T_EXTRAS[[#This Row],[Match Number]],T_EXTRAS[[#This Row],[Team Batting]])</f>
        <v>6New Zealand</v>
      </c>
      <c r="AA29">
        <v>12</v>
      </c>
      <c r="AB29" t="s">
        <v>145</v>
      </c>
      <c r="AC29">
        <v>6</v>
      </c>
      <c r="AD29">
        <v>236</v>
      </c>
      <c r="AE29">
        <v>4.88</v>
      </c>
      <c r="AF29">
        <v>48.2</v>
      </c>
      <c r="AG29" t="str">
        <f>T_MTOTAL[[#This Row],[Match Number]]&amp;T_MTOTAL[[#This Row],[Team]]</f>
        <v>12Sri Lanka</v>
      </c>
      <c r="AH29">
        <v>2</v>
      </c>
      <c r="AI29" t="str">
        <f>T_MTOTAL[[#This Row],[Match Number]]&amp;" "&amp;T_MTOTAL[[#This Row],[ORDER]]</f>
        <v>12 2</v>
      </c>
      <c r="AJ29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AFGHANISTAN</v>
      </c>
      <c r="AK2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48.2</v>
      </c>
      <c r="AL2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290</v>
      </c>
      <c r="AM29">
        <f>(LEFT(T_MTOTAL[[#This Row],[Overs]],IFERROR(FIND(".",T_MTOTAL[[#This Row],[Overs]])-1,LEN(T_MTOTAL[[#This Row],[Overs]])))*6) + IFERROR(IF(FIND(".",T_MTOTAL[[#This Row],[Overs]])+1&gt;0,RIGHT(T_MTOTAL[[#This Row],[Overs]],1),0),0)</f>
        <v>290</v>
      </c>
      <c r="AN29">
        <f>IFERROR(IF(MATCH(T_MTOTAL[[#This Row],[ORDER LINK]],T_DL[link],0)&gt;0,INDEX(T_DL[d/l score],MATCH(T_MTOTAL[[#This Row],[ORDER LINK]],T_DL[link],0)),""),T_MTOTAL[[#This Row],[Total]])</f>
        <v>236</v>
      </c>
      <c r="AP29">
        <v>4</v>
      </c>
      <c r="AQ29" t="s">
        <v>137</v>
      </c>
      <c r="AR29" t="s">
        <v>163</v>
      </c>
      <c r="AS29">
        <v>10</v>
      </c>
      <c r="AT29">
        <v>0</v>
      </c>
      <c r="AU29">
        <v>56</v>
      </c>
      <c r="AV29">
        <v>1</v>
      </c>
      <c r="AW29">
        <v>5.6</v>
      </c>
      <c r="AX29">
        <v>28</v>
      </c>
      <c r="AY29">
        <v>4</v>
      </c>
      <c r="AZ29">
        <v>1</v>
      </c>
      <c r="BC29">
        <v>6</v>
      </c>
      <c r="BD29" t="str">
        <f>CONCATENATE(Table9[[#This Row],[Match Number]],Table9[[#This Row],[Team]],Table9[[#This Row],[BOWL NUM]])</f>
        <v>4India6</v>
      </c>
      <c r="BE29" t="str">
        <f>IFERROR(IF(AND(Table9[[#This Row],[Team]]=I_TEAM,IFERROR(IF(MATCH(Table9[[#This Row],[Bowler]],$AR$5:AR28,0)&gt;0,0),1)),1,0),"")</f>
        <v/>
      </c>
      <c r="BF2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9" t="e">
        <f>IF(Table9[[#This Row],[Team]]=I_TEAM,Table9[[#This Row],[Wickets]]*100-Table9[[#This Row],[Runs]],0)</f>
        <v>#REF!</v>
      </c>
      <c r="BI29">
        <f>Table9[[#This Row],[Wickets]]*100-Table9[[#This Row],[Runs]]</f>
        <v>44</v>
      </c>
      <c r="BJ29">
        <f ca="1">IFERROR(IF(MATCH(Table9[[#This Row],[Bowler]],OFFSET(AR30,0,0,BOWLROWS-ROW(AR29)-ROW(Table9[[#Headers],[BOWLER CUML WICKETS]])),0)&gt;0,0,SUMIF($AR$6:AR29,Table9[[#This Row],[Bowler]],$AV$6:AV29)),SUMIF($AR$6:AR29,Table9[[#This Row],[Bowler]],$AV$6:AV29))</f>
        <v>0</v>
      </c>
      <c r="BK29">
        <f ca="1">IFERROR(IF(MATCH(Table9[[#This Row],[Bowler]],OFFSET(AR30,0,0,BOWLROWS-ROW(AR29)-ROW(Table9[[#Headers],[BOWLER CUML WICKETS]])),0)&gt;0,0,SUMIF($AR$6:AR29,Table9[[#This Row],[Bowler]],$AU$6:AU29)),SUMIF($AR$6:AR29,Table9[[#This Row],[Bowler]],$AU$6:AU29))</f>
        <v>0</v>
      </c>
      <c r="BL29">
        <f ca="1">Table9[[#This Row],[BOWLER CUML WICKETS]]*100-Table9[[#This Row],[BOWLER CUML RUNS]]</f>
        <v>0</v>
      </c>
    </row>
    <row r="30" spans="1:64" x14ac:dyDescent="0.3">
      <c r="A30">
        <v>4</v>
      </c>
      <c r="B30" t="s">
        <v>137</v>
      </c>
      <c r="C30" t="s">
        <v>160</v>
      </c>
      <c r="D30" t="s">
        <v>196</v>
      </c>
      <c r="E30">
        <v>18</v>
      </c>
      <c r="F30">
        <v>22</v>
      </c>
      <c r="G30">
        <v>13</v>
      </c>
      <c r="H30">
        <v>1</v>
      </c>
      <c r="I30">
        <v>1</v>
      </c>
      <c r="J30">
        <v>138.46</v>
      </c>
      <c r="K30">
        <v>5</v>
      </c>
      <c r="L30" t="str">
        <f>CONCATENATE(T_BATTINGDATA[[#This Row],[Match]],T_BATTINGDATA[[#This Row],[Team]],T_BATTINGDATA[[#This Row],[Bat Number]])</f>
        <v>4India5</v>
      </c>
      <c r="M30" t="str">
        <f>IFERROR(IF(AND(T_BATTINGDATA[[#This Row],[Team]]=I_TEAM,IFERROR(IF(MATCH(T_BATTINGDATA[[#This Row],[BATSMAN NAME]],$O$5:O29,0)&gt;0,0),1)),1,0),"")</f>
        <v/>
      </c>
      <c r="N30" t="e">
        <f>IF(T_BATTINGDATA[[#This Row],[Team]]=I_TEAM,T_BATTINGDATA[[#This Row],[R]],0)</f>
        <v>#REF!</v>
      </c>
      <c r="O30" t="str">
        <f>LEFT(T_BATTINGDATA[[#This Row],[Batsman]],IFERROR(FIND("*",T_BATTINGDATA[[#This Row],[Batsman]])-1,IFERROR(FIND("†",T_BATTINGDATA[[#This Row],[Batsman]])-1,LEN(T_BATTINGDATA[[#This Row],[Batsman]]))))</f>
        <v>MS Dhoni</v>
      </c>
      <c r="P30">
        <f ca="1">IFERROR(IF(MATCH(T_BATTINGDATA[[#This Row],[BATSMAN NAME]],OFFSET(O31,0,0,BATROWS-ROW(O30)-ROW(T_BATTINGDATA[[#Headers],[BATSMAN NAME]])),0)&gt;0,0,SUMIF($O$6:O30,T_BATTINGDATA[[#This Row],[BATSMAN NAME]],$E$6:E30)),SUMIF($O$6:O30,T_BATTINGDATA[[#This Row],[BATSMAN NAME]],$E$6:E30))</f>
        <v>0</v>
      </c>
      <c r="R30">
        <v>7</v>
      </c>
      <c r="S30" t="s">
        <v>181</v>
      </c>
      <c r="T30">
        <v>4</v>
      </c>
      <c r="U30">
        <v>6</v>
      </c>
      <c r="V30">
        <v>0</v>
      </c>
      <c r="W30">
        <v>3</v>
      </c>
      <c r="X30">
        <v>13</v>
      </c>
      <c r="Y30" t="str">
        <f>CONCATENATE(T_EXTRAS[[#This Row],[Match Number]],T_EXTRAS[[#This Row],[Team Batting]])</f>
        <v>7Bangladesh</v>
      </c>
      <c r="AA30">
        <v>13</v>
      </c>
      <c r="AB30" t="s">
        <v>137</v>
      </c>
      <c r="AC30">
        <v>7</v>
      </c>
      <c r="AD30">
        <v>307</v>
      </c>
      <c r="AE30">
        <v>6.14</v>
      </c>
      <c r="AF30">
        <v>50</v>
      </c>
      <c r="AG30" t="str">
        <f>T_MTOTAL[[#This Row],[Match Number]]&amp;T_MTOTAL[[#This Row],[Team]]</f>
        <v>13India</v>
      </c>
      <c r="AH30">
        <v>1</v>
      </c>
      <c r="AI30" t="str">
        <f>T_MTOTAL[[#This Row],[Match Number]]&amp;" "&amp;T_MTOTAL[[#This Row],[ORDER]]</f>
        <v>13 1</v>
      </c>
      <c r="AJ30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SOUTH AFRICA</v>
      </c>
      <c r="AK3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3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30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30">
        <f>IFERROR(IF(MATCH(T_MTOTAL[[#This Row],[ORDER LINK]],T_DL[link],0)&gt;0,INDEX(T_DL[d/l score],MATCH(T_MTOTAL[[#This Row],[ORDER LINK]],T_DL[link],0)),""),T_MTOTAL[[#This Row],[Total]])</f>
        <v>307</v>
      </c>
      <c r="AP30">
        <v>39</v>
      </c>
      <c r="AQ30" t="s">
        <v>137</v>
      </c>
      <c r="AR30" t="s">
        <v>168</v>
      </c>
      <c r="AS30">
        <v>9</v>
      </c>
      <c r="AT30">
        <v>2</v>
      </c>
      <c r="AU30">
        <v>48</v>
      </c>
      <c r="AV30">
        <v>3</v>
      </c>
      <c r="AW30">
        <v>5.33</v>
      </c>
      <c r="AX30">
        <v>37</v>
      </c>
      <c r="AY30">
        <v>2</v>
      </c>
      <c r="AZ30">
        <v>4</v>
      </c>
      <c r="BA30">
        <v>3</v>
      </c>
      <c r="BC30">
        <v>1</v>
      </c>
      <c r="BD30" t="str">
        <f>CONCATENATE(Table9[[#This Row],[Match Number]],Table9[[#This Row],[Team]],Table9[[#This Row],[BOWL NUM]])</f>
        <v>39India1</v>
      </c>
      <c r="BE30" t="str">
        <f>IFERROR(IF(AND(Table9[[#This Row],[Team]]=I_TEAM,IFERROR(IF(MATCH(Table9[[#This Row],[Bowler]],$AR$5:AR29,0)&gt;0,0),1)),1,0),"")</f>
        <v/>
      </c>
      <c r="BF30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30" t="e">
        <f>IF(Table9[[#This Row],[Team]]=I_TEAM,Table9[[#This Row],[Wickets]]*100-Table9[[#This Row],[Runs]],0)</f>
        <v>#REF!</v>
      </c>
      <c r="BI30">
        <f>Table9[[#This Row],[Wickets]]*100-Table9[[#This Row],[Runs]]</f>
        <v>252</v>
      </c>
      <c r="BJ30">
        <f ca="1">IFERROR(IF(MATCH(Table9[[#This Row],[Bowler]],OFFSET(AR31,0,0,BOWLROWS-ROW(AR30)-ROW(Table9[[#Headers],[BOWLER CUML WICKETS]])),0)&gt;0,0,SUMIF($AR$6:AR30,Table9[[#This Row],[Bowler]],$AV$6:AV30)),SUMIF($AR$6:AR30,Table9[[#This Row],[Bowler]],$AV$6:AV30))</f>
        <v>0</v>
      </c>
      <c r="BK30">
        <f ca="1">IFERROR(IF(MATCH(Table9[[#This Row],[Bowler]],OFFSET(AR31,0,0,BOWLROWS-ROW(AR30)-ROW(Table9[[#Headers],[BOWLER CUML WICKETS]])),0)&gt;0,0,SUMIF($AR$6:AR30,Table9[[#This Row],[Bowler]],$AU$6:AU30)),SUMIF($AR$6:AR30,Table9[[#This Row],[Bowler]],$AU$6:AU30))</f>
        <v>0</v>
      </c>
      <c r="BL30">
        <f ca="1">Table9[[#This Row],[BOWLER CUML WICKETS]]*100-Table9[[#This Row],[BOWLER CUML RUNS]]</f>
        <v>0</v>
      </c>
    </row>
    <row r="31" spans="1:64" x14ac:dyDescent="0.3">
      <c r="A31">
        <v>4</v>
      </c>
      <c r="B31" t="s">
        <v>137</v>
      </c>
      <c r="C31" t="s">
        <v>163</v>
      </c>
      <c r="D31" t="s">
        <v>200</v>
      </c>
      <c r="E31">
        <v>3</v>
      </c>
      <c r="F31">
        <v>7</v>
      </c>
      <c r="G31">
        <v>5</v>
      </c>
      <c r="H31">
        <v>0</v>
      </c>
      <c r="I31">
        <v>0</v>
      </c>
      <c r="J31">
        <v>60</v>
      </c>
      <c r="K31">
        <v>6</v>
      </c>
      <c r="L31" t="str">
        <f>CONCATENATE(T_BATTINGDATA[[#This Row],[Match]],T_BATTINGDATA[[#This Row],[Team]],T_BATTINGDATA[[#This Row],[Bat Number]])</f>
        <v>4India6</v>
      </c>
      <c r="M31" t="str">
        <f>IFERROR(IF(AND(T_BATTINGDATA[[#This Row],[Team]]=I_TEAM,IFERROR(IF(MATCH(T_BATTINGDATA[[#This Row],[BATSMAN NAME]],$O$5:O30,0)&gt;0,0),1)),1,0),"")</f>
        <v/>
      </c>
      <c r="N31" t="e">
        <f>IF(T_BATTINGDATA[[#This Row],[Team]]=I_TEAM,T_BATTINGDATA[[#This Row],[R]],0)</f>
        <v>#REF!</v>
      </c>
      <c r="O31" t="str">
        <f>LEFT(T_BATTINGDATA[[#This Row],[Batsman]],IFERROR(FIND("*",T_BATTINGDATA[[#This Row],[Batsman]])-1,IFERROR(FIND("†",T_BATTINGDATA[[#This Row],[Batsman]])-1,LEN(T_BATTINGDATA[[#This Row],[Batsman]]))))</f>
        <v>RA Jadeja</v>
      </c>
      <c r="P31">
        <f ca="1">IFERROR(IF(MATCH(T_BATTINGDATA[[#This Row],[BATSMAN NAME]],OFFSET(O32,0,0,BATROWS-ROW(O31)-ROW(T_BATTINGDATA[[#Headers],[BATSMAN NAME]])),0)&gt;0,0,SUMIF($O$6:O31,T_BATTINGDATA[[#This Row],[BATSMAN NAME]],$E$6:E31)),SUMIF($O$6:O31,T_BATTINGDATA[[#This Row],[BATSMAN NAME]],$E$6:E31))</f>
        <v>0</v>
      </c>
      <c r="R31">
        <v>7</v>
      </c>
      <c r="S31" t="s">
        <v>185</v>
      </c>
      <c r="T31">
        <v>1</v>
      </c>
      <c r="U31">
        <v>2</v>
      </c>
      <c r="V31">
        <v>0</v>
      </c>
      <c r="W31">
        <v>0</v>
      </c>
      <c r="X31">
        <v>3</v>
      </c>
      <c r="Y31" t="str">
        <f>CONCATENATE(T_EXTRAS[[#This Row],[Match Number]],T_EXTRAS[[#This Row],[Team Batting]])</f>
        <v>7Afghanistan</v>
      </c>
      <c r="AA31">
        <v>13</v>
      </c>
      <c r="AB31" t="s">
        <v>141</v>
      </c>
      <c r="AC31">
        <v>10</v>
      </c>
      <c r="AD31">
        <v>177</v>
      </c>
      <c r="AE31">
        <v>4.38</v>
      </c>
      <c r="AF31">
        <v>40.200000000000003</v>
      </c>
      <c r="AG31" t="str">
        <f>T_MTOTAL[[#This Row],[Match Number]]&amp;T_MTOTAL[[#This Row],[Team]]</f>
        <v>13South Africa</v>
      </c>
      <c r="AH31">
        <v>2</v>
      </c>
      <c r="AI31" t="str">
        <f>T_MTOTAL[[#This Row],[Match Number]]&amp;" "&amp;T_MTOTAL[[#This Row],[ORDER]]</f>
        <v>13 2</v>
      </c>
      <c r="AJ31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INDIA</v>
      </c>
      <c r="AK3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3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31">
        <f>(LEFT(T_MTOTAL[[#This Row],[Overs]],IFERROR(FIND(".",T_MTOTAL[[#This Row],[Overs]])-1,LEN(T_MTOTAL[[#This Row],[Overs]])))*6) + IFERROR(IF(FIND(".",T_MTOTAL[[#This Row],[Overs]])+1&gt;0,RIGHT(T_MTOTAL[[#This Row],[Overs]],1),0),0)</f>
        <v>242</v>
      </c>
      <c r="AN31">
        <f>IFERROR(IF(MATCH(T_MTOTAL[[#This Row],[ORDER LINK]],T_DL[link],0)&gt;0,INDEX(T_DL[d/l score],MATCH(T_MTOTAL[[#This Row],[ORDER LINK]],T_DL[link],0)),""),T_MTOTAL[[#This Row],[Total]])</f>
        <v>177</v>
      </c>
      <c r="AP31">
        <v>39</v>
      </c>
      <c r="AQ31" t="s">
        <v>137</v>
      </c>
      <c r="AR31" t="s">
        <v>165</v>
      </c>
      <c r="AS31">
        <v>9.5</v>
      </c>
      <c r="AT31">
        <v>1</v>
      </c>
      <c r="AU31">
        <v>43</v>
      </c>
      <c r="AV31">
        <v>3</v>
      </c>
      <c r="AW31">
        <v>4.37</v>
      </c>
      <c r="AX31">
        <v>37</v>
      </c>
      <c r="AY31">
        <v>2</v>
      </c>
      <c r="AZ31">
        <v>1</v>
      </c>
      <c r="BA31">
        <v>2</v>
      </c>
      <c r="BC31">
        <v>2</v>
      </c>
      <c r="BD31" t="str">
        <f>CONCATENATE(Table9[[#This Row],[Match Number]],Table9[[#This Row],[Team]],Table9[[#This Row],[BOWL NUM]])</f>
        <v>39India2</v>
      </c>
      <c r="BE31" t="str">
        <f>IFERROR(IF(AND(Table9[[#This Row],[Team]]=I_TEAM,IFERROR(IF(MATCH(Table9[[#This Row],[Bowler]],$AR$5:AR30,0)&gt;0,0),1)),1,0),"")</f>
        <v/>
      </c>
      <c r="BF31">
        <f>(LEFT(Table9[[#This Row],[Overs]],IFERROR(FIND(".",Table9[[#This Row],[Overs]])-1,LEN(Table9[[#This Row],[Overs]])))*6) + IFERROR(IF(FIND(".",Table9[[#This Row],[Overs]])+1&gt;0,RIGHT(Table9[[#This Row],[Overs]],1),0),0)</f>
        <v>59</v>
      </c>
      <c r="BG3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31" t="e">
        <f>IF(Table9[[#This Row],[Team]]=I_TEAM,Table9[[#This Row],[Wickets]]*100-Table9[[#This Row],[Runs]],0)</f>
        <v>#REF!</v>
      </c>
      <c r="BI31">
        <f>Table9[[#This Row],[Wickets]]*100-Table9[[#This Row],[Runs]]</f>
        <v>257</v>
      </c>
      <c r="BJ31">
        <f ca="1">IFERROR(IF(MATCH(Table9[[#This Row],[Bowler]],OFFSET(AR32,0,0,BOWLROWS-ROW(AR31)-ROW(Table9[[#Headers],[BOWLER CUML WICKETS]])),0)&gt;0,0,SUMIF($AR$6:AR31,Table9[[#This Row],[Bowler]],$AV$6:AV31)),SUMIF($AR$6:AR31,Table9[[#This Row],[Bowler]],$AV$6:AV31))</f>
        <v>0</v>
      </c>
      <c r="BK31">
        <f ca="1">IFERROR(IF(MATCH(Table9[[#This Row],[Bowler]],OFFSET(AR32,0,0,BOWLROWS-ROW(AR31)-ROW(Table9[[#Headers],[BOWLER CUML WICKETS]])),0)&gt;0,0,SUMIF($AR$6:AR31,Table9[[#This Row],[Bowler]],$AU$6:AU31)),SUMIF($AR$6:AR31,Table9[[#This Row],[Bowler]],$AU$6:AU31))</f>
        <v>0</v>
      </c>
      <c r="BL31">
        <f ca="1">Table9[[#This Row],[BOWLER CUML WICKETS]]*100-Table9[[#This Row],[BOWLER CUML RUNS]]</f>
        <v>0</v>
      </c>
    </row>
    <row r="32" spans="1:64" x14ac:dyDescent="0.3">
      <c r="A32">
        <v>4</v>
      </c>
      <c r="B32" t="s">
        <v>137</v>
      </c>
      <c r="C32" t="s">
        <v>151</v>
      </c>
      <c r="D32" t="s">
        <v>201</v>
      </c>
      <c r="E32">
        <v>0</v>
      </c>
      <c r="F32">
        <v>3</v>
      </c>
      <c r="G32">
        <v>1</v>
      </c>
      <c r="H32">
        <v>0</v>
      </c>
      <c r="I32">
        <v>0</v>
      </c>
      <c r="J32">
        <v>0</v>
      </c>
      <c r="K32">
        <v>7</v>
      </c>
      <c r="L32" t="str">
        <f>CONCATENATE(T_BATTINGDATA[[#This Row],[Match]],T_BATTINGDATA[[#This Row],[Team]],T_BATTINGDATA[[#This Row],[Bat Number]])</f>
        <v>4India7</v>
      </c>
      <c r="M32" t="str">
        <f>IFERROR(IF(AND(T_BATTINGDATA[[#This Row],[Team]]=I_TEAM,IFERROR(IF(MATCH(T_BATTINGDATA[[#This Row],[BATSMAN NAME]],$O$5:O31,0)&gt;0,0),1)),1,0),"")</f>
        <v/>
      </c>
      <c r="N32" t="e">
        <f>IF(T_BATTINGDATA[[#This Row],[Team]]=I_TEAM,T_BATTINGDATA[[#This Row],[R]],0)</f>
        <v>#REF!</v>
      </c>
      <c r="O32" t="str">
        <f>LEFT(T_BATTINGDATA[[#This Row],[Batsman]],IFERROR(FIND("*",T_BATTINGDATA[[#This Row],[Batsman]])-1,IFERROR(FIND("†",T_BATTINGDATA[[#This Row],[Batsman]])-1,LEN(T_BATTINGDATA[[#This Row],[Batsman]]))))</f>
        <v>AM Rahane</v>
      </c>
      <c r="P32">
        <f ca="1">IFERROR(IF(MATCH(T_BATTINGDATA[[#This Row],[BATSMAN NAME]],OFFSET(O33,0,0,BATROWS-ROW(O32)-ROW(T_BATTINGDATA[[#Headers],[BATSMAN NAME]])),0)&gt;0,0,SUMIF($O$6:O32,T_BATTINGDATA[[#This Row],[BATSMAN NAME]],$E$6:E32)),SUMIF($O$6:O32,T_BATTINGDATA[[#This Row],[BATSMAN NAME]],$E$6:E32))</f>
        <v>0</v>
      </c>
      <c r="R32">
        <v>8</v>
      </c>
      <c r="S32" t="s">
        <v>164</v>
      </c>
      <c r="T32">
        <v>6</v>
      </c>
      <c r="U32">
        <v>15</v>
      </c>
      <c r="V32">
        <v>1</v>
      </c>
      <c r="W32">
        <v>4</v>
      </c>
      <c r="X32">
        <v>26</v>
      </c>
      <c r="Y32" t="str">
        <f>CONCATENATE(T_EXTRAS[[#This Row],[Match Number]],T_EXTRAS[[#This Row],[Team Batting]])</f>
        <v>8UAE</v>
      </c>
      <c r="AA32">
        <v>14</v>
      </c>
      <c r="AB32" t="s">
        <v>154</v>
      </c>
      <c r="AC32">
        <v>8</v>
      </c>
      <c r="AD32">
        <v>303</v>
      </c>
      <c r="AE32">
        <v>6.06</v>
      </c>
      <c r="AF32">
        <v>50</v>
      </c>
      <c r="AG32" t="str">
        <f>T_MTOTAL[[#This Row],[Match Number]]&amp;T_MTOTAL[[#This Row],[Team]]</f>
        <v>14England</v>
      </c>
      <c r="AH32">
        <v>1</v>
      </c>
      <c r="AI32" t="str">
        <f>T_MTOTAL[[#This Row],[Match Number]]&amp;" "&amp;T_MTOTAL[[#This Row],[ORDER]]</f>
        <v>14 1</v>
      </c>
      <c r="AJ32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SCOTLAND</v>
      </c>
      <c r="AK3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3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32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32">
        <f>IFERROR(IF(MATCH(T_MTOTAL[[#This Row],[ORDER LINK]],T_DL[link],0)&gt;0,INDEX(T_DL[d/l score],MATCH(T_MTOTAL[[#This Row],[ORDER LINK]],T_DL[link],0)),""),T_MTOTAL[[#This Row],[Total]])</f>
        <v>303</v>
      </c>
      <c r="AP32">
        <v>39</v>
      </c>
      <c r="AQ32" t="s">
        <v>137</v>
      </c>
      <c r="AR32" t="s">
        <v>171</v>
      </c>
      <c r="AS32">
        <v>10</v>
      </c>
      <c r="AT32">
        <v>1</v>
      </c>
      <c r="AU32">
        <v>48</v>
      </c>
      <c r="AV32">
        <v>3</v>
      </c>
      <c r="AW32">
        <v>4.8</v>
      </c>
      <c r="AX32">
        <v>33</v>
      </c>
      <c r="AY32">
        <v>4</v>
      </c>
      <c r="AZ32">
        <v>1</v>
      </c>
      <c r="BA32">
        <v>1</v>
      </c>
      <c r="BC32">
        <v>3</v>
      </c>
      <c r="BD32" t="str">
        <f>CONCATENATE(Table9[[#This Row],[Match Number]],Table9[[#This Row],[Team]],Table9[[#This Row],[BOWL NUM]])</f>
        <v>39India3</v>
      </c>
      <c r="BE32" t="str">
        <f>IFERROR(IF(AND(Table9[[#This Row],[Team]]=I_TEAM,IFERROR(IF(MATCH(Table9[[#This Row],[Bowler]],$AR$5:AR31,0)&gt;0,0),1)),1,0),"")</f>
        <v/>
      </c>
      <c r="BF3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32" t="e">
        <f>IF(Table9[[#This Row],[Team]]=I_TEAM,Table9[[#This Row],[Wickets]]*100-Table9[[#This Row],[Runs]],0)</f>
        <v>#REF!</v>
      </c>
      <c r="BI32">
        <f>Table9[[#This Row],[Wickets]]*100-Table9[[#This Row],[Runs]]</f>
        <v>252</v>
      </c>
      <c r="BJ32">
        <f ca="1">IFERROR(IF(MATCH(Table9[[#This Row],[Bowler]],OFFSET(AR33,0,0,BOWLROWS-ROW(AR32)-ROW(Table9[[#Headers],[BOWLER CUML WICKETS]])),0)&gt;0,0,SUMIF($AR$6:AR32,Table9[[#This Row],[Bowler]],$AV$6:AV32)),SUMIF($AR$6:AR32,Table9[[#This Row],[Bowler]],$AV$6:AV32))</f>
        <v>0</v>
      </c>
      <c r="BK32">
        <f ca="1">IFERROR(IF(MATCH(Table9[[#This Row],[Bowler]],OFFSET(AR33,0,0,BOWLROWS-ROW(AR32)-ROW(Table9[[#Headers],[BOWLER CUML WICKETS]])),0)&gt;0,0,SUMIF($AR$6:AR32,Table9[[#This Row],[Bowler]],$AU$6:AU32)),SUMIF($AR$6:AR32,Table9[[#This Row],[Bowler]],$AU$6:AU32))</f>
        <v>0</v>
      </c>
      <c r="BL32">
        <f ca="1">Table9[[#This Row],[BOWLER CUML WICKETS]]*100-Table9[[#This Row],[BOWLER CUML RUNS]]</f>
        <v>0</v>
      </c>
    </row>
    <row r="33" spans="1:64" x14ac:dyDescent="0.3">
      <c r="A33">
        <v>4</v>
      </c>
      <c r="B33" t="s">
        <v>137</v>
      </c>
      <c r="C33" t="s">
        <v>166</v>
      </c>
      <c r="D33" t="s">
        <v>167</v>
      </c>
      <c r="E33">
        <v>1</v>
      </c>
      <c r="F33">
        <v>4</v>
      </c>
      <c r="G33">
        <v>1</v>
      </c>
      <c r="H33">
        <v>0</v>
      </c>
      <c r="I33">
        <v>0</v>
      </c>
      <c r="J33">
        <v>100</v>
      </c>
      <c r="K33">
        <v>8</v>
      </c>
      <c r="L33" t="str">
        <f>CONCATENATE(T_BATTINGDATA[[#This Row],[Match]],T_BATTINGDATA[[#This Row],[Team]],T_BATTINGDATA[[#This Row],[Bat Number]])</f>
        <v>4India8</v>
      </c>
      <c r="M33" t="str">
        <f>IFERROR(IF(AND(T_BATTINGDATA[[#This Row],[Team]]=I_TEAM,IFERROR(IF(MATCH(T_BATTINGDATA[[#This Row],[BATSMAN NAME]],$O$5:O32,0)&gt;0,0),1)),1,0),"")</f>
        <v/>
      </c>
      <c r="N33" t="e">
        <f>IF(T_BATTINGDATA[[#This Row],[Team]]=I_TEAM,T_BATTINGDATA[[#This Row],[R]],0)</f>
        <v>#REF!</v>
      </c>
      <c r="O33" t="str">
        <f>LEFT(T_BATTINGDATA[[#This Row],[Batsman]],IFERROR(FIND("*",T_BATTINGDATA[[#This Row],[Batsman]])-1,IFERROR(FIND("†",T_BATTINGDATA[[#This Row],[Batsman]])-1,LEN(T_BATTINGDATA[[#This Row],[Batsman]]))))</f>
        <v>R Ashwin</v>
      </c>
      <c r="P33">
        <f ca="1">IFERROR(IF(MATCH(T_BATTINGDATA[[#This Row],[BATSMAN NAME]],OFFSET(O34,0,0,BATROWS-ROW(O33)-ROW(T_BATTINGDATA[[#Headers],[BATSMAN NAME]])),0)&gt;0,0,SUMIF($O$6:O33,T_BATTINGDATA[[#This Row],[BATSMAN NAME]],$E$6:E33)),SUMIF($O$6:O33,T_BATTINGDATA[[#This Row],[BATSMAN NAME]],$E$6:E33))</f>
        <v>0</v>
      </c>
      <c r="R33">
        <v>8</v>
      </c>
      <c r="S33" t="s">
        <v>158</v>
      </c>
      <c r="T33">
        <v>6</v>
      </c>
      <c r="U33">
        <v>10</v>
      </c>
      <c r="V33">
        <v>0</v>
      </c>
      <c r="W33">
        <v>0</v>
      </c>
      <c r="X33">
        <v>16</v>
      </c>
      <c r="Y33" t="str">
        <f>CONCATENATE(T_EXTRAS[[#This Row],[Match Number]],T_EXTRAS[[#This Row],[Team Batting]])</f>
        <v>8Zimbabwe</v>
      </c>
      <c r="AA33">
        <v>14</v>
      </c>
      <c r="AB33" t="s">
        <v>176</v>
      </c>
      <c r="AC33">
        <v>10</v>
      </c>
      <c r="AD33">
        <v>184</v>
      </c>
      <c r="AE33">
        <v>4.34</v>
      </c>
      <c r="AF33">
        <v>42.2</v>
      </c>
      <c r="AG33" t="str">
        <f>T_MTOTAL[[#This Row],[Match Number]]&amp;T_MTOTAL[[#This Row],[Team]]</f>
        <v>14Scotland</v>
      </c>
      <c r="AH33">
        <v>2</v>
      </c>
      <c r="AI33" t="str">
        <f>T_MTOTAL[[#This Row],[Match Number]]&amp;" "&amp;T_MTOTAL[[#This Row],[ORDER]]</f>
        <v>14 2</v>
      </c>
      <c r="AJ33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ENGLAND</v>
      </c>
      <c r="AK3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3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33">
        <f>(LEFT(T_MTOTAL[[#This Row],[Overs]],IFERROR(FIND(".",T_MTOTAL[[#This Row],[Overs]])-1,LEN(T_MTOTAL[[#This Row],[Overs]])))*6) + IFERROR(IF(FIND(".",T_MTOTAL[[#This Row],[Overs]])+1&gt;0,RIGHT(T_MTOTAL[[#This Row],[Overs]],1),0),0)</f>
        <v>254</v>
      </c>
      <c r="AN33">
        <f>IFERROR(IF(MATCH(T_MTOTAL[[#This Row],[ORDER LINK]],T_DL[link],0)&gt;0,INDEX(T_DL[d/l score],MATCH(T_MTOTAL[[#This Row],[ORDER LINK]],T_DL[link],0)),""),T_MTOTAL[[#This Row],[Total]])</f>
        <v>184</v>
      </c>
      <c r="AP33">
        <v>39</v>
      </c>
      <c r="AQ33" t="s">
        <v>137</v>
      </c>
      <c r="AR33" t="s">
        <v>166</v>
      </c>
      <c r="AS33">
        <v>10</v>
      </c>
      <c r="AT33">
        <v>0</v>
      </c>
      <c r="AU33">
        <v>75</v>
      </c>
      <c r="AV33">
        <v>1</v>
      </c>
      <c r="AW33">
        <v>7.5</v>
      </c>
      <c r="AX33">
        <v>28</v>
      </c>
      <c r="AY33">
        <v>7</v>
      </c>
      <c r="AZ33">
        <v>4</v>
      </c>
      <c r="BA33">
        <v>1</v>
      </c>
      <c r="BC33">
        <v>4</v>
      </c>
      <c r="BD33" t="str">
        <f>CONCATENATE(Table9[[#This Row],[Match Number]],Table9[[#This Row],[Team]],Table9[[#This Row],[BOWL NUM]])</f>
        <v>39India4</v>
      </c>
      <c r="BE33" t="str">
        <f>IFERROR(IF(AND(Table9[[#This Row],[Team]]=I_TEAM,IFERROR(IF(MATCH(Table9[[#This Row],[Bowler]],$AR$5:AR32,0)&gt;0,0),1)),1,0),"")</f>
        <v/>
      </c>
      <c r="BF3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33" t="e">
        <f>IF(Table9[[#This Row],[Team]]=I_TEAM,Table9[[#This Row],[Wickets]]*100-Table9[[#This Row],[Runs]],0)</f>
        <v>#REF!</v>
      </c>
      <c r="BI33">
        <f>Table9[[#This Row],[Wickets]]*100-Table9[[#This Row],[Runs]]</f>
        <v>25</v>
      </c>
      <c r="BJ33">
        <f ca="1">IFERROR(IF(MATCH(Table9[[#This Row],[Bowler]],OFFSET(AR34,0,0,BOWLROWS-ROW(AR33)-ROW(Table9[[#Headers],[BOWLER CUML WICKETS]])),0)&gt;0,0,SUMIF($AR$6:AR33,Table9[[#This Row],[Bowler]],$AV$6:AV33)),SUMIF($AR$6:AR33,Table9[[#This Row],[Bowler]],$AV$6:AV33))</f>
        <v>0</v>
      </c>
      <c r="BK33">
        <f ca="1">IFERROR(IF(MATCH(Table9[[#This Row],[Bowler]],OFFSET(AR34,0,0,BOWLROWS-ROW(AR33)-ROW(Table9[[#Headers],[BOWLER CUML WICKETS]])),0)&gt;0,0,SUMIF($AR$6:AR33,Table9[[#This Row],[Bowler]],$AU$6:AU33)),SUMIF($AR$6:AR33,Table9[[#This Row],[Bowler]],$AU$6:AU33))</f>
        <v>0</v>
      </c>
      <c r="BL33">
        <f ca="1">Table9[[#This Row],[BOWLER CUML WICKETS]]*100-Table9[[#This Row],[BOWLER CUML RUNS]]</f>
        <v>0</v>
      </c>
    </row>
    <row r="34" spans="1:64" x14ac:dyDescent="0.3">
      <c r="A34">
        <v>4</v>
      </c>
      <c r="B34" t="s">
        <v>137</v>
      </c>
      <c r="C34" t="s">
        <v>168</v>
      </c>
      <c r="D34" t="s">
        <v>167</v>
      </c>
      <c r="E34">
        <v>3</v>
      </c>
      <c r="F34">
        <v>2</v>
      </c>
      <c r="G34">
        <v>3</v>
      </c>
      <c r="H34">
        <v>0</v>
      </c>
      <c r="I34">
        <v>0</v>
      </c>
      <c r="J34">
        <v>100</v>
      </c>
      <c r="K34">
        <v>9</v>
      </c>
      <c r="L34" t="str">
        <f>CONCATENATE(T_BATTINGDATA[[#This Row],[Match]],T_BATTINGDATA[[#This Row],[Team]],T_BATTINGDATA[[#This Row],[Bat Number]])</f>
        <v>4India9</v>
      </c>
      <c r="M34" t="str">
        <f>IFERROR(IF(AND(T_BATTINGDATA[[#This Row],[Team]]=I_TEAM,IFERROR(IF(MATCH(T_BATTINGDATA[[#This Row],[BATSMAN NAME]],$O$5:O33,0)&gt;0,0),1)),1,0),"")</f>
        <v/>
      </c>
      <c r="N34" t="e">
        <f>IF(T_BATTINGDATA[[#This Row],[Team]]=I_TEAM,T_BATTINGDATA[[#This Row],[R]],0)</f>
        <v>#REF!</v>
      </c>
      <c r="O34" t="str">
        <f>LEFT(T_BATTINGDATA[[#This Row],[Batsman]],IFERROR(FIND("*",T_BATTINGDATA[[#This Row],[Batsman]])-1,IFERROR(FIND("†",T_BATTINGDATA[[#This Row],[Batsman]])-1,LEN(T_BATTINGDATA[[#This Row],[Batsman]]))))</f>
        <v>Mohammed Shami</v>
      </c>
      <c r="P34">
        <f ca="1">IFERROR(IF(MATCH(T_BATTINGDATA[[#This Row],[BATSMAN NAME]],OFFSET(O35,0,0,BATROWS-ROW(O34)-ROW(T_BATTINGDATA[[#Headers],[BATSMAN NAME]])),0)&gt;0,0,SUMIF($O$6:O34,T_BATTINGDATA[[#This Row],[BATSMAN NAME]],$E$6:E34)),SUMIF($O$6:O34,T_BATTINGDATA[[#This Row],[BATSMAN NAME]],$E$6:E34))</f>
        <v>0</v>
      </c>
      <c r="R34">
        <v>9</v>
      </c>
      <c r="S34" t="s">
        <v>154</v>
      </c>
      <c r="T34">
        <v>6</v>
      </c>
      <c r="U34">
        <v>7</v>
      </c>
      <c r="V34">
        <v>0</v>
      </c>
      <c r="W34">
        <v>0</v>
      </c>
      <c r="X34">
        <v>13</v>
      </c>
      <c r="Y34" t="str">
        <f>CONCATENATE(T_EXTRAS[[#This Row],[Match Number]],T_EXTRAS[[#This Row],[Team Batting]])</f>
        <v>9England</v>
      </c>
      <c r="AA34">
        <v>15</v>
      </c>
      <c r="AB34" t="s">
        <v>170</v>
      </c>
      <c r="AC34">
        <v>2</v>
      </c>
      <c r="AD34">
        <v>372</v>
      </c>
      <c r="AE34">
        <v>7.44</v>
      </c>
      <c r="AF34">
        <v>50</v>
      </c>
      <c r="AG34" t="str">
        <f>T_MTOTAL[[#This Row],[Match Number]]&amp;T_MTOTAL[[#This Row],[Team]]</f>
        <v>15West Indies</v>
      </c>
      <c r="AH34">
        <v>1</v>
      </c>
      <c r="AI34" t="str">
        <f>T_MTOTAL[[#This Row],[Match Number]]&amp;" "&amp;T_MTOTAL[[#This Row],[ORDER]]</f>
        <v>15 1</v>
      </c>
      <c r="AJ34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ZIMBABWE</v>
      </c>
      <c r="AK3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48</v>
      </c>
      <c r="AL3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288</v>
      </c>
      <c r="AM34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34">
        <f>IFERROR(IF(MATCH(T_MTOTAL[[#This Row],[ORDER LINK]],T_DL[link],0)&gt;0,INDEX(T_DL[d/l score],MATCH(T_MTOTAL[[#This Row],[ORDER LINK]],T_DL[link],0)),""),T_MTOTAL[[#This Row],[Total]])</f>
        <v>362</v>
      </c>
      <c r="AP34">
        <v>39</v>
      </c>
      <c r="AQ34" t="s">
        <v>137</v>
      </c>
      <c r="AR34" t="s">
        <v>163</v>
      </c>
      <c r="AS34">
        <v>10</v>
      </c>
      <c r="AT34">
        <v>0</v>
      </c>
      <c r="AU34">
        <v>71</v>
      </c>
      <c r="AV34">
        <v>0</v>
      </c>
      <c r="AW34">
        <v>7.1</v>
      </c>
      <c r="AX34">
        <v>26</v>
      </c>
      <c r="AY34">
        <v>8</v>
      </c>
      <c r="AZ34">
        <v>2</v>
      </c>
      <c r="BC34">
        <v>5</v>
      </c>
      <c r="BD34" t="str">
        <f>CONCATENATE(Table9[[#This Row],[Match Number]],Table9[[#This Row],[Team]],Table9[[#This Row],[BOWL NUM]])</f>
        <v>39India5</v>
      </c>
      <c r="BE34" t="str">
        <f>IFERROR(IF(AND(Table9[[#This Row],[Team]]=I_TEAM,IFERROR(IF(MATCH(Table9[[#This Row],[Bowler]],$AR$5:AR33,0)&gt;0,0),1)),1,0),"")</f>
        <v/>
      </c>
      <c r="BF3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34" t="e">
        <f>IF(Table9[[#This Row],[Team]]=I_TEAM,Table9[[#This Row],[Wickets]]*100-Table9[[#This Row],[Runs]],0)</f>
        <v>#REF!</v>
      </c>
      <c r="BI34">
        <f>Table9[[#This Row],[Wickets]]*100-Table9[[#This Row],[Runs]]</f>
        <v>-71</v>
      </c>
      <c r="BJ34">
        <f ca="1">IFERROR(IF(MATCH(Table9[[#This Row],[Bowler]],OFFSET(AR35,0,0,BOWLROWS-ROW(AR34)-ROW(Table9[[#Headers],[BOWLER CUML WICKETS]])),0)&gt;0,0,SUMIF($AR$6:AR34,Table9[[#This Row],[Bowler]],$AV$6:AV34)),SUMIF($AR$6:AR34,Table9[[#This Row],[Bowler]],$AV$6:AV34))</f>
        <v>0</v>
      </c>
      <c r="BK34">
        <f ca="1">IFERROR(IF(MATCH(Table9[[#This Row],[Bowler]],OFFSET(AR35,0,0,BOWLROWS-ROW(AR34)-ROW(Table9[[#Headers],[BOWLER CUML WICKETS]])),0)&gt;0,0,SUMIF($AR$6:AR34,Table9[[#This Row],[Bowler]],$AU$6:AU34)),SUMIF($AR$6:AR34,Table9[[#This Row],[Bowler]],$AU$6:AU34))</f>
        <v>0</v>
      </c>
      <c r="BL34">
        <f ca="1">Table9[[#This Row],[BOWLER CUML WICKETS]]*100-Table9[[#This Row],[BOWLER CUML RUNS]]</f>
        <v>0</v>
      </c>
    </row>
    <row r="35" spans="1:64" x14ac:dyDescent="0.3">
      <c r="A35">
        <v>4</v>
      </c>
      <c r="B35" t="s">
        <v>153</v>
      </c>
      <c r="C35" t="s">
        <v>202</v>
      </c>
      <c r="D35" t="s">
        <v>203</v>
      </c>
      <c r="E35">
        <v>47</v>
      </c>
      <c r="F35">
        <v>95</v>
      </c>
      <c r="G35">
        <v>73</v>
      </c>
      <c r="H35">
        <v>5</v>
      </c>
      <c r="I35">
        <v>0</v>
      </c>
      <c r="J35">
        <v>64.38</v>
      </c>
      <c r="K35">
        <v>1</v>
      </c>
      <c r="L35" t="str">
        <f>CONCATENATE(T_BATTINGDATA[[#This Row],[Match]],T_BATTINGDATA[[#This Row],[Team]],T_BATTINGDATA[[#This Row],[Bat Number]])</f>
        <v>4Pakistan1</v>
      </c>
      <c r="M35" t="str">
        <f>IFERROR(IF(AND(T_BATTINGDATA[[#This Row],[Team]]=I_TEAM,IFERROR(IF(MATCH(T_BATTINGDATA[[#This Row],[BATSMAN NAME]],$O$5:O34,0)&gt;0,0),1)),1,0),"")</f>
        <v/>
      </c>
      <c r="N35" t="e">
        <f>IF(T_BATTINGDATA[[#This Row],[Team]]=I_TEAM,T_BATTINGDATA[[#This Row],[R]],0)</f>
        <v>#REF!</v>
      </c>
      <c r="O35" t="str">
        <f>LEFT(T_BATTINGDATA[[#This Row],[Batsman]],IFERROR(FIND("*",T_BATTINGDATA[[#This Row],[Batsman]])-1,IFERROR(FIND("†",T_BATTINGDATA[[#This Row],[Batsman]])-1,LEN(T_BATTINGDATA[[#This Row],[Batsman]]))))</f>
        <v>Ahmed Shehzad</v>
      </c>
      <c r="P35">
        <f ca="1">IFERROR(IF(MATCH(T_BATTINGDATA[[#This Row],[BATSMAN NAME]],OFFSET(O36,0,0,BATROWS-ROW(O35)-ROW(T_BATTINGDATA[[#Headers],[BATSMAN NAME]])),0)&gt;0,0,SUMIF($O$6:O35,T_BATTINGDATA[[#This Row],[BATSMAN NAME]],$E$6:E35)),SUMIF($O$6:O35,T_BATTINGDATA[[#This Row],[BATSMAN NAME]],$E$6:E35))</f>
        <v>0</v>
      </c>
      <c r="R35">
        <v>9</v>
      </c>
      <c r="S35" t="s">
        <v>140</v>
      </c>
      <c r="T35">
        <v>4</v>
      </c>
      <c r="U35">
        <v>8</v>
      </c>
      <c r="V35">
        <v>0</v>
      </c>
      <c r="W35">
        <v>0</v>
      </c>
      <c r="X35">
        <v>12</v>
      </c>
      <c r="Y35" t="str">
        <f>CONCATENATE(T_EXTRAS[[#This Row],[Match Number]],T_EXTRAS[[#This Row],[Team Batting]])</f>
        <v>9New Zealand</v>
      </c>
      <c r="AA35">
        <v>15</v>
      </c>
      <c r="AB35" t="s">
        <v>158</v>
      </c>
      <c r="AC35">
        <v>10</v>
      </c>
      <c r="AD35">
        <v>289</v>
      </c>
      <c r="AE35">
        <v>6.49</v>
      </c>
      <c r="AF35">
        <v>44.3</v>
      </c>
      <c r="AG35" t="str">
        <f>T_MTOTAL[[#This Row],[Match Number]]&amp;T_MTOTAL[[#This Row],[Team]]</f>
        <v>15Zimbabwe</v>
      </c>
      <c r="AH35">
        <v>2</v>
      </c>
      <c r="AI35" t="str">
        <f>T_MTOTAL[[#This Row],[Match Number]]&amp;" "&amp;T_MTOTAL[[#This Row],[ORDER]]</f>
        <v>15 2</v>
      </c>
      <c r="AJ35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WEST INDIES</v>
      </c>
      <c r="AK3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48</v>
      </c>
      <c r="AL3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288</v>
      </c>
      <c r="AM35">
        <f>(LEFT(T_MTOTAL[[#This Row],[Overs]],IFERROR(FIND(".",T_MTOTAL[[#This Row],[Overs]])-1,LEN(T_MTOTAL[[#This Row],[Overs]])))*6) + IFERROR(IF(FIND(".",T_MTOTAL[[#This Row],[Overs]])+1&gt;0,RIGHT(T_MTOTAL[[#This Row],[Overs]],1),0),0)</f>
        <v>267</v>
      </c>
      <c r="AN35">
        <f>IFERROR(IF(MATCH(T_MTOTAL[[#This Row],[ORDER LINK]],T_DL[link],0)&gt;0,INDEX(T_DL[d/l score],MATCH(T_MTOTAL[[#This Row],[ORDER LINK]],T_DL[link],0)),""),T_MTOTAL[[#This Row],[Total]])</f>
        <v>289</v>
      </c>
      <c r="AP35">
        <v>39</v>
      </c>
      <c r="AQ35" t="s">
        <v>158</v>
      </c>
      <c r="AR35" t="s">
        <v>204</v>
      </c>
      <c r="AS35">
        <v>8.4</v>
      </c>
      <c r="AT35">
        <v>1</v>
      </c>
      <c r="AU35">
        <v>53</v>
      </c>
      <c r="AV35">
        <v>2</v>
      </c>
      <c r="AW35">
        <v>6.11</v>
      </c>
      <c r="AX35">
        <v>30</v>
      </c>
      <c r="AY35">
        <v>5</v>
      </c>
      <c r="AZ35">
        <v>2</v>
      </c>
      <c r="BA35">
        <v>2</v>
      </c>
      <c r="BC35">
        <v>1</v>
      </c>
      <c r="BD35" t="str">
        <f>CONCATENATE(Table9[[#This Row],[Match Number]],Table9[[#This Row],[Team]],Table9[[#This Row],[BOWL NUM]])</f>
        <v>39Zimbabwe1</v>
      </c>
      <c r="BE35" t="str">
        <f>IFERROR(IF(AND(Table9[[#This Row],[Team]]=I_TEAM,IFERROR(IF(MATCH(Table9[[#This Row],[Bowler]],$AR$5:AR34,0)&gt;0,0),1)),1,0),"")</f>
        <v/>
      </c>
      <c r="BF35">
        <f>(LEFT(Table9[[#This Row],[Overs]],IFERROR(FIND(".",Table9[[#This Row],[Overs]])-1,LEN(Table9[[#This Row],[Overs]])))*6) + IFERROR(IF(FIND(".",Table9[[#This Row],[Overs]])+1&gt;0,RIGHT(Table9[[#This Row],[Overs]],1),0),0)</f>
        <v>52</v>
      </c>
      <c r="BG3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35" t="e">
        <f>IF(Table9[[#This Row],[Team]]=I_TEAM,Table9[[#This Row],[Wickets]]*100-Table9[[#This Row],[Runs]],0)</f>
        <v>#REF!</v>
      </c>
      <c r="BI35">
        <f>Table9[[#This Row],[Wickets]]*100-Table9[[#This Row],[Runs]]</f>
        <v>147</v>
      </c>
      <c r="BJ35">
        <f ca="1">IFERROR(IF(MATCH(Table9[[#This Row],[Bowler]],OFFSET(AR36,0,0,BOWLROWS-ROW(AR35)-ROW(Table9[[#Headers],[BOWLER CUML WICKETS]])),0)&gt;0,0,SUMIF($AR$6:AR35,Table9[[#This Row],[Bowler]],$AV$6:AV35)),SUMIF($AR$6:AR35,Table9[[#This Row],[Bowler]],$AV$6:AV35))</f>
        <v>0</v>
      </c>
      <c r="BK35">
        <f ca="1">IFERROR(IF(MATCH(Table9[[#This Row],[Bowler]],OFFSET(AR36,0,0,BOWLROWS-ROW(AR35)-ROW(Table9[[#Headers],[BOWLER CUML WICKETS]])),0)&gt;0,0,SUMIF($AR$6:AR35,Table9[[#This Row],[Bowler]],$AU$6:AU35)),SUMIF($AR$6:AR35,Table9[[#This Row],[Bowler]],$AU$6:AU35))</f>
        <v>0</v>
      </c>
      <c r="BL35">
        <f ca="1">Table9[[#This Row],[BOWLER CUML WICKETS]]*100-Table9[[#This Row],[BOWLER CUML RUNS]]</f>
        <v>0</v>
      </c>
    </row>
    <row r="36" spans="1:64" x14ac:dyDescent="0.3">
      <c r="A36">
        <v>4</v>
      </c>
      <c r="B36" t="s">
        <v>153</v>
      </c>
      <c r="C36" t="s">
        <v>205</v>
      </c>
      <c r="D36" t="s">
        <v>206</v>
      </c>
      <c r="E36">
        <v>6</v>
      </c>
      <c r="F36">
        <v>13</v>
      </c>
      <c r="G36">
        <v>10</v>
      </c>
      <c r="H36">
        <v>1</v>
      </c>
      <c r="I36">
        <v>0</v>
      </c>
      <c r="J36">
        <v>60</v>
      </c>
      <c r="K36">
        <v>2</v>
      </c>
      <c r="L36" t="str">
        <f>CONCATENATE(T_BATTINGDATA[[#This Row],[Match]],T_BATTINGDATA[[#This Row],[Team]],T_BATTINGDATA[[#This Row],[Bat Number]])</f>
        <v>4Pakistan2</v>
      </c>
      <c r="M36" t="str">
        <f>IFERROR(IF(AND(T_BATTINGDATA[[#This Row],[Team]]=I_TEAM,IFERROR(IF(MATCH(T_BATTINGDATA[[#This Row],[BATSMAN NAME]],$O$5:O35,0)&gt;0,0),1)),1,0),"")</f>
        <v/>
      </c>
      <c r="N36" t="e">
        <f>IF(T_BATTINGDATA[[#This Row],[Team]]=I_TEAM,T_BATTINGDATA[[#This Row],[R]],0)</f>
        <v>#REF!</v>
      </c>
      <c r="O36" t="str">
        <f>LEFT(T_BATTINGDATA[[#This Row],[Batsman]],IFERROR(FIND("*",T_BATTINGDATA[[#This Row],[Batsman]])-1,IFERROR(FIND("†",T_BATTINGDATA[[#This Row],[Batsman]])-1,LEN(T_BATTINGDATA[[#This Row],[Batsman]]))))</f>
        <v>Younis Khan</v>
      </c>
      <c r="P36">
        <f ca="1">IFERROR(IF(MATCH(T_BATTINGDATA[[#This Row],[BATSMAN NAME]],OFFSET(O37,0,0,BATROWS-ROW(O36)-ROW(T_BATTINGDATA[[#Headers],[BATSMAN NAME]])),0)&gt;0,0,SUMIF($O$6:O36,T_BATTINGDATA[[#This Row],[BATSMAN NAME]],$E$6:E36)),SUMIF($O$6:O36,T_BATTINGDATA[[#This Row],[BATSMAN NAME]],$E$6:E36))</f>
        <v>0</v>
      </c>
      <c r="R36">
        <v>10</v>
      </c>
      <c r="S36" t="s">
        <v>170</v>
      </c>
      <c r="T36">
        <v>6</v>
      </c>
      <c r="U36">
        <v>14</v>
      </c>
      <c r="V36">
        <v>1</v>
      </c>
      <c r="W36">
        <v>2</v>
      </c>
      <c r="X36">
        <v>23</v>
      </c>
      <c r="Y36" t="str">
        <f>CONCATENATE(T_EXTRAS[[#This Row],[Match Number]],T_EXTRAS[[#This Row],[Team Batting]])</f>
        <v>10West Indies</v>
      </c>
      <c r="AA36">
        <v>16</v>
      </c>
      <c r="AB36" t="s">
        <v>164</v>
      </c>
      <c r="AC36">
        <v>9</v>
      </c>
      <c r="AD36">
        <v>278</v>
      </c>
      <c r="AE36">
        <v>5.56</v>
      </c>
      <c r="AF36">
        <v>50</v>
      </c>
      <c r="AG36" t="str">
        <f>T_MTOTAL[[#This Row],[Match Number]]&amp;T_MTOTAL[[#This Row],[Team]]</f>
        <v>16UAE</v>
      </c>
      <c r="AH36">
        <v>1</v>
      </c>
      <c r="AI36" t="str">
        <f>T_MTOTAL[[#This Row],[Match Number]]&amp;" "&amp;T_MTOTAL[[#This Row],[ORDER]]</f>
        <v>16 1</v>
      </c>
      <c r="AJ36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IRELAND</v>
      </c>
      <c r="AK3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3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36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36">
        <f>IFERROR(IF(MATCH(T_MTOTAL[[#This Row],[ORDER LINK]],T_DL[link],0)&gt;0,INDEX(T_DL[d/l score],MATCH(T_MTOTAL[[#This Row],[ORDER LINK]],T_DL[link],0)),""),T_MTOTAL[[#This Row],[Total]])</f>
        <v>278</v>
      </c>
      <c r="AP36">
        <v>39</v>
      </c>
      <c r="AQ36" t="s">
        <v>158</v>
      </c>
      <c r="AR36" t="s">
        <v>207</v>
      </c>
      <c r="AS36">
        <v>10</v>
      </c>
      <c r="AT36">
        <v>1</v>
      </c>
      <c r="AU36">
        <v>59</v>
      </c>
      <c r="AV36">
        <v>0</v>
      </c>
      <c r="AW36">
        <v>5.9</v>
      </c>
      <c r="AX36">
        <v>35</v>
      </c>
      <c r="AY36">
        <v>8</v>
      </c>
      <c r="AZ36">
        <v>0</v>
      </c>
      <c r="BA36">
        <v>6</v>
      </c>
      <c r="BB36">
        <v>1</v>
      </c>
      <c r="BC36">
        <v>2</v>
      </c>
      <c r="BD36" t="str">
        <f>CONCATENATE(Table9[[#This Row],[Match Number]],Table9[[#This Row],[Team]],Table9[[#This Row],[BOWL NUM]])</f>
        <v>39Zimbabwe2</v>
      </c>
      <c r="BE36" t="str">
        <f>IFERROR(IF(AND(Table9[[#This Row],[Team]]=I_TEAM,IFERROR(IF(MATCH(Table9[[#This Row],[Bowler]],$AR$5:AR35,0)&gt;0,0),1)),1,0),"")</f>
        <v/>
      </c>
      <c r="BF3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36" t="e">
        <f>IF(Table9[[#This Row],[Team]]=I_TEAM,Table9[[#This Row],[Wickets]]*100-Table9[[#This Row],[Runs]],0)</f>
        <v>#REF!</v>
      </c>
      <c r="BI36">
        <f>Table9[[#This Row],[Wickets]]*100-Table9[[#This Row],[Runs]]</f>
        <v>-59</v>
      </c>
      <c r="BJ36">
        <f ca="1">IFERROR(IF(MATCH(Table9[[#This Row],[Bowler]],OFFSET(AR37,0,0,BOWLROWS-ROW(AR36)-ROW(Table9[[#Headers],[BOWLER CUML WICKETS]])),0)&gt;0,0,SUMIF($AR$6:AR36,Table9[[#This Row],[Bowler]],$AV$6:AV36)),SUMIF($AR$6:AR36,Table9[[#This Row],[Bowler]],$AV$6:AV36))</f>
        <v>0</v>
      </c>
      <c r="BK36">
        <f ca="1">IFERROR(IF(MATCH(Table9[[#This Row],[Bowler]],OFFSET(AR37,0,0,BOWLROWS-ROW(AR36)-ROW(Table9[[#Headers],[BOWLER CUML WICKETS]])),0)&gt;0,0,SUMIF($AR$6:AR36,Table9[[#This Row],[Bowler]],$AU$6:AU36)),SUMIF($AR$6:AR36,Table9[[#This Row],[Bowler]],$AU$6:AU36))</f>
        <v>0</v>
      </c>
      <c r="BL36">
        <f ca="1">Table9[[#This Row],[BOWLER CUML WICKETS]]*100-Table9[[#This Row],[BOWLER CUML RUNS]]</f>
        <v>0</v>
      </c>
    </row>
    <row r="37" spans="1:64" x14ac:dyDescent="0.3">
      <c r="A37">
        <v>4</v>
      </c>
      <c r="B37" t="s">
        <v>153</v>
      </c>
      <c r="C37" t="s">
        <v>193</v>
      </c>
      <c r="D37" t="s">
        <v>187</v>
      </c>
      <c r="E37">
        <v>36</v>
      </c>
      <c r="F37">
        <v>60</v>
      </c>
      <c r="G37">
        <v>48</v>
      </c>
      <c r="H37">
        <v>3</v>
      </c>
      <c r="I37">
        <v>0</v>
      </c>
      <c r="J37">
        <v>75</v>
      </c>
      <c r="K37">
        <v>3</v>
      </c>
      <c r="L37" t="str">
        <f>CONCATENATE(T_BATTINGDATA[[#This Row],[Match]],T_BATTINGDATA[[#This Row],[Team]],T_BATTINGDATA[[#This Row],[Bat Number]])</f>
        <v>4Pakistan3</v>
      </c>
      <c r="M37" t="str">
        <f>IFERROR(IF(AND(T_BATTINGDATA[[#This Row],[Team]]=I_TEAM,IFERROR(IF(MATCH(T_BATTINGDATA[[#This Row],[BATSMAN NAME]],$O$5:O36,0)&gt;0,0),1)),1,0),"")</f>
        <v/>
      </c>
      <c r="N37" t="e">
        <f>IF(T_BATTINGDATA[[#This Row],[Team]]=I_TEAM,T_BATTINGDATA[[#This Row],[R]],0)</f>
        <v>#REF!</v>
      </c>
      <c r="O37" t="str">
        <f>LEFT(T_BATTINGDATA[[#This Row],[Batsman]],IFERROR(FIND("*",T_BATTINGDATA[[#This Row],[Batsman]])-1,IFERROR(FIND("†",T_BATTINGDATA[[#This Row],[Batsman]])-1,LEN(T_BATTINGDATA[[#This Row],[Batsman]]))))</f>
        <v>Haris Sohail</v>
      </c>
      <c r="P37">
        <f ca="1">IFERROR(IF(MATCH(T_BATTINGDATA[[#This Row],[BATSMAN NAME]],OFFSET(O38,0,0,BATROWS-ROW(O37)-ROW(T_BATTINGDATA[[#Headers],[BATSMAN NAME]])),0)&gt;0,0,SUMIF($O$6:O37,T_BATTINGDATA[[#This Row],[BATSMAN NAME]],$E$6:E37)),SUMIF($O$6:O37,T_BATTINGDATA[[#This Row],[BATSMAN NAME]],$E$6:E37))</f>
        <v>0</v>
      </c>
      <c r="R37">
        <v>10</v>
      </c>
      <c r="S37" t="s">
        <v>153</v>
      </c>
      <c r="T37">
        <v>3</v>
      </c>
      <c r="U37">
        <v>5</v>
      </c>
      <c r="V37">
        <v>1</v>
      </c>
      <c r="W37">
        <v>0</v>
      </c>
      <c r="X37">
        <v>9</v>
      </c>
      <c r="Y37" t="str">
        <f>CONCATENATE(T_EXTRAS[[#This Row],[Match Number]],T_EXTRAS[[#This Row],[Team Batting]])</f>
        <v>10Pakistan</v>
      </c>
      <c r="AA37">
        <v>16</v>
      </c>
      <c r="AB37" t="s">
        <v>169</v>
      </c>
      <c r="AC37">
        <v>8</v>
      </c>
      <c r="AD37">
        <v>279</v>
      </c>
      <c r="AE37">
        <v>5.65</v>
      </c>
      <c r="AF37">
        <v>49.2</v>
      </c>
      <c r="AG37" t="str">
        <f>T_MTOTAL[[#This Row],[Match Number]]&amp;T_MTOTAL[[#This Row],[Team]]</f>
        <v>16Ireland</v>
      </c>
      <c r="AH37">
        <v>2</v>
      </c>
      <c r="AI37" t="str">
        <f>T_MTOTAL[[#This Row],[Match Number]]&amp;" "&amp;T_MTOTAL[[#This Row],[ORDER]]</f>
        <v>16 2</v>
      </c>
      <c r="AJ37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UAE</v>
      </c>
      <c r="AK3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49.2</v>
      </c>
      <c r="AL3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296</v>
      </c>
      <c r="AM37">
        <f>(LEFT(T_MTOTAL[[#This Row],[Overs]],IFERROR(FIND(".",T_MTOTAL[[#This Row],[Overs]])-1,LEN(T_MTOTAL[[#This Row],[Overs]])))*6) + IFERROR(IF(FIND(".",T_MTOTAL[[#This Row],[Overs]])+1&gt;0,RIGHT(T_MTOTAL[[#This Row],[Overs]],1),0),0)</f>
        <v>296</v>
      </c>
      <c r="AN37">
        <f>IFERROR(IF(MATCH(T_MTOTAL[[#This Row],[ORDER LINK]],T_DL[link],0)&gt;0,INDEX(T_DL[d/l score],MATCH(T_MTOTAL[[#This Row],[ORDER LINK]],T_DL[link],0)),""),T_MTOTAL[[#This Row],[Total]])</f>
        <v>279</v>
      </c>
      <c r="AP37">
        <v>39</v>
      </c>
      <c r="AQ37" t="s">
        <v>158</v>
      </c>
      <c r="AR37" t="s">
        <v>208</v>
      </c>
      <c r="AS37">
        <v>10</v>
      </c>
      <c r="AT37">
        <v>0</v>
      </c>
      <c r="AU37">
        <v>61</v>
      </c>
      <c r="AV37">
        <v>0</v>
      </c>
      <c r="AW37">
        <v>6.1</v>
      </c>
      <c r="AX37">
        <v>25</v>
      </c>
      <c r="AY37">
        <v>5</v>
      </c>
      <c r="AZ37">
        <v>1</v>
      </c>
      <c r="BA37">
        <v>2</v>
      </c>
      <c r="BC37">
        <v>3</v>
      </c>
      <c r="BD37" t="str">
        <f>CONCATENATE(Table9[[#This Row],[Match Number]],Table9[[#This Row],[Team]],Table9[[#This Row],[BOWL NUM]])</f>
        <v>39Zimbabwe3</v>
      </c>
      <c r="BE37" t="str">
        <f>IFERROR(IF(AND(Table9[[#This Row],[Team]]=I_TEAM,IFERROR(IF(MATCH(Table9[[#This Row],[Bowler]],$AR$5:AR36,0)&gt;0,0),1)),1,0),"")</f>
        <v/>
      </c>
      <c r="BF3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37" t="e">
        <f>IF(Table9[[#This Row],[Team]]=I_TEAM,Table9[[#This Row],[Wickets]]*100-Table9[[#This Row],[Runs]],0)</f>
        <v>#REF!</v>
      </c>
      <c r="BI37">
        <f>Table9[[#This Row],[Wickets]]*100-Table9[[#This Row],[Runs]]</f>
        <v>-61</v>
      </c>
      <c r="BJ37">
        <f ca="1">IFERROR(IF(MATCH(Table9[[#This Row],[Bowler]],OFFSET(AR38,0,0,BOWLROWS-ROW(AR37)-ROW(Table9[[#Headers],[BOWLER CUML WICKETS]])),0)&gt;0,0,SUMIF($AR$6:AR37,Table9[[#This Row],[Bowler]],$AV$6:AV37)),SUMIF($AR$6:AR37,Table9[[#This Row],[Bowler]],$AV$6:AV37))</f>
        <v>0</v>
      </c>
      <c r="BK37">
        <f ca="1">IFERROR(IF(MATCH(Table9[[#This Row],[Bowler]],OFFSET(AR38,0,0,BOWLROWS-ROW(AR37)-ROW(Table9[[#Headers],[BOWLER CUML WICKETS]])),0)&gt;0,0,SUMIF($AR$6:AR37,Table9[[#This Row],[Bowler]],$AU$6:AU37)),SUMIF($AR$6:AR37,Table9[[#This Row],[Bowler]],$AU$6:AU37))</f>
        <v>0</v>
      </c>
      <c r="BL37">
        <f ca="1">Table9[[#This Row],[BOWLER CUML WICKETS]]*100-Table9[[#This Row],[BOWLER CUML RUNS]]</f>
        <v>0</v>
      </c>
    </row>
    <row r="38" spans="1:64" x14ac:dyDescent="0.3">
      <c r="A38">
        <v>4</v>
      </c>
      <c r="B38" t="s">
        <v>153</v>
      </c>
      <c r="C38" t="s">
        <v>209</v>
      </c>
      <c r="D38" t="s">
        <v>210</v>
      </c>
      <c r="E38">
        <v>76</v>
      </c>
      <c r="F38">
        <v>118</v>
      </c>
      <c r="G38">
        <v>84</v>
      </c>
      <c r="H38">
        <v>9</v>
      </c>
      <c r="I38">
        <v>1</v>
      </c>
      <c r="J38">
        <v>90.47</v>
      </c>
      <c r="K38">
        <v>4</v>
      </c>
      <c r="L38" t="str">
        <f>CONCATENATE(T_BATTINGDATA[[#This Row],[Match]],T_BATTINGDATA[[#This Row],[Team]],T_BATTINGDATA[[#This Row],[Bat Number]])</f>
        <v>4Pakistan4</v>
      </c>
      <c r="M38" t="str">
        <f>IFERROR(IF(AND(T_BATTINGDATA[[#This Row],[Team]]=I_TEAM,IFERROR(IF(MATCH(T_BATTINGDATA[[#This Row],[BATSMAN NAME]],$O$5:O37,0)&gt;0,0),1)),1,0),"")</f>
        <v/>
      </c>
      <c r="N38" t="e">
        <f>IF(T_BATTINGDATA[[#This Row],[Team]]=I_TEAM,T_BATTINGDATA[[#This Row],[R]],0)</f>
        <v>#REF!</v>
      </c>
      <c r="O38" t="str">
        <f>LEFT(T_BATTINGDATA[[#This Row],[Batsman]],IFERROR(FIND("*",T_BATTINGDATA[[#This Row],[Batsman]])-1,IFERROR(FIND("†",T_BATTINGDATA[[#This Row],[Batsman]])-1,LEN(T_BATTINGDATA[[#This Row],[Batsman]]))))</f>
        <v>Misbah-ul-Haq</v>
      </c>
      <c r="P38">
        <f ca="1">IFERROR(IF(MATCH(T_BATTINGDATA[[#This Row],[BATSMAN NAME]],OFFSET(O39,0,0,BATROWS-ROW(O38)-ROW(T_BATTINGDATA[[#Headers],[BATSMAN NAME]])),0)&gt;0,0,SUMIF($O$6:O38,T_BATTINGDATA[[#This Row],[BATSMAN NAME]],$E$6:E38)),SUMIF($O$6:O38,T_BATTINGDATA[[#This Row],[BATSMAN NAME]],$E$6:E38))</f>
        <v>0</v>
      </c>
      <c r="R38">
        <v>12</v>
      </c>
      <c r="S38" t="s">
        <v>185</v>
      </c>
      <c r="T38">
        <v>6</v>
      </c>
      <c r="U38">
        <v>16</v>
      </c>
      <c r="V38">
        <v>1</v>
      </c>
      <c r="W38">
        <v>0</v>
      </c>
      <c r="X38">
        <v>23</v>
      </c>
      <c r="Y38" t="str">
        <f>CONCATENATE(T_EXTRAS[[#This Row],[Match Number]],T_EXTRAS[[#This Row],[Team Batting]])</f>
        <v>12Afghanistan</v>
      </c>
      <c r="AA38">
        <v>17</v>
      </c>
      <c r="AB38" t="s">
        <v>176</v>
      </c>
      <c r="AC38">
        <v>10</v>
      </c>
      <c r="AD38">
        <v>210</v>
      </c>
      <c r="AE38">
        <v>4.2</v>
      </c>
      <c r="AF38">
        <v>50</v>
      </c>
      <c r="AG38" t="str">
        <f>T_MTOTAL[[#This Row],[Match Number]]&amp;T_MTOTAL[[#This Row],[Team]]</f>
        <v>17Scotland</v>
      </c>
      <c r="AH38">
        <v>1</v>
      </c>
      <c r="AI38" t="str">
        <f>T_MTOTAL[[#This Row],[Match Number]]&amp;" "&amp;T_MTOTAL[[#This Row],[ORDER]]</f>
        <v>17 1</v>
      </c>
      <c r="AJ38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AFGHANISTAN</v>
      </c>
      <c r="AK3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3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38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38">
        <f>IFERROR(IF(MATCH(T_MTOTAL[[#This Row],[ORDER LINK]],T_DL[link],0)&gt;0,INDEX(T_DL[d/l score],MATCH(T_MTOTAL[[#This Row],[ORDER LINK]],T_DL[link],0)),""),T_MTOTAL[[#This Row],[Total]])</f>
        <v>210</v>
      </c>
      <c r="AP38">
        <v>39</v>
      </c>
      <c r="AQ38" t="s">
        <v>158</v>
      </c>
      <c r="AR38" t="s">
        <v>211</v>
      </c>
      <c r="AS38">
        <v>5</v>
      </c>
      <c r="AT38">
        <v>0</v>
      </c>
      <c r="AU38">
        <v>29</v>
      </c>
      <c r="AV38">
        <v>0</v>
      </c>
      <c r="AW38">
        <v>5.8</v>
      </c>
      <c r="AX38">
        <v>15</v>
      </c>
      <c r="AY38">
        <v>4</v>
      </c>
      <c r="AZ38">
        <v>0</v>
      </c>
      <c r="BC38">
        <v>4</v>
      </c>
      <c r="BD38" t="str">
        <f>CONCATENATE(Table9[[#This Row],[Match Number]],Table9[[#This Row],[Team]],Table9[[#This Row],[BOWL NUM]])</f>
        <v>39Zimbabwe4</v>
      </c>
      <c r="BE38" t="str">
        <f>IFERROR(IF(AND(Table9[[#This Row],[Team]]=I_TEAM,IFERROR(IF(MATCH(Table9[[#This Row],[Bowler]],$AR$5:AR37,0)&gt;0,0),1)),1,0),"")</f>
        <v/>
      </c>
      <c r="BF38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3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38" t="e">
        <f>IF(Table9[[#This Row],[Team]]=I_TEAM,Table9[[#This Row],[Wickets]]*100-Table9[[#This Row],[Runs]],0)</f>
        <v>#REF!</v>
      </c>
      <c r="BI38">
        <f>Table9[[#This Row],[Wickets]]*100-Table9[[#This Row],[Runs]]</f>
        <v>-29</v>
      </c>
      <c r="BJ38">
        <f ca="1">IFERROR(IF(MATCH(Table9[[#This Row],[Bowler]],OFFSET(AR39,0,0,BOWLROWS-ROW(AR38)-ROW(Table9[[#Headers],[BOWLER CUML WICKETS]])),0)&gt;0,0,SUMIF($AR$6:AR38,Table9[[#This Row],[Bowler]],$AV$6:AV38)),SUMIF($AR$6:AR38,Table9[[#This Row],[Bowler]],$AV$6:AV38))</f>
        <v>0</v>
      </c>
      <c r="BK38">
        <f ca="1">IFERROR(IF(MATCH(Table9[[#This Row],[Bowler]],OFFSET(AR39,0,0,BOWLROWS-ROW(AR38)-ROW(Table9[[#Headers],[BOWLER CUML WICKETS]])),0)&gt;0,0,SUMIF($AR$6:AR38,Table9[[#This Row],[Bowler]],$AU$6:AU38)),SUMIF($AR$6:AR38,Table9[[#This Row],[Bowler]],$AU$6:AU38))</f>
        <v>0</v>
      </c>
      <c r="BL38">
        <f ca="1">Table9[[#This Row],[BOWLER CUML WICKETS]]*100-Table9[[#This Row],[BOWLER CUML RUNS]]</f>
        <v>0</v>
      </c>
    </row>
    <row r="39" spans="1:64" x14ac:dyDescent="0.3">
      <c r="A39">
        <v>4</v>
      </c>
      <c r="B39" t="s">
        <v>153</v>
      </c>
      <c r="C39" t="s">
        <v>212</v>
      </c>
      <c r="D39" t="s">
        <v>213</v>
      </c>
      <c r="E39">
        <v>0</v>
      </c>
      <c r="F39">
        <v>1</v>
      </c>
      <c r="G39">
        <v>2</v>
      </c>
      <c r="H39">
        <v>0</v>
      </c>
      <c r="I39">
        <v>0</v>
      </c>
      <c r="J39">
        <v>0</v>
      </c>
      <c r="K39">
        <v>5</v>
      </c>
      <c r="L39" t="str">
        <f>CONCATENATE(T_BATTINGDATA[[#This Row],[Match]],T_BATTINGDATA[[#This Row],[Team]],T_BATTINGDATA[[#This Row],[Bat Number]])</f>
        <v>4Pakistan5</v>
      </c>
      <c r="M39" t="str">
        <f>IFERROR(IF(AND(T_BATTINGDATA[[#This Row],[Team]]=I_TEAM,IFERROR(IF(MATCH(T_BATTINGDATA[[#This Row],[BATSMAN NAME]],$O$5:O38,0)&gt;0,0),1)),1,0),"")</f>
        <v/>
      </c>
      <c r="N39" t="e">
        <f>IF(T_BATTINGDATA[[#This Row],[Team]]=I_TEAM,T_BATTINGDATA[[#This Row],[R]],0)</f>
        <v>#REF!</v>
      </c>
      <c r="O39" t="str">
        <f>LEFT(T_BATTINGDATA[[#This Row],[Batsman]],IFERROR(FIND("*",T_BATTINGDATA[[#This Row],[Batsman]])-1,IFERROR(FIND("†",T_BATTINGDATA[[#This Row],[Batsman]])-1,LEN(T_BATTINGDATA[[#This Row],[Batsman]]))))</f>
        <v>Sohaib Maqsood</v>
      </c>
      <c r="P39">
        <f ca="1">IFERROR(IF(MATCH(T_BATTINGDATA[[#This Row],[BATSMAN NAME]],OFFSET(O40,0,0,BATROWS-ROW(O39)-ROW(T_BATTINGDATA[[#Headers],[BATSMAN NAME]])),0)&gt;0,0,SUMIF($O$6:O39,T_BATTINGDATA[[#This Row],[BATSMAN NAME]],$E$6:E39)),SUMIF($O$6:O39,T_BATTINGDATA[[#This Row],[BATSMAN NAME]],$E$6:E39))</f>
        <v>0</v>
      </c>
      <c r="R39">
        <v>12</v>
      </c>
      <c r="S39" t="s">
        <v>145</v>
      </c>
      <c r="T39">
        <v>2</v>
      </c>
      <c r="U39">
        <v>3</v>
      </c>
      <c r="V39">
        <v>1</v>
      </c>
      <c r="W39">
        <v>0</v>
      </c>
      <c r="X39">
        <v>6</v>
      </c>
      <c r="Y39" t="str">
        <f>CONCATENATE(T_EXTRAS[[#This Row],[Match Number]],T_EXTRAS[[#This Row],[Team Batting]])</f>
        <v>12Sri Lanka</v>
      </c>
      <c r="AA39">
        <v>17</v>
      </c>
      <c r="AB39" t="s">
        <v>185</v>
      </c>
      <c r="AC39">
        <v>9</v>
      </c>
      <c r="AD39">
        <v>211</v>
      </c>
      <c r="AE39">
        <v>4.26</v>
      </c>
      <c r="AF39">
        <v>49.3</v>
      </c>
      <c r="AG39" t="str">
        <f>T_MTOTAL[[#This Row],[Match Number]]&amp;T_MTOTAL[[#This Row],[Team]]</f>
        <v>17Afghanistan</v>
      </c>
      <c r="AH39">
        <v>2</v>
      </c>
      <c r="AI39" t="str">
        <f>T_MTOTAL[[#This Row],[Match Number]]&amp;" "&amp;T_MTOTAL[[#This Row],[ORDER]]</f>
        <v>17 2</v>
      </c>
      <c r="AJ39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SCOTLAND</v>
      </c>
      <c r="AK3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49.3</v>
      </c>
      <c r="AL3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297</v>
      </c>
      <c r="AM39">
        <f>(LEFT(T_MTOTAL[[#This Row],[Overs]],IFERROR(FIND(".",T_MTOTAL[[#This Row],[Overs]])-1,LEN(T_MTOTAL[[#This Row],[Overs]])))*6) + IFERROR(IF(FIND(".",T_MTOTAL[[#This Row],[Overs]])+1&gt;0,RIGHT(T_MTOTAL[[#This Row],[Overs]],1),0),0)</f>
        <v>297</v>
      </c>
      <c r="AN39">
        <f>IFERROR(IF(MATCH(T_MTOTAL[[#This Row],[ORDER LINK]],T_DL[link],0)&gt;0,INDEX(T_DL[d/l score],MATCH(T_MTOTAL[[#This Row],[ORDER LINK]],T_DL[link],0)),""),T_MTOTAL[[#This Row],[Total]])</f>
        <v>211</v>
      </c>
      <c r="AP39">
        <v>39</v>
      </c>
      <c r="AQ39" t="s">
        <v>158</v>
      </c>
      <c r="AR39" t="s">
        <v>214</v>
      </c>
      <c r="AS39">
        <v>5</v>
      </c>
      <c r="AT39">
        <v>0</v>
      </c>
      <c r="AU39">
        <v>31</v>
      </c>
      <c r="AV39">
        <v>0</v>
      </c>
      <c r="AW39">
        <v>6.2</v>
      </c>
      <c r="AX39">
        <v>16</v>
      </c>
      <c r="AY39">
        <v>2</v>
      </c>
      <c r="AZ39">
        <v>2</v>
      </c>
      <c r="BC39">
        <v>5</v>
      </c>
      <c r="BD39" t="str">
        <f>CONCATENATE(Table9[[#This Row],[Match Number]],Table9[[#This Row],[Team]],Table9[[#This Row],[BOWL NUM]])</f>
        <v>39Zimbabwe5</v>
      </c>
      <c r="BE39" t="str">
        <f>IFERROR(IF(AND(Table9[[#This Row],[Team]]=I_TEAM,IFERROR(IF(MATCH(Table9[[#This Row],[Bowler]],$AR$5:AR38,0)&gt;0,0),1)),1,0),"")</f>
        <v/>
      </c>
      <c r="BF39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3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39" t="e">
        <f>IF(Table9[[#This Row],[Team]]=I_TEAM,Table9[[#This Row],[Wickets]]*100-Table9[[#This Row],[Runs]],0)</f>
        <v>#REF!</v>
      </c>
      <c r="BI39">
        <f>Table9[[#This Row],[Wickets]]*100-Table9[[#This Row],[Runs]]</f>
        <v>-31</v>
      </c>
      <c r="BJ39">
        <f ca="1">IFERROR(IF(MATCH(Table9[[#This Row],[Bowler]],OFFSET(AR40,0,0,BOWLROWS-ROW(AR39)-ROW(Table9[[#Headers],[BOWLER CUML WICKETS]])),0)&gt;0,0,SUMIF($AR$6:AR39,Table9[[#This Row],[Bowler]],$AV$6:AV39)),SUMIF($AR$6:AR39,Table9[[#This Row],[Bowler]],$AV$6:AV39))</f>
        <v>0</v>
      </c>
      <c r="BK39">
        <f ca="1">IFERROR(IF(MATCH(Table9[[#This Row],[Bowler]],OFFSET(AR40,0,0,BOWLROWS-ROW(AR39)-ROW(Table9[[#Headers],[BOWLER CUML WICKETS]])),0)&gt;0,0,SUMIF($AR$6:AR39,Table9[[#This Row],[Bowler]],$AU$6:AU39)),SUMIF($AR$6:AR39,Table9[[#This Row],[Bowler]],$AU$6:AU39))</f>
        <v>0</v>
      </c>
      <c r="BL39">
        <f ca="1">Table9[[#This Row],[BOWLER CUML WICKETS]]*100-Table9[[#This Row],[BOWLER CUML RUNS]]</f>
        <v>0</v>
      </c>
    </row>
    <row r="40" spans="1:64" x14ac:dyDescent="0.3">
      <c r="A40">
        <v>4</v>
      </c>
      <c r="B40" t="s">
        <v>153</v>
      </c>
      <c r="C40" t="s">
        <v>215</v>
      </c>
      <c r="D40" t="s">
        <v>216</v>
      </c>
      <c r="E40">
        <v>0</v>
      </c>
      <c r="F40">
        <v>5</v>
      </c>
      <c r="G40">
        <v>4</v>
      </c>
      <c r="H40">
        <v>0</v>
      </c>
      <c r="I40">
        <v>0</v>
      </c>
      <c r="J40">
        <v>0</v>
      </c>
      <c r="K40">
        <v>6</v>
      </c>
      <c r="L40" t="str">
        <f>CONCATENATE(T_BATTINGDATA[[#This Row],[Match]],T_BATTINGDATA[[#This Row],[Team]],T_BATTINGDATA[[#This Row],[Bat Number]])</f>
        <v>4Pakistan6</v>
      </c>
      <c r="M40" t="str">
        <f>IFERROR(IF(AND(T_BATTINGDATA[[#This Row],[Team]]=I_TEAM,IFERROR(IF(MATCH(T_BATTINGDATA[[#This Row],[BATSMAN NAME]],$O$5:O39,0)&gt;0,0),1)),1,0),"")</f>
        <v/>
      </c>
      <c r="N40" t="e">
        <f>IF(T_BATTINGDATA[[#This Row],[Team]]=I_TEAM,T_BATTINGDATA[[#This Row],[R]],0)</f>
        <v>#REF!</v>
      </c>
      <c r="O40" t="str">
        <f>LEFT(T_BATTINGDATA[[#This Row],[Batsman]],IFERROR(FIND("*",T_BATTINGDATA[[#This Row],[Batsman]])-1,IFERROR(FIND("†",T_BATTINGDATA[[#This Row],[Batsman]])-1,LEN(T_BATTINGDATA[[#This Row],[Batsman]]))))</f>
        <v>Umar Akmal</v>
      </c>
      <c r="P40">
        <f ca="1">IFERROR(IF(MATCH(T_BATTINGDATA[[#This Row],[BATSMAN NAME]],OFFSET(O41,0,0,BATROWS-ROW(O40)-ROW(T_BATTINGDATA[[#Headers],[BATSMAN NAME]])),0)&gt;0,0,SUMIF($O$6:O40,T_BATTINGDATA[[#This Row],[BATSMAN NAME]],$E$6:E40)),SUMIF($O$6:O40,T_BATTINGDATA[[#This Row],[BATSMAN NAME]],$E$6:E40))</f>
        <v>0</v>
      </c>
      <c r="R40">
        <v>14</v>
      </c>
      <c r="S40" t="s">
        <v>154</v>
      </c>
      <c r="T40">
        <v>4</v>
      </c>
      <c r="U40">
        <v>15</v>
      </c>
      <c r="V40">
        <v>1</v>
      </c>
      <c r="W40">
        <v>1</v>
      </c>
      <c r="X40">
        <v>21</v>
      </c>
      <c r="Y40" t="str">
        <f>CONCATENATE(T_EXTRAS[[#This Row],[Match Number]],T_EXTRAS[[#This Row],[Team Batting]])</f>
        <v>14England</v>
      </c>
      <c r="AA40">
        <v>18</v>
      </c>
      <c r="AB40" t="s">
        <v>145</v>
      </c>
      <c r="AC40">
        <v>1</v>
      </c>
      <c r="AD40">
        <v>332</v>
      </c>
      <c r="AE40">
        <v>6.64</v>
      </c>
      <c r="AF40">
        <v>50</v>
      </c>
      <c r="AG40" t="str">
        <f>T_MTOTAL[[#This Row],[Match Number]]&amp;T_MTOTAL[[#This Row],[Team]]</f>
        <v>18Sri Lanka</v>
      </c>
      <c r="AH40">
        <v>1</v>
      </c>
      <c r="AI40" t="str">
        <f>T_MTOTAL[[#This Row],[Match Number]]&amp;" "&amp;T_MTOTAL[[#This Row],[ORDER]]</f>
        <v>18 1</v>
      </c>
      <c r="AJ40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BANGLADESH</v>
      </c>
      <c r="AK4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4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40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40">
        <f>IFERROR(IF(MATCH(T_MTOTAL[[#This Row],[ORDER LINK]],T_DL[link],0)&gt;0,INDEX(T_DL[d/l score],MATCH(T_MTOTAL[[#This Row],[ORDER LINK]],T_DL[link],0)),""),T_MTOTAL[[#This Row],[Total]])</f>
        <v>332</v>
      </c>
      <c r="AP40">
        <v>39</v>
      </c>
      <c r="AQ40" t="s">
        <v>158</v>
      </c>
      <c r="AR40" t="s">
        <v>217</v>
      </c>
      <c r="AS40">
        <v>8</v>
      </c>
      <c r="AT40">
        <v>0</v>
      </c>
      <c r="AU40">
        <v>37</v>
      </c>
      <c r="AV40">
        <v>1</v>
      </c>
      <c r="AW40">
        <v>4.62</v>
      </c>
      <c r="AX40">
        <v>20</v>
      </c>
      <c r="AY40">
        <v>2</v>
      </c>
      <c r="AZ40">
        <v>0</v>
      </c>
      <c r="BA40">
        <v>1</v>
      </c>
      <c r="BC40">
        <v>6</v>
      </c>
      <c r="BD40" t="str">
        <f>CONCATENATE(Table9[[#This Row],[Match Number]],Table9[[#This Row],[Team]],Table9[[#This Row],[BOWL NUM]])</f>
        <v>39Zimbabwe6</v>
      </c>
      <c r="BE40" t="str">
        <f>IFERROR(IF(AND(Table9[[#This Row],[Team]]=I_TEAM,IFERROR(IF(MATCH(Table9[[#This Row],[Bowler]],$AR$5:AR39,0)&gt;0,0),1)),1,0),"")</f>
        <v/>
      </c>
      <c r="BF4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4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40" t="e">
        <f>IF(Table9[[#This Row],[Team]]=I_TEAM,Table9[[#This Row],[Wickets]]*100-Table9[[#This Row],[Runs]],0)</f>
        <v>#REF!</v>
      </c>
      <c r="BI40">
        <f>Table9[[#This Row],[Wickets]]*100-Table9[[#This Row],[Runs]]</f>
        <v>63</v>
      </c>
      <c r="BJ40">
        <f ca="1">IFERROR(IF(MATCH(Table9[[#This Row],[Bowler]],OFFSET(AR41,0,0,BOWLROWS-ROW(AR40)-ROW(Table9[[#Headers],[BOWLER CUML WICKETS]])),0)&gt;0,0,SUMIF($AR$6:AR40,Table9[[#This Row],[Bowler]],$AV$6:AV40)),SUMIF($AR$6:AR40,Table9[[#This Row],[Bowler]],$AV$6:AV40))</f>
        <v>0</v>
      </c>
      <c r="BK40">
        <f ca="1">IFERROR(IF(MATCH(Table9[[#This Row],[Bowler]],OFFSET(AR41,0,0,BOWLROWS-ROW(AR40)-ROW(Table9[[#Headers],[BOWLER CUML WICKETS]])),0)&gt;0,0,SUMIF($AR$6:AR40,Table9[[#This Row],[Bowler]],$AU$6:AU40)),SUMIF($AR$6:AR40,Table9[[#This Row],[Bowler]],$AU$6:AU40))</f>
        <v>0</v>
      </c>
      <c r="BL40">
        <f ca="1">Table9[[#This Row],[BOWLER CUML WICKETS]]*100-Table9[[#This Row],[BOWLER CUML RUNS]]</f>
        <v>0</v>
      </c>
    </row>
    <row r="41" spans="1:64" x14ac:dyDescent="0.3">
      <c r="A41">
        <v>4</v>
      </c>
      <c r="B41" t="s">
        <v>153</v>
      </c>
      <c r="C41" t="s">
        <v>188</v>
      </c>
      <c r="D41" t="s">
        <v>175</v>
      </c>
      <c r="E41">
        <v>22</v>
      </c>
      <c r="F41">
        <v>39</v>
      </c>
      <c r="G41">
        <v>22</v>
      </c>
      <c r="H41">
        <v>1</v>
      </c>
      <c r="I41">
        <v>1</v>
      </c>
      <c r="J41">
        <v>100</v>
      </c>
      <c r="K41">
        <v>7</v>
      </c>
      <c r="L41" t="str">
        <f>CONCATENATE(T_BATTINGDATA[[#This Row],[Match]],T_BATTINGDATA[[#This Row],[Team]],T_BATTINGDATA[[#This Row],[Bat Number]])</f>
        <v>4Pakistan7</v>
      </c>
      <c r="M41" t="str">
        <f>IFERROR(IF(AND(T_BATTINGDATA[[#This Row],[Team]]=I_TEAM,IFERROR(IF(MATCH(T_BATTINGDATA[[#This Row],[BATSMAN NAME]],$O$5:O40,0)&gt;0,0),1)),1,0),"")</f>
        <v/>
      </c>
      <c r="N41" t="e">
        <f>IF(T_BATTINGDATA[[#This Row],[Team]]=I_TEAM,T_BATTINGDATA[[#This Row],[R]],0)</f>
        <v>#REF!</v>
      </c>
      <c r="O41" t="str">
        <f>LEFT(T_BATTINGDATA[[#This Row],[Batsman]],IFERROR(FIND("*",T_BATTINGDATA[[#This Row],[Batsman]])-1,IFERROR(FIND("†",T_BATTINGDATA[[#This Row],[Batsman]])-1,LEN(T_BATTINGDATA[[#This Row],[Batsman]]))))</f>
        <v>Shahid Afridi</v>
      </c>
      <c r="P41">
        <f ca="1">IFERROR(IF(MATCH(T_BATTINGDATA[[#This Row],[BATSMAN NAME]],OFFSET(O42,0,0,BATROWS-ROW(O41)-ROW(T_BATTINGDATA[[#Headers],[BATSMAN NAME]])),0)&gt;0,0,SUMIF($O$6:O41,T_BATTINGDATA[[#This Row],[BATSMAN NAME]],$E$6:E41)),SUMIF($O$6:O41,T_BATTINGDATA[[#This Row],[BATSMAN NAME]],$E$6:E41))</f>
        <v>0</v>
      </c>
      <c r="R41">
        <v>14</v>
      </c>
      <c r="S41" t="s">
        <v>176</v>
      </c>
      <c r="T41">
        <v>5</v>
      </c>
      <c r="U41">
        <v>2</v>
      </c>
      <c r="V41">
        <v>0</v>
      </c>
      <c r="W41">
        <v>0</v>
      </c>
      <c r="X41">
        <v>7</v>
      </c>
      <c r="Y41" t="str">
        <f>CONCATENATE(T_EXTRAS[[#This Row],[Match Number]],T_EXTRAS[[#This Row],[Team Batting]])</f>
        <v>14Scotland</v>
      </c>
      <c r="AA41">
        <v>18</v>
      </c>
      <c r="AB41" t="s">
        <v>181</v>
      </c>
      <c r="AC41">
        <v>10</v>
      </c>
      <c r="AD41">
        <v>240</v>
      </c>
      <c r="AE41">
        <v>5.0999999999999996</v>
      </c>
      <c r="AF41">
        <v>47</v>
      </c>
      <c r="AG41" t="str">
        <f>T_MTOTAL[[#This Row],[Match Number]]&amp;T_MTOTAL[[#This Row],[Team]]</f>
        <v>18Bangladesh</v>
      </c>
      <c r="AH41">
        <v>2</v>
      </c>
      <c r="AI41" t="str">
        <f>T_MTOTAL[[#This Row],[Match Number]]&amp;" "&amp;T_MTOTAL[[#This Row],[ORDER]]</f>
        <v>18 2</v>
      </c>
      <c r="AJ41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SRI LANKA</v>
      </c>
      <c r="AK4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4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41">
        <f>(LEFT(T_MTOTAL[[#This Row],[Overs]],IFERROR(FIND(".",T_MTOTAL[[#This Row],[Overs]])-1,LEN(T_MTOTAL[[#This Row],[Overs]])))*6) + IFERROR(IF(FIND(".",T_MTOTAL[[#This Row],[Overs]])+1&gt;0,RIGHT(T_MTOTAL[[#This Row],[Overs]],1),0),0)</f>
        <v>282</v>
      </c>
      <c r="AN41">
        <f>IFERROR(IF(MATCH(T_MTOTAL[[#This Row],[ORDER LINK]],T_DL[link],0)&gt;0,INDEX(T_DL[d/l score],MATCH(T_MTOTAL[[#This Row],[ORDER LINK]],T_DL[link],0)),""),T_MTOTAL[[#This Row],[Total]])</f>
        <v>240</v>
      </c>
      <c r="AP41">
        <v>39</v>
      </c>
      <c r="AQ41" t="s">
        <v>158</v>
      </c>
      <c r="AR41" t="s">
        <v>218</v>
      </c>
      <c r="AS41">
        <v>2</v>
      </c>
      <c r="AT41">
        <v>0</v>
      </c>
      <c r="AU41">
        <v>15</v>
      </c>
      <c r="AV41">
        <v>0</v>
      </c>
      <c r="AW41">
        <v>7.5</v>
      </c>
      <c r="AX41">
        <v>6</v>
      </c>
      <c r="AY41">
        <v>1</v>
      </c>
      <c r="AZ41">
        <v>1</v>
      </c>
      <c r="BA41">
        <v>1</v>
      </c>
      <c r="BC41">
        <v>7</v>
      </c>
      <c r="BD41" t="str">
        <f>CONCATENATE(Table9[[#This Row],[Match Number]],Table9[[#This Row],[Team]],Table9[[#This Row],[BOWL NUM]])</f>
        <v>39Zimbabwe7</v>
      </c>
      <c r="BE41" t="str">
        <f>IFERROR(IF(AND(Table9[[#This Row],[Team]]=I_TEAM,IFERROR(IF(MATCH(Table9[[#This Row],[Bowler]],$AR$5:AR40,0)&gt;0,0),1)),1,0),"")</f>
        <v/>
      </c>
      <c r="BF41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4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41" t="e">
        <f>IF(Table9[[#This Row],[Team]]=I_TEAM,Table9[[#This Row],[Wickets]]*100-Table9[[#This Row],[Runs]],0)</f>
        <v>#REF!</v>
      </c>
      <c r="BI41">
        <f>Table9[[#This Row],[Wickets]]*100-Table9[[#This Row],[Runs]]</f>
        <v>-15</v>
      </c>
      <c r="BJ41">
        <f ca="1">IFERROR(IF(MATCH(Table9[[#This Row],[Bowler]],OFFSET(AR42,0,0,BOWLROWS-ROW(AR41)-ROW(Table9[[#Headers],[BOWLER CUML WICKETS]])),0)&gt;0,0,SUMIF($AR$6:AR41,Table9[[#This Row],[Bowler]],$AV$6:AV41)),SUMIF($AR$6:AR41,Table9[[#This Row],[Bowler]],$AV$6:AV41))</f>
        <v>0</v>
      </c>
      <c r="BK41">
        <f ca="1">IFERROR(IF(MATCH(Table9[[#This Row],[Bowler]],OFFSET(AR42,0,0,BOWLROWS-ROW(AR41)-ROW(Table9[[#Headers],[BOWLER CUML WICKETS]])),0)&gt;0,0,SUMIF($AR$6:AR41,Table9[[#This Row],[Bowler]],$AU$6:AU41)),SUMIF($AR$6:AR41,Table9[[#This Row],[Bowler]],$AU$6:AU41))</f>
        <v>0</v>
      </c>
      <c r="BL41">
        <f ca="1">Table9[[#This Row],[BOWLER CUML WICKETS]]*100-Table9[[#This Row],[BOWLER CUML RUNS]]</f>
        <v>0</v>
      </c>
    </row>
    <row r="42" spans="1:64" x14ac:dyDescent="0.3">
      <c r="A42">
        <v>4</v>
      </c>
      <c r="B42" t="s">
        <v>153</v>
      </c>
      <c r="C42" t="s">
        <v>189</v>
      </c>
      <c r="D42" t="s">
        <v>206</v>
      </c>
      <c r="E42">
        <v>4</v>
      </c>
      <c r="F42">
        <v>2</v>
      </c>
      <c r="G42">
        <v>2</v>
      </c>
      <c r="H42">
        <v>1</v>
      </c>
      <c r="I42">
        <v>0</v>
      </c>
      <c r="J42">
        <v>200</v>
      </c>
      <c r="K42">
        <v>8</v>
      </c>
      <c r="L42" t="str">
        <f>CONCATENATE(T_BATTINGDATA[[#This Row],[Match]],T_BATTINGDATA[[#This Row],[Team]],T_BATTINGDATA[[#This Row],[Bat Number]])</f>
        <v>4Pakistan8</v>
      </c>
      <c r="M42" t="str">
        <f>IFERROR(IF(AND(T_BATTINGDATA[[#This Row],[Team]]=I_TEAM,IFERROR(IF(MATCH(T_BATTINGDATA[[#This Row],[BATSMAN NAME]],$O$5:O41,0)&gt;0,0),1)),1,0),"")</f>
        <v/>
      </c>
      <c r="N42" t="e">
        <f>IF(T_BATTINGDATA[[#This Row],[Team]]=I_TEAM,T_BATTINGDATA[[#This Row],[R]],0)</f>
        <v>#REF!</v>
      </c>
      <c r="O42" t="str">
        <f>LEFT(T_BATTINGDATA[[#This Row],[Batsman]],IFERROR(FIND("*",T_BATTINGDATA[[#This Row],[Batsman]])-1,IFERROR(FIND("†",T_BATTINGDATA[[#This Row],[Batsman]])-1,LEN(T_BATTINGDATA[[#This Row],[Batsman]]))))</f>
        <v>Wahab Riaz</v>
      </c>
      <c r="P42">
        <f ca="1">IFERROR(IF(MATCH(T_BATTINGDATA[[#This Row],[BATSMAN NAME]],OFFSET(O43,0,0,BATROWS-ROW(O42)-ROW(T_BATTINGDATA[[#Headers],[BATSMAN NAME]])),0)&gt;0,0,SUMIF($O$6:O42,T_BATTINGDATA[[#This Row],[BATSMAN NAME]],$E$6:E42)),SUMIF($O$6:O42,T_BATTINGDATA[[#This Row],[BATSMAN NAME]],$E$6:E42))</f>
        <v>0</v>
      </c>
      <c r="R42">
        <v>15</v>
      </c>
      <c r="S42" t="s">
        <v>170</v>
      </c>
      <c r="T42">
        <v>2</v>
      </c>
      <c r="U42">
        <v>16</v>
      </c>
      <c r="V42">
        <v>5</v>
      </c>
      <c r="W42">
        <v>1</v>
      </c>
      <c r="X42">
        <v>24</v>
      </c>
      <c r="Y42" t="str">
        <f>CONCATENATE(T_EXTRAS[[#This Row],[Match Number]],T_EXTRAS[[#This Row],[Team Batting]])</f>
        <v>15West Indies</v>
      </c>
      <c r="AA42">
        <v>19</v>
      </c>
      <c r="AB42" t="s">
        <v>141</v>
      </c>
      <c r="AC42">
        <v>5</v>
      </c>
      <c r="AD42">
        <v>408</v>
      </c>
      <c r="AE42">
        <v>8.16</v>
      </c>
      <c r="AF42">
        <v>50</v>
      </c>
      <c r="AG42" t="str">
        <f>T_MTOTAL[[#This Row],[Match Number]]&amp;T_MTOTAL[[#This Row],[Team]]</f>
        <v>19South Africa</v>
      </c>
      <c r="AH42">
        <v>1</v>
      </c>
      <c r="AI42" t="str">
        <f>T_MTOTAL[[#This Row],[Match Number]]&amp;" "&amp;T_MTOTAL[[#This Row],[ORDER]]</f>
        <v>19 1</v>
      </c>
      <c r="AJ42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WEST INDIES</v>
      </c>
      <c r="AK4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4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42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42">
        <f>IFERROR(IF(MATCH(T_MTOTAL[[#This Row],[ORDER LINK]],T_DL[link],0)&gt;0,INDEX(T_DL[d/l score],MATCH(T_MTOTAL[[#This Row],[ORDER LINK]],T_DL[link],0)),""),T_MTOTAL[[#This Row],[Total]])</f>
        <v>408</v>
      </c>
      <c r="AP42">
        <v>21</v>
      </c>
      <c r="AQ42" t="s">
        <v>137</v>
      </c>
      <c r="AR42" t="s">
        <v>219</v>
      </c>
      <c r="AS42">
        <v>5</v>
      </c>
      <c r="AT42">
        <v>0</v>
      </c>
      <c r="AU42">
        <v>19</v>
      </c>
      <c r="AV42">
        <v>1</v>
      </c>
      <c r="AW42">
        <v>3.8</v>
      </c>
      <c r="AX42">
        <v>21</v>
      </c>
      <c r="AY42">
        <v>2</v>
      </c>
      <c r="AZ42">
        <v>0</v>
      </c>
      <c r="BA42">
        <v>2</v>
      </c>
      <c r="BC42">
        <v>1</v>
      </c>
      <c r="BD42" t="str">
        <f>CONCATENATE(Table9[[#This Row],[Match Number]],Table9[[#This Row],[Team]],Table9[[#This Row],[BOWL NUM]])</f>
        <v>21India1</v>
      </c>
      <c r="BE42" t="str">
        <f>IFERROR(IF(AND(Table9[[#This Row],[Team]]=I_TEAM,IFERROR(IF(MATCH(Table9[[#This Row],[Bowler]],$AR$5:AR41,0)&gt;0,0),1)),1,0),"")</f>
        <v/>
      </c>
      <c r="BF42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2" t="e">
        <f>IF(Table9[[#This Row],[Team]]=I_TEAM,Table9[[#This Row],[Wickets]]*100-Table9[[#This Row],[Runs]],0)</f>
        <v>#REF!</v>
      </c>
      <c r="BI42">
        <f>Table9[[#This Row],[Wickets]]*100-Table9[[#This Row],[Runs]]</f>
        <v>81</v>
      </c>
      <c r="BJ42">
        <f ca="1">IFERROR(IF(MATCH(Table9[[#This Row],[Bowler]],OFFSET(AR43,0,0,BOWLROWS-ROW(AR42)-ROW(Table9[[#Headers],[BOWLER CUML WICKETS]])),0)&gt;0,0,SUMIF($AR$6:AR42,Table9[[#This Row],[Bowler]],$AV$6:AV42)),SUMIF($AR$6:AR42,Table9[[#This Row],[Bowler]],$AV$6:AV42))</f>
        <v>1</v>
      </c>
      <c r="BK42">
        <f ca="1">IFERROR(IF(MATCH(Table9[[#This Row],[Bowler]],OFFSET(AR43,0,0,BOWLROWS-ROW(AR42)-ROW(Table9[[#Headers],[BOWLER CUML WICKETS]])),0)&gt;0,0,SUMIF($AR$6:AR42,Table9[[#This Row],[Bowler]],$AU$6:AU42)),SUMIF($AR$6:AR42,Table9[[#This Row],[Bowler]],$AU$6:AU42))</f>
        <v>19</v>
      </c>
      <c r="BL42">
        <f ca="1">Table9[[#This Row],[BOWLER CUML WICKETS]]*100-Table9[[#This Row],[BOWLER CUML RUNS]]</f>
        <v>81</v>
      </c>
    </row>
    <row r="43" spans="1:64" x14ac:dyDescent="0.3">
      <c r="A43">
        <v>4</v>
      </c>
      <c r="B43" t="s">
        <v>153</v>
      </c>
      <c r="C43" t="s">
        <v>191</v>
      </c>
      <c r="D43" t="s">
        <v>220</v>
      </c>
      <c r="E43">
        <v>13</v>
      </c>
      <c r="F43">
        <v>32</v>
      </c>
      <c r="G43">
        <v>23</v>
      </c>
      <c r="H43">
        <v>1</v>
      </c>
      <c r="I43">
        <v>0</v>
      </c>
      <c r="J43">
        <v>56.52</v>
      </c>
      <c r="K43">
        <v>9</v>
      </c>
      <c r="L43" t="str">
        <f>CONCATENATE(T_BATTINGDATA[[#This Row],[Match]],T_BATTINGDATA[[#This Row],[Team]],T_BATTINGDATA[[#This Row],[Bat Number]])</f>
        <v>4Pakistan9</v>
      </c>
      <c r="M43" t="str">
        <f>IFERROR(IF(AND(T_BATTINGDATA[[#This Row],[Team]]=I_TEAM,IFERROR(IF(MATCH(T_BATTINGDATA[[#This Row],[BATSMAN NAME]],$O$5:O42,0)&gt;0,0),1)),1,0),"")</f>
        <v/>
      </c>
      <c r="N43" t="e">
        <f>IF(T_BATTINGDATA[[#This Row],[Team]]=I_TEAM,T_BATTINGDATA[[#This Row],[R]],0)</f>
        <v>#REF!</v>
      </c>
      <c r="O43" t="str">
        <f>LEFT(T_BATTINGDATA[[#This Row],[Batsman]],IFERROR(FIND("*",T_BATTINGDATA[[#This Row],[Batsman]])-1,IFERROR(FIND("†",T_BATTINGDATA[[#This Row],[Batsman]])-1,LEN(T_BATTINGDATA[[#This Row],[Batsman]]))))</f>
        <v>Yasir Shah</v>
      </c>
      <c r="P43">
        <f ca="1">IFERROR(IF(MATCH(T_BATTINGDATA[[#This Row],[BATSMAN NAME]],OFFSET(O44,0,0,BATROWS-ROW(O43)-ROW(T_BATTINGDATA[[#Headers],[BATSMAN NAME]])),0)&gt;0,0,SUMIF($O$6:O43,T_BATTINGDATA[[#This Row],[BATSMAN NAME]],$E$6:E43)),SUMIF($O$6:O43,T_BATTINGDATA[[#This Row],[BATSMAN NAME]],$E$6:E43))</f>
        <v>13</v>
      </c>
      <c r="R43">
        <v>15</v>
      </c>
      <c r="S43" t="s">
        <v>158</v>
      </c>
      <c r="T43">
        <v>9</v>
      </c>
      <c r="U43">
        <v>14</v>
      </c>
      <c r="V43">
        <v>2</v>
      </c>
      <c r="W43">
        <v>0</v>
      </c>
      <c r="X43">
        <v>25</v>
      </c>
      <c r="Y43" t="str">
        <f>CONCATENATE(T_EXTRAS[[#This Row],[Match Number]],T_EXTRAS[[#This Row],[Team Batting]])</f>
        <v>15Zimbabwe</v>
      </c>
      <c r="AA43">
        <v>19</v>
      </c>
      <c r="AB43" t="s">
        <v>170</v>
      </c>
      <c r="AC43">
        <v>10</v>
      </c>
      <c r="AD43">
        <v>151</v>
      </c>
      <c r="AE43">
        <v>4.55</v>
      </c>
      <c r="AF43">
        <v>33.1</v>
      </c>
      <c r="AG43" t="str">
        <f>T_MTOTAL[[#This Row],[Match Number]]&amp;T_MTOTAL[[#This Row],[Team]]</f>
        <v>19West Indies</v>
      </c>
      <c r="AH43">
        <v>2</v>
      </c>
      <c r="AI43" t="str">
        <f>T_MTOTAL[[#This Row],[Match Number]]&amp;" "&amp;T_MTOTAL[[#This Row],[ORDER]]</f>
        <v>19 2</v>
      </c>
      <c r="AJ43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SOUTH AFRICA</v>
      </c>
      <c r="AK4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4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43">
        <f>(LEFT(T_MTOTAL[[#This Row],[Overs]],IFERROR(FIND(".",T_MTOTAL[[#This Row],[Overs]])-1,LEN(T_MTOTAL[[#This Row],[Overs]])))*6) + IFERROR(IF(FIND(".",T_MTOTAL[[#This Row],[Overs]])+1&gt;0,RIGHT(T_MTOTAL[[#This Row],[Overs]],1),0),0)</f>
        <v>199</v>
      </c>
      <c r="AN43">
        <f>IFERROR(IF(MATCH(T_MTOTAL[[#This Row],[ORDER LINK]],T_DL[link],0)&gt;0,INDEX(T_DL[d/l score],MATCH(T_MTOTAL[[#This Row],[ORDER LINK]],T_DL[link],0)),""),T_MTOTAL[[#This Row],[Total]])</f>
        <v>151</v>
      </c>
      <c r="AP43">
        <v>21</v>
      </c>
      <c r="AQ43" t="s">
        <v>137</v>
      </c>
      <c r="AR43" t="s">
        <v>165</v>
      </c>
      <c r="AS43">
        <v>6.3</v>
      </c>
      <c r="AT43">
        <v>2</v>
      </c>
      <c r="AU43">
        <v>15</v>
      </c>
      <c r="AV43">
        <v>2</v>
      </c>
      <c r="AW43">
        <v>2.2999999999999998</v>
      </c>
      <c r="AX43">
        <v>33</v>
      </c>
      <c r="AY43">
        <v>2</v>
      </c>
      <c r="AZ43">
        <v>0</v>
      </c>
      <c r="BA43">
        <v>3</v>
      </c>
      <c r="BC43">
        <v>2</v>
      </c>
      <c r="BD43" t="str">
        <f>CONCATENATE(Table9[[#This Row],[Match Number]],Table9[[#This Row],[Team]],Table9[[#This Row],[BOWL NUM]])</f>
        <v>21India2</v>
      </c>
      <c r="BE43" t="str">
        <f>IFERROR(IF(AND(Table9[[#This Row],[Team]]=I_TEAM,IFERROR(IF(MATCH(Table9[[#This Row],[Bowler]],$AR$5:AR42,0)&gt;0,0),1)),1,0),"")</f>
        <v/>
      </c>
      <c r="BF43">
        <f>(LEFT(Table9[[#This Row],[Overs]],IFERROR(FIND(".",Table9[[#This Row],[Overs]])-1,LEN(Table9[[#This Row],[Overs]])))*6) + IFERROR(IF(FIND(".",Table9[[#This Row],[Overs]])+1&gt;0,RIGHT(Table9[[#This Row],[Overs]],1),0),0)</f>
        <v>39</v>
      </c>
      <c r="BG4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3" t="e">
        <f>IF(Table9[[#This Row],[Team]]=I_TEAM,Table9[[#This Row],[Wickets]]*100-Table9[[#This Row],[Runs]],0)</f>
        <v>#REF!</v>
      </c>
      <c r="BI43">
        <f>Table9[[#This Row],[Wickets]]*100-Table9[[#This Row],[Runs]]</f>
        <v>185</v>
      </c>
      <c r="BJ43">
        <f ca="1">IFERROR(IF(MATCH(Table9[[#This Row],[Bowler]],OFFSET(AR44,0,0,BOWLROWS-ROW(AR43)-ROW(Table9[[#Headers],[BOWLER CUML WICKETS]])),0)&gt;0,0,SUMIF($AR$6:AR43,Table9[[#This Row],[Bowler]],$AV$6:AV43)),SUMIF($AR$6:AR43,Table9[[#This Row],[Bowler]],$AV$6:AV43))</f>
        <v>0</v>
      </c>
      <c r="BK43">
        <f ca="1">IFERROR(IF(MATCH(Table9[[#This Row],[Bowler]],OFFSET(AR44,0,0,BOWLROWS-ROW(AR43)-ROW(Table9[[#Headers],[BOWLER CUML WICKETS]])),0)&gt;0,0,SUMIF($AR$6:AR43,Table9[[#This Row],[Bowler]],$AU$6:AU43)),SUMIF($AR$6:AR43,Table9[[#This Row],[Bowler]],$AU$6:AU43))</f>
        <v>0</v>
      </c>
      <c r="BL43">
        <f ca="1">Table9[[#This Row],[BOWLER CUML WICKETS]]*100-Table9[[#This Row],[BOWLER CUML RUNS]]</f>
        <v>0</v>
      </c>
    </row>
    <row r="44" spans="1:64" x14ac:dyDescent="0.3">
      <c r="A44">
        <v>4</v>
      </c>
      <c r="B44" t="s">
        <v>153</v>
      </c>
      <c r="C44" t="s">
        <v>186</v>
      </c>
      <c r="D44" t="s">
        <v>220</v>
      </c>
      <c r="E44">
        <v>7</v>
      </c>
      <c r="F44">
        <v>21</v>
      </c>
      <c r="G44">
        <v>10</v>
      </c>
      <c r="H44">
        <v>1</v>
      </c>
      <c r="I44">
        <v>0</v>
      </c>
      <c r="J44">
        <v>70</v>
      </c>
      <c r="K44">
        <v>10</v>
      </c>
      <c r="L44" t="str">
        <f>CONCATENATE(T_BATTINGDATA[[#This Row],[Match]],T_BATTINGDATA[[#This Row],[Team]],T_BATTINGDATA[[#This Row],[Bat Number]])</f>
        <v>4Pakistan10</v>
      </c>
      <c r="M44" t="str">
        <f>IFERROR(IF(AND(T_BATTINGDATA[[#This Row],[Team]]=I_TEAM,IFERROR(IF(MATCH(T_BATTINGDATA[[#This Row],[BATSMAN NAME]],$O$5:O43,0)&gt;0,0),1)),1,0),"")</f>
        <v/>
      </c>
      <c r="N44" t="e">
        <f>IF(T_BATTINGDATA[[#This Row],[Team]]=I_TEAM,T_BATTINGDATA[[#This Row],[R]],0)</f>
        <v>#REF!</v>
      </c>
      <c r="O44" t="str">
        <f>LEFT(T_BATTINGDATA[[#This Row],[Batsman]],IFERROR(FIND("*",T_BATTINGDATA[[#This Row],[Batsman]])-1,IFERROR(FIND("†",T_BATTINGDATA[[#This Row],[Batsman]])-1,LEN(T_BATTINGDATA[[#This Row],[Batsman]]))))</f>
        <v>Sohail Khan</v>
      </c>
      <c r="P44">
        <f ca="1">IFERROR(IF(MATCH(T_BATTINGDATA[[#This Row],[BATSMAN NAME]],OFFSET(O45,0,0,BATROWS-ROW(O44)-ROW(T_BATTINGDATA[[#Headers],[BATSMAN NAME]])),0)&gt;0,0,SUMIF($O$6:O44,T_BATTINGDATA[[#This Row],[BATSMAN NAME]],$E$6:E44)),SUMIF($O$6:O44,T_BATTINGDATA[[#This Row],[BATSMAN NAME]],$E$6:E44))</f>
        <v>0</v>
      </c>
      <c r="R44">
        <v>43</v>
      </c>
      <c r="S44" t="s">
        <v>145</v>
      </c>
      <c r="T44">
        <v>2</v>
      </c>
      <c r="U44">
        <v>7</v>
      </c>
      <c r="V44">
        <v>2</v>
      </c>
      <c r="W44">
        <v>4</v>
      </c>
      <c r="X44">
        <v>15</v>
      </c>
      <c r="Y44" t="str">
        <f>CONCATENATE(T_EXTRAS[[#This Row],[Match Number]],T_EXTRAS[[#This Row],[Team Batting]])</f>
        <v>43Sri Lanka</v>
      </c>
      <c r="AA44">
        <v>20</v>
      </c>
      <c r="AB44" t="s">
        <v>149</v>
      </c>
      <c r="AC44">
        <v>10</v>
      </c>
      <c r="AD44">
        <v>151</v>
      </c>
      <c r="AE44">
        <v>4.67</v>
      </c>
      <c r="AF44">
        <v>32.200000000000003</v>
      </c>
      <c r="AG44" t="str">
        <f>T_MTOTAL[[#This Row],[Match Number]]&amp;T_MTOTAL[[#This Row],[Team]]</f>
        <v>20Australia</v>
      </c>
      <c r="AH44">
        <v>1</v>
      </c>
      <c r="AI44" t="str">
        <f>T_MTOTAL[[#This Row],[Match Number]]&amp;" "&amp;T_MTOTAL[[#This Row],[ORDER]]</f>
        <v>20 1</v>
      </c>
      <c r="AJ44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NEW ZEALAND</v>
      </c>
      <c r="AK4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4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44">
        <f>(LEFT(T_MTOTAL[[#This Row],[Overs]],IFERROR(FIND(".",T_MTOTAL[[#This Row],[Overs]])-1,LEN(T_MTOTAL[[#This Row],[Overs]])))*6) + IFERROR(IF(FIND(".",T_MTOTAL[[#This Row],[Overs]])+1&gt;0,RIGHT(T_MTOTAL[[#This Row],[Overs]],1),0),0)</f>
        <v>194</v>
      </c>
      <c r="AN44">
        <f>IFERROR(IF(MATCH(T_MTOTAL[[#This Row],[ORDER LINK]],T_DL[link],0)&gt;0,INDEX(T_DL[d/l score],MATCH(T_MTOTAL[[#This Row],[ORDER LINK]],T_DL[link],0)),""),T_MTOTAL[[#This Row],[Total]])</f>
        <v>151</v>
      </c>
      <c r="AP44">
        <v>21</v>
      </c>
      <c r="AQ44" t="s">
        <v>137</v>
      </c>
      <c r="AR44" t="s">
        <v>166</v>
      </c>
      <c r="AS44">
        <v>10</v>
      </c>
      <c r="AT44">
        <v>1</v>
      </c>
      <c r="AU44">
        <v>25</v>
      </c>
      <c r="AV44">
        <v>4</v>
      </c>
      <c r="AW44">
        <v>2.5</v>
      </c>
      <c r="AX44">
        <v>44</v>
      </c>
      <c r="AY44">
        <v>1</v>
      </c>
      <c r="AZ44">
        <v>0</v>
      </c>
      <c r="BA44">
        <v>1</v>
      </c>
      <c r="BC44">
        <v>3</v>
      </c>
      <c r="BD44" t="str">
        <f>CONCATENATE(Table9[[#This Row],[Match Number]],Table9[[#This Row],[Team]],Table9[[#This Row],[BOWL NUM]])</f>
        <v>21India3</v>
      </c>
      <c r="BE44" t="str">
        <f>IFERROR(IF(AND(Table9[[#This Row],[Team]]=I_TEAM,IFERROR(IF(MATCH(Table9[[#This Row],[Bowler]],$AR$5:AR43,0)&gt;0,0),1)),1,0),"")</f>
        <v/>
      </c>
      <c r="BF4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4" t="e">
        <f>IF(Table9[[#This Row],[Team]]=I_TEAM,Table9[[#This Row],[Wickets]]*100-Table9[[#This Row],[Runs]],0)</f>
        <v>#REF!</v>
      </c>
      <c r="BI44">
        <f>Table9[[#This Row],[Wickets]]*100-Table9[[#This Row],[Runs]]</f>
        <v>375</v>
      </c>
      <c r="BJ44">
        <f ca="1">IFERROR(IF(MATCH(Table9[[#This Row],[Bowler]],OFFSET(AR45,0,0,BOWLROWS-ROW(AR44)-ROW(Table9[[#Headers],[BOWLER CUML WICKETS]])),0)&gt;0,0,SUMIF($AR$6:AR44,Table9[[#This Row],[Bowler]],$AV$6:AV44)),SUMIF($AR$6:AR44,Table9[[#This Row],[Bowler]],$AV$6:AV44))</f>
        <v>0</v>
      </c>
      <c r="BK44">
        <f ca="1">IFERROR(IF(MATCH(Table9[[#This Row],[Bowler]],OFFSET(AR45,0,0,BOWLROWS-ROW(AR44)-ROW(Table9[[#Headers],[BOWLER CUML WICKETS]])),0)&gt;0,0,SUMIF($AR$6:AR44,Table9[[#This Row],[Bowler]],$AU$6:AU44)),SUMIF($AR$6:AR44,Table9[[#This Row],[Bowler]],$AU$6:AU44))</f>
        <v>0</v>
      </c>
      <c r="BL44">
        <f ca="1">Table9[[#This Row],[BOWLER CUML WICKETS]]*100-Table9[[#This Row],[BOWLER CUML RUNS]]</f>
        <v>0</v>
      </c>
    </row>
    <row r="45" spans="1:64" x14ac:dyDescent="0.3">
      <c r="A45">
        <v>4</v>
      </c>
      <c r="B45" t="s">
        <v>153</v>
      </c>
      <c r="C45" t="s">
        <v>182</v>
      </c>
      <c r="D45" t="s">
        <v>167</v>
      </c>
      <c r="E45">
        <v>1</v>
      </c>
      <c r="F45">
        <v>6</v>
      </c>
      <c r="G45">
        <v>5</v>
      </c>
      <c r="H45">
        <v>0</v>
      </c>
      <c r="I45">
        <v>0</v>
      </c>
      <c r="J45">
        <v>20</v>
      </c>
      <c r="K45">
        <v>11</v>
      </c>
      <c r="L45" t="str">
        <f>CONCATENATE(T_BATTINGDATA[[#This Row],[Match]],T_BATTINGDATA[[#This Row],[Team]],T_BATTINGDATA[[#This Row],[Bat Number]])</f>
        <v>4Pakistan11</v>
      </c>
      <c r="M45" t="str">
        <f>IFERROR(IF(AND(T_BATTINGDATA[[#This Row],[Team]]=I_TEAM,IFERROR(IF(MATCH(T_BATTINGDATA[[#This Row],[BATSMAN NAME]],$O$5:O44,0)&gt;0,0),1)),1,0),"")</f>
        <v/>
      </c>
      <c r="N45" t="e">
        <f>IF(T_BATTINGDATA[[#This Row],[Team]]=I_TEAM,T_BATTINGDATA[[#This Row],[R]],0)</f>
        <v>#REF!</v>
      </c>
      <c r="O45" t="str">
        <f>LEFT(T_BATTINGDATA[[#This Row],[Batsman]],IFERROR(FIND("*",T_BATTINGDATA[[#This Row],[Batsman]])-1,IFERROR(FIND("†",T_BATTINGDATA[[#This Row],[Batsman]])-1,LEN(T_BATTINGDATA[[#This Row],[Batsman]]))))</f>
        <v>Mohammad Irfan</v>
      </c>
      <c r="P45">
        <f ca="1">IFERROR(IF(MATCH(T_BATTINGDATA[[#This Row],[BATSMAN NAME]],OFFSET(O46,0,0,BATROWS-ROW(O45)-ROW(T_BATTINGDATA[[#Headers],[BATSMAN NAME]])),0)&gt;0,0,SUMIF($O$6:O45,T_BATTINGDATA[[#This Row],[BATSMAN NAME]],$E$6:E45)),SUMIF($O$6:O45,T_BATTINGDATA[[#This Row],[BATSMAN NAME]],$E$6:E45))</f>
        <v>0</v>
      </c>
      <c r="R45">
        <v>43</v>
      </c>
      <c r="S45" t="s">
        <v>141</v>
      </c>
      <c r="T45">
        <v>4</v>
      </c>
      <c r="U45">
        <v>12</v>
      </c>
      <c r="V45">
        <v>3</v>
      </c>
      <c r="W45">
        <v>0</v>
      </c>
      <c r="X45">
        <v>19</v>
      </c>
      <c r="Y45" t="str">
        <f>CONCATENATE(T_EXTRAS[[#This Row],[Match Number]],T_EXTRAS[[#This Row],[Team Batting]])</f>
        <v>43South Africa</v>
      </c>
      <c r="AA45">
        <v>20</v>
      </c>
      <c r="AB45" t="s">
        <v>140</v>
      </c>
      <c r="AC45">
        <v>9</v>
      </c>
      <c r="AD45">
        <v>152</v>
      </c>
      <c r="AE45">
        <v>6.56</v>
      </c>
      <c r="AF45">
        <v>23.1</v>
      </c>
      <c r="AG45" t="str">
        <f>T_MTOTAL[[#This Row],[Match Number]]&amp;T_MTOTAL[[#This Row],[Team]]</f>
        <v>20New Zealand</v>
      </c>
      <c r="AH45">
        <v>2</v>
      </c>
      <c r="AI45" t="str">
        <f>T_MTOTAL[[#This Row],[Match Number]]&amp;" "&amp;T_MTOTAL[[#This Row],[ORDER]]</f>
        <v>20 2</v>
      </c>
      <c r="AJ45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AUSTRALIA</v>
      </c>
      <c r="AK4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23.1</v>
      </c>
      <c r="AL4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139</v>
      </c>
      <c r="AM45">
        <f>(LEFT(T_MTOTAL[[#This Row],[Overs]],IFERROR(FIND(".",T_MTOTAL[[#This Row],[Overs]])-1,LEN(T_MTOTAL[[#This Row],[Overs]])))*6) + IFERROR(IF(FIND(".",T_MTOTAL[[#This Row],[Overs]])+1&gt;0,RIGHT(T_MTOTAL[[#This Row],[Overs]],1),0),0)</f>
        <v>139</v>
      </c>
      <c r="AN45">
        <f>IFERROR(IF(MATCH(T_MTOTAL[[#This Row],[ORDER LINK]],T_DL[link],0)&gt;0,INDEX(T_DL[d/l score],MATCH(T_MTOTAL[[#This Row],[ORDER LINK]],T_DL[link],0)),""),T_MTOTAL[[#This Row],[Total]])</f>
        <v>152</v>
      </c>
      <c r="AP45">
        <v>21</v>
      </c>
      <c r="AQ45" t="s">
        <v>137</v>
      </c>
      <c r="AR45" t="s">
        <v>171</v>
      </c>
      <c r="AS45">
        <v>5</v>
      </c>
      <c r="AT45">
        <v>1</v>
      </c>
      <c r="AU45">
        <v>16</v>
      </c>
      <c r="AV45">
        <v>1</v>
      </c>
      <c r="AW45">
        <v>3.2</v>
      </c>
      <c r="AX45">
        <v>23</v>
      </c>
      <c r="AY45">
        <v>2</v>
      </c>
      <c r="AZ45">
        <v>0</v>
      </c>
      <c r="BA45">
        <v>2</v>
      </c>
      <c r="BC45">
        <v>4</v>
      </c>
      <c r="BD45" t="str">
        <f>CONCATENATE(Table9[[#This Row],[Match Number]],Table9[[#This Row],[Team]],Table9[[#This Row],[BOWL NUM]])</f>
        <v>21India4</v>
      </c>
      <c r="BE45" t="str">
        <f>IFERROR(IF(AND(Table9[[#This Row],[Team]]=I_TEAM,IFERROR(IF(MATCH(Table9[[#This Row],[Bowler]],$AR$5:AR44,0)&gt;0,0),1)),1,0),"")</f>
        <v/>
      </c>
      <c r="BF45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5" t="e">
        <f>IF(Table9[[#This Row],[Team]]=I_TEAM,Table9[[#This Row],[Wickets]]*100-Table9[[#This Row],[Runs]],0)</f>
        <v>#REF!</v>
      </c>
      <c r="BI45">
        <f>Table9[[#This Row],[Wickets]]*100-Table9[[#This Row],[Runs]]</f>
        <v>84</v>
      </c>
      <c r="BJ45">
        <f ca="1">IFERROR(IF(MATCH(Table9[[#This Row],[Bowler]],OFFSET(AR46,0,0,BOWLROWS-ROW(AR45)-ROW(Table9[[#Headers],[BOWLER CUML WICKETS]])),0)&gt;0,0,SUMIF($AR$6:AR45,Table9[[#This Row],[Bowler]],$AV$6:AV45)),SUMIF($AR$6:AR45,Table9[[#This Row],[Bowler]],$AV$6:AV45))</f>
        <v>0</v>
      </c>
      <c r="BK45">
        <f ca="1">IFERROR(IF(MATCH(Table9[[#This Row],[Bowler]],OFFSET(AR46,0,0,BOWLROWS-ROW(AR45)-ROW(Table9[[#Headers],[BOWLER CUML WICKETS]])),0)&gt;0,0,SUMIF($AR$6:AR45,Table9[[#This Row],[Bowler]],$AU$6:AU45)),SUMIF($AR$6:AR45,Table9[[#This Row],[Bowler]],$AU$6:AU45))</f>
        <v>0</v>
      </c>
      <c r="BL45">
        <f ca="1">Table9[[#This Row],[BOWLER CUML WICKETS]]*100-Table9[[#This Row],[BOWLER CUML RUNS]]</f>
        <v>0</v>
      </c>
    </row>
    <row r="46" spans="1:64" x14ac:dyDescent="0.3">
      <c r="A46">
        <v>39</v>
      </c>
      <c r="B46" t="s">
        <v>158</v>
      </c>
      <c r="C46" t="s">
        <v>221</v>
      </c>
      <c r="D46" t="s">
        <v>192</v>
      </c>
      <c r="E46">
        <v>7</v>
      </c>
      <c r="F46">
        <v>20</v>
      </c>
      <c r="G46">
        <v>16</v>
      </c>
      <c r="H46">
        <v>1</v>
      </c>
      <c r="I46">
        <v>0</v>
      </c>
      <c r="J46">
        <v>43.75</v>
      </c>
      <c r="K46">
        <v>1</v>
      </c>
      <c r="L46" t="str">
        <f>CONCATENATE(T_BATTINGDATA[[#This Row],[Match]],T_BATTINGDATA[[#This Row],[Team]],T_BATTINGDATA[[#This Row],[Bat Number]])</f>
        <v>39Zimbabwe1</v>
      </c>
      <c r="M46" t="str">
        <f>IFERROR(IF(AND(T_BATTINGDATA[[#This Row],[Team]]=I_TEAM,IFERROR(IF(MATCH(T_BATTINGDATA[[#This Row],[BATSMAN NAME]],$O$5:O45,0)&gt;0,0),1)),1,0),"")</f>
        <v/>
      </c>
      <c r="N46" t="e">
        <f>IF(T_BATTINGDATA[[#This Row],[Team]]=I_TEAM,T_BATTINGDATA[[#This Row],[R]],0)</f>
        <v>#REF!</v>
      </c>
      <c r="O46" t="str">
        <f>LEFT(T_BATTINGDATA[[#This Row],[Batsman]],IFERROR(FIND("*",T_BATTINGDATA[[#This Row],[Batsman]])-1,IFERROR(FIND("†",T_BATTINGDATA[[#This Row],[Batsman]])-1,LEN(T_BATTINGDATA[[#This Row],[Batsman]]))))</f>
        <v>CJ Chibhabha</v>
      </c>
      <c r="P46">
        <f ca="1">IFERROR(IF(MATCH(T_BATTINGDATA[[#This Row],[BATSMAN NAME]],OFFSET(O47,0,0,BATROWS-ROW(O46)-ROW(T_BATTINGDATA[[#Headers],[BATSMAN NAME]])),0)&gt;0,0,SUMIF($O$6:O46,T_BATTINGDATA[[#This Row],[BATSMAN NAME]],$E$6:E46)),SUMIF($O$6:O46,T_BATTINGDATA[[#This Row],[BATSMAN NAME]],$E$6:E46))</f>
        <v>0</v>
      </c>
      <c r="R46">
        <v>48</v>
      </c>
      <c r="S46" t="s">
        <v>149</v>
      </c>
      <c r="T46">
        <v>7</v>
      </c>
      <c r="U46">
        <v>6</v>
      </c>
      <c r="V46">
        <v>0</v>
      </c>
      <c r="W46">
        <v>1</v>
      </c>
      <c r="X46">
        <v>14</v>
      </c>
      <c r="Y46" t="str">
        <f>CONCATENATE(T_EXTRAS[[#This Row],[Match Number]],T_EXTRAS[[#This Row],[Team Batting]])</f>
        <v>48Australia</v>
      </c>
      <c r="AA46">
        <v>21</v>
      </c>
      <c r="AB46" t="s">
        <v>164</v>
      </c>
      <c r="AC46">
        <v>10</v>
      </c>
      <c r="AD46">
        <v>102</v>
      </c>
      <c r="AE46">
        <v>3.23</v>
      </c>
      <c r="AF46">
        <v>31.3</v>
      </c>
      <c r="AG46" t="str">
        <f>T_MTOTAL[[#This Row],[Match Number]]&amp;T_MTOTAL[[#This Row],[Team]]</f>
        <v>21UAE</v>
      </c>
      <c r="AH46">
        <v>1</v>
      </c>
      <c r="AI46" t="str">
        <f>T_MTOTAL[[#This Row],[Match Number]]&amp;" "&amp;T_MTOTAL[[#This Row],[ORDER]]</f>
        <v>21 1</v>
      </c>
      <c r="AJ46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INDIA</v>
      </c>
      <c r="AK4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4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46">
        <f>(LEFT(T_MTOTAL[[#This Row],[Overs]],IFERROR(FIND(".",T_MTOTAL[[#This Row],[Overs]])-1,LEN(T_MTOTAL[[#This Row],[Overs]])))*6) + IFERROR(IF(FIND(".",T_MTOTAL[[#This Row],[Overs]])+1&gt;0,RIGHT(T_MTOTAL[[#This Row],[Overs]],1),0),0)</f>
        <v>189</v>
      </c>
      <c r="AN46">
        <f>IFERROR(IF(MATCH(T_MTOTAL[[#This Row],[ORDER LINK]],T_DL[link],0)&gt;0,INDEX(T_DL[d/l score],MATCH(T_MTOTAL[[#This Row],[ORDER LINK]],T_DL[link],0)),""),T_MTOTAL[[#This Row],[Total]])</f>
        <v>102</v>
      </c>
      <c r="AP46">
        <v>21</v>
      </c>
      <c r="AQ46" t="s">
        <v>137</v>
      </c>
      <c r="AR46" t="s">
        <v>163</v>
      </c>
      <c r="AS46">
        <v>5</v>
      </c>
      <c r="AT46">
        <v>0</v>
      </c>
      <c r="AU46">
        <v>23</v>
      </c>
      <c r="AV46">
        <v>2</v>
      </c>
      <c r="AW46">
        <v>4.5999999999999996</v>
      </c>
      <c r="AX46">
        <v>22</v>
      </c>
      <c r="AY46">
        <v>3</v>
      </c>
      <c r="AZ46">
        <v>1</v>
      </c>
      <c r="BC46">
        <v>5</v>
      </c>
      <c r="BD46" t="str">
        <f>CONCATENATE(Table9[[#This Row],[Match Number]],Table9[[#This Row],[Team]],Table9[[#This Row],[BOWL NUM]])</f>
        <v>21India5</v>
      </c>
      <c r="BE46" t="str">
        <f>IFERROR(IF(AND(Table9[[#This Row],[Team]]=I_TEAM,IFERROR(IF(MATCH(Table9[[#This Row],[Bowler]],$AR$5:AR45,0)&gt;0,0),1)),1,0),"")</f>
        <v/>
      </c>
      <c r="BF46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6" t="e">
        <f>IF(Table9[[#This Row],[Team]]=I_TEAM,Table9[[#This Row],[Wickets]]*100-Table9[[#This Row],[Runs]],0)</f>
        <v>#REF!</v>
      </c>
      <c r="BI46">
        <f>Table9[[#This Row],[Wickets]]*100-Table9[[#This Row],[Runs]]</f>
        <v>177</v>
      </c>
      <c r="BJ46">
        <f ca="1">IFERROR(IF(MATCH(Table9[[#This Row],[Bowler]],OFFSET(AR47,0,0,BOWLROWS-ROW(AR46)-ROW(Table9[[#Headers],[BOWLER CUML WICKETS]])),0)&gt;0,0,SUMIF($AR$6:AR46,Table9[[#This Row],[Bowler]],$AV$6:AV46)),SUMIF($AR$6:AR46,Table9[[#This Row],[Bowler]],$AV$6:AV46))</f>
        <v>0</v>
      </c>
      <c r="BK46">
        <f ca="1">IFERROR(IF(MATCH(Table9[[#This Row],[Bowler]],OFFSET(AR47,0,0,BOWLROWS-ROW(AR46)-ROW(Table9[[#Headers],[BOWLER CUML WICKETS]])),0)&gt;0,0,SUMIF($AR$6:AR46,Table9[[#This Row],[Bowler]],$AU$6:AU46)),SUMIF($AR$6:AR46,Table9[[#This Row],[Bowler]],$AU$6:AU46))</f>
        <v>0</v>
      </c>
      <c r="BL46">
        <f ca="1">Table9[[#This Row],[BOWLER CUML WICKETS]]*100-Table9[[#This Row],[BOWLER CUML RUNS]]</f>
        <v>0</v>
      </c>
    </row>
    <row r="47" spans="1:64" x14ac:dyDescent="0.3">
      <c r="A47">
        <v>39</v>
      </c>
      <c r="B47" t="s">
        <v>158</v>
      </c>
      <c r="C47" t="s">
        <v>218</v>
      </c>
      <c r="D47" t="s">
        <v>222</v>
      </c>
      <c r="E47">
        <v>2</v>
      </c>
      <c r="F47">
        <v>15</v>
      </c>
      <c r="G47">
        <v>8</v>
      </c>
      <c r="H47">
        <v>0</v>
      </c>
      <c r="I47">
        <v>0</v>
      </c>
      <c r="J47">
        <v>25</v>
      </c>
      <c r="K47">
        <v>2</v>
      </c>
      <c r="L47" t="str">
        <f>CONCATENATE(T_BATTINGDATA[[#This Row],[Match]],T_BATTINGDATA[[#This Row],[Team]],T_BATTINGDATA[[#This Row],[Bat Number]])</f>
        <v>39Zimbabwe2</v>
      </c>
      <c r="M47" t="str">
        <f>IFERROR(IF(AND(T_BATTINGDATA[[#This Row],[Team]]=I_TEAM,IFERROR(IF(MATCH(T_BATTINGDATA[[#This Row],[BATSMAN NAME]],$O$5:O46,0)&gt;0,0),1)),1,0),"")</f>
        <v/>
      </c>
      <c r="N47" t="e">
        <f>IF(T_BATTINGDATA[[#This Row],[Team]]=I_TEAM,T_BATTINGDATA[[#This Row],[R]],0)</f>
        <v>#REF!</v>
      </c>
      <c r="O47" t="str">
        <f>LEFT(T_BATTINGDATA[[#This Row],[Batsman]],IFERROR(FIND("*",T_BATTINGDATA[[#This Row],[Batsman]])-1,IFERROR(FIND("†",T_BATTINGDATA[[#This Row],[Batsman]])-1,LEN(T_BATTINGDATA[[#This Row],[Batsman]]))))</f>
        <v>H Masakadza</v>
      </c>
      <c r="P47">
        <f ca="1">IFERROR(IF(MATCH(T_BATTINGDATA[[#This Row],[BATSMAN NAME]],OFFSET(O48,0,0,BATROWS-ROW(O47)-ROW(T_BATTINGDATA[[#Headers],[BATSMAN NAME]])),0)&gt;0,0,SUMIF($O$6:O47,T_BATTINGDATA[[#This Row],[BATSMAN NAME]],$E$6:E47)),SUMIF($O$6:O47,T_BATTINGDATA[[#This Row],[BATSMAN NAME]],$E$6:E47))</f>
        <v>0</v>
      </c>
      <c r="R47">
        <v>48</v>
      </c>
      <c r="S47" t="s">
        <v>137</v>
      </c>
      <c r="T47">
        <v>8</v>
      </c>
      <c r="U47">
        <v>5</v>
      </c>
      <c r="V47">
        <v>2</v>
      </c>
      <c r="W47">
        <v>0</v>
      </c>
      <c r="X47">
        <v>15</v>
      </c>
      <c r="Y47" t="str">
        <f>CONCATENATE(T_EXTRAS[[#This Row],[Match Number]],T_EXTRAS[[#This Row],[Team Batting]])</f>
        <v>48India</v>
      </c>
      <c r="AA47">
        <v>21</v>
      </c>
      <c r="AB47" t="s">
        <v>137</v>
      </c>
      <c r="AC47">
        <v>1</v>
      </c>
      <c r="AD47">
        <v>104</v>
      </c>
      <c r="AE47">
        <v>5.52</v>
      </c>
      <c r="AF47">
        <v>18.5</v>
      </c>
      <c r="AG47" t="str">
        <f>T_MTOTAL[[#This Row],[Match Number]]&amp;T_MTOTAL[[#This Row],[Team]]</f>
        <v>21India</v>
      </c>
      <c r="AH47">
        <v>2</v>
      </c>
      <c r="AI47" t="str">
        <f>T_MTOTAL[[#This Row],[Match Number]]&amp;" "&amp;T_MTOTAL[[#This Row],[ORDER]]</f>
        <v>21 2</v>
      </c>
      <c r="AJ47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UAE</v>
      </c>
      <c r="AK4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18.5</v>
      </c>
      <c r="AL4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113</v>
      </c>
      <c r="AM47">
        <f>(LEFT(T_MTOTAL[[#This Row],[Overs]],IFERROR(FIND(".",T_MTOTAL[[#This Row],[Overs]])-1,LEN(T_MTOTAL[[#This Row],[Overs]])))*6) + IFERROR(IF(FIND(".",T_MTOTAL[[#This Row],[Overs]])+1&gt;0,RIGHT(T_MTOTAL[[#This Row],[Overs]],1),0),0)</f>
        <v>113</v>
      </c>
      <c r="AN47">
        <f>IFERROR(IF(MATCH(T_MTOTAL[[#This Row],[ORDER LINK]],T_DL[link],0)&gt;0,INDEX(T_DL[d/l score],MATCH(T_MTOTAL[[#This Row],[ORDER LINK]],T_DL[link],0)),""),T_MTOTAL[[#This Row],[Total]])</f>
        <v>104</v>
      </c>
      <c r="AP47">
        <v>21</v>
      </c>
      <c r="AQ47" t="s">
        <v>164</v>
      </c>
      <c r="AR47" t="s">
        <v>223</v>
      </c>
      <c r="AS47">
        <v>5</v>
      </c>
      <c r="AT47">
        <v>0</v>
      </c>
      <c r="AU47">
        <v>35</v>
      </c>
      <c r="AV47">
        <v>1</v>
      </c>
      <c r="AW47">
        <v>7</v>
      </c>
      <c r="AX47">
        <v>19</v>
      </c>
      <c r="AY47">
        <v>8</v>
      </c>
      <c r="AZ47">
        <v>0</v>
      </c>
      <c r="BC47">
        <v>1</v>
      </c>
      <c r="BD47" t="str">
        <f>CONCATENATE(Table9[[#This Row],[Match Number]],Table9[[#This Row],[Team]],Table9[[#This Row],[BOWL NUM]])</f>
        <v>21UAE1</v>
      </c>
      <c r="BE47" t="str">
        <f>IFERROR(IF(AND(Table9[[#This Row],[Team]]=I_TEAM,IFERROR(IF(MATCH(Table9[[#This Row],[Bowler]],$AR$5:AR46,0)&gt;0,0),1)),1,0),"")</f>
        <v/>
      </c>
      <c r="BF47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47" t="e">
        <f>IF(Table9[[#This Row],[Team]]=I_TEAM,Table9[[#This Row],[Wickets]]*100-Table9[[#This Row],[Runs]],0)</f>
        <v>#REF!</v>
      </c>
      <c r="BI47">
        <f>Table9[[#This Row],[Wickets]]*100-Table9[[#This Row],[Runs]]</f>
        <v>65</v>
      </c>
      <c r="BJ47">
        <f ca="1">IFERROR(IF(MATCH(Table9[[#This Row],[Bowler]],OFFSET(AR48,0,0,BOWLROWS-ROW(AR47)-ROW(Table9[[#Headers],[BOWLER CUML WICKETS]])),0)&gt;0,0,SUMIF($AR$6:AR47,Table9[[#This Row],[Bowler]],$AV$6:AV47)),SUMIF($AR$6:AR47,Table9[[#This Row],[Bowler]],$AV$6:AV47))</f>
        <v>0</v>
      </c>
      <c r="BK47">
        <f ca="1">IFERROR(IF(MATCH(Table9[[#This Row],[Bowler]],OFFSET(AR48,0,0,BOWLROWS-ROW(AR47)-ROW(Table9[[#Headers],[BOWLER CUML WICKETS]])),0)&gt;0,0,SUMIF($AR$6:AR47,Table9[[#This Row],[Bowler]],$AU$6:AU47)),SUMIF($AR$6:AR47,Table9[[#This Row],[Bowler]],$AU$6:AU47))</f>
        <v>0</v>
      </c>
      <c r="BL47">
        <f ca="1">Table9[[#This Row],[BOWLER CUML WICKETS]]*100-Table9[[#This Row],[BOWLER CUML RUNS]]</f>
        <v>0</v>
      </c>
    </row>
    <row r="48" spans="1:64" x14ac:dyDescent="0.3">
      <c r="A48">
        <v>39</v>
      </c>
      <c r="B48" t="s">
        <v>158</v>
      </c>
      <c r="C48" t="s">
        <v>211</v>
      </c>
      <c r="D48" t="s">
        <v>224</v>
      </c>
      <c r="E48">
        <v>9</v>
      </c>
      <c r="F48">
        <v>31</v>
      </c>
      <c r="G48">
        <v>22</v>
      </c>
      <c r="H48">
        <v>1</v>
      </c>
      <c r="I48">
        <v>0</v>
      </c>
      <c r="J48">
        <v>40.9</v>
      </c>
      <c r="K48">
        <v>3</v>
      </c>
      <c r="L48" t="str">
        <f>CONCATENATE(T_BATTINGDATA[[#This Row],[Match]],T_BATTINGDATA[[#This Row],[Team]],T_BATTINGDATA[[#This Row],[Bat Number]])</f>
        <v>39Zimbabwe3</v>
      </c>
      <c r="M48" t="str">
        <f>IFERROR(IF(AND(T_BATTINGDATA[[#This Row],[Team]]=I_TEAM,IFERROR(IF(MATCH(T_BATTINGDATA[[#This Row],[BATSMAN NAME]],$O$5:O47,0)&gt;0,0),1)),1,0),"")</f>
        <v/>
      </c>
      <c r="N48" t="e">
        <f>IF(T_BATTINGDATA[[#This Row],[Team]]=I_TEAM,T_BATTINGDATA[[#This Row],[R]],0)</f>
        <v>#REF!</v>
      </c>
      <c r="O48" t="str">
        <f>LEFT(T_BATTINGDATA[[#This Row],[Batsman]],IFERROR(FIND("*",T_BATTINGDATA[[#This Row],[Batsman]])-1,IFERROR(FIND("†",T_BATTINGDATA[[#This Row],[Batsman]])-1,LEN(T_BATTINGDATA[[#This Row],[Batsman]]))))</f>
        <v>SF Mire</v>
      </c>
      <c r="P48">
        <f ca="1">IFERROR(IF(MATCH(T_BATTINGDATA[[#This Row],[BATSMAN NAME]],OFFSET(O49,0,0,BATROWS-ROW(O48)-ROW(T_BATTINGDATA[[#Headers],[BATSMAN NAME]])),0)&gt;0,0,SUMIF($O$6:O48,T_BATTINGDATA[[#This Row],[BATSMAN NAME]],$E$6:E48)),SUMIF($O$6:O48,T_BATTINGDATA[[#This Row],[BATSMAN NAME]],$E$6:E48))</f>
        <v>0</v>
      </c>
      <c r="R48">
        <v>45</v>
      </c>
      <c r="S48" t="s">
        <v>153</v>
      </c>
      <c r="T48">
        <v>5</v>
      </c>
      <c r="U48">
        <v>5</v>
      </c>
      <c r="V48">
        <v>0</v>
      </c>
      <c r="W48">
        <v>0</v>
      </c>
      <c r="X48">
        <v>10</v>
      </c>
      <c r="Y48" t="str">
        <f>CONCATENATE(T_EXTRAS[[#This Row],[Match Number]],T_EXTRAS[[#This Row],[Team Batting]])</f>
        <v>45Pakistan</v>
      </c>
      <c r="AA48">
        <v>22</v>
      </c>
      <c r="AB48" t="s">
        <v>154</v>
      </c>
      <c r="AC48">
        <v>6</v>
      </c>
      <c r="AD48">
        <v>309</v>
      </c>
      <c r="AE48">
        <v>6.18</v>
      </c>
      <c r="AF48">
        <v>50</v>
      </c>
      <c r="AG48" t="str">
        <f>T_MTOTAL[[#This Row],[Match Number]]&amp;T_MTOTAL[[#This Row],[Team]]</f>
        <v>22England</v>
      </c>
      <c r="AH48">
        <v>1</v>
      </c>
      <c r="AI48" t="str">
        <f>T_MTOTAL[[#This Row],[Match Number]]&amp;" "&amp;T_MTOTAL[[#This Row],[ORDER]]</f>
        <v>22 1</v>
      </c>
      <c r="AJ48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SRI LANKA</v>
      </c>
      <c r="AK4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4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48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48">
        <f>IFERROR(IF(MATCH(T_MTOTAL[[#This Row],[ORDER LINK]],T_DL[link],0)&gt;0,INDEX(T_DL[d/l score],MATCH(T_MTOTAL[[#This Row],[ORDER LINK]],T_DL[link],0)),""),T_MTOTAL[[#This Row],[Total]])</f>
        <v>309</v>
      </c>
      <c r="AP48">
        <v>21</v>
      </c>
      <c r="AQ48" t="s">
        <v>164</v>
      </c>
      <c r="AR48" t="s">
        <v>225</v>
      </c>
      <c r="AS48">
        <v>6</v>
      </c>
      <c r="AT48">
        <v>1</v>
      </c>
      <c r="AU48">
        <v>19</v>
      </c>
      <c r="AV48">
        <v>0</v>
      </c>
      <c r="AW48">
        <v>3.16</v>
      </c>
      <c r="AX48">
        <v>29</v>
      </c>
      <c r="AY48">
        <v>2</v>
      </c>
      <c r="AZ48">
        <v>1</v>
      </c>
      <c r="BC48">
        <v>2</v>
      </c>
      <c r="BD48" t="str">
        <f>CONCATENATE(Table9[[#This Row],[Match Number]],Table9[[#This Row],[Team]],Table9[[#This Row],[BOWL NUM]])</f>
        <v>21UAE2</v>
      </c>
      <c r="BE48" t="str">
        <f>IFERROR(IF(AND(Table9[[#This Row],[Team]]=I_TEAM,IFERROR(IF(MATCH(Table9[[#This Row],[Bowler]],$AR$5:AR47,0)&gt;0,0),1)),1,0),"")</f>
        <v/>
      </c>
      <c r="BF48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4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48" t="e">
        <f>IF(Table9[[#This Row],[Team]]=I_TEAM,Table9[[#This Row],[Wickets]]*100-Table9[[#This Row],[Runs]],0)</f>
        <v>#REF!</v>
      </c>
      <c r="BI48">
        <f>Table9[[#This Row],[Wickets]]*100-Table9[[#This Row],[Runs]]</f>
        <v>-19</v>
      </c>
      <c r="BJ48">
        <f ca="1">IFERROR(IF(MATCH(Table9[[#This Row],[Bowler]],OFFSET(AR49,0,0,BOWLROWS-ROW(AR48)-ROW(Table9[[#Headers],[BOWLER CUML WICKETS]])),0)&gt;0,0,SUMIF($AR$6:AR48,Table9[[#This Row],[Bowler]],$AV$6:AV48)),SUMIF($AR$6:AR48,Table9[[#This Row],[Bowler]],$AV$6:AV48))</f>
        <v>0</v>
      </c>
      <c r="BK48">
        <f ca="1">IFERROR(IF(MATCH(Table9[[#This Row],[Bowler]],OFFSET(AR49,0,0,BOWLROWS-ROW(AR48)-ROW(Table9[[#Headers],[BOWLER CUML WICKETS]])),0)&gt;0,0,SUMIF($AR$6:AR48,Table9[[#This Row],[Bowler]],$AU$6:AU48)),SUMIF($AR$6:AR48,Table9[[#This Row],[Bowler]],$AU$6:AU48))</f>
        <v>0</v>
      </c>
      <c r="BL48">
        <f ca="1">Table9[[#This Row],[BOWLER CUML WICKETS]]*100-Table9[[#This Row],[BOWLER CUML RUNS]]</f>
        <v>0</v>
      </c>
    </row>
    <row r="49" spans="1:64" x14ac:dyDescent="0.3">
      <c r="A49">
        <v>39</v>
      </c>
      <c r="B49" t="s">
        <v>158</v>
      </c>
      <c r="C49" t="s">
        <v>226</v>
      </c>
      <c r="D49" t="s">
        <v>227</v>
      </c>
      <c r="E49">
        <v>138</v>
      </c>
      <c r="F49">
        <v>155</v>
      </c>
      <c r="G49">
        <v>110</v>
      </c>
      <c r="H49">
        <v>15</v>
      </c>
      <c r="I49">
        <v>5</v>
      </c>
      <c r="J49">
        <v>125.45</v>
      </c>
      <c r="K49">
        <v>4</v>
      </c>
      <c r="L49" t="str">
        <f>CONCATENATE(T_BATTINGDATA[[#This Row],[Match]],T_BATTINGDATA[[#This Row],[Team]],T_BATTINGDATA[[#This Row],[Bat Number]])</f>
        <v>39Zimbabwe4</v>
      </c>
      <c r="M49" t="str">
        <f>IFERROR(IF(AND(T_BATTINGDATA[[#This Row],[Team]]=I_TEAM,IFERROR(IF(MATCH(T_BATTINGDATA[[#This Row],[BATSMAN NAME]],$O$5:O48,0)&gt;0,0),1)),1,0),"")</f>
        <v/>
      </c>
      <c r="N49" t="e">
        <f>IF(T_BATTINGDATA[[#This Row],[Team]]=I_TEAM,T_BATTINGDATA[[#This Row],[R]],0)</f>
        <v>#REF!</v>
      </c>
      <c r="O49" t="str">
        <f>LEFT(T_BATTINGDATA[[#This Row],[Batsman]],IFERROR(FIND("*",T_BATTINGDATA[[#This Row],[Batsman]])-1,IFERROR(FIND("†",T_BATTINGDATA[[#This Row],[Batsman]])-1,LEN(T_BATTINGDATA[[#This Row],[Batsman]]))))</f>
        <v>BRM Taylor</v>
      </c>
      <c r="P49">
        <f ca="1">IFERROR(IF(MATCH(T_BATTINGDATA[[#This Row],[BATSMAN NAME]],OFFSET(O50,0,0,BATROWS-ROW(O49)-ROW(T_BATTINGDATA[[#Headers],[BATSMAN NAME]])),0)&gt;0,0,SUMIF($O$6:O49,T_BATTINGDATA[[#This Row],[BATSMAN NAME]],$E$6:E49)),SUMIF($O$6:O49,T_BATTINGDATA[[#This Row],[BATSMAN NAME]],$E$6:E49))</f>
        <v>0</v>
      </c>
      <c r="R49">
        <v>45</v>
      </c>
      <c r="S49" t="s">
        <v>149</v>
      </c>
      <c r="T49">
        <v>0</v>
      </c>
      <c r="U49">
        <v>9</v>
      </c>
      <c r="V49">
        <v>0</v>
      </c>
      <c r="W49">
        <v>0</v>
      </c>
      <c r="X49">
        <v>9</v>
      </c>
      <c r="Y49" t="str">
        <f>CONCATENATE(T_EXTRAS[[#This Row],[Match Number]],T_EXTRAS[[#This Row],[Team Batting]])</f>
        <v>45Australia</v>
      </c>
      <c r="AA49">
        <v>22</v>
      </c>
      <c r="AB49" t="s">
        <v>145</v>
      </c>
      <c r="AC49">
        <v>1</v>
      </c>
      <c r="AD49">
        <v>312</v>
      </c>
      <c r="AE49">
        <v>6.59</v>
      </c>
      <c r="AF49">
        <v>47.2</v>
      </c>
      <c r="AG49" t="str">
        <f>T_MTOTAL[[#This Row],[Match Number]]&amp;T_MTOTAL[[#This Row],[Team]]</f>
        <v>22Sri Lanka</v>
      </c>
      <c r="AH49">
        <v>2</v>
      </c>
      <c r="AI49" t="str">
        <f>T_MTOTAL[[#This Row],[Match Number]]&amp;" "&amp;T_MTOTAL[[#This Row],[ORDER]]</f>
        <v>22 2</v>
      </c>
      <c r="AJ49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ENGLAND</v>
      </c>
      <c r="AK4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47.2</v>
      </c>
      <c r="AL4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284</v>
      </c>
      <c r="AM49">
        <f>(LEFT(T_MTOTAL[[#This Row],[Overs]],IFERROR(FIND(".",T_MTOTAL[[#This Row],[Overs]])-1,LEN(T_MTOTAL[[#This Row],[Overs]])))*6) + IFERROR(IF(FIND(".",T_MTOTAL[[#This Row],[Overs]])+1&gt;0,RIGHT(T_MTOTAL[[#This Row],[Overs]],1),0),0)</f>
        <v>284</v>
      </c>
      <c r="AN49">
        <f>IFERROR(IF(MATCH(T_MTOTAL[[#This Row],[ORDER LINK]],T_DL[link],0)&gt;0,INDEX(T_DL[d/l score],MATCH(T_MTOTAL[[#This Row],[ORDER LINK]],T_DL[link],0)),""),T_MTOTAL[[#This Row],[Total]])</f>
        <v>312</v>
      </c>
      <c r="AP49">
        <v>21</v>
      </c>
      <c r="AQ49" t="s">
        <v>164</v>
      </c>
      <c r="AR49" t="s">
        <v>228</v>
      </c>
      <c r="AS49">
        <v>2</v>
      </c>
      <c r="AT49">
        <v>0</v>
      </c>
      <c r="AU49">
        <v>12</v>
      </c>
      <c r="AV49">
        <v>0</v>
      </c>
      <c r="AW49">
        <v>6</v>
      </c>
      <c r="AX49">
        <v>6</v>
      </c>
      <c r="AY49">
        <v>2</v>
      </c>
      <c r="AZ49">
        <v>0</v>
      </c>
      <c r="BC49">
        <v>3</v>
      </c>
      <c r="BD49" t="str">
        <f>CONCATENATE(Table9[[#This Row],[Match Number]],Table9[[#This Row],[Team]],Table9[[#This Row],[BOWL NUM]])</f>
        <v>21UAE3</v>
      </c>
      <c r="BE49" t="str">
        <f>IFERROR(IF(AND(Table9[[#This Row],[Team]]=I_TEAM,IFERROR(IF(MATCH(Table9[[#This Row],[Bowler]],$AR$5:AR48,0)&gt;0,0),1)),1,0),"")</f>
        <v/>
      </c>
      <c r="BF49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4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49" t="e">
        <f>IF(Table9[[#This Row],[Team]]=I_TEAM,Table9[[#This Row],[Wickets]]*100-Table9[[#This Row],[Runs]],0)</f>
        <v>#REF!</v>
      </c>
      <c r="BI49">
        <f>Table9[[#This Row],[Wickets]]*100-Table9[[#This Row],[Runs]]</f>
        <v>-12</v>
      </c>
      <c r="BJ49">
        <f ca="1">IFERROR(IF(MATCH(Table9[[#This Row],[Bowler]],OFFSET(AR50,0,0,BOWLROWS-ROW(AR49)-ROW(Table9[[#Headers],[BOWLER CUML WICKETS]])),0)&gt;0,0,SUMIF($AR$6:AR49,Table9[[#This Row],[Bowler]],$AV$6:AV49)),SUMIF($AR$6:AR49,Table9[[#This Row],[Bowler]],$AV$6:AV49))</f>
        <v>0</v>
      </c>
      <c r="BK49">
        <f ca="1">IFERROR(IF(MATCH(Table9[[#This Row],[Bowler]],OFFSET(AR50,0,0,BOWLROWS-ROW(AR49)-ROW(Table9[[#Headers],[BOWLER CUML WICKETS]])),0)&gt;0,0,SUMIF($AR$6:AR49,Table9[[#This Row],[Bowler]],$AU$6:AU49)),SUMIF($AR$6:AR49,Table9[[#This Row],[Bowler]],$AU$6:AU49))</f>
        <v>0</v>
      </c>
      <c r="BL49">
        <f ca="1">Table9[[#This Row],[BOWLER CUML WICKETS]]*100-Table9[[#This Row],[BOWLER CUML RUNS]]</f>
        <v>0</v>
      </c>
    </row>
    <row r="50" spans="1:64" x14ac:dyDescent="0.3">
      <c r="A50">
        <v>39</v>
      </c>
      <c r="B50" t="s">
        <v>158</v>
      </c>
      <c r="C50" t="s">
        <v>214</v>
      </c>
      <c r="D50" t="s">
        <v>229</v>
      </c>
      <c r="E50">
        <v>50</v>
      </c>
      <c r="F50">
        <v>66</v>
      </c>
      <c r="G50">
        <v>57</v>
      </c>
      <c r="H50">
        <v>3</v>
      </c>
      <c r="I50">
        <v>3</v>
      </c>
      <c r="J50">
        <v>87.71</v>
      </c>
      <c r="K50">
        <v>5</v>
      </c>
      <c r="L50" t="str">
        <f>CONCATENATE(T_BATTINGDATA[[#This Row],[Match]],T_BATTINGDATA[[#This Row],[Team]],T_BATTINGDATA[[#This Row],[Bat Number]])</f>
        <v>39Zimbabwe5</v>
      </c>
      <c r="M50" t="str">
        <f>IFERROR(IF(AND(T_BATTINGDATA[[#This Row],[Team]]=I_TEAM,IFERROR(IF(MATCH(T_BATTINGDATA[[#This Row],[BATSMAN NAME]],$O$5:O49,0)&gt;0,0),1)),1,0),"")</f>
        <v/>
      </c>
      <c r="N50" t="e">
        <f>IF(T_BATTINGDATA[[#This Row],[Team]]=I_TEAM,T_BATTINGDATA[[#This Row],[R]],0)</f>
        <v>#REF!</v>
      </c>
      <c r="O50" t="str">
        <f>LEFT(T_BATTINGDATA[[#This Row],[Batsman]],IFERROR(FIND("*",T_BATTINGDATA[[#This Row],[Batsman]])-1,IFERROR(FIND("†",T_BATTINGDATA[[#This Row],[Batsman]])-1,LEN(T_BATTINGDATA[[#This Row],[Batsman]]))))</f>
        <v>SC Williams</v>
      </c>
      <c r="P50">
        <f ca="1">IFERROR(IF(MATCH(T_BATTINGDATA[[#This Row],[BATSMAN NAME]],OFFSET(O51,0,0,BATROWS-ROW(O50)-ROW(T_BATTINGDATA[[#Headers],[BATSMAN NAME]])),0)&gt;0,0,SUMIF($O$6:O50,T_BATTINGDATA[[#This Row],[BATSMAN NAME]],$E$6:E50)),SUMIF($O$6:O50,T_BATTINGDATA[[#This Row],[BATSMAN NAME]],$E$6:E50))</f>
        <v>0</v>
      </c>
      <c r="R50">
        <v>46</v>
      </c>
      <c r="S50" t="s">
        <v>140</v>
      </c>
      <c r="T50">
        <v>2</v>
      </c>
      <c r="U50">
        <v>7</v>
      </c>
      <c r="V50">
        <v>1</v>
      </c>
      <c r="W50">
        <v>0</v>
      </c>
      <c r="X50">
        <v>10</v>
      </c>
      <c r="Y50" t="str">
        <f>CONCATENATE(T_EXTRAS[[#This Row],[Match Number]],T_EXTRAS[[#This Row],[Team Batting]])</f>
        <v>46New Zealand</v>
      </c>
      <c r="AA50">
        <v>23</v>
      </c>
      <c r="AB50" t="s">
        <v>153</v>
      </c>
      <c r="AC50">
        <v>7</v>
      </c>
      <c r="AD50">
        <v>235</v>
      </c>
      <c r="AE50">
        <v>4.7</v>
      </c>
      <c r="AF50">
        <v>50</v>
      </c>
      <c r="AG50" t="str">
        <f>T_MTOTAL[[#This Row],[Match Number]]&amp;T_MTOTAL[[#This Row],[Team]]</f>
        <v>23Pakistan</v>
      </c>
      <c r="AH50">
        <v>1</v>
      </c>
      <c r="AI50" t="str">
        <f>T_MTOTAL[[#This Row],[Match Number]]&amp;" "&amp;T_MTOTAL[[#This Row],[ORDER]]</f>
        <v>23 1</v>
      </c>
      <c r="AJ50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ZIMBABWE</v>
      </c>
      <c r="AK5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5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50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50">
        <f>IFERROR(IF(MATCH(T_MTOTAL[[#This Row],[ORDER LINK]],T_DL[link],0)&gt;0,INDEX(T_DL[d/l score],MATCH(T_MTOTAL[[#This Row],[ORDER LINK]],T_DL[link],0)),""),T_MTOTAL[[#This Row],[Total]])</f>
        <v>235</v>
      </c>
      <c r="AP50">
        <v>21</v>
      </c>
      <c r="AQ50" t="s">
        <v>164</v>
      </c>
      <c r="AR50" t="s">
        <v>230</v>
      </c>
      <c r="AS50">
        <v>3</v>
      </c>
      <c r="AT50">
        <v>0</v>
      </c>
      <c r="AU50">
        <v>17</v>
      </c>
      <c r="AV50">
        <v>0</v>
      </c>
      <c r="AW50">
        <v>5.66</v>
      </c>
      <c r="AX50">
        <v>8</v>
      </c>
      <c r="AY50">
        <v>2</v>
      </c>
      <c r="AZ50">
        <v>0</v>
      </c>
      <c r="BC50">
        <v>4</v>
      </c>
      <c r="BD50" t="str">
        <f>CONCATENATE(Table9[[#This Row],[Match Number]],Table9[[#This Row],[Team]],Table9[[#This Row],[BOWL NUM]])</f>
        <v>21UAE4</v>
      </c>
      <c r="BE50" t="str">
        <f>IFERROR(IF(AND(Table9[[#This Row],[Team]]=I_TEAM,IFERROR(IF(MATCH(Table9[[#This Row],[Bowler]],$AR$5:AR49,0)&gt;0,0),1)),1,0),"")</f>
        <v/>
      </c>
      <c r="BF50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5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50" t="e">
        <f>IF(Table9[[#This Row],[Team]]=I_TEAM,Table9[[#This Row],[Wickets]]*100-Table9[[#This Row],[Runs]],0)</f>
        <v>#REF!</v>
      </c>
      <c r="BI50">
        <f>Table9[[#This Row],[Wickets]]*100-Table9[[#This Row],[Runs]]</f>
        <v>-17</v>
      </c>
      <c r="BJ50">
        <f ca="1">IFERROR(IF(MATCH(Table9[[#This Row],[Bowler]],OFFSET(AR51,0,0,BOWLROWS-ROW(AR50)-ROW(Table9[[#Headers],[BOWLER CUML WICKETS]])),0)&gt;0,0,SUMIF($AR$6:AR50,Table9[[#This Row],[Bowler]],$AV$6:AV50)),SUMIF($AR$6:AR50,Table9[[#This Row],[Bowler]],$AV$6:AV50))</f>
        <v>0</v>
      </c>
      <c r="BK50">
        <f ca="1">IFERROR(IF(MATCH(Table9[[#This Row],[Bowler]],OFFSET(AR51,0,0,BOWLROWS-ROW(AR50)-ROW(Table9[[#Headers],[BOWLER CUML WICKETS]])),0)&gt;0,0,SUMIF($AR$6:AR50,Table9[[#This Row],[Bowler]],$AU$6:AU50)),SUMIF($AR$6:AR50,Table9[[#This Row],[Bowler]],$AU$6:AU50))</f>
        <v>0</v>
      </c>
      <c r="BL50">
        <f ca="1">Table9[[#This Row],[BOWLER CUML WICKETS]]*100-Table9[[#This Row],[BOWLER CUML RUNS]]</f>
        <v>0</v>
      </c>
    </row>
    <row r="51" spans="1:64" x14ac:dyDescent="0.3">
      <c r="A51">
        <v>39</v>
      </c>
      <c r="B51" t="s">
        <v>158</v>
      </c>
      <c r="C51" t="s">
        <v>231</v>
      </c>
      <c r="D51" t="s">
        <v>232</v>
      </c>
      <c r="E51">
        <v>27</v>
      </c>
      <c r="F51">
        <v>67</v>
      </c>
      <c r="G51">
        <v>41</v>
      </c>
      <c r="H51">
        <v>1</v>
      </c>
      <c r="I51">
        <v>1</v>
      </c>
      <c r="J51">
        <v>65.849999999999994</v>
      </c>
      <c r="K51">
        <v>6</v>
      </c>
      <c r="L51" t="str">
        <f>CONCATENATE(T_BATTINGDATA[[#This Row],[Match]],T_BATTINGDATA[[#This Row],[Team]],T_BATTINGDATA[[#This Row],[Bat Number]])</f>
        <v>39Zimbabwe6</v>
      </c>
      <c r="M51" t="str">
        <f>IFERROR(IF(AND(T_BATTINGDATA[[#This Row],[Team]]=I_TEAM,IFERROR(IF(MATCH(T_BATTINGDATA[[#This Row],[BATSMAN NAME]],$O$5:O50,0)&gt;0,0),1)),1,0),"")</f>
        <v/>
      </c>
      <c r="N51" t="e">
        <f>IF(T_BATTINGDATA[[#This Row],[Team]]=I_TEAM,T_BATTINGDATA[[#This Row],[R]],0)</f>
        <v>#REF!</v>
      </c>
      <c r="O51" t="str">
        <f>LEFT(T_BATTINGDATA[[#This Row],[Batsman]],IFERROR(FIND("*",T_BATTINGDATA[[#This Row],[Batsman]])-1,IFERROR(FIND("†",T_BATTINGDATA[[#This Row],[Batsman]])-1,LEN(T_BATTINGDATA[[#This Row],[Batsman]]))))</f>
        <v>CR Ervine</v>
      </c>
      <c r="P51">
        <f ca="1">IFERROR(IF(MATCH(T_BATTINGDATA[[#This Row],[BATSMAN NAME]],OFFSET(O52,0,0,BATROWS-ROW(O51)-ROW(T_BATTINGDATA[[#Headers],[BATSMAN NAME]])),0)&gt;0,0,SUMIF($O$6:O51,T_BATTINGDATA[[#This Row],[BATSMAN NAME]],$E$6:E51)),SUMIF($O$6:O51,T_BATTINGDATA[[#This Row],[BATSMAN NAME]],$E$6:E51))</f>
        <v>0</v>
      </c>
      <c r="R51">
        <v>46</v>
      </c>
      <c r="S51" t="s">
        <v>170</v>
      </c>
      <c r="T51">
        <v>0</v>
      </c>
      <c r="U51">
        <v>6</v>
      </c>
      <c r="V51">
        <v>0</v>
      </c>
      <c r="W51">
        <v>0</v>
      </c>
      <c r="X51">
        <v>6</v>
      </c>
      <c r="Y51" t="str">
        <f>CONCATENATE(T_EXTRAS[[#This Row],[Match Number]],T_EXTRAS[[#This Row],[Team Batting]])</f>
        <v>46West Indies</v>
      </c>
      <c r="AA51">
        <v>23</v>
      </c>
      <c r="AB51" t="s">
        <v>158</v>
      </c>
      <c r="AC51">
        <v>10</v>
      </c>
      <c r="AD51">
        <v>215</v>
      </c>
      <c r="AE51">
        <v>4.32</v>
      </c>
      <c r="AF51">
        <v>49.4</v>
      </c>
      <c r="AG51" t="str">
        <f>T_MTOTAL[[#This Row],[Match Number]]&amp;T_MTOTAL[[#This Row],[Team]]</f>
        <v>23Zimbabwe</v>
      </c>
      <c r="AH51">
        <v>2</v>
      </c>
      <c r="AI51" t="str">
        <f>T_MTOTAL[[#This Row],[Match Number]]&amp;" "&amp;T_MTOTAL[[#This Row],[ORDER]]</f>
        <v>23 2</v>
      </c>
      <c r="AJ51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PAKISTAN</v>
      </c>
      <c r="AK5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5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51">
        <f>(LEFT(T_MTOTAL[[#This Row],[Overs]],IFERROR(FIND(".",T_MTOTAL[[#This Row],[Overs]])-1,LEN(T_MTOTAL[[#This Row],[Overs]])))*6) + IFERROR(IF(FIND(".",T_MTOTAL[[#This Row],[Overs]])+1&gt;0,RIGHT(T_MTOTAL[[#This Row],[Overs]],1),0),0)</f>
        <v>298</v>
      </c>
      <c r="AN51">
        <f>IFERROR(IF(MATCH(T_MTOTAL[[#This Row],[ORDER LINK]],T_DL[link],0)&gt;0,INDEX(T_DL[d/l score],MATCH(T_MTOTAL[[#This Row],[ORDER LINK]],T_DL[link],0)),""),T_MTOTAL[[#This Row],[Total]])</f>
        <v>215</v>
      </c>
      <c r="AP51">
        <v>21</v>
      </c>
      <c r="AQ51" t="s">
        <v>164</v>
      </c>
      <c r="AR51" t="s">
        <v>233</v>
      </c>
      <c r="AS51">
        <v>2.5</v>
      </c>
      <c r="AT51">
        <v>0</v>
      </c>
      <c r="AU51">
        <v>21</v>
      </c>
      <c r="AV51">
        <v>0</v>
      </c>
      <c r="AW51">
        <v>7.41</v>
      </c>
      <c r="AX51">
        <v>8</v>
      </c>
      <c r="AY51">
        <v>4</v>
      </c>
      <c r="AZ51">
        <v>0</v>
      </c>
      <c r="BC51">
        <v>5</v>
      </c>
      <c r="BD51" t="str">
        <f>CONCATENATE(Table9[[#This Row],[Match Number]],Table9[[#This Row],[Team]],Table9[[#This Row],[BOWL NUM]])</f>
        <v>21UAE5</v>
      </c>
      <c r="BE51" t="str">
        <f>IFERROR(IF(AND(Table9[[#This Row],[Team]]=I_TEAM,IFERROR(IF(MATCH(Table9[[#This Row],[Bowler]],$AR$5:AR50,0)&gt;0,0),1)),1,0),"")</f>
        <v/>
      </c>
      <c r="BF51">
        <f>(LEFT(Table9[[#This Row],[Overs]],IFERROR(FIND(".",Table9[[#This Row],[Overs]])-1,LEN(Table9[[#This Row],[Overs]])))*6) + IFERROR(IF(FIND(".",Table9[[#This Row],[Overs]])+1&gt;0,RIGHT(Table9[[#This Row],[Overs]],1),0),0)</f>
        <v>17</v>
      </c>
      <c r="BG5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51" t="e">
        <f>IF(Table9[[#This Row],[Team]]=I_TEAM,Table9[[#This Row],[Wickets]]*100-Table9[[#This Row],[Runs]],0)</f>
        <v>#REF!</v>
      </c>
      <c r="BI51">
        <f>Table9[[#This Row],[Wickets]]*100-Table9[[#This Row],[Runs]]</f>
        <v>-21</v>
      </c>
      <c r="BJ51">
        <f ca="1">IFERROR(IF(MATCH(Table9[[#This Row],[Bowler]],OFFSET(AR52,0,0,BOWLROWS-ROW(AR51)-ROW(Table9[[#Headers],[BOWLER CUML WICKETS]])),0)&gt;0,0,SUMIF($AR$6:AR51,Table9[[#This Row],[Bowler]],$AV$6:AV51)),SUMIF($AR$6:AR51,Table9[[#This Row],[Bowler]],$AV$6:AV51))</f>
        <v>0</v>
      </c>
      <c r="BK51">
        <f ca="1">IFERROR(IF(MATCH(Table9[[#This Row],[Bowler]],OFFSET(AR52,0,0,BOWLROWS-ROW(AR51)-ROW(Table9[[#Headers],[BOWLER CUML WICKETS]])),0)&gt;0,0,SUMIF($AR$6:AR51,Table9[[#This Row],[Bowler]],$AU$6:AU51)),SUMIF($AR$6:AR51,Table9[[#This Row],[Bowler]],$AU$6:AU51))</f>
        <v>0</v>
      </c>
      <c r="BL51">
        <f ca="1">Table9[[#This Row],[BOWLER CUML WICKETS]]*100-Table9[[#This Row],[BOWLER CUML RUNS]]</f>
        <v>0</v>
      </c>
    </row>
    <row r="52" spans="1:64" x14ac:dyDescent="0.3">
      <c r="A52">
        <v>39</v>
      </c>
      <c r="B52" t="s">
        <v>158</v>
      </c>
      <c r="C52" t="s">
        <v>217</v>
      </c>
      <c r="D52" t="s">
        <v>234</v>
      </c>
      <c r="E52">
        <v>28</v>
      </c>
      <c r="F52">
        <v>19</v>
      </c>
      <c r="G52">
        <v>15</v>
      </c>
      <c r="H52">
        <v>1</v>
      </c>
      <c r="I52">
        <v>3</v>
      </c>
      <c r="J52">
        <v>186.66</v>
      </c>
      <c r="K52">
        <v>7</v>
      </c>
      <c r="L52" t="str">
        <f>CONCATENATE(T_BATTINGDATA[[#This Row],[Match]],T_BATTINGDATA[[#This Row],[Team]],T_BATTINGDATA[[#This Row],[Bat Number]])</f>
        <v>39Zimbabwe7</v>
      </c>
      <c r="M52" t="str">
        <f>IFERROR(IF(AND(T_BATTINGDATA[[#This Row],[Team]]=I_TEAM,IFERROR(IF(MATCH(T_BATTINGDATA[[#This Row],[BATSMAN NAME]],$O$5:O51,0)&gt;0,0),1)),1,0),"")</f>
        <v/>
      </c>
      <c r="N52" t="e">
        <f>IF(T_BATTINGDATA[[#This Row],[Team]]=I_TEAM,T_BATTINGDATA[[#This Row],[R]],0)</f>
        <v>#REF!</v>
      </c>
      <c r="O52" t="str">
        <f>LEFT(T_BATTINGDATA[[#This Row],[Batsman]],IFERROR(FIND("*",T_BATTINGDATA[[#This Row],[Batsman]])-1,IFERROR(FIND("†",T_BATTINGDATA[[#This Row],[Batsman]])-1,LEN(T_BATTINGDATA[[#This Row],[Batsman]]))))</f>
        <v>Sikandar Raza</v>
      </c>
      <c r="P52">
        <f ca="1">IFERROR(IF(MATCH(T_BATTINGDATA[[#This Row],[BATSMAN NAME]],OFFSET(O53,0,0,BATROWS-ROW(O52)-ROW(T_BATTINGDATA[[#Headers],[BATSMAN NAME]])),0)&gt;0,0,SUMIF($O$6:O52,T_BATTINGDATA[[#This Row],[BATSMAN NAME]],$E$6:E52)),SUMIF($O$6:O52,T_BATTINGDATA[[#This Row],[BATSMAN NAME]],$E$6:E52))</f>
        <v>0</v>
      </c>
      <c r="R52">
        <v>47</v>
      </c>
      <c r="S52" t="s">
        <v>141</v>
      </c>
      <c r="T52">
        <v>0</v>
      </c>
      <c r="U52">
        <v>13</v>
      </c>
      <c r="V52">
        <v>0</v>
      </c>
      <c r="W52">
        <v>1</v>
      </c>
      <c r="X52">
        <v>14</v>
      </c>
      <c r="Y52" t="str">
        <f>CONCATENATE(T_EXTRAS[[#This Row],[Match Number]],T_EXTRAS[[#This Row],[Team Batting]])</f>
        <v>47South Africa</v>
      </c>
      <c r="AA52">
        <v>24</v>
      </c>
      <c r="AB52" t="s">
        <v>141</v>
      </c>
      <c r="AC52">
        <v>4</v>
      </c>
      <c r="AD52">
        <v>411</v>
      </c>
      <c r="AE52">
        <v>8.2200000000000006</v>
      </c>
      <c r="AF52">
        <v>50</v>
      </c>
      <c r="AG52" t="str">
        <f>T_MTOTAL[[#This Row],[Match Number]]&amp;T_MTOTAL[[#This Row],[Team]]</f>
        <v>24South Africa</v>
      </c>
      <c r="AH52">
        <v>1</v>
      </c>
      <c r="AI52" t="str">
        <f>T_MTOTAL[[#This Row],[Match Number]]&amp;" "&amp;T_MTOTAL[[#This Row],[ORDER]]</f>
        <v>24 1</v>
      </c>
      <c r="AJ52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IRELAND</v>
      </c>
      <c r="AK5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5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52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52">
        <f>IFERROR(IF(MATCH(T_MTOTAL[[#This Row],[ORDER LINK]],T_DL[link],0)&gt;0,INDEX(T_DL[d/l score],MATCH(T_MTOTAL[[#This Row],[ORDER LINK]],T_DL[link],0)),""),T_MTOTAL[[#This Row],[Total]])</f>
        <v>411</v>
      </c>
      <c r="AP52">
        <v>34</v>
      </c>
      <c r="AQ52" t="s">
        <v>137</v>
      </c>
      <c r="AR52" t="s">
        <v>165</v>
      </c>
      <c r="AS52">
        <v>4</v>
      </c>
      <c r="AT52">
        <v>0</v>
      </c>
      <c r="AU52">
        <v>34</v>
      </c>
      <c r="AV52">
        <v>1</v>
      </c>
      <c r="AW52">
        <v>8.5</v>
      </c>
      <c r="AX52">
        <v>11</v>
      </c>
      <c r="AY52">
        <v>3</v>
      </c>
      <c r="AZ52">
        <v>2</v>
      </c>
      <c r="BA52">
        <v>1</v>
      </c>
      <c r="BC52">
        <v>1</v>
      </c>
      <c r="BD52" t="str">
        <f>CONCATENATE(Table9[[#This Row],[Match Number]],Table9[[#This Row],[Team]],Table9[[#This Row],[BOWL NUM]])</f>
        <v>34India1</v>
      </c>
      <c r="BE52" t="str">
        <f>IFERROR(IF(AND(Table9[[#This Row],[Team]]=I_TEAM,IFERROR(IF(MATCH(Table9[[#This Row],[Bowler]],$AR$5:AR51,0)&gt;0,0),1)),1,0),"")</f>
        <v/>
      </c>
      <c r="BF52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5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2" t="e">
        <f>IF(Table9[[#This Row],[Team]]=I_TEAM,Table9[[#This Row],[Wickets]]*100-Table9[[#This Row],[Runs]],0)</f>
        <v>#REF!</v>
      </c>
      <c r="BI52">
        <f>Table9[[#This Row],[Wickets]]*100-Table9[[#This Row],[Runs]]</f>
        <v>66</v>
      </c>
      <c r="BJ52">
        <f ca="1">IFERROR(IF(MATCH(Table9[[#This Row],[Bowler]],OFFSET(AR53,0,0,BOWLROWS-ROW(AR52)-ROW(Table9[[#Headers],[BOWLER CUML WICKETS]])),0)&gt;0,0,SUMIF($AR$6:AR52,Table9[[#This Row],[Bowler]],$AV$6:AV52)),SUMIF($AR$6:AR52,Table9[[#This Row],[Bowler]],$AV$6:AV52))</f>
        <v>0</v>
      </c>
      <c r="BK52">
        <f ca="1">IFERROR(IF(MATCH(Table9[[#This Row],[Bowler]],OFFSET(AR53,0,0,BOWLROWS-ROW(AR52)-ROW(Table9[[#Headers],[BOWLER CUML WICKETS]])),0)&gt;0,0,SUMIF($AR$6:AR52,Table9[[#This Row],[Bowler]],$AU$6:AU52)),SUMIF($AR$6:AR52,Table9[[#This Row],[Bowler]],$AU$6:AU52))</f>
        <v>0</v>
      </c>
      <c r="BL52">
        <f ca="1">Table9[[#This Row],[BOWLER CUML WICKETS]]*100-Table9[[#This Row],[BOWLER CUML RUNS]]</f>
        <v>0</v>
      </c>
    </row>
    <row r="53" spans="1:64" x14ac:dyDescent="0.3">
      <c r="A53">
        <v>39</v>
      </c>
      <c r="B53" t="s">
        <v>158</v>
      </c>
      <c r="C53" t="s">
        <v>235</v>
      </c>
      <c r="D53" t="s">
        <v>236</v>
      </c>
      <c r="E53">
        <v>10</v>
      </c>
      <c r="F53">
        <v>26</v>
      </c>
      <c r="G53">
        <v>13</v>
      </c>
      <c r="H53">
        <v>0</v>
      </c>
      <c r="I53">
        <v>0</v>
      </c>
      <c r="J53">
        <v>76.92</v>
      </c>
      <c r="K53">
        <v>8</v>
      </c>
      <c r="L53" t="str">
        <f>CONCATENATE(T_BATTINGDATA[[#This Row],[Match]],T_BATTINGDATA[[#This Row],[Team]],T_BATTINGDATA[[#This Row],[Bat Number]])</f>
        <v>39Zimbabwe8</v>
      </c>
      <c r="M53" t="str">
        <f>IFERROR(IF(AND(T_BATTINGDATA[[#This Row],[Team]]=I_TEAM,IFERROR(IF(MATCH(T_BATTINGDATA[[#This Row],[BATSMAN NAME]],$O$5:O52,0)&gt;0,0),1)),1,0),"")</f>
        <v/>
      </c>
      <c r="N53" t="e">
        <f>IF(T_BATTINGDATA[[#This Row],[Team]]=I_TEAM,T_BATTINGDATA[[#This Row],[R]],0)</f>
        <v>#REF!</v>
      </c>
      <c r="O53" t="str">
        <f>LEFT(T_BATTINGDATA[[#This Row],[Batsman]],IFERROR(FIND("*",T_BATTINGDATA[[#This Row],[Batsman]])-1,IFERROR(FIND("†",T_BATTINGDATA[[#This Row],[Batsman]])-1,LEN(T_BATTINGDATA[[#This Row],[Batsman]]))))</f>
        <v>RW Chakabva</v>
      </c>
      <c r="P53">
        <f ca="1">IFERROR(IF(MATCH(T_BATTINGDATA[[#This Row],[BATSMAN NAME]],OFFSET(O54,0,0,BATROWS-ROW(O53)-ROW(T_BATTINGDATA[[#Headers],[BATSMAN NAME]])),0)&gt;0,0,SUMIF($O$6:O53,T_BATTINGDATA[[#This Row],[BATSMAN NAME]],$E$6:E53)),SUMIF($O$6:O53,T_BATTINGDATA[[#This Row],[BATSMAN NAME]],$E$6:E53))</f>
        <v>0</v>
      </c>
      <c r="R53">
        <v>47</v>
      </c>
      <c r="S53" t="s">
        <v>140</v>
      </c>
      <c r="T53">
        <v>2</v>
      </c>
      <c r="U53">
        <v>5</v>
      </c>
      <c r="V53">
        <v>0</v>
      </c>
      <c r="W53">
        <v>6</v>
      </c>
      <c r="X53">
        <v>13</v>
      </c>
      <c r="Y53" t="str">
        <f>CONCATENATE(T_EXTRAS[[#This Row],[Match Number]],T_EXTRAS[[#This Row],[Team Batting]])</f>
        <v>47New Zealand</v>
      </c>
      <c r="AA53">
        <v>24</v>
      </c>
      <c r="AB53" t="s">
        <v>169</v>
      </c>
      <c r="AC53">
        <v>10</v>
      </c>
      <c r="AD53">
        <v>210</v>
      </c>
      <c r="AE53">
        <v>4.66</v>
      </c>
      <c r="AF53">
        <v>45</v>
      </c>
      <c r="AG53" t="str">
        <f>T_MTOTAL[[#This Row],[Match Number]]&amp;T_MTOTAL[[#This Row],[Team]]</f>
        <v>24Ireland</v>
      </c>
      <c r="AH53">
        <v>2</v>
      </c>
      <c r="AI53" t="str">
        <f>T_MTOTAL[[#This Row],[Match Number]]&amp;" "&amp;T_MTOTAL[[#This Row],[ORDER]]</f>
        <v>24 2</v>
      </c>
      <c r="AJ53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SOUTH AFRICA</v>
      </c>
      <c r="AK5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5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53">
        <f>(LEFT(T_MTOTAL[[#This Row],[Overs]],IFERROR(FIND(".",T_MTOTAL[[#This Row],[Overs]])-1,LEN(T_MTOTAL[[#This Row],[Overs]])))*6) + IFERROR(IF(FIND(".",T_MTOTAL[[#This Row],[Overs]])+1&gt;0,RIGHT(T_MTOTAL[[#This Row],[Overs]],1),0),0)</f>
        <v>270</v>
      </c>
      <c r="AN53">
        <f>IFERROR(IF(MATCH(T_MTOTAL[[#This Row],[ORDER LINK]],T_DL[link],0)&gt;0,INDEX(T_DL[d/l score],MATCH(T_MTOTAL[[#This Row],[ORDER LINK]],T_DL[link],0)),""),T_MTOTAL[[#This Row],[Total]])</f>
        <v>210</v>
      </c>
      <c r="AP53">
        <v>34</v>
      </c>
      <c r="AQ53" t="s">
        <v>137</v>
      </c>
      <c r="AR53" t="s">
        <v>168</v>
      </c>
      <c r="AS53">
        <v>9</v>
      </c>
      <c r="AT53">
        <v>0</v>
      </c>
      <c r="AU53">
        <v>41</v>
      </c>
      <c r="AV53">
        <v>3</v>
      </c>
      <c r="AW53">
        <v>4.55</v>
      </c>
      <c r="AX53">
        <v>35</v>
      </c>
      <c r="AY53">
        <v>4</v>
      </c>
      <c r="AZ53">
        <v>1</v>
      </c>
      <c r="BA53">
        <v>5</v>
      </c>
      <c r="BC53">
        <v>2</v>
      </c>
      <c r="BD53" t="str">
        <f>CONCATENATE(Table9[[#This Row],[Match Number]],Table9[[#This Row],[Team]],Table9[[#This Row],[BOWL NUM]])</f>
        <v>34India2</v>
      </c>
      <c r="BE53" t="str">
        <f>IFERROR(IF(AND(Table9[[#This Row],[Team]]=I_TEAM,IFERROR(IF(MATCH(Table9[[#This Row],[Bowler]],$AR$5:AR52,0)&gt;0,0),1)),1,0),"")</f>
        <v/>
      </c>
      <c r="BF53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5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3" t="e">
        <f>IF(Table9[[#This Row],[Team]]=I_TEAM,Table9[[#This Row],[Wickets]]*100-Table9[[#This Row],[Runs]],0)</f>
        <v>#REF!</v>
      </c>
      <c r="BI53">
        <f>Table9[[#This Row],[Wickets]]*100-Table9[[#This Row],[Runs]]</f>
        <v>259</v>
      </c>
      <c r="BJ53">
        <f ca="1">IFERROR(IF(MATCH(Table9[[#This Row],[Bowler]],OFFSET(AR54,0,0,BOWLROWS-ROW(AR53)-ROW(Table9[[#Headers],[BOWLER CUML WICKETS]])),0)&gt;0,0,SUMIF($AR$6:AR53,Table9[[#This Row],[Bowler]],$AV$6:AV53)),SUMIF($AR$6:AR53,Table9[[#This Row],[Bowler]],$AV$6:AV53))</f>
        <v>0</v>
      </c>
      <c r="BK53">
        <f ca="1">IFERROR(IF(MATCH(Table9[[#This Row],[Bowler]],OFFSET(AR54,0,0,BOWLROWS-ROW(AR53)-ROW(Table9[[#Headers],[BOWLER CUML WICKETS]])),0)&gt;0,0,SUMIF($AR$6:AR53,Table9[[#This Row],[Bowler]],$AU$6:AU53)),SUMIF($AR$6:AR53,Table9[[#This Row],[Bowler]],$AU$6:AU53))</f>
        <v>0</v>
      </c>
      <c r="BL53">
        <f ca="1">Table9[[#This Row],[BOWLER CUML WICKETS]]*100-Table9[[#This Row],[BOWLER CUML RUNS]]</f>
        <v>0</v>
      </c>
    </row>
    <row r="54" spans="1:64" x14ac:dyDescent="0.3">
      <c r="A54">
        <v>39</v>
      </c>
      <c r="B54" t="s">
        <v>158</v>
      </c>
      <c r="C54" t="s">
        <v>204</v>
      </c>
      <c r="D54" t="s">
        <v>237</v>
      </c>
      <c r="E54">
        <v>6</v>
      </c>
      <c r="F54">
        <v>7</v>
      </c>
      <c r="G54">
        <v>6</v>
      </c>
      <c r="H54">
        <v>1</v>
      </c>
      <c r="I54">
        <v>0</v>
      </c>
      <c r="J54">
        <v>100</v>
      </c>
      <c r="K54">
        <v>9</v>
      </c>
      <c r="L54" t="str">
        <f>CONCATENATE(T_BATTINGDATA[[#This Row],[Match]],T_BATTINGDATA[[#This Row],[Team]],T_BATTINGDATA[[#This Row],[Bat Number]])</f>
        <v>39Zimbabwe9</v>
      </c>
      <c r="M54" t="str">
        <f>IFERROR(IF(AND(T_BATTINGDATA[[#This Row],[Team]]=I_TEAM,IFERROR(IF(MATCH(T_BATTINGDATA[[#This Row],[BATSMAN NAME]],$O$5:O53,0)&gt;0,0),1)),1,0),"")</f>
        <v/>
      </c>
      <c r="N54" t="e">
        <f>IF(T_BATTINGDATA[[#This Row],[Team]]=I_TEAM,T_BATTINGDATA[[#This Row],[R]],0)</f>
        <v>#REF!</v>
      </c>
      <c r="O54" t="str">
        <f>LEFT(T_BATTINGDATA[[#This Row],[Batsman]],IFERROR(FIND("*",T_BATTINGDATA[[#This Row],[Batsman]])-1,IFERROR(FIND("†",T_BATTINGDATA[[#This Row],[Batsman]])-1,LEN(T_BATTINGDATA[[#This Row],[Batsman]]))))</f>
        <v>T Panyangara</v>
      </c>
      <c r="P54">
        <f ca="1">IFERROR(IF(MATCH(T_BATTINGDATA[[#This Row],[BATSMAN NAME]],OFFSET(O55,0,0,BATROWS-ROW(O54)-ROW(T_BATTINGDATA[[#Headers],[BATSMAN NAME]])),0)&gt;0,0,SUMIF($O$6:O54,T_BATTINGDATA[[#This Row],[BATSMAN NAME]],$E$6:E54)),SUMIF($O$6:O54,T_BATTINGDATA[[#This Row],[BATSMAN NAME]],$E$6:E54))</f>
        <v>0</v>
      </c>
      <c r="R54">
        <v>49</v>
      </c>
      <c r="S54" t="s">
        <v>140</v>
      </c>
      <c r="T54">
        <v>7</v>
      </c>
      <c r="U54">
        <v>6</v>
      </c>
      <c r="V54">
        <v>0</v>
      </c>
      <c r="W54">
        <v>0</v>
      </c>
      <c r="X54">
        <v>13</v>
      </c>
      <c r="Y54" t="str">
        <f>CONCATENATE(T_EXTRAS[[#This Row],[Match Number]],T_EXTRAS[[#This Row],[Team Batting]])</f>
        <v>49New Zealand</v>
      </c>
      <c r="AA54">
        <v>25</v>
      </c>
      <c r="AB54" t="s">
        <v>153</v>
      </c>
      <c r="AC54">
        <v>6</v>
      </c>
      <c r="AD54">
        <v>339</v>
      </c>
      <c r="AE54">
        <v>6.78</v>
      </c>
      <c r="AF54">
        <v>50</v>
      </c>
      <c r="AG54" t="str">
        <f>T_MTOTAL[[#This Row],[Match Number]]&amp;T_MTOTAL[[#This Row],[Team]]</f>
        <v>25Pakistan</v>
      </c>
      <c r="AH54">
        <v>1</v>
      </c>
      <c r="AI54" t="str">
        <f>T_MTOTAL[[#This Row],[Match Number]]&amp;" "&amp;T_MTOTAL[[#This Row],[ORDER]]</f>
        <v>25 1</v>
      </c>
      <c r="AJ54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UAE</v>
      </c>
      <c r="AK5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5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54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54">
        <f>IFERROR(IF(MATCH(T_MTOTAL[[#This Row],[ORDER LINK]],T_DL[link],0)&gt;0,INDEX(T_DL[d/l score],MATCH(T_MTOTAL[[#This Row],[ORDER LINK]],T_DL[link],0)),""),T_MTOTAL[[#This Row],[Total]])</f>
        <v>339</v>
      </c>
      <c r="AP54">
        <v>34</v>
      </c>
      <c r="AQ54" t="s">
        <v>137</v>
      </c>
      <c r="AR54" t="s">
        <v>171</v>
      </c>
      <c r="AS54">
        <v>6</v>
      </c>
      <c r="AT54">
        <v>0</v>
      </c>
      <c r="AU54">
        <v>38</v>
      </c>
      <c r="AV54">
        <v>1</v>
      </c>
      <c r="AW54">
        <v>6.33</v>
      </c>
      <c r="AX54">
        <v>18</v>
      </c>
      <c r="AY54">
        <v>5</v>
      </c>
      <c r="AZ54">
        <v>0</v>
      </c>
      <c r="BA54">
        <v>3</v>
      </c>
      <c r="BC54">
        <v>3</v>
      </c>
      <c r="BD54" t="str">
        <f>CONCATENATE(Table9[[#This Row],[Match Number]],Table9[[#This Row],[Team]],Table9[[#This Row],[BOWL NUM]])</f>
        <v>34India3</v>
      </c>
      <c r="BE54" t="str">
        <f>IFERROR(IF(AND(Table9[[#This Row],[Team]]=I_TEAM,IFERROR(IF(MATCH(Table9[[#This Row],[Bowler]],$AR$5:AR53,0)&gt;0,0),1)),1,0),"")</f>
        <v/>
      </c>
      <c r="BF54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5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4" t="e">
        <f>IF(Table9[[#This Row],[Team]]=I_TEAM,Table9[[#This Row],[Wickets]]*100-Table9[[#This Row],[Runs]],0)</f>
        <v>#REF!</v>
      </c>
      <c r="BI54">
        <f>Table9[[#This Row],[Wickets]]*100-Table9[[#This Row],[Runs]]</f>
        <v>62</v>
      </c>
      <c r="BJ54">
        <f ca="1">IFERROR(IF(MATCH(Table9[[#This Row],[Bowler]],OFFSET(AR55,0,0,BOWLROWS-ROW(AR54)-ROW(Table9[[#Headers],[BOWLER CUML WICKETS]])),0)&gt;0,0,SUMIF($AR$6:AR54,Table9[[#This Row],[Bowler]],$AV$6:AV54)),SUMIF($AR$6:AR54,Table9[[#This Row],[Bowler]],$AV$6:AV54))</f>
        <v>0</v>
      </c>
      <c r="BK54">
        <f ca="1">IFERROR(IF(MATCH(Table9[[#This Row],[Bowler]],OFFSET(AR55,0,0,BOWLROWS-ROW(AR54)-ROW(Table9[[#Headers],[BOWLER CUML WICKETS]])),0)&gt;0,0,SUMIF($AR$6:AR54,Table9[[#This Row],[Bowler]],$AU$6:AU54)),SUMIF($AR$6:AR54,Table9[[#This Row],[Bowler]],$AU$6:AU54))</f>
        <v>0</v>
      </c>
      <c r="BL54">
        <f ca="1">Table9[[#This Row],[BOWLER CUML WICKETS]]*100-Table9[[#This Row],[BOWLER CUML RUNS]]</f>
        <v>0</v>
      </c>
    </row>
    <row r="55" spans="1:64" x14ac:dyDescent="0.3">
      <c r="A55">
        <v>39</v>
      </c>
      <c r="B55" t="s">
        <v>158</v>
      </c>
      <c r="C55" t="s">
        <v>208</v>
      </c>
      <c r="D55" t="s">
        <v>167</v>
      </c>
      <c r="E55">
        <v>1</v>
      </c>
      <c r="F55">
        <v>7</v>
      </c>
      <c r="G55">
        <v>2</v>
      </c>
      <c r="H55">
        <v>0</v>
      </c>
      <c r="I55">
        <v>0</v>
      </c>
      <c r="J55">
        <v>50</v>
      </c>
      <c r="K55">
        <v>10</v>
      </c>
      <c r="L55" t="str">
        <f>CONCATENATE(T_BATTINGDATA[[#This Row],[Match]],T_BATTINGDATA[[#This Row],[Team]],T_BATTINGDATA[[#This Row],[Bat Number]])</f>
        <v>39Zimbabwe10</v>
      </c>
      <c r="M55" t="str">
        <f>IFERROR(IF(AND(T_BATTINGDATA[[#This Row],[Team]]=I_TEAM,IFERROR(IF(MATCH(T_BATTINGDATA[[#This Row],[BATSMAN NAME]],$O$5:O54,0)&gt;0,0),1)),1,0),"")</f>
        <v/>
      </c>
      <c r="N55" t="e">
        <f>IF(T_BATTINGDATA[[#This Row],[Team]]=I_TEAM,T_BATTINGDATA[[#This Row],[R]],0)</f>
        <v>#REF!</v>
      </c>
      <c r="O55" t="str">
        <f>LEFT(T_BATTINGDATA[[#This Row],[Batsman]],IFERROR(FIND("*",T_BATTINGDATA[[#This Row],[Batsman]])-1,IFERROR(FIND("†",T_BATTINGDATA[[#This Row],[Batsman]])-1,LEN(T_BATTINGDATA[[#This Row],[Batsman]]))))</f>
        <v>T Mupariwa</v>
      </c>
      <c r="P55">
        <f ca="1">IFERROR(IF(MATCH(T_BATTINGDATA[[#This Row],[BATSMAN NAME]],OFFSET(O56,0,0,BATROWS-ROW(O55)-ROW(T_BATTINGDATA[[#Headers],[BATSMAN NAME]])),0)&gt;0,0,SUMIF($O$6:O55,T_BATTINGDATA[[#This Row],[BATSMAN NAME]],$E$6:E55)),SUMIF($O$6:O55,T_BATTINGDATA[[#This Row],[BATSMAN NAME]],$E$6:E55))</f>
        <v>0</v>
      </c>
      <c r="R55">
        <v>49</v>
      </c>
      <c r="S55" t="s">
        <v>149</v>
      </c>
      <c r="T55">
        <v>3</v>
      </c>
      <c r="U55">
        <v>6</v>
      </c>
      <c r="V55">
        <v>0</v>
      </c>
      <c r="W55">
        <v>0</v>
      </c>
      <c r="X55">
        <v>9</v>
      </c>
      <c r="Y55" t="str">
        <f>CONCATENATE(T_EXTRAS[[#This Row],[Match Number]],T_EXTRAS[[#This Row],[Team Batting]])</f>
        <v>49Australia</v>
      </c>
      <c r="AA55">
        <v>25</v>
      </c>
      <c r="AB55" t="s">
        <v>164</v>
      </c>
      <c r="AC55">
        <v>8</v>
      </c>
      <c r="AD55">
        <v>210</v>
      </c>
      <c r="AE55">
        <v>4.2</v>
      </c>
      <c r="AF55">
        <v>50</v>
      </c>
      <c r="AG55" t="str">
        <f>T_MTOTAL[[#This Row],[Match Number]]&amp;T_MTOTAL[[#This Row],[Team]]</f>
        <v>25UAE</v>
      </c>
      <c r="AH55">
        <v>2</v>
      </c>
      <c r="AI55" t="str">
        <f>T_MTOTAL[[#This Row],[Match Number]]&amp;" "&amp;T_MTOTAL[[#This Row],[ORDER]]</f>
        <v>25 2</v>
      </c>
      <c r="AJ55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PAKISTAN</v>
      </c>
      <c r="AK5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5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55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55">
        <f>IFERROR(IF(MATCH(T_MTOTAL[[#This Row],[ORDER LINK]],T_DL[link],0)&gt;0,INDEX(T_DL[d/l score],MATCH(T_MTOTAL[[#This Row],[ORDER LINK]],T_DL[link],0)),""),T_MTOTAL[[#This Row],[Total]])</f>
        <v>210</v>
      </c>
      <c r="AP55">
        <v>34</v>
      </c>
      <c r="AQ55" t="s">
        <v>137</v>
      </c>
      <c r="AR55" t="s">
        <v>163</v>
      </c>
      <c r="AS55">
        <v>7</v>
      </c>
      <c r="AT55">
        <v>0</v>
      </c>
      <c r="AU55">
        <v>45</v>
      </c>
      <c r="AV55">
        <v>1</v>
      </c>
      <c r="AW55">
        <v>6.42</v>
      </c>
      <c r="AX55">
        <v>20</v>
      </c>
      <c r="AY55">
        <v>2</v>
      </c>
      <c r="AZ55">
        <v>3</v>
      </c>
      <c r="BC55">
        <v>4</v>
      </c>
      <c r="BD55" t="str">
        <f>CONCATENATE(Table9[[#This Row],[Match Number]],Table9[[#This Row],[Team]],Table9[[#This Row],[BOWL NUM]])</f>
        <v>34India4</v>
      </c>
      <c r="BE55" t="str">
        <f>IFERROR(IF(AND(Table9[[#This Row],[Team]]=I_TEAM,IFERROR(IF(MATCH(Table9[[#This Row],[Bowler]],$AR$5:AR54,0)&gt;0,0),1)),1,0),"")</f>
        <v/>
      </c>
      <c r="BF55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5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5" t="e">
        <f>IF(Table9[[#This Row],[Team]]=I_TEAM,Table9[[#This Row],[Wickets]]*100-Table9[[#This Row],[Runs]],0)</f>
        <v>#REF!</v>
      </c>
      <c r="BI55">
        <f>Table9[[#This Row],[Wickets]]*100-Table9[[#This Row],[Runs]]</f>
        <v>55</v>
      </c>
      <c r="BJ55">
        <f ca="1">IFERROR(IF(MATCH(Table9[[#This Row],[Bowler]],OFFSET(AR56,0,0,BOWLROWS-ROW(AR55)-ROW(Table9[[#Headers],[BOWLER CUML WICKETS]])),0)&gt;0,0,SUMIF($AR$6:AR55,Table9[[#This Row],[Bowler]],$AV$6:AV55)),SUMIF($AR$6:AR55,Table9[[#This Row],[Bowler]],$AV$6:AV55))</f>
        <v>0</v>
      </c>
      <c r="BK55">
        <f ca="1">IFERROR(IF(MATCH(Table9[[#This Row],[Bowler]],OFFSET(AR56,0,0,BOWLROWS-ROW(AR55)-ROW(Table9[[#Headers],[BOWLER CUML WICKETS]])),0)&gt;0,0,SUMIF($AR$6:AR55,Table9[[#This Row],[Bowler]],$AU$6:AU55)),SUMIF($AR$6:AR55,Table9[[#This Row],[Bowler]],$AU$6:AU55))</f>
        <v>0</v>
      </c>
      <c r="BL55">
        <f ca="1">Table9[[#This Row],[BOWLER CUML WICKETS]]*100-Table9[[#This Row],[BOWLER CUML RUNS]]</f>
        <v>0</v>
      </c>
    </row>
    <row r="56" spans="1:64" x14ac:dyDescent="0.3">
      <c r="A56">
        <v>39</v>
      </c>
      <c r="B56" t="s">
        <v>158</v>
      </c>
      <c r="C56" t="s">
        <v>207</v>
      </c>
      <c r="D56" t="s">
        <v>238</v>
      </c>
      <c r="E56">
        <v>0</v>
      </c>
      <c r="F56">
        <v>2</v>
      </c>
      <c r="G56">
        <v>3</v>
      </c>
      <c r="H56">
        <v>0</v>
      </c>
      <c r="I56">
        <v>0</v>
      </c>
      <c r="J56">
        <v>0</v>
      </c>
      <c r="K56">
        <v>11</v>
      </c>
      <c r="L56" t="str">
        <f>CONCATENATE(T_BATTINGDATA[[#This Row],[Match]],T_BATTINGDATA[[#This Row],[Team]],T_BATTINGDATA[[#This Row],[Bat Number]])</f>
        <v>39Zimbabwe11</v>
      </c>
      <c r="M56" t="str">
        <f>IFERROR(IF(AND(T_BATTINGDATA[[#This Row],[Team]]=I_TEAM,IFERROR(IF(MATCH(T_BATTINGDATA[[#This Row],[BATSMAN NAME]],$O$5:O55,0)&gt;0,0),1)),1,0),"")</f>
        <v/>
      </c>
      <c r="N56" t="e">
        <f>IF(T_BATTINGDATA[[#This Row],[Team]]=I_TEAM,T_BATTINGDATA[[#This Row],[R]],0)</f>
        <v>#REF!</v>
      </c>
      <c r="O56" t="str">
        <f>LEFT(T_BATTINGDATA[[#This Row],[Batsman]],IFERROR(FIND("*",T_BATTINGDATA[[#This Row],[Batsman]])-1,IFERROR(FIND("†",T_BATTINGDATA[[#This Row],[Batsman]])-1,LEN(T_BATTINGDATA[[#This Row],[Batsman]]))))</f>
        <v>TL Chatara</v>
      </c>
      <c r="P56">
        <f ca="1">IFERROR(IF(MATCH(T_BATTINGDATA[[#This Row],[BATSMAN NAME]],OFFSET(O57,0,0,BATROWS-ROW(O56)-ROW(T_BATTINGDATA[[#Headers],[BATSMAN NAME]])),0)&gt;0,0,SUMIF($O$6:O56,T_BATTINGDATA[[#This Row],[BATSMAN NAME]],$E$6:E56)),SUMIF($O$6:O56,T_BATTINGDATA[[#This Row],[BATSMAN NAME]],$E$6:E56))</f>
        <v>0</v>
      </c>
      <c r="R56">
        <v>16</v>
      </c>
      <c r="S56" t="s">
        <v>164</v>
      </c>
      <c r="T56">
        <v>4</v>
      </c>
      <c r="U56">
        <v>11</v>
      </c>
      <c r="V56">
        <v>1</v>
      </c>
      <c r="W56">
        <v>1</v>
      </c>
      <c r="X56">
        <v>17</v>
      </c>
      <c r="Y56" t="str">
        <f>CONCATENATE(T_EXTRAS[[#This Row],[Match Number]],T_EXTRAS[[#This Row],[Team Batting]])</f>
        <v>16UAE</v>
      </c>
      <c r="AA56">
        <v>26</v>
      </c>
      <c r="AB56" t="s">
        <v>149</v>
      </c>
      <c r="AC56">
        <v>6</v>
      </c>
      <c r="AD56">
        <v>417</v>
      </c>
      <c r="AE56">
        <v>8.34</v>
      </c>
      <c r="AF56">
        <v>50</v>
      </c>
      <c r="AG56" t="str">
        <f>T_MTOTAL[[#This Row],[Match Number]]&amp;T_MTOTAL[[#This Row],[Team]]</f>
        <v>26Australia</v>
      </c>
      <c r="AH56">
        <v>1</v>
      </c>
      <c r="AI56" t="str">
        <f>T_MTOTAL[[#This Row],[Match Number]]&amp;" "&amp;T_MTOTAL[[#This Row],[ORDER]]</f>
        <v>26 1</v>
      </c>
      <c r="AJ56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AFGHANISTAN</v>
      </c>
      <c r="AK5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5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56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56">
        <f>IFERROR(IF(MATCH(T_MTOTAL[[#This Row],[ORDER LINK]],T_DL[link],0)&gt;0,INDEX(T_DL[d/l score],MATCH(T_MTOTAL[[#This Row],[ORDER LINK]],T_DL[link],0)),""),T_MTOTAL[[#This Row],[Total]])</f>
        <v>417</v>
      </c>
      <c r="AP56">
        <v>34</v>
      </c>
      <c r="AQ56" t="s">
        <v>137</v>
      </c>
      <c r="AR56" t="s">
        <v>166</v>
      </c>
      <c r="AS56">
        <v>10</v>
      </c>
      <c r="AT56">
        <v>1</v>
      </c>
      <c r="AU56">
        <v>38</v>
      </c>
      <c r="AV56">
        <v>2</v>
      </c>
      <c r="AW56">
        <v>3.8</v>
      </c>
      <c r="AX56">
        <v>37</v>
      </c>
      <c r="AY56">
        <v>2</v>
      </c>
      <c r="AZ56">
        <v>1</v>
      </c>
      <c r="BC56">
        <v>5</v>
      </c>
      <c r="BD56" t="str">
        <f>CONCATENATE(Table9[[#This Row],[Match Number]],Table9[[#This Row],[Team]],Table9[[#This Row],[BOWL NUM]])</f>
        <v>34India5</v>
      </c>
      <c r="BE56" t="str">
        <f>IFERROR(IF(AND(Table9[[#This Row],[Team]]=I_TEAM,IFERROR(IF(MATCH(Table9[[#This Row],[Bowler]],$AR$5:AR55,0)&gt;0,0),1)),1,0),"")</f>
        <v/>
      </c>
      <c r="BF5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6" t="e">
        <f>IF(Table9[[#This Row],[Team]]=I_TEAM,Table9[[#This Row],[Wickets]]*100-Table9[[#This Row],[Runs]],0)</f>
        <v>#REF!</v>
      </c>
      <c r="BI56">
        <f>Table9[[#This Row],[Wickets]]*100-Table9[[#This Row],[Runs]]</f>
        <v>162</v>
      </c>
      <c r="BJ56">
        <f ca="1">IFERROR(IF(MATCH(Table9[[#This Row],[Bowler]],OFFSET(AR57,0,0,BOWLROWS-ROW(AR56)-ROW(Table9[[#Headers],[BOWLER CUML WICKETS]])),0)&gt;0,0,SUMIF($AR$6:AR56,Table9[[#This Row],[Bowler]],$AV$6:AV56)),SUMIF($AR$6:AR56,Table9[[#This Row],[Bowler]],$AV$6:AV56))</f>
        <v>0</v>
      </c>
      <c r="BK56">
        <f ca="1">IFERROR(IF(MATCH(Table9[[#This Row],[Bowler]],OFFSET(AR57,0,0,BOWLROWS-ROW(AR56)-ROW(Table9[[#Headers],[BOWLER CUML WICKETS]])),0)&gt;0,0,SUMIF($AR$6:AR56,Table9[[#This Row],[Bowler]],$AU$6:AU56)),SUMIF($AR$6:AR56,Table9[[#This Row],[Bowler]],$AU$6:AU56))</f>
        <v>0</v>
      </c>
      <c r="BL56">
        <f ca="1">Table9[[#This Row],[BOWLER CUML WICKETS]]*100-Table9[[#This Row],[BOWLER CUML RUNS]]</f>
        <v>0</v>
      </c>
    </row>
    <row r="57" spans="1:64" x14ac:dyDescent="0.3">
      <c r="A57">
        <v>39</v>
      </c>
      <c r="B57" t="s">
        <v>137</v>
      </c>
      <c r="C57" t="s">
        <v>138</v>
      </c>
      <c r="D57" t="s">
        <v>239</v>
      </c>
      <c r="E57">
        <v>16</v>
      </c>
      <c r="F57">
        <v>24</v>
      </c>
      <c r="G57">
        <v>21</v>
      </c>
      <c r="H57">
        <v>2</v>
      </c>
      <c r="I57">
        <v>0</v>
      </c>
      <c r="J57">
        <v>76.19</v>
      </c>
      <c r="K57">
        <v>1</v>
      </c>
      <c r="L57" t="str">
        <f>CONCATENATE(T_BATTINGDATA[[#This Row],[Match]],T_BATTINGDATA[[#This Row],[Team]],T_BATTINGDATA[[#This Row],[Bat Number]])</f>
        <v>39India1</v>
      </c>
      <c r="M57" t="str">
        <f>IFERROR(IF(AND(T_BATTINGDATA[[#This Row],[Team]]=I_TEAM,IFERROR(IF(MATCH(T_BATTINGDATA[[#This Row],[BATSMAN NAME]],$O$5:O56,0)&gt;0,0),1)),1,0),"")</f>
        <v/>
      </c>
      <c r="N57" t="e">
        <f>IF(T_BATTINGDATA[[#This Row],[Team]]=I_TEAM,T_BATTINGDATA[[#This Row],[R]],0)</f>
        <v>#REF!</v>
      </c>
      <c r="O57" t="str">
        <f>LEFT(T_BATTINGDATA[[#This Row],[Batsman]],IFERROR(FIND("*",T_BATTINGDATA[[#This Row],[Batsman]])-1,IFERROR(FIND("†",T_BATTINGDATA[[#This Row],[Batsman]])-1,LEN(T_BATTINGDATA[[#This Row],[Batsman]]))))</f>
        <v>RG Sharma</v>
      </c>
      <c r="P57">
        <f ca="1">IFERROR(IF(MATCH(T_BATTINGDATA[[#This Row],[BATSMAN NAME]],OFFSET(O58,0,0,BATROWS-ROW(O57)-ROW(T_BATTINGDATA[[#Headers],[BATSMAN NAME]])),0)&gt;0,0,SUMIF($O$6:O57,T_BATTINGDATA[[#This Row],[BATSMAN NAME]],$E$6:E57)),SUMIF($O$6:O57,T_BATTINGDATA[[#This Row],[BATSMAN NAME]],$E$6:E57))</f>
        <v>0</v>
      </c>
      <c r="R57">
        <v>16</v>
      </c>
      <c r="S57" t="s">
        <v>169</v>
      </c>
      <c r="T57">
        <v>3</v>
      </c>
      <c r="U57">
        <v>2</v>
      </c>
      <c r="V57">
        <v>2</v>
      </c>
      <c r="W57">
        <v>4</v>
      </c>
      <c r="X57">
        <v>11</v>
      </c>
      <c r="Y57" t="str">
        <f>CONCATENATE(T_EXTRAS[[#This Row],[Match Number]],T_EXTRAS[[#This Row],[Team Batting]])</f>
        <v>16Ireland</v>
      </c>
      <c r="AA57">
        <v>26</v>
      </c>
      <c r="AB57" t="s">
        <v>185</v>
      </c>
      <c r="AC57">
        <v>10</v>
      </c>
      <c r="AD57">
        <v>142</v>
      </c>
      <c r="AE57">
        <v>3.78</v>
      </c>
      <c r="AF57">
        <v>37.299999999999997</v>
      </c>
      <c r="AG57" t="str">
        <f>T_MTOTAL[[#This Row],[Match Number]]&amp;T_MTOTAL[[#This Row],[Team]]</f>
        <v>26Afghanistan</v>
      </c>
      <c r="AH57">
        <v>2</v>
      </c>
      <c r="AI57" t="str">
        <f>T_MTOTAL[[#This Row],[Match Number]]&amp;" "&amp;T_MTOTAL[[#This Row],[ORDER]]</f>
        <v>26 2</v>
      </c>
      <c r="AJ57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AUSTRALIA</v>
      </c>
      <c r="AK5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5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57">
        <f>(LEFT(T_MTOTAL[[#This Row],[Overs]],IFERROR(FIND(".",T_MTOTAL[[#This Row],[Overs]])-1,LEN(T_MTOTAL[[#This Row],[Overs]])))*6) + IFERROR(IF(FIND(".",T_MTOTAL[[#This Row],[Overs]])+1&gt;0,RIGHT(T_MTOTAL[[#This Row],[Overs]],1),0),0)</f>
        <v>225</v>
      </c>
      <c r="AN57">
        <f>IFERROR(IF(MATCH(T_MTOTAL[[#This Row],[ORDER LINK]],T_DL[link],0)&gt;0,INDEX(T_DL[d/l score],MATCH(T_MTOTAL[[#This Row],[ORDER LINK]],T_DL[link],0)),""),T_MTOTAL[[#This Row],[Total]])</f>
        <v>142</v>
      </c>
      <c r="AP57">
        <v>34</v>
      </c>
      <c r="AQ57" t="s">
        <v>137</v>
      </c>
      <c r="AR57" t="s">
        <v>156</v>
      </c>
      <c r="AS57">
        <v>10</v>
      </c>
      <c r="AT57">
        <v>0</v>
      </c>
      <c r="AU57">
        <v>40</v>
      </c>
      <c r="AV57">
        <v>1</v>
      </c>
      <c r="AW57">
        <v>4</v>
      </c>
      <c r="AX57">
        <v>32</v>
      </c>
      <c r="AY57">
        <v>4</v>
      </c>
      <c r="AZ57">
        <v>0</v>
      </c>
      <c r="BC57">
        <v>6</v>
      </c>
      <c r="BD57" t="str">
        <f>CONCATENATE(Table9[[#This Row],[Match Number]],Table9[[#This Row],[Team]],Table9[[#This Row],[BOWL NUM]])</f>
        <v>34India6</v>
      </c>
      <c r="BE57" t="str">
        <f>IFERROR(IF(AND(Table9[[#This Row],[Team]]=I_TEAM,IFERROR(IF(MATCH(Table9[[#This Row],[Bowler]],$AR$5:AR56,0)&gt;0,0),1)),1,0),"")</f>
        <v/>
      </c>
      <c r="BF5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7" t="e">
        <f>IF(Table9[[#This Row],[Team]]=I_TEAM,Table9[[#This Row],[Wickets]]*100-Table9[[#This Row],[Runs]],0)</f>
        <v>#REF!</v>
      </c>
      <c r="BI57">
        <f>Table9[[#This Row],[Wickets]]*100-Table9[[#This Row],[Runs]]</f>
        <v>60</v>
      </c>
      <c r="BJ57">
        <f ca="1">IFERROR(IF(MATCH(Table9[[#This Row],[Bowler]],OFFSET(AR58,0,0,BOWLROWS-ROW(AR57)-ROW(Table9[[#Headers],[BOWLER CUML WICKETS]])),0)&gt;0,0,SUMIF($AR$6:AR57,Table9[[#This Row],[Bowler]],$AV$6:AV57)),SUMIF($AR$6:AR57,Table9[[#This Row],[Bowler]],$AV$6:AV57))</f>
        <v>0</v>
      </c>
      <c r="BK57">
        <f ca="1">IFERROR(IF(MATCH(Table9[[#This Row],[Bowler]],OFFSET(AR58,0,0,BOWLROWS-ROW(AR57)-ROW(Table9[[#Headers],[BOWLER CUML WICKETS]])),0)&gt;0,0,SUMIF($AR$6:AR57,Table9[[#This Row],[Bowler]],$AU$6:AU57)),SUMIF($AR$6:AR57,Table9[[#This Row],[Bowler]],$AU$6:AU57))</f>
        <v>0</v>
      </c>
      <c r="BL57">
        <f ca="1">Table9[[#This Row],[BOWLER CUML WICKETS]]*100-Table9[[#This Row],[BOWLER CUML RUNS]]</f>
        <v>0</v>
      </c>
    </row>
    <row r="58" spans="1:64" x14ac:dyDescent="0.3">
      <c r="A58">
        <v>39</v>
      </c>
      <c r="B58" t="s">
        <v>137</v>
      </c>
      <c r="C58" t="s">
        <v>143</v>
      </c>
      <c r="D58" t="s">
        <v>240</v>
      </c>
      <c r="E58">
        <v>4</v>
      </c>
      <c r="F58">
        <v>27</v>
      </c>
      <c r="G58">
        <v>20</v>
      </c>
      <c r="H58">
        <v>1</v>
      </c>
      <c r="I58">
        <v>0</v>
      </c>
      <c r="J58">
        <v>20</v>
      </c>
      <c r="K58">
        <v>2</v>
      </c>
      <c r="L58" t="str">
        <f>CONCATENATE(T_BATTINGDATA[[#This Row],[Match]],T_BATTINGDATA[[#This Row],[Team]],T_BATTINGDATA[[#This Row],[Bat Number]])</f>
        <v>39India2</v>
      </c>
      <c r="M58" t="str">
        <f>IFERROR(IF(AND(T_BATTINGDATA[[#This Row],[Team]]=I_TEAM,IFERROR(IF(MATCH(T_BATTINGDATA[[#This Row],[BATSMAN NAME]],$O$5:O57,0)&gt;0,0),1)),1,0),"")</f>
        <v/>
      </c>
      <c r="N58" t="e">
        <f>IF(T_BATTINGDATA[[#This Row],[Team]]=I_TEAM,T_BATTINGDATA[[#This Row],[R]],0)</f>
        <v>#REF!</v>
      </c>
      <c r="O58" t="str">
        <f>LEFT(T_BATTINGDATA[[#This Row],[Batsman]],IFERROR(FIND("*",T_BATTINGDATA[[#This Row],[Batsman]])-1,IFERROR(FIND("†",T_BATTINGDATA[[#This Row],[Batsman]])-1,LEN(T_BATTINGDATA[[#This Row],[Batsman]]))))</f>
        <v>S Dhawan</v>
      </c>
      <c r="P58">
        <f ca="1">IFERROR(IF(MATCH(T_BATTINGDATA[[#This Row],[BATSMAN NAME]],OFFSET(O59,0,0,BATROWS-ROW(O58)-ROW(T_BATTINGDATA[[#Headers],[BATSMAN NAME]])),0)&gt;0,0,SUMIF($O$6:O58,T_BATTINGDATA[[#This Row],[BATSMAN NAME]],$E$6:E58)),SUMIF($O$6:O58,T_BATTINGDATA[[#This Row],[BATSMAN NAME]],$E$6:E58))</f>
        <v>0</v>
      </c>
      <c r="R58">
        <v>17</v>
      </c>
      <c r="S58" t="s">
        <v>176</v>
      </c>
      <c r="T58">
        <v>12</v>
      </c>
      <c r="U58">
        <v>12</v>
      </c>
      <c r="V58">
        <v>1</v>
      </c>
      <c r="W58">
        <v>0</v>
      </c>
      <c r="X58">
        <v>25</v>
      </c>
      <c r="Y58" t="str">
        <f>CONCATENATE(T_EXTRAS[[#This Row],[Match Number]],T_EXTRAS[[#This Row],[Team Batting]])</f>
        <v>17Scotland</v>
      </c>
      <c r="AA58">
        <v>27</v>
      </c>
      <c r="AB58" t="s">
        <v>176</v>
      </c>
      <c r="AC58">
        <v>8</v>
      </c>
      <c r="AD58">
        <v>318</v>
      </c>
      <c r="AE58">
        <v>6.36</v>
      </c>
      <c r="AF58">
        <v>50</v>
      </c>
      <c r="AG58" t="str">
        <f>T_MTOTAL[[#This Row],[Match Number]]&amp;T_MTOTAL[[#This Row],[Team]]</f>
        <v>27Scotland</v>
      </c>
      <c r="AH58">
        <v>1</v>
      </c>
      <c r="AI58" t="str">
        <f>T_MTOTAL[[#This Row],[Match Number]]&amp;" "&amp;T_MTOTAL[[#This Row],[ORDER]]</f>
        <v>27 1</v>
      </c>
      <c r="AJ58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BANGLADESH</v>
      </c>
      <c r="AK5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5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58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58">
        <f>IFERROR(IF(MATCH(T_MTOTAL[[#This Row],[ORDER LINK]],T_DL[link],0)&gt;0,INDEX(T_DL[d/l score],MATCH(T_MTOTAL[[#This Row],[ORDER LINK]],T_DL[link],0)),""),T_MTOTAL[[#This Row],[Total]])</f>
        <v>318</v>
      </c>
      <c r="AP58">
        <v>34</v>
      </c>
      <c r="AQ58" t="s">
        <v>137</v>
      </c>
      <c r="AR58" t="s">
        <v>138</v>
      </c>
      <c r="AS58">
        <v>3</v>
      </c>
      <c r="AT58">
        <v>0</v>
      </c>
      <c r="AU58">
        <v>21</v>
      </c>
      <c r="AV58">
        <v>0</v>
      </c>
      <c r="AW58">
        <v>7</v>
      </c>
      <c r="AX58">
        <v>4</v>
      </c>
      <c r="AY58">
        <v>2</v>
      </c>
      <c r="AZ58">
        <v>0</v>
      </c>
      <c r="BC58">
        <v>7</v>
      </c>
      <c r="BD58" t="str">
        <f>CONCATENATE(Table9[[#This Row],[Match Number]],Table9[[#This Row],[Team]],Table9[[#This Row],[BOWL NUM]])</f>
        <v>34India7</v>
      </c>
      <c r="BE58" t="str">
        <f>IFERROR(IF(AND(Table9[[#This Row],[Team]]=I_TEAM,IFERROR(IF(MATCH(Table9[[#This Row],[Bowler]],$AR$5:AR57,0)&gt;0,0),1)),1,0),"")</f>
        <v/>
      </c>
      <c r="BF58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5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8" t="e">
        <f>IF(Table9[[#This Row],[Team]]=I_TEAM,Table9[[#This Row],[Wickets]]*100-Table9[[#This Row],[Runs]],0)</f>
        <v>#REF!</v>
      </c>
      <c r="BI58">
        <f>Table9[[#This Row],[Wickets]]*100-Table9[[#This Row],[Runs]]</f>
        <v>-21</v>
      </c>
      <c r="BJ58">
        <f ca="1">IFERROR(IF(MATCH(Table9[[#This Row],[Bowler]],OFFSET(AR59,0,0,BOWLROWS-ROW(AR58)-ROW(Table9[[#Headers],[BOWLER CUML WICKETS]])),0)&gt;0,0,SUMIF($AR$6:AR58,Table9[[#This Row],[Bowler]],$AV$6:AV58)),SUMIF($AR$6:AR58,Table9[[#This Row],[Bowler]],$AV$6:AV58))</f>
        <v>0</v>
      </c>
      <c r="BK58">
        <f ca="1">IFERROR(IF(MATCH(Table9[[#This Row],[Bowler]],OFFSET(AR59,0,0,BOWLROWS-ROW(AR58)-ROW(Table9[[#Headers],[BOWLER CUML WICKETS]])),0)&gt;0,0,SUMIF($AR$6:AR58,Table9[[#This Row],[Bowler]],$AU$6:AU58)),SUMIF($AR$6:AR58,Table9[[#This Row],[Bowler]],$AU$6:AU58))</f>
        <v>21</v>
      </c>
      <c r="BL58">
        <f ca="1">Table9[[#This Row],[BOWLER CUML WICKETS]]*100-Table9[[#This Row],[BOWLER CUML RUNS]]</f>
        <v>-21</v>
      </c>
    </row>
    <row r="59" spans="1:64" x14ac:dyDescent="0.3">
      <c r="A59">
        <v>39</v>
      </c>
      <c r="B59" t="s">
        <v>137</v>
      </c>
      <c r="C59" t="s">
        <v>147</v>
      </c>
      <c r="D59" t="s">
        <v>241</v>
      </c>
      <c r="E59">
        <v>38</v>
      </c>
      <c r="F59">
        <v>71</v>
      </c>
      <c r="G59">
        <v>48</v>
      </c>
      <c r="H59">
        <v>4</v>
      </c>
      <c r="I59">
        <v>0</v>
      </c>
      <c r="J59">
        <v>79.16</v>
      </c>
      <c r="K59">
        <v>3</v>
      </c>
      <c r="L59" t="str">
        <f>CONCATENATE(T_BATTINGDATA[[#This Row],[Match]],T_BATTINGDATA[[#This Row],[Team]],T_BATTINGDATA[[#This Row],[Bat Number]])</f>
        <v>39India3</v>
      </c>
      <c r="M59" t="str">
        <f>IFERROR(IF(AND(T_BATTINGDATA[[#This Row],[Team]]=I_TEAM,IFERROR(IF(MATCH(T_BATTINGDATA[[#This Row],[BATSMAN NAME]],$O$5:O58,0)&gt;0,0),1)),1,0),"")</f>
        <v/>
      </c>
      <c r="N59" t="e">
        <f>IF(T_BATTINGDATA[[#This Row],[Team]]=I_TEAM,T_BATTINGDATA[[#This Row],[R]],0)</f>
        <v>#REF!</v>
      </c>
      <c r="O59" t="str">
        <f>LEFT(T_BATTINGDATA[[#This Row],[Batsman]],IFERROR(FIND("*",T_BATTINGDATA[[#This Row],[Batsman]])-1,IFERROR(FIND("†",T_BATTINGDATA[[#This Row],[Batsman]])-1,LEN(T_BATTINGDATA[[#This Row],[Batsman]]))))</f>
        <v>V Kohli</v>
      </c>
      <c r="P59">
        <f ca="1">IFERROR(IF(MATCH(T_BATTINGDATA[[#This Row],[BATSMAN NAME]],OFFSET(O60,0,0,BATROWS-ROW(O59)-ROW(T_BATTINGDATA[[#Headers],[BATSMAN NAME]])),0)&gt;0,0,SUMIF($O$6:O59,T_BATTINGDATA[[#This Row],[BATSMAN NAME]],$E$6:E59)),SUMIF($O$6:O59,T_BATTINGDATA[[#This Row],[BATSMAN NAME]],$E$6:E59))</f>
        <v>0</v>
      </c>
      <c r="R59">
        <v>17</v>
      </c>
      <c r="S59" t="s">
        <v>185</v>
      </c>
      <c r="T59">
        <v>1</v>
      </c>
      <c r="U59">
        <v>10</v>
      </c>
      <c r="V59">
        <v>1</v>
      </c>
      <c r="W59">
        <v>0</v>
      </c>
      <c r="X59">
        <v>12</v>
      </c>
      <c r="Y59" t="str">
        <f>CONCATENATE(T_EXTRAS[[#This Row],[Match Number]],T_EXTRAS[[#This Row],[Team Batting]])</f>
        <v>17Afghanistan</v>
      </c>
      <c r="AA59">
        <v>27</v>
      </c>
      <c r="AB59" t="s">
        <v>181</v>
      </c>
      <c r="AC59">
        <v>4</v>
      </c>
      <c r="AD59">
        <v>322</v>
      </c>
      <c r="AE59">
        <v>6.68</v>
      </c>
      <c r="AF59">
        <v>48.1</v>
      </c>
      <c r="AG59" t="str">
        <f>T_MTOTAL[[#This Row],[Match Number]]&amp;T_MTOTAL[[#This Row],[Team]]</f>
        <v>27Bangladesh</v>
      </c>
      <c r="AH59">
        <v>2</v>
      </c>
      <c r="AI59" t="str">
        <f>T_MTOTAL[[#This Row],[Match Number]]&amp;" "&amp;T_MTOTAL[[#This Row],[ORDER]]</f>
        <v>27 2</v>
      </c>
      <c r="AJ59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SCOTLAND</v>
      </c>
      <c r="AK5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48.1</v>
      </c>
      <c r="AL5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289</v>
      </c>
      <c r="AM59">
        <f>(LEFT(T_MTOTAL[[#This Row],[Overs]],IFERROR(FIND(".",T_MTOTAL[[#This Row],[Overs]])-1,LEN(T_MTOTAL[[#This Row],[Overs]])))*6) + IFERROR(IF(FIND(".",T_MTOTAL[[#This Row],[Overs]])+1&gt;0,RIGHT(T_MTOTAL[[#This Row],[Overs]],1),0),0)</f>
        <v>289</v>
      </c>
      <c r="AN59">
        <f>IFERROR(IF(MATCH(T_MTOTAL[[#This Row],[ORDER LINK]],T_DL[link],0)&gt;0,INDEX(T_DL[d/l score],MATCH(T_MTOTAL[[#This Row],[ORDER LINK]],T_DL[link],0)),""),T_MTOTAL[[#This Row],[Total]])</f>
        <v>322</v>
      </c>
      <c r="AP59">
        <v>34</v>
      </c>
      <c r="AQ59" t="s">
        <v>169</v>
      </c>
      <c r="AR59" t="s">
        <v>242</v>
      </c>
      <c r="AS59">
        <v>6</v>
      </c>
      <c r="AT59">
        <v>0</v>
      </c>
      <c r="AU59">
        <v>44</v>
      </c>
      <c r="AV59">
        <v>0</v>
      </c>
      <c r="AW59">
        <v>7.33</v>
      </c>
      <c r="AX59">
        <v>22</v>
      </c>
      <c r="AY59">
        <v>7</v>
      </c>
      <c r="AZ59">
        <v>1</v>
      </c>
      <c r="BA59">
        <v>4</v>
      </c>
      <c r="BC59">
        <v>1</v>
      </c>
      <c r="BD59" t="str">
        <f>CONCATENATE(Table9[[#This Row],[Match Number]],Table9[[#This Row],[Team]],Table9[[#This Row],[BOWL NUM]])</f>
        <v>34Ireland1</v>
      </c>
      <c r="BE59" t="str">
        <f>IFERROR(IF(AND(Table9[[#This Row],[Team]]=I_TEAM,IFERROR(IF(MATCH(Table9[[#This Row],[Bowler]],$AR$5:AR58,0)&gt;0,0),1)),1,0),"")</f>
        <v/>
      </c>
      <c r="BF59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5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59" t="e">
        <f>IF(Table9[[#This Row],[Team]]=I_TEAM,Table9[[#This Row],[Wickets]]*100-Table9[[#This Row],[Runs]],0)</f>
        <v>#REF!</v>
      </c>
      <c r="BI59">
        <f>Table9[[#This Row],[Wickets]]*100-Table9[[#This Row],[Runs]]</f>
        <v>-44</v>
      </c>
      <c r="BJ59">
        <f ca="1">IFERROR(IF(MATCH(Table9[[#This Row],[Bowler]],OFFSET(AR60,0,0,BOWLROWS-ROW(AR59)-ROW(Table9[[#Headers],[BOWLER CUML WICKETS]])),0)&gt;0,0,SUMIF($AR$6:AR59,Table9[[#This Row],[Bowler]],$AV$6:AV59)),SUMIF($AR$6:AR59,Table9[[#This Row],[Bowler]],$AV$6:AV59))</f>
        <v>0</v>
      </c>
      <c r="BK59">
        <f ca="1">IFERROR(IF(MATCH(Table9[[#This Row],[Bowler]],OFFSET(AR60,0,0,BOWLROWS-ROW(AR59)-ROW(Table9[[#Headers],[BOWLER CUML WICKETS]])),0)&gt;0,0,SUMIF($AR$6:AR59,Table9[[#This Row],[Bowler]],$AU$6:AU59)),SUMIF($AR$6:AR59,Table9[[#This Row],[Bowler]],$AU$6:AU59))</f>
        <v>0</v>
      </c>
      <c r="BL59">
        <f ca="1">Table9[[#This Row],[BOWLER CUML WICKETS]]*100-Table9[[#This Row],[BOWLER CUML RUNS]]</f>
        <v>0</v>
      </c>
    </row>
    <row r="60" spans="1:64" x14ac:dyDescent="0.3">
      <c r="A60">
        <v>39</v>
      </c>
      <c r="B60" t="s">
        <v>137</v>
      </c>
      <c r="C60" t="s">
        <v>151</v>
      </c>
      <c r="D60" t="s">
        <v>243</v>
      </c>
      <c r="E60">
        <v>19</v>
      </c>
      <c r="F60">
        <v>40</v>
      </c>
      <c r="G60">
        <v>24</v>
      </c>
      <c r="H60">
        <v>3</v>
      </c>
      <c r="I60">
        <v>0</v>
      </c>
      <c r="J60">
        <v>79.16</v>
      </c>
      <c r="K60">
        <v>4</v>
      </c>
      <c r="L60" t="str">
        <f>CONCATENATE(T_BATTINGDATA[[#This Row],[Match]],T_BATTINGDATA[[#This Row],[Team]],T_BATTINGDATA[[#This Row],[Bat Number]])</f>
        <v>39India4</v>
      </c>
      <c r="M60" t="str">
        <f>IFERROR(IF(AND(T_BATTINGDATA[[#This Row],[Team]]=I_TEAM,IFERROR(IF(MATCH(T_BATTINGDATA[[#This Row],[BATSMAN NAME]],$O$5:O59,0)&gt;0,0),1)),1,0),"")</f>
        <v/>
      </c>
      <c r="N60" t="e">
        <f>IF(T_BATTINGDATA[[#This Row],[Team]]=I_TEAM,T_BATTINGDATA[[#This Row],[R]],0)</f>
        <v>#REF!</v>
      </c>
      <c r="O60" t="str">
        <f>LEFT(T_BATTINGDATA[[#This Row],[Batsman]],IFERROR(FIND("*",T_BATTINGDATA[[#This Row],[Batsman]])-1,IFERROR(FIND("†",T_BATTINGDATA[[#This Row],[Batsman]])-1,LEN(T_BATTINGDATA[[#This Row],[Batsman]]))))</f>
        <v>AM Rahane</v>
      </c>
      <c r="P60">
        <f ca="1">IFERROR(IF(MATCH(T_BATTINGDATA[[#This Row],[BATSMAN NAME]],OFFSET(O61,0,0,BATROWS-ROW(O60)-ROW(T_BATTINGDATA[[#Headers],[BATSMAN NAME]])),0)&gt;0,0,SUMIF($O$6:O60,T_BATTINGDATA[[#This Row],[BATSMAN NAME]],$E$6:E60)),SUMIF($O$6:O60,T_BATTINGDATA[[#This Row],[BATSMAN NAME]],$E$6:E60))</f>
        <v>0</v>
      </c>
      <c r="R60">
        <v>18</v>
      </c>
      <c r="S60" t="s">
        <v>145</v>
      </c>
      <c r="T60">
        <v>2</v>
      </c>
      <c r="U60">
        <v>9</v>
      </c>
      <c r="V60">
        <v>0</v>
      </c>
      <c r="W60">
        <v>3</v>
      </c>
      <c r="X60">
        <v>14</v>
      </c>
      <c r="Y60" t="str">
        <f>CONCATENATE(T_EXTRAS[[#This Row],[Match Number]],T_EXTRAS[[#This Row],[Team Batting]])</f>
        <v>18Sri Lanka</v>
      </c>
      <c r="AA60">
        <v>28</v>
      </c>
      <c r="AB60" t="s">
        <v>170</v>
      </c>
      <c r="AC60">
        <v>10</v>
      </c>
      <c r="AD60">
        <v>182</v>
      </c>
      <c r="AE60">
        <v>4.0999999999999996</v>
      </c>
      <c r="AF60">
        <v>44.2</v>
      </c>
      <c r="AG60" t="str">
        <f>T_MTOTAL[[#This Row],[Match Number]]&amp;T_MTOTAL[[#This Row],[Team]]</f>
        <v>28West Indies</v>
      </c>
      <c r="AH60">
        <v>1</v>
      </c>
      <c r="AI60" t="str">
        <f>T_MTOTAL[[#This Row],[Match Number]]&amp;" "&amp;T_MTOTAL[[#This Row],[ORDER]]</f>
        <v>28 1</v>
      </c>
      <c r="AJ60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INDIA</v>
      </c>
      <c r="AK6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6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60">
        <f>(LEFT(T_MTOTAL[[#This Row],[Overs]],IFERROR(FIND(".",T_MTOTAL[[#This Row],[Overs]])-1,LEN(T_MTOTAL[[#This Row],[Overs]])))*6) + IFERROR(IF(FIND(".",T_MTOTAL[[#This Row],[Overs]])+1&gt;0,RIGHT(T_MTOTAL[[#This Row],[Overs]],1),0),0)</f>
        <v>266</v>
      </c>
      <c r="AN60">
        <f>IFERROR(IF(MATCH(T_MTOTAL[[#This Row],[ORDER LINK]],T_DL[link],0)&gt;0,INDEX(T_DL[d/l score],MATCH(T_MTOTAL[[#This Row],[ORDER LINK]],T_DL[link],0)),""),T_MTOTAL[[#This Row],[Total]])</f>
        <v>182</v>
      </c>
      <c r="AP60">
        <v>34</v>
      </c>
      <c r="AQ60" t="s">
        <v>169</v>
      </c>
      <c r="AR60" t="s">
        <v>244</v>
      </c>
      <c r="AS60">
        <v>8</v>
      </c>
      <c r="AT60">
        <v>0</v>
      </c>
      <c r="AU60">
        <v>43</v>
      </c>
      <c r="AV60">
        <v>0</v>
      </c>
      <c r="AW60">
        <v>5.37</v>
      </c>
      <c r="AX60">
        <v>25</v>
      </c>
      <c r="AY60">
        <v>6</v>
      </c>
      <c r="AZ60">
        <v>0</v>
      </c>
      <c r="BA60">
        <v>1</v>
      </c>
      <c r="BC60">
        <v>2</v>
      </c>
      <c r="BD60" t="str">
        <f>CONCATENATE(Table9[[#This Row],[Match Number]],Table9[[#This Row],[Team]],Table9[[#This Row],[BOWL NUM]])</f>
        <v>34Ireland2</v>
      </c>
      <c r="BE60" t="str">
        <f>IFERROR(IF(AND(Table9[[#This Row],[Team]]=I_TEAM,IFERROR(IF(MATCH(Table9[[#This Row],[Bowler]],$AR$5:AR59,0)&gt;0,0),1)),1,0),"")</f>
        <v/>
      </c>
      <c r="BF6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6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60" t="e">
        <f>IF(Table9[[#This Row],[Team]]=I_TEAM,Table9[[#This Row],[Wickets]]*100-Table9[[#This Row],[Runs]],0)</f>
        <v>#REF!</v>
      </c>
      <c r="BI60">
        <f>Table9[[#This Row],[Wickets]]*100-Table9[[#This Row],[Runs]]</f>
        <v>-43</v>
      </c>
      <c r="BJ60">
        <f ca="1">IFERROR(IF(MATCH(Table9[[#This Row],[Bowler]],OFFSET(AR61,0,0,BOWLROWS-ROW(AR60)-ROW(Table9[[#Headers],[BOWLER CUML WICKETS]])),0)&gt;0,0,SUMIF($AR$6:AR60,Table9[[#This Row],[Bowler]],$AV$6:AV60)),SUMIF($AR$6:AR60,Table9[[#This Row],[Bowler]],$AV$6:AV60))</f>
        <v>0</v>
      </c>
      <c r="BK60">
        <f ca="1">IFERROR(IF(MATCH(Table9[[#This Row],[Bowler]],OFFSET(AR61,0,0,BOWLROWS-ROW(AR60)-ROW(Table9[[#Headers],[BOWLER CUML WICKETS]])),0)&gt;0,0,SUMIF($AR$6:AR60,Table9[[#This Row],[Bowler]],$AU$6:AU60)),SUMIF($AR$6:AR60,Table9[[#This Row],[Bowler]],$AU$6:AU60))</f>
        <v>0</v>
      </c>
      <c r="BL60">
        <f ca="1">Table9[[#This Row],[BOWLER CUML WICKETS]]*100-Table9[[#This Row],[BOWLER CUML RUNS]]</f>
        <v>0</v>
      </c>
    </row>
    <row r="61" spans="1:64" x14ac:dyDescent="0.3">
      <c r="A61">
        <v>39</v>
      </c>
      <c r="B61" t="s">
        <v>137</v>
      </c>
      <c r="C61" t="s">
        <v>156</v>
      </c>
      <c r="D61" t="s">
        <v>167</v>
      </c>
      <c r="E61">
        <v>110</v>
      </c>
      <c r="F61">
        <v>141</v>
      </c>
      <c r="G61">
        <v>104</v>
      </c>
      <c r="H61">
        <v>9</v>
      </c>
      <c r="I61">
        <v>4</v>
      </c>
      <c r="J61">
        <v>105.76</v>
      </c>
      <c r="K61">
        <v>5</v>
      </c>
      <c r="L61" t="str">
        <f>CONCATENATE(T_BATTINGDATA[[#This Row],[Match]],T_BATTINGDATA[[#This Row],[Team]],T_BATTINGDATA[[#This Row],[Bat Number]])</f>
        <v>39India5</v>
      </c>
      <c r="M61" t="str">
        <f>IFERROR(IF(AND(T_BATTINGDATA[[#This Row],[Team]]=I_TEAM,IFERROR(IF(MATCH(T_BATTINGDATA[[#This Row],[BATSMAN NAME]],$O$5:O60,0)&gt;0,0),1)),1,0),"")</f>
        <v/>
      </c>
      <c r="N61" t="e">
        <f>IF(T_BATTINGDATA[[#This Row],[Team]]=I_TEAM,T_BATTINGDATA[[#This Row],[R]],0)</f>
        <v>#REF!</v>
      </c>
      <c r="O61" t="str">
        <f>LEFT(T_BATTINGDATA[[#This Row],[Batsman]],IFERROR(FIND("*",T_BATTINGDATA[[#This Row],[Batsman]])-1,IFERROR(FIND("†",T_BATTINGDATA[[#This Row],[Batsman]])-1,LEN(T_BATTINGDATA[[#This Row],[Batsman]]))))</f>
        <v>SK Raina</v>
      </c>
      <c r="P61">
        <f ca="1">IFERROR(IF(MATCH(T_BATTINGDATA[[#This Row],[BATSMAN NAME]],OFFSET(O62,0,0,BATROWS-ROW(O61)-ROW(T_BATTINGDATA[[#Headers],[BATSMAN NAME]])),0)&gt;0,0,SUMIF($O$6:O61,T_BATTINGDATA[[#This Row],[BATSMAN NAME]],$E$6:E61)),SUMIF($O$6:O61,T_BATTINGDATA[[#This Row],[BATSMAN NAME]],$E$6:E61))</f>
        <v>0</v>
      </c>
      <c r="R61">
        <v>18</v>
      </c>
      <c r="S61" t="s">
        <v>181</v>
      </c>
      <c r="T61">
        <v>9</v>
      </c>
      <c r="U61">
        <v>6</v>
      </c>
      <c r="V61">
        <v>0</v>
      </c>
      <c r="W61">
        <v>0</v>
      </c>
      <c r="X61">
        <v>15</v>
      </c>
      <c r="Y61" t="str">
        <f>CONCATENATE(T_EXTRAS[[#This Row],[Match Number]],T_EXTRAS[[#This Row],[Team Batting]])</f>
        <v>18Bangladesh</v>
      </c>
      <c r="AA61">
        <v>28</v>
      </c>
      <c r="AB61" t="s">
        <v>137</v>
      </c>
      <c r="AC61">
        <v>6</v>
      </c>
      <c r="AD61">
        <v>185</v>
      </c>
      <c r="AE61">
        <v>4.72</v>
      </c>
      <c r="AF61">
        <v>39.1</v>
      </c>
      <c r="AG61" t="str">
        <f>T_MTOTAL[[#This Row],[Match Number]]&amp;T_MTOTAL[[#This Row],[Team]]</f>
        <v>28India</v>
      </c>
      <c r="AH61">
        <v>2</v>
      </c>
      <c r="AI61" t="str">
        <f>T_MTOTAL[[#This Row],[Match Number]]&amp;" "&amp;T_MTOTAL[[#This Row],[ORDER]]</f>
        <v>28 2</v>
      </c>
      <c r="AJ61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WEST INDIES</v>
      </c>
      <c r="AK6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39.1</v>
      </c>
      <c r="AL6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235</v>
      </c>
      <c r="AM61">
        <f>(LEFT(T_MTOTAL[[#This Row],[Overs]],IFERROR(FIND(".",T_MTOTAL[[#This Row],[Overs]])-1,LEN(T_MTOTAL[[#This Row],[Overs]])))*6) + IFERROR(IF(FIND(".",T_MTOTAL[[#This Row],[Overs]])+1&gt;0,RIGHT(T_MTOTAL[[#This Row],[Overs]],1),0),0)</f>
        <v>235</v>
      </c>
      <c r="AN61">
        <f>IFERROR(IF(MATCH(T_MTOTAL[[#This Row],[ORDER LINK]],T_DL[link],0)&gt;0,INDEX(T_DL[d/l score],MATCH(T_MTOTAL[[#This Row],[ORDER LINK]],T_DL[link],0)),""),T_MTOTAL[[#This Row],[Total]])</f>
        <v>185</v>
      </c>
      <c r="AP61">
        <v>34</v>
      </c>
      <c r="AQ61" t="s">
        <v>169</v>
      </c>
      <c r="AR61" t="s">
        <v>245</v>
      </c>
      <c r="AS61">
        <v>6</v>
      </c>
      <c r="AT61">
        <v>0</v>
      </c>
      <c r="AU61">
        <v>45</v>
      </c>
      <c r="AV61">
        <v>2</v>
      </c>
      <c r="AW61">
        <v>7.5</v>
      </c>
      <c r="AX61">
        <v>20</v>
      </c>
      <c r="AY61">
        <v>3</v>
      </c>
      <c r="AZ61">
        <v>2</v>
      </c>
      <c r="BA61">
        <v>4</v>
      </c>
      <c r="BC61">
        <v>3</v>
      </c>
      <c r="BD61" t="str">
        <f>CONCATENATE(Table9[[#This Row],[Match Number]],Table9[[#This Row],[Team]],Table9[[#This Row],[BOWL NUM]])</f>
        <v>34Ireland3</v>
      </c>
      <c r="BE61" t="str">
        <f>IFERROR(IF(AND(Table9[[#This Row],[Team]]=I_TEAM,IFERROR(IF(MATCH(Table9[[#This Row],[Bowler]],$AR$5:AR60,0)&gt;0,0),1)),1,0),"")</f>
        <v/>
      </c>
      <c r="BF61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6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61" t="e">
        <f>IF(Table9[[#This Row],[Team]]=I_TEAM,Table9[[#This Row],[Wickets]]*100-Table9[[#This Row],[Runs]],0)</f>
        <v>#REF!</v>
      </c>
      <c r="BI61">
        <f>Table9[[#This Row],[Wickets]]*100-Table9[[#This Row],[Runs]]</f>
        <v>155</v>
      </c>
      <c r="BJ61">
        <f ca="1">IFERROR(IF(MATCH(Table9[[#This Row],[Bowler]],OFFSET(AR62,0,0,BOWLROWS-ROW(AR61)-ROW(Table9[[#Headers],[BOWLER CUML WICKETS]])),0)&gt;0,0,SUMIF($AR$6:AR61,Table9[[#This Row],[Bowler]],$AV$6:AV61)),SUMIF($AR$6:AR61,Table9[[#This Row],[Bowler]],$AV$6:AV61))</f>
        <v>2</v>
      </c>
      <c r="BK61">
        <f ca="1">IFERROR(IF(MATCH(Table9[[#This Row],[Bowler]],OFFSET(AR62,0,0,BOWLROWS-ROW(AR61)-ROW(Table9[[#Headers],[BOWLER CUML WICKETS]])),0)&gt;0,0,SUMIF($AR$6:AR61,Table9[[#This Row],[Bowler]],$AU$6:AU61)),SUMIF($AR$6:AR61,Table9[[#This Row],[Bowler]],$AU$6:AU61))</f>
        <v>45</v>
      </c>
      <c r="BL61">
        <f ca="1">Table9[[#This Row],[BOWLER CUML WICKETS]]*100-Table9[[#This Row],[BOWLER CUML RUNS]]</f>
        <v>155</v>
      </c>
    </row>
    <row r="62" spans="1:64" x14ac:dyDescent="0.3">
      <c r="A62">
        <v>39</v>
      </c>
      <c r="B62" t="s">
        <v>137</v>
      </c>
      <c r="C62" t="s">
        <v>160</v>
      </c>
      <c r="D62" t="s">
        <v>167</v>
      </c>
      <c r="E62">
        <v>85</v>
      </c>
      <c r="F62">
        <v>113</v>
      </c>
      <c r="G62">
        <v>76</v>
      </c>
      <c r="H62">
        <v>8</v>
      </c>
      <c r="I62">
        <v>2</v>
      </c>
      <c r="J62">
        <v>111.84</v>
      </c>
      <c r="K62">
        <v>6</v>
      </c>
      <c r="L62" t="str">
        <f>CONCATENATE(T_BATTINGDATA[[#This Row],[Match]],T_BATTINGDATA[[#This Row],[Team]],T_BATTINGDATA[[#This Row],[Bat Number]])</f>
        <v>39India6</v>
      </c>
      <c r="M62" t="str">
        <f>IFERROR(IF(AND(T_BATTINGDATA[[#This Row],[Team]]=I_TEAM,IFERROR(IF(MATCH(T_BATTINGDATA[[#This Row],[BATSMAN NAME]],$O$5:O61,0)&gt;0,0),1)),1,0),"")</f>
        <v/>
      </c>
      <c r="N62" t="e">
        <f>IF(T_BATTINGDATA[[#This Row],[Team]]=I_TEAM,T_BATTINGDATA[[#This Row],[R]],0)</f>
        <v>#REF!</v>
      </c>
      <c r="O62" t="str">
        <f>LEFT(T_BATTINGDATA[[#This Row],[Batsman]],IFERROR(FIND("*",T_BATTINGDATA[[#This Row],[Batsman]])-1,IFERROR(FIND("†",T_BATTINGDATA[[#This Row],[Batsman]])-1,LEN(T_BATTINGDATA[[#This Row],[Batsman]]))))</f>
        <v>MS Dhoni</v>
      </c>
      <c r="P62">
        <f ca="1">IFERROR(IF(MATCH(T_BATTINGDATA[[#This Row],[BATSMAN NAME]],OFFSET(O63,0,0,BATROWS-ROW(O62)-ROW(T_BATTINGDATA[[#Headers],[BATSMAN NAME]])),0)&gt;0,0,SUMIF($O$6:O62,T_BATTINGDATA[[#This Row],[BATSMAN NAME]],$E$6:E62)),SUMIF($O$6:O62,T_BATTINGDATA[[#This Row],[BATSMAN NAME]],$E$6:E62))</f>
        <v>0</v>
      </c>
      <c r="R62">
        <v>19</v>
      </c>
      <c r="S62" t="s">
        <v>141</v>
      </c>
      <c r="T62">
        <v>2</v>
      </c>
      <c r="U62">
        <v>11</v>
      </c>
      <c r="V62">
        <v>3</v>
      </c>
      <c r="W62">
        <v>0</v>
      </c>
      <c r="X62">
        <v>16</v>
      </c>
      <c r="Y62" t="str">
        <f>CONCATENATE(T_EXTRAS[[#This Row],[Match Number]],T_EXTRAS[[#This Row],[Team Batting]])</f>
        <v>19South Africa</v>
      </c>
      <c r="AA62">
        <v>29</v>
      </c>
      <c r="AB62" t="s">
        <v>153</v>
      </c>
      <c r="AC62">
        <v>10</v>
      </c>
      <c r="AD62">
        <v>222</v>
      </c>
      <c r="AE62">
        <v>4.75</v>
      </c>
      <c r="AF62">
        <v>46.4</v>
      </c>
      <c r="AG62" t="str">
        <f>T_MTOTAL[[#This Row],[Match Number]]&amp;T_MTOTAL[[#This Row],[Team]]</f>
        <v>29Pakistan</v>
      </c>
      <c r="AH62">
        <v>1</v>
      </c>
      <c r="AI62" t="str">
        <f>T_MTOTAL[[#This Row],[Match Number]]&amp;" "&amp;T_MTOTAL[[#This Row],[ORDER]]</f>
        <v>29 1</v>
      </c>
      <c r="AJ62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SOUTH AFRICA</v>
      </c>
      <c r="AK6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47</v>
      </c>
      <c r="AL6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282</v>
      </c>
      <c r="AM62">
        <f>(LEFT(T_MTOTAL[[#This Row],[Overs]],IFERROR(FIND(".",T_MTOTAL[[#This Row],[Overs]])-1,LEN(T_MTOTAL[[#This Row],[Overs]])))*6) + IFERROR(IF(FIND(".",T_MTOTAL[[#This Row],[Overs]])+1&gt;0,RIGHT(T_MTOTAL[[#This Row],[Overs]],1),0),0)</f>
        <v>280</v>
      </c>
      <c r="AN62">
        <f>IFERROR(IF(MATCH(T_MTOTAL[[#This Row],[ORDER LINK]],T_DL[link],0)&gt;0,INDEX(T_DL[d/l score],MATCH(T_MTOTAL[[#This Row],[ORDER LINK]],T_DL[link],0)),""),T_MTOTAL[[#This Row],[Total]])</f>
        <v>231</v>
      </c>
      <c r="AP62">
        <v>34</v>
      </c>
      <c r="AQ62" t="s">
        <v>169</v>
      </c>
      <c r="AR62" t="s">
        <v>246</v>
      </c>
      <c r="AS62">
        <v>5</v>
      </c>
      <c r="AT62">
        <v>0</v>
      </c>
      <c r="AU62">
        <v>44</v>
      </c>
      <c r="AV62">
        <v>0</v>
      </c>
      <c r="AW62">
        <v>8.8000000000000007</v>
      </c>
      <c r="AX62">
        <v>11</v>
      </c>
      <c r="AY62">
        <v>2</v>
      </c>
      <c r="AZ62">
        <v>3</v>
      </c>
      <c r="BC62">
        <v>4</v>
      </c>
      <c r="BD62" t="str">
        <f>CONCATENATE(Table9[[#This Row],[Match Number]],Table9[[#This Row],[Team]],Table9[[#This Row],[BOWL NUM]])</f>
        <v>34Ireland4</v>
      </c>
      <c r="BE62" t="str">
        <f>IFERROR(IF(AND(Table9[[#This Row],[Team]]=I_TEAM,IFERROR(IF(MATCH(Table9[[#This Row],[Bowler]],$AR$5:AR61,0)&gt;0,0),1)),1,0),"")</f>
        <v/>
      </c>
      <c r="BF62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6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62" t="e">
        <f>IF(Table9[[#This Row],[Team]]=I_TEAM,Table9[[#This Row],[Wickets]]*100-Table9[[#This Row],[Runs]],0)</f>
        <v>#REF!</v>
      </c>
      <c r="BI62">
        <f>Table9[[#This Row],[Wickets]]*100-Table9[[#This Row],[Runs]]</f>
        <v>-44</v>
      </c>
      <c r="BJ62">
        <f ca="1">IFERROR(IF(MATCH(Table9[[#This Row],[Bowler]],OFFSET(AR63,0,0,BOWLROWS-ROW(AR62)-ROW(Table9[[#Headers],[BOWLER CUML WICKETS]])),0)&gt;0,0,SUMIF($AR$6:AR62,Table9[[#This Row],[Bowler]],$AV$6:AV62)),SUMIF($AR$6:AR62,Table9[[#This Row],[Bowler]],$AV$6:AV62))</f>
        <v>0</v>
      </c>
      <c r="BK62">
        <f ca="1">IFERROR(IF(MATCH(Table9[[#This Row],[Bowler]],OFFSET(AR63,0,0,BOWLROWS-ROW(AR62)-ROW(Table9[[#Headers],[BOWLER CUML WICKETS]])),0)&gt;0,0,SUMIF($AR$6:AR62,Table9[[#This Row],[Bowler]],$AU$6:AU62)),SUMIF($AR$6:AR62,Table9[[#This Row],[Bowler]],$AU$6:AU62))</f>
        <v>0</v>
      </c>
      <c r="BL62">
        <f ca="1">Table9[[#This Row],[BOWLER CUML WICKETS]]*100-Table9[[#This Row],[BOWLER CUML RUNS]]</f>
        <v>0</v>
      </c>
    </row>
    <row r="63" spans="1:64" x14ac:dyDescent="0.3">
      <c r="A63">
        <v>21</v>
      </c>
      <c r="B63" t="s">
        <v>164</v>
      </c>
      <c r="C63" t="s">
        <v>247</v>
      </c>
      <c r="D63" t="s">
        <v>248</v>
      </c>
      <c r="E63">
        <v>4</v>
      </c>
      <c r="F63">
        <v>20</v>
      </c>
      <c r="G63">
        <v>12</v>
      </c>
      <c r="H63">
        <v>0</v>
      </c>
      <c r="I63">
        <v>0</v>
      </c>
      <c r="J63">
        <v>33.33</v>
      </c>
      <c r="K63">
        <v>1</v>
      </c>
      <c r="L63" t="str">
        <f>CONCATENATE(T_BATTINGDATA[[#This Row],[Match]],T_BATTINGDATA[[#This Row],[Team]],T_BATTINGDATA[[#This Row],[Bat Number]])</f>
        <v>21UAE1</v>
      </c>
      <c r="M63" t="str">
        <f>IFERROR(IF(AND(T_BATTINGDATA[[#This Row],[Team]]=I_TEAM,IFERROR(IF(MATCH(T_BATTINGDATA[[#This Row],[BATSMAN NAME]],$O$5:O62,0)&gt;0,0),1)),1,0),"")</f>
        <v/>
      </c>
      <c r="N63" t="e">
        <f>IF(T_BATTINGDATA[[#This Row],[Team]]=I_TEAM,T_BATTINGDATA[[#This Row],[R]],0)</f>
        <v>#REF!</v>
      </c>
      <c r="O63" t="str">
        <f>LEFT(T_BATTINGDATA[[#This Row],[Batsman]],IFERROR(FIND("*",T_BATTINGDATA[[#This Row],[Batsman]])-1,IFERROR(FIND("†",T_BATTINGDATA[[#This Row],[Batsman]])-1,LEN(T_BATTINGDATA[[#This Row],[Batsman]]))))</f>
        <v>Amjad Ali</v>
      </c>
      <c r="P63">
        <f ca="1">IFERROR(IF(MATCH(T_BATTINGDATA[[#This Row],[BATSMAN NAME]],OFFSET(O64,0,0,BATROWS-ROW(O63)-ROW(T_BATTINGDATA[[#Headers],[BATSMAN NAME]])),0)&gt;0,0,SUMIF($O$6:O63,T_BATTINGDATA[[#This Row],[BATSMAN NAME]],$E$6:E63)),SUMIF($O$6:O63,T_BATTINGDATA[[#This Row],[BATSMAN NAME]],$E$6:E63))</f>
        <v>0</v>
      </c>
      <c r="R63">
        <v>19</v>
      </c>
      <c r="S63" t="s">
        <v>170</v>
      </c>
      <c r="T63">
        <v>5</v>
      </c>
      <c r="U63">
        <v>3</v>
      </c>
      <c r="V63">
        <v>0</v>
      </c>
      <c r="W63">
        <v>0</v>
      </c>
      <c r="X63">
        <v>8</v>
      </c>
      <c r="Y63" t="str">
        <f>CONCATENATE(T_EXTRAS[[#This Row],[Match Number]],T_EXTRAS[[#This Row],[Team Batting]])</f>
        <v>19West Indies</v>
      </c>
      <c r="AA63">
        <v>29</v>
      </c>
      <c r="AB63" t="s">
        <v>141</v>
      </c>
      <c r="AC63">
        <v>10</v>
      </c>
      <c r="AD63">
        <v>202</v>
      </c>
      <c r="AE63">
        <v>6.02</v>
      </c>
      <c r="AF63">
        <v>33.299999999999997</v>
      </c>
      <c r="AG63" t="str">
        <f>T_MTOTAL[[#This Row],[Match Number]]&amp;T_MTOTAL[[#This Row],[Team]]</f>
        <v>29South Africa</v>
      </c>
      <c r="AH63">
        <v>2</v>
      </c>
      <c r="AI63" t="str">
        <f>T_MTOTAL[[#This Row],[Match Number]]&amp;" "&amp;T_MTOTAL[[#This Row],[ORDER]]</f>
        <v>29 2</v>
      </c>
      <c r="AJ63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PAKISTAN</v>
      </c>
      <c r="AK6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47</v>
      </c>
      <c r="AL6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282</v>
      </c>
      <c r="AM63">
        <f>(LEFT(T_MTOTAL[[#This Row],[Overs]],IFERROR(FIND(".",T_MTOTAL[[#This Row],[Overs]])-1,LEN(T_MTOTAL[[#This Row],[Overs]])))*6) + IFERROR(IF(FIND(".",T_MTOTAL[[#This Row],[Overs]])+1&gt;0,RIGHT(T_MTOTAL[[#This Row],[Overs]],1),0),0)</f>
        <v>201</v>
      </c>
      <c r="AN63">
        <f>IFERROR(IF(MATCH(T_MTOTAL[[#This Row],[ORDER LINK]],T_DL[link],0)&gt;0,INDEX(T_DL[d/l score],MATCH(T_MTOTAL[[#This Row],[ORDER LINK]],T_DL[link],0)),""),T_MTOTAL[[#This Row],[Total]])</f>
        <v>202</v>
      </c>
      <c r="AP63">
        <v>34</v>
      </c>
      <c r="AQ63" t="s">
        <v>169</v>
      </c>
      <c r="AR63" t="s">
        <v>249</v>
      </c>
      <c r="AS63">
        <v>5</v>
      </c>
      <c r="AT63">
        <v>0</v>
      </c>
      <c r="AU63">
        <v>36</v>
      </c>
      <c r="AV63">
        <v>0</v>
      </c>
      <c r="AW63">
        <v>7.2</v>
      </c>
      <c r="AX63">
        <v>10</v>
      </c>
      <c r="AY63">
        <v>2</v>
      </c>
      <c r="AZ63">
        <v>2</v>
      </c>
      <c r="BC63">
        <v>5</v>
      </c>
      <c r="BD63" t="str">
        <f>CONCATENATE(Table9[[#This Row],[Match Number]],Table9[[#This Row],[Team]],Table9[[#This Row],[BOWL NUM]])</f>
        <v>34Ireland5</v>
      </c>
      <c r="BE63" t="str">
        <f>IFERROR(IF(AND(Table9[[#This Row],[Team]]=I_TEAM,IFERROR(IF(MATCH(Table9[[#This Row],[Bowler]],$AR$5:AR62,0)&gt;0,0),1)),1,0),"")</f>
        <v/>
      </c>
      <c r="BF63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6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63" t="e">
        <f>IF(Table9[[#This Row],[Team]]=I_TEAM,Table9[[#This Row],[Wickets]]*100-Table9[[#This Row],[Runs]],0)</f>
        <v>#REF!</v>
      </c>
      <c r="BI63">
        <f>Table9[[#This Row],[Wickets]]*100-Table9[[#This Row],[Runs]]</f>
        <v>-36</v>
      </c>
      <c r="BJ63">
        <f ca="1">IFERROR(IF(MATCH(Table9[[#This Row],[Bowler]],OFFSET(AR64,0,0,BOWLROWS-ROW(AR63)-ROW(Table9[[#Headers],[BOWLER CUML WICKETS]])),0)&gt;0,0,SUMIF($AR$6:AR63,Table9[[#This Row],[Bowler]],$AV$6:AV63)),SUMIF($AR$6:AR63,Table9[[#This Row],[Bowler]],$AV$6:AV63))</f>
        <v>0</v>
      </c>
      <c r="BK63">
        <f ca="1">IFERROR(IF(MATCH(Table9[[#This Row],[Bowler]],OFFSET(AR64,0,0,BOWLROWS-ROW(AR63)-ROW(Table9[[#Headers],[BOWLER CUML WICKETS]])),0)&gt;0,0,SUMIF($AR$6:AR63,Table9[[#This Row],[Bowler]],$AU$6:AU63)),SUMIF($AR$6:AR63,Table9[[#This Row],[Bowler]],$AU$6:AU63))</f>
        <v>0</v>
      </c>
      <c r="BL63">
        <f ca="1">Table9[[#This Row],[BOWLER CUML WICKETS]]*100-Table9[[#This Row],[BOWLER CUML RUNS]]</f>
        <v>0</v>
      </c>
    </row>
    <row r="64" spans="1:64" x14ac:dyDescent="0.3">
      <c r="A64">
        <v>21</v>
      </c>
      <c r="B64" t="s">
        <v>164</v>
      </c>
      <c r="C64" t="s">
        <v>250</v>
      </c>
      <c r="D64" t="s">
        <v>222</v>
      </c>
      <c r="E64">
        <v>4</v>
      </c>
      <c r="F64">
        <v>7</v>
      </c>
      <c r="G64">
        <v>9</v>
      </c>
      <c r="H64">
        <v>1</v>
      </c>
      <c r="I64">
        <v>0</v>
      </c>
      <c r="J64">
        <v>44.44</v>
      </c>
      <c r="K64">
        <v>2</v>
      </c>
      <c r="L64" t="str">
        <f>CONCATENATE(T_BATTINGDATA[[#This Row],[Match]],T_BATTINGDATA[[#This Row],[Team]],T_BATTINGDATA[[#This Row],[Bat Number]])</f>
        <v>21UAE2</v>
      </c>
      <c r="M64" t="str">
        <f>IFERROR(IF(AND(T_BATTINGDATA[[#This Row],[Team]]=I_TEAM,IFERROR(IF(MATCH(T_BATTINGDATA[[#This Row],[BATSMAN NAME]],$O$5:O63,0)&gt;0,0),1)),1,0),"")</f>
        <v/>
      </c>
      <c r="N64" t="e">
        <f>IF(T_BATTINGDATA[[#This Row],[Team]]=I_TEAM,T_BATTINGDATA[[#This Row],[R]],0)</f>
        <v>#REF!</v>
      </c>
      <c r="O64" t="str">
        <f>LEFT(T_BATTINGDATA[[#This Row],[Batsman]],IFERROR(FIND("*",T_BATTINGDATA[[#This Row],[Batsman]])-1,IFERROR(FIND("†",T_BATTINGDATA[[#This Row],[Batsman]])-1,LEN(T_BATTINGDATA[[#This Row],[Batsman]]))))</f>
        <v>AR Berenger</v>
      </c>
      <c r="P64">
        <f ca="1">IFERROR(IF(MATCH(T_BATTINGDATA[[#This Row],[BATSMAN NAME]],OFFSET(O65,0,0,BATROWS-ROW(O64)-ROW(T_BATTINGDATA[[#Headers],[BATSMAN NAME]])),0)&gt;0,0,SUMIF($O$6:O64,T_BATTINGDATA[[#This Row],[BATSMAN NAME]],$E$6:E64)),SUMIF($O$6:O64,T_BATTINGDATA[[#This Row],[BATSMAN NAME]],$E$6:E64))</f>
        <v>0</v>
      </c>
      <c r="R64">
        <v>20</v>
      </c>
      <c r="S64" t="s">
        <v>149</v>
      </c>
      <c r="T64">
        <v>2</v>
      </c>
      <c r="U64">
        <v>6</v>
      </c>
      <c r="V64">
        <v>0</v>
      </c>
      <c r="W64">
        <v>4</v>
      </c>
      <c r="X64">
        <v>12</v>
      </c>
      <c r="Y64" t="str">
        <f>CONCATENATE(T_EXTRAS[[#This Row],[Match Number]],T_EXTRAS[[#This Row],[Team Batting]])</f>
        <v>20Australia</v>
      </c>
      <c r="AA64">
        <v>30</v>
      </c>
      <c r="AB64" t="s">
        <v>169</v>
      </c>
      <c r="AC64">
        <v>8</v>
      </c>
      <c r="AD64">
        <v>331</v>
      </c>
      <c r="AE64">
        <v>6.62</v>
      </c>
      <c r="AF64">
        <v>50</v>
      </c>
      <c r="AG64" t="str">
        <f>T_MTOTAL[[#This Row],[Match Number]]&amp;T_MTOTAL[[#This Row],[Team]]</f>
        <v>30Ireland</v>
      </c>
      <c r="AH64">
        <v>1</v>
      </c>
      <c r="AI64" t="str">
        <f>T_MTOTAL[[#This Row],[Match Number]]&amp;" "&amp;T_MTOTAL[[#This Row],[ORDER]]</f>
        <v>30 1</v>
      </c>
      <c r="AJ64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ZIMBABWE</v>
      </c>
      <c r="AK6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6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64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64">
        <f>IFERROR(IF(MATCH(T_MTOTAL[[#This Row],[ORDER LINK]],T_DL[link],0)&gt;0,INDEX(T_DL[d/l score],MATCH(T_MTOTAL[[#This Row],[ORDER LINK]],T_DL[link],0)),""),T_MTOTAL[[#This Row],[Total]])</f>
        <v>331</v>
      </c>
      <c r="AP64">
        <v>34</v>
      </c>
      <c r="AQ64" t="s">
        <v>169</v>
      </c>
      <c r="AR64" t="s">
        <v>251</v>
      </c>
      <c r="AS64">
        <v>6.5</v>
      </c>
      <c r="AT64">
        <v>0</v>
      </c>
      <c r="AU64">
        <v>42</v>
      </c>
      <c r="AV64">
        <v>0</v>
      </c>
      <c r="AW64">
        <v>6.14</v>
      </c>
      <c r="AX64">
        <v>18</v>
      </c>
      <c r="AY64">
        <v>4</v>
      </c>
      <c r="AZ64">
        <v>1</v>
      </c>
      <c r="BC64">
        <v>6</v>
      </c>
      <c r="BD64" t="str">
        <f>CONCATENATE(Table9[[#This Row],[Match Number]],Table9[[#This Row],[Team]],Table9[[#This Row],[BOWL NUM]])</f>
        <v>34Ireland6</v>
      </c>
      <c r="BE64" t="str">
        <f>IFERROR(IF(AND(Table9[[#This Row],[Team]]=I_TEAM,IFERROR(IF(MATCH(Table9[[#This Row],[Bowler]],$AR$5:AR63,0)&gt;0,0),1)),1,0),"")</f>
        <v/>
      </c>
      <c r="BF64">
        <f>(LEFT(Table9[[#This Row],[Overs]],IFERROR(FIND(".",Table9[[#This Row],[Overs]])-1,LEN(Table9[[#This Row],[Overs]])))*6) + IFERROR(IF(FIND(".",Table9[[#This Row],[Overs]])+1&gt;0,RIGHT(Table9[[#This Row],[Overs]],1),0),0)</f>
        <v>41</v>
      </c>
      <c r="BG6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64" t="e">
        <f>IF(Table9[[#This Row],[Team]]=I_TEAM,Table9[[#This Row],[Wickets]]*100-Table9[[#This Row],[Runs]],0)</f>
        <v>#REF!</v>
      </c>
      <c r="BI64">
        <f>Table9[[#This Row],[Wickets]]*100-Table9[[#This Row],[Runs]]</f>
        <v>-42</v>
      </c>
      <c r="BJ64">
        <f ca="1">IFERROR(IF(MATCH(Table9[[#This Row],[Bowler]],OFFSET(AR65,0,0,BOWLROWS-ROW(AR64)-ROW(Table9[[#Headers],[BOWLER CUML WICKETS]])),0)&gt;0,0,SUMIF($AR$6:AR64,Table9[[#This Row],[Bowler]],$AV$6:AV64)),SUMIF($AR$6:AR64,Table9[[#This Row],[Bowler]],$AV$6:AV64))</f>
        <v>0</v>
      </c>
      <c r="BK64">
        <f ca="1">IFERROR(IF(MATCH(Table9[[#This Row],[Bowler]],OFFSET(AR65,0,0,BOWLROWS-ROW(AR64)-ROW(Table9[[#Headers],[BOWLER CUML WICKETS]])),0)&gt;0,0,SUMIF($AR$6:AR64,Table9[[#This Row],[Bowler]],$AU$6:AU64)),SUMIF($AR$6:AR64,Table9[[#This Row],[Bowler]],$AU$6:AU64))</f>
        <v>0</v>
      </c>
      <c r="BL64">
        <f ca="1">Table9[[#This Row],[BOWLER CUML WICKETS]]*100-Table9[[#This Row],[BOWLER CUML RUNS]]</f>
        <v>0</v>
      </c>
    </row>
    <row r="65" spans="1:64" x14ac:dyDescent="0.3">
      <c r="A65">
        <v>21</v>
      </c>
      <c r="B65" t="s">
        <v>164</v>
      </c>
      <c r="C65" t="s">
        <v>230</v>
      </c>
      <c r="D65" t="s">
        <v>187</v>
      </c>
      <c r="E65">
        <v>4</v>
      </c>
      <c r="F65">
        <v>36</v>
      </c>
      <c r="G65">
        <v>27</v>
      </c>
      <c r="H65">
        <v>0</v>
      </c>
      <c r="I65">
        <v>0</v>
      </c>
      <c r="J65">
        <v>14.81</v>
      </c>
      <c r="K65">
        <v>3</v>
      </c>
      <c r="L65" t="str">
        <f>CONCATENATE(T_BATTINGDATA[[#This Row],[Match]],T_BATTINGDATA[[#This Row],[Team]],T_BATTINGDATA[[#This Row],[Bat Number]])</f>
        <v>21UAE3</v>
      </c>
      <c r="M65" t="str">
        <f>IFERROR(IF(AND(T_BATTINGDATA[[#This Row],[Team]]=I_TEAM,IFERROR(IF(MATCH(T_BATTINGDATA[[#This Row],[BATSMAN NAME]],$O$5:O64,0)&gt;0,0),1)),1,0),"")</f>
        <v/>
      </c>
      <c r="N65" t="e">
        <f>IF(T_BATTINGDATA[[#This Row],[Team]]=I_TEAM,T_BATTINGDATA[[#This Row],[R]],0)</f>
        <v>#REF!</v>
      </c>
      <c r="O65" t="str">
        <f>LEFT(T_BATTINGDATA[[#This Row],[Batsman]],IFERROR(FIND("*",T_BATTINGDATA[[#This Row],[Batsman]])-1,IFERROR(FIND("†",T_BATTINGDATA[[#This Row],[Batsman]])-1,LEN(T_BATTINGDATA[[#This Row],[Batsman]]))))</f>
        <v>Krishna Chandran</v>
      </c>
      <c r="P65">
        <f ca="1">IFERROR(IF(MATCH(T_BATTINGDATA[[#This Row],[BATSMAN NAME]],OFFSET(O66,0,0,BATROWS-ROW(O65)-ROW(T_BATTINGDATA[[#Headers],[BATSMAN NAME]])),0)&gt;0,0,SUMIF($O$6:O65,T_BATTINGDATA[[#This Row],[BATSMAN NAME]],$E$6:E65)),SUMIF($O$6:O65,T_BATTINGDATA[[#This Row],[BATSMAN NAME]],$E$6:E65))</f>
        <v>0</v>
      </c>
      <c r="R65">
        <v>20</v>
      </c>
      <c r="S65" t="s">
        <v>140</v>
      </c>
      <c r="T65">
        <v>0</v>
      </c>
      <c r="U65">
        <v>10</v>
      </c>
      <c r="V65">
        <v>1</v>
      </c>
      <c r="W65">
        <v>0</v>
      </c>
      <c r="X65">
        <v>11</v>
      </c>
      <c r="Y65" t="str">
        <f>CONCATENATE(T_EXTRAS[[#This Row],[Match Number]],T_EXTRAS[[#This Row],[Team Batting]])</f>
        <v>20New Zealand</v>
      </c>
      <c r="AA65">
        <v>30</v>
      </c>
      <c r="AB65" t="s">
        <v>158</v>
      </c>
      <c r="AC65">
        <v>10</v>
      </c>
      <c r="AD65">
        <v>326</v>
      </c>
      <c r="AE65">
        <v>6.58</v>
      </c>
      <c r="AF65">
        <v>49.3</v>
      </c>
      <c r="AG65" t="str">
        <f>T_MTOTAL[[#This Row],[Match Number]]&amp;T_MTOTAL[[#This Row],[Team]]</f>
        <v>30Zimbabwe</v>
      </c>
      <c r="AH65">
        <v>2</v>
      </c>
      <c r="AI65" t="str">
        <f>T_MTOTAL[[#This Row],[Match Number]]&amp;" "&amp;T_MTOTAL[[#This Row],[ORDER]]</f>
        <v>30 2</v>
      </c>
      <c r="AJ65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IRELAND</v>
      </c>
      <c r="AK6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6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65">
        <f>(LEFT(T_MTOTAL[[#This Row],[Overs]],IFERROR(FIND(".",T_MTOTAL[[#This Row],[Overs]])-1,LEN(T_MTOTAL[[#This Row],[Overs]])))*6) + IFERROR(IF(FIND(".",T_MTOTAL[[#This Row],[Overs]])+1&gt;0,RIGHT(T_MTOTAL[[#This Row],[Overs]],1),0),0)</f>
        <v>297</v>
      </c>
      <c r="AN65">
        <f>IFERROR(IF(MATCH(T_MTOTAL[[#This Row],[ORDER LINK]],T_DL[link],0)&gt;0,INDEX(T_DL[d/l score],MATCH(T_MTOTAL[[#This Row],[ORDER LINK]],T_DL[link],0)),""),T_MTOTAL[[#This Row],[Total]])</f>
        <v>326</v>
      </c>
      <c r="AP65">
        <v>28</v>
      </c>
      <c r="AQ65" t="s">
        <v>137</v>
      </c>
      <c r="AR65" t="s">
        <v>168</v>
      </c>
      <c r="AS65">
        <v>8</v>
      </c>
      <c r="AT65">
        <v>2</v>
      </c>
      <c r="AU65">
        <v>35</v>
      </c>
      <c r="AV65">
        <v>3</v>
      </c>
      <c r="AW65">
        <v>4.37</v>
      </c>
      <c r="AX65">
        <v>37</v>
      </c>
      <c r="AY65">
        <v>4</v>
      </c>
      <c r="AZ65">
        <v>1</v>
      </c>
      <c r="BA65">
        <v>5</v>
      </c>
      <c r="BC65">
        <v>1</v>
      </c>
      <c r="BD65" t="str">
        <f>CONCATENATE(Table9[[#This Row],[Match Number]],Table9[[#This Row],[Team]],Table9[[#This Row],[BOWL NUM]])</f>
        <v>28India1</v>
      </c>
      <c r="BE65" t="str">
        <f>IFERROR(IF(AND(Table9[[#This Row],[Team]]=I_TEAM,IFERROR(IF(MATCH(Table9[[#This Row],[Bowler]],$AR$5:AR64,0)&gt;0,0),1)),1,0),"")</f>
        <v/>
      </c>
      <c r="BF65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6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65" t="e">
        <f>IF(Table9[[#This Row],[Team]]=I_TEAM,Table9[[#This Row],[Wickets]]*100-Table9[[#This Row],[Runs]],0)</f>
        <v>#REF!</v>
      </c>
      <c r="BI65">
        <f>Table9[[#This Row],[Wickets]]*100-Table9[[#This Row],[Runs]]</f>
        <v>265</v>
      </c>
      <c r="BJ65">
        <f ca="1">IFERROR(IF(MATCH(Table9[[#This Row],[Bowler]],OFFSET(AR66,0,0,BOWLROWS-ROW(AR65)-ROW(Table9[[#Headers],[BOWLER CUML WICKETS]])),0)&gt;0,0,SUMIF($AR$6:AR65,Table9[[#This Row],[Bowler]],$AV$6:AV65)),SUMIF($AR$6:AR65,Table9[[#This Row],[Bowler]],$AV$6:AV65))</f>
        <v>0</v>
      </c>
      <c r="BK65">
        <f ca="1">IFERROR(IF(MATCH(Table9[[#This Row],[Bowler]],OFFSET(AR66,0,0,BOWLROWS-ROW(AR65)-ROW(Table9[[#Headers],[BOWLER CUML WICKETS]])),0)&gt;0,0,SUMIF($AR$6:AR65,Table9[[#This Row],[Bowler]],$AU$6:AU65)),SUMIF($AR$6:AR65,Table9[[#This Row],[Bowler]],$AU$6:AU65))</f>
        <v>0</v>
      </c>
      <c r="BL65">
        <f ca="1">Table9[[#This Row],[BOWLER CUML WICKETS]]*100-Table9[[#This Row],[BOWLER CUML RUNS]]</f>
        <v>0</v>
      </c>
    </row>
    <row r="66" spans="1:64" x14ac:dyDescent="0.3">
      <c r="A66">
        <v>21</v>
      </c>
      <c r="B66" t="s">
        <v>164</v>
      </c>
      <c r="C66" t="s">
        <v>252</v>
      </c>
      <c r="D66" t="s">
        <v>187</v>
      </c>
      <c r="E66">
        <v>14</v>
      </c>
      <c r="F66">
        <v>51</v>
      </c>
      <c r="G66">
        <v>28</v>
      </c>
      <c r="H66">
        <v>1</v>
      </c>
      <c r="I66">
        <v>0</v>
      </c>
      <c r="J66">
        <v>50</v>
      </c>
      <c r="K66">
        <v>4</v>
      </c>
      <c r="L66" t="str">
        <f>CONCATENATE(T_BATTINGDATA[[#This Row],[Match]],T_BATTINGDATA[[#This Row],[Team]],T_BATTINGDATA[[#This Row],[Bat Number]])</f>
        <v>21UAE4</v>
      </c>
      <c r="M66" t="str">
        <f>IFERROR(IF(AND(T_BATTINGDATA[[#This Row],[Team]]=I_TEAM,IFERROR(IF(MATCH(T_BATTINGDATA[[#This Row],[BATSMAN NAME]],$O$5:O65,0)&gt;0,0),1)),1,0),"")</f>
        <v/>
      </c>
      <c r="N66" t="e">
        <f>IF(T_BATTINGDATA[[#This Row],[Team]]=I_TEAM,T_BATTINGDATA[[#This Row],[R]],0)</f>
        <v>#REF!</v>
      </c>
      <c r="O66" t="str">
        <f>LEFT(T_BATTINGDATA[[#This Row],[Batsman]],IFERROR(FIND("*",T_BATTINGDATA[[#This Row],[Batsman]])-1,IFERROR(FIND("†",T_BATTINGDATA[[#This Row],[Batsman]])-1,LEN(T_BATTINGDATA[[#This Row],[Batsman]]))))</f>
        <v>Khurram Khan</v>
      </c>
      <c r="P66">
        <f ca="1">IFERROR(IF(MATCH(T_BATTINGDATA[[#This Row],[BATSMAN NAME]],OFFSET(O67,0,0,BATROWS-ROW(O66)-ROW(T_BATTINGDATA[[#Headers],[BATSMAN NAME]])),0)&gt;0,0,SUMIF($O$6:O66,T_BATTINGDATA[[#This Row],[BATSMAN NAME]],$E$6:E66)),SUMIF($O$6:O66,T_BATTINGDATA[[#This Row],[BATSMAN NAME]],$E$6:E66))</f>
        <v>0</v>
      </c>
      <c r="R66">
        <v>22</v>
      </c>
      <c r="S66" t="s">
        <v>154</v>
      </c>
      <c r="T66">
        <v>3</v>
      </c>
      <c r="U66">
        <v>9</v>
      </c>
      <c r="V66">
        <v>2</v>
      </c>
      <c r="W66">
        <v>4</v>
      </c>
      <c r="X66">
        <v>18</v>
      </c>
      <c r="Y66" t="str">
        <f>CONCATENATE(T_EXTRAS[[#This Row],[Match Number]],T_EXTRAS[[#This Row],[Team Batting]])</f>
        <v>22England</v>
      </c>
      <c r="AA66">
        <v>31</v>
      </c>
      <c r="AB66" t="s">
        <v>185</v>
      </c>
      <c r="AC66">
        <v>10</v>
      </c>
      <c r="AD66">
        <v>186</v>
      </c>
      <c r="AE66">
        <v>3.9</v>
      </c>
      <c r="AF66">
        <v>47.4</v>
      </c>
      <c r="AG66" t="str">
        <f>T_MTOTAL[[#This Row],[Match Number]]&amp;T_MTOTAL[[#This Row],[Team]]</f>
        <v>31Afghanistan</v>
      </c>
      <c r="AH66">
        <v>1</v>
      </c>
      <c r="AI66" t="str">
        <f>T_MTOTAL[[#This Row],[Match Number]]&amp;" "&amp;T_MTOTAL[[#This Row],[ORDER]]</f>
        <v>31 1</v>
      </c>
      <c r="AJ66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NEW ZEALAND</v>
      </c>
      <c r="AK6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6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66">
        <f>(LEFT(T_MTOTAL[[#This Row],[Overs]],IFERROR(FIND(".",T_MTOTAL[[#This Row],[Overs]])-1,LEN(T_MTOTAL[[#This Row],[Overs]])))*6) + IFERROR(IF(FIND(".",T_MTOTAL[[#This Row],[Overs]])+1&gt;0,RIGHT(T_MTOTAL[[#This Row],[Overs]],1),0),0)</f>
        <v>286</v>
      </c>
      <c r="AN66">
        <f>IFERROR(IF(MATCH(T_MTOTAL[[#This Row],[ORDER LINK]],T_DL[link],0)&gt;0,INDEX(T_DL[d/l score],MATCH(T_MTOTAL[[#This Row],[ORDER LINK]],T_DL[link],0)),""),T_MTOTAL[[#This Row],[Total]])</f>
        <v>186</v>
      </c>
      <c r="AP66">
        <v>28</v>
      </c>
      <c r="AQ66" t="s">
        <v>137</v>
      </c>
      <c r="AR66" t="s">
        <v>165</v>
      </c>
      <c r="AS66">
        <v>10</v>
      </c>
      <c r="AT66">
        <v>1</v>
      </c>
      <c r="AU66">
        <v>42</v>
      </c>
      <c r="AV66">
        <v>2</v>
      </c>
      <c r="AW66">
        <v>4.2</v>
      </c>
      <c r="AX66">
        <v>40</v>
      </c>
      <c r="AY66">
        <v>3</v>
      </c>
      <c r="AZ66">
        <v>1</v>
      </c>
      <c r="BA66">
        <v>5</v>
      </c>
      <c r="BC66">
        <v>2</v>
      </c>
      <c r="BD66" t="str">
        <f>CONCATENATE(Table9[[#This Row],[Match Number]],Table9[[#This Row],[Team]],Table9[[#This Row],[BOWL NUM]])</f>
        <v>28India2</v>
      </c>
      <c r="BE66" t="str">
        <f>IFERROR(IF(AND(Table9[[#This Row],[Team]]=I_TEAM,IFERROR(IF(MATCH(Table9[[#This Row],[Bowler]],$AR$5:AR65,0)&gt;0,0),1)),1,0),"")</f>
        <v/>
      </c>
      <c r="BF6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6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66" t="e">
        <f>IF(Table9[[#This Row],[Team]]=I_TEAM,Table9[[#This Row],[Wickets]]*100-Table9[[#This Row],[Runs]],0)</f>
        <v>#REF!</v>
      </c>
      <c r="BI66">
        <f>Table9[[#This Row],[Wickets]]*100-Table9[[#This Row],[Runs]]</f>
        <v>158</v>
      </c>
      <c r="BJ66">
        <f ca="1">IFERROR(IF(MATCH(Table9[[#This Row],[Bowler]],OFFSET(AR67,0,0,BOWLROWS-ROW(AR66)-ROW(Table9[[#Headers],[BOWLER CUML WICKETS]])),0)&gt;0,0,SUMIF($AR$6:AR66,Table9[[#This Row],[Bowler]],$AV$6:AV66)),SUMIF($AR$6:AR66,Table9[[#This Row],[Bowler]],$AV$6:AV66))</f>
        <v>0</v>
      </c>
      <c r="BK66">
        <f ca="1">IFERROR(IF(MATCH(Table9[[#This Row],[Bowler]],OFFSET(AR67,0,0,BOWLROWS-ROW(AR66)-ROW(Table9[[#Headers],[BOWLER CUML WICKETS]])),0)&gt;0,0,SUMIF($AR$6:AR66,Table9[[#This Row],[Bowler]],$AU$6:AU66)),SUMIF($AR$6:AR66,Table9[[#This Row],[Bowler]],$AU$6:AU66))</f>
        <v>0</v>
      </c>
      <c r="BL66">
        <f ca="1">Table9[[#This Row],[BOWLER CUML WICKETS]]*100-Table9[[#This Row],[BOWLER CUML RUNS]]</f>
        <v>0</v>
      </c>
    </row>
    <row r="67" spans="1:64" x14ac:dyDescent="0.3">
      <c r="A67">
        <v>21</v>
      </c>
      <c r="B67" t="s">
        <v>164</v>
      </c>
      <c r="C67" t="s">
        <v>253</v>
      </c>
      <c r="D67" t="s">
        <v>254</v>
      </c>
      <c r="E67">
        <v>7</v>
      </c>
      <c r="F67">
        <v>17</v>
      </c>
      <c r="G67">
        <v>19</v>
      </c>
      <c r="H67">
        <v>1</v>
      </c>
      <c r="I67">
        <v>0</v>
      </c>
      <c r="J67">
        <v>36.840000000000003</v>
      </c>
      <c r="K67">
        <v>5</v>
      </c>
      <c r="L67" t="str">
        <f>CONCATENATE(T_BATTINGDATA[[#This Row],[Match]],T_BATTINGDATA[[#This Row],[Team]],T_BATTINGDATA[[#This Row],[Bat Number]])</f>
        <v>21UAE5</v>
      </c>
      <c r="M67" t="str">
        <f>IFERROR(IF(AND(T_BATTINGDATA[[#This Row],[Team]]=I_TEAM,IFERROR(IF(MATCH(T_BATTINGDATA[[#This Row],[BATSMAN NAME]],$O$5:O66,0)&gt;0,0),1)),1,0),"")</f>
        <v/>
      </c>
      <c r="N67" t="e">
        <f>IF(T_BATTINGDATA[[#This Row],[Team]]=I_TEAM,T_BATTINGDATA[[#This Row],[R]],0)</f>
        <v>#REF!</v>
      </c>
      <c r="O67" t="str">
        <f>LEFT(T_BATTINGDATA[[#This Row],[Batsman]],IFERROR(FIND("*",T_BATTINGDATA[[#This Row],[Batsman]])-1,IFERROR(FIND("†",T_BATTINGDATA[[#This Row],[Batsman]])-1,LEN(T_BATTINGDATA[[#This Row],[Batsman]]))))</f>
        <v>SP Patil</v>
      </c>
      <c r="P67">
        <f ca="1">IFERROR(IF(MATCH(T_BATTINGDATA[[#This Row],[BATSMAN NAME]],OFFSET(O68,0,0,BATROWS-ROW(O67)-ROW(T_BATTINGDATA[[#Headers],[BATSMAN NAME]])),0)&gt;0,0,SUMIF($O$6:O67,T_BATTINGDATA[[#This Row],[BATSMAN NAME]],$E$6:E67)),SUMIF($O$6:O67,T_BATTINGDATA[[#This Row],[BATSMAN NAME]],$E$6:E67))</f>
        <v>0</v>
      </c>
      <c r="R67">
        <v>22</v>
      </c>
      <c r="S67" t="s">
        <v>145</v>
      </c>
      <c r="T67">
        <v>1</v>
      </c>
      <c r="U67">
        <v>3</v>
      </c>
      <c r="V67">
        <v>0</v>
      </c>
      <c r="W67">
        <v>8</v>
      </c>
      <c r="X67">
        <v>12</v>
      </c>
      <c r="Y67" t="str">
        <f>CONCATENATE(T_EXTRAS[[#This Row],[Match Number]],T_EXTRAS[[#This Row],[Team Batting]])</f>
        <v>22Sri Lanka</v>
      </c>
      <c r="AA67">
        <v>31</v>
      </c>
      <c r="AB67" t="s">
        <v>140</v>
      </c>
      <c r="AC67">
        <v>4</v>
      </c>
      <c r="AD67">
        <v>188</v>
      </c>
      <c r="AE67">
        <v>5.19</v>
      </c>
      <c r="AF67">
        <v>36.1</v>
      </c>
      <c r="AG67" t="str">
        <f>T_MTOTAL[[#This Row],[Match Number]]&amp;T_MTOTAL[[#This Row],[Team]]</f>
        <v>31New Zealand</v>
      </c>
      <c r="AH67">
        <v>2</v>
      </c>
      <c r="AI67" t="str">
        <f>T_MTOTAL[[#This Row],[Match Number]]&amp;" "&amp;T_MTOTAL[[#This Row],[ORDER]]</f>
        <v>31 2</v>
      </c>
      <c r="AJ67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AFGHANISTAN</v>
      </c>
      <c r="AK6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36.1</v>
      </c>
      <c r="AL6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217</v>
      </c>
      <c r="AM67">
        <f>(LEFT(T_MTOTAL[[#This Row],[Overs]],IFERROR(FIND(".",T_MTOTAL[[#This Row],[Overs]])-1,LEN(T_MTOTAL[[#This Row],[Overs]])))*6) + IFERROR(IF(FIND(".",T_MTOTAL[[#This Row],[Overs]])+1&gt;0,RIGHT(T_MTOTAL[[#This Row],[Overs]],1),0),0)</f>
        <v>217</v>
      </c>
      <c r="AN67">
        <f>IFERROR(IF(MATCH(T_MTOTAL[[#This Row],[ORDER LINK]],T_DL[link],0)&gt;0,INDEX(T_DL[d/l score],MATCH(T_MTOTAL[[#This Row],[ORDER LINK]],T_DL[link],0)),""),T_MTOTAL[[#This Row],[Total]])</f>
        <v>188</v>
      </c>
      <c r="AP67">
        <v>28</v>
      </c>
      <c r="AQ67" t="s">
        <v>137</v>
      </c>
      <c r="AR67" t="s">
        <v>166</v>
      </c>
      <c r="AS67">
        <v>9</v>
      </c>
      <c r="AT67">
        <v>0</v>
      </c>
      <c r="AU67">
        <v>38</v>
      </c>
      <c r="AV67">
        <v>1</v>
      </c>
      <c r="AW67">
        <v>4.22</v>
      </c>
      <c r="AX67">
        <v>33</v>
      </c>
      <c r="AY67">
        <v>3</v>
      </c>
      <c r="AZ67">
        <v>1</v>
      </c>
      <c r="BA67">
        <v>1</v>
      </c>
      <c r="BC67">
        <v>3</v>
      </c>
      <c r="BD67" t="str">
        <f>CONCATENATE(Table9[[#This Row],[Match Number]],Table9[[#This Row],[Team]],Table9[[#This Row],[BOWL NUM]])</f>
        <v>28India3</v>
      </c>
      <c r="BE67" t="str">
        <f>IFERROR(IF(AND(Table9[[#This Row],[Team]]=I_TEAM,IFERROR(IF(MATCH(Table9[[#This Row],[Bowler]],$AR$5:AR66,0)&gt;0,0),1)),1,0),"")</f>
        <v/>
      </c>
      <c r="BF67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6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67" t="e">
        <f>IF(Table9[[#This Row],[Team]]=I_TEAM,Table9[[#This Row],[Wickets]]*100-Table9[[#This Row],[Runs]],0)</f>
        <v>#REF!</v>
      </c>
      <c r="BI67">
        <f>Table9[[#This Row],[Wickets]]*100-Table9[[#This Row],[Runs]]</f>
        <v>62</v>
      </c>
      <c r="BJ67">
        <f ca="1">IFERROR(IF(MATCH(Table9[[#This Row],[Bowler]],OFFSET(AR68,0,0,BOWLROWS-ROW(AR67)-ROW(Table9[[#Headers],[BOWLER CUML WICKETS]])),0)&gt;0,0,SUMIF($AR$6:AR67,Table9[[#This Row],[Bowler]],$AV$6:AV67)),SUMIF($AR$6:AR67,Table9[[#This Row],[Bowler]],$AV$6:AV67))</f>
        <v>0</v>
      </c>
      <c r="BK67">
        <f ca="1">IFERROR(IF(MATCH(Table9[[#This Row],[Bowler]],OFFSET(AR68,0,0,BOWLROWS-ROW(AR67)-ROW(Table9[[#Headers],[BOWLER CUML WICKETS]])),0)&gt;0,0,SUMIF($AR$6:AR67,Table9[[#This Row],[Bowler]],$AU$6:AU67)),SUMIF($AR$6:AR67,Table9[[#This Row],[Bowler]],$AU$6:AU67))</f>
        <v>0</v>
      </c>
      <c r="BL67">
        <f ca="1">Table9[[#This Row],[BOWLER CUML WICKETS]]*100-Table9[[#This Row],[BOWLER CUML RUNS]]</f>
        <v>0</v>
      </c>
    </row>
    <row r="68" spans="1:64" x14ac:dyDescent="0.3">
      <c r="A68">
        <v>21</v>
      </c>
      <c r="B68" t="s">
        <v>164</v>
      </c>
      <c r="C68" t="s">
        <v>255</v>
      </c>
      <c r="D68" t="s">
        <v>238</v>
      </c>
      <c r="E68">
        <v>35</v>
      </c>
      <c r="F68">
        <v>63</v>
      </c>
      <c r="G68">
        <v>49</v>
      </c>
      <c r="H68">
        <v>6</v>
      </c>
      <c r="I68">
        <v>0</v>
      </c>
      <c r="J68">
        <v>71.42</v>
      </c>
      <c r="K68">
        <v>6</v>
      </c>
      <c r="L68" t="str">
        <f>CONCATENATE(T_BATTINGDATA[[#This Row],[Match]],T_BATTINGDATA[[#This Row],[Team]],T_BATTINGDATA[[#This Row],[Bat Number]])</f>
        <v>21UAE6</v>
      </c>
      <c r="M68" t="str">
        <f>IFERROR(IF(AND(T_BATTINGDATA[[#This Row],[Team]]=I_TEAM,IFERROR(IF(MATCH(T_BATTINGDATA[[#This Row],[BATSMAN NAME]],$O$5:O67,0)&gt;0,0),1)),1,0),"")</f>
        <v/>
      </c>
      <c r="N68" t="e">
        <f>IF(T_BATTINGDATA[[#This Row],[Team]]=I_TEAM,T_BATTINGDATA[[#This Row],[R]],0)</f>
        <v>#REF!</v>
      </c>
      <c r="O68" t="str">
        <f>LEFT(T_BATTINGDATA[[#This Row],[Batsman]],IFERROR(FIND("*",T_BATTINGDATA[[#This Row],[Batsman]])-1,IFERROR(FIND("†",T_BATTINGDATA[[#This Row],[Batsman]])-1,LEN(T_BATTINGDATA[[#This Row],[Batsman]]))))</f>
        <v>Shaiman Anwar</v>
      </c>
      <c r="P68">
        <f ca="1">IFERROR(IF(MATCH(T_BATTINGDATA[[#This Row],[BATSMAN NAME]],OFFSET(O69,0,0,BATROWS-ROW(O68)-ROW(T_BATTINGDATA[[#Headers],[BATSMAN NAME]])),0)&gt;0,0,SUMIF($O$6:O68,T_BATTINGDATA[[#This Row],[BATSMAN NAME]],$E$6:E68)),SUMIF($O$6:O68,T_BATTINGDATA[[#This Row],[BATSMAN NAME]],$E$6:E68))</f>
        <v>0</v>
      </c>
      <c r="R68">
        <v>23</v>
      </c>
      <c r="S68" t="s">
        <v>153</v>
      </c>
      <c r="T68">
        <v>3</v>
      </c>
      <c r="U68">
        <v>17</v>
      </c>
      <c r="V68">
        <v>0</v>
      </c>
      <c r="W68">
        <v>0</v>
      </c>
      <c r="X68">
        <v>20</v>
      </c>
      <c r="Y68" t="str">
        <f>CONCATENATE(T_EXTRAS[[#This Row],[Match Number]],T_EXTRAS[[#This Row],[Team Batting]])</f>
        <v>23Pakistan</v>
      </c>
      <c r="AA68">
        <v>32</v>
      </c>
      <c r="AB68" t="s">
        <v>149</v>
      </c>
      <c r="AC68">
        <v>9</v>
      </c>
      <c r="AD68">
        <v>376</v>
      </c>
      <c r="AE68">
        <v>7.52</v>
      </c>
      <c r="AF68">
        <v>50</v>
      </c>
      <c r="AG68" t="str">
        <f>T_MTOTAL[[#This Row],[Match Number]]&amp;T_MTOTAL[[#This Row],[Team]]</f>
        <v>32Australia</v>
      </c>
      <c r="AH68">
        <v>1</v>
      </c>
      <c r="AI68" t="str">
        <f>T_MTOTAL[[#This Row],[Match Number]]&amp;" "&amp;T_MTOTAL[[#This Row],[ORDER]]</f>
        <v>32 1</v>
      </c>
      <c r="AJ68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SRI LANKA</v>
      </c>
      <c r="AK6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6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68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68">
        <f>IFERROR(IF(MATCH(T_MTOTAL[[#This Row],[ORDER LINK]],T_DL[link],0)&gt;0,INDEX(T_DL[d/l score],MATCH(T_MTOTAL[[#This Row],[ORDER LINK]],T_DL[link],0)),""),T_MTOTAL[[#This Row],[Total]])</f>
        <v>376</v>
      </c>
      <c r="AP68">
        <v>28</v>
      </c>
      <c r="AQ68" t="s">
        <v>137</v>
      </c>
      <c r="AR68" t="s">
        <v>171</v>
      </c>
      <c r="AS68">
        <v>9</v>
      </c>
      <c r="AT68">
        <v>2</v>
      </c>
      <c r="AU68">
        <v>35</v>
      </c>
      <c r="AV68">
        <v>1</v>
      </c>
      <c r="AW68">
        <v>3.88</v>
      </c>
      <c r="AX68">
        <v>38</v>
      </c>
      <c r="AY68">
        <v>3</v>
      </c>
      <c r="AZ68">
        <v>1</v>
      </c>
      <c r="BA68">
        <v>4</v>
      </c>
      <c r="BC68">
        <v>4</v>
      </c>
      <c r="BD68" t="str">
        <f>CONCATENATE(Table9[[#This Row],[Match Number]],Table9[[#This Row],[Team]],Table9[[#This Row],[BOWL NUM]])</f>
        <v>28India4</v>
      </c>
      <c r="BE68" t="str">
        <f>IFERROR(IF(AND(Table9[[#This Row],[Team]]=I_TEAM,IFERROR(IF(MATCH(Table9[[#This Row],[Bowler]],$AR$5:AR67,0)&gt;0,0),1)),1,0),"")</f>
        <v/>
      </c>
      <c r="BF68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6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68" t="e">
        <f>IF(Table9[[#This Row],[Team]]=I_TEAM,Table9[[#This Row],[Wickets]]*100-Table9[[#This Row],[Runs]],0)</f>
        <v>#REF!</v>
      </c>
      <c r="BI68">
        <f>Table9[[#This Row],[Wickets]]*100-Table9[[#This Row],[Runs]]</f>
        <v>65</v>
      </c>
      <c r="BJ68">
        <f ca="1">IFERROR(IF(MATCH(Table9[[#This Row],[Bowler]],OFFSET(AR69,0,0,BOWLROWS-ROW(AR68)-ROW(Table9[[#Headers],[BOWLER CUML WICKETS]])),0)&gt;0,0,SUMIF($AR$6:AR68,Table9[[#This Row],[Bowler]],$AV$6:AV68)),SUMIF($AR$6:AR68,Table9[[#This Row],[Bowler]],$AV$6:AV68))</f>
        <v>0</v>
      </c>
      <c r="BK68">
        <f ca="1">IFERROR(IF(MATCH(Table9[[#This Row],[Bowler]],OFFSET(AR69,0,0,BOWLROWS-ROW(AR68)-ROW(Table9[[#Headers],[BOWLER CUML WICKETS]])),0)&gt;0,0,SUMIF($AR$6:AR68,Table9[[#This Row],[Bowler]],$AU$6:AU68)),SUMIF($AR$6:AR68,Table9[[#This Row],[Bowler]],$AU$6:AU68))</f>
        <v>0</v>
      </c>
      <c r="BL68">
        <f ca="1">Table9[[#This Row],[BOWLER CUML WICKETS]]*100-Table9[[#This Row],[BOWLER CUML RUNS]]</f>
        <v>0</v>
      </c>
    </row>
    <row r="69" spans="1:64" x14ac:dyDescent="0.3">
      <c r="A69">
        <v>21</v>
      </c>
      <c r="B69" t="s">
        <v>164</v>
      </c>
      <c r="C69" t="s">
        <v>256</v>
      </c>
      <c r="D69" t="s">
        <v>257</v>
      </c>
      <c r="E69">
        <v>2</v>
      </c>
      <c r="F69">
        <v>13</v>
      </c>
      <c r="G69">
        <v>12</v>
      </c>
      <c r="H69">
        <v>0</v>
      </c>
      <c r="I69">
        <v>0</v>
      </c>
      <c r="J69">
        <v>16.66</v>
      </c>
      <c r="K69">
        <v>7</v>
      </c>
      <c r="L69" t="str">
        <f>CONCATENATE(T_BATTINGDATA[[#This Row],[Match]],T_BATTINGDATA[[#This Row],[Team]],T_BATTINGDATA[[#This Row],[Bat Number]])</f>
        <v>21UAE7</v>
      </c>
      <c r="M69" t="str">
        <f>IFERROR(IF(AND(T_BATTINGDATA[[#This Row],[Team]]=I_TEAM,IFERROR(IF(MATCH(T_BATTINGDATA[[#This Row],[BATSMAN NAME]],$O$5:O68,0)&gt;0,0),1)),1,0),"")</f>
        <v/>
      </c>
      <c r="N69" t="e">
        <f>IF(T_BATTINGDATA[[#This Row],[Team]]=I_TEAM,T_BATTINGDATA[[#This Row],[R]],0)</f>
        <v>#REF!</v>
      </c>
      <c r="O69" t="str">
        <f>LEFT(T_BATTINGDATA[[#This Row],[Batsman]],IFERROR(FIND("*",T_BATTINGDATA[[#This Row],[Batsman]])-1,IFERROR(FIND("†",T_BATTINGDATA[[#This Row],[Batsman]])-1,LEN(T_BATTINGDATA[[#This Row],[Batsman]]))))</f>
        <v>Rohan Mustafa</v>
      </c>
      <c r="P69">
        <f ca="1">IFERROR(IF(MATCH(T_BATTINGDATA[[#This Row],[BATSMAN NAME]],OFFSET(O70,0,0,BATROWS-ROW(O69)-ROW(T_BATTINGDATA[[#Headers],[BATSMAN NAME]])),0)&gt;0,0,SUMIF($O$6:O69,T_BATTINGDATA[[#This Row],[BATSMAN NAME]],$E$6:E69)),SUMIF($O$6:O69,T_BATTINGDATA[[#This Row],[BATSMAN NAME]],$E$6:E69))</f>
        <v>0</v>
      </c>
      <c r="R69">
        <v>23</v>
      </c>
      <c r="S69" t="s">
        <v>158</v>
      </c>
      <c r="T69">
        <v>2</v>
      </c>
      <c r="U69">
        <v>13</v>
      </c>
      <c r="V69">
        <v>1</v>
      </c>
      <c r="W69">
        <v>3</v>
      </c>
      <c r="X69">
        <v>19</v>
      </c>
      <c r="Y69" t="str">
        <f>CONCATENATE(T_EXTRAS[[#This Row],[Match Number]],T_EXTRAS[[#This Row],[Team Batting]])</f>
        <v>23Zimbabwe</v>
      </c>
      <c r="AA69">
        <v>32</v>
      </c>
      <c r="AB69" t="s">
        <v>145</v>
      </c>
      <c r="AC69">
        <v>9</v>
      </c>
      <c r="AD69">
        <v>312</v>
      </c>
      <c r="AE69">
        <v>6.73</v>
      </c>
      <c r="AF69">
        <v>46.2</v>
      </c>
      <c r="AG69" t="str">
        <f>T_MTOTAL[[#This Row],[Match Number]]&amp;T_MTOTAL[[#This Row],[Team]]</f>
        <v>32Sri Lanka</v>
      </c>
      <c r="AH69">
        <v>2</v>
      </c>
      <c r="AI69" t="str">
        <f>T_MTOTAL[[#This Row],[Match Number]]&amp;" "&amp;T_MTOTAL[[#This Row],[ORDER]]</f>
        <v>32 2</v>
      </c>
      <c r="AJ69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AUSTRALIA</v>
      </c>
      <c r="AK6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6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69">
        <f>(LEFT(T_MTOTAL[[#This Row],[Overs]],IFERROR(FIND(".",T_MTOTAL[[#This Row],[Overs]])-1,LEN(T_MTOTAL[[#This Row],[Overs]])))*6) + IFERROR(IF(FIND(".",T_MTOTAL[[#This Row],[Overs]])+1&gt;0,RIGHT(T_MTOTAL[[#This Row],[Overs]],1),0),0)</f>
        <v>278</v>
      </c>
      <c r="AN69">
        <f>IFERROR(IF(MATCH(T_MTOTAL[[#This Row],[ORDER LINK]],T_DL[link],0)&gt;0,INDEX(T_DL[d/l score],MATCH(T_MTOTAL[[#This Row],[ORDER LINK]],T_DL[link],0)),""),T_MTOTAL[[#This Row],[Total]])</f>
        <v>312</v>
      </c>
      <c r="AP69">
        <v>28</v>
      </c>
      <c r="AQ69" t="s">
        <v>137</v>
      </c>
      <c r="AR69" t="s">
        <v>163</v>
      </c>
      <c r="AS69">
        <v>8.1999999999999993</v>
      </c>
      <c r="AT69">
        <v>0</v>
      </c>
      <c r="AU69">
        <v>27</v>
      </c>
      <c r="AV69">
        <v>2</v>
      </c>
      <c r="AW69">
        <v>3.24</v>
      </c>
      <c r="AX69">
        <v>33</v>
      </c>
      <c r="AY69">
        <v>0</v>
      </c>
      <c r="AZ69">
        <v>1</v>
      </c>
      <c r="BA69">
        <v>1</v>
      </c>
      <c r="BC69">
        <v>5</v>
      </c>
      <c r="BD69" t="str">
        <f>CONCATENATE(Table9[[#This Row],[Match Number]],Table9[[#This Row],[Team]],Table9[[#This Row],[BOWL NUM]])</f>
        <v>28India5</v>
      </c>
      <c r="BE69" t="str">
        <f>IFERROR(IF(AND(Table9[[#This Row],[Team]]=I_TEAM,IFERROR(IF(MATCH(Table9[[#This Row],[Bowler]],$AR$5:AR68,0)&gt;0,0),1)),1,0),"")</f>
        <v/>
      </c>
      <c r="BF69">
        <f>(LEFT(Table9[[#This Row],[Overs]],IFERROR(FIND(".",Table9[[#This Row],[Overs]])-1,LEN(Table9[[#This Row],[Overs]])))*6) + IFERROR(IF(FIND(".",Table9[[#This Row],[Overs]])+1&gt;0,RIGHT(Table9[[#This Row],[Overs]],1),0),0)</f>
        <v>50</v>
      </c>
      <c r="BG6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69" t="e">
        <f>IF(Table9[[#This Row],[Team]]=I_TEAM,Table9[[#This Row],[Wickets]]*100-Table9[[#This Row],[Runs]],0)</f>
        <v>#REF!</v>
      </c>
      <c r="BI69">
        <f>Table9[[#This Row],[Wickets]]*100-Table9[[#This Row],[Runs]]</f>
        <v>173</v>
      </c>
      <c r="BJ69">
        <f ca="1">IFERROR(IF(MATCH(Table9[[#This Row],[Bowler]],OFFSET(AR70,0,0,BOWLROWS-ROW(AR69)-ROW(Table9[[#Headers],[BOWLER CUML WICKETS]])),0)&gt;0,0,SUMIF($AR$6:AR69,Table9[[#This Row],[Bowler]],$AV$6:AV69)),SUMIF($AR$6:AR69,Table9[[#This Row],[Bowler]],$AV$6:AV69))</f>
        <v>0</v>
      </c>
      <c r="BK69">
        <f ca="1">IFERROR(IF(MATCH(Table9[[#This Row],[Bowler]],OFFSET(AR70,0,0,BOWLROWS-ROW(AR69)-ROW(Table9[[#Headers],[BOWLER CUML WICKETS]])),0)&gt;0,0,SUMIF($AR$6:AR69,Table9[[#This Row],[Bowler]],$AU$6:AU69)),SUMIF($AR$6:AR69,Table9[[#This Row],[Bowler]],$AU$6:AU69))</f>
        <v>0</v>
      </c>
      <c r="BL69">
        <f ca="1">Table9[[#This Row],[BOWLER CUML WICKETS]]*100-Table9[[#This Row],[BOWLER CUML RUNS]]</f>
        <v>0</v>
      </c>
    </row>
    <row r="70" spans="1:64" x14ac:dyDescent="0.3">
      <c r="A70">
        <v>21</v>
      </c>
      <c r="B70" t="s">
        <v>164</v>
      </c>
      <c r="C70" t="s">
        <v>228</v>
      </c>
      <c r="D70" t="s">
        <v>258</v>
      </c>
      <c r="E70">
        <v>2</v>
      </c>
      <c r="F70">
        <v>7</v>
      </c>
      <c r="G70">
        <v>5</v>
      </c>
      <c r="H70">
        <v>0</v>
      </c>
      <c r="I70">
        <v>0</v>
      </c>
      <c r="J70">
        <v>40</v>
      </c>
      <c r="K70">
        <v>8</v>
      </c>
      <c r="L70" t="str">
        <f>CONCATENATE(T_BATTINGDATA[[#This Row],[Match]],T_BATTINGDATA[[#This Row],[Team]],T_BATTINGDATA[[#This Row],[Bat Number]])</f>
        <v>21UAE8</v>
      </c>
      <c r="M70" t="str">
        <f>IFERROR(IF(AND(T_BATTINGDATA[[#This Row],[Team]]=I_TEAM,IFERROR(IF(MATCH(T_BATTINGDATA[[#This Row],[BATSMAN NAME]],$O$5:O69,0)&gt;0,0),1)),1,0),"")</f>
        <v/>
      </c>
      <c r="N70" t="e">
        <f>IF(T_BATTINGDATA[[#This Row],[Team]]=I_TEAM,T_BATTINGDATA[[#This Row],[R]],0)</f>
        <v>#REF!</v>
      </c>
      <c r="O70" t="str">
        <f>LEFT(T_BATTINGDATA[[#This Row],[Batsman]],IFERROR(FIND("*",T_BATTINGDATA[[#This Row],[Batsman]])-1,IFERROR(FIND("†",T_BATTINGDATA[[#This Row],[Batsman]])-1,LEN(T_BATTINGDATA[[#This Row],[Batsman]]))))</f>
        <v>Amjad Javed</v>
      </c>
      <c r="P70">
        <f ca="1">IFERROR(IF(MATCH(T_BATTINGDATA[[#This Row],[BATSMAN NAME]],OFFSET(O71,0,0,BATROWS-ROW(O70)-ROW(T_BATTINGDATA[[#Headers],[BATSMAN NAME]])),0)&gt;0,0,SUMIF($O$6:O70,T_BATTINGDATA[[#This Row],[BATSMAN NAME]],$E$6:E70)),SUMIF($O$6:O70,T_BATTINGDATA[[#This Row],[BATSMAN NAME]],$E$6:E70))</f>
        <v>0</v>
      </c>
      <c r="R70">
        <v>24</v>
      </c>
      <c r="S70" t="s">
        <v>141</v>
      </c>
      <c r="T70">
        <v>0</v>
      </c>
      <c r="U70">
        <v>7</v>
      </c>
      <c r="V70">
        <v>3</v>
      </c>
      <c r="W70">
        <v>1</v>
      </c>
      <c r="X70">
        <v>11</v>
      </c>
      <c r="Y70" t="str">
        <f>CONCATENATE(T_EXTRAS[[#This Row],[Match Number]],T_EXTRAS[[#This Row],[Team Batting]])</f>
        <v>24South Africa</v>
      </c>
      <c r="AA70">
        <v>33</v>
      </c>
      <c r="AB70" t="s">
        <v>181</v>
      </c>
      <c r="AC70">
        <v>7</v>
      </c>
      <c r="AD70">
        <v>275</v>
      </c>
      <c r="AE70">
        <v>5.5</v>
      </c>
      <c r="AF70">
        <v>50</v>
      </c>
      <c r="AG70" t="str">
        <f>T_MTOTAL[[#This Row],[Match Number]]&amp;T_MTOTAL[[#This Row],[Team]]</f>
        <v>33Bangladesh</v>
      </c>
      <c r="AH70">
        <v>1</v>
      </c>
      <c r="AI70" t="str">
        <f>T_MTOTAL[[#This Row],[Match Number]]&amp;" "&amp;T_MTOTAL[[#This Row],[ORDER]]</f>
        <v>33 1</v>
      </c>
      <c r="AJ70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ENGLAND</v>
      </c>
      <c r="AK7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7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70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70">
        <f>IFERROR(IF(MATCH(T_MTOTAL[[#This Row],[ORDER LINK]],T_DL[link],0)&gt;0,INDEX(T_DL[d/l score],MATCH(T_MTOTAL[[#This Row],[ORDER LINK]],T_DL[link],0)),""),T_MTOTAL[[#This Row],[Total]])</f>
        <v>275</v>
      </c>
      <c r="AP70">
        <v>28</v>
      </c>
      <c r="AQ70" t="s">
        <v>170</v>
      </c>
      <c r="AR70" t="s">
        <v>259</v>
      </c>
      <c r="AS70">
        <v>8</v>
      </c>
      <c r="AT70">
        <v>0</v>
      </c>
      <c r="AU70">
        <v>33</v>
      </c>
      <c r="AV70">
        <v>2</v>
      </c>
      <c r="AW70">
        <v>4.12</v>
      </c>
      <c r="AX70">
        <v>30</v>
      </c>
      <c r="AY70">
        <v>4</v>
      </c>
      <c r="AZ70">
        <v>0</v>
      </c>
      <c r="BA70">
        <v>1</v>
      </c>
      <c r="BC70">
        <v>1</v>
      </c>
      <c r="BD70" t="str">
        <f>CONCATENATE(Table9[[#This Row],[Match Number]],Table9[[#This Row],[Team]],Table9[[#This Row],[BOWL NUM]])</f>
        <v>28West Indies1</v>
      </c>
      <c r="BE70" t="str">
        <f>IFERROR(IF(AND(Table9[[#This Row],[Team]]=I_TEAM,IFERROR(IF(MATCH(Table9[[#This Row],[Bowler]],$AR$5:AR69,0)&gt;0,0),1)),1,0),"")</f>
        <v/>
      </c>
      <c r="BF7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7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0" t="e">
        <f>IF(Table9[[#This Row],[Team]]=I_TEAM,Table9[[#This Row],[Wickets]]*100-Table9[[#This Row],[Runs]],0)</f>
        <v>#REF!</v>
      </c>
      <c r="BI70">
        <f>Table9[[#This Row],[Wickets]]*100-Table9[[#This Row],[Runs]]</f>
        <v>167</v>
      </c>
      <c r="BJ70">
        <f ca="1">IFERROR(IF(MATCH(Table9[[#This Row],[Bowler]],OFFSET(AR71,0,0,BOWLROWS-ROW(AR70)-ROW(Table9[[#Headers],[BOWLER CUML WICKETS]])),0)&gt;0,0,SUMIF($AR$6:AR70,Table9[[#This Row],[Bowler]],$AV$6:AV70)),SUMIF($AR$6:AR70,Table9[[#This Row],[Bowler]],$AV$6:AV70))</f>
        <v>0</v>
      </c>
      <c r="BK70">
        <f ca="1">IFERROR(IF(MATCH(Table9[[#This Row],[Bowler]],OFFSET(AR71,0,0,BOWLROWS-ROW(AR70)-ROW(Table9[[#Headers],[BOWLER CUML WICKETS]])),0)&gt;0,0,SUMIF($AR$6:AR70,Table9[[#This Row],[Bowler]],$AU$6:AU70)),SUMIF($AR$6:AR70,Table9[[#This Row],[Bowler]],$AU$6:AU70))</f>
        <v>0</v>
      </c>
      <c r="BL70">
        <f ca="1">Table9[[#This Row],[BOWLER CUML WICKETS]]*100-Table9[[#This Row],[BOWLER CUML RUNS]]</f>
        <v>0</v>
      </c>
    </row>
    <row r="71" spans="1:64" x14ac:dyDescent="0.3">
      <c r="A71">
        <v>21</v>
      </c>
      <c r="B71" t="s">
        <v>164</v>
      </c>
      <c r="C71" t="s">
        <v>223</v>
      </c>
      <c r="D71" t="s">
        <v>194</v>
      </c>
      <c r="E71">
        <v>6</v>
      </c>
      <c r="F71">
        <v>4</v>
      </c>
      <c r="G71">
        <v>7</v>
      </c>
      <c r="H71">
        <v>0</v>
      </c>
      <c r="I71">
        <v>1</v>
      </c>
      <c r="J71">
        <v>85.71</v>
      </c>
      <c r="K71">
        <v>9</v>
      </c>
      <c r="L71" t="str">
        <f>CONCATENATE(T_BATTINGDATA[[#This Row],[Match]],T_BATTINGDATA[[#This Row],[Team]],T_BATTINGDATA[[#This Row],[Bat Number]])</f>
        <v>21UAE9</v>
      </c>
      <c r="M71" t="str">
        <f>IFERROR(IF(AND(T_BATTINGDATA[[#This Row],[Team]]=I_TEAM,IFERROR(IF(MATCH(T_BATTINGDATA[[#This Row],[BATSMAN NAME]],$O$5:O70,0)&gt;0,0),1)),1,0),"")</f>
        <v/>
      </c>
      <c r="N71" t="e">
        <f>IF(T_BATTINGDATA[[#This Row],[Team]]=I_TEAM,T_BATTINGDATA[[#This Row],[R]],0)</f>
        <v>#REF!</v>
      </c>
      <c r="O71" t="str">
        <f>LEFT(T_BATTINGDATA[[#This Row],[Batsman]],IFERROR(FIND("*",T_BATTINGDATA[[#This Row],[Batsman]])-1,IFERROR(FIND("†",T_BATTINGDATA[[#This Row],[Batsman]])-1,LEN(T_BATTINGDATA[[#This Row],[Batsman]]))))</f>
        <v>Mohammad Naveed</v>
      </c>
      <c r="P71">
        <f ca="1">IFERROR(IF(MATCH(T_BATTINGDATA[[#This Row],[BATSMAN NAME]],OFFSET(O72,0,0,BATROWS-ROW(O71)-ROW(T_BATTINGDATA[[#Headers],[BATSMAN NAME]])),0)&gt;0,0,SUMIF($O$6:O71,T_BATTINGDATA[[#This Row],[BATSMAN NAME]],$E$6:E71)),SUMIF($O$6:O71,T_BATTINGDATA[[#This Row],[BATSMAN NAME]],$E$6:E71))</f>
        <v>0</v>
      </c>
      <c r="R71">
        <v>24</v>
      </c>
      <c r="S71" t="s">
        <v>169</v>
      </c>
      <c r="T71">
        <v>3</v>
      </c>
      <c r="U71">
        <v>9</v>
      </c>
      <c r="V71">
        <v>0</v>
      </c>
      <c r="W71">
        <v>0</v>
      </c>
      <c r="X71">
        <v>12</v>
      </c>
      <c r="Y71" t="str">
        <f>CONCATENATE(T_EXTRAS[[#This Row],[Match Number]],T_EXTRAS[[#This Row],[Team Batting]])</f>
        <v>24Ireland</v>
      </c>
      <c r="AA71">
        <v>33</v>
      </c>
      <c r="AB71" t="s">
        <v>154</v>
      </c>
      <c r="AC71">
        <v>10</v>
      </c>
      <c r="AD71">
        <v>260</v>
      </c>
      <c r="AE71">
        <v>5.36</v>
      </c>
      <c r="AF71">
        <v>48.3</v>
      </c>
      <c r="AG71" t="str">
        <f>T_MTOTAL[[#This Row],[Match Number]]&amp;T_MTOTAL[[#This Row],[Team]]</f>
        <v>33England</v>
      </c>
      <c r="AH71">
        <v>2</v>
      </c>
      <c r="AI71" t="str">
        <f>T_MTOTAL[[#This Row],[Match Number]]&amp;" "&amp;T_MTOTAL[[#This Row],[ORDER]]</f>
        <v>33 2</v>
      </c>
      <c r="AJ71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BANGLADESH</v>
      </c>
      <c r="AK7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7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71">
        <f>(LEFT(T_MTOTAL[[#This Row],[Overs]],IFERROR(FIND(".",T_MTOTAL[[#This Row],[Overs]])-1,LEN(T_MTOTAL[[#This Row],[Overs]])))*6) + IFERROR(IF(FIND(".",T_MTOTAL[[#This Row],[Overs]])+1&gt;0,RIGHT(T_MTOTAL[[#This Row],[Overs]],1),0),0)</f>
        <v>291</v>
      </c>
      <c r="AN71">
        <f>IFERROR(IF(MATCH(T_MTOTAL[[#This Row],[ORDER LINK]],T_DL[link],0)&gt;0,INDEX(T_DL[d/l score],MATCH(T_MTOTAL[[#This Row],[ORDER LINK]],T_DL[link],0)),""),T_MTOTAL[[#This Row],[Total]])</f>
        <v>260</v>
      </c>
      <c r="AP71">
        <v>28</v>
      </c>
      <c r="AQ71" t="s">
        <v>170</v>
      </c>
      <c r="AR71" t="s">
        <v>260</v>
      </c>
      <c r="AS71">
        <v>7</v>
      </c>
      <c r="AT71">
        <v>0</v>
      </c>
      <c r="AU71">
        <v>29</v>
      </c>
      <c r="AV71">
        <v>0</v>
      </c>
      <c r="AW71">
        <v>4.1399999999999997</v>
      </c>
      <c r="AX71">
        <v>27</v>
      </c>
      <c r="AY71">
        <v>4</v>
      </c>
      <c r="AZ71">
        <v>0</v>
      </c>
      <c r="BA71">
        <v>1</v>
      </c>
      <c r="BC71">
        <v>2</v>
      </c>
      <c r="BD71" t="str">
        <f>CONCATENATE(Table9[[#This Row],[Match Number]],Table9[[#This Row],[Team]],Table9[[#This Row],[BOWL NUM]])</f>
        <v>28West Indies2</v>
      </c>
      <c r="BE71" t="str">
        <f>IFERROR(IF(AND(Table9[[#This Row],[Team]]=I_TEAM,IFERROR(IF(MATCH(Table9[[#This Row],[Bowler]],$AR$5:AR70,0)&gt;0,0),1)),1,0),"")</f>
        <v/>
      </c>
      <c r="BF71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7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1" t="e">
        <f>IF(Table9[[#This Row],[Team]]=I_TEAM,Table9[[#This Row],[Wickets]]*100-Table9[[#This Row],[Runs]],0)</f>
        <v>#REF!</v>
      </c>
      <c r="BI71">
        <f>Table9[[#This Row],[Wickets]]*100-Table9[[#This Row],[Runs]]</f>
        <v>-29</v>
      </c>
      <c r="BJ71">
        <f ca="1">IFERROR(IF(MATCH(Table9[[#This Row],[Bowler]],OFFSET(AR72,0,0,BOWLROWS-ROW(AR71)-ROW(Table9[[#Headers],[BOWLER CUML WICKETS]])),0)&gt;0,0,SUMIF($AR$6:AR71,Table9[[#This Row],[Bowler]],$AV$6:AV71)),SUMIF($AR$6:AR71,Table9[[#This Row],[Bowler]],$AV$6:AV71))</f>
        <v>0</v>
      </c>
      <c r="BK71">
        <f ca="1">IFERROR(IF(MATCH(Table9[[#This Row],[Bowler]],OFFSET(AR72,0,0,BOWLROWS-ROW(AR71)-ROW(Table9[[#Headers],[BOWLER CUML WICKETS]])),0)&gt;0,0,SUMIF($AR$6:AR71,Table9[[#This Row],[Bowler]],$AU$6:AU71)),SUMIF($AR$6:AR71,Table9[[#This Row],[Bowler]],$AU$6:AU71))</f>
        <v>0</v>
      </c>
      <c r="BL71">
        <f ca="1">Table9[[#This Row],[BOWLER CUML WICKETS]]*100-Table9[[#This Row],[BOWLER CUML RUNS]]</f>
        <v>0</v>
      </c>
    </row>
    <row r="72" spans="1:64" x14ac:dyDescent="0.3">
      <c r="A72">
        <v>21</v>
      </c>
      <c r="B72" t="s">
        <v>164</v>
      </c>
      <c r="C72" t="s">
        <v>261</v>
      </c>
      <c r="D72" t="s">
        <v>262</v>
      </c>
      <c r="E72">
        <v>1</v>
      </c>
      <c r="F72">
        <v>4</v>
      </c>
      <c r="G72">
        <v>5</v>
      </c>
      <c r="H72">
        <v>0</v>
      </c>
      <c r="I72">
        <v>0</v>
      </c>
      <c r="J72">
        <v>20</v>
      </c>
      <c r="K72">
        <v>10</v>
      </c>
      <c r="L72" t="str">
        <f>CONCATENATE(T_BATTINGDATA[[#This Row],[Match]],T_BATTINGDATA[[#This Row],[Team]],T_BATTINGDATA[[#This Row],[Bat Number]])</f>
        <v>21UAE10</v>
      </c>
      <c r="M72" t="str">
        <f>IFERROR(IF(AND(T_BATTINGDATA[[#This Row],[Team]]=I_TEAM,IFERROR(IF(MATCH(T_BATTINGDATA[[#This Row],[BATSMAN NAME]],$O$5:O71,0)&gt;0,0),1)),1,0),"")</f>
        <v/>
      </c>
      <c r="N72" t="e">
        <f>IF(T_BATTINGDATA[[#This Row],[Team]]=I_TEAM,T_BATTINGDATA[[#This Row],[R]],0)</f>
        <v>#REF!</v>
      </c>
      <c r="O72" t="str">
        <f>LEFT(T_BATTINGDATA[[#This Row],[Batsman]],IFERROR(FIND("*",T_BATTINGDATA[[#This Row],[Batsman]])-1,IFERROR(FIND("†",T_BATTINGDATA[[#This Row],[Batsman]])-1,LEN(T_BATTINGDATA[[#This Row],[Batsman]]))))</f>
        <v>Mohammad Tauqir</v>
      </c>
      <c r="P72">
        <f ca="1">IFERROR(IF(MATCH(T_BATTINGDATA[[#This Row],[BATSMAN NAME]],OFFSET(O73,0,0,BATROWS-ROW(O72)-ROW(T_BATTINGDATA[[#Headers],[BATSMAN NAME]])),0)&gt;0,0,SUMIF($O$6:O72,T_BATTINGDATA[[#This Row],[BATSMAN NAME]],$E$6:E72)),SUMIF($O$6:O72,T_BATTINGDATA[[#This Row],[BATSMAN NAME]],$E$6:E72))</f>
        <v>0</v>
      </c>
      <c r="R72">
        <v>25</v>
      </c>
      <c r="S72" t="s">
        <v>153</v>
      </c>
      <c r="T72">
        <v>3</v>
      </c>
      <c r="U72">
        <v>12</v>
      </c>
      <c r="V72">
        <v>1</v>
      </c>
      <c r="W72">
        <v>0</v>
      </c>
      <c r="X72">
        <v>16</v>
      </c>
      <c r="Y72" t="str">
        <f>CONCATENATE(T_EXTRAS[[#This Row],[Match Number]],T_EXTRAS[[#This Row],[Team Batting]])</f>
        <v>25Pakistan</v>
      </c>
      <c r="AA72">
        <v>34</v>
      </c>
      <c r="AB72" t="s">
        <v>169</v>
      </c>
      <c r="AC72">
        <v>10</v>
      </c>
      <c r="AD72">
        <v>259</v>
      </c>
      <c r="AE72">
        <v>5.28</v>
      </c>
      <c r="AF72">
        <v>49</v>
      </c>
      <c r="AG72" t="str">
        <f>T_MTOTAL[[#This Row],[Match Number]]&amp;T_MTOTAL[[#This Row],[Team]]</f>
        <v>34Ireland</v>
      </c>
      <c r="AH72">
        <v>1</v>
      </c>
      <c r="AI72" t="str">
        <f>T_MTOTAL[[#This Row],[Match Number]]&amp;" "&amp;T_MTOTAL[[#This Row],[ORDER]]</f>
        <v>34 1</v>
      </c>
      <c r="AJ72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INDIA</v>
      </c>
      <c r="AK7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7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72">
        <f>(LEFT(T_MTOTAL[[#This Row],[Overs]],IFERROR(FIND(".",T_MTOTAL[[#This Row],[Overs]])-1,LEN(T_MTOTAL[[#This Row],[Overs]])))*6) + IFERROR(IF(FIND(".",T_MTOTAL[[#This Row],[Overs]])+1&gt;0,RIGHT(T_MTOTAL[[#This Row],[Overs]],1),0),0)</f>
        <v>294</v>
      </c>
      <c r="AN72">
        <f>IFERROR(IF(MATCH(T_MTOTAL[[#This Row],[ORDER LINK]],T_DL[link],0)&gt;0,INDEX(T_DL[d/l score],MATCH(T_MTOTAL[[#This Row],[ORDER LINK]],T_DL[link],0)),""),T_MTOTAL[[#This Row],[Total]])</f>
        <v>259</v>
      </c>
      <c r="AP72">
        <v>28</v>
      </c>
      <c r="AQ72" t="s">
        <v>170</v>
      </c>
      <c r="AR72" t="s">
        <v>263</v>
      </c>
      <c r="AS72">
        <v>8</v>
      </c>
      <c r="AT72">
        <v>1</v>
      </c>
      <c r="AU72">
        <v>44</v>
      </c>
      <c r="AV72">
        <v>1</v>
      </c>
      <c r="AW72">
        <v>5.5</v>
      </c>
      <c r="AX72">
        <v>30</v>
      </c>
      <c r="AY72">
        <v>3</v>
      </c>
      <c r="AZ72">
        <v>0</v>
      </c>
      <c r="BA72">
        <v>5</v>
      </c>
      <c r="BB72">
        <v>2</v>
      </c>
      <c r="BC72">
        <v>3</v>
      </c>
      <c r="BD72" t="str">
        <f>CONCATENATE(Table9[[#This Row],[Match Number]],Table9[[#This Row],[Team]],Table9[[#This Row],[BOWL NUM]])</f>
        <v>28West Indies3</v>
      </c>
      <c r="BE72" t="str">
        <f>IFERROR(IF(AND(Table9[[#This Row],[Team]]=I_TEAM,IFERROR(IF(MATCH(Table9[[#This Row],[Bowler]],$AR$5:AR71,0)&gt;0,0),1)),1,0),"")</f>
        <v/>
      </c>
      <c r="BF72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7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2" t="e">
        <f>IF(Table9[[#This Row],[Team]]=I_TEAM,Table9[[#This Row],[Wickets]]*100-Table9[[#This Row],[Runs]],0)</f>
        <v>#REF!</v>
      </c>
      <c r="BI72">
        <f>Table9[[#This Row],[Wickets]]*100-Table9[[#This Row],[Runs]]</f>
        <v>56</v>
      </c>
      <c r="BJ72">
        <f ca="1">IFERROR(IF(MATCH(Table9[[#This Row],[Bowler]],OFFSET(AR73,0,0,BOWLROWS-ROW(AR72)-ROW(Table9[[#Headers],[BOWLER CUML WICKETS]])),0)&gt;0,0,SUMIF($AR$6:AR72,Table9[[#This Row],[Bowler]],$AV$6:AV72)),SUMIF($AR$6:AR72,Table9[[#This Row],[Bowler]],$AV$6:AV72))</f>
        <v>0</v>
      </c>
      <c r="BK72">
        <f ca="1">IFERROR(IF(MATCH(Table9[[#This Row],[Bowler]],OFFSET(AR73,0,0,BOWLROWS-ROW(AR72)-ROW(Table9[[#Headers],[BOWLER CUML WICKETS]])),0)&gt;0,0,SUMIF($AR$6:AR72,Table9[[#This Row],[Bowler]],$AU$6:AU72)),SUMIF($AR$6:AR72,Table9[[#This Row],[Bowler]],$AU$6:AU72))</f>
        <v>0</v>
      </c>
      <c r="BL72">
        <f ca="1">Table9[[#This Row],[BOWLER CUML WICKETS]]*100-Table9[[#This Row],[BOWLER CUML RUNS]]</f>
        <v>0</v>
      </c>
    </row>
    <row r="73" spans="1:64" x14ac:dyDescent="0.3">
      <c r="A73">
        <v>21</v>
      </c>
      <c r="B73" t="s">
        <v>164</v>
      </c>
      <c r="C73" t="s">
        <v>225</v>
      </c>
      <c r="D73" t="s">
        <v>167</v>
      </c>
      <c r="E73">
        <v>10</v>
      </c>
      <c r="F73">
        <v>23</v>
      </c>
      <c r="G73">
        <v>16</v>
      </c>
      <c r="H73">
        <v>1</v>
      </c>
      <c r="I73">
        <v>0</v>
      </c>
      <c r="J73">
        <v>62.5</v>
      </c>
      <c r="K73">
        <v>11</v>
      </c>
      <c r="L73" t="str">
        <f>CONCATENATE(T_BATTINGDATA[[#This Row],[Match]],T_BATTINGDATA[[#This Row],[Team]],T_BATTINGDATA[[#This Row],[Bat Number]])</f>
        <v>21UAE11</v>
      </c>
      <c r="M73" t="str">
        <f>IFERROR(IF(AND(T_BATTINGDATA[[#This Row],[Team]]=I_TEAM,IFERROR(IF(MATCH(T_BATTINGDATA[[#This Row],[BATSMAN NAME]],$O$5:O72,0)&gt;0,0),1)),1,0),"")</f>
        <v/>
      </c>
      <c r="N73" t="e">
        <f>IF(T_BATTINGDATA[[#This Row],[Team]]=I_TEAM,T_BATTINGDATA[[#This Row],[R]],0)</f>
        <v>#REF!</v>
      </c>
      <c r="O73" t="str">
        <f>LEFT(T_BATTINGDATA[[#This Row],[Batsman]],IFERROR(FIND("*",T_BATTINGDATA[[#This Row],[Batsman]])-1,IFERROR(FIND("†",T_BATTINGDATA[[#This Row],[Batsman]])-1,LEN(T_BATTINGDATA[[#This Row],[Batsman]]))))</f>
        <v>AM Guruge</v>
      </c>
      <c r="P73">
        <f ca="1">IFERROR(IF(MATCH(T_BATTINGDATA[[#This Row],[BATSMAN NAME]],OFFSET(O74,0,0,BATROWS-ROW(O73)-ROW(T_BATTINGDATA[[#Headers],[BATSMAN NAME]])),0)&gt;0,0,SUMIF($O$6:O73,T_BATTINGDATA[[#This Row],[BATSMAN NAME]],$E$6:E73)),SUMIF($O$6:O73,T_BATTINGDATA[[#This Row],[BATSMAN NAME]],$E$6:E73))</f>
        <v>0</v>
      </c>
      <c r="R73">
        <v>25</v>
      </c>
      <c r="S73" t="s">
        <v>164</v>
      </c>
      <c r="T73">
        <v>1</v>
      </c>
      <c r="U73">
        <v>12</v>
      </c>
      <c r="V73">
        <v>0</v>
      </c>
      <c r="W73">
        <v>0</v>
      </c>
      <c r="X73">
        <v>13</v>
      </c>
      <c r="Y73" t="str">
        <f>CONCATENATE(T_EXTRAS[[#This Row],[Match Number]],T_EXTRAS[[#This Row],[Team Batting]])</f>
        <v>25UAE</v>
      </c>
      <c r="AA73">
        <v>34</v>
      </c>
      <c r="AB73" t="s">
        <v>137</v>
      </c>
      <c r="AC73">
        <v>2</v>
      </c>
      <c r="AD73">
        <v>260</v>
      </c>
      <c r="AE73">
        <v>7.05</v>
      </c>
      <c r="AF73">
        <v>36.5</v>
      </c>
      <c r="AG73" t="str">
        <f>T_MTOTAL[[#This Row],[Match Number]]&amp;T_MTOTAL[[#This Row],[Team]]</f>
        <v>34India</v>
      </c>
      <c r="AH73">
        <v>2</v>
      </c>
      <c r="AI73" t="str">
        <f>T_MTOTAL[[#This Row],[Match Number]]&amp;" "&amp;T_MTOTAL[[#This Row],[ORDER]]</f>
        <v>34 2</v>
      </c>
      <c r="AJ73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IRELAND</v>
      </c>
      <c r="AK7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36.5</v>
      </c>
      <c r="AL7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221</v>
      </c>
      <c r="AM73">
        <f>(LEFT(T_MTOTAL[[#This Row],[Overs]],IFERROR(FIND(".",T_MTOTAL[[#This Row],[Overs]])-1,LEN(T_MTOTAL[[#This Row],[Overs]])))*6) + IFERROR(IF(FIND(".",T_MTOTAL[[#This Row],[Overs]])+1&gt;0,RIGHT(T_MTOTAL[[#This Row],[Overs]],1),0),0)</f>
        <v>221</v>
      </c>
      <c r="AN73">
        <f>IFERROR(IF(MATCH(T_MTOTAL[[#This Row],[ORDER LINK]],T_DL[link],0)&gt;0,INDEX(T_DL[d/l score],MATCH(T_MTOTAL[[#This Row],[ORDER LINK]],T_DL[link],0)),""),T_MTOTAL[[#This Row],[Total]])</f>
        <v>260</v>
      </c>
      <c r="AP73">
        <v>28</v>
      </c>
      <c r="AQ73" t="s">
        <v>170</v>
      </c>
      <c r="AR73" t="s">
        <v>264</v>
      </c>
      <c r="AS73">
        <v>8</v>
      </c>
      <c r="AT73">
        <v>0</v>
      </c>
      <c r="AU73">
        <v>43</v>
      </c>
      <c r="AV73">
        <v>2</v>
      </c>
      <c r="AW73">
        <v>5.37</v>
      </c>
      <c r="AX73">
        <v>27</v>
      </c>
      <c r="AY73">
        <v>2</v>
      </c>
      <c r="AZ73">
        <v>1</v>
      </c>
      <c r="BA73">
        <v>5</v>
      </c>
      <c r="BB73">
        <v>1</v>
      </c>
      <c r="BC73">
        <v>4</v>
      </c>
      <c r="BD73" t="str">
        <f>CONCATENATE(Table9[[#This Row],[Match Number]],Table9[[#This Row],[Team]],Table9[[#This Row],[BOWL NUM]])</f>
        <v>28West Indies4</v>
      </c>
      <c r="BE73" t="str">
        <f>IFERROR(IF(AND(Table9[[#This Row],[Team]]=I_TEAM,IFERROR(IF(MATCH(Table9[[#This Row],[Bowler]],$AR$5:AR72,0)&gt;0,0),1)),1,0),"")</f>
        <v/>
      </c>
      <c r="BF73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7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3" t="e">
        <f>IF(Table9[[#This Row],[Team]]=I_TEAM,Table9[[#This Row],[Wickets]]*100-Table9[[#This Row],[Runs]],0)</f>
        <v>#REF!</v>
      </c>
      <c r="BI73">
        <f>Table9[[#This Row],[Wickets]]*100-Table9[[#This Row],[Runs]]</f>
        <v>157</v>
      </c>
      <c r="BJ73">
        <f ca="1">IFERROR(IF(MATCH(Table9[[#This Row],[Bowler]],OFFSET(AR74,0,0,BOWLROWS-ROW(AR73)-ROW(Table9[[#Headers],[BOWLER CUML WICKETS]])),0)&gt;0,0,SUMIF($AR$6:AR73,Table9[[#This Row],[Bowler]],$AV$6:AV73)),SUMIF($AR$6:AR73,Table9[[#This Row],[Bowler]],$AV$6:AV73))</f>
        <v>0</v>
      </c>
      <c r="BK73">
        <f ca="1">IFERROR(IF(MATCH(Table9[[#This Row],[Bowler]],OFFSET(AR74,0,0,BOWLROWS-ROW(AR73)-ROW(Table9[[#Headers],[BOWLER CUML WICKETS]])),0)&gt;0,0,SUMIF($AR$6:AR73,Table9[[#This Row],[Bowler]],$AU$6:AU73)),SUMIF($AR$6:AR73,Table9[[#This Row],[Bowler]],$AU$6:AU73))</f>
        <v>0</v>
      </c>
      <c r="BL73">
        <f ca="1">Table9[[#This Row],[BOWLER CUML WICKETS]]*100-Table9[[#This Row],[BOWLER CUML RUNS]]</f>
        <v>0</v>
      </c>
    </row>
    <row r="74" spans="1:64" x14ac:dyDescent="0.3">
      <c r="A74">
        <v>21</v>
      </c>
      <c r="B74" t="s">
        <v>137</v>
      </c>
      <c r="C74" t="s">
        <v>138</v>
      </c>
      <c r="D74" t="s">
        <v>167</v>
      </c>
      <c r="E74">
        <v>57</v>
      </c>
      <c r="F74">
        <v>77</v>
      </c>
      <c r="G74">
        <v>55</v>
      </c>
      <c r="H74">
        <v>10</v>
      </c>
      <c r="I74">
        <v>1</v>
      </c>
      <c r="J74">
        <v>103.63</v>
      </c>
      <c r="K74">
        <v>1</v>
      </c>
      <c r="L74" t="str">
        <f>CONCATENATE(T_BATTINGDATA[[#This Row],[Match]],T_BATTINGDATA[[#This Row],[Team]],T_BATTINGDATA[[#This Row],[Bat Number]])</f>
        <v>21India1</v>
      </c>
      <c r="M74" t="str">
        <f>IFERROR(IF(AND(T_BATTINGDATA[[#This Row],[Team]]=I_TEAM,IFERROR(IF(MATCH(T_BATTINGDATA[[#This Row],[BATSMAN NAME]],$O$5:O73,0)&gt;0,0),1)),1,0),"")</f>
        <v/>
      </c>
      <c r="N74" t="e">
        <f>IF(T_BATTINGDATA[[#This Row],[Team]]=I_TEAM,T_BATTINGDATA[[#This Row],[R]],0)</f>
        <v>#REF!</v>
      </c>
      <c r="O74" t="str">
        <f>LEFT(T_BATTINGDATA[[#This Row],[Batsman]],IFERROR(FIND("*",T_BATTINGDATA[[#This Row],[Batsman]])-1,IFERROR(FIND("†",T_BATTINGDATA[[#This Row],[Batsman]])-1,LEN(T_BATTINGDATA[[#This Row],[Batsman]]))))</f>
        <v>RG Sharma</v>
      </c>
      <c r="P74">
        <f ca="1">IFERROR(IF(MATCH(T_BATTINGDATA[[#This Row],[BATSMAN NAME]],OFFSET(O75,0,0,BATROWS-ROW(O74)-ROW(T_BATTINGDATA[[#Headers],[BATSMAN NAME]])),0)&gt;0,0,SUMIF($O$6:O74,T_BATTINGDATA[[#This Row],[BATSMAN NAME]],$E$6:E74)),SUMIF($O$6:O74,T_BATTINGDATA[[#This Row],[BATSMAN NAME]],$E$6:E74))</f>
        <v>0</v>
      </c>
      <c r="R74">
        <v>26</v>
      </c>
      <c r="S74" t="s">
        <v>149</v>
      </c>
      <c r="T74">
        <v>5</v>
      </c>
      <c r="U74">
        <v>7</v>
      </c>
      <c r="V74">
        <v>3</v>
      </c>
      <c r="W74">
        <v>2</v>
      </c>
      <c r="X74">
        <v>17</v>
      </c>
      <c r="Y74" t="str">
        <f>CONCATENATE(T_EXTRAS[[#This Row],[Match Number]],T_EXTRAS[[#This Row],[Team Batting]])</f>
        <v>26Australia</v>
      </c>
      <c r="AA74">
        <v>35</v>
      </c>
      <c r="AB74" t="s">
        <v>145</v>
      </c>
      <c r="AC74">
        <v>9</v>
      </c>
      <c r="AD74">
        <v>363</v>
      </c>
      <c r="AE74">
        <v>7.26</v>
      </c>
      <c r="AF74">
        <v>50</v>
      </c>
      <c r="AG74" t="str">
        <f>T_MTOTAL[[#This Row],[Match Number]]&amp;T_MTOTAL[[#This Row],[Team]]</f>
        <v>35Sri Lanka</v>
      </c>
      <c r="AH74">
        <v>1</v>
      </c>
      <c r="AI74" t="str">
        <f>T_MTOTAL[[#This Row],[Match Number]]&amp;" "&amp;T_MTOTAL[[#This Row],[ORDER]]</f>
        <v>35 1</v>
      </c>
      <c r="AJ74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SCOTLAND</v>
      </c>
      <c r="AK7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7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74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74">
        <f>IFERROR(IF(MATCH(T_MTOTAL[[#This Row],[ORDER LINK]],T_DL[link],0)&gt;0,INDEX(T_DL[d/l score],MATCH(T_MTOTAL[[#This Row],[ORDER LINK]],T_DL[link],0)),""),T_MTOTAL[[#This Row],[Total]])</f>
        <v>363</v>
      </c>
      <c r="AP74">
        <v>28</v>
      </c>
      <c r="AQ74" t="s">
        <v>170</v>
      </c>
      <c r="AR74" t="s">
        <v>265</v>
      </c>
      <c r="AS74">
        <v>5</v>
      </c>
      <c r="AT74">
        <v>0</v>
      </c>
      <c r="AU74">
        <v>22</v>
      </c>
      <c r="AV74">
        <v>1</v>
      </c>
      <c r="AW74">
        <v>4.4000000000000004</v>
      </c>
      <c r="AX74">
        <v>17</v>
      </c>
      <c r="AY74">
        <v>2</v>
      </c>
      <c r="AZ74">
        <v>0</v>
      </c>
      <c r="BA74">
        <v>3</v>
      </c>
      <c r="BC74">
        <v>5</v>
      </c>
      <c r="BD74" t="str">
        <f>CONCATENATE(Table9[[#This Row],[Match Number]],Table9[[#This Row],[Team]],Table9[[#This Row],[BOWL NUM]])</f>
        <v>28West Indies5</v>
      </c>
      <c r="BE74" t="str">
        <f>IFERROR(IF(AND(Table9[[#This Row],[Team]]=I_TEAM,IFERROR(IF(MATCH(Table9[[#This Row],[Bowler]],$AR$5:AR73,0)&gt;0,0),1)),1,0),"")</f>
        <v/>
      </c>
      <c r="BF74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7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4" t="e">
        <f>IF(Table9[[#This Row],[Team]]=I_TEAM,Table9[[#This Row],[Wickets]]*100-Table9[[#This Row],[Runs]],0)</f>
        <v>#REF!</v>
      </c>
      <c r="BI74">
        <f>Table9[[#This Row],[Wickets]]*100-Table9[[#This Row],[Runs]]</f>
        <v>78</v>
      </c>
      <c r="BJ74">
        <f ca="1">IFERROR(IF(MATCH(Table9[[#This Row],[Bowler]],OFFSET(AR75,0,0,BOWLROWS-ROW(AR74)-ROW(Table9[[#Headers],[BOWLER CUML WICKETS]])),0)&gt;0,0,SUMIF($AR$6:AR74,Table9[[#This Row],[Bowler]],$AV$6:AV74)),SUMIF($AR$6:AR74,Table9[[#This Row],[Bowler]],$AV$6:AV74))</f>
        <v>0</v>
      </c>
      <c r="BK74">
        <f ca="1">IFERROR(IF(MATCH(Table9[[#This Row],[Bowler]],OFFSET(AR75,0,0,BOWLROWS-ROW(AR74)-ROW(Table9[[#Headers],[BOWLER CUML WICKETS]])),0)&gt;0,0,SUMIF($AR$6:AR74,Table9[[#This Row],[Bowler]],$AU$6:AU74)),SUMIF($AR$6:AR74,Table9[[#This Row],[Bowler]],$AU$6:AU74))</f>
        <v>0</v>
      </c>
      <c r="BL74">
        <f ca="1">Table9[[#This Row],[BOWLER CUML WICKETS]]*100-Table9[[#This Row],[BOWLER CUML RUNS]]</f>
        <v>0</v>
      </c>
    </row>
    <row r="75" spans="1:64" x14ac:dyDescent="0.3">
      <c r="A75">
        <v>21</v>
      </c>
      <c r="B75" t="s">
        <v>137</v>
      </c>
      <c r="C75" t="s">
        <v>143</v>
      </c>
      <c r="D75" t="s">
        <v>266</v>
      </c>
      <c r="E75">
        <v>14</v>
      </c>
      <c r="F75">
        <v>27</v>
      </c>
      <c r="G75">
        <v>17</v>
      </c>
      <c r="H75">
        <v>3</v>
      </c>
      <c r="I75">
        <v>0</v>
      </c>
      <c r="J75">
        <v>82.35</v>
      </c>
      <c r="K75">
        <v>2</v>
      </c>
      <c r="L75" t="str">
        <f>CONCATENATE(T_BATTINGDATA[[#This Row],[Match]],T_BATTINGDATA[[#This Row],[Team]],T_BATTINGDATA[[#This Row],[Bat Number]])</f>
        <v>21India2</v>
      </c>
      <c r="M75" t="str">
        <f>IFERROR(IF(AND(T_BATTINGDATA[[#This Row],[Team]]=I_TEAM,IFERROR(IF(MATCH(T_BATTINGDATA[[#This Row],[BATSMAN NAME]],$O$5:O74,0)&gt;0,0),1)),1,0),"")</f>
        <v/>
      </c>
      <c r="N75" t="e">
        <f>IF(T_BATTINGDATA[[#This Row],[Team]]=I_TEAM,T_BATTINGDATA[[#This Row],[R]],0)</f>
        <v>#REF!</v>
      </c>
      <c r="O75" t="str">
        <f>LEFT(T_BATTINGDATA[[#This Row],[Batsman]],IFERROR(FIND("*",T_BATTINGDATA[[#This Row],[Batsman]])-1,IFERROR(FIND("†",T_BATTINGDATA[[#This Row],[Batsman]])-1,LEN(T_BATTINGDATA[[#This Row],[Batsman]]))))</f>
        <v>S Dhawan</v>
      </c>
      <c r="P75">
        <f ca="1">IFERROR(IF(MATCH(T_BATTINGDATA[[#This Row],[BATSMAN NAME]],OFFSET(O76,0,0,BATROWS-ROW(O75)-ROW(T_BATTINGDATA[[#Headers],[BATSMAN NAME]])),0)&gt;0,0,SUMIF($O$6:O75,T_BATTINGDATA[[#This Row],[BATSMAN NAME]],$E$6:E75)),SUMIF($O$6:O75,T_BATTINGDATA[[#This Row],[BATSMAN NAME]],$E$6:E75))</f>
        <v>0</v>
      </c>
      <c r="R75">
        <v>26</v>
      </c>
      <c r="S75" t="s">
        <v>185</v>
      </c>
      <c r="T75">
        <v>5</v>
      </c>
      <c r="U75">
        <v>10</v>
      </c>
      <c r="V75">
        <v>1</v>
      </c>
      <c r="W75">
        <v>4</v>
      </c>
      <c r="X75">
        <v>20</v>
      </c>
      <c r="Y75" t="str">
        <f>CONCATENATE(T_EXTRAS[[#This Row],[Match Number]],T_EXTRAS[[#This Row],[Team Batting]])</f>
        <v>26Afghanistan</v>
      </c>
      <c r="AA75">
        <v>35</v>
      </c>
      <c r="AB75" t="s">
        <v>176</v>
      </c>
      <c r="AC75">
        <v>10</v>
      </c>
      <c r="AD75">
        <v>215</v>
      </c>
      <c r="AE75">
        <v>4.9800000000000004</v>
      </c>
      <c r="AF75">
        <v>43.1</v>
      </c>
      <c r="AG75" t="str">
        <f>T_MTOTAL[[#This Row],[Match Number]]&amp;T_MTOTAL[[#This Row],[Team]]</f>
        <v>35Scotland</v>
      </c>
      <c r="AH75">
        <v>2</v>
      </c>
      <c r="AI75" t="str">
        <f>T_MTOTAL[[#This Row],[Match Number]]&amp;" "&amp;T_MTOTAL[[#This Row],[ORDER]]</f>
        <v>35 2</v>
      </c>
      <c r="AJ75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SRI LANKA</v>
      </c>
      <c r="AK7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7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75">
        <f>(LEFT(T_MTOTAL[[#This Row],[Overs]],IFERROR(FIND(".",T_MTOTAL[[#This Row],[Overs]])-1,LEN(T_MTOTAL[[#This Row],[Overs]])))*6) + IFERROR(IF(FIND(".",T_MTOTAL[[#This Row],[Overs]])+1&gt;0,RIGHT(T_MTOTAL[[#This Row],[Overs]],1),0),0)</f>
        <v>259</v>
      </c>
      <c r="AN75">
        <f>IFERROR(IF(MATCH(T_MTOTAL[[#This Row],[ORDER LINK]],T_DL[link],0)&gt;0,INDEX(T_DL[d/l score],MATCH(T_MTOTAL[[#This Row],[ORDER LINK]],T_DL[link],0)),""),T_MTOTAL[[#This Row],[Total]])</f>
        <v>215</v>
      </c>
      <c r="AP75">
        <v>28</v>
      </c>
      <c r="AQ75" t="s">
        <v>170</v>
      </c>
      <c r="AR75" t="s">
        <v>267</v>
      </c>
      <c r="AS75">
        <v>3.1</v>
      </c>
      <c r="AT75">
        <v>0</v>
      </c>
      <c r="AU75">
        <v>10</v>
      </c>
      <c r="AV75">
        <v>0</v>
      </c>
      <c r="AW75">
        <v>3.15</v>
      </c>
      <c r="AX75">
        <v>12</v>
      </c>
      <c r="AY75">
        <v>1</v>
      </c>
      <c r="AZ75">
        <v>0</v>
      </c>
      <c r="BC75">
        <v>6</v>
      </c>
      <c r="BD75" t="str">
        <f>CONCATENATE(Table9[[#This Row],[Match Number]],Table9[[#This Row],[Team]],Table9[[#This Row],[BOWL NUM]])</f>
        <v>28West Indies6</v>
      </c>
      <c r="BE75" t="str">
        <f>IFERROR(IF(AND(Table9[[#This Row],[Team]]=I_TEAM,IFERROR(IF(MATCH(Table9[[#This Row],[Bowler]],$AR$5:AR74,0)&gt;0,0),1)),1,0),"")</f>
        <v/>
      </c>
      <c r="BF75">
        <f>(LEFT(Table9[[#This Row],[Overs]],IFERROR(FIND(".",Table9[[#This Row],[Overs]])-1,LEN(Table9[[#This Row],[Overs]])))*6) + IFERROR(IF(FIND(".",Table9[[#This Row],[Overs]])+1&gt;0,RIGHT(Table9[[#This Row],[Overs]],1),0),0)</f>
        <v>19</v>
      </c>
      <c r="BG7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5" t="e">
        <f>IF(Table9[[#This Row],[Team]]=I_TEAM,Table9[[#This Row],[Wickets]]*100-Table9[[#This Row],[Runs]],0)</f>
        <v>#REF!</v>
      </c>
      <c r="BI75">
        <f>Table9[[#This Row],[Wickets]]*100-Table9[[#This Row],[Runs]]</f>
        <v>-10</v>
      </c>
      <c r="BJ75">
        <f ca="1">IFERROR(IF(MATCH(Table9[[#This Row],[Bowler]],OFFSET(AR76,0,0,BOWLROWS-ROW(AR75)-ROW(Table9[[#Headers],[BOWLER CUML WICKETS]])),0)&gt;0,0,SUMIF($AR$6:AR75,Table9[[#This Row],[Bowler]],$AV$6:AV75)),SUMIF($AR$6:AR75,Table9[[#This Row],[Bowler]],$AV$6:AV75))</f>
        <v>0</v>
      </c>
      <c r="BK75">
        <f ca="1">IFERROR(IF(MATCH(Table9[[#This Row],[Bowler]],OFFSET(AR76,0,0,BOWLROWS-ROW(AR75)-ROW(Table9[[#Headers],[BOWLER CUML WICKETS]])),0)&gt;0,0,SUMIF($AR$6:AR75,Table9[[#This Row],[Bowler]],$AU$6:AU75)),SUMIF($AR$6:AR75,Table9[[#This Row],[Bowler]],$AU$6:AU75))</f>
        <v>0</v>
      </c>
      <c r="BL75">
        <f ca="1">Table9[[#This Row],[BOWLER CUML WICKETS]]*100-Table9[[#This Row],[BOWLER CUML RUNS]]</f>
        <v>0</v>
      </c>
    </row>
    <row r="76" spans="1:64" x14ac:dyDescent="0.3">
      <c r="A76">
        <v>21</v>
      </c>
      <c r="B76" t="s">
        <v>137</v>
      </c>
      <c r="C76" t="s">
        <v>147</v>
      </c>
      <c r="D76" t="s">
        <v>167</v>
      </c>
      <c r="E76">
        <v>33</v>
      </c>
      <c r="F76">
        <v>49</v>
      </c>
      <c r="G76">
        <v>41</v>
      </c>
      <c r="H76">
        <v>5</v>
      </c>
      <c r="I76">
        <v>0</v>
      </c>
      <c r="J76">
        <v>80.48</v>
      </c>
      <c r="K76">
        <v>3</v>
      </c>
      <c r="L76" t="str">
        <f>CONCATENATE(T_BATTINGDATA[[#This Row],[Match]],T_BATTINGDATA[[#This Row],[Team]],T_BATTINGDATA[[#This Row],[Bat Number]])</f>
        <v>21India3</v>
      </c>
      <c r="M76" t="str">
        <f>IFERROR(IF(AND(T_BATTINGDATA[[#This Row],[Team]]=I_TEAM,IFERROR(IF(MATCH(T_BATTINGDATA[[#This Row],[BATSMAN NAME]],$O$5:O75,0)&gt;0,0),1)),1,0),"")</f>
        <v/>
      </c>
      <c r="N76" t="e">
        <f>IF(T_BATTINGDATA[[#This Row],[Team]]=I_TEAM,T_BATTINGDATA[[#This Row],[R]],0)</f>
        <v>#REF!</v>
      </c>
      <c r="O76" t="str">
        <f>LEFT(T_BATTINGDATA[[#This Row],[Batsman]],IFERROR(FIND("*",T_BATTINGDATA[[#This Row],[Batsman]])-1,IFERROR(FIND("†",T_BATTINGDATA[[#This Row],[Batsman]])-1,LEN(T_BATTINGDATA[[#This Row],[Batsman]]))))</f>
        <v>V Kohli</v>
      </c>
      <c r="P76">
        <f ca="1">IFERROR(IF(MATCH(T_BATTINGDATA[[#This Row],[BATSMAN NAME]],OFFSET(O77,0,0,BATROWS-ROW(O76)-ROW(T_BATTINGDATA[[#Headers],[BATSMAN NAME]])),0)&gt;0,0,SUMIF($O$6:O76,T_BATTINGDATA[[#This Row],[BATSMAN NAME]],$E$6:E76)),SUMIF($O$6:O76,T_BATTINGDATA[[#This Row],[BATSMAN NAME]],$E$6:E76))</f>
        <v>0</v>
      </c>
      <c r="R76">
        <v>27</v>
      </c>
      <c r="S76" t="s">
        <v>176</v>
      </c>
      <c r="T76">
        <v>1</v>
      </c>
      <c r="U76">
        <v>5</v>
      </c>
      <c r="V76">
        <v>1</v>
      </c>
      <c r="W76">
        <v>0</v>
      </c>
      <c r="X76">
        <v>7</v>
      </c>
      <c r="Y76" t="str">
        <f>CONCATENATE(T_EXTRAS[[#This Row],[Match Number]],T_EXTRAS[[#This Row],[Team Batting]])</f>
        <v>27Scotland</v>
      </c>
      <c r="AA76">
        <v>36</v>
      </c>
      <c r="AB76" t="s">
        <v>141</v>
      </c>
      <c r="AC76">
        <v>6</v>
      </c>
      <c r="AD76">
        <v>341</v>
      </c>
      <c r="AE76">
        <v>6.82</v>
      </c>
      <c r="AF76">
        <v>50</v>
      </c>
      <c r="AG76" t="str">
        <f>T_MTOTAL[[#This Row],[Match Number]]&amp;T_MTOTAL[[#This Row],[Team]]</f>
        <v>36South Africa</v>
      </c>
      <c r="AH76">
        <v>1</v>
      </c>
      <c r="AI76" t="str">
        <f>T_MTOTAL[[#This Row],[Match Number]]&amp;" "&amp;T_MTOTAL[[#This Row],[ORDER]]</f>
        <v>36 1</v>
      </c>
      <c r="AJ76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UAE</v>
      </c>
      <c r="AK7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7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76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76">
        <f>IFERROR(IF(MATCH(T_MTOTAL[[#This Row],[ORDER LINK]],T_DL[link],0)&gt;0,INDEX(T_DL[d/l score],MATCH(T_MTOTAL[[#This Row],[ORDER LINK]],T_DL[link],0)),""),T_MTOTAL[[#This Row],[Total]])</f>
        <v>341</v>
      </c>
      <c r="AP76">
        <v>44</v>
      </c>
      <c r="AQ76" t="s">
        <v>181</v>
      </c>
      <c r="AR76" t="s">
        <v>268</v>
      </c>
      <c r="AS76">
        <v>10</v>
      </c>
      <c r="AT76">
        <v>0</v>
      </c>
      <c r="AU76">
        <v>69</v>
      </c>
      <c r="AV76">
        <v>1</v>
      </c>
      <c r="AW76">
        <v>6.9</v>
      </c>
      <c r="AX76">
        <v>30</v>
      </c>
      <c r="AY76">
        <v>10</v>
      </c>
      <c r="AZ76">
        <v>0</v>
      </c>
      <c r="BB76">
        <v>1</v>
      </c>
      <c r="BC76">
        <v>1</v>
      </c>
      <c r="BD76" t="str">
        <f>CONCATENATE(Table9[[#This Row],[Match Number]],Table9[[#This Row],[Team]],Table9[[#This Row],[BOWL NUM]])</f>
        <v>44Bangladesh1</v>
      </c>
      <c r="BE76" t="str">
        <f>IFERROR(IF(AND(Table9[[#This Row],[Team]]=I_TEAM,IFERROR(IF(MATCH(Table9[[#This Row],[Bowler]],$AR$5:AR75,0)&gt;0,0),1)),1,0),"")</f>
        <v/>
      </c>
      <c r="BF7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7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6" t="e">
        <f>IF(Table9[[#This Row],[Team]]=I_TEAM,Table9[[#This Row],[Wickets]]*100-Table9[[#This Row],[Runs]],0)</f>
        <v>#REF!</v>
      </c>
      <c r="BI76">
        <f>Table9[[#This Row],[Wickets]]*100-Table9[[#This Row],[Runs]]</f>
        <v>31</v>
      </c>
      <c r="BJ76">
        <f ca="1">IFERROR(IF(MATCH(Table9[[#This Row],[Bowler]],OFFSET(AR77,0,0,BOWLROWS-ROW(AR76)-ROW(Table9[[#Headers],[BOWLER CUML WICKETS]])),0)&gt;0,0,SUMIF($AR$6:AR76,Table9[[#This Row],[Bowler]],$AV$6:AV76)),SUMIF($AR$6:AR76,Table9[[#This Row],[Bowler]],$AV$6:AV76))</f>
        <v>0</v>
      </c>
      <c r="BK76">
        <f ca="1">IFERROR(IF(MATCH(Table9[[#This Row],[Bowler]],OFFSET(AR77,0,0,BOWLROWS-ROW(AR76)-ROW(Table9[[#Headers],[BOWLER CUML WICKETS]])),0)&gt;0,0,SUMIF($AR$6:AR76,Table9[[#This Row],[Bowler]],$AU$6:AU76)),SUMIF($AR$6:AR76,Table9[[#This Row],[Bowler]],$AU$6:AU76))</f>
        <v>0</v>
      </c>
      <c r="BL76">
        <f ca="1">Table9[[#This Row],[BOWLER CUML WICKETS]]*100-Table9[[#This Row],[BOWLER CUML RUNS]]</f>
        <v>0</v>
      </c>
    </row>
    <row r="77" spans="1:64" x14ac:dyDescent="0.3">
      <c r="A77">
        <v>34</v>
      </c>
      <c r="B77" t="s">
        <v>169</v>
      </c>
      <c r="C77" t="s">
        <v>269</v>
      </c>
      <c r="D77" t="s">
        <v>220</v>
      </c>
      <c r="E77">
        <v>67</v>
      </c>
      <c r="F77">
        <v>106</v>
      </c>
      <c r="G77">
        <v>93</v>
      </c>
      <c r="H77">
        <v>5</v>
      </c>
      <c r="I77">
        <v>1</v>
      </c>
      <c r="J77">
        <v>72.040000000000006</v>
      </c>
      <c r="K77">
        <v>1</v>
      </c>
      <c r="L77" t="str">
        <f>CONCATENATE(T_BATTINGDATA[[#This Row],[Match]],T_BATTINGDATA[[#This Row],[Team]],T_BATTINGDATA[[#This Row],[Bat Number]])</f>
        <v>34Ireland1</v>
      </c>
      <c r="M77" t="str">
        <f>IFERROR(IF(AND(T_BATTINGDATA[[#This Row],[Team]]=I_TEAM,IFERROR(IF(MATCH(T_BATTINGDATA[[#This Row],[BATSMAN NAME]],$O$5:O76,0)&gt;0,0),1)),1,0),"")</f>
        <v/>
      </c>
      <c r="N77" t="e">
        <f>IF(T_BATTINGDATA[[#This Row],[Team]]=I_TEAM,T_BATTINGDATA[[#This Row],[R]],0)</f>
        <v>#REF!</v>
      </c>
      <c r="O77" t="str">
        <f>LEFT(T_BATTINGDATA[[#This Row],[Batsman]],IFERROR(FIND("*",T_BATTINGDATA[[#This Row],[Batsman]])-1,IFERROR(FIND("†",T_BATTINGDATA[[#This Row],[Batsman]])-1,LEN(T_BATTINGDATA[[#This Row],[Batsman]]))))</f>
        <v>WTS Porterfield</v>
      </c>
      <c r="P77">
        <f ca="1">IFERROR(IF(MATCH(T_BATTINGDATA[[#This Row],[BATSMAN NAME]],OFFSET(O78,0,0,BATROWS-ROW(O77)-ROW(T_BATTINGDATA[[#Headers],[BATSMAN NAME]])),0)&gt;0,0,SUMIF($O$6:O77,T_BATTINGDATA[[#This Row],[BATSMAN NAME]],$E$6:E77)),SUMIF($O$6:O77,T_BATTINGDATA[[#This Row],[BATSMAN NAME]],$E$6:E77))</f>
        <v>0</v>
      </c>
      <c r="R77">
        <v>27</v>
      </c>
      <c r="S77" t="s">
        <v>181</v>
      </c>
      <c r="T77">
        <v>0</v>
      </c>
      <c r="U77">
        <v>8</v>
      </c>
      <c r="V77">
        <v>1</v>
      </c>
      <c r="W77">
        <v>0</v>
      </c>
      <c r="X77">
        <v>9</v>
      </c>
      <c r="Y77" t="str">
        <f>CONCATENATE(T_EXTRAS[[#This Row],[Match Number]],T_EXTRAS[[#This Row],[Team Batting]])</f>
        <v>27Bangladesh</v>
      </c>
      <c r="AA77">
        <v>36</v>
      </c>
      <c r="AB77" t="s">
        <v>164</v>
      </c>
      <c r="AC77">
        <v>9</v>
      </c>
      <c r="AD77">
        <v>195</v>
      </c>
      <c r="AE77">
        <v>4.0999999999999996</v>
      </c>
      <c r="AF77">
        <v>47.3</v>
      </c>
      <c r="AG77" t="str">
        <f>T_MTOTAL[[#This Row],[Match Number]]&amp;T_MTOTAL[[#This Row],[Team]]</f>
        <v>36UAE</v>
      </c>
      <c r="AH77">
        <v>2</v>
      </c>
      <c r="AI77" t="str">
        <f>T_MTOTAL[[#This Row],[Match Number]]&amp;" "&amp;T_MTOTAL[[#This Row],[ORDER]]</f>
        <v>36 2</v>
      </c>
      <c r="AJ77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SOUTH AFRICA</v>
      </c>
      <c r="AK7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7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77">
        <f>(LEFT(T_MTOTAL[[#This Row],[Overs]],IFERROR(FIND(".",T_MTOTAL[[#This Row],[Overs]])-1,LEN(T_MTOTAL[[#This Row],[Overs]])))*6) + IFERROR(IF(FIND(".",T_MTOTAL[[#This Row],[Overs]])+1&gt;0,RIGHT(T_MTOTAL[[#This Row],[Overs]],1),0),0)</f>
        <v>285</v>
      </c>
      <c r="AN77">
        <f>IFERROR(IF(MATCH(T_MTOTAL[[#This Row],[ORDER LINK]],T_DL[link],0)&gt;0,INDEX(T_DL[d/l score],MATCH(T_MTOTAL[[#This Row],[ORDER LINK]],T_DL[link],0)),""),T_MTOTAL[[#This Row],[Total]])</f>
        <v>195</v>
      </c>
      <c r="AP77">
        <v>44</v>
      </c>
      <c r="AQ77" t="s">
        <v>181</v>
      </c>
      <c r="AR77" t="s">
        <v>270</v>
      </c>
      <c r="AS77">
        <v>10</v>
      </c>
      <c r="AT77">
        <v>0</v>
      </c>
      <c r="AU77">
        <v>69</v>
      </c>
      <c r="AV77">
        <v>3</v>
      </c>
      <c r="AW77">
        <v>6.9</v>
      </c>
      <c r="AX77">
        <v>30</v>
      </c>
      <c r="AY77">
        <v>9</v>
      </c>
      <c r="AZ77">
        <v>1</v>
      </c>
      <c r="BA77">
        <v>1</v>
      </c>
      <c r="BC77">
        <v>2</v>
      </c>
      <c r="BD77" t="str">
        <f>CONCATENATE(Table9[[#This Row],[Match Number]],Table9[[#This Row],[Team]],Table9[[#This Row],[BOWL NUM]])</f>
        <v>44Bangladesh2</v>
      </c>
      <c r="BE77" t="str">
        <f>IFERROR(IF(AND(Table9[[#This Row],[Team]]=I_TEAM,IFERROR(IF(MATCH(Table9[[#This Row],[Bowler]],$AR$5:AR76,0)&gt;0,0),1)),1,0),"")</f>
        <v/>
      </c>
      <c r="BF7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7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7" t="e">
        <f>IF(Table9[[#This Row],[Team]]=I_TEAM,Table9[[#This Row],[Wickets]]*100-Table9[[#This Row],[Runs]],0)</f>
        <v>#REF!</v>
      </c>
      <c r="BI77">
        <f>Table9[[#This Row],[Wickets]]*100-Table9[[#This Row],[Runs]]</f>
        <v>231</v>
      </c>
      <c r="BJ77">
        <f ca="1">IFERROR(IF(MATCH(Table9[[#This Row],[Bowler]],OFFSET(AR78,0,0,BOWLROWS-ROW(AR77)-ROW(Table9[[#Headers],[BOWLER CUML WICKETS]])),0)&gt;0,0,SUMIF($AR$6:AR77,Table9[[#This Row],[Bowler]],$AV$6:AV77)),SUMIF($AR$6:AR77,Table9[[#This Row],[Bowler]],$AV$6:AV77))</f>
        <v>0</v>
      </c>
      <c r="BK77">
        <f ca="1">IFERROR(IF(MATCH(Table9[[#This Row],[Bowler]],OFFSET(AR78,0,0,BOWLROWS-ROW(AR77)-ROW(Table9[[#Headers],[BOWLER CUML WICKETS]])),0)&gt;0,0,SUMIF($AR$6:AR77,Table9[[#This Row],[Bowler]],$AU$6:AU77)),SUMIF($AR$6:AR77,Table9[[#This Row],[Bowler]],$AU$6:AU77))</f>
        <v>0</v>
      </c>
      <c r="BL77">
        <f ca="1">Table9[[#This Row],[BOWLER CUML WICKETS]]*100-Table9[[#This Row],[BOWLER CUML RUNS]]</f>
        <v>0</v>
      </c>
    </row>
    <row r="78" spans="1:64" x14ac:dyDescent="0.3">
      <c r="A78">
        <v>34</v>
      </c>
      <c r="B78" t="s">
        <v>169</v>
      </c>
      <c r="C78" t="s">
        <v>249</v>
      </c>
      <c r="D78" t="s">
        <v>271</v>
      </c>
      <c r="E78">
        <v>42</v>
      </c>
      <c r="F78">
        <v>60</v>
      </c>
      <c r="G78">
        <v>41</v>
      </c>
      <c r="H78">
        <v>4</v>
      </c>
      <c r="I78">
        <v>2</v>
      </c>
      <c r="J78">
        <v>102.43</v>
      </c>
      <c r="K78">
        <v>2</v>
      </c>
      <c r="L78" t="str">
        <f>CONCATENATE(T_BATTINGDATA[[#This Row],[Match]],T_BATTINGDATA[[#This Row],[Team]],T_BATTINGDATA[[#This Row],[Bat Number]])</f>
        <v>34Ireland2</v>
      </c>
      <c r="M78" t="str">
        <f>IFERROR(IF(AND(T_BATTINGDATA[[#This Row],[Team]]=I_TEAM,IFERROR(IF(MATCH(T_BATTINGDATA[[#This Row],[BATSMAN NAME]],$O$5:O77,0)&gt;0,0),1)),1,0),"")</f>
        <v/>
      </c>
      <c r="N78" t="e">
        <f>IF(T_BATTINGDATA[[#This Row],[Team]]=I_TEAM,T_BATTINGDATA[[#This Row],[R]],0)</f>
        <v>#REF!</v>
      </c>
      <c r="O78" t="str">
        <f>LEFT(T_BATTINGDATA[[#This Row],[Batsman]],IFERROR(FIND("*",T_BATTINGDATA[[#This Row],[Batsman]])-1,IFERROR(FIND("†",T_BATTINGDATA[[#This Row],[Batsman]])-1,LEN(T_BATTINGDATA[[#This Row],[Batsman]]))))</f>
        <v>PR Stirling</v>
      </c>
      <c r="P78">
        <f ca="1">IFERROR(IF(MATCH(T_BATTINGDATA[[#This Row],[BATSMAN NAME]],OFFSET(O79,0,0,BATROWS-ROW(O78)-ROW(T_BATTINGDATA[[#Headers],[BATSMAN NAME]])),0)&gt;0,0,SUMIF($O$6:O78,T_BATTINGDATA[[#This Row],[BATSMAN NAME]],$E$6:E78)),SUMIF($O$6:O78,T_BATTINGDATA[[#This Row],[BATSMAN NAME]],$E$6:E78))</f>
        <v>0</v>
      </c>
      <c r="R78">
        <v>29</v>
      </c>
      <c r="S78" t="s">
        <v>153</v>
      </c>
      <c r="T78">
        <v>7</v>
      </c>
      <c r="U78">
        <v>6</v>
      </c>
      <c r="V78">
        <v>1</v>
      </c>
      <c r="W78">
        <v>0</v>
      </c>
      <c r="X78">
        <v>14</v>
      </c>
      <c r="Y78" t="str">
        <f>CONCATENATE(T_EXTRAS[[#This Row],[Match Number]],T_EXTRAS[[#This Row],[Team Batting]])</f>
        <v>29Pakistan</v>
      </c>
      <c r="AA78">
        <v>37</v>
      </c>
      <c r="AB78" t="s">
        <v>181</v>
      </c>
      <c r="AC78">
        <v>7</v>
      </c>
      <c r="AD78">
        <v>288</v>
      </c>
      <c r="AE78">
        <v>5.76</v>
      </c>
      <c r="AF78">
        <v>50</v>
      </c>
      <c r="AG78" t="str">
        <f>T_MTOTAL[[#This Row],[Match Number]]&amp;T_MTOTAL[[#This Row],[Team]]</f>
        <v>37Bangladesh</v>
      </c>
      <c r="AH78">
        <v>1</v>
      </c>
      <c r="AI78" t="str">
        <f>T_MTOTAL[[#This Row],[Match Number]]&amp;" "&amp;T_MTOTAL[[#This Row],[ORDER]]</f>
        <v>37 1</v>
      </c>
      <c r="AJ78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NEW ZEALAND</v>
      </c>
      <c r="AK7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7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78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78">
        <f>IFERROR(IF(MATCH(T_MTOTAL[[#This Row],[ORDER LINK]],T_DL[link],0)&gt;0,INDEX(T_DL[d/l score],MATCH(T_MTOTAL[[#This Row],[ORDER LINK]],T_DL[link],0)),""),T_MTOTAL[[#This Row],[Total]])</f>
        <v>288</v>
      </c>
      <c r="AP78">
        <v>44</v>
      </c>
      <c r="AQ78" t="s">
        <v>181</v>
      </c>
      <c r="AR78" t="s">
        <v>272</v>
      </c>
      <c r="AS78">
        <v>9</v>
      </c>
      <c r="AT78">
        <v>0</v>
      </c>
      <c r="AU78">
        <v>35</v>
      </c>
      <c r="AV78">
        <v>0</v>
      </c>
      <c r="AW78">
        <v>3.88</v>
      </c>
      <c r="AX78">
        <v>28</v>
      </c>
      <c r="AY78">
        <v>1</v>
      </c>
      <c r="AZ78">
        <v>1</v>
      </c>
      <c r="BA78">
        <v>1</v>
      </c>
      <c r="BC78">
        <v>3</v>
      </c>
      <c r="BD78" t="str">
        <f>CONCATENATE(Table9[[#This Row],[Match Number]],Table9[[#This Row],[Team]],Table9[[#This Row],[BOWL NUM]])</f>
        <v>44Bangladesh3</v>
      </c>
      <c r="BE78" t="str">
        <f>IFERROR(IF(AND(Table9[[#This Row],[Team]]=I_TEAM,IFERROR(IF(MATCH(Table9[[#This Row],[Bowler]],$AR$5:AR77,0)&gt;0,0),1)),1,0),"")</f>
        <v/>
      </c>
      <c r="BF78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7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8" t="e">
        <f>IF(Table9[[#This Row],[Team]]=I_TEAM,Table9[[#This Row],[Wickets]]*100-Table9[[#This Row],[Runs]],0)</f>
        <v>#REF!</v>
      </c>
      <c r="BI78">
        <f>Table9[[#This Row],[Wickets]]*100-Table9[[#This Row],[Runs]]</f>
        <v>-35</v>
      </c>
      <c r="BJ78">
        <f ca="1">IFERROR(IF(MATCH(Table9[[#This Row],[Bowler]],OFFSET(AR79,0,0,BOWLROWS-ROW(AR78)-ROW(Table9[[#Headers],[BOWLER CUML WICKETS]])),0)&gt;0,0,SUMIF($AR$6:AR78,Table9[[#This Row],[Bowler]],$AV$6:AV78)),SUMIF($AR$6:AR78,Table9[[#This Row],[Bowler]],$AV$6:AV78))</f>
        <v>0</v>
      </c>
      <c r="BK78">
        <f ca="1">IFERROR(IF(MATCH(Table9[[#This Row],[Bowler]],OFFSET(AR79,0,0,BOWLROWS-ROW(AR78)-ROW(Table9[[#Headers],[BOWLER CUML WICKETS]])),0)&gt;0,0,SUMIF($AR$6:AR78,Table9[[#This Row],[Bowler]],$AU$6:AU78)),SUMIF($AR$6:AR78,Table9[[#This Row],[Bowler]],$AU$6:AU78))</f>
        <v>0</v>
      </c>
      <c r="BL78">
        <f ca="1">Table9[[#This Row],[BOWLER CUML WICKETS]]*100-Table9[[#This Row],[BOWLER CUML RUNS]]</f>
        <v>0</v>
      </c>
    </row>
    <row r="79" spans="1:64" x14ac:dyDescent="0.3">
      <c r="A79">
        <v>34</v>
      </c>
      <c r="B79" t="s">
        <v>169</v>
      </c>
      <c r="C79" t="s">
        <v>273</v>
      </c>
      <c r="D79" t="s">
        <v>274</v>
      </c>
      <c r="E79">
        <v>2</v>
      </c>
      <c r="F79">
        <v>7</v>
      </c>
      <c r="G79">
        <v>9</v>
      </c>
      <c r="H79">
        <v>0</v>
      </c>
      <c r="I79">
        <v>0</v>
      </c>
      <c r="J79">
        <v>22.22</v>
      </c>
      <c r="K79">
        <v>3</v>
      </c>
      <c r="L79" t="str">
        <f>CONCATENATE(T_BATTINGDATA[[#This Row],[Match]],T_BATTINGDATA[[#This Row],[Team]],T_BATTINGDATA[[#This Row],[Bat Number]])</f>
        <v>34Ireland3</v>
      </c>
      <c r="M79" t="str">
        <f>IFERROR(IF(AND(T_BATTINGDATA[[#This Row],[Team]]=I_TEAM,IFERROR(IF(MATCH(T_BATTINGDATA[[#This Row],[BATSMAN NAME]],$O$5:O78,0)&gt;0,0),1)),1,0),"")</f>
        <v/>
      </c>
      <c r="N79" t="e">
        <f>IF(T_BATTINGDATA[[#This Row],[Team]]=I_TEAM,T_BATTINGDATA[[#This Row],[R]],0)</f>
        <v>#REF!</v>
      </c>
      <c r="O79" t="str">
        <f>LEFT(T_BATTINGDATA[[#This Row],[Batsman]],IFERROR(FIND("*",T_BATTINGDATA[[#This Row],[Batsman]])-1,IFERROR(FIND("†",T_BATTINGDATA[[#This Row],[Batsman]])-1,LEN(T_BATTINGDATA[[#This Row],[Batsman]]))))</f>
        <v>EC Joyce</v>
      </c>
      <c r="P79">
        <f ca="1">IFERROR(IF(MATCH(T_BATTINGDATA[[#This Row],[BATSMAN NAME]],OFFSET(O80,0,0,BATROWS-ROW(O79)-ROW(T_BATTINGDATA[[#Headers],[BATSMAN NAME]])),0)&gt;0,0,SUMIF($O$6:O79,T_BATTINGDATA[[#This Row],[BATSMAN NAME]],$E$6:E79)),SUMIF($O$6:O79,T_BATTINGDATA[[#This Row],[BATSMAN NAME]],$E$6:E79))</f>
        <v>0</v>
      </c>
      <c r="R79">
        <v>29</v>
      </c>
      <c r="S79" t="s">
        <v>141</v>
      </c>
      <c r="T79">
        <v>1</v>
      </c>
      <c r="U79">
        <v>7</v>
      </c>
      <c r="V79">
        <v>0</v>
      </c>
      <c r="W79">
        <v>0</v>
      </c>
      <c r="X79">
        <v>8</v>
      </c>
      <c r="Y79" t="str">
        <f>CONCATENATE(T_EXTRAS[[#This Row],[Match Number]],T_EXTRAS[[#This Row],[Team Batting]])</f>
        <v>29South Africa</v>
      </c>
      <c r="AA79">
        <v>37</v>
      </c>
      <c r="AB79" t="s">
        <v>140</v>
      </c>
      <c r="AC79">
        <v>7</v>
      </c>
      <c r="AD79">
        <v>290</v>
      </c>
      <c r="AE79">
        <v>5.93</v>
      </c>
      <c r="AF79">
        <v>48.5</v>
      </c>
      <c r="AG79" t="str">
        <f>T_MTOTAL[[#This Row],[Match Number]]&amp;T_MTOTAL[[#This Row],[Team]]</f>
        <v>37New Zealand</v>
      </c>
      <c r="AH79">
        <v>2</v>
      </c>
      <c r="AI79" t="str">
        <f>T_MTOTAL[[#This Row],[Match Number]]&amp;" "&amp;T_MTOTAL[[#This Row],[ORDER]]</f>
        <v>37 2</v>
      </c>
      <c r="AJ79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BANGLADESH</v>
      </c>
      <c r="AK7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48.5</v>
      </c>
      <c r="AL7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293</v>
      </c>
      <c r="AM79">
        <f>(LEFT(T_MTOTAL[[#This Row],[Overs]],IFERROR(FIND(".",T_MTOTAL[[#This Row],[Overs]])-1,LEN(T_MTOTAL[[#This Row],[Overs]])))*6) + IFERROR(IF(FIND(".",T_MTOTAL[[#This Row],[Overs]])+1&gt;0,RIGHT(T_MTOTAL[[#This Row],[Overs]],1),0),0)</f>
        <v>293</v>
      </c>
      <c r="AN79">
        <f>IFERROR(IF(MATCH(T_MTOTAL[[#This Row],[ORDER LINK]],T_DL[link],0)&gt;0,INDEX(T_DL[d/l score],MATCH(T_MTOTAL[[#This Row],[ORDER LINK]],T_DL[link],0)),""),T_MTOTAL[[#This Row],[Total]])</f>
        <v>290</v>
      </c>
      <c r="AP79">
        <v>44</v>
      </c>
      <c r="AQ79" t="s">
        <v>181</v>
      </c>
      <c r="AR79" t="s">
        <v>275</v>
      </c>
      <c r="AS79">
        <v>1</v>
      </c>
      <c r="AT79">
        <v>0</v>
      </c>
      <c r="AU79">
        <v>4</v>
      </c>
      <c r="AV79">
        <v>0</v>
      </c>
      <c r="AW79">
        <v>4</v>
      </c>
      <c r="AX79">
        <v>3</v>
      </c>
      <c r="AY79">
        <v>0</v>
      </c>
      <c r="AZ79">
        <v>0</v>
      </c>
      <c r="BC79">
        <v>4</v>
      </c>
      <c r="BD79" t="str">
        <f>CONCATENATE(Table9[[#This Row],[Match Number]],Table9[[#This Row],[Team]],Table9[[#This Row],[BOWL NUM]])</f>
        <v>44Bangladesh4</v>
      </c>
      <c r="BE79" t="str">
        <f>IFERROR(IF(AND(Table9[[#This Row],[Team]]=I_TEAM,IFERROR(IF(MATCH(Table9[[#This Row],[Bowler]],$AR$5:AR78,0)&gt;0,0),1)),1,0),"")</f>
        <v/>
      </c>
      <c r="BF79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7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9" t="e">
        <f>IF(Table9[[#This Row],[Team]]=I_TEAM,Table9[[#This Row],[Wickets]]*100-Table9[[#This Row],[Runs]],0)</f>
        <v>#REF!</v>
      </c>
      <c r="BI79">
        <f>Table9[[#This Row],[Wickets]]*100-Table9[[#This Row],[Runs]]</f>
        <v>-4</v>
      </c>
      <c r="BJ79">
        <f ca="1">IFERROR(IF(MATCH(Table9[[#This Row],[Bowler]],OFFSET(AR80,0,0,BOWLROWS-ROW(AR79)-ROW(Table9[[#Headers],[BOWLER CUML WICKETS]])),0)&gt;0,0,SUMIF($AR$6:AR79,Table9[[#This Row],[Bowler]],$AV$6:AV79)),SUMIF($AR$6:AR79,Table9[[#This Row],[Bowler]],$AV$6:AV79))</f>
        <v>0</v>
      </c>
      <c r="BK79">
        <f ca="1">IFERROR(IF(MATCH(Table9[[#This Row],[Bowler]],OFFSET(AR80,0,0,BOWLROWS-ROW(AR79)-ROW(Table9[[#Headers],[BOWLER CUML WICKETS]])),0)&gt;0,0,SUMIF($AR$6:AR79,Table9[[#This Row],[Bowler]],$AU$6:AU79)),SUMIF($AR$6:AR79,Table9[[#This Row],[Bowler]],$AU$6:AU79))</f>
        <v>0</v>
      </c>
      <c r="BL79">
        <f ca="1">Table9[[#This Row],[BOWLER CUML WICKETS]]*100-Table9[[#This Row],[BOWLER CUML RUNS]]</f>
        <v>0</v>
      </c>
    </row>
    <row r="80" spans="1:64" x14ac:dyDescent="0.3">
      <c r="A80">
        <v>34</v>
      </c>
      <c r="B80" t="s">
        <v>169</v>
      </c>
      <c r="C80" t="s">
        <v>276</v>
      </c>
      <c r="D80" t="s">
        <v>237</v>
      </c>
      <c r="E80">
        <v>75</v>
      </c>
      <c r="F80">
        <v>88</v>
      </c>
      <c r="G80">
        <v>75</v>
      </c>
      <c r="H80">
        <v>7</v>
      </c>
      <c r="I80">
        <v>3</v>
      </c>
      <c r="J80">
        <v>100</v>
      </c>
      <c r="K80">
        <v>4</v>
      </c>
      <c r="L80" t="str">
        <f>CONCATENATE(T_BATTINGDATA[[#This Row],[Match]],T_BATTINGDATA[[#This Row],[Team]],T_BATTINGDATA[[#This Row],[Bat Number]])</f>
        <v>34Ireland4</v>
      </c>
      <c r="M80" t="str">
        <f>IFERROR(IF(AND(T_BATTINGDATA[[#This Row],[Team]]=I_TEAM,IFERROR(IF(MATCH(T_BATTINGDATA[[#This Row],[BATSMAN NAME]],$O$5:O79,0)&gt;0,0),1)),1,0),"")</f>
        <v/>
      </c>
      <c r="N80" t="e">
        <f>IF(T_BATTINGDATA[[#This Row],[Team]]=I_TEAM,T_BATTINGDATA[[#This Row],[R]],0)</f>
        <v>#REF!</v>
      </c>
      <c r="O80" t="str">
        <f>LEFT(T_BATTINGDATA[[#This Row],[Batsman]],IFERROR(FIND("*",T_BATTINGDATA[[#This Row],[Batsman]])-1,IFERROR(FIND("†",T_BATTINGDATA[[#This Row],[Batsman]])-1,LEN(T_BATTINGDATA[[#This Row],[Batsman]]))))</f>
        <v>NJ O'Brien</v>
      </c>
      <c r="P80">
        <f ca="1">IFERROR(IF(MATCH(T_BATTINGDATA[[#This Row],[BATSMAN NAME]],OFFSET(O81,0,0,BATROWS-ROW(O80)-ROW(T_BATTINGDATA[[#Headers],[BATSMAN NAME]])),0)&gt;0,0,SUMIF($O$6:O80,T_BATTINGDATA[[#This Row],[BATSMAN NAME]],$E$6:E80)),SUMIF($O$6:O80,T_BATTINGDATA[[#This Row],[BATSMAN NAME]],$E$6:E80))</f>
        <v>0</v>
      </c>
      <c r="R80">
        <v>30</v>
      </c>
      <c r="S80" t="s">
        <v>169</v>
      </c>
      <c r="T80">
        <v>4</v>
      </c>
      <c r="U80">
        <v>8</v>
      </c>
      <c r="V80">
        <v>3</v>
      </c>
      <c r="W80">
        <v>0</v>
      </c>
      <c r="X80">
        <v>15</v>
      </c>
      <c r="Y80" t="str">
        <f>CONCATENATE(T_EXTRAS[[#This Row],[Match Number]],T_EXTRAS[[#This Row],[Team Batting]])</f>
        <v>30Ireland</v>
      </c>
      <c r="AA80">
        <v>38</v>
      </c>
      <c r="AB80" t="s">
        <v>185</v>
      </c>
      <c r="AC80">
        <v>7</v>
      </c>
      <c r="AD80">
        <v>111</v>
      </c>
      <c r="AE80">
        <v>3.05</v>
      </c>
      <c r="AF80">
        <v>36.200000000000003</v>
      </c>
      <c r="AG80" t="str">
        <f>T_MTOTAL[[#This Row],[Match Number]]&amp;T_MTOTAL[[#This Row],[Team]]</f>
        <v>38Afghanistan</v>
      </c>
      <c r="AH80">
        <v>1</v>
      </c>
      <c r="AI80" t="str">
        <f>T_MTOTAL[[#This Row],[Match Number]]&amp;" "&amp;T_MTOTAL[[#This Row],[ORDER]]</f>
        <v>38 1</v>
      </c>
      <c r="AJ80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ENGLAND</v>
      </c>
      <c r="AK8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25</v>
      </c>
      <c r="AL8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150</v>
      </c>
      <c r="AM80">
        <f>(LEFT(T_MTOTAL[[#This Row],[Overs]],IFERROR(FIND(".",T_MTOTAL[[#This Row],[Overs]])-1,LEN(T_MTOTAL[[#This Row],[Overs]])))*6) + IFERROR(IF(FIND(".",T_MTOTAL[[#This Row],[Overs]])+1&gt;0,RIGHT(T_MTOTAL[[#This Row],[Overs]],1),0),0)</f>
        <v>218</v>
      </c>
      <c r="AN80">
        <f>IFERROR(IF(MATCH(T_MTOTAL[[#This Row],[ORDER LINK]],T_DL[link],0)&gt;0,INDEX(T_DL[d/l score],MATCH(T_MTOTAL[[#This Row],[ORDER LINK]],T_DL[link],0)),""),T_MTOTAL[[#This Row],[Total]])</f>
        <v>100</v>
      </c>
      <c r="AP80">
        <v>44</v>
      </c>
      <c r="AQ80" t="s">
        <v>181</v>
      </c>
      <c r="AR80" t="s">
        <v>277</v>
      </c>
      <c r="AS80">
        <v>10</v>
      </c>
      <c r="AT80">
        <v>0</v>
      </c>
      <c r="AU80">
        <v>56</v>
      </c>
      <c r="AV80">
        <v>1</v>
      </c>
      <c r="AW80">
        <v>5.6</v>
      </c>
      <c r="AX80">
        <v>25</v>
      </c>
      <c r="AY80">
        <v>4</v>
      </c>
      <c r="AZ80">
        <v>1</v>
      </c>
      <c r="BA80">
        <v>1</v>
      </c>
      <c r="BB80">
        <v>1</v>
      </c>
      <c r="BC80">
        <v>5</v>
      </c>
      <c r="BD80" t="str">
        <f>CONCATENATE(Table9[[#This Row],[Match Number]],Table9[[#This Row],[Team]],Table9[[#This Row],[BOWL NUM]])</f>
        <v>44Bangladesh5</v>
      </c>
      <c r="BE80" t="str">
        <f>IFERROR(IF(AND(Table9[[#This Row],[Team]]=I_TEAM,IFERROR(IF(MATCH(Table9[[#This Row],[Bowler]],$AR$5:AR79,0)&gt;0,0),1)),1,0),"")</f>
        <v/>
      </c>
      <c r="BF8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8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80" t="e">
        <f>IF(Table9[[#This Row],[Team]]=I_TEAM,Table9[[#This Row],[Wickets]]*100-Table9[[#This Row],[Runs]],0)</f>
        <v>#REF!</v>
      </c>
      <c r="BI80">
        <f>Table9[[#This Row],[Wickets]]*100-Table9[[#This Row],[Runs]]</f>
        <v>44</v>
      </c>
      <c r="BJ80">
        <f ca="1">IFERROR(IF(MATCH(Table9[[#This Row],[Bowler]],OFFSET(AR81,0,0,BOWLROWS-ROW(AR80)-ROW(Table9[[#Headers],[BOWLER CUML WICKETS]])),0)&gt;0,0,SUMIF($AR$6:AR80,Table9[[#This Row],[Bowler]],$AV$6:AV80)),SUMIF($AR$6:AR80,Table9[[#This Row],[Bowler]],$AV$6:AV80))</f>
        <v>0</v>
      </c>
      <c r="BK80">
        <f ca="1">IFERROR(IF(MATCH(Table9[[#This Row],[Bowler]],OFFSET(AR81,0,0,BOWLROWS-ROW(AR80)-ROW(Table9[[#Headers],[BOWLER CUML WICKETS]])),0)&gt;0,0,SUMIF($AR$6:AR80,Table9[[#This Row],[Bowler]],$AU$6:AU80)),SUMIF($AR$6:AR80,Table9[[#This Row],[Bowler]],$AU$6:AU80))</f>
        <v>0</v>
      </c>
      <c r="BL80">
        <f ca="1">Table9[[#This Row],[BOWLER CUML WICKETS]]*100-Table9[[#This Row],[BOWLER CUML RUNS]]</f>
        <v>0</v>
      </c>
    </row>
    <row r="81" spans="1:64" x14ac:dyDescent="0.3">
      <c r="A81">
        <v>34</v>
      </c>
      <c r="B81" t="s">
        <v>169</v>
      </c>
      <c r="C81" t="s">
        <v>278</v>
      </c>
      <c r="D81" t="s">
        <v>279</v>
      </c>
      <c r="E81">
        <v>24</v>
      </c>
      <c r="F81">
        <v>28</v>
      </c>
      <c r="G81">
        <v>24</v>
      </c>
      <c r="H81">
        <v>3</v>
      </c>
      <c r="I81">
        <v>0</v>
      </c>
      <c r="J81">
        <v>100</v>
      </c>
      <c r="K81">
        <v>5</v>
      </c>
      <c r="L81" t="str">
        <f>CONCATENATE(T_BATTINGDATA[[#This Row],[Match]],T_BATTINGDATA[[#This Row],[Team]],T_BATTINGDATA[[#This Row],[Bat Number]])</f>
        <v>34Ireland5</v>
      </c>
      <c r="M81" t="str">
        <f>IFERROR(IF(AND(T_BATTINGDATA[[#This Row],[Team]]=I_TEAM,IFERROR(IF(MATCH(T_BATTINGDATA[[#This Row],[BATSMAN NAME]],$O$5:O80,0)&gt;0,0),1)),1,0),"")</f>
        <v/>
      </c>
      <c r="N81" t="e">
        <f>IF(T_BATTINGDATA[[#This Row],[Team]]=I_TEAM,T_BATTINGDATA[[#This Row],[R]],0)</f>
        <v>#REF!</v>
      </c>
      <c r="O81" t="str">
        <f>LEFT(T_BATTINGDATA[[#This Row],[Batsman]],IFERROR(FIND("*",T_BATTINGDATA[[#This Row],[Batsman]])-1,IFERROR(FIND("†",T_BATTINGDATA[[#This Row],[Batsman]])-1,LEN(T_BATTINGDATA[[#This Row],[Batsman]]))))</f>
        <v>A Balbirnie</v>
      </c>
      <c r="P81">
        <f ca="1">IFERROR(IF(MATCH(T_BATTINGDATA[[#This Row],[BATSMAN NAME]],OFFSET(O82,0,0,BATROWS-ROW(O81)-ROW(T_BATTINGDATA[[#Headers],[BATSMAN NAME]])),0)&gt;0,0,SUMIF($O$6:O81,T_BATTINGDATA[[#This Row],[BATSMAN NAME]],$E$6:E81)),SUMIF($O$6:O81,T_BATTINGDATA[[#This Row],[BATSMAN NAME]],$E$6:E81))</f>
        <v>0</v>
      </c>
      <c r="R81">
        <v>30</v>
      </c>
      <c r="S81" t="s">
        <v>158</v>
      </c>
      <c r="T81">
        <v>8</v>
      </c>
      <c r="U81">
        <v>2</v>
      </c>
      <c r="V81">
        <v>1</v>
      </c>
      <c r="W81">
        <v>0</v>
      </c>
      <c r="X81">
        <v>11</v>
      </c>
      <c r="Y81" t="str">
        <f>CONCATENATE(T_EXTRAS[[#This Row],[Match Number]],T_EXTRAS[[#This Row],[Team Batting]])</f>
        <v>30Zimbabwe</v>
      </c>
      <c r="AA81">
        <v>38</v>
      </c>
      <c r="AB81" t="s">
        <v>154</v>
      </c>
      <c r="AC81">
        <v>1</v>
      </c>
      <c r="AD81">
        <v>101</v>
      </c>
      <c r="AE81">
        <v>5.55</v>
      </c>
      <c r="AF81">
        <v>18.100000000000001</v>
      </c>
      <c r="AG81" t="str">
        <f>T_MTOTAL[[#This Row],[Match Number]]&amp;T_MTOTAL[[#This Row],[Team]]</f>
        <v>38England</v>
      </c>
      <c r="AH81">
        <v>2</v>
      </c>
      <c r="AI81" t="str">
        <f>T_MTOTAL[[#This Row],[Match Number]]&amp;" "&amp;T_MTOTAL[[#This Row],[ORDER]]</f>
        <v>38 2</v>
      </c>
      <c r="AJ81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AFGHANISTAN</v>
      </c>
      <c r="AK8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18.100000000000001</v>
      </c>
      <c r="AL8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109</v>
      </c>
      <c r="AM81">
        <f>(LEFT(T_MTOTAL[[#This Row],[Overs]],IFERROR(FIND(".",T_MTOTAL[[#This Row],[Overs]])-1,LEN(T_MTOTAL[[#This Row],[Overs]])))*6) + IFERROR(IF(FIND(".",T_MTOTAL[[#This Row],[Overs]])+1&gt;0,RIGHT(T_MTOTAL[[#This Row],[Overs]],1),0),0)</f>
        <v>109</v>
      </c>
      <c r="AN81">
        <f>IFERROR(IF(MATCH(T_MTOTAL[[#This Row],[ORDER LINK]],T_DL[link],0)&gt;0,INDEX(T_DL[d/l score],MATCH(T_MTOTAL[[#This Row],[ORDER LINK]],T_DL[link],0)),""),T_MTOTAL[[#This Row],[Total]])</f>
        <v>101</v>
      </c>
      <c r="AP81">
        <v>44</v>
      </c>
      <c r="AQ81" t="s">
        <v>181</v>
      </c>
      <c r="AR81" t="s">
        <v>280</v>
      </c>
      <c r="AS81">
        <v>10</v>
      </c>
      <c r="AT81">
        <v>0</v>
      </c>
      <c r="AU81">
        <v>58</v>
      </c>
      <c r="AV81">
        <v>1</v>
      </c>
      <c r="AW81">
        <v>5.8</v>
      </c>
      <c r="AX81">
        <v>25</v>
      </c>
      <c r="AY81">
        <v>5</v>
      </c>
      <c r="AZ81">
        <v>1</v>
      </c>
      <c r="BC81">
        <v>6</v>
      </c>
      <c r="BD81" t="str">
        <f>CONCATENATE(Table9[[#This Row],[Match Number]],Table9[[#This Row],[Team]],Table9[[#This Row],[BOWL NUM]])</f>
        <v>44Bangladesh6</v>
      </c>
      <c r="BE81" t="str">
        <f>IFERROR(IF(AND(Table9[[#This Row],[Team]]=I_TEAM,IFERROR(IF(MATCH(Table9[[#This Row],[Bowler]],$AR$5:AR80,0)&gt;0,0),1)),1,0),"")</f>
        <v/>
      </c>
      <c r="BF8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8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81" t="e">
        <f>IF(Table9[[#This Row],[Team]]=I_TEAM,Table9[[#This Row],[Wickets]]*100-Table9[[#This Row],[Runs]],0)</f>
        <v>#REF!</v>
      </c>
      <c r="BI81">
        <f>Table9[[#This Row],[Wickets]]*100-Table9[[#This Row],[Runs]]</f>
        <v>42</v>
      </c>
      <c r="BJ81">
        <f ca="1">IFERROR(IF(MATCH(Table9[[#This Row],[Bowler]],OFFSET(AR82,0,0,BOWLROWS-ROW(AR81)-ROW(Table9[[#Headers],[BOWLER CUML WICKETS]])),0)&gt;0,0,SUMIF($AR$6:AR81,Table9[[#This Row],[Bowler]],$AV$6:AV81)),SUMIF($AR$6:AR81,Table9[[#This Row],[Bowler]],$AV$6:AV81))</f>
        <v>0</v>
      </c>
      <c r="BK81">
        <f ca="1">IFERROR(IF(MATCH(Table9[[#This Row],[Bowler]],OFFSET(AR82,0,0,BOWLROWS-ROW(AR81)-ROW(Table9[[#Headers],[BOWLER CUML WICKETS]])),0)&gt;0,0,SUMIF($AR$6:AR81,Table9[[#This Row],[Bowler]],$AU$6:AU81)),SUMIF($AR$6:AR81,Table9[[#This Row],[Bowler]],$AU$6:AU81))</f>
        <v>0</v>
      </c>
      <c r="BL81">
        <f ca="1">Table9[[#This Row],[BOWLER CUML WICKETS]]*100-Table9[[#This Row],[BOWLER CUML RUNS]]</f>
        <v>0</v>
      </c>
    </row>
    <row r="82" spans="1:64" x14ac:dyDescent="0.3">
      <c r="A82">
        <v>34</v>
      </c>
      <c r="B82" t="s">
        <v>169</v>
      </c>
      <c r="C82" t="s">
        <v>251</v>
      </c>
      <c r="D82" t="s">
        <v>206</v>
      </c>
      <c r="E82">
        <v>1</v>
      </c>
      <c r="F82">
        <v>6</v>
      </c>
      <c r="G82">
        <v>2</v>
      </c>
      <c r="H82">
        <v>0</v>
      </c>
      <c r="I82">
        <v>0</v>
      </c>
      <c r="J82">
        <v>50</v>
      </c>
      <c r="K82">
        <v>6</v>
      </c>
      <c r="L82" t="str">
        <f>CONCATENATE(T_BATTINGDATA[[#This Row],[Match]],T_BATTINGDATA[[#This Row],[Team]],T_BATTINGDATA[[#This Row],[Bat Number]])</f>
        <v>34Ireland6</v>
      </c>
      <c r="M82" t="str">
        <f>IFERROR(IF(AND(T_BATTINGDATA[[#This Row],[Team]]=I_TEAM,IFERROR(IF(MATCH(T_BATTINGDATA[[#This Row],[BATSMAN NAME]],$O$5:O81,0)&gt;0,0),1)),1,0),"")</f>
        <v/>
      </c>
      <c r="N82" t="e">
        <f>IF(T_BATTINGDATA[[#This Row],[Team]]=I_TEAM,T_BATTINGDATA[[#This Row],[R]],0)</f>
        <v>#REF!</v>
      </c>
      <c r="O82" t="str">
        <f>LEFT(T_BATTINGDATA[[#This Row],[Batsman]],IFERROR(FIND("*",T_BATTINGDATA[[#This Row],[Batsman]])-1,IFERROR(FIND("†",T_BATTINGDATA[[#This Row],[Batsman]])-1,LEN(T_BATTINGDATA[[#This Row],[Batsman]]))))</f>
        <v>KJ O'Brien</v>
      </c>
      <c r="P82">
        <f ca="1">IFERROR(IF(MATCH(T_BATTINGDATA[[#This Row],[BATSMAN NAME]],OFFSET(O83,0,0,BATROWS-ROW(O82)-ROW(T_BATTINGDATA[[#Headers],[BATSMAN NAME]])),0)&gt;0,0,SUMIF($O$6:O82,T_BATTINGDATA[[#This Row],[BATSMAN NAME]],$E$6:E82)),SUMIF($O$6:O82,T_BATTINGDATA[[#This Row],[BATSMAN NAME]],$E$6:E82))</f>
        <v>0</v>
      </c>
      <c r="R82">
        <v>31</v>
      </c>
      <c r="S82" t="s">
        <v>185</v>
      </c>
      <c r="T82">
        <v>5</v>
      </c>
      <c r="U82">
        <v>9</v>
      </c>
      <c r="V82">
        <v>0</v>
      </c>
      <c r="W82">
        <v>0</v>
      </c>
      <c r="X82">
        <v>14</v>
      </c>
      <c r="Y82" t="str">
        <f>CONCATENATE(T_EXTRAS[[#This Row],[Match Number]],T_EXTRAS[[#This Row],[Team Batting]])</f>
        <v>31Afghanistan</v>
      </c>
      <c r="AA82">
        <v>39</v>
      </c>
      <c r="AB82" t="s">
        <v>158</v>
      </c>
      <c r="AC82">
        <v>10</v>
      </c>
      <c r="AD82">
        <v>287</v>
      </c>
      <c r="AE82">
        <v>5.87</v>
      </c>
      <c r="AF82">
        <v>48.5</v>
      </c>
      <c r="AG82" t="str">
        <f>T_MTOTAL[[#This Row],[Match Number]]&amp;T_MTOTAL[[#This Row],[Team]]</f>
        <v>39Zimbabwe</v>
      </c>
      <c r="AH82">
        <v>1</v>
      </c>
      <c r="AI82" t="str">
        <f>T_MTOTAL[[#This Row],[Match Number]]&amp;" "&amp;T_MTOTAL[[#This Row],[ORDER]]</f>
        <v>39 1</v>
      </c>
      <c r="AJ82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INDIA</v>
      </c>
      <c r="AK8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8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82">
        <f>(LEFT(T_MTOTAL[[#This Row],[Overs]],IFERROR(FIND(".",T_MTOTAL[[#This Row],[Overs]])-1,LEN(T_MTOTAL[[#This Row],[Overs]])))*6) + IFERROR(IF(FIND(".",T_MTOTAL[[#This Row],[Overs]])+1&gt;0,RIGHT(T_MTOTAL[[#This Row],[Overs]],1),0),0)</f>
        <v>293</v>
      </c>
      <c r="AN82">
        <f>IFERROR(IF(MATCH(T_MTOTAL[[#This Row],[ORDER LINK]],T_DL[link],0)&gt;0,INDEX(T_DL[d/l score],MATCH(T_MTOTAL[[#This Row],[ORDER LINK]],T_DL[link],0)),""),T_MTOTAL[[#This Row],[Total]])</f>
        <v>287</v>
      </c>
      <c r="AP82">
        <v>44</v>
      </c>
      <c r="AQ82" t="s">
        <v>137</v>
      </c>
      <c r="AR82" t="s">
        <v>165</v>
      </c>
      <c r="AS82">
        <v>9</v>
      </c>
      <c r="AT82">
        <v>1</v>
      </c>
      <c r="AU82">
        <v>31</v>
      </c>
      <c r="AV82">
        <v>4</v>
      </c>
      <c r="AW82">
        <v>3.44</v>
      </c>
      <c r="AX82">
        <v>37</v>
      </c>
      <c r="AY82">
        <v>3</v>
      </c>
      <c r="AZ82">
        <v>0</v>
      </c>
      <c r="BA82">
        <v>1</v>
      </c>
      <c r="BC82">
        <v>1</v>
      </c>
      <c r="BD82" t="str">
        <f>CONCATENATE(Table9[[#This Row],[Match Number]],Table9[[#This Row],[Team]],Table9[[#This Row],[BOWL NUM]])</f>
        <v>44India1</v>
      </c>
      <c r="BE82" t="str">
        <f>IFERROR(IF(AND(Table9[[#This Row],[Team]]=I_TEAM,IFERROR(IF(MATCH(Table9[[#This Row],[Bowler]],$AR$5:AR81,0)&gt;0,0),1)),1,0),"")</f>
        <v/>
      </c>
      <c r="BF82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8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82" t="e">
        <f>IF(Table9[[#This Row],[Team]]=I_TEAM,Table9[[#This Row],[Wickets]]*100-Table9[[#This Row],[Runs]],0)</f>
        <v>#REF!</v>
      </c>
      <c r="BI82">
        <f>Table9[[#This Row],[Wickets]]*100-Table9[[#This Row],[Runs]]</f>
        <v>369</v>
      </c>
      <c r="BJ82">
        <f ca="1">IFERROR(IF(MATCH(Table9[[#This Row],[Bowler]],OFFSET(AR83,0,0,BOWLROWS-ROW(AR82)-ROW(Table9[[#Headers],[BOWLER CUML WICKETS]])),0)&gt;0,0,SUMIF($AR$6:AR82,Table9[[#This Row],[Bowler]],$AV$6:AV82)),SUMIF($AR$6:AR82,Table9[[#This Row],[Bowler]],$AV$6:AV82))</f>
        <v>0</v>
      </c>
      <c r="BK82">
        <f ca="1">IFERROR(IF(MATCH(Table9[[#This Row],[Bowler]],OFFSET(AR83,0,0,BOWLROWS-ROW(AR82)-ROW(Table9[[#Headers],[BOWLER CUML WICKETS]])),0)&gt;0,0,SUMIF($AR$6:AR82,Table9[[#This Row],[Bowler]],$AU$6:AU82)),SUMIF($AR$6:AR82,Table9[[#This Row],[Bowler]],$AU$6:AU82))</f>
        <v>0</v>
      </c>
      <c r="BL82">
        <f ca="1">Table9[[#This Row],[BOWLER CUML WICKETS]]*100-Table9[[#This Row],[BOWLER CUML RUNS]]</f>
        <v>0</v>
      </c>
    </row>
    <row r="83" spans="1:64" x14ac:dyDescent="0.3">
      <c r="A83">
        <v>34</v>
      </c>
      <c r="B83" t="s">
        <v>169</v>
      </c>
      <c r="C83" t="s">
        <v>281</v>
      </c>
      <c r="D83" t="s">
        <v>282</v>
      </c>
      <c r="E83">
        <v>6</v>
      </c>
      <c r="F83">
        <v>9</v>
      </c>
      <c r="G83">
        <v>7</v>
      </c>
      <c r="H83">
        <v>1</v>
      </c>
      <c r="I83">
        <v>0</v>
      </c>
      <c r="J83">
        <v>85.71</v>
      </c>
      <c r="K83">
        <v>7</v>
      </c>
      <c r="L83" t="str">
        <f>CONCATENATE(T_BATTINGDATA[[#This Row],[Match]],T_BATTINGDATA[[#This Row],[Team]],T_BATTINGDATA[[#This Row],[Bat Number]])</f>
        <v>34Ireland7</v>
      </c>
      <c r="M83" t="str">
        <f>IFERROR(IF(AND(T_BATTINGDATA[[#This Row],[Team]]=I_TEAM,IFERROR(IF(MATCH(T_BATTINGDATA[[#This Row],[BATSMAN NAME]],$O$5:O82,0)&gt;0,0),1)),1,0),"")</f>
        <v/>
      </c>
      <c r="N83" t="e">
        <f>IF(T_BATTINGDATA[[#This Row],[Team]]=I_TEAM,T_BATTINGDATA[[#This Row],[R]],0)</f>
        <v>#REF!</v>
      </c>
      <c r="O83" t="str">
        <f>LEFT(T_BATTINGDATA[[#This Row],[Batsman]],IFERROR(FIND("*",T_BATTINGDATA[[#This Row],[Batsman]])-1,IFERROR(FIND("†",T_BATTINGDATA[[#This Row],[Batsman]])-1,LEN(T_BATTINGDATA[[#This Row],[Batsman]]))))</f>
        <v>GC Wilson</v>
      </c>
      <c r="P83">
        <f ca="1">IFERROR(IF(MATCH(T_BATTINGDATA[[#This Row],[BATSMAN NAME]],OFFSET(O84,0,0,BATROWS-ROW(O83)-ROW(T_BATTINGDATA[[#Headers],[BATSMAN NAME]])),0)&gt;0,0,SUMIF($O$6:O83,T_BATTINGDATA[[#This Row],[BATSMAN NAME]],$E$6:E83)),SUMIF($O$6:O83,T_BATTINGDATA[[#This Row],[BATSMAN NAME]],$E$6:E83))</f>
        <v>0</v>
      </c>
      <c r="R83">
        <v>31</v>
      </c>
      <c r="S83" t="s">
        <v>140</v>
      </c>
      <c r="T83">
        <v>2</v>
      </c>
      <c r="U83">
        <v>4</v>
      </c>
      <c r="V83">
        <v>0</v>
      </c>
      <c r="W83">
        <v>0</v>
      </c>
      <c r="X83">
        <v>6</v>
      </c>
      <c r="Y83" t="str">
        <f>CONCATENATE(T_EXTRAS[[#This Row],[Match Number]],T_EXTRAS[[#This Row],[Team Batting]])</f>
        <v>31New Zealand</v>
      </c>
      <c r="AA83">
        <v>39</v>
      </c>
      <c r="AB83" t="s">
        <v>137</v>
      </c>
      <c r="AC83">
        <v>4</v>
      </c>
      <c r="AD83">
        <v>288</v>
      </c>
      <c r="AE83">
        <v>5.91</v>
      </c>
      <c r="AF83">
        <v>48.4</v>
      </c>
      <c r="AG83" t="str">
        <f>T_MTOTAL[[#This Row],[Match Number]]&amp;T_MTOTAL[[#This Row],[Team]]</f>
        <v>39India</v>
      </c>
      <c r="AH83">
        <v>2</v>
      </c>
      <c r="AI83" t="str">
        <f>T_MTOTAL[[#This Row],[Match Number]]&amp;" "&amp;T_MTOTAL[[#This Row],[ORDER]]</f>
        <v>39 2</v>
      </c>
      <c r="AJ83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ZIMBABWE</v>
      </c>
      <c r="AK8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48.4</v>
      </c>
      <c r="AL8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292</v>
      </c>
      <c r="AM83">
        <f>(LEFT(T_MTOTAL[[#This Row],[Overs]],IFERROR(FIND(".",T_MTOTAL[[#This Row],[Overs]])-1,LEN(T_MTOTAL[[#This Row],[Overs]])))*6) + IFERROR(IF(FIND(".",T_MTOTAL[[#This Row],[Overs]])+1&gt;0,RIGHT(T_MTOTAL[[#This Row],[Overs]],1),0),0)</f>
        <v>292</v>
      </c>
      <c r="AN83">
        <f>IFERROR(IF(MATCH(T_MTOTAL[[#This Row],[ORDER LINK]],T_DL[link],0)&gt;0,INDEX(T_DL[d/l score],MATCH(T_MTOTAL[[#This Row],[ORDER LINK]],T_DL[link],0)),""),T_MTOTAL[[#This Row],[Total]])</f>
        <v>288</v>
      </c>
      <c r="AP83">
        <v>44</v>
      </c>
      <c r="AQ83" t="s">
        <v>137</v>
      </c>
      <c r="AR83" t="s">
        <v>168</v>
      </c>
      <c r="AS83">
        <v>8</v>
      </c>
      <c r="AT83">
        <v>1</v>
      </c>
      <c r="AU83">
        <v>37</v>
      </c>
      <c r="AV83">
        <v>2</v>
      </c>
      <c r="AW83">
        <v>4.62</v>
      </c>
      <c r="AX83">
        <v>34</v>
      </c>
      <c r="AY83">
        <v>5</v>
      </c>
      <c r="AZ83">
        <v>0</v>
      </c>
      <c r="BA83">
        <v>4</v>
      </c>
      <c r="BC83">
        <v>2</v>
      </c>
      <c r="BD83" t="str">
        <f>CONCATENATE(Table9[[#This Row],[Match Number]],Table9[[#This Row],[Team]],Table9[[#This Row],[BOWL NUM]])</f>
        <v>44India2</v>
      </c>
      <c r="BE83" t="str">
        <f>IFERROR(IF(AND(Table9[[#This Row],[Team]]=I_TEAM,IFERROR(IF(MATCH(Table9[[#This Row],[Bowler]],$AR$5:AR82,0)&gt;0,0),1)),1,0),"")</f>
        <v/>
      </c>
      <c r="BF83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8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83" t="e">
        <f>IF(Table9[[#This Row],[Team]]=I_TEAM,Table9[[#This Row],[Wickets]]*100-Table9[[#This Row],[Runs]],0)</f>
        <v>#REF!</v>
      </c>
      <c r="BI83">
        <f>Table9[[#This Row],[Wickets]]*100-Table9[[#This Row],[Runs]]</f>
        <v>163</v>
      </c>
      <c r="BJ83">
        <f ca="1">IFERROR(IF(MATCH(Table9[[#This Row],[Bowler]],OFFSET(AR84,0,0,BOWLROWS-ROW(AR83)-ROW(Table9[[#Headers],[BOWLER CUML WICKETS]])),0)&gt;0,0,SUMIF($AR$6:AR83,Table9[[#This Row],[Bowler]],$AV$6:AV83)),SUMIF($AR$6:AR83,Table9[[#This Row],[Bowler]],$AV$6:AV83))</f>
        <v>0</v>
      </c>
      <c r="BK83">
        <f ca="1">IFERROR(IF(MATCH(Table9[[#This Row],[Bowler]],OFFSET(AR84,0,0,BOWLROWS-ROW(AR83)-ROW(Table9[[#Headers],[BOWLER CUML WICKETS]])),0)&gt;0,0,SUMIF($AR$6:AR83,Table9[[#This Row],[Bowler]],$AU$6:AU83)),SUMIF($AR$6:AR83,Table9[[#This Row],[Bowler]],$AU$6:AU83))</f>
        <v>0</v>
      </c>
      <c r="BL83">
        <f ca="1">Table9[[#This Row],[BOWLER CUML WICKETS]]*100-Table9[[#This Row],[BOWLER CUML RUNS]]</f>
        <v>0</v>
      </c>
    </row>
    <row r="84" spans="1:64" x14ac:dyDescent="0.3">
      <c r="A84">
        <v>34</v>
      </c>
      <c r="B84" t="s">
        <v>169</v>
      </c>
      <c r="C84" t="s">
        <v>245</v>
      </c>
      <c r="D84" t="s">
        <v>283</v>
      </c>
      <c r="E84">
        <v>2</v>
      </c>
      <c r="F84">
        <v>10</v>
      </c>
      <c r="G84">
        <v>2</v>
      </c>
      <c r="H84">
        <v>0</v>
      </c>
      <c r="I84">
        <v>0</v>
      </c>
      <c r="J84">
        <v>100</v>
      </c>
      <c r="K84">
        <v>8</v>
      </c>
      <c r="L84" t="str">
        <f>CONCATENATE(T_BATTINGDATA[[#This Row],[Match]],T_BATTINGDATA[[#This Row],[Team]],T_BATTINGDATA[[#This Row],[Bat Number]])</f>
        <v>34Ireland8</v>
      </c>
      <c r="M84" t="str">
        <f>IFERROR(IF(AND(T_BATTINGDATA[[#This Row],[Team]]=I_TEAM,IFERROR(IF(MATCH(T_BATTINGDATA[[#This Row],[BATSMAN NAME]],$O$5:O83,0)&gt;0,0),1)),1,0),"")</f>
        <v/>
      </c>
      <c r="N84" t="e">
        <f>IF(T_BATTINGDATA[[#This Row],[Team]]=I_TEAM,T_BATTINGDATA[[#This Row],[R]],0)</f>
        <v>#REF!</v>
      </c>
      <c r="O84" t="str">
        <f>LEFT(T_BATTINGDATA[[#This Row],[Batsman]],IFERROR(FIND("*",T_BATTINGDATA[[#This Row],[Batsman]])-1,IFERROR(FIND("†",T_BATTINGDATA[[#This Row],[Batsman]])-1,LEN(T_BATTINGDATA[[#This Row],[Batsman]]))))</f>
        <v>SR Thompson</v>
      </c>
      <c r="P84">
        <f ca="1">IFERROR(IF(MATCH(T_BATTINGDATA[[#This Row],[BATSMAN NAME]],OFFSET(O85,0,0,BATROWS-ROW(O84)-ROW(T_BATTINGDATA[[#Headers],[BATSMAN NAME]])),0)&gt;0,0,SUMIF($O$6:O84,T_BATTINGDATA[[#This Row],[BATSMAN NAME]],$E$6:E84)),SUMIF($O$6:O84,T_BATTINGDATA[[#This Row],[BATSMAN NAME]],$E$6:E84))</f>
        <v>2</v>
      </c>
      <c r="R84">
        <v>32</v>
      </c>
      <c r="S84" t="s">
        <v>149</v>
      </c>
      <c r="T84">
        <v>1</v>
      </c>
      <c r="U84">
        <v>4</v>
      </c>
      <c r="V84">
        <v>0</v>
      </c>
      <c r="W84">
        <v>1</v>
      </c>
      <c r="X84">
        <v>6</v>
      </c>
      <c r="Y84" t="str">
        <f>CONCATENATE(T_EXTRAS[[#This Row],[Match Number]],T_EXTRAS[[#This Row],[Team Batting]])</f>
        <v>32Australia</v>
      </c>
      <c r="AA84">
        <v>40</v>
      </c>
      <c r="AB84" t="s">
        <v>176</v>
      </c>
      <c r="AC84">
        <v>10</v>
      </c>
      <c r="AD84">
        <v>130</v>
      </c>
      <c r="AE84">
        <v>5.0599999999999996</v>
      </c>
      <c r="AF84">
        <v>25.4</v>
      </c>
      <c r="AG84" t="str">
        <f>T_MTOTAL[[#This Row],[Match Number]]&amp;T_MTOTAL[[#This Row],[Team]]</f>
        <v>40Scotland</v>
      </c>
      <c r="AH84">
        <v>1</v>
      </c>
      <c r="AI84" t="str">
        <f>T_MTOTAL[[#This Row],[Match Number]]&amp;" "&amp;T_MTOTAL[[#This Row],[ORDER]]</f>
        <v>40 1</v>
      </c>
      <c r="AJ84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AUSTRALIA</v>
      </c>
      <c r="AK8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8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84">
        <f>(LEFT(T_MTOTAL[[#This Row],[Overs]],IFERROR(FIND(".",T_MTOTAL[[#This Row],[Overs]])-1,LEN(T_MTOTAL[[#This Row],[Overs]])))*6) + IFERROR(IF(FIND(".",T_MTOTAL[[#This Row],[Overs]])+1&gt;0,RIGHT(T_MTOTAL[[#This Row],[Overs]],1),0),0)</f>
        <v>154</v>
      </c>
      <c r="AN84">
        <f>IFERROR(IF(MATCH(T_MTOTAL[[#This Row],[ORDER LINK]],T_DL[link],0)&gt;0,INDEX(T_DL[d/l score],MATCH(T_MTOTAL[[#This Row],[ORDER LINK]],T_DL[link],0)),""),T_MTOTAL[[#This Row],[Total]])</f>
        <v>130</v>
      </c>
      <c r="AP84">
        <v>44</v>
      </c>
      <c r="AQ84" t="s">
        <v>137</v>
      </c>
      <c r="AR84" t="s">
        <v>171</v>
      </c>
      <c r="AS84">
        <v>7</v>
      </c>
      <c r="AT84">
        <v>0</v>
      </c>
      <c r="AU84">
        <v>36</v>
      </c>
      <c r="AV84">
        <v>1</v>
      </c>
      <c r="AW84">
        <v>5.14</v>
      </c>
      <c r="AX84">
        <v>23</v>
      </c>
      <c r="AY84">
        <v>5</v>
      </c>
      <c r="AZ84">
        <v>0</v>
      </c>
      <c r="BA84">
        <v>1</v>
      </c>
      <c r="BC84">
        <v>3</v>
      </c>
      <c r="BD84" t="str">
        <f>CONCATENATE(Table9[[#This Row],[Match Number]],Table9[[#This Row],[Team]],Table9[[#This Row],[BOWL NUM]])</f>
        <v>44India3</v>
      </c>
      <c r="BE84" t="str">
        <f>IFERROR(IF(AND(Table9[[#This Row],[Team]]=I_TEAM,IFERROR(IF(MATCH(Table9[[#This Row],[Bowler]],$AR$5:AR83,0)&gt;0,0),1)),1,0),"")</f>
        <v/>
      </c>
      <c r="BF84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8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84" t="e">
        <f>IF(Table9[[#This Row],[Team]]=I_TEAM,Table9[[#This Row],[Wickets]]*100-Table9[[#This Row],[Runs]],0)</f>
        <v>#REF!</v>
      </c>
      <c r="BI84">
        <f>Table9[[#This Row],[Wickets]]*100-Table9[[#This Row],[Runs]]</f>
        <v>64</v>
      </c>
      <c r="BJ84">
        <f ca="1">IFERROR(IF(MATCH(Table9[[#This Row],[Bowler]],OFFSET(AR85,0,0,BOWLROWS-ROW(AR84)-ROW(Table9[[#Headers],[BOWLER CUML WICKETS]])),0)&gt;0,0,SUMIF($AR$6:AR84,Table9[[#This Row],[Bowler]],$AV$6:AV84)),SUMIF($AR$6:AR84,Table9[[#This Row],[Bowler]],$AV$6:AV84))</f>
        <v>0</v>
      </c>
      <c r="BK84">
        <f ca="1">IFERROR(IF(MATCH(Table9[[#This Row],[Bowler]],OFFSET(AR85,0,0,BOWLROWS-ROW(AR84)-ROW(Table9[[#Headers],[BOWLER CUML WICKETS]])),0)&gt;0,0,SUMIF($AR$6:AR84,Table9[[#This Row],[Bowler]],$AU$6:AU84)),SUMIF($AR$6:AR84,Table9[[#This Row],[Bowler]],$AU$6:AU84))</f>
        <v>0</v>
      </c>
      <c r="BL84">
        <f ca="1">Table9[[#This Row],[BOWLER CUML WICKETS]]*100-Table9[[#This Row],[BOWLER CUML RUNS]]</f>
        <v>0</v>
      </c>
    </row>
    <row r="85" spans="1:64" x14ac:dyDescent="0.3">
      <c r="A85">
        <v>34</v>
      </c>
      <c r="B85" t="s">
        <v>169</v>
      </c>
      <c r="C85" t="s">
        <v>242</v>
      </c>
      <c r="D85" t="s">
        <v>167</v>
      </c>
      <c r="E85">
        <v>12</v>
      </c>
      <c r="F85">
        <v>36</v>
      </c>
      <c r="G85">
        <v>16</v>
      </c>
      <c r="H85">
        <v>1</v>
      </c>
      <c r="I85">
        <v>0</v>
      </c>
      <c r="J85">
        <v>75</v>
      </c>
      <c r="K85">
        <v>9</v>
      </c>
      <c r="L85" t="str">
        <f>CONCATENATE(T_BATTINGDATA[[#This Row],[Match]],T_BATTINGDATA[[#This Row],[Team]],T_BATTINGDATA[[#This Row],[Bat Number]])</f>
        <v>34Ireland9</v>
      </c>
      <c r="M85" t="str">
        <f>IFERROR(IF(AND(T_BATTINGDATA[[#This Row],[Team]]=I_TEAM,IFERROR(IF(MATCH(T_BATTINGDATA[[#This Row],[BATSMAN NAME]],$O$5:O84,0)&gt;0,0),1)),1,0),"")</f>
        <v/>
      </c>
      <c r="N85" t="e">
        <f>IF(T_BATTINGDATA[[#This Row],[Team]]=I_TEAM,T_BATTINGDATA[[#This Row],[R]],0)</f>
        <v>#REF!</v>
      </c>
      <c r="O85" t="str">
        <f>LEFT(T_BATTINGDATA[[#This Row],[Batsman]],IFERROR(FIND("*",T_BATTINGDATA[[#This Row],[Batsman]])-1,IFERROR(FIND("†",T_BATTINGDATA[[#This Row],[Batsman]])-1,LEN(T_BATTINGDATA[[#This Row],[Batsman]]))))</f>
        <v>JF Mooney</v>
      </c>
      <c r="P85">
        <f ca="1">IFERROR(IF(MATCH(T_BATTINGDATA[[#This Row],[BATSMAN NAME]],OFFSET(O86,0,0,BATROWS-ROW(O85)-ROW(T_BATTINGDATA[[#Headers],[BATSMAN NAME]])),0)&gt;0,0,SUMIF($O$6:O85,T_BATTINGDATA[[#This Row],[BATSMAN NAME]],$E$6:E85)),SUMIF($O$6:O85,T_BATTINGDATA[[#This Row],[BATSMAN NAME]],$E$6:E85))</f>
        <v>0</v>
      </c>
      <c r="R85">
        <v>32</v>
      </c>
      <c r="S85" t="s">
        <v>145</v>
      </c>
      <c r="T85">
        <v>5</v>
      </c>
      <c r="U85">
        <v>4</v>
      </c>
      <c r="V85">
        <v>0</v>
      </c>
      <c r="W85">
        <v>2</v>
      </c>
      <c r="X85">
        <v>11</v>
      </c>
      <c r="Y85" t="str">
        <f>CONCATENATE(T_EXTRAS[[#This Row],[Match Number]],T_EXTRAS[[#This Row],[Team Batting]])</f>
        <v>32Sri Lanka</v>
      </c>
      <c r="AA85">
        <v>40</v>
      </c>
      <c r="AB85" t="s">
        <v>149</v>
      </c>
      <c r="AC85">
        <v>3</v>
      </c>
      <c r="AD85">
        <v>133</v>
      </c>
      <c r="AE85">
        <v>8.67</v>
      </c>
      <c r="AF85">
        <v>15.2</v>
      </c>
      <c r="AG85" t="str">
        <f>T_MTOTAL[[#This Row],[Match Number]]&amp;T_MTOTAL[[#This Row],[Team]]</f>
        <v>40Australia</v>
      </c>
      <c r="AH85">
        <v>2</v>
      </c>
      <c r="AI85" t="str">
        <f>T_MTOTAL[[#This Row],[Match Number]]&amp;" "&amp;T_MTOTAL[[#This Row],[ORDER]]</f>
        <v>40 2</v>
      </c>
      <c r="AJ85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SCOTLAND</v>
      </c>
      <c r="AK8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15.2</v>
      </c>
      <c r="AL8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92</v>
      </c>
      <c r="AM85">
        <f>(LEFT(T_MTOTAL[[#This Row],[Overs]],IFERROR(FIND(".",T_MTOTAL[[#This Row],[Overs]])-1,LEN(T_MTOTAL[[#This Row],[Overs]])))*6) + IFERROR(IF(FIND(".",T_MTOTAL[[#This Row],[Overs]])+1&gt;0,RIGHT(T_MTOTAL[[#This Row],[Overs]],1),0),0)</f>
        <v>92</v>
      </c>
      <c r="AN85">
        <f>IFERROR(IF(MATCH(T_MTOTAL[[#This Row],[ORDER LINK]],T_DL[link],0)&gt;0,INDEX(T_DL[d/l score],MATCH(T_MTOTAL[[#This Row],[ORDER LINK]],T_DL[link],0)),""),T_MTOTAL[[#This Row],[Total]])</f>
        <v>133</v>
      </c>
      <c r="AP85">
        <v>44</v>
      </c>
      <c r="AQ85" t="s">
        <v>137</v>
      </c>
      <c r="AR85" t="s">
        <v>166</v>
      </c>
      <c r="AS85">
        <v>10</v>
      </c>
      <c r="AT85">
        <v>1</v>
      </c>
      <c r="AU85">
        <v>30</v>
      </c>
      <c r="AV85">
        <v>0</v>
      </c>
      <c r="AW85">
        <v>3</v>
      </c>
      <c r="AX85">
        <v>39</v>
      </c>
      <c r="AY85">
        <v>0</v>
      </c>
      <c r="AZ85">
        <v>1</v>
      </c>
      <c r="BA85">
        <v>1</v>
      </c>
      <c r="BC85">
        <v>4</v>
      </c>
      <c r="BD85" t="str">
        <f>CONCATENATE(Table9[[#This Row],[Match Number]],Table9[[#This Row],[Team]],Table9[[#This Row],[BOWL NUM]])</f>
        <v>44India4</v>
      </c>
      <c r="BE85" t="str">
        <f>IFERROR(IF(AND(Table9[[#This Row],[Team]]=I_TEAM,IFERROR(IF(MATCH(Table9[[#This Row],[Bowler]],$AR$5:AR84,0)&gt;0,0),1)),1,0),"")</f>
        <v/>
      </c>
      <c r="BF8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8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85" t="e">
        <f>IF(Table9[[#This Row],[Team]]=I_TEAM,Table9[[#This Row],[Wickets]]*100-Table9[[#This Row],[Runs]],0)</f>
        <v>#REF!</v>
      </c>
      <c r="BI85">
        <f>Table9[[#This Row],[Wickets]]*100-Table9[[#This Row],[Runs]]</f>
        <v>-30</v>
      </c>
      <c r="BJ85">
        <f ca="1">IFERROR(IF(MATCH(Table9[[#This Row],[Bowler]],OFFSET(AR86,0,0,BOWLROWS-ROW(AR85)-ROW(Table9[[#Headers],[BOWLER CUML WICKETS]])),0)&gt;0,0,SUMIF($AR$6:AR85,Table9[[#This Row],[Bowler]],$AV$6:AV85)),SUMIF($AR$6:AR85,Table9[[#This Row],[Bowler]],$AV$6:AV85))</f>
        <v>0</v>
      </c>
      <c r="BK85">
        <f ca="1">IFERROR(IF(MATCH(Table9[[#This Row],[Bowler]],OFFSET(AR86,0,0,BOWLROWS-ROW(AR85)-ROW(Table9[[#Headers],[BOWLER CUML WICKETS]])),0)&gt;0,0,SUMIF($AR$6:AR85,Table9[[#This Row],[Bowler]],$AU$6:AU85)),SUMIF($AR$6:AR85,Table9[[#This Row],[Bowler]],$AU$6:AU85))</f>
        <v>0</v>
      </c>
      <c r="BL85">
        <f ca="1">Table9[[#This Row],[BOWLER CUML WICKETS]]*100-Table9[[#This Row],[BOWLER CUML RUNS]]</f>
        <v>0</v>
      </c>
    </row>
    <row r="86" spans="1:64" x14ac:dyDescent="0.3">
      <c r="A86">
        <v>34</v>
      </c>
      <c r="B86" t="s">
        <v>169</v>
      </c>
      <c r="C86" t="s">
        <v>246</v>
      </c>
      <c r="D86" t="s">
        <v>222</v>
      </c>
      <c r="E86">
        <v>6</v>
      </c>
      <c r="F86">
        <v>14</v>
      </c>
      <c r="G86">
        <v>12</v>
      </c>
      <c r="H86">
        <v>0</v>
      </c>
      <c r="I86">
        <v>1</v>
      </c>
      <c r="J86">
        <v>50</v>
      </c>
      <c r="K86">
        <v>10</v>
      </c>
      <c r="L86" t="str">
        <f>CONCATENATE(T_BATTINGDATA[[#This Row],[Match]],T_BATTINGDATA[[#This Row],[Team]],T_BATTINGDATA[[#This Row],[Bat Number]])</f>
        <v>34Ireland10</v>
      </c>
      <c r="M86" t="str">
        <f>IFERROR(IF(AND(T_BATTINGDATA[[#This Row],[Team]]=I_TEAM,IFERROR(IF(MATCH(T_BATTINGDATA[[#This Row],[BATSMAN NAME]],$O$5:O85,0)&gt;0,0),1)),1,0),"")</f>
        <v/>
      </c>
      <c r="N86" t="e">
        <f>IF(T_BATTINGDATA[[#This Row],[Team]]=I_TEAM,T_BATTINGDATA[[#This Row],[R]],0)</f>
        <v>#REF!</v>
      </c>
      <c r="O86" t="str">
        <f>LEFT(T_BATTINGDATA[[#This Row],[Batsman]],IFERROR(FIND("*",T_BATTINGDATA[[#This Row],[Batsman]])-1,IFERROR(FIND("†",T_BATTINGDATA[[#This Row],[Batsman]])-1,LEN(T_BATTINGDATA[[#This Row],[Batsman]]))))</f>
        <v>GH Dockrell</v>
      </c>
      <c r="P86">
        <f ca="1">IFERROR(IF(MATCH(T_BATTINGDATA[[#This Row],[BATSMAN NAME]],OFFSET(O87,0,0,BATROWS-ROW(O86)-ROW(T_BATTINGDATA[[#Headers],[BATSMAN NAME]])),0)&gt;0,0,SUMIF($O$6:O86,T_BATTINGDATA[[#This Row],[BATSMAN NAME]],$E$6:E86)),SUMIF($O$6:O86,T_BATTINGDATA[[#This Row],[BATSMAN NAME]],$E$6:E86))</f>
        <v>0</v>
      </c>
      <c r="R86">
        <v>33</v>
      </c>
      <c r="S86" t="s">
        <v>181</v>
      </c>
      <c r="T86">
        <v>4</v>
      </c>
      <c r="U86">
        <v>8</v>
      </c>
      <c r="V86">
        <v>1</v>
      </c>
      <c r="W86">
        <v>1</v>
      </c>
      <c r="X86">
        <v>14</v>
      </c>
      <c r="Y86" t="str">
        <f>CONCATENATE(T_EXTRAS[[#This Row],[Match Number]],T_EXTRAS[[#This Row],[Team Batting]])</f>
        <v>33Bangladesh</v>
      </c>
      <c r="AA86">
        <v>41</v>
      </c>
      <c r="AB86" t="s">
        <v>164</v>
      </c>
      <c r="AC86">
        <v>10</v>
      </c>
      <c r="AD86">
        <v>175</v>
      </c>
      <c r="AE86">
        <v>3.67</v>
      </c>
      <c r="AF86">
        <v>47.4</v>
      </c>
      <c r="AG86" t="str">
        <f>T_MTOTAL[[#This Row],[Match Number]]&amp;T_MTOTAL[[#This Row],[Team]]</f>
        <v>41UAE</v>
      </c>
      <c r="AH86">
        <v>1</v>
      </c>
      <c r="AI86" t="str">
        <f>T_MTOTAL[[#This Row],[Match Number]]&amp;" "&amp;T_MTOTAL[[#This Row],[ORDER]]</f>
        <v>41 1</v>
      </c>
      <c r="AJ86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WEST INDIES</v>
      </c>
      <c r="AK8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8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86">
        <f>(LEFT(T_MTOTAL[[#This Row],[Overs]],IFERROR(FIND(".",T_MTOTAL[[#This Row],[Overs]])-1,LEN(T_MTOTAL[[#This Row],[Overs]])))*6) + IFERROR(IF(FIND(".",T_MTOTAL[[#This Row],[Overs]])+1&gt;0,RIGHT(T_MTOTAL[[#This Row],[Overs]],1),0),0)</f>
        <v>286</v>
      </c>
      <c r="AN86">
        <f>IFERROR(IF(MATCH(T_MTOTAL[[#This Row],[ORDER LINK]],T_DL[link],0)&gt;0,INDEX(T_DL[d/l score],MATCH(T_MTOTAL[[#This Row],[ORDER LINK]],T_DL[link],0)),""),T_MTOTAL[[#This Row],[Total]])</f>
        <v>175</v>
      </c>
      <c r="AP86">
        <v>44</v>
      </c>
      <c r="AQ86" t="s">
        <v>137</v>
      </c>
      <c r="AR86" t="s">
        <v>156</v>
      </c>
      <c r="AS86">
        <v>3</v>
      </c>
      <c r="AT86">
        <v>1</v>
      </c>
      <c r="AU86">
        <v>15</v>
      </c>
      <c r="AV86">
        <v>0</v>
      </c>
      <c r="AW86">
        <v>5</v>
      </c>
      <c r="AX86">
        <v>8</v>
      </c>
      <c r="AY86">
        <v>1</v>
      </c>
      <c r="AZ86">
        <v>0</v>
      </c>
      <c r="BC86">
        <v>5</v>
      </c>
      <c r="BD86" t="str">
        <f>CONCATENATE(Table9[[#This Row],[Match Number]],Table9[[#This Row],[Team]],Table9[[#This Row],[BOWL NUM]])</f>
        <v>44India5</v>
      </c>
      <c r="BE86" t="str">
        <f>IFERROR(IF(AND(Table9[[#This Row],[Team]]=I_TEAM,IFERROR(IF(MATCH(Table9[[#This Row],[Bowler]],$AR$5:AR85,0)&gt;0,0),1)),1,0),"")</f>
        <v/>
      </c>
      <c r="BF86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8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86" t="e">
        <f>IF(Table9[[#This Row],[Team]]=I_TEAM,Table9[[#This Row],[Wickets]]*100-Table9[[#This Row],[Runs]],0)</f>
        <v>#REF!</v>
      </c>
      <c r="BI86">
        <f>Table9[[#This Row],[Wickets]]*100-Table9[[#This Row],[Runs]]</f>
        <v>-15</v>
      </c>
      <c r="BJ86">
        <f ca="1">IFERROR(IF(MATCH(Table9[[#This Row],[Bowler]],OFFSET(AR87,0,0,BOWLROWS-ROW(AR86)-ROW(Table9[[#Headers],[BOWLER CUML WICKETS]])),0)&gt;0,0,SUMIF($AR$6:AR86,Table9[[#This Row],[Bowler]],$AV$6:AV86)),SUMIF($AR$6:AR86,Table9[[#This Row],[Bowler]],$AV$6:AV86))</f>
        <v>1</v>
      </c>
      <c r="BK86">
        <f ca="1">IFERROR(IF(MATCH(Table9[[#This Row],[Bowler]],OFFSET(AR87,0,0,BOWLROWS-ROW(AR86)-ROW(Table9[[#Headers],[BOWLER CUML WICKETS]])),0)&gt;0,0,SUMIF($AR$6:AR86,Table9[[#This Row],[Bowler]],$AU$6:AU86)),SUMIF($AR$6:AR86,Table9[[#This Row],[Bowler]],$AU$6:AU86))</f>
        <v>64</v>
      </c>
      <c r="BL86">
        <f ca="1">Table9[[#This Row],[BOWLER CUML WICKETS]]*100-Table9[[#This Row],[BOWLER CUML RUNS]]</f>
        <v>36</v>
      </c>
    </row>
    <row r="87" spans="1:64" x14ac:dyDescent="0.3">
      <c r="A87">
        <v>34</v>
      </c>
      <c r="B87" t="s">
        <v>169</v>
      </c>
      <c r="C87" t="s">
        <v>244</v>
      </c>
      <c r="D87" t="s">
        <v>237</v>
      </c>
      <c r="E87">
        <v>11</v>
      </c>
      <c r="F87">
        <v>18</v>
      </c>
      <c r="G87">
        <v>13</v>
      </c>
      <c r="H87">
        <v>1</v>
      </c>
      <c r="I87">
        <v>0</v>
      </c>
      <c r="J87">
        <v>84.61</v>
      </c>
      <c r="K87">
        <v>11</v>
      </c>
      <c r="L87" t="str">
        <f>CONCATENATE(T_BATTINGDATA[[#This Row],[Match]],T_BATTINGDATA[[#This Row],[Team]],T_BATTINGDATA[[#This Row],[Bat Number]])</f>
        <v>34Ireland11</v>
      </c>
      <c r="M87" t="str">
        <f>IFERROR(IF(AND(T_BATTINGDATA[[#This Row],[Team]]=I_TEAM,IFERROR(IF(MATCH(T_BATTINGDATA[[#This Row],[BATSMAN NAME]],$O$5:O86,0)&gt;0,0),1)),1,0),"")</f>
        <v/>
      </c>
      <c r="N87" t="e">
        <f>IF(T_BATTINGDATA[[#This Row],[Team]]=I_TEAM,T_BATTINGDATA[[#This Row],[R]],0)</f>
        <v>#REF!</v>
      </c>
      <c r="O87" t="str">
        <f>LEFT(T_BATTINGDATA[[#This Row],[Batsman]],IFERROR(FIND("*",T_BATTINGDATA[[#This Row],[Batsman]])-1,IFERROR(FIND("†",T_BATTINGDATA[[#This Row],[Batsman]])-1,LEN(T_BATTINGDATA[[#This Row],[Batsman]]))))</f>
        <v>AR Cusack</v>
      </c>
      <c r="P87">
        <f ca="1">IFERROR(IF(MATCH(T_BATTINGDATA[[#This Row],[BATSMAN NAME]],OFFSET(O88,0,0,BATROWS-ROW(O87)-ROW(T_BATTINGDATA[[#Headers],[BATSMAN NAME]])),0)&gt;0,0,SUMIF($O$6:O87,T_BATTINGDATA[[#This Row],[BATSMAN NAME]],$E$6:E87)),SUMIF($O$6:O87,T_BATTINGDATA[[#This Row],[BATSMAN NAME]],$E$6:E87))</f>
        <v>0</v>
      </c>
      <c r="R87">
        <v>33</v>
      </c>
      <c r="S87" t="s">
        <v>154</v>
      </c>
      <c r="T87">
        <v>4</v>
      </c>
      <c r="U87">
        <v>0</v>
      </c>
      <c r="V87">
        <v>1</v>
      </c>
      <c r="W87">
        <v>0</v>
      </c>
      <c r="X87">
        <v>5</v>
      </c>
      <c r="Y87" t="str">
        <f>CONCATENATE(T_EXTRAS[[#This Row],[Match Number]],T_EXTRAS[[#This Row],[Team Batting]])</f>
        <v>33England</v>
      </c>
      <c r="AA87">
        <v>41</v>
      </c>
      <c r="AB87" t="s">
        <v>170</v>
      </c>
      <c r="AC87">
        <v>4</v>
      </c>
      <c r="AD87">
        <v>176</v>
      </c>
      <c r="AE87">
        <v>5.77</v>
      </c>
      <c r="AF87">
        <v>30.3</v>
      </c>
      <c r="AG87" t="str">
        <f>T_MTOTAL[[#This Row],[Match Number]]&amp;T_MTOTAL[[#This Row],[Team]]</f>
        <v>41West Indies</v>
      </c>
      <c r="AH87">
        <v>2</v>
      </c>
      <c r="AI87" t="str">
        <f>T_MTOTAL[[#This Row],[Match Number]]&amp;" "&amp;T_MTOTAL[[#This Row],[ORDER]]</f>
        <v>41 2</v>
      </c>
      <c r="AJ87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UAE</v>
      </c>
      <c r="AK8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30.3</v>
      </c>
      <c r="AL8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183</v>
      </c>
      <c r="AM87">
        <f>(LEFT(T_MTOTAL[[#This Row],[Overs]],IFERROR(FIND(".",T_MTOTAL[[#This Row],[Overs]])-1,LEN(T_MTOTAL[[#This Row],[Overs]])))*6) + IFERROR(IF(FIND(".",T_MTOTAL[[#This Row],[Overs]])+1&gt;0,RIGHT(T_MTOTAL[[#This Row],[Overs]],1),0),0)</f>
        <v>183</v>
      </c>
      <c r="AN87">
        <f>IFERROR(IF(MATCH(T_MTOTAL[[#This Row],[ORDER LINK]],T_DL[link],0)&gt;0,INDEX(T_DL[d/l score],MATCH(T_MTOTAL[[#This Row],[ORDER LINK]],T_DL[link],0)),""),T_MTOTAL[[#This Row],[Total]])</f>
        <v>176</v>
      </c>
      <c r="AP87">
        <v>44</v>
      </c>
      <c r="AQ87" t="s">
        <v>137</v>
      </c>
      <c r="AR87" t="s">
        <v>163</v>
      </c>
      <c r="AS87">
        <v>8</v>
      </c>
      <c r="AT87">
        <v>0</v>
      </c>
      <c r="AU87">
        <v>42</v>
      </c>
      <c r="AV87">
        <v>2</v>
      </c>
      <c r="AW87">
        <v>5.25</v>
      </c>
      <c r="AX87">
        <v>23</v>
      </c>
      <c r="AY87">
        <v>5</v>
      </c>
      <c r="AZ87">
        <v>0</v>
      </c>
      <c r="BA87">
        <v>1</v>
      </c>
      <c r="BC87">
        <v>6</v>
      </c>
      <c r="BD87" t="str">
        <f>CONCATENATE(Table9[[#This Row],[Match Number]],Table9[[#This Row],[Team]],Table9[[#This Row],[BOWL NUM]])</f>
        <v>44India6</v>
      </c>
      <c r="BE87" t="str">
        <f>IFERROR(IF(AND(Table9[[#This Row],[Team]]=I_TEAM,IFERROR(IF(MATCH(Table9[[#This Row],[Bowler]],$AR$5:AR86,0)&gt;0,0),1)),1,0),"")</f>
        <v/>
      </c>
      <c r="BF87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8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87" t="e">
        <f>IF(Table9[[#This Row],[Team]]=I_TEAM,Table9[[#This Row],[Wickets]]*100-Table9[[#This Row],[Runs]],0)</f>
        <v>#REF!</v>
      </c>
      <c r="BI87">
        <f>Table9[[#This Row],[Wickets]]*100-Table9[[#This Row],[Runs]]</f>
        <v>158</v>
      </c>
      <c r="BJ87">
        <f ca="1">IFERROR(IF(MATCH(Table9[[#This Row],[Bowler]],OFFSET(AR88,0,0,BOWLROWS-ROW(AR87)-ROW(Table9[[#Headers],[BOWLER CUML WICKETS]])),0)&gt;0,0,SUMIF($AR$6:AR87,Table9[[#This Row],[Bowler]],$AV$6:AV87)),SUMIF($AR$6:AR87,Table9[[#This Row],[Bowler]],$AV$6:AV87))</f>
        <v>0</v>
      </c>
      <c r="BK87">
        <f ca="1">IFERROR(IF(MATCH(Table9[[#This Row],[Bowler]],OFFSET(AR88,0,0,BOWLROWS-ROW(AR87)-ROW(Table9[[#Headers],[BOWLER CUML WICKETS]])),0)&gt;0,0,SUMIF($AR$6:AR87,Table9[[#This Row],[Bowler]],$AU$6:AU87)),SUMIF($AR$6:AR87,Table9[[#This Row],[Bowler]],$AU$6:AU87))</f>
        <v>0</v>
      </c>
      <c r="BL87">
        <f ca="1">Table9[[#This Row],[BOWLER CUML WICKETS]]*100-Table9[[#This Row],[BOWLER CUML RUNS]]</f>
        <v>0</v>
      </c>
    </row>
    <row r="88" spans="1:64" x14ac:dyDescent="0.3">
      <c r="A88">
        <v>34</v>
      </c>
      <c r="B88" t="s">
        <v>137</v>
      </c>
      <c r="C88" t="s">
        <v>138</v>
      </c>
      <c r="D88" t="s">
        <v>284</v>
      </c>
      <c r="E88">
        <v>64</v>
      </c>
      <c r="F88">
        <v>99</v>
      </c>
      <c r="G88">
        <v>66</v>
      </c>
      <c r="H88">
        <v>3</v>
      </c>
      <c r="I88">
        <v>3</v>
      </c>
      <c r="J88">
        <v>96.96</v>
      </c>
      <c r="K88">
        <v>1</v>
      </c>
      <c r="L88" t="str">
        <f>CONCATENATE(T_BATTINGDATA[[#This Row],[Match]],T_BATTINGDATA[[#This Row],[Team]],T_BATTINGDATA[[#This Row],[Bat Number]])</f>
        <v>34India1</v>
      </c>
      <c r="M88" t="str">
        <f>IFERROR(IF(AND(T_BATTINGDATA[[#This Row],[Team]]=I_TEAM,IFERROR(IF(MATCH(T_BATTINGDATA[[#This Row],[BATSMAN NAME]],$O$5:O87,0)&gt;0,0),1)),1,0),"")</f>
        <v/>
      </c>
      <c r="N88" t="e">
        <f>IF(T_BATTINGDATA[[#This Row],[Team]]=I_TEAM,T_BATTINGDATA[[#This Row],[R]],0)</f>
        <v>#REF!</v>
      </c>
      <c r="O88" t="str">
        <f>LEFT(T_BATTINGDATA[[#This Row],[Batsman]],IFERROR(FIND("*",T_BATTINGDATA[[#This Row],[Batsman]])-1,IFERROR(FIND("†",T_BATTINGDATA[[#This Row],[Batsman]])-1,LEN(T_BATTINGDATA[[#This Row],[Batsman]]))))</f>
        <v>RG Sharma</v>
      </c>
      <c r="P88">
        <f ca="1">IFERROR(IF(MATCH(T_BATTINGDATA[[#This Row],[BATSMAN NAME]],OFFSET(O89,0,0,BATROWS-ROW(O88)-ROW(T_BATTINGDATA[[#Headers],[BATSMAN NAME]])),0)&gt;0,0,SUMIF($O$6:O88,T_BATTINGDATA[[#This Row],[BATSMAN NAME]],$E$6:E88)),SUMIF($O$6:O88,T_BATTINGDATA[[#This Row],[BATSMAN NAME]],$E$6:E88))</f>
        <v>0</v>
      </c>
      <c r="R88">
        <v>35</v>
      </c>
      <c r="S88" t="s">
        <v>145</v>
      </c>
      <c r="T88">
        <v>3</v>
      </c>
      <c r="U88">
        <v>10</v>
      </c>
      <c r="V88">
        <v>0</v>
      </c>
      <c r="W88">
        <v>0</v>
      </c>
      <c r="X88">
        <v>13</v>
      </c>
      <c r="Y88" t="str">
        <f>CONCATENATE(T_EXTRAS[[#This Row],[Match Number]],T_EXTRAS[[#This Row],[Team Batting]])</f>
        <v>35Sri Lanka</v>
      </c>
      <c r="AA88">
        <v>42</v>
      </c>
      <c r="AB88" t="s">
        <v>169</v>
      </c>
      <c r="AC88">
        <v>10</v>
      </c>
      <c r="AD88">
        <v>237</v>
      </c>
      <c r="AE88">
        <v>4.74</v>
      </c>
      <c r="AF88">
        <v>50</v>
      </c>
      <c r="AG88" t="str">
        <f>T_MTOTAL[[#This Row],[Match Number]]&amp;T_MTOTAL[[#This Row],[Team]]</f>
        <v>42Ireland</v>
      </c>
      <c r="AH88">
        <v>1</v>
      </c>
      <c r="AI88" t="str">
        <f>T_MTOTAL[[#This Row],[Match Number]]&amp;" "&amp;T_MTOTAL[[#This Row],[ORDER]]</f>
        <v>42 1</v>
      </c>
      <c r="AJ88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PAKISTAN</v>
      </c>
      <c r="AK8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8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88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88">
        <f>IFERROR(IF(MATCH(T_MTOTAL[[#This Row],[ORDER LINK]],T_DL[link],0)&gt;0,INDEX(T_DL[d/l score],MATCH(T_MTOTAL[[#This Row],[ORDER LINK]],T_DL[link],0)),""),T_MTOTAL[[#This Row],[Total]])</f>
        <v>237</v>
      </c>
      <c r="AP88">
        <v>1</v>
      </c>
      <c r="AQ88" t="s">
        <v>145</v>
      </c>
      <c r="AR88" t="s">
        <v>285</v>
      </c>
      <c r="AS88">
        <v>8</v>
      </c>
      <c r="AT88">
        <v>0</v>
      </c>
      <c r="AU88">
        <v>78</v>
      </c>
      <c r="AV88">
        <v>1</v>
      </c>
      <c r="AW88">
        <v>9.75</v>
      </c>
      <c r="AX88">
        <v>16</v>
      </c>
      <c r="AY88">
        <v>9</v>
      </c>
      <c r="AZ88">
        <v>2</v>
      </c>
      <c r="BA88">
        <v>3</v>
      </c>
      <c r="BC88">
        <v>1</v>
      </c>
      <c r="BD88" t="str">
        <f>CONCATENATE(Table9[[#This Row],[Match Number]],Table9[[#This Row],[Team]],Table9[[#This Row],[BOWL NUM]])</f>
        <v>1Sri Lanka1</v>
      </c>
      <c r="BE88" t="str">
        <f>IFERROR(IF(AND(Table9[[#This Row],[Team]]=I_TEAM,IFERROR(IF(MATCH(Table9[[#This Row],[Bowler]],$AR$5:AR87,0)&gt;0,0),1)),1,0),"")</f>
        <v/>
      </c>
      <c r="BF88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8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88" t="e">
        <f>IF(Table9[[#This Row],[Team]]=I_TEAM,Table9[[#This Row],[Wickets]]*100-Table9[[#This Row],[Runs]],0)</f>
        <v>#REF!</v>
      </c>
      <c r="BI88">
        <f>Table9[[#This Row],[Wickets]]*100-Table9[[#This Row],[Runs]]</f>
        <v>22</v>
      </c>
      <c r="BJ88">
        <f ca="1">IFERROR(IF(MATCH(Table9[[#This Row],[Bowler]],OFFSET(AR89,0,0,BOWLROWS-ROW(AR88)-ROW(Table9[[#Headers],[BOWLER CUML WICKETS]])),0)&gt;0,0,SUMIF($AR$6:AR88,Table9[[#This Row],[Bowler]],$AV$6:AV88)),SUMIF($AR$6:AR88,Table9[[#This Row],[Bowler]],$AV$6:AV88))</f>
        <v>0</v>
      </c>
      <c r="BK88">
        <f ca="1">IFERROR(IF(MATCH(Table9[[#This Row],[Bowler]],OFFSET(AR89,0,0,BOWLROWS-ROW(AR88)-ROW(Table9[[#Headers],[BOWLER CUML WICKETS]])),0)&gt;0,0,SUMIF($AR$6:AR88,Table9[[#This Row],[Bowler]],$AU$6:AU88)),SUMIF($AR$6:AR88,Table9[[#This Row],[Bowler]],$AU$6:AU88))</f>
        <v>0</v>
      </c>
      <c r="BL88">
        <f ca="1">Table9[[#This Row],[BOWLER CUML WICKETS]]*100-Table9[[#This Row],[BOWLER CUML RUNS]]</f>
        <v>0</v>
      </c>
    </row>
    <row r="89" spans="1:64" x14ac:dyDescent="0.3">
      <c r="A89">
        <v>34</v>
      </c>
      <c r="B89" t="s">
        <v>137</v>
      </c>
      <c r="C89" t="s">
        <v>143</v>
      </c>
      <c r="D89" t="s">
        <v>286</v>
      </c>
      <c r="E89">
        <v>100</v>
      </c>
      <c r="F89">
        <v>119</v>
      </c>
      <c r="G89">
        <v>85</v>
      </c>
      <c r="H89">
        <v>11</v>
      </c>
      <c r="I89">
        <v>5</v>
      </c>
      <c r="J89">
        <v>117.64</v>
      </c>
      <c r="K89">
        <v>2</v>
      </c>
      <c r="L89" t="str">
        <f>CONCATENATE(T_BATTINGDATA[[#This Row],[Match]],T_BATTINGDATA[[#This Row],[Team]],T_BATTINGDATA[[#This Row],[Bat Number]])</f>
        <v>34India2</v>
      </c>
      <c r="M89" t="str">
        <f>IFERROR(IF(AND(T_BATTINGDATA[[#This Row],[Team]]=I_TEAM,IFERROR(IF(MATCH(T_BATTINGDATA[[#This Row],[BATSMAN NAME]],$O$5:O88,0)&gt;0,0),1)),1,0),"")</f>
        <v/>
      </c>
      <c r="N89" t="e">
        <f>IF(T_BATTINGDATA[[#This Row],[Team]]=I_TEAM,T_BATTINGDATA[[#This Row],[R]],0)</f>
        <v>#REF!</v>
      </c>
      <c r="O89" t="str">
        <f>LEFT(T_BATTINGDATA[[#This Row],[Batsman]],IFERROR(FIND("*",T_BATTINGDATA[[#This Row],[Batsman]])-1,IFERROR(FIND("†",T_BATTINGDATA[[#This Row],[Batsman]])-1,LEN(T_BATTINGDATA[[#This Row],[Batsman]]))))</f>
        <v>S Dhawan</v>
      </c>
      <c r="P89">
        <f ca="1">IFERROR(IF(MATCH(T_BATTINGDATA[[#This Row],[BATSMAN NAME]],OFFSET(O90,0,0,BATROWS-ROW(O89)-ROW(T_BATTINGDATA[[#Headers],[BATSMAN NAME]])),0)&gt;0,0,SUMIF($O$6:O89,T_BATTINGDATA[[#This Row],[BATSMAN NAME]],$E$6:E89)),SUMIF($O$6:O89,T_BATTINGDATA[[#This Row],[BATSMAN NAME]],$E$6:E89))</f>
        <v>0</v>
      </c>
      <c r="R89">
        <v>35</v>
      </c>
      <c r="S89" t="s">
        <v>176</v>
      </c>
      <c r="T89">
        <v>2</v>
      </c>
      <c r="U89">
        <v>6</v>
      </c>
      <c r="V89">
        <v>1</v>
      </c>
      <c r="W89">
        <v>0</v>
      </c>
      <c r="X89">
        <v>9</v>
      </c>
      <c r="Y89" t="str">
        <f>CONCATENATE(T_EXTRAS[[#This Row],[Match Number]],T_EXTRAS[[#This Row],[Team Batting]])</f>
        <v>35Scotland</v>
      </c>
      <c r="AA89">
        <v>42</v>
      </c>
      <c r="AB89" t="s">
        <v>153</v>
      </c>
      <c r="AC89">
        <v>3</v>
      </c>
      <c r="AD89">
        <v>241</v>
      </c>
      <c r="AE89">
        <v>5.22</v>
      </c>
      <c r="AF89">
        <v>46.1</v>
      </c>
      <c r="AG89" t="str">
        <f>T_MTOTAL[[#This Row],[Match Number]]&amp;T_MTOTAL[[#This Row],[Team]]</f>
        <v>42Pakistan</v>
      </c>
      <c r="AH89">
        <v>2</v>
      </c>
      <c r="AI89" t="str">
        <f>T_MTOTAL[[#This Row],[Match Number]]&amp;" "&amp;T_MTOTAL[[#This Row],[ORDER]]</f>
        <v>42 2</v>
      </c>
      <c r="AJ89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IRELAND</v>
      </c>
      <c r="AK8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46.1</v>
      </c>
      <c r="AL8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277</v>
      </c>
      <c r="AM89">
        <f>(LEFT(T_MTOTAL[[#This Row],[Overs]],IFERROR(FIND(".",T_MTOTAL[[#This Row],[Overs]])-1,LEN(T_MTOTAL[[#This Row],[Overs]])))*6) + IFERROR(IF(FIND(".",T_MTOTAL[[#This Row],[Overs]])+1&gt;0,RIGHT(T_MTOTAL[[#This Row],[Overs]],1),0),0)</f>
        <v>277</v>
      </c>
      <c r="AN89">
        <f>IFERROR(IF(MATCH(T_MTOTAL[[#This Row],[ORDER LINK]],T_DL[link],0)&gt;0,INDEX(T_DL[d/l score],MATCH(T_MTOTAL[[#This Row],[ORDER LINK]],T_DL[link],0)),""),T_MTOTAL[[#This Row],[Total]])</f>
        <v>241</v>
      </c>
      <c r="AP89">
        <v>1</v>
      </c>
      <c r="AQ89" t="s">
        <v>145</v>
      </c>
      <c r="AR89" t="s">
        <v>287</v>
      </c>
      <c r="AS89">
        <v>10</v>
      </c>
      <c r="AT89">
        <v>0</v>
      </c>
      <c r="AU89">
        <v>84</v>
      </c>
      <c r="AV89">
        <v>0</v>
      </c>
      <c r="AW89">
        <v>8.4</v>
      </c>
      <c r="AX89">
        <v>19</v>
      </c>
      <c r="AY89">
        <v>8</v>
      </c>
      <c r="AZ89">
        <v>1</v>
      </c>
      <c r="BA89">
        <v>3</v>
      </c>
      <c r="BB89">
        <v>3</v>
      </c>
      <c r="BC89">
        <v>2</v>
      </c>
      <c r="BD89" t="str">
        <f>CONCATENATE(Table9[[#This Row],[Match Number]],Table9[[#This Row],[Team]],Table9[[#This Row],[BOWL NUM]])</f>
        <v>1Sri Lanka2</v>
      </c>
      <c r="BE89" t="str">
        <f>IFERROR(IF(AND(Table9[[#This Row],[Team]]=I_TEAM,IFERROR(IF(MATCH(Table9[[#This Row],[Bowler]],$AR$5:AR88,0)&gt;0,0),1)),1,0),"")</f>
        <v/>
      </c>
      <c r="BF8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8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89" t="e">
        <f>IF(Table9[[#This Row],[Team]]=I_TEAM,Table9[[#This Row],[Wickets]]*100-Table9[[#This Row],[Runs]],0)</f>
        <v>#REF!</v>
      </c>
      <c r="BI89">
        <f>Table9[[#This Row],[Wickets]]*100-Table9[[#This Row],[Runs]]</f>
        <v>-84</v>
      </c>
      <c r="BJ89">
        <f ca="1">IFERROR(IF(MATCH(Table9[[#This Row],[Bowler]],OFFSET(AR90,0,0,BOWLROWS-ROW(AR89)-ROW(Table9[[#Headers],[BOWLER CUML WICKETS]])),0)&gt;0,0,SUMIF($AR$6:AR89,Table9[[#This Row],[Bowler]],$AV$6:AV89)),SUMIF($AR$6:AR89,Table9[[#This Row],[Bowler]],$AV$6:AV89))</f>
        <v>0</v>
      </c>
      <c r="BK89">
        <f ca="1">IFERROR(IF(MATCH(Table9[[#This Row],[Bowler]],OFFSET(AR90,0,0,BOWLROWS-ROW(AR89)-ROW(Table9[[#Headers],[BOWLER CUML WICKETS]])),0)&gt;0,0,SUMIF($AR$6:AR89,Table9[[#This Row],[Bowler]],$AU$6:AU89)),SUMIF($AR$6:AR89,Table9[[#This Row],[Bowler]],$AU$6:AU89))</f>
        <v>0</v>
      </c>
      <c r="BL89">
        <f ca="1">Table9[[#This Row],[BOWLER CUML WICKETS]]*100-Table9[[#This Row],[BOWLER CUML RUNS]]</f>
        <v>0</v>
      </c>
    </row>
    <row r="90" spans="1:64" x14ac:dyDescent="0.3">
      <c r="A90">
        <v>34</v>
      </c>
      <c r="B90" t="s">
        <v>137</v>
      </c>
      <c r="C90" t="s">
        <v>147</v>
      </c>
      <c r="D90" t="s">
        <v>167</v>
      </c>
      <c r="E90">
        <v>44</v>
      </c>
      <c r="F90">
        <v>64</v>
      </c>
      <c r="G90">
        <v>42</v>
      </c>
      <c r="H90">
        <v>4</v>
      </c>
      <c r="I90">
        <v>1</v>
      </c>
      <c r="J90">
        <v>104.76</v>
      </c>
      <c r="K90">
        <v>3</v>
      </c>
      <c r="L90" t="str">
        <f>CONCATENATE(T_BATTINGDATA[[#This Row],[Match]],T_BATTINGDATA[[#This Row],[Team]],T_BATTINGDATA[[#This Row],[Bat Number]])</f>
        <v>34India3</v>
      </c>
      <c r="M90" t="str">
        <f>IFERROR(IF(AND(T_BATTINGDATA[[#This Row],[Team]]=I_TEAM,IFERROR(IF(MATCH(T_BATTINGDATA[[#This Row],[BATSMAN NAME]],$O$5:O89,0)&gt;0,0),1)),1,0),"")</f>
        <v/>
      </c>
      <c r="N90" t="e">
        <f>IF(T_BATTINGDATA[[#This Row],[Team]]=I_TEAM,T_BATTINGDATA[[#This Row],[R]],0)</f>
        <v>#REF!</v>
      </c>
      <c r="O90" t="str">
        <f>LEFT(T_BATTINGDATA[[#This Row],[Batsman]],IFERROR(FIND("*",T_BATTINGDATA[[#This Row],[Batsman]])-1,IFERROR(FIND("†",T_BATTINGDATA[[#This Row],[Batsman]])-1,LEN(T_BATTINGDATA[[#This Row],[Batsman]]))))</f>
        <v>V Kohli</v>
      </c>
      <c r="P90">
        <f ca="1">IFERROR(IF(MATCH(T_BATTINGDATA[[#This Row],[BATSMAN NAME]],OFFSET(O91,0,0,BATROWS-ROW(O90)-ROW(T_BATTINGDATA[[#Headers],[BATSMAN NAME]])),0)&gt;0,0,SUMIF($O$6:O90,T_BATTINGDATA[[#This Row],[BATSMAN NAME]],$E$6:E90)),SUMIF($O$6:O90,T_BATTINGDATA[[#This Row],[BATSMAN NAME]],$E$6:E90))</f>
        <v>0</v>
      </c>
      <c r="R90">
        <v>36</v>
      </c>
      <c r="S90" t="s">
        <v>141</v>
      </c>
      <c r="T90">
        <v>1</v>
      </c>
      <c r="U90">
        <v>5</v>
      </c>
      <c r="V90">
        <v>5</v>
      </c>
      <c r="W90">
        <v>4</v>
      </c>
      <c r="X90">
        <v>15</v>
      </c>
      <c r="Y90" t="str">
        <f>CONCATENATE(T_EXTRAS[[#This Row],[Match Number]],T_EXTRAS[[#This Row],[Team Batting]])</f>
        <v>36South Africa</v>
      </c>
      <c r="AA90">
        <v>43</v>
      </c>
      <c r="AB90" t="s">
        <v>145</v>
      </c>
      <c r="AC90">
        <v>10</v>
      </c>
      <c r="AD90">
        <v>133</v>
      </c>
      <c r="AE90">
        <v>3.56</v>
      </c>
      <c r="AF90">
        <v>37.200000000000003</v>
      </c>
      <c r="AG90" t="str">
        <f>T_MTOTAL[[#This Row],[Match Number]]&amp;T_MTOTAL[[#This Row],[Team]]</f>
        <v>43Sri Lanka</v>
      </c>
      <c r="AH90">
        <v>1</v>
      </c>
      <c r="AI90" t="str">
        <f>T_MTOTAL[[#This Row],[Match Number]]&amp;" "&amp;T_MTOTAL[[#This Row],[ORDER]]</f>
        <v>43 1</v>
      </c>
      <c r="AJ90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SOUTH AFRICA</v>
      </c>
      <c r="AK9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9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90">
        <f>(LEFT(T_MTOTAL[[#This Row],[Overs]],IFERROR(FIND(".",T_MTOTAL[[#This Row],[Overs]])-1,LEN(T_MTOTAL[[#This Row],[Overs]])))*6) + IFERROR(IF(FIND(".",T_MTOTAL[[#This Row],[Overs]])+1&gt;0,RIGHT(T_MTOTAL[[#This Row],[Overs]],1),0),0)</f>
        <v>224</v>
      </c>
      <c r="AN90">
        <f>IFERROR(IF(MATCH(T_MTOTAL[[#This Row],[ORDER LINK]],T_DL[link],0)&gt;0,INDEX(T_DL[d/l score],MATCH(T_MTOTAL[[#This Row],[ORDER LINK]],T_DL[link],0)),""),T_MTOTAL[[#This Row],[Total]])</f>
        <v>133</v>
      </c>
      <c r="AP90">
        <v>1</v>
      </c>
      <c r="AQ90" t="s">
        <v>145</v>
      </c>
      <c r="AR90" t="s">
        <v>288</v>
      </c>
      <c r="AS90">
        <v>6</v>
      </c>
      <c r="AT90">
        <v>0</v>
      </c>
      <c r="AU90">
        <v>28</v>
      </c>
      <c r="AV90">
        <v>0</v>
      </c>
      <c r="AW90">
        <v>4.66</v>
      </c>
      <c r="AX90">
        <v>20</v>
      </c>
      <c r="AY90">
        <v>4</v>
      </c>
      <c r="AZ90">
        <v>0</v>
      </c>
      <c r="BC90">
        <v>3</v>
      </c>
      <c r="BD90" t="str">
        <f>CONCATENATE(Table9[[#This Row],[Match Number]],Table9[[#This Row],[Team]],Table9[[#This Row],[BOWL NUM]])</f>
        <v>1Sri Lanka3</v>
      </c>
      <c r="BE90" t="str">
        <f>IFERROR(IF(AND(Table9[[#This Row],[Team]]=I_TEAM,IFERROR(IF(MATCH(Table9[[#This Row],[Bowler]],$AR$5:AR89,0)&gt;0,0),1)),1,0),"")</f>
        <v/>
      </c>
      <c r="BF90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9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90" t="e">
        <f>IF(Table9[[#This Row],[Team]]=I_TEAM,Table9[[#This Row],[Wickets]]*100-Table9[[#This Row],[Runs]],0)</f>
        <v>#REF!</v>
      </c>
      <c r="BI90">
        <f>Table9[[#This Row],[Wickets]]*100-Table9[[#This Row],[Runs]]</f>
        <v>-28</v>
      </c>
      <c r="BJ90">
        <f ca="1">IFERROR(IF(MATCH(Table9[[#This Row],[Bowler]],OFFSET(AR91,0,0,BOWLROWS-ROW(AR90)-ROW(Table9[[#Headers],[BOWLER CUML WICKETS]])),0)&gt;0,0,SUMIF($AR$6:AR90,Table9[[#This Row],[Bowler]],$AV$6:AV90)),SUMIF($AR$6:AR90,Table9[[#This Row],[Bowler]],$AV$6:AV90))</f>
        <v>0</v>
      </c>
      <c r="BK90">
        <f ca="1">IFERROR(IF(MATCH(Table9[[#This Row],[Bowler]],OFFSET(AR91,0,0,BOWLROWS-ROW(AR90)-ROW(Table9[[#Headers],[BOWLER CUML WICKETS]])),0)&gt;0,0,SUMIF($AR$6:AR90,Table9[[#This Row],[Bowler]],$AU$6:AU90)),SUMIF($AR$6:AR90,Table9[[#This Row],[Bowler]],$AU$6:AU90))</f>
        <v>0</v>
      </c>
      <c r="BL90">
        <f ca="1">Table9[[#This Row],[BOWLER CUML WICKETS]]*100-Table9[[#This Row],[BOWLER CUML RUNS]]</f>
        <v>0</v>
      </c>
    </row>
    <row r="91" spans="1:64" x14ac:dyDescent="0.3">
      <c r="A91">
        <v>34</v>
      </c>
      <c r="B91" t="s">
        <v>137</v>
      </c>
      <c r="C91" t="s">
        <v>151</v>
      </c>
      <c r="D91" t="s">
        <v>167</v>
      </c>
      <c r="E91">
        <v>33</v>
      </c>
      <c r="F91">
        <v>44</v>
      </c>
      <c r="G91">
        <v>28</v>
      </c>
      <c r="H91">
        <v>6</v>
      </c>
      <c r="I91">
        <v>0</v>
      </c>
      <c r="J91">
        <v>117.85</v>
      </c>
      <c r="K91">
        <v>4</v>
      </c>
      <c r="L91" t="str">
        <f>CONCATENATE(T_BATTINGDATA[[#This Row],[Match]],T_BATTINGDATA[[#This Row],[Team]],T_BATTINGDATA[[#This Row],[Bat Number]])</f>
        <v>34India4</v>
      </c>
      <c r="M91" t="str">
        <f>IFERROR(IF(AND(T_BATTINGDATA[[#This Row],[Team]]=I_TEAM,IFERROR(IF(MATCH(T_BATTINGDATA[[#This Row],[BATSMAN NAME]],$O$5:O90,0)&gt;0,0),1)),1,0),"")</f>
        <v/>
      </c>
      <c r="N91" t="e">
        <f>IF(T_BATTINGDATA[[#This Row],[Team]]=I_TEAM,T_BATTINGDATA[[#This Row],[R]],0)</f>
        <v>#REF!</v>
      </c>
      <c r="O91" t="str">
        <f>LEFT(T_BATTINGDATA[[#This Row],[Batsman]],IFERROR(FIND("*",T_BATTINGDATA[[#This Row],[Batsman]])-1,IFERROR(FIND("†",T_BATTINGDATA[[#This Row],[Batsman]])-1,LEN(T_BATTINGDATA[[#This Row],[Batsman]]))))</f>
        <v>AM Rahane</v>
      </c>
      <c r="P91">
        <f ca="1">IFERROR(IF(MATCH(T_BATTINGDATA[[#This Row],[BATSMAN NAME]],OFFSET(O92,0,0,BATROWS-ROW(O91)-ROW(T_BATTINGDATA[[#Headers],[BATSMAN NAME]])),0)&gt;0,0,SUMIF($O$6:O91,T_BATTINGDATA[[#This Row],[BATSMAN NAME]],$E$6:E91)),SUMIF($O$6:O91,T_BATTINGDATA[[#This Row],[BATSMAN NAME]],$E$6:E91))</f>
        <v>0</v>
      </c>
      <c r="R91">
        <v>36</v>
      </c>
      <c r="S91" t="s">
        <v>164</v>
      </c>
      <c r="T91">
        <v>16</v>
      </c>
      <c r="U91">
        <v>6</v>
      </c>
      <c r="V91">
        <v>3</v>
      </c>
      <c r="W91">
        <v>4</v>
      </c>
      <c r="X91">
        <v>29</v>
      </c>
      <c r="Y91" t="str">
        <f>CONCATENATE(T_EXTRAS[[#This Row],[Match Number]],T_EXTRAS[[#This Row],[Team Batting]])</f>
        <v>36UAE</v>
      </c>
      <c r="AA91">
        <v>43</v>
      </c>
      <c r="AB91" t="s">
        <v>141</v>
      </c>
      <c r="AC91">
        <v>1</v>
      </c>
      <c r="AD91">
        <v>134</v>
      </c>
      <c r="AE91">
        <v>7.44</v>
      </c>
      <c r="AF91">
        <v>18</v>
      </c>
      <c r="AG91" t="str">
        <f>T_MTOTAL[[#This Row],[Match Number]]&amp;T_MTOTAL[[#This Row],[Team]]</f>
        <v>43South Africa</v>
      </c>
      <c r="AH91">
        <v>2</v>
      </c>
      <c r="AI91" t="str">
        <f>T_MTOTAL[[#This Row],[Match Number]]&amp;" "&amp;T_MTOTAL[[#This Row],[ORDER]]</f>
        <v>43 2</v>
      </c>
      <c r="AJ91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SRI LANKA</v>
      </c>
      <c r="AK9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18</v>
      </c>
      <c r="AL9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108</v>
      </c>
      <c r="AM91">
        <f>(LEFT(T_MTOTAL[[#This Row],[Overs]],IFERROR(FIND(".",T_MTOTAL[[#This Row],[Overs]])-1,LEN(T_MTOTAL[[#This Row],[Overs]])))*6) + IFERROR(IF(FIND(".",T_MTOTAL[[#This Row],[Overs]])+1&gt;0,RIGHT(T_MTOTAL[[#This Row],[Overs]],1),0),0)</f>
        <v>108</v>
      </c>
      <c r="AN91">
        <f>IFERROR(IF(MATCH(T_MTOTAL[[#This Row],[ORDER LINK]],T_DL[link],0)&gt;0,INDEX(T_DL[d/l score],MATCH(T_MTOTAL[[#This Row],[ORDER LINK]],T_DL[link],0)),""),T_MTOTAL[[#This Row],[Total]])</f>
        <v>134</v>
      </c>
      <c r="AP91">
        <v>1</v>
      </c>
      <c r="AQ91" t="s">
        <v>145</v>
      </c>
      <c r="AR91" t="s">
        <v>289</v>
      </c>
      <c r="AS91">
        <v>9</v>
      </c>
      <c r="AT91">
        <v>0</v>
      </c>
      <c r="AU91">
        <v>37</v>
      </c>
      <c r="AV91">
        <v>1</v>
      </c>
      <c r="AW91">
        <v>4.1100000000000003</v>
      </c>
      <c r="AX91">
        <v>30</v>
      </c>
      <c r="AY91">
        <v>3</v>
      </c>
      <c r="AZ91">
        <v>0</v>
      </c>
      <c r="BA91">
        <v>1</v>
      </c>
      <c r="BC91">
        <v>4</v>
      </c>
      <c r="BD91" t="str">
        <f>CONCATENATE(Table9[[#This Row],[Match Number]],Table9[[#This Row],[Team]],Table9[[#This Row],[BOWL NUM]])</f>
        <v>1Sri Lanka4</v>
      </c>
      <c r="BE91" t="str">
        <f>IFERROR(IF(AND(Table9[[#This Row],[Team]]=I_TEAM,IFERROR(IF(MATCH(Table9[[#This Row],[Bowler]],$AR$5:AR90,0)&gt;0,0),1)),1,0),"")</f>
        <v/>
      </c>
      <c r="BF91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9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91" t="e">
        <f>IF(Table9[[#This Row],[Team]]=I_TEAM,Table9[[#This Row],[Wickets]]*100-Table9[[#This Row],[Runs]],0)</f>
        <v>#REF!</v>
      </c>
      <c r="BI91">
        <f>Table9[[#This Row],[Wickets]]*100-Table9[[#This Row],[Runs]]</f>
        <v>63</v>
      </c>
      <c r="BJ91">
        <f ca="1">IFERROR(IF(MATCH(Table9[[#This Row],[Bowler]],OFFSET(AR92,0,0,BOWLROWS-ROW(AR91)-ROW(Table9[[#Headers],[BOWLER CUML WICKETS]])),0)&gt;0,0,SUMIF($AR$6:AR91,Table9[[#This Row],[Bowler]],$AV$6:AV91)),SUMIF($AR$6:AR91,Table9[[#This Row],[Bowler]],$AV$6:AV91))</f>
        <v>0</v>
      </c>
      <c r="BK91">
        <f ca="1">IFERROR(IF(MATCH(Table9[[#This Row],[Bowler]],OFFSET(AR92,0,0,BOWLROWS-ROW(AR91)-ROW(Table9[[#Headers],[BOWLER CUML WICKETS]])),0)&gt;0,0,SUMIF($AR$6:AR91,Table9[[#This Row],[Bowler]],$AU$6:AU91)),SUMIF($AR$6:AR91,Table9[[#This Row],[Bowler]],$AU$6:AU91))</f>
        <v>0</v>
      </c>
      <c r="BL91">
        <f ca="1">Table9[[#This Row],[BOWLER CUML WICKETS]]*100-Table9[[#This Row],[BOWLER CUML RUNS]]</f>
        <v>0</v>
      </c>
    </row>
    <row r="92" spans="1:64" x14ac:dyDescent="0.3">
      <c r="A92">
        <v>28</v>
      </c>
      <c r="B92" t="s">
        <v>170</v>
      </c>
      <c r="C92" t="s">
        <v>265</v>
      </c>
      <c r="D92" t="s">
        <v>206</v>
      </c>
      <c r="E92">
        <v>6</v>
      </c>
      <c r="F92">
        <v>19</v>
      </c>
      <c r="G92">
        <v>20</v>
      </c>
      <c r="H92">
        <v>1</v>
      </c>
      <c r="I92">
        <v>0</v>
      </c>
      <c r="J92">
        <v>30</v>
      </c>
      <c r="K92">
        <v>1</v>
      </c>
      <c r="L92" t="str">
        <f>CONCATENATE(T_BATTINGDATA[[#This Row],[Match]],T_BATTINGDATA[[#This Row],[Team]],T_BATTINGDATA[[#This Row],[Bat Number]])</f>
        <v>28West Indies1</v>
      </c>
      <c r="M92" t="str">
        <f>IFERROR(IF(AND(T_BATTINGDATA[[#This Row],[Team]]=I_TEAM,IFERROR(IF(MATCH(T_BATTINGDATA[[#This Row],[BATSMAN NAME]],$O$5:O91,0)&gt;0,0),1)),1,0),"")</f>
        <v/>
      </c>
      <c r="N92" t="e">
        <f>IF(T_BATTINGDATA[[#This Row],[Team]]=I_TEAM,T_BATTINGDATA[[#This Row],[R]],0)</f>
        <v>#REF!</v>
      </c>
      <c r="O92" t="str">
        <f>LEFT(T_BATTINGDATA[[#This Row],[Batsman]],IFERROR(FIND("*",T_BATTINGDATA[[#This Row],[Batsman]])-1,IFERROR(FIND("†",T_BATTINGDATA[[#This Row],[Batsman]])-1,LEN(T_BATTINGDATA[[#This Row],[Batsman]]))))</f>
        <v>DR Smith</v>
      </c>
      <c r="P92">
        <f ca="1">IFERROR(IF(MATCH(T_BATTINGDATA[[#This Row],[BATSMAN NAME]],OFFSET(O93,0,0,BATROWS-ROW(O92)-ROW(T_BATTINGDATA[[#Headers],[BATSMAN NAME]])),0)&gt;0,0,SUMIF($O$6:O92,T_BATTINGDATA[[#This Row],[BATSMAN NAME]],$E$6:E92)),SUMIF($O$6:O92,T_BATTINGDATA[[#This Row],[BATSMAN NAME]],$E$6:E92))</f>
        <v>0</v>
      </c>
      <c r="R92">
        <v>37</v>
      </c>
      <c r="S92" t="s">
        <v>181</v>
      </c>
      <c r="T92">
        <v>1</v>
      </c>
      <c r="U92">
        <v>4</v>
      </c>
      <c r="V92">
        <v>0</v>
      </c>
      <c r="W92">
        <v>0</v>
      </c>
      <c r="X92">
        <v>5</v>
      </c>
      <c r="Y92" t="str">
        <f>CONCATENATE(T_EXTRAS[[#This Row],[Match Number]],T_EXTRAS[[#This Row],[Team Batting]])</f>
        <v>37Bangladesh</v>
      </c>
      <c r="AA92">
        <v>44</v>
      </c>
      <c r="AB92" t="s">
        <v>137</v>
      </c>
      <c r="AC92">
        <v>6</v>
      </c>
      <c r="AD92">
        <v>302</v>
      </c>
      <c r="AE92">
        <v>6.04</v>
      </c>
      <c r="AF92">
        <v>50</v>
      </c>
      <c r="AG92" t="str">
        <f>T_MTOTAL[[#This Row],[Match Number]]&amp;T_MTOTAL[[#This Row],[Team]]</f>
        <v>44India</v>
      </c>
      <c r="AH92">
        <v>1</v>
      </c>
      <c r="AI92" t="str">
        <f>T_MTOTAL[[#This Row],[Match Number]]&amp;" "&amp;T_MTOTAL[[#This Row],[ORDER]]</f>
        <v>44 1</v>
      </c>
      <c r="AJ92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BANGLADESH</v>
      </c>
      <c r="AK9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9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92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92">
        <f>IFERROR(IF(MATCH(T_MTOTAL[[#This Row],[ORDER LINK]],T_DL[link],0)&gt;0,INDEX(T_DL[d/l score],MATCH(T_MTOTAL[[#This Row],[ORDER LINK]],T_DL[link],0)),""),T_MTOTAL[[#This Row],[Total]])</f>
        <v>302</v>
      </c>
      <c r="AP92">
        <v>1</v>
      </c>
      <c r="AQ92" t="s">
        <v>145</v>
      </c>
      <c r="AR92" t="s">
        <v>290</v>
      </c>
      <c r="AS92">
        <v>5</v>
      </c>
      <c r="AT92">
        <v>0</v>
      </c>
      <c r="AU92">
        <v>35</v>
      </c>
      <c r="AV92">
        <v>0</v>
      </c>
      <c r="AW92">
        <v>7</v>
      </c>
      <c r="AX92">
        <v>11</v>
      </c>
      <c r="AY92">
        <v>2</v>
      </c>
      <c r="AZ92">
        <v>1</v>
      </c>
      <c r="BA92">
        <v>1</v>
      </c>
      <c r="BC92">
        <v>5</v>
      </c>
      <c r="BD92" t="str">
        <f>CONCATENATE(Table9[[#This Row],[Match Number]],Table9[[#This Row],[Team]],Table9[[#This Row],[BOWL NUM]])</f>
        <v>1Sri Lanka5</v>
      </c>
      <c r="BE92" t="str">
        <f>IFERROR(IF(AND(Table9[[#This Row],[Team]]=I_TEAM,IFERROR(IF(MATCH(Table9[[#This Row],[Bowler]],$AR$5:AR91,0)&gt;0,0),1)),1,0),"")</f>
        <v/>
      </c>
      <c r="BF92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9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92" t="e">
        <f>IF(Table9[[#This Row],[Team]]=I_TEAM,Table9[[#This Row],[Wickets]]*100-Table9[[#This Row],[Runs]],0)</f>
        <v>#REF!</v>
      </c>
      <c r="BI92">
        <f>Table9[[#This Row],[Wickets]]*100-Table9[[#This Row],[Runs]]</f>
        <v>-35</v>
      </c>
      <c r="BJ92">
        <f ca="1">IFERROR(IF(MATCH(Table9[[#This Row],[Bowler]],OFFSET(AR93,0,0,BOWLROWS-ROW(AR92)-ROW(Table9[[#Headers],[BOWLER CUML WICKETS]])),0)&gt;0,0,SUMIF($AR$6:AR92,Table9[[#This Row],[Bowler]],$AV$6:AV92)),SUMIF($AR$6:AR92,Table9[[#This Row],[Bowler]],$AV$6:AV92))</f>
        <v>0</v>
      </c>
      <c r="BK92">
        <f ca="1">IFERROR(IF(MATCH(Table9[[#This Row],[Bowler]],OFFSET(AR93,0,0,BOWLROWS-ROW(AR92)-ROW(Table9[[#Headers],[BOWLER CUML WICKETS]])),0)&gt;0,0,SUMIF($AR$6:AR92,Table9[[#This Row],[Bowler]],$AU$6:AU92)),SUMIF($AR$6:AR92,Table9[[#This Row],[Bowler]],$AU$6:AU92))</f>
        <v>0</v>
      </c>
      <c r="BL92">
        <f ca="1">Table9[[#This Row],[BOWLER CUML WICKETS]]*100-Table9[[#This Row],[BOWLER CUML RUNS]]</f>
        <v>0</v>
      </c>
    </row>
    <row r="93" spans="1:64" x14ac:dyDescent="0.3">
      <c r="A93">
        <v>28</v>
      </c>
      <c r="B93" t="s">
        <v>170</v>
      </c>
      <c r="C93" t="s">
        <v>291</v>
      </c>
      <c r="D93" t="s">
        <v>292</v>
      </c>
      <c r="E93">
        <v>21</v>
      </c>
      <c r="F93">
        <v>44</v>
      </c>
      <c r="G93">
        <v>27</v>
      </c>
      <c r="H93">
        <v>2</v>
      </c>
      <c r="I93">
        <v>1</v>
      </c>
      <c r="J93">
        <v>77.77</v>
      </c>
      <c r="K93">
        <v>2</v>
      </c>
      <c r="L93" t="str">
        <f>CONCATENATE(T_BATTINGDATA[[#This Row],[Match]],T_BATTINGDATA[[#This Row],[Team]],T_BATTINGDATA[[#This Row],[Bat Number]])</f>
        <v>28West Indies2</v>
      </c>
      <c r="M93" t="str">
        <f>IFERROR(IF(AND(T_BATTINGDATA[[#This Row],[Team]]=I_TEAM,IFERROR(IF(MATCH(T_BATTINGDATA[[#This Row],[BATSMAN NAME]],$O$5:O92,0)&gt;0,0),1)),1,0),"")</f>
        <v/>
      </c>
      <c r="N93" t="e">
        <f>IF(T_BATTINGDATA[[#This Row],[Team]]=I_TEAM,T_BATTINGDATA[[#This Row],[R]],0)</f>
        <v>#REF!</v>
      </c>
      <c r="O93" t="str">
        <f>LEFT(T_BATTINGDATA[[#This Row],[Batsman]],IFERROR(FIND("*",T_BATTINGDATA[[#This Row],[Batsman]])-1,IFERROR(FIND("†",T_BATTINGDATA[[#This Row],[Batsman]])-1,LEN(T_BATTINGDATA[[#This Row],[Batsman]]))))</f>
        <v>CH Gayle</v>
      </c>
      <c r="P93">
        <f ca="1">IFERROR(IF(MATCH(T_BATTINGDATA[[#This Row],[BATSMAN NAME]],OFFSET(O94,0,0,BATROWS-ROW(O93)-ROW(T_BATTINGDATA[[#Headers],[BATSMAN NAME]])),0)&gt;0,0,SUMIF($O$6:O93,T_BATTINGDATA[[#This Row],[BATSMAN NAME]],$E$6:E93)),SUMIF($O$6:O93,T_BATTINGDATA[[#This Row],[BATSMAN NAME]],$E$6:E93))</f>
        <v>0</v>
      </c>
      <c r="R93">
        <v>37</v>
      </c>
      <c r="S93" t="s">
        <v>140</v>
      </c>
      <c r="T93">
        <v>1</v>
      </c>
      <c r="U93">
        <v>4</v>
      </c>
      <c r="V93">
        <v>0</v>
      </c>
      <c r="W93">
        <v>0</v>
      </c>
      <c r="X93">
        <v>5</v>
      </c>
      <c r="Y93" t="str">
        <f>CONCATENATE(T_EXTRAS[[#This Row],[Match Number]],T_EXTRAS[[#This Row],[Team Batting]])</f>
        <v>37New Zealand</v>
      </c>
      <c r="AA93">
        <v>44</v>
      </c>
      <c r="AB93" t="s">
        <v>181</v>
      </c>
      <c r="AC93">
        <v>10</v>
      </c>
      <c r="AD93">
        <v>193</v>
      </c>
      <c r="AE93">
        <v>4.28</v>
      </c>
      <c r="AF93">
        <v>45</v>
      </c>
      <c r="AG93" t="str">
        <f>T_MTOTAL[[#This Row],[Match Number]]&amp;T_MTOTAL[[#This Row],[Team]]</f>
        <v>44Bangladesh</v>
      </c>
      <c r="AH93">
        <v>2</v>
      </c>
      <c r="AI93" t="str">
        <f>T_MTOTAL[[#This Row],[Match Number]]&amp;" "&amp;T_MTOTAL[[#This Row],[ORDER]]</f>
        <v>44 2</v>
      </c>
      <c r="AJ93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INDIA</v>
      </c>
      <c r="AK9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9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93">
        <f>(LEFT(T_MTOTAL[[#This Row],[Overs]],IFERROR(FIND(".",T_MTOTAL[[#This Row],[Overs]])-1,LEN(T_MTOTAL[[#This Row],[Overs]])))*6) + IFERROR(IF(FIND(".",T_MTOTAL[[#This Row],[Overs]])+1&gt;0,RIGHT(T_MTOTAL[[#This Row],[Overs]],1),0),0)</f>
        <v>270</v>
      </c>
      <c r="AN93">
        <f>IFERROR(IF(MATCH(T_MTOTAL[[#This Row],[ORDER LINK]],T_DL[link],0)&gt;0,INDEX(T_DL[d/l score],MATCH(T_MTOTAL[[#This Row],[ORDER LINK]],T_DL[link],0)),""),T_MTOTAL[[#This Row],[Total]])</f>
        <v>193</v>
      </c>
      <c r="AP93">
        <v>1</v>
      </c>
      <c r="AQ93" t="s">
        <v>145</v>
      </c>
      <c r="AR93" t="s">
        <v>293</v>
      </c>
      <c r="AS93">
        <v>10</v>
      </c>
      <c r="AT93">
        <v>0</v>
      </c>
      <c r="AU93">
        <v>62</v>
      </c>
      <c r="AV93">
        <v>2</v>
      </c>
      <c r="AW93">
        <v>6.2</v>
      </c>
      <c r="AX93">
        <v>28</v>
      </c>
      <c r="AY93">
        <v>8</v>
      </c>
      <c r="AZ93">
        <v>0</v>
      </c>
      <c r="BC93">
        <v>6</v>
      </c>
      <c r="BD93" t="str">
        <f>CONCATENATE(Table9[[#This Row],[Match Number]],Table9[[#This Row],[Team]],Table9[[#This Row],[BOWL NUM]])</f>
        <v>1Sri Lanka6</v>
      </c>
      <c r="BE93" t="str">
        <f>IFERROR(IF(AND(Table9[[#This Row],[Team]]=I_TEAM,IFERROR(IF(MATCH(Table9[[#This Row],[Bowler]],$AR$5:AR92,0)&gt;0,0),1)),1,0),"")</f>
        <v/>
      </c>
      <c r="BF9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9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93" t="e">
        <f>IF(Table9[[#This Row],[Team]]=I_TEAM,Table9[[#This Row],[Wickets]]*100-Table9[[#This Row],[Runs]],0)</f>
        <v>#REF!</v>
      </c>
      <c r="BI93">
        <f>Table9[[#This Row],[Wickets]]*100-Table9[[#This Row],[Runs]]</f>
        <v>138</v>
      </c>
      <c r="BJ93">
        <f ca="1">IFERROR(IF(MATCH(Table9[[#This Row],[Bowler]],OFFSET(AR94,0,0,BOWLROWS-ROW(AR93)-ROW(Table9[[#Headers],[BOWLER CUML WICKETS]])),0)&gt;0,0,SUMIF($AR$6:AR93,Table9[[#This Row],[Bowler]],$AV$6:AV93)),SUMIF($AR$6:AR93,Table9[[#This Row],[Bowler]],$AV$6:AV93))</f>
        <v>0</v>
      </c>
      <c r="BK93">
        <f ca="1">IFERROR(IF(MATCH(Table9[[#This Row],[Bowler]],OFFSET(AR94,0,0,BOWLROWS-ROW(AR93)-ROW(Table9[[#Headers],[BOWLER CUML WICKETS]])),0)&gt;0,0,SUMIF($AR$6:AR93,Table9[[#This Row],[Bowler]],$AU$6:AU93)),SUMIF($AR$6:AR93,Table9[[#This Row],[Bowler]],$AU$6:AU93))</f>
        <v>0</v>
      </c>
      <c r="BL93">
        <f ca="1">Table9[[#This Row],[BOWLER CUML WICKETS]]*100-Table9[[#This Row],[BOWLER CUML RUNS]]</f>
        <v>0</v>
      </c>
    </row>
    <row r="94" spans="1:64" x14ac:dyDescent="0.3">
      <c r="A94">
        <v>28</v>
      </c>
      <c r="B94" t="s">
        <v>170</v>
      </c>
      <c r="C94" t="s">
        <v>267</v>
      </c>
      <c r="D94" t="s">
        <v>294</v>
      </c>
      <c r="E94">
        <v>2</v>
      </c>
      <c r="F94">
        <v>14</v>
      </c>
      <c r="G94">
        <v>7</v>
      </c>
      <c r="H94">
        <v>0</v>
      </c>
      <c r="I94">
        <v>0</v>
      </c>
      <c r="J94">
        <v>28.57</v>
      </c>
      <c r="K94">
        <v>3</v>
      </c>
      <c r="L94" t="str">
        <f>CONCATENATE(T_BATTINGDATA[[#This Row],[Match]],T_BATTINGDATA[[#This Row],[Team]],T_BATTINGDATA[[#This Row],[Bat Number]])</f>
        <v>28West Indies3</v>
      </c>
      <c r="M94" t="str">
        <f>IFERROR(IF(AND(T_BATTINGDATA[[#This Row],[Team]]=I_TEAM,IFERROR(IF(MATCH(T_BATTINGDATA[[#This Row],[BATSMAN NAME]],$O$5:O93,0)&gt;0,0),1)),1,0),"")</f>
        <v/>
      </c>
      <c r="N94" t="e">
        <f>IF(T_BATTINGDATA[[#This Row],[Team]]=I_TEAM,T_BATTINGDATA[[#This Row],[R]],0)</f>
        <v>#REF!</v>
      </c>
      <c r="O94" t="str">
        <f>LEFT(T_BATTINGDATA[[#This Row],[Batsman]],IFERROR(FIND("*",T_BATTINGDATA[[#This Row],[Batsman]])-1,IFERROR(FIND("†",T_BATTINGDATA[[#This Row],[Batsman]])-1,LEN(T_BATTINGDATA[[#This Row],[Batsman]]))))</f>
        <v>MN Samuels</v>
      </c>
      <c r="P94">
        <f ca="1">IFERROR(IF(MATCH(T_BATTINGDATA[[#This Row],[BATSMAN NAME]],OFFSET(O95,0,0,BATROWS-ROW(O94)-ROW(T_BATTINGDATA[[#Headers],[BATSMAN NAME]])),0)&gt;0,0,SUMIF($O$6:O94,T_BATTINGDATA[[#This Row],[BATSMAN NAME]],$E$6:E94)),SUMIF($O$6:O94,T_BATTINGDATA[[#This Row],[BATSMAN NAME]],$E$6:E94))</f>
        <v>0</v>
      </c>
      <c r="R94">
        <v>38</v>
      </c>
      <c r="S94" t="s">
        <v>185</v>
      </c>
      <c r="T94">
        <v>6</v>
      </c>
      <c r="U94">
        <v>6</v>
      </c>
      <c r="V94">
        <v>0</v>
      </c>
      <c r="W94">
        <v>0</v>
      </c>
      <c r="X94">
        <v>12</v>
      </c>
      <c r="Y94" t="str">
        <f>CONCATENATE(T_EXTRAS[[#This Row],[Match Number]],T_EXTRAS[[#This Row],[Team Batting]])</f>
        <v>38Afghanistan</v>
      </c>
      <c r="AA94">
        <v>45</v>
      </c>
      <c r="AB94" t="s">
        <v>153</v>
      </c>
      <c r="AC94">
        <v>10</v>
      </c>
      <c r="AD94">
        <v>213</v>
      </c>
      <c r="AE94">
        <v>4.2699999999999996</v>
      </c>
      <c r="AF94">
        <v>49.5</v>
      </c>
      <c r="AG94" t="str">
        <f>T_MTOTAL[[#This Row],[Match Number]]&amp;T_MTOTAL[[#This Row],[Team]]</f>
        <v>45Pakistan</v>
      </c>
      <c r="AH94">
        <v>1</v>
      </c>
      <c r="AI94" t="str">
        <f>T_MTOTAL[[#This Row],[Match Number]]&amp;" "&amp;T_MTOTAL[[#This Row],[ORDER]]</f>
        <v>45 1</v>
      </c>
      <c r="AJ94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AUSTRALIA</v>
      </c>
      <c r="AK9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9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94">
        <f>(LEFT(T_MTOTAL[[#This Row],[Overs]],IFERROR(FIND(".",T_MTOTAL[[#This Row],[Overs]])-1,LEN(T_MTOTAL[[#This Row],[Overs]])))*6) + IFERROR(IF(FIND(".",T_MTOTAL[[#This Row],[Overs]])+1&gt;0,RIGHT(T_MTOTAL[[#This Row],[Overs]],1),0),0)</f>
        <v>299</v>
      </c>
      <c r="AN94">
        <f>IFERROR(IF(MATCH(T_MTOTAL[[#This Row],[ORDER LINK]],T_DL[link],0)&gt;0,INDEX(T_DL[d/l score],MATCH(T_MTOTAL[[#This Row],[ORDER LINK]],T_DL[link],0)),""),T_MTOTAL[[#This Row],[Total]])</f>
        <v>213</v>
      </c>
      <c r="AP94">
        <v>1</v>
      </c>
      <c r="AQ94" t="s">
        <v>145</v>
      </c>
      <c r="AR94" t="s">
        <v>295</v>
      </c>
      <c r="AS94">
        <v>2</v>
      </c>
      <c r="AT94">
        <v>0</v>
      </c>
      <c r="AU94">
        <v>5</v>
      </c>
      <c r="AV94">
        <v>2</v>
      </c>
      <c r="AW94">
        <v>2.5</v>
      </c>
      <c r="AX94">
        <v>7</v>
      </c>
      <c r="AY94">
        <v>0</v>
      </c>
      <c r="AZ94">
        <v>0</v>
      </c>
      <c r="BC94">
        <v>7</v>
      </c>
      <c r="BD94" t="str">
        <f>CONCATENATE(Table9[[#This Row],[Match Number]],Table9[[#This Row],[Team]],Table9[[#This Row],[BOWL NUM]])</f>
        <v>1Sri Lanka7</v>
      </c>
      <c r="BE94" t="str">
        <f>IFERROR(IF(AND(Table9[[#This Row],[Team]]=I_TEAM,IFERROR(IF(MATCH(Table9[[#This Row],[Bowler]],$AR$5:AR93,0)&gt;0,0),1)),1,0),"")</f>
        <v/>
      </c>
      <c r="BF94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9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94" t="e">
        <f>IF(Table9[[#This Row],[Team]]=I_TEAM,Table9[[#This Row],[Wickets]]*100-Table9[[#This Row],[Runs]],0)</f>
        <v>#REF!</v>
      </c>
      <c r="BI94">
        <f>Table9[[#This Row],[Wickets]]*100-Table9[[#This Row],[Runs]]</f>
        <v>195</v>
      </c>
      <c r="BJ94">
        <f ca="1">IFERROR(IF(MATCH(Table9[[#This Row],[Bowler]],OFFSET(AR95,0,0,BOWLROWS-ROW(AR94)-ROW(Table9[[#Headers],[BOWLER CUML WICKETS]])),0)&gt;0,0,SUMIF($AR$6:AR94,Table9[[#This Row],[Bowler]],$AV$6:AV94)),SUMIF($AR$6:AR94,Table9[[#This Row],[Bowler]],$AV$6:AV94))</f>
        <v>0</v>
      </c>
      <c r="BK94">
        <f ca="1">IFERROR(IF(MATCH(Table9[[#This Row],[Bowler]],OFFSET(AR95,0,0,BOWLROWS-ROW(AR94)-ROW(Table9[[#Headers],[BOWLER CUML WICKETS]])),0)&gt;0,0,SUMIF($AR$6:AR94,Table9[[#This Row],[Bowler]],$AU$6:AU94)),SUMIF($AR$6:AR94,Table9[[#This Row],[Bowler]],$AU$6:AU94))</f>
        <v>0</v>
      </c>
      <c r="BL94">
        <f ca="1">Table9[[#This Row],[BOWLER CUML WICKETS]]*100-Table9[[#This Row],[BOWLER CUML RUNS]]</f>
        <v>0</v>
      </c>
    </row>
    <row r="95" spans="1:64" x14ac:dyDescent="0.3">
      <c r="A95">
        <v>28</v>
      </c>
      <c r="B95" t="s">
        <v>170</v>
      </c>
      <c r="C95" t="s">
        <v>296</v>
      </c>
      <c r="D95" t="s">
        <v>279</v>
      </c>
      <c r="E95">
        <v>21</v>
      </c>
      <c r="F95">
        <v>67</v>
      </c>
      <c r="G95">
        <v>43</v>
      </c>
      <c r="H95">
        <v>3</v>
      </c>
      <c r="I95">
        <v>0</v>
      </c>
      <c r="J95">
        <v>48.83</v>
      </c>
      <c r="K95">
        <v>4</v>
      </c>
      <c r="L95" t="str">
        <f>CONCATENATE(T_BATTINGDATA[[#This Row],[Match]],T_BATTINGDATA[[#This Row],[Team]],T_BATTINGDATA[[#This Row],[Bat Number]])</f>
        <v>28West Indies4</v>
      </c>
      <c r="M95" t="str">
        <f>IFERROR(IF(AND(T_BATTINGDATA[[#This Row],[Team]]=I_TEAM,IFERROR(IF(MATCH(T_BATTINGDATA[[#This Row],[BATSMAN NAME]],$O$5:O94,0)&gt;0,0),1)),1,0),"")</f>
        <v/>
      </c>
      <c r="N95" t="e">
        <f>IF(T_BATTINGDATA[[#This Row],[Team]]=I_TEAM,T_BATTINGDATA[[#This Row],[R]],0)</f>
        <v>#REF!</v>
      </c>
      <c r="O95" t="str">
        <f>LEFT(T_BATTINGDATA[[#This Row],[Batsman]],IFERROR(FIND("*",T_BATTINGDATA[[#This Row],[Batsman]])-1,IFERROR(FIND("†",T_BATTINGDATA[[#This Row],[Batsman]])-1,LEN(T_BATTINGDATA[[#This Row],[Batsman]]))))</f>
        <v>JL Carter</v>
      </c>
      <c r="P95">
        <f ca="1">IFERROR(IF(MATCH(T_BATTINGDATA[[#This Row],[BATSMAN NAME]],OFFSET(O96,0,0,BATROWS-ROW(O95)-ROW(T_BATTINGDATA[[#Headers],[BATSMAN NAME]])),0)&gt;0,0,SUMIF($O$6:O95,T_BATTINGDATA[[#This Row],[BATSMAN NAME]],$E$6:E95)),SUMIF($O$6:O95,T_BATTINGDATA[[#This Row],[BATSMAN NAME]],$E$6:E95))</f>
        <v>0</v>
      </c>
      <c r="R95">
        <v>38</v>
      </c>
      <c r="S95" t="s">
        <v>154</v>
      </c>
      <c r="T95">
        <v>3</v>
      </c>
      <c r="U95">
        <v>1</v>
      </c>
      <c r="V95">
        <v>0</v>
      </c>
      <c r="W95">
        <v>0</v>
      </c>
      <c r="X95">
        <v>4</v>
      </c>
      <c r="Y95" t="str">
        <f>CONCATENATE(T_EXTRAS[[#This Row],[Match Number]],T_EXTRAS[[#This Row],[Team Batting]])</f>
        <v>38England</v>
      </c>
      <c r="AA95">
        <v>45</v>
      </c>
      <c r="AB95" t="s">
        <v>149</v>
      </c>
      <c r="AC95">
        <v>4</v>
      </c>
      <c r="AD95">
        <v>216</v>
      </c>
      <c r="AE95">
        <v>6.38</v>
      </c>
      <c r="AF95">
        <v>33.5</v>
      </c>
      <c r="AG95" t="str">
        <f>T_MTOTAL[[#This Row],[Match Number]]&amp;T_MTOTAL[[#This Row],[Team]]</f>
        <v>45Australia</v>
      </c>
      <c r="AH95">
        <v>2</v>
      </c>
      <c r="AI95" t="str">
        <f>T_MTOTAL[[#This Row],[Match Number]]&amp;" "&amp;T_MTOTAL[[#This Row],[ORDER]]</f>
        <v>45 2</v>
      </c>
      <c r="AJ95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PAKISTAN</v>
      </c>
      <c r="AK9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33.5</v>
      </c>
      <c r="AL9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203</v>
      </c>
      <c r="AM95">
        <f>(LEFT(T_MTOTAL[[#This Row],[Overs]],IFERROR(FIND(".",T_MTOTAL[[#This Row],[Overs]])-1,LEN(T_MTOTAL[[#This Row],[Overs]])))*6) + IFERROR(IF(FIND(".",T_MTOTAL[[#This Row],[Overs]])+1&gt;0,RIGHT(T_MTOTAL[[#This Row],[Overs]],1),0),0)</f>
        <v>203</v>
      </c>
      <c r="AN95">
        <f>IFERROR(IF(MATCH(T_MTOTAL[[#This Row],[ORDER LINK]],T_DL[link],0)&gt;0,INDEX(T_DL[d/l score],MATCH(T_MTOTAL[[#This Row],[ORDER LINK]],T_DL[link],0)),""),T_MTOTAL[[#This Row],[Total]])</f>
        <v>216</v>
      </c>
      <c r="AP95">
        <v>1</v>
      </c>
      <c r="AQ95" t="s">
        <v>140</v>
      </c>
      <c r="AR95" t="s">
        <v>297</v>
      </c>
      <c r="AS95">
        <v>10</v>
      </c>
      <c r="AT95">
        <v>1</v>
      </c>
      <c r="AU95">
        <v>43</v>
      </c>
      <c r="AV95">
        <v>2</v>
      </c>
      <c r="AW95">
        <v>4.3</v>
      </c>
      <c r="AX95">
        <v>37</v>
      </c>
      <c r="AY95">
        <v>5</v>
      </c>
      <c r="AZ95">
        <v>0</v>
      </c>
      <c r="BA95">
        <v>2</v>
      </c>
      <c r="BC95">
        <v>1</v>
      </c>
      <c r="BD95" t="str">
        <f>CONCATENATE(Table9[[#This Row],[Match Number]],Table9[[#This Row],[Team]],Table9[[#This Row],[BOWL NUM]])</f>
        <v>1New Zealand1</v>
      </c>
      <c r="BE95" t="str">
        <f>IFERROR(IF(AND(Table9[[#This Row],[Team]]=I_TEAM,IFERROR(IF(MATCH(Table9[[#This Row],[Bowler]],$AR$5:AR94,0)&gt;0,0),1)),1,0),"")</f>
        <v/>
      </c>
      <c r="BF9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9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95" t="e">
        <f>IF(Table9[[#This Row],[Team]]=I_TEAM,Table9[[#This Row],[Wickets]]*100-Table9[[#This Row],[Runs]],0)</f>
        <v>#REF!</v>
      </c>
      <c r="BI95">
        <f>Table9[[#This Row],[Wickets]]*100-Table9[[#This Row],[Runs]]</f>
        <v>157</v>
      </c>
      <c r="BJ95">
        <f ca="1">IFERROR(IF(MATCH(Table9[[#This Row],[Bowler]],OFFSET(AR96,0,0,BOWLROWS-ROW(AR95)-ROW(Table9[[#Headers],[BOWLER CUML WICKETS]])),0)&gt;0,0,SUMIF($AR$6:AR95,Table9[[#This Row],[Bowler]],$AV$6:AV95)),SUMIF($AR$6:AR95,Table9[[#This Row],[Bowler]],$AV$6:AV95))</f>
        <v>0</v>
      </c>
      <c r="BK95">
        <f ca="1">IFERROR(IF(MATCH(Table9[[#This Row],[Bowler]],OFFSET(AR96,0,0,BOWLROWS-ROW(AR95)-ROW(Table9[[#Headers],[BOWLER CUML WICKETS]])),0)&gt;0,0,SUMIF($AR$6:AR95,Table9[[#This Row],[Bowler]],$AU$6:AU95)),SUMIF($AR$6:AR95,Table9[[#This Row],[Bowler]],$AU$6:AU95))</f>
        <v>0</v>
      </c>
      <c r="BL95">
        <f ca="1">Table9[[#This Row],[BOWLER CUML WICKETS]]*100-Table9[[#This Row],[BOWLER CUML RUNS]]</f>
        <v>0</v>
      </c>
    </row>
    <row r="96" spans="1:64" x14ac:dyDescent="0.3">
      <c r="A96">
        <v>28</v>
      </c>
      <c r="B96" t="s">
        <v>170</v>
      </c>
      <c r="C96" t="s">
        <v>298</v>
      </c>
      <c r="D96" t="s">
        <v>238</v>
      </c>
      <c r="E96">
        <v>0</v>
      </c>
      <c r="F96">
        <v>2</v>
      </c>
      <c r="G96">
        <v>1</v>
      </c>
      <c r="H96">
        <v>0</v>
      </c>
      <c r="I96">
        <v>0</v>
      </c>
      <c r="J96">
        <v>0</v>
      </c>
      <c r="K96">
        <v>5</v>
      </c>
      <c r="L96" t="str">
        <f>CONCATENATE(T_BATTINGDATA[[#This Row],[Match]],T_BATTINGDATA[[#This Row],[Team]],T_BATTINGDATA[[#This Row],[Bat Number]])</f>
        <v>28West Indies5</v>
      </c>
      <c r="M96" t="str">
        <f>IFERROR(IF(AND(T_BATTINGDATA[[#This Row],[Team]]=I_TEAM,IFERROR(IF(MATCH(T_BATTINGDATA[[#This Row],[BATSMAN NAME]],$O$5:O95,0)&gt;0,0),1)),1,0),"")</f>
        <v/>
      </c>
      <c r="N96" t="e">
        <f>IF(T_BATTINGDATA[[#This Row],[Team]]=I_TEAM,T_BATTINGDATA[[#This Row],[R]],0)</f>
        <v>#REF!</v>
      </c>
      <c r="O96" t="str">
        <f>LEFT(T_BATTINGDATA[[#This Row],[Batsman]],IFERROR(FIND("*",T_BATTINGDATA[[#This Row],[Batsman]])-1,IFERROR(FIND("†",T_BATTINGDATA[[#This Row],[Batsman]])-1,LEN(T_BATTINGDATA[[#This Row],[Batsman]]))))</f>
        <v>D Ramdin</v>
      </c>
      <c r="P96">
        <f ca="1">IFERROR(IF(MATCH(T_BATTINGDATA[[#This Row],[BATSMAN NAME]],OFFSET(O97,0,0,BATROWS-ROW(O96)-ROW(T_BATTINGDATA[[#Headers],[BATSMAN NAME]])),0)&gt;0,0,SUMIF($O$6:O96,T_BATTINGDATA[[#This Row],[BATSMAN NAME]],$E$6:E96)),SUMIF($O$6:O96,T_BATTINGDATA[[#This Row],[BATSMAN NAME]],$E$6:E96))</f>
        <v>0</v>
      </c>
      <c r="R96">
        <v>40</v>
      </c>
      <c r="S96" t="s">
        <v>176</v>
      </c>
      <c r="T96">
        <v>1</v>
      </c>
      <c r="U96">
        <v>8</v>
      </c>
      <c r="V96">
        <v>0</v>
      </c>
      <c r="W96">
        <v>0</v>
      </c>
      <c r="X96">
        <v>9</v>
      </c>
      <c r="Y96" t="str">
        <f>CONCATENATE(T_EXTRAS[[#This Row],[Match Number]],T_EXTRAS[[#This Row],[Team Batting]])</f>
        <v>40Scotland</v>
      </c>
      <c r="AA96">
        <v>46</v>
      </c>
      <c r="AB96" t="s">
        <v>140</v>
      </c>
      <c r="AC96">
        <v>6</v>
      </c>
      <c r="AD96">
        <v>393</v>
      </c>
      <c r="AE96">
        <v>7.86</v>
      </c>
      <c r="AF96">
        <v>50</v>
      </c>
      <c r="AG96" t="str">
        <f>T_MTOTAL[[#This Row],[Match Number]]&amp;T_MTOTAL[[#This Row],[Team]]</f>
        <v>46New Zealand</v>
      </c>
      <c r="AH96">
        <v>1</v>
      </c>
      <c r="AI96" t="str">
        <f>T_MTOTAL[[#This Row],[Match Number]]&amp;" "&amp;T_MTOTAL[[#This Row],[ORDER]]</f>
        <v>46 1</v>
      </c>
      <c r="AJ96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WEST INDIES</v>
      </c>
      <c r="AK9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9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96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96">
        <f>IFERROR(IF(MATCH(T_MTOTAL[[#This Row],[ORDER LINK]],T_DL[link],0)&gt;0,INDEX(T_DL[d/l score],MATCH(T_MTOTAL[[#This Row],[ORDER LINK]],T_DL[link],0)),""),T_MTOTAL[[#This Row],[Total]])</f>
        <v>393</v>
      </c>
      <c r="AP96">
        <v>1</v>
      </c>
      <c r="AQ96" t="s">
        <v>140</v>
      </c>
      <c r="AR96" t="s">
        <v>299</v>
      </c>
      <c r="AS96">
        <v>10</v>
      </c>
      <c r="AT96">
        <v>0</v>
      </c>
      <c r="AU96">
        <v>64</v>
      </c>
      <c r="AV96">
        <v>2</v>
      </c>
      <c r="AW96">
        <v>6.4</v>
      </c>
      <c r="AX96">
        <v>27</v>
      </c>
      <c r="AY96">
        <v>9</v>
      </c>
      <c r="AZ96">
        <v>0</v>
      </c>
      <c r="BC96">
        <v>2</v>
      </c>
      <c r="BD96" t="str">
        <f>CONCATENATE(Table9[[#This Row],[Match Number]],Table9[[#This Row],[Team]],Table9[[#This Row],[BOWL NUM]])</f>
        <v>1New Zealand2</v>
      </c>
      <c r="BE96" t="str">
        <f>IFERROR(IF(AND(Table9[[#This Row],[Team]]=I_TEAM,IFERROR(IF(MATCH(Table9[[#This Row],[Bowler]],$AR$5:AR95,0)&gt;0,0),1)),1,0),"")</f>
        <v/>
      </c>
      <c r="BF9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9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96" t="e">
        <f>IF(Table9[[#This Row],[Team]]=I_TEAM,Table9[[#This Row],[Wickets]]*100-Table9[[#This Row],[Runs]],0)</f>
        <v>#REF!</v>
      </c>
      <c r="BI96">
        <f>Table9[[#This Row],[Wickets]]*100-Table9[[#This Row],[Runs]]</f>
        <v>136</v>
      </c>
      <c r="BJ96">
        <f ca="1">IFERROR(IF(MATCH(Table9[[#This Row],[Bowler]],OFFSET(AR97,0,0,BOWLROWS-ROW(AR96)-ROW(Table9[[#Headers],[BOWLER CUML WICKETS]])),0)&gt;0,0,SUMIF($AR$6:AR96,Table9[[#This Row],[Bowler]],$AV$6:AV96)),SUMIF($AR$6:AR96,Table9[[#This Row],[Bowler]],$AV$6:AV96))</f>
        <v>0</v>
      </c>
      <c r="BK96">
        <f ca="1">IFERROR(IF(MATCH(Table9[[#This Row],[Bowler]],OFFSET(AR97,0,0,BOWLROWS-ROW(AR96)-ROW(Table9[[#Headers],[BOWLER CUML WICKETS]])),0)&gt;0,0,SUMIF($AR$6:AR96,Table9[[#This Row],[Bowler]],$AU$6:AU96)),SUMIF($AR$6:AR96,Table9[[#This Row],[Bowler]],$AU$6:AU96))</f>
        <v>0</v>
      </c>
      <c r="BL96">
        <f ca="1">Table9[[#This Row],[BOWLER CUML WICKETS]]*100-Table9[[#This Row],[BOWLER CUML RUNS]]</f>
        <v>0</v>
      </c>
    </row>
    <row r="97" spans="1:64" x14ac:dyDescent="0.3">
      <c r="A97">
        <v>28</v>
      </c>
      <c r="B97" t="s">
        <v>170</v>
      </c>
      <c r="C97" t="s">
        <v>300</v>
      </c>
      <c r="D97" t="s">
        <v>220</v>
      </c>
      <c r="E97">
        <v>9</v>
      </c>
      <c r="F97">
        <v>39</v>
      </c>
      <c r="G97">
        <v>22</v>
      </c>
      <c r="H97">
        <v>0</v>
      </c>
      <c r="I97">
        <v>0</v>
      </c>
      <c r="J97">
        <v>40.9</v>
      </c>
      <c r="K97">
        <v>6</v>
      </c>
      <c r="L97" t="str">
        <f>CONCATENATE(T_BATTINGDATA[[#This Row],[Match]],T_BATTINGDATA[[#This Row],[Team]],T_BATTINGDATA[[#This Row],[Bat Number]])</f>
        <v>28West Indies6</v>
      </c>
      <c r="M97" t="str">
        <f>IFERROR(IF(AND(T_BATTINGDATA[[#This Row],[Team]]=I_TEAM,IFERROR(IF(MATCH(T_BATTINGDATA[[#This Row],[BATSMAN NAME]],$O$5:O96,0)&gt;0,0),1)),1,0),"")</f>
        <v/>
      </c>
      <c r="N97" t="e">
        <f>IF(T_BATTINGDATA[[#This Row],[Team]]=I_TEAM,T_BATTINGDATA[[#This Row],[R]],0)</f>
        <v>#REF!</v>
      </c>
      <c r="O97" t="str">
        <f>LEFT(T_BATTINGDATA[[#This Row],[Batsman]],IFERROR(FIND("*",T_BATTINGDATA[[#This Row],[Batsman]])-1,IFERROR(FIND("†",T_BATTINGDATA[[#This Row],[Batsman]])-1,LEN(T_BATTINGDATA[[#This Row],[Batsman]]))))</f>
        <v>LMP Simmons</v>
      </c>
      <c r="P97">
        <f ca="1">IFERROR(IF(MATCH(T_BATTINGDATA[[#This Row],[BATSMAN NAME]],OFFSET(O98,0,0,BATROWS-ROW(O97)-ROW(T_BATTINGDATA[[#Headers],[BATSMAN NAME]])),0)&gt;0,0,SUMIF($O$6:O97,T_BATTINGDATA[[#This Row],[BATSMAN NAME]],$E$6:E97)),SUMIF($O$6:O97,T_BATTINGDATA[[#This Row],[BATSMAN NAME]],$E$6:E97))</f>
        <v>0</v>
      </c>
      <c r="R97">
        <v>40</v>
      </c>
      <c r="S97" t="s">
        <v>149</v>
      </c>
      <c r="T97">
        <v>2</v>
      </c>
      <c r="U97">
        <v>3</v>
      </c>
      <c r="V97">
        <v>0</v>
      </c>
      <c r="W97">
        <v>0</v>
      </c>
      <c r="X97">
        <v>5</v>
      </c>
      <c r="Y97" t="str">
        <f>CONCATENATE(T_EXTRAS[[#This Row],[Match Number]],T_EXTRAS[[#This Row],[Team Batting]])</f>
        <v>40Australia</v>
      </c>
      <c r="AA97">
        <v>46</v>
      </c>
      <c r="AB97" t="s">
        <v>170</v>
      </c>
      <c r="AC97">
        <v>10</v>
      </c>
      <c r="AD97">
        <v>250</v>
      </c>
      <c r="AE97">
        <v>8.19</v>
      </c>
      <c r="AF97">
        <v>30.3</v>
      </c>
      <c r="AG97" t="str">
        <f>T_MTOTAL[[#This Row],[Match Number]]&amp;T_MTOTAL[[#This Row],[Team]]</f>
        <v>46West Indies</v>
      </c>
      <c r="AH97">
        <v>2</v>
      </c>
      <c r="AI97" t="str">
        <f>T_MTOTAL[[#This Row],[Match Number]]&amp;" "&amp;T_MTOTAL[[#This Row],[ORDER]]</f>
        <v>46 2</v>
      </c>
      <c r="AJ97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NEW ZEALAND</v>
      </c>
      <c r="AK9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9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97">
        <f>(LEFT(T_MTOTAL[[#This Row],[Overs]],IFERROR(FIND(".",T_MTOTAL[[#This Row],[Overs]])-1,LEN(T_MTOTAL[[#This Row],[Overs]])))*6) + IFERROR(IF(FIND(".",T_MTOTAL[[#This Row],[Overs]])+1&gt;0,RIGHT(T_MTOTAL[[#This Row],[Overs]],1),0),0)</f>
        <v>183</v>
      </c>
      <c r="AN97">
        <f>IFERROR(IF(MATCH(T_MTOTAL[[#This Row],[ORDER LINK]],T_DL[link],0)&gt;0,INDEX(T_DL[d/l score],MATCH(T_MTOTAL[[#This Row],[ORDER LINK]],T_DL[link],0)),""),T_MTOTAL[[#This Row],[Total]])</f>
        <v>250</v>
      </c>
      <c r="AP97">
        <v>1</v>
      </c>
      <c r="AQ97" t="s">
        <v>140</v>
      </c>
      <c r="AR97" t="s">
        <v>301</v>
      </c>
      <c r="AS97">
        <v>10</v>
      </c>
      <c r="AT97">
        <v>0</v>
      </c>
      <c r="AU97">
        <v>56</v>
      </c>
      <c r="AV97">
        <v>2</v>
      </c>
      <c r="AW97">
        <v>5.6</v>
      </c>
      <c r="AX97">
        <v>30</v>
      </c>
      <c r="AY97">
        <v>6</v>
      </c>
      <c r="AZ97">
        <v>0</v>
      </c>
      <c r="BA97">
        <v>3</v>
      </c>
      <c r="BB97">
        <v>1</v>
      </c>
      <c r="BC97">
        <v>3</v>
      </c>
      <c r="BD97" t="str">
        <f>CONCATENATE(Table9[[#This Row],[Match Number]],Table9[[#This Row],[Team]],Table9[[#This Row],[BOWL NUM]])</f>
        <v>1New Zealand3</v>
      </c>
      <c r="BE97" t="str">
        <f>IFERROR(IF(AND(Table9[[#This Row],[Team]]=I_TEAM,IFERROR(IF(MATCH(Table9[[#This Row],[Bowler]],$AR$5:AR96,0)&gt;0,0),1)),1,0),"")</f>
        <v/>
      </c>
      <c r="BF9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9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97" t="e">
        <f>IF(Table9[[#This Row],[Team]]=I_TEAM,Table9[[#This Row],[Wickets]]*100-Table9[[#This Row],[Runs]],0)</f>
        <v>#REF!</v>
      </c>
      <c r="BI97">
        <f>Table9[[#This Row],[Wickets]]*100-Table9[[#This Row],[Runs]]</f>
        <v>144</v>
      </c>
      <c r="BJ97">
        <f ca="1">IFERROR(IF(MATCH(Table9[[#This Row],[Bowler]],OFFSET(AR98,0,0,BOWLROWS-ROW(AR97)-ROW(Table9[[#Headers],[BOWLER CUML WICKETS]])),0)&gt;0,0,SUMIF($AR$6:AR97,Table9[[#This Row],[Bowler]],$AV$6:AV97)),SUMIF($AR$6:AR97,Table9[[#This Row],[Bowler]],$AV$6:AV97))</f>
        <v>0</v>
      </c>
      <c r="BK97">
        <f ca="1">IFERROR(IF(MATCH(Table9[[#This Row],[Bowler]],OFFSET(AR98,0,0,BOWLROWS-ROW(AR97)-ROW(Table9[[#Headers],[BOWLER CUML WICKETS]])),0)&gt;0,0,SUMIF($AR$6:AR97,Table9[[#This Row],[Bowler]],$AU$6:AU97)),SUMIF($AR$6:AR97,Table9[[#This Row],[Bowler]],$AU$6:AU97))</f>
        <v>0</v>
      </c>
      <c r="BL97">
        <f ca="1">Table9[[#This Row],[BOWLER CUML WICKETS]]*100-Table9[[#This Row],[BOWLER CUML RUNS]]</f>
        <v>0</v>
      </c>
    </row>
    <row r="98" spans="1:64" x14ac:dyDescent="0.3">
      <c r="A98">
        <v>28</v>
      </c>
      <c r="B98" t="s">
        <v>170</v>
      </c>
      <c r="C98" t="s">
        <v>302</v>
      </c>
      <c r="D98" t="s">
        <v>206</v>
      </c>
      <c r="E98">
        <v>26</v>
      </c>
      <c r="F98">
        <v>69</v>
      </c>
      <c r="G98">
        <v>55</v>
      </c>
      <c r="H98">
        <v>2</v>
      </c>
      <c r="I98">
        <v>0</v>
      </c>
      <c r="J98">
        <v>47.27</v>
      </c>
      <c r="K98">
        <v>7</v>
      </c>
      <c r="L98" t="str">
        <f>CONCATENATE(T_BATTINGDATA[[#This Row],[Match]],T_BATTINGDATA[[#This Row],[Team]],T_BATTINGDATA[[#This Row],[Bat Number]])</f>
        <v>28West Indies7</v>
      </c>
      <c r="M98" t="str">
        <f>IFERROR(IF(AND(T_BATTINGDATA[[#This Row],[Team]]=I_TEAM,IFERROR(IF(MATCH(T_BATTINGDATA[[#This Row],[BATSMAN NAME]],$O$5:O97,0)&gt;0,0),1)),1,0),"")</f>
        <v/>
      </c>
      <c r="N98" t="e">
        <f>IF(T_BATTINGDATA[[#This Row],[Team]]=I_TEAM,T_BATTINGDATA[[#This Row],[R]],0)</f>
        <v>#REF!</v>
      </c>
      <c r="O98" t="str">
        <f>LEFT(T_BATTINGDATA[[#This Row],[Batsman]],IFERROR(FIND("*",T_BATTINGDATA[[#This Row],[Batsman]])-1,IFERROR(FIND("†",T_BATTINGDATA[[#This Row],[Batsman]])-1,LEN(T_BATTINGDATA[[#This Row],[Batsman]]))))</f>
        <v>DJG Sammy</v>
      </c>
      <c r="P98">
        <f ca="1">IFERROR(IF(MATCH(T_BATTINGDATA[[#This Row],[BATSMAN NAME]],OFFSET(O99,0,0,BATROWS-ROW(O98)-ROW(T_BATTINGDATA[[#Headers],[BATSMAN NAME]])),0)&gt;0,0,SUMIF($O$6:O98,T_BATTINGDATA[[#This Row],[BATSMAN NAME]],$E$6:E98)),SUMIF($O$6:O98,T_BATTINGDATA[[#This Row],[BATSMAN NAME]],$E$6:E98))</f>
        <v>0</v>
      </c>
      <c r="R98">
        <v>41</v>
      </c>
      <c r="S98" t="s">
        <v>164</v>
      </c>
      <c r="T98">
        <v>4</v>
      </c>
      <c r="U98">
        <v>10</v>
      </c>
      <c r="V98">
        <v>0</v>
      </c>
      <c r="W98">
        <v>0</v>
      </c>
      <c r="X98">
        <v>14</v>
      </c>
      <c r="Y98" t="str">
        <f>CONCATENATE(T_EXTRAS[[#This Row],[Match Number]],T_EXTRAS[[#This Row],[Team Batting]])</f>
        <v>41UAE</v>
      </c>
      <c r="AA98">
        <v>47</v>
      </c>
      <c r="AB98" t="s">
        <v>141</v>
      </c>
      <c r="AC98">
        <v>5</v>
      </c>
      <c r="AD98">
        <v>281</v>
      </c>
      <c r="AE98">
        <v>6.53</v>
      </c>
      <c r="AF98">
        <v>43</v>
      </c>
      <c r="AG98" t="str">
        <f>T_MTOTAL[[#This Row],[Match Number]]&amp;T_MTOTAL[[#This Row],[Team]]</f>
        <v>47South Africa</v>
      </c>
      <c r="AH98">
        <v>1</v>
      </c>
      <c r="AI98" t="str">
        <f>T_MTOTAL[[#This Row],[Match Number]]&amp;" "&amp;T_MTOTAL[[#This Row],[ORDER]]</f>
        <v>47 1</v>
      </c>
      <c r="AJ98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NEW ZEALAND</v>
      </c>
      <c r="AK9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43</v>
      </c>
      <c r="AL9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258</v>
      </c>
      <c r="AM98">
        <f>(LEFT(T_MTOTAL[[#This Row],[Overs]],IFERROR(FIND(".",T_MTOTAL[[#This Row],[Overs]])-1,LEN(T_MTOTAL[[#This Row],[Overs]])))*6) + IFERROR(IF(FIND(".",T_MTOTAL[[#This Row],[Overs]])+1&gt;0,RIGHT(T_MTOTAL[[#This Row],[Overs]],1),0),0)</f>
        <v>258</v>
      </c>
      <c r="AN98">
        <f>IFERROR(IF(MATCH(T_MTOTAL[[#This Row],[ORDER LINK]],T_DL[link],0)&gt;0,INDEX(T_DL[d/l score],MATCH(T_MTOTAL[[#This Row],[ORDER LINK]],T_DL[link],0)),""),T_MTOTAL[[#This Row],[Total]])</f>
        <v>297</v>
      </c>
      <c r="AP98">
        <v>1</v>
      </c>
      <c r="AQ98" t="s">
        <v>140</v>
      </c>
      <c r="AR98" t="s">
        <v>303</v>
      </c>
      <c r="AS98">
        <v>10</v>
      </c>
      <c r="AT98">
        <v>0</v>
      </c>
      <c r="AU98">
        <v>34</v>
      </c>
      <c r="AV98">
        <v>2</v>
      </c>
      <c r="AW98">
        <v>3.4</v>
      </c>
      <c r="AX98">
        <v>33</v>
      </c>
      <c r="AY98">
        <v>1</v>
      </c>
      <c r="AZ98">
        <v>0</v>
      </c>
      <c r="BA98">
        <v>2</v>
      </c>
      <c r="BC98">
        <v>4</v>
      </c>
      <c r="BD98" t="str">
        <f>CONCATENATE(Table9[[#This Row],[Match Number]],Table9[[#This Row],[Team]],Table9[[#This Row],[BOWL NUM]])</f>
        <v>1New Zealand4</v>
      </c>
      <c r="BE98" t="str">
        <f>IFERROR(IF(AND(Table9[[#This Row],[Team]]=I_TEAM,IFERROR(IF(MATCH(Table9[[#This Row],[Bowler]],$AR$5:AR97,0)&gt;0,0),1)),1,0),"")</f>
        <v/>
      </c>
      <c r="BF9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9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98" t="e">
        <f>IF(Table9[[#This Row],[Team]]=I_TEAM,Table9[[#This Row],[Wickets]]*100-Table9[[#This Row],[Runs]],0)</f>
        <v>#REF!</v>
      </c>
      <c r="BI98">
        <f>Table9[[#This Row],[Wickets]]*100-Table9[[#This Row],[Runs]]</f>
        <v>166</v>
      </c>
      <c r="BJ98">
        <f ca="1">IFERROR(IF(MATCH(Table9[[#This Row],[Bowler]],OFFSET(AR99,0,0,BOWLROWS-ROW(AR98)-ROW(Table9[[#Headers],[BOWLER CUML WICKETS]])),0)&gt;0,0,SUMIF($AR$6:AR98,Table9[[#This Row],[Bowler]],$AV$6:AV98)),SUMIF($AR$6:AR98,Table9[[#This Row],[Bowler]],$AV$6:AV98))</f>
        <v>0</v>
      </c>
      <c r="BK98">
        <f ca="1">IFERROR(IF(MATCH(Table9[[#This Row],[Bowler]],OFFSET(AR99,0,0,BOWLROWS-ROW(AR98)-ROW(Table9[[#Headers],[BOWLER CUML WICKETS]])),0)&gt;0,0,SUMIF($AR$6:AR98,Table9[[#This Row],[Bowler]],$AU$6:AU98)),SUMIF($AR$6:AR98,Table9[[#This Row],[Bowler]],$AU$6:AU98))</f>
        <v>0</v>
      </c>
      <c r="BL98">
        <f ca="1">Table9[[#This Row],[BOWLER CUML WICKETS]]*100-Table9[[#This Row],[BOWLER CUML RUNS]]</f>
        <v>0</v>
      </c>
    </row>
    <row r="99" spans="1:64" x14ac:dyDescent="0.3">
      <c r="A99">
        <v>28</v>
      </c>
      <c r="B99" t="s">
        <v>170</v>
      </c>
      <c r="C99" t="s">
        <v>264</v>
      </c>
      <c r="D99" t="s">
        <v>304</v>
      </c>
      <c r="E99">
        <v>8</v>
      </c>
      <c r="F99">
        <v>13</v>
      </c>
      <c r="G99">
        <v>8</v>
      </c>
      <c r="H99">
        <v>0</v>
      </c>
      <c r="I99">
        <v>1</v>
      </c>
      <c r="J99">
        <v>100</v>
      </c>
      <c r="K99">
        <v>8</v>
      </c>
      <c r="L99" t="str">
        <f>CONCATENATE(T_BATTINGDATA[[#This Row],[Match]],T_BATTINGDATA[[#This Row],[Team]],T_BATTINGDATA[[#This Row],[Bat Number]])</f>
        <v>28West Indies8</v>
      </c>
      <c r="M99" t="str">
        <f>IFERROR(IF(AND(T_BATTINGDATA[[#This Row],[Team]]=I_TEAM,IFERROR(IF(MATCH(T_BATTINGDATA[[#This Row],[BATSMAN NAME]],$O$5:O98,0)&gt;0,0),1)),1,0),"")</f>
        <v/>
      </c>
      <c r="N99" t="e">
        <f>IF(T_BATTINGDATA[[#This Row],[Team]]=I_TEAM,T_BATTINGDATA[[#This Row],[R]],0)</f>
        <v>#REF!</v>
      </c>
      <c r="O99" t="str">
        <f>LEFT(T_BATTINGDATA[[#This Row],[Batsman]],IFERROR(FIND("*",T_BATTINGDATA[[#This Row],[Batsman]])-1,IFERROR(FIND("†",T_BATTINGDATA[[#This Row],[Batsman]])-1,LEN(T_BATTINGDATA[[#This Row],[Batsman]]))))</f>
        <v>AD Russell</v>
      </c>
      <c r="P99">
        <f ca="1">IFERROR(IF(MATCH(T_BATTINGDATA[[#This Row],[BATSMAN NAME]],OFFSET(O100,0,0,BATROWS-ROW(O99)-ROW(T_BATTINGDATA[[#Headers],[BATSMAN NAME]])),0)&gt;0,0,SUMIF($O$6:O99,T_BATTINGDATA[[#This Row],[BATSMAN NAME]],$E$6:E99)),SUMIF($O$6:O99,T_BATTINGDATA[[#This Row],[BATSMAN NAME]],$E$6:E99))</f>
        <v>0</v>
      </c>
      <c r="R99">
        <v>41</v>
      </c>
      <c r="S99" t="s">
        <v>170</v>
      </c>
      <c r="T99">
        <v>4</v>
      </c>
      <c r="U99">
        <v>3</v>
      </c>
      <c r="V99">
        <v>0</v>
      </c>
      <c r="W99">
        <v>0</v>
      </c>
      <c r="X99">
        <v>7</v>
      </c>
      <c r="Y99" t="str">
        <f>CONCATENATE(T_EXTRAS[[#This Row],[Match Number]],T_EXTRAS[[#This Row],[Team Batting]])</f>
        <v>41West Indies</v>
      </c>
      <c r="AA99">
        <v>47</v>
      </c>
      <c r="AB99" t="s">
        <v>140</v>
      </c>
      <c r="AC99">
        <v>6</v>
      </c>
      <c r="AD99">
        <v>299</v>
      </c>
      <c r="AE99">
        <v>6.98</v>
      </c>
      <c r="AF99">
        <v>42.5</v>
      </c>
      <c r="AG99" t="str">
        <f>T_MTOTAL[[#This Row],[Match Number]]&amp;T_MTOTAL[[#This Row],[Team]]</f>
        <v>47New Zealand</v>
      </c>
      <c r="AH99">
        <v>2</v>
      </c>
      <c r="AI99" t="str">
        <f>T_MTOTAL[[#This Row],[Match Number]]&amp;" "&amp;T_MTOTAL[[#This Row],[ORDER]]</f>
        <v>47 2</v>
      </c>
      <c r="AJ99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SOUTH AFRICA</v>
      </c>
      <c r="AK9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43</v>
      </c>
      <c r="AL9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258</v>
      </c>
      <c r="AM99">
        <f>(LEFT(T_MTOTAL[[#This Row],[Overs]],IFERROR(FIND(".",T_MTOTAL[[#This Row],[Overs]])-1,LEN(T_MTOTAL[[#This Row],[Overs]])))*6) + IFERROR(IF(FIND(".",T_MTOTAL[[#This Row],[Overs]])+1&gt;0,RIGHT(T_MTOTAL[[#This Row],[Overs]],1),0),0)</f>
        <v>257</v>
      </c>
      <c r="AN99">
        <f>IFERROR(IF(MATCH(T_MTOTAL[[#This Row],[ORDER LINK]],T_DL[link],0)&gt;0,INDEX(T_DL[d/l score],MATCH(T_MTOTAL[[#This Row],[ORDER LINK]],T_DL[link],0)),""),T_MTOTAL[[#This Row],[Total]])</f>
        <v>299</v>
      </c>
      <c r="AP99">
        <v>1</v>
      </c>
      <c r="AQ99" t="s">
        <v>140</v>
      </c>
      <c r="AR99" t="s">
        <v>305</v>
      </c>
      <c r="AS99">
        <v>2</v>
      </c>
      <c r="AT99">
        <v>0</v>
      </c>
      <c r="AU99">
        <v>11</v>
      </c>
      <c r="AV99">
        <v>0</v>
      </c>
      <c r="AW99">
        <v>5.5</v>
      </c>
      <c r="AX99">
        <v>4</v>
      </c>
      <c r="AY99">
        <v>1</v>
      </c>
      <c r="AZ99">
        <v>0</v>
      </c>
      <c r="BC99">
        <v>5</v>
      </c>
      <c r="BD99" t="str">
        <f>CONCATENATE(Table9[[#This Row],[Match Number]],Table9[[#This Row],[Team]],Table9[[#This Row],[BOWL NUM]])</f>
        <v>1New Zealand5</v>
      </c>
      <c r="BE99" t="str">
        <f>IFERROR(IF(AND(Table9[[#This Row],[Team]]=I_TEAM,IFERROR(IF(MATCH(Table9[[#This Row],[Bowler]],$AR$5:AR98,0)&gt;0,0),1)),1,0),"")</f>
        <v/>
      </c>
      <c r="BF99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9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99" t="e">
        <f>IF(Table9[[#This Row],[Team]]=I_TEAM,Table9[[#This Row],[Wickets]]*100-Table9[[#This Row],[Runs]],0)</f>
        <v>#REF!</v>
      </c>
      <c r="BI99">
        <f>Table9[[#This Row],[Wickets]]*100-Table9[[#This Row],[Runs]]</f>
        <v>-11</v>
      </c>
      <c r="BJ99">
        <f ca="1">IFERROR(IF(MATCH(Table9[[#This Row],[Bowler]],OFFSET(AR100,0,0,BOWLROWS-ROW(AR99)-ROW(Table9[[#Headers],[BOWLER CUML WICKETS]])),0)&gt;0,0,SUMIF($AR$6:AR99,Table9[[#This Row],[Bowler]],$AV$6:AV99)),SUMIF($AR$6:AR99,Table9[[#This Row],[Bowler]],$AV$6:AV99))</f>
        <v>0</v>
      </c>
      <c r="BK99">
        <f ca="1">IFERROR(IF(MATCH(Table9[[#This Row],[Bowler]],OFFSET(AR100,0,0,BOWLROWS-ROW(AR99)-ROW(Table9[[#Headers],[BOWLER CUML WICKETS]])),0)&gt;0,0,SUMIF($AR$6:AR99,Table9[[#This Row],[Bowler]],$AU$6:AU99)),SUMIF($AR$6:AR99,Table9[[#This Row],[Bowler]],$AU$6:AU99))</f>
        <v>0</v>
      </c>
      <c r="BL99">
        <f ca="1">Table9[[#This Row],[BOWLER CUML WICKETS]]*100-Table9[[#This Row],[BOWLER CUML RUNS]]</f>
        <v>0</v>
      </c>
    </row>
    <row r="100" spans="1:64" x14ac:dyDescent="0.3">
      <c r="A100">
        <v>28</v>
      </c>
      <c r="B100" t="s">
        <v>170</v>
      </c>
      <c r="C100" t="s">
        <v>306</v>
      </c>
      <c r="D100" t="s">
        <v>304</v>
      </c>
      <c r="E100">
        <v>57</v>
      </c>
      <c r="F100">
        <v>79</v>
      </c>
      <c r="G100">
        <v>64</v>
      </c>
      <c r="H100">
        <v>4</v>
      </c>
      <c r="I100">
        <v>3</v>
      </c>
      <c r="J100">
        <v>89.06</v>
      </c>
      <c r="K100">
        <v>9</v>
      </c>
      <c r="L100" t="str">
        <f>CONCATENATE(T_BATTINGDATA[[#This Row],[Match]],T_BATTINGDATA[[#This Row],[Team]],T_BATTINGDATA[[#This Row],[Bat Number]])</f>
        <v>28West Indies9</v>
      </c>
      <c r="M100" t="str">
        <f>IFERROR(IF(AND(T_BATTINGDATA[[#This Row],[Team]]=I_TEAM,IFERROR(IF(MATCH(T_BATTINGDATA[[#This Row],[BATSMAN NAME]],$O$5:O99,0)&gt;0,0),1)),1,0),"")</f>
        <v/>
      </c>
      <c r="N100" t="e">
        <f>IF(T_BATTINGDATA[[#This Row],[Team]]=I_TEAM,T_BATTINGDATA[[#This Row],[R]],0)</f>
        <v>#REF!</v>
      </c>
      <c r="O100" t="str">
        <f>LEFT(T_BATTINGDATA[[#This Row],[Batsman]],IFERROR(FIND("*",T_BATTINGDATA[[#This Row],[Batsman]])-1,IFERROR(FIND("†",T_BATTINGDATA[[#This Row],[Batsman]])-1,LEN(T_BATTINGDATA[[#This Row],[Batsman]]))))</f>
        <v>JO Holder</v>
      </c>
      <c r="P100">
        <f ca="1">IFERROR(IF(MATCH(T_BATTINGDATA[[#This Row],[BATSMAN NAME]],OFFSET(O101,0,0,BATROWS-ROW(O100)-ROW(T_BATTINGDATA[[#Headers],[BATSMAN NAME]])),0)&gt;0,0,SUMIF($O$6:O100,T_BATTINGDATA[[#This Row],[BATSMAN NAME]],$E$6:E100)),SUMIF($O$6:O100,T_BATTINGDATA[[#This Row],[BATSMAN NAME]],$E$6:E100))</f>
        <v>0</v>
      </c>
      <c r="R100">
        <v>42</v>
      </c>
      <c r="S100" t="s">
        <v>169</v>
      </c>
      <c r="T100">
        <v>2</v>
      </c>
      <c r="U100">
        <v>10</v>
      </c>
      <c r="V100">
        <v>0</v>
      </c>
      <c r="W100">
        <v>0</v>
      </c>
      <c r="X100">
        <v>12</v>
      </c>
      <c r="Y100" t="str">
        <f>CONCATENATE(T_EXTRAS[[#This Row],[Match Number]],T_EXTRAS[[#This Row],[Team Batting]])</f>
        <v>42Ireland</v>
      </c>
      <c r="AA100">
        <v>48</v>
      </c>
      <c r="AB100" t="s">
        <v>149</v>
      </c>
      <c r="AC100">
        <v>7</v>
      </c>
      <c r="AD100">
        <v>328</v>
      </c>
      <c r="AE100">
        <v>6.56</v>
      </c>
      <c r="AF100">
        <v>50</v>
      </c>
      <c r="AG100" t="str">
        <f>T_MTOTAL[[#This Row],[Match Number]]&amp;T_MTOTAL[[#This Row],[Team]]</f>
        <v>48Australia</v>
      </c>
      <c r="AH100">
        <v>1</v>
      </c>
      <c r="AI100" t="str">
        <f>T_MTOTAL[[#This Row],[Match Number]]&amp;" "&amp;T_MTOTAL[[#This Row],[ORDER]]</f>
        <v>48 1</v>
      </c>
      <c r="AJ100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INDIA</v>
      </c>
      <c r="AK10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0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00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100">
        <f>IFERROR(IF(MATCH(T_MTOTAL[[#This Row],[ORDER LINK]],T_DL[link],0)&gt;0,INDEX(T_DL[d/l score],MATCH(T_MTOTAL[[#This Row],[ORDER LINK]],T_DL[link],0)),""),T_MTOTAL[[#This Row],[Total]])</f>
        <v>328</v>
      </c>
      <c r="AP100">
        <v>1</v>
      </c>
      <c r="AQ100" t="s">
        <v>140</v>
      </c>
      <c r="AR100" t="s">
        <v>307</v>
      </c>
      <c r="AS100">
        <v>1</v>
      </c>
      <c r="AT100">
        <v>0</v>
      </c>
      <c r="AU100">
        <v>7</v>
      </c>
      <c r="AV100">
        <v>0</v>
      </c>
      <c r="AW100">
        <v>7</v>
      </c>
      <c r="AX100">
        <v>0</v>
      </c>
      <c r="AY100">
        <v>0</v>
      </c>
      <c r="AZ100">
        <v>0</v>
      </c>
      <c r="BC100">
        <v>6</v>
      </c>
      <c r="BD100" t="str">
        <f>CONCATENATE(Table9[[#This Row],[Match Number]],Table9[[#This Row],[Team]],Table9[[#This Row],[BOWL NUM]])</f>
        <v>1New Zealand6</v>
      </c>
      <c r="BE100" t="str">
        <f>IFERROR(IF(AND(Table9[[#This Row],[Team]]=I_TEAM,IFERROR(IF(MATCH(Table9[[#This Row],[Bowler]],$AR$5:AR99,0)&gt;0,0),1)),1,0),"")</f>
        <v/>
      </c>
      <c r="BF100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10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100" t="e">
        <f>IF(Table9[[#This Row],[Team]]=I_TEAM,Table9[[#This Row],[Wickets]]*100-Table9[[#This Row],[Runs]],0)</f>
        <v>#REF!</v>
      </c>
      <c r="BI100">
        <f>Table9[[#This Row],[Wickets]]*100-Table9[[#This Row],[Runs]]</f>
        <v>-7</v>
      </c>
      <c r="BJ100">
        <f ca="1">IFERROR(IF(MATCH(Table9[[#This Row],[Bowler]],OFFSET(AR101,0,0,BOWLROWS-ROW(AR100)-ROW(Table9[[#Headers],[BOWLER CUML WICKETS]])),0)&gt;0,0,SUMIF($AR$6:AR100,Table9[[#This Row],[Bowler]],$AV$6:AV100)),SUMIF($AR$6:AR100,Table9[[#This Row],[Bowler]],$AV$6:AV100))</f>
        <v>0</v>
      </c>
      <c r="BK100">
        <f ca="1">IFERROR(IF(MATCH(Table9[[#This Row],[Bowler]],OFFSET(AR101,0,0,BOWLROWS-ROW(AR100)-ROW(Table9[[#Headers],[BOWLER CUML WICKETS]])),0)&gt;0,0,SUMIF($AR$6:AR100,Table9[[#This Row],[Bowler]],$AU$6:AU100)),SUMIF($AR$6:AR100,Table9[[#This Row],[Bowler]],$AU$6:AU100))</f>
        <v>0</v>
      </c>
      <c r="BL100">
        <f ca="1">Table9[[#This Row],[BOWLER CUML WICKETS]]*100-Table9[[#This Row],[BOWLER CUML RUNS]]</f>
        <v>0</v>
      </c>
    </row>
    <row r="101" spans="1:64" x14ac:dyDescent="0.3">
      <c r="A101">
        <v>28</v>
      </c>
      <c r="B101" t="s">
        <v>170</v>
      </c>
      <c r="C101" t="s">
        <v>259</v>
      </c>
      <c r="D101" t="s">
        <v>308</v>
      </c>
      <c r="E101">
        <v>11</v>
      </c>
      <c r="F101">
        <v>30</v>
      </c>
      <c r="G101">
        <v>18</v>
      </c>
      <c r="H101">
        <v>1</v>
      </c>
      <c r="I101">
        <v>0</v>
      </c>
      <c r="J101">
        <v>61.11</v>
      </c>
      <c r="K101">
        <v>10</v>
      </c>
      <c r="L101" t="str">
        <f>CONCATENATE(T_BATTINGDATA[[#This Row],[Match]],T_BATTINGDATA[[#This Row],[Team]],T_BATTINGDATA[[#This Row],[Bat Number]])</f>
        <v>28West Indies10</v>
      </c>
      <c r="M101" t="str">
        <f>IFERROR(IF(AND(T_BATTINGDATA[[#This Row],[Team]]=I_TEAM,IFERROR(IF(MATCH(T_BATTINGDATA[[#This Row],[BATSMAN NAME]],$O$5:O100,0)&gt;0,0),1)),1,0),"")</f>
        <v/>
      </c>
      <c r="N101" t="e">
        <f>IF(T_BATTINGDATA[[#This Row],[Team]]=I_TEAM,T_BATTINGDATA[[#This Row],[R]],0)</f>
        <v>#REF!</v>
      </c>
      <c r="O101" t="str">
        <f>LEFT(T_BATTINGDATA[[#This Row],[Batsman]],IFERROR(FIND("*",T_BATTINGDATA[[#This Row],[Batsman]])-1,IFERROR(FIND("†",T_BATTINGDATA[[#This Row],[Batsman]])-1,LEN(T_BATTINGDATA[[#This Row],[Batsman]]))))</f>
        <v>JE Taylor</v>
      </c>
      <c r="P101">
        <f ca="1">IFERROR(IF(MATCH(T_BATTINGDATA[[#This Row],[BATSMAN NAME]],OFFSET(O102,0,0,BATROWS-ROW(O101)-ROW(T_BATTINGDATA[[#Headers],[BATSMAN NAME]])),0)&gt;0,0,SUMIF($O$6:O101,T_BATTINGDATA[[#This Row],[BATSMAN NAME]],$E$6:E101)),SUMIF($O$6:O101,T_BATTINGDATA[[#This Row],[BATSMAN NAME]],$E$6:E101))</f>
        <v>0</v>
      </c>
      <c r="R101">
        <v>42</v>
      </c>
      <c r="S101" t="s">
        <v>153</v>
      </c>
      <c r="T101">
        <v>1</v>
      </c>
      <c r="U101">
        <v>13</v>
      </c>
      <c r="V101">
        <v>0</v>
      </c>
      <c r="W101">
        <v>1</v>
      </c>
      <c r="X101">
        <v>15</v>
      </c>
      <c r="Y101" t="str">
        <f>CONCATENATE(T_EXTRAS[[#This Row],[Match Number]],T_EXTRAS[[#This Row],[Team Batting]])</f>
        <v>42Pakistan</v>
      </c>
      <c r="AA101">
        <v>48</v>
      </c>
      <c r="AB101" t="s">
        <v>137</v>
      </c>
      <c r="AC101">
        <v>10</v>
      </c>
      <c r="AD101">
        <v>233</v>
      </c>
      <c r="AE101">
        <v>4.97</v>
      </c>
      <c r="AF101">
        <v>46.5</v>
      </c>
      <c r="AG101" t="str">
        <f>T_MTOTAL[[#This Row],[Match Number]]&amp;T_MTOTAL[[#This Row],[Team]]</f>
        <v>48India</v>
      </c>
      <c r="AH101">
        <v>2</v>
      </c>
      <c r="AI101" t="str">
        <f>T_MTOTAL[[#This Row],[Match Number]]&amp;" "&amp;T_MTOTAL[[#This Row],[ORDER]]</f>
        <v>48 2</v>
      </c>
      <c r="AJ101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AUSTRALIA</v>
      </c>
      <c r="AK10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0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01">
        <f>(LEFT(T_MTOTAL[[#This Row],[Overs]],IFERROR(FIND(".",T_MTOTAL[[#This Row],[Overs]])-1,LEN(T_MTOTAL[[#This Row],[Overs]])))*6) + IFERROR(IF(FIND(".",T_MTOTAL[[#This Row],[Overs]])+1&gt;0,RIGHT(T_MTOTAL[[#This Row],[Overs]],1),0),0)</f>
        <v>281</v>
      </c>
      <c r="AN101">
        <f>IFERROR(IF(MATCH(T_MTOTAL[[#This Row],[ORDER LINK]],T_DL[link],0)&gt;0,INDEX(T_DL[d/l score],MATCH(T_MTOTAL[[#This Row],[ORDER LINK]],T_DL[link],0)),""),T_MTOTAL[[#This Row],[Total]])</f>
        <v>233</v>
      </c>
      <c r="AP101">
        <v>1</v>
      </c>
      <c r="AQ101" t="s">
        <v>140</v>
      </c>
      <c r="AR101" t="s">
        <v>309</v>
      </c>
      <c r="AS101">
        <v>3.1</v>
      </c>
      <c r="AT101">
        <v>0</v>
      </c>
      <c r="AU101">
        <v>18</v>
      </c>
      <c r="AV101">
        <v>2</v>
      </c>
      <c r="AW101">
        <v>5.68</v>
      </c>
      <c r="AX101">
        <v>10</v>
      </c>
      <c r="AY101">
        <v>2</v>
      </c>
      <c r="AZ101">
        <v>0</v>
      </c>
      <c r="BA101">
        <v>3</v>
      </c>
      <c r="BC101">
        <v>7</v>
      </c>
      <c r="BD101" t="str">
        <f>CONCATENATE(Table9[[#This Row],[Match Number]],Table9[[#This Row],[Team]],Table9[[#This Row],[BOWL NUM]])</f>
        <v>1New Zealand7</v>
      </c>
      <c r="BE101" t="str">
        <f>IFERROR(IF(AND(Table9[[#This Row],[Team]]=I_TEAM,IFERROR(IF(MATCH(Table9[[#This Row],[Bowler]],$AR$5:AR100,0)&gt;0,0),1)),1,0),"")</f>
        <v/>
      </c>
      <c r="BF101">
        <f>(LEFT(Table9[[#This Row],[Overs]],IFERROR(FIND(".",Table9[[#This Row],[Overs]])-1,LEN(Table9[[#This Row],[Overs]])))*6) + IFERROR(IF(FIND(".",Table9[[#This Row],[Overs]])+1&gt;0,RIGHT(Table9[[#This Row],[Overs]],1),0),0)</f>
        <v>19</v>
      </c>
      <c r="BG10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101" t="e">
        <f>IF(Table9[[#This Row],[Team]]=I_TEAM,Table9[[#This Row],[Wickets]]*100-Table9[[#This Row],[Runs]],0)</f>
        <v>#REF!</v>
      </c>
      <c r="BI101">
        <f>Table9[[#This Row],[Wickets]]*100-Table9[[#This Row],[Runs]]</f>
        <v>182</v>
      </c>
      <c r="BJ101">
        <f ca="1">IFERROR(IF(MATCH(Table9[[#This Row],[Bowler]],OFFSET(AR102,0,0,BOWLROWS-ROW(AR101)-ROW(Table9[[#Headers],[BOWLER CUML WICKETS]])),0)&gt;0,0,SUMIF($AR$6:AR101,Table9[[#This Row],[Bowler]],$AV$6:AV101)),SUMIF($AR$6:AR101,Table9[[#This Row],[Bowler]],$AV$6:AV101))</f>
        <v>0</v>
      </c>
      <c r="BK101">
        <f ca="1">IFERROR(IF(MATCH(Table9[[#This Row],[Bowler]],OFFSET(AR102,0,0,BOWLROWS-ROW(AR101)-ROW(Table9[[#Headers],[BOWLER CUML WICKETS]])),0)&gt;0,0,SUMIF($AR$6:AR101,Table9[[#This Row],[Bowler]],$AU$6:AU101)),SUMIF($AR$6:AR101,Table9[[#This Row],[Bowler]],$AU$6:AU101))</f>
        <v>0</v>
      </c>
      <c r="BL101">
        <f ca="1">Table9[[#This Row],[BOWLER CUML WICKETS]]*100-Table9[[#This Row],[BOWLER CUML RUNS]]</f>
        <v>0</v>
      </c>
    </row>
    <row r="102" spans="1:64" x14ac:dyDescent="0.3">
      <c r="A102">
        <v>28</v>
      </c>
      <c r="B102" t="s">
        <v>170</v>
      </c>
      <c r="C102" t="s">
        <v>263</v>
      </c>
      <c r="D102" t="s">
        <v>167</v>
      </c>
      <c r="E102">
        <v>0</v>
      </c>
      <c r="F102">
        <v>6</v>
      </c>
      <c r="G102">
        <v>1</v>
      </c>
      <c r="H102">
        <v>0</v>
      </c>
      <c r="I102">
        <v>0</v>
      </c>
      <c r="J102">
        <v>0</v>
      </c>
      <c r="K102">
        <v>11</v>
      </c>
      <c r="L102" t="str">
        <f>CONCATENATE(T_BATTINGDATA[[#This Row],[Match]],T_BATTINGDATA[[#This Row],[Team]],T_BATTINGDATA[[#This Row],[Bat Number]])</f>
        <v>28West Indies11</v>
      </c>
      <c r="M102" t="str">
        <f>IFERROR(IF(AND(T_BATTINGDATA[[#This Row],[Team]]=I_TEAM,IFERROR(IF(MATCH(T_BATTINGDATA[[#This Row],[BATSMAN NAME]],$O$5:O101,0)&gt;0,0),1)),1,0),"")</f>
        <v/>
      </c>
      <c r="N102" t="e">
        <f>IF(T_BATTINGDATA[[#This Row],[Team]]=I_TEAM,T_BATTINGDATA[[#This Row],[R]],0)</f>
        <v>#REF!</v>
      </c>
      <c r="O102" t="str">
        <f>LEFT(T_BATTINGDATA[[#This Row],[Batsman]],IFERROR(FIND("*",T_BATTINGDATA[[#This Row],[Batsman]])-1,IFERROR(FIND("†",T_BATTINGDATA[[#This Row],[Batsman]])-1,LEN(T_BATTINGDATA[[#This Row],[Batsman]]))))</f>
        <v>KAJ Roach</v>
      </c>
      <c r="P102">
        <f ca="1">IFERROR(IF(MATCH(T_BATTINGDATA[[#This Row],[BATSMAN NAME]],OFFSET(O103,0,0,BATROWS-ROW(O102)-ROW(T_BATTINGDATA[[#Headers],[BATSMAN NAME]])),0)&gt;0,0,SUMIF($O$6:O102,T_BATTINGDATA[[#This Row],[BATSMAN NAME]],$E$6:E102)),SUMIF($O$6:O102,T_BATTINGDATA[[#This Row],[BATSMAN NAME]],$E$6:E102))</f>
        <v>0</v>
      </c>
      <c r="AA102">
        <v>49</v>
      </c>
      <c r="AB102" t="s">
        <v>140</v>
      </c>
      <c r="AC102">
        <v>10</v>
      </c>
      <c r="AD102">
        <v>183</v>
      </c>
      <c r="AE102">
        <v>4.0599999999999996</v>
      </c>
      <c r="AF102">
        <v>45</v>
      </c>
      <c r="AG102" t="str">
        <f>T_MTOTAL[[#This Row],[Match Number]]&amp;T_MTOTAL[[#This Row],[Team]]</f>
        <v>49New Zealand</v>
      </c>
      <c r="AH102">
        <v>1</v>
      </c>
      <c r="AI102" t="str">
        <f>T_MTOTAL[[#This Row],[Match Number]]&amp;" "&amp;T_MTOTAL[[#This Row],[ORDER]]</f>
        <v>49 1</v>
      </c>
      <c r="AJ102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AUSTRALIA</v>
      </c>
      <c r="AK10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0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02">
        <f>(LEFT(T_MTOTAL[[#This Row],[Overs]],IFERROR(FIND(".",T_MTOTAL[[#This Row],[Overs]])-1,LEN(T_MTOTAL[[#This Row],[Overs]])))*6) + IFERROR(IF(FIND(".",T_MTOTAL[[#This Row],[Overs]])+1&gt;0,RIGHT(T_MTOTAL[[#This Row],[Overs]],1),0),0)</f>
        <v>270</v>
      </c>
      <c r="AN102">
        <f>IFERROR(IF(MATCH(T_MTOTAL[[#This Row],[ORDER LINK]],T_DL[link],0)&gt;0,INDEX(T_DL[d/l score],MATCH(T_MTOTAL[[#This Row],[ORDER LINK]],T_DL[link],0)),""),T_MTOTAL[[#This Row],[Total]])</f>
        <v>183</v>
      </c>
      <c r="AP102">
        <v>2</v>
      </c>
      <c r="AQ102" t="s">
        <v>154</v>
      </c>
      <c r="AR102" t="s">
        <v>310</v>
      </c>
      <c r="AS102">
        <v>10</v>
      </c>
      <c r="AT102">
        <v>0</v>
      </c>
      <c r="AU102">
        <v>67</v>
      </c>
      <c r="AV102">
        <v>0</v>
      </c>
      <c r="AW102">
        <v>6.7</v>
      </c>
      <c r="AX102">
        <v>31</v>
      </c>
      <c r="AY102">
        <v>8</v>
      </c>
      <c r="AZ102">
        <v>1</v>
      </c>
      <c r="BA102">
        <v>1</v>
      </c>
      <c r="BC102">
        <v>1</v>
      </c>
      <c r="BD102" t="str">
        <f>CONCATENATE(Table9[[#This Row],[Match Number]],Table9[[#This Row],[Team]],Table9[[#This Row],[BOWL NUM]])</f>
        <v>2England1</v>
      </c>
      <c r="BE102" t="str">
        <f>IFERROR(IF(AND(Table9[[#This Row],[Team]]=I_TEAM,IFERROR(IF(MATCH(Table9[[#This Row],[Bowler]],$AR$5:AR101,0)&gt;0,0),1)),1,0),"")</f>
        <v/>
      </c>
      <c r="BF10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0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102" t="e">
        <f>IF(Table9[[#This Row],[Team]]=I_TEAM,Table9[[#This Row],[Wickets]]*100-Table9[[#This Row],[Runs]],0)</f>
        <v>#REF!</v>
      </c>
      <c r="BI102">
        <f>Table9[[#This Row],[Wickets]]*100-Table9[[#This Row],[Runs]]</f>
        <v>-67</v>
      </c>
      <c r="BJ102">
        <f ca="1">IFERROR(IF(MATCH(Table9[[#This Row],[Bowler]],OFFSET(AR103,0,0,BOWLROWS-ROW(AR102)-ROW(Table9[[#Headers],[BOWLER CUML WICKETS]])),0)&gt;0,0,SUMIF($AR$6:AR102,Table9[[#This Row],[Bowler]],$AV$6:AV102)),SUMIF($AR$6:AR102,Table9[[#This Row],[Bowler]],$AV$6:AV102))</f>
        <v>0</v>
      </c>
      <c r="BK102">
        <f ca="1">IFERROR(IF(MATCH(Table9[[#This Row],[Bowler]],OFFSET(AR103,0,0,BOWLROWS-ROW(AR102)-ROW(Table9[[#Headers],[BOWLER CUML WICKETS]])),0)&gt;0,0,SUMIF($AR$6:AR102,Table9[[#This Row],[Bowler]],$AU$6:AU102)),SUMIF($AR$6:AR102,Table9[[#This Row],[Bowler]],$AU$6:AU102))</f>
        <v>0</v>
      </c>
      <c r="BL102">
        <f ca="1">Table9[[#This Row],[BOWLER CUML WICKETS]]*100-Table9[[#This Row],[BOWLER CUML RUNS]]</f>
        <v>0</v>
      </c>
    </row>
    <row r="103" spans="1:64" x14ac:dyDescent="0.3">
      <c r="A103">
        <v>28</v>
      </c>
      <c r="B103" t="s">
        <v>137</v>
      </c>
      <c r="C103" t="s">
        <v>138</v>
      </c>
      <c r="D103" t="s">
        <v>311</v>
      </c>
      <c r="E103">
        <v>7</v>
      </c>
      <c r="F103">
        <v>30</v>
      </c>
      <c r="G103">
        <v>18</v>
      </c>
      <c r="H103">
        <v>1</v>
      </c>
      <c r="I103">
        <v>0</v>
      </c>
      <c r="J103">
        <v>38.880000000000003</v>
      </c>
      <c r="K103">
        <v>1</v>
      </c>
      <c r="L103" t="str">
        <f>CONCATENATE(T_BATTINGDATA[[#This Row],[Match]],T_BATTINGDATA[[#This Row],[Team]],T_BATTINGDATA[[#This Row],[Bat Number]])</f>
        <v>28India1</v>
      </c>
      <c r="M103" t="str">
        <f>IFERROR(IF(AND(T_BATTINGDATA[[#This Row],[Team]]=I_TEAM,IFERROR(IF(MATCH(T_BATTINGDATA[[#This Row],[BATSMAN NAME]],$O$5:O102,0)&gt;0,0),1)),1,0),"")</f>
        <v/>
      </c>
      <c r="N103" t="e">
        <f>IF(T_BATTINGDATA[[#This Row],[Team]]=I_TEAM,T_BATTINGDATA[[#This Row],[R]],0)</f>
        <v>#REF!</v>
      </c>
      <c r="O103" t="str">
        <f>LEFT(T_BATTINGDATA[[#This Row],[Batsman]],IFERROR(FIND("*",T_BATTINGDATA[[#This Row],[Batsman]])-1,IFERROR(FIND("†",T_BATTINGDATA[[#This Row],[Batsman]])-1,LEN(T_BATTINGDATA[[#This Row],[Batsman]]))))</f>
        <v>RG Sharma</v>
      </c>
      <c r="P103">
        <f ca="1">IFERROR(IF(MATCH(T_BATTINGDATA[[#This Row],[BATSMAN NAME]],OFFSET(O104,0,0,BATROWS-ROW(O103)-ROW(T_BATTINGDATA[[#Headers],[BATSMAN NAME]])),0)&gt;0,0,SUMIF($O$6:O103,T_BATTINGDATA[[#This Row],[BATSMAN NAME]],$E$6:E103)),SUMIF($O$6:O103,T_BATTINGDATA[[#This Row],[BATSMAN NAME]],$E$6:E103))</f>
        <v>0</v>
      </c>
      <c r="AA103">
        <v>49</v>
      </c>
      <c r="AB103" t="s">
        <v>149</v>
      </c>
      <c r="AC103">
        <v>3</v>
      </c>
      <c r="AD103">
        <v>186</v>
      </c>
      <c r="AE103">
        <v>5.6</v>
      </c>
      <c r="AF103">
        <v>33.1</v>
      </c>
      <c r="AG103" t="str">
        <f>T_MTOTAL[[#This Row],[Match Number]]&amp;T_MTOTAL[[#This Row],[Team]]</f>
        <v>49Australia</v>
      </c>
      <c r="AH103">
        <v>2</v>
      </c>
      <c r="AI103" t="str">
        <f>T_MTOTAL[[#This Row],[Match Number]]&amp;" "&amp;T_MTOTAL[[#This Row],[ORDER]]</f>
        <v>49 2</v>
      </c>
      <c r="AJ103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NEW ZEALAND</v>
      </c>
      <c r="AK10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33.1</v>
      </c>
      <c r="AL10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199</v>
      </c>
      <c r="AM103">
        <f>(LEFT(T_MTOTAL[[#This Row],[Overs]],IFERROR(FIND(".",T_MTOTAL[[#This Row],[Overs]])-1,LEN(T_MTOTAL[[#This Row],[Overs]])))*6) + IFERROR(IF(FIND(".",T_MTOTAL[[#This Row],[Overs]])+1&gt;0,RIGHT(T_MTOTAL[[#This Row],[Overs]],1),0),0)</f>
        <v>199</v>
      </c>
      <c r="AN103">
        <f>IFERROR(IF(MATCH(T_MTOTAL[[#This Row],[ORDER LINK]],T_DL[link],0)&gt;0,INDEX(T_DL[d/l score],MATCH(T_MTOTAL[[#This Row],[ORDER LINK]],T_DL[link],0)),""),T_MTOTAL[[#This Row],[Total]])</f>
        <v>186</v>
      </c>
      <c r="AP103">
        <v>2</v>
      </c>
      <c r="AQ103" t="s">
        <v>154</v>
      </c>
      <c r="AR103" t="s">
        <v>312</v>
      </c>
      <c r="AS103">
        <v>10</v>
      </c>
      <c r="AT103">
        <v>0</v>
      </c>
      <c r="AU103">
        <v>66</v>
      </c>
      <c r="AV103">
        <v>2</v>
      </c>
      <c r="AW103">
        <v>6.6</v>
      </c>
      <c r="AX103">
        <v>29</v>
      </c>
      <c r="AY103">
        <v>8</v>
      </c>
      <c r="AZ103">
        <v>0</v>
      </c>
      <c r="BA103">
        <v>1</v>
      </c>
      <c r="BC103">
        <v>2</v>
      </c>
      <c r="BD103" t="str">
        <f>CONCATENATE(Table9[[#This Row],[Match Number]],Table9[[#This Row],[Team]],Table9[[#This Row],[BOWL NUM]])</f>
        <v>2England2</v>
      </c>
      <c r="BE103" t="str">
        <f>IFERROR(IF(AND(Table9[[#This Row],[Team]]=I_TEAM,IFERROR(IF(MATCH(Table9[[#This Row],[Bowler]],$AR$5:AR102,0)&gt;0,0),1)),1,0),"")</f>
        <v/>
      </c>
      <c r="BF10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0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103" t="e">
        <f>IF(Table9[[#This Row],[Team]]=I_TEAM,Table9[[#This Row],[Wickets]]*100-Table9[[#This Row],[Runs]],0)</f>
        <v>#REF!</v>
      </c>
      <c r="BI103">
        <f>Table9[[#This Row],[Wickets]]*100-Table9[[#This Row],[Runs]]</f>
        <v>134</v>
      </c>
      <c r="BJ103">
        <f ca="1">IFERROR(IF(MATCH(Table9[[#This Row],[Bowler]],OFFSET(AR104,0,0,BOWLROWS-ROW(AR103)-ROW(Table9[[#Headers],[BOWLER CUML WICKETS]])),0)&gt;0,0,SUMIF($AR$6:AR103,Table9[[#This Row],[Bowler]],$AV$6:AV103)),SUMIF($AR$6:AR103,Table9[[#This Row],[Bowler]],$AV$6:AV103))</f>
        <v>0</v>
      </c>
      <c r="BK103">
        <f ca="1">IFERROR(IF(MATCH(Table9[[#This Row],[Bowler]],OFFSET(AR104,0,0,BOWLROWS-ROW(AR103)-ROW(Table9[[#Headers],[BOWLER CUML WICKETS]])),0)&gt;0,0,SUMIF($AR$6:AR103,Table9[[#This Row],[Bowler]],$AU$6:AU103)),SUMIF($AR$6:AR103,Table9[[#This Row],[Bowler]],$AU$6:AU103))</f>
        <v>0</v>
      </c>
      <c r="BL103">
        <f ca="1">Table9[[#This Row],[BOWLER CUML WICKETS]]*100-Table9[[#This Row],[BOWLER CUML RUNS]]</f>
        <v>0</v>
      </c>
    </row>
    <row r="104" spans="1:64" x14ac:dyDescent="0.3">
      <c r="A104">
        <v>28</v>
      </c>
      <c r="B104" t="s">
        <v>137</v>
      </c>
      <c r="C104" t="s">
        <v>143</v>
      </c>
      <c r="D104" t="s">
        <v>313</v>
      </c>
      <c r="E104">
        <v>9</v>
      </c>
      <c r="F104">
        <v>17</v>
      </c>
      <c r="G104">
        <v>14</v>
      </c>
      <c r="H104">
        <v>1</v>
      </c>
      <c r="I104">
        <v>0</v>
      </c>
      <c r="J104">
        <v>64.28</v>
      </c>
      <c r="K104">
        <v>2</v>
      </c>
      <c r="L104" t="str">
        <f>CONCATENATE(T_BATTINGDATA[[#This Row],[Match]],T_BATTINGDATA[[#This Row],[Team]],T_BATTINGDATA[[#This Row],[Bat Number]])</f>
        <v>28India2</v>
      </c>
      <c r="M104" t="str">
        <f>IFERROR(IF(AND(T_BATTINGDATA[[#This Row],[Team]]=I_TEAM,IFERROR(IF(MATCH(T_BATTINGDATA[[#This Row],[BATSMAN NAME]],$O$5:O103,0)&gt;0,0),1)),1,0),"")</f>
        <v/>
      </c>
      <c r="N104" t="e">
        <f>IF(T_BATTINGDATA[[#This Row],[Team]]=I_TEAM,T_BATTINGDATA[[#This Row],[R]],0)</f>
        <v>#REF!</v>
      </c>
      <c r="O104" t="str">
        <f>LEFT(T_BATTINGDATA[[#This Row],[Batsman]],IFERROR(FIND("*",T_BATTINGDATA[[#This Row],[Batsman]])-1,IFERROR(FIND("†",T_BATTINGDATA[[#This Row],[Batsman]])-1,LEN(T_BATTINGDATA[[#This Row],[Batsman]]))))</f>
        <v>S Dhawan</v>
      </c>
      <c r="P104">
        <f ca="1">IFERROR(IF(MATCH(T_BATTINGDATA[[#This Row],[BATSMAN NAME]],OFFSET(O105,0,0,BATROWS-ROW(O104)-ROW(T_BATTINGDATA[[#Headers],[BATSMAN NAME]])),0)&gt;0,0,SUMIF($O$6:O104,T_BATTINGDATA[[#This Row],[BATSMAN NAME]],$E$6:E104)),SUMIF($O$6:O104,T_BATTINGDATA[[#This Row],[BATSMAN NAME]],$E$6:E104))</f>
        <v>0</v>
      </c>
      <c r="AP104">
        <v>2</v>
      </c>
      <c r="AQ104" t="s">
        <v>154</v>
      </c>
      <c r="AR104" t="s">
        <v>314</v>
      </c>
      <c r="AS104">
        <v>10</v>
      </c>
      <c r="AT104">
        <v>0</v>
      </c>
      <c r="AU104">
        <v>65</v>
      </c>
      <c r="AV104">
        <v>1</v>
      </c>
      <c r="AW104">
        <v>6.5</v>
      </c>
      <c r="AX104">
        <v>22</v>
      </c>
      <c r="AY104">
        <v>7</v>
      </c>
      <c r="AZ104">
        <v>0</v>
      </c>
      <c r="BC104">
        <v>3</v>
      </c>
      <c r="BD104" t="str">
        <f>CONCATENATE(Table9[[#This Row],[Match Number]],Table9[[#This Row],[Team]],Table9[[#This Row],[BOWL NUM]])</f>
        <v>2England3</v>
      </c>
      <c r="BE104" t="str">
        <f>IFERROR(IF(AND(Table9[[#This Row],[Team]]=I_TEAM,IFERROR(IF(MATCH(Table9[[#This Row],[Bowler]],$AR$5:AR103,0)&gt;0,0),1)),1,0),"")</f>
        <v/>
      </c>
      <c r="BF10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0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104" t="e">
        <f>IF(Table9[[#This Row],[Team]]=I_TEAM,Table9[[#This Row],[Wickets]]*100-Table9[[#This Row],[Runs]],0)</f>
        <v>#REF!</v>
      </c>
      <c r="BI104">
        <f>Table9[[#This Row],[Wickets]]*100-Table9[[#This Row],[Runs]]</f>
        <v>35</v>
      </c>
      <c r="BJ104">
        <f ca="1">IFERROR(IF(MATCH(Table9[[#This Row],[Bowler]],OFFSET(AR105,0,0,BOWLROWS-ROW(AR104)-ROW(Table9[[#Headers],[BOWLER CUML WICKETS]])),0)&gt;0,0,SUMIF($AR$6:AR104,Table9[[#This Row],[Bowler]],$AV$6:AV104)),SUMIF($AR$6:AR104,Table9[[#This Row],[Bowler]],$AV$6:AV104))</f>
        <v>0</v>
      </c>
      <c r="BK104">
        <f ca="1">IFERROR(IF(MATCH(Table9[[#This Row],[Bowler]],OFFSET(AR105,0,0,BOWLROWS-ROW(AR104)-ROW(Table9[[#Headers],[BOWLER CUML WICKETS]])),0)&gt;0,0,SUMIF($AR$6:AR104,Table9[[#This Row],[Bowler]],$AU$6:AU104)),SUMIF($AR$6:AR104,Table9[[#This Row],[Bowler]],$AU$6:AU104))</f>
        <v>0</v>
      </c>
      <c r="BL104">
        <f ca="1">Table9[[#This Row],[BOWLER CUML WICKETS]]*100-Table9[[#This Row],[BOWLER CUML RUNS]]</f>
        <v>0</v>
      </c>
    </row>
    <row r="105" spans="1:64" x14ac:dyDescent="0.3">
      <c r="A105">
        <v>28</v>
      </c>
      <c r="B105" t="s">
        <v>137</v>
      </c>
      <c r="C105" t="s">
        <v>147</v>
      </c>
      <c r="D105" t="s">
        <v>315</v>
      </c>
      <c r="E105">
        <v>33</v>
      </c>
      <c r="F105">
        <v>51</v>
      </c>
      <c r="G105">
        <v>36</v>
      </c>
      <c r="H105">
        <v>5</v>
      </c>
      <c r="I105">
        <v>0</v>
      </c>
      <c r="J105">
        <v>91.66</v>
      </c>
      <c r="K105">
        <v>3</v>
      </c>
      <c r="L105" t="str">
        <f>CONCATENATE(T_BATTINGDATA[[#This Row],[Match]],T_BATTINGDATA[[#This Row],[Team]],T_BATTINGDATA[[#This Row],[Bat Number]])</f>
        <v>28India3</v>
      </c>
      <c r="M105" t="str">
        <f>IFERROR(IF(AND(T_BATTINGDATA[[#This Row],[Team]]=I_TEAM,IFERROR(IF(MATCH(T_BATTINGDATA[[#This Row],[BATSMAN NAME]],$O$5:O104,0)&gt;0,0),1)),1,0),"")</f>
        <v/>
      </c>
      <c r="N105" t="e">
        <f>IF(T_BATTINGDATA[[#This Row],[Team]]=I_TEAM,T_BATTINGDATA[[#This Row],[R]],0)</f>
        <v>#REF!</v>
      </c>
      <c r="O105" t="str">
        <f>LEFT(T_BATTINGDATA[[#This Row],[Batsman]],IFERROR(FIND("*",T_BATTINGDATA[[#This Row],[Batsman]])-1,IFERROR(FIND("†",T_BATTINGDATA[[#This Row],[Batsman]])-1,LEN(T_BATTINGDATA[[#This Row],[Batsman]]))))</f>
        <v>V Kohli</v>
      </c>
      <c r="P105">
        <f ca="1">IFERROR(IF(MATCH(T_BATTINGDATA[[#This Row],[BATSMAN NAME]],OFFSET(O106,0,0,BATROWS-ROW(O105)-ROW(T_BATTINGDATA[[#Headers],[BATSMAN NAME]])),0)&gt;0,0,SUMIF($O$6:O105,T_BATTINGDATA[[#This Row],[BATSMAN NAME]],$E$6:E105)),SUMIF($O$6:O105,T_BATTINGDATA[[#This Row],[BATSMAN NAME]],$E$6:E105))</f>
        <v>0</v>
      </c>
      <c r="AP105">
        <v>2</v>
      </c>
      <c r="AQ105" t="s">
        <v>154</v>
      </c>
      <c r="AR105" t="s">
        <v>316</v>
      </c>
      <c r="AS105">
        <v>10</v>
      </c>
      <c r="AT105">
        <v>0</v>
      </c>
      <c r="AU105">
        <v>71</v>
      </c>
      <c r="AV105">
        <v>5</v>
      </c>
      <c r="AW105">
        <v>7.1</v>
      </c>
      <c r="AX105">
        <v>28</v>
      </c>
      <c r="AY105">
        <v>8</v>
      </c>
      <c r="AZ105">
        <v>0</v>
      </c>
      <c r="BA105">
        <v>1</v>
      </c>
      <c r="BC105">
        <v>4</v>
      </c>
      <c r="BD105" t="str">
        <f>CONCATENATE(Table9[[#This Row],[Match Number]],Table9[[#This Row],[Team]],Table9[[#This Row],[BOWL NUM]])</f>
        <v>2England4</v>
      </c>
      <c r="BE105" t="str">
        <f>IFERROR(IF(AND(Table9[[#This Row],[Team]]=I_TEAM,IFERROR(IF(MATCH(Table9[[#This Row],[Bowler]],$AR$5:AR104,0)&gt;0,0),1)),1,0),"")</f>
        <v/>
      </c>
      <c r="BF10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0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105" t="e">
        <f>IF(Table9[[#This Row],[Team]]=I_TEAM,Table9[[#This Row],[Wickets]]*100-Table9[[#This Row],[Runs]],0)</f>
        <v>#REF!</v>
      </c>
      <c r="BI105">
        <f>Table9[[#This Row],[Wickets]]*100-Table9[[#This Row],[Runs]]</f>
        <v>429</v>
      </c>
      <c r="BJ105">
        <f ca="1">IFERROR(IF(MATCH(Table9[[#This Row],[Bowler]],OFFSET(AR106,0,0,BOWLROWS-ROW(AR105)-ROW(Table9[[#Headers],[BOWLER CUML WICKETS]])),0)&gt;0,0,SUMIF($AR$6:AR105,Table9[[#This Row],[Bowler]],$AV$6:AV105)),SUMIF($AR$6:AR105,Table9[[#This Row],[Bowler]],$AV$6:AV105))</f>
        <v>0</v>
      </c>
      <c r="BK105">
        <f ca="1">IFERROR(IF(MATCH(Table9[[#This Row],[Bowler]],OFFSET(AR106,0,0,BOWLROWS-ROW(AR105)-ROW(Table9[[#Headers],[BOWLER CUML WICKETS]])),0)&gt;0,0,SUMIF($AR$6:AR105,Table9[[#This Row],[Bowler]],$AU$6:AU105)),SUMIF($AR$6:AR105,Table9[[#This Row],[Bowler]],$AU$6:AU105))</f>
        <v>0</v>
      </c>
      <c r="BL105">
        <f ca="1">Table9[[#This Row],[BOWLER CUML WICKETS]]*100-Table9[[#This Row],[BOWLER CUML RUNS]]</f>
        <v>0</v>
      </c>
    </row>
    <row r="106" spans="1:64" x14ac:dyDescent="0.3">
      <c r="A106">
        <v>28</v>
      </c>
      <c r="B106" t="s">
        <v>137</v>
      </c>
      <c r="C106" t="s">
        <v>151</v>
      </c>
      <c r="D106" t="s">
        <v>317</v>
      </c>
      <c r="E106">
        <v>14</v>
      </c>
      <c r="F106">
        <v>56</v>
      </c>
      <c r="G106">
        <v>34</v>
      </c>
      <c r="H106">
        <v>2</v>
      </c>
      <c r="I106">
        <v>0</v>
      </c>
      <c r="J106">
        <v>41.17</v>
      </c>
      <c r="K106">
        <v>4</v>
      </c>
      <c r="L106" t="str">
        <f>CONCATENATE(T_BATTINGDATA[[#This Row],[Match]],T_BATTINGDATA[[#This Row],[Team]],T_BATTINGDATA[[#This Row],[Bat Number]])</f>
        <v>28India4</v>
      </c>
      <c r="M106" t="str">
        <f>IFERROR(IF(AND(T_BATTINGDATA[[#This Row],[Team]]=I_TEAM,IFERROR(IF(MATCH(T_BATTINGDATA[[#This Row],[BATSMAN NAME]],$O$5:O105,0)&gt;0,0),1)),1,0),"")</f>
        <v/>
      </c>
      <c r="N106" t="e">
        <f>IF(T_BATTINGDATA[[#This Row],[Team]]=I_TEAM,T_BATTINGDATA[[#This Row],[R]],0)</f>
        <v>#REF!</v>
      </c>
      <c r="O106" t="str">
        <f>LEFT(T_BATTINGDATA[[#This Row],[Batsman]],IFERROR(FIND("*",T_BATTINGDATA[[#This Row],[Batsman]])-1,IFERROR(FIND("†",T_BATTINGDATA[[#This Row],[Batsman]])-1,LEN(T_BATTINGDATA[[#This Row],[Batsman]]))))</f>
        <v>AM Rahane</v>
      </c>
      <c r="P106">
        <f ca="1">IFERROR(IF(MATCH(T_BATTINGDATA[[#This Row],[BATSMAN NAME]],OFFSET(O107,0,0,BATROWS-ROW(O106)-ROW(T_BATTINGDATA[[#Headers],[BATSMAN NAME]])),0)&gt;0,0,SUMIF($O$6:O106,T_BATTINGDATA[[#This Row],[BATSMAN NAME]],$E$6:E106)),SUMIF($O$6:O106,T_BATTINGDATA[[#This Row],[BATSMAN NAME]],$E$6:E106))</f>
        <v>0</v>
      </c>
      <c r="AP106">
        <v>2</v>
      </c>
      <c r="AQ106" t="s">
        <v>154</v>
      </c>
      <c r="AR106" t="s">
        <v>318</v>
      </c>
      <c r="AS106">
        <v>9</v>
      </c>
      <c r="AT106">
        <v>0</v>
      </c>
      <c r="AU106">
        <v>60</v>
      </c>
      <c r="AV106">
        <v>0</v>
      </c>
      <c r="AW106">
        <v>6.66</v>
      </c>
      <c r="AX106">
        <v>19</v>
      </c>
      <c r="AY106">
        <v>6</v>
      </c>
      <c r="AZ106">
        <v>1</v>
      </c>
      <c r="BC106">
        <v>5</v>
      </c>
      <c r="BD106" t="str">
        <f>CONCATENATE(Table9[[#This Row],[Match Number]],Table9[[#This Row],[Team]],Table9[[#This Row],[BOWL NUM]])</f>
        <v>2England5</v>
      </c>
      <c r="BE106" t="str">
        <f>IFERROR(IF(AND(Table9[[#This Row],[Team]]=I_TEAM,IFERROR(IF(MATCH(Table9[[#This Row],[Bowler]],$AR$5:AR105,0)&gt;0,0),1)),1,0),"")</f>
        <v/>
      </c>
      <c r="BF106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0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106" t="e">
        <f>IF(Table9[[#This Row],[Team]]=I_TEAM,Table9[[#This Row],[Wickets]]*100-Table9[[#This Row],[Runs]],0)</f>
        <v>#REF!</v>
      </c>
      <c r="BI106">
        <f>Table9[[#This Row],[Wickets]]*100-Table9[[#This Row],[Runs]]</f>
        <v>-60</v>
      </c>
      <c r="BJ106">
        <f ca="1">IFERROR(IF(MATCH(Table9[[#This Row],[Bowler]],OFFSET(AR107,0,0,BOWLROWS-ROW(AR106)-ROW(Table9[[#Headers],[BOWLER CUML WICKETS]])),0)&gt;0,0,SUMIF($AR$6:AR106,Table9[[#This Row],[Bowler]],$AV$6:AV106)),SUMIF($AR$6:AR106,Table9[[#This Row],[Bowler]],$AV$6:AV106))</f>
        <v>0</v>
      </c>
      <c r="BK106">
        <f ca="1">IFERROR(IF(MATCH(Table9[[#This Row],[Bowler]],OFFSET(AR107,0,0,BOWLROWS-ROW(AR106)-ROW(Table9[[#Headers],[BOWLER CUML WICKETS]])),0)&gt;0,0,SUMIF($AR$6:AR106,Table9[[#This Row],[Bowler]],$AU$6:AU106)),SUMIF($AR$6:AR106,Table9[[#This Row],[Bowler]],$AU$6:AU106))</f>
        <v>0</v>
      </c>
      <c r="BL106">
        <f ca="1">Table9[[#This Row],[BOWLER CUML WICKETS]]*100-Table9[[#This Row],[BOWLER CUML RUNS]]</f>
        <v>0</v>
      </c>
    </row>
    <row r="107" spans="1:64" x14ac:dyDescent="0.3">
      <c r="A107">
        <v>28</v>
      </c>
      <c r="B107" t="s">
        <v>137</v>
      </c>
      <c r="C107" t="s">
        <v>156</v>
      </c>
      <c r="D107" t="s">
        <v>319</v>
      </c>
      <c r="E107">
        <v>22</v>
      </c>
      <c r="F107">
        <v>42</v>
      </c>
      <c r="G107">
        <v>25</v>
      </c>
      <c r="H107">
        <v>2</v>
      </c>
      <c r="I107">
        <v>0</v>
      </c>
      <c r="J107">
        <v>88</v>
      </c>
      <c r="K107">
        <v>5</v>
      </c>
      <c r="L107" t="str">
        <f>CONCATENATE(T_BATTINGDATA[[#This Row],[Match]],T_BATTINGDATA[[#This Row],[Team]],T_BATTINGDATA[[#This Row],[Bat Number]])</f>
        <v>28India5</v>
      </c>
      <c r="M107" t="str">
        <f>IFERROR(IF(AND(T_BATTINGDATA[[#This Row],[Team]]=I_TEAM,IFERROR(IF(MATCH(T_BATTINGDATA[[#This Row],[BATSMAN NAME]],$O$5:O106,0)&gt;0,0),1)),1,0),"")</f>
        <v/>
      </c>
      <c r="N107" t="e">
        <f>IF(T_BATTINGDATA[[#This Row],[Team]]=I_TEAM,T_BATTINGDATA[[#This Row],[R]],0)</f>
        <v>#REF!</v>
      </c>
      <c r="O107" t="str">
        <f>LEFT(T_BATTINGDATA[[#This Row],[Batsman]],IFERROR(FIND("*",T_BATTINGDATA[[#This Row],[Batsman]])-1,IFERROR(FIND("†",T_BATTINGDATA[[#This Row],[Batsman]])-1,LEN(T_BATTINGDATA[[#This Row],[Batsman]]))))</f>
        <v>SK Raina</v>
      </c>
      <c r="P107">
        <f ca="1">IFERROR(IF(MATCH(T_BATTINGDATA[[#This Row],[BATSMAN NAME]],OFFSET(O108,0,0,BATROWS-ROW(O107)-ROW(T_BATTINGDATA[[#Headers],[BATSMAN NAME]])),0)&gt;0,0,SUMIF($O$6:O107,T_BATTINGDATA[[#This Row],[BATSMAN NAME]],$E$6:E107)),SUMIF($O$6:O107,T_BATTINGDATA[[#This Row],[BATSMAN NAME]],$E$6:E107))</f>
        <v>0</v>
      </c>
      <c r="AP107">
        <v>2</v>
      </c>
      <c r="AQ107" t="s">
        <v>154</v>
      </c>
      <c r="AR107" t="s">
        <v>320</v>
      </c>
      <c r="AS107">
        <v>1</v>
      </c>
      <c r="AT107">
        <v>0</v>
      </c>
      <c r="AU107">
        <v>11</v>
      </c>
      <c r="AV107">
        <v>0</v>
      </c>
      <c r="AW107">
        <v>11</v>
      </c>
      <c r="AX107">
        <v>3</v>
      </c>
      <c r="AY107">
        <v>1</v>
      </c>
      <c r="AZ107">
        <v>1</v>
      </c>
      <c r="BC107">
        <v>6</v>
      </c>
      <c r="BD107" t="str">
        <f>CONCATENATE(Table9[[#This Row],[Match Number]],Table9[[#This Row],[Team]],Table9[[#This Row],[BOWL NUM]])</f>
        <v>2England6</v>
      </c>
      <c r="BE107" t="str">
        <f>IFERROR(IF(AND(Table9[[#This Row],[Team]]=I_TEAM,IFERROR(IF(MATCH(Table9[[#This Row],[Bowler]],$AR$5:AR106,0)&gt;0,0),1)),1,0),"")</f>
        <v/>
      </c>
      <c r="BF107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10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107" t="e">
        <f>IF(Table9[[#This Row],[Team]]=I_TEAM,Table9[[#This Row],[Wickets]]*100-Table9[[#This Row],[Runs]],0)</f>
        <v>#REF!</v>
      </c>
      <c r="BI107">
        <f>Table9[[#This Row],[Wickets]]*100-Table9[[#This Row],[Runs]]</f>
        <v>-11</v>
      </c>
      <c r="BJ107">
        <f ca="1">IFERROR(IF(MATCH(Table9[[#This Row],[Bowler]],OFFSET(AR108,0,0,BOWLROWS-ROW(AR107)-ROW(Table9[[#Headers],[BOWLER CUML WICKETS]])),0)&gt;0,0,SUMIF($AR$6:AR107,Table9[[#This Row],[Bowler]],$AV$6:AV107)),SUMIF($AR$6:AR107,Table9[[#This Row],[Bowler]],$AV$6:AV107))</f>
        <v>0</v>
      </c>
      <c r="BK107">
        <f ca="1">IFERROR(IF(MATCH(Table9[[#This Row],[Bowler]],OFFSET(AR108,0,0,BOWLROWS-ROW(AR107)-ROW(Table9[[#Headers],[BOWLER CUML WICKETS]])),0)&gt;0,0,SUMIF($AR$6:AR107,Table9[[#This Row],[Bowler]],$AU$6:AU107)),SUMIF($AR$6:AR107,Table9[[#This Row],[Bowler]],$AU$6:AU107))</f>
        <v>0</v>
      </c>
      <c r="BL107">
        <f ca="1">Table9[[#This Row],[BOWLER CUML WICKETS]]*100-Table9[[#This Row],[BOWLER CUML RUNS]]</f>
        <v>0</v>
      </c>
    </row>
    <row r="108" spans="1:64" x14ac:dyDescent="0.3">
      <c r="A108">
        <v>28</v>
      </c>
      <c r="B108" t="s">
        <v>137</v>
      </c>
      <c r="C108" t="s">
        <v>160</v>
      </c>
      <c r="D108" t="s">
        <v>167</v>
      </c>
      <c r="E108">
        <v>45</v>
      </c>
      <c r="F108">
        <v>96</v>
      </c>
      <c r="G108">
        <v>56</v>
      </c>
      <c r="H108">
        <v>3</v>
      </c>
      <c r="I108">
        <v>1</v>
      </c>
      <c r="J108">
        <v>80.349999999999994</v>
      </c>
      <c r="K108">
        <v>6</v>
      </c>
      <c r="L108" t="str">
        <f>CONCATENATE(T_BATTINGDATA[[#This Row],[Match]],T_BATTINGDATA[[#This Row],[Team]],T_BATTINGDATA[[#This Row],[Bat Number]])</f>
        <v>28India6</v>
      </c>
      <c r="M108" t="str">
        <f>IFERROR(IF(AND(T_BATTINGDATA[[#This Row],[Team]]=I_TEAM,IFERROR(IF(MATCH(T_BATTINGDATA[[#This Row],[BATSMAN NAME]],$O$5:O107,0)&gt;0,0),1)),1,0),"")</f>
        <v/>
      </c>
      <c r="N108" t="e">
        <f>IF(T_BATTINGDATA[[#This Row],[Team]]=I_TEAM,T_BATTINGDATA[[#This Row],[R]],0)</f>
        <v>#REF!</v>
      </c>
      <c r="O108" t="str">
        <f>LEFT(T_BATTINGDATA[[#This Row],[Batsman]],IFERROR(FIND("*",T_BATTINGDATA[[#This Row],[Batsman]])-1,IFERROR(FIND("†",T_BATTINGDATA[[#This Row],[Batsman]])-1,LEN(T_BATTINGDATA[[#This Row],[Batsman]]))))</f>
        <v>MS Dhoni</v>
      </c>
      <c r="P108">
        <f ca="1">IFERROR(IF(MATCH(T_BATTINGDATA[[#This Row],[BATSMAN NAME]],OFFSET(O109,0,0,BATROWS-ROW(O108)-ROW(T_BATTINGDATA[[#Headers],[BATSMAN NAME]])),0)&gt;0,0,SUMIF($O$6:O108,T_BATTINGDATA[[#This Row],[BATSMAN NAME]],$E$6:E108)),SUMIF($O$6:O108,T_BATTINGDATA[[#This Row],[BATSMAN NAME]],$E$6:E108))</f>
        <v>0</v>
      </c>
      <c r="AP108">
        <v>2</v>
      </c>
      <c r="AQ108" t="s">
        <v>149</v>
      </c>
      <c r="AR108" t="s">
        <v>321</v>
      </c>
      <c r="AS108">
        <v>9</v>
      </c>
      <c r="AT108">
        <v>1</v>
      </c>
      <c r="AU108">
        <v>47</v>
      </c>
      <c r="AV108">
        <v>2</v>
      </c>
      <c r="AW108">
        <v>5.22</v>
      </c>
      <c r="AX108">
        <v>34</v>
      </c>
      <c r="AY108">
        <v>6</v>
      </c>
      <c r="AZ108">
        <v>1</v>
      </c>
      <c r="BC108">
        <v>1</v>
      </c>
      <c r="BD108" t="str">
        <f>CONCATENATE(Table9[[#This Row],[Match Number]],Table9[[#This Row],[Team]],Table9[[#This Row],[BOWL NUM]])</f>
        <v>2Australia1</v>
      </c>
      <c r="BE108" t="str">
        <f>IFERROR(IF(AND(Table9[[#This Row],[Team]]=I_TEAM,IFERROR(IF(MATCH(Table9[[#This Row],[Bowler]],$AR$5:AR107,0)&gt;0,0),1)),1,0),"")</f>
        <v/>
      </c>
      <c r="BF108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0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08" t="e">
        <f>IF(Table9[[#This Row],[Team]]=I_TEAM,Table9[[#This Row],[Wickets]]*100-Table9[[#This Row],[Runs]],0)</f>
        <v>#REF!</v>
      </c>
      <c r="BI108">
        <f>Table9[[#This Row],[Wickets]]*100-Table9[[#This Row],[Runs]]</f>
        <v>153</v>
      </c>
      <c r="BJ108">
        <f ca="1">IFERROR(IF(MATCH(Table9[[#This Row],[Bowler]],OFFSET(AR109,0,0,BOWLROWS-ROW(AR108)-ROW(Table9[[#Headers],[BOWLER CUML WICKETS]])),0)&gt;0,0,SUMIF($AR$6:AR108,Table9[[#This Row],[Bowler]],$AV$6:AV108)),SUMIF($AR$6:AR108,Table9[[#This Row],[Bowler]],$AV$6:AV108))</f>
        <v>0</v>
      </c>
      <c r="BK108">
        <f ca="1">IFERROR(IF(MATCH(Table9[[#This Row],[Bowler]],OFFSET(AR109,0,0,BOWLROWS-ROW(AR108)-ROW(Table9[[#Headers],[BOWLER CUML WICKETS]])),0)&gt;0,0,SUMIF($AR$6:AR108,Table9[[#This Row],[Bowler]],$AU$6:AU108)),SUMIF($AR$6:AR108,Table9[[#This Row],[Bowler]],$AU$6:AU108))</f>
        <v>0</v>
      </c>
      <c r="BL108">
        <f ca="1">Table9[[#This Row],[BOWLER CUML WICKETS]]*100-Table9[[#This Row],[BOWLER CUML RUNS]]</f>
        <v>0</v>
      </c>
    </row>
    <row r="109" spans="1:64" x14ac:dyDescent="0.3">
      <c r="A109">
        <v>28</v>
      </c>
      <c r="B109" t="s">
        <v>137</v>
      </c>
      <c r="C109" t="s">
        <v>163</v>
      </c>
      <c r="D109" t="s">
        <v>315</v>
      </c>
      <c r="E109">
        <v>13</v>
      </c>
      <c r="F109">
        <v>31</v>
      </c>
      <c r="G109">
        <v>23</v>
      </c>
      <c r="H109">
        <v>2</v>
      </c>
      <c r="I109">
        <v>0</v>
      </c>
      <c r="J109">
        <v>56.52</v>
      </c>
      <c r="K109">
        <v>7</v>
      </c>
      <c r="L109" t="str">
        <f>CONCATENATE(T_BATTINGDATA[[#This Row],[Match]],T_BATTINGDATA[[#This Row],[Team]],T_BATTINGDATA[[#This Row],[Bat Number]])</f>
        <v>28India7</v>
      </c>
      <c r="M109" t="str">
        <f>IFERROR(IF(AND(T_BATTINGDATA[[#This Row],[Team]]=I_TEAM,IFERROR(IF(MATCH(T_BATTINGDATA[[#This Row],[BATSMAN NAME]],$O$5:O108,0)&gt;0,0),1)),1,0),"")</f>
        <v/>
      </c>
      <c r="N109" t="e">
        <f>IF(T_BATTINGDATA[[#This Row],[Team]]=I_TEAM,T_BATTINGDATA[[#This Row],[R]],0)</f>
        <v>#REF!</v>
      </c>
      <c r="O109" t="str">
        <f>LEFT(T_BATTINGDATA[[#This Row],[Batsman]],IFERROR(FIND("*",T_BATTINGDATA[[#This Row],[Batsman]])-1,IFERROR(FIND("†",T_BATTINGDATA[[#This Row],[Batsman]])-1,LEN(T_BATTINGDATA[[#This Row],[Batsman]]))))</f>
        <v>RA Jadeja</v>
      </c>
      <c r="P109">
        <f ca="1">IFERROR(IF(MATCH(T_BATTINGDATA[[#This Row],[BATSMAN NAME]],OFFSET(O110,0,0,BATROWS-ROW(O109)-ROW(T_BATTINGDATA[[#Headers],[BATSMAN NAME]])),0)&gt;0,0,SUMIF($O$6:O109,T_BATTINGDATA[[#This Row],[BATSMAN NAME]],$E$6:E109)),SUMIF($O$6:O109,T_BATTINGDATA[[#This Row],[BATSMAN NAME]],$E$6:E109))</f>
        <v>0</v>
      </c>
      <c r="AP109">
        <v>2</v>
      </c>
      <c r="AQ109" t="s">
        <v>149</v>
      </c>
      <c r="AR109" t="s">
        <v>322</v>
      </c>
      <c r="AS109">
        <v>6.5</v>
      </c>
      <c r="AT109">
        <v>0</v>
      </c>
      <c r="AU109">
        <v>45</v>
      </c>
      <c r="AV109">
        <v>0</v>
      </c>
      <c r="AW109">
        <v>6.58</v>
      </c>
      <c r="AX109">
        <v>22</v>
      </c>
      <c r="AY109">
        <v>6</v>
      </c>
      <c r="AZ109">
        <v>0</v>
      </c>
      <c r="BA109">
        <v>3</v>
      </c>
      <c r="BC109">
        <v>2</v>
      </c>
      <c r="BD109" t="str">
        <f>CONCATENATE(Table9[[#This Row],[Match Number]],Table9[[#This Row],[Team]],Table9[[#This Row],[BOWL NUM]])</f>
        <v>2Australia2</v>
      </c>
      <c r="BE109" t="str">
        <f>IFERROR(IF(AND(Table9[[#This Row],[Team]]=I_TEAM,IFERROR(IF(MATCH(Table9[[#This Row],[Bowler]],$AR$5:AR108,0)&gt;0,0),1)),1,0),"")</f>
        <v/>
      </c>
      <c r="BF109">
        <f>(LEFT(Table9[[#This Row],[Overs]],IFERROR(FIND(".",Table9[[#This Row],[Overs]])-1,LEN(Table9[[#This Row],[Overs]])))*6) + IFERROR(IF(FIND(".",Table9[[#This Row],[Overs]])+1&gt;0,RIGHT(Table9[[#This Row],[Overs]],1),0),0)</f>
        <v>41</v>
      </c>
      <c r="BG10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09" t="e">
        <f>IF(Table9[[#This Row],[Team]]=I_TEAM,Table9[[#This Row],[Wickets]]*100-Table9[[#This Row],[Runs]],0)</f>
        <v>#REF!</v>
      </c>
      <c r="BI109">
        <f>Table9[[#This Row],[Wickets]]*100-Table9[[#This Row],[Runs]]</f>
        <v>-45</v>
      </c>
      <c r="BJ109">
        <f ca="1">IFERROR(IF(MATCH(Table9[[#This Row],[Bowler]],OFFSET(AR110,0,0,BOWLROWS-ROW(AR109)-ROW(Table9[[#Headers],[BOWLER CUML WICKETS]])),0)&gt;0,0,SUMIF($AR$6:AR109,Table9[[#This Row],[Bowler]],$AV$6:AV109)),SUMIF($AR$6:AR109,Table9[[#This Row],[Bowler]],$AV$6:AV109))</f>
        <v>0</v>
      </c>
      <c r="BK109">
        <f ca="1">IFERROR(IF(MATCH(Table9[[#This Row],[Bowler]],OFFSET(AR110,0,0,BOWLROWS-ROW(AR109)-ROW(Table9[[#Headers],[BOWLER CUML WICKETS]])),0)&gt;0,0,SUMIF($AR$6:AR109,Table9[[#This Row],[Bowler]],$AU$6:AU109)),SUMIF($AR$6:AR109,Table9[[#This Row],[Bowler]],$AU$6:AU109))</f>
        <v>0</v>
      </c>
      <c r="BL109">
        <f ca="1">Table9[[#This Row],[BOWLER CUML WICKETS]]*100-Table9[[#This Row],[BOWLER CUML RUNS]]</f>
        <v>0</v>
      </c>
    </row>
    <row r="110" spans="1:64" x14ac:dyDescent="0.3">
      <c r="A110">
        <v>28</v>
      </c>
      <c r="B110" t="s">
        <v>137</v>
      </c>
      <c r="C110" t="s">
        <v>166</v>
      </c>
      <c r="D110" t="s">
        <v>167</v>
      </c>
      <c r="E110">
        <v>16</v>
      </c>
      <c r="F110">
        <v>39</v>
      </c>
      <c r="G110">
        <v>32</v>
      </c>
      <c r="H110">
        <v>0</v>
      </c>
      <c r="I110">
        <v>0</v>
      </c>
      <c r="J110">
        <v>50</v>
      </c>
      <c r="K110">
        <v>8</v>
      </c>
      <c r="L110" t="str">
        <f>CONCATENATE(T_BATTINGDATA[[#This Row],[Match]],T_BATTINGDATA[[#This Row],[Team]],T_BATTINGDATA[[#This Row],[Bat Number]])</f>
        <v>28India8</v>
      </c>
      <c r="M110" t="str">
        <f>IFERROR(IF(AND(T_BATTINGDATA[[#This Row],[Team]]=I_TEAM,IFERROR(IF(MATCH(T_BATTINGDATA[[#This Row],[BATSMAN NAME]],$O$5:O109,0)&gt;0,0),1)),1,0),"")</f>
        <v/>
      </c>
      <c r="N110" t="e">
        <f>IF(T_BATTINGDATA[[#This Row],[Team]]=I_TEAM,T_BATTINGDATA[[#This Row],[R]],0)</f>
        <v>#REF!</v>
      </c>
      <c r="O110" t="str">
        <f>LEFT(T_BATTINGDATA[[#This Row],[Batsman]],IFERROR(FIND("*",T_BATTINGDATA[[#This Row],[Batsman]])-1,IFERROR(FIND("†",T_BATTINGDATA[[#This Row],[Batsman]])-1,LEN(T_BATTINGDATA[[#This Row],[Batsman]]))))</f>
        <v>R Ashwin</v>
      </c>
      <c r="P110">
        <f ca="1">IFERROR(IF(MATCH(T_BATTINGDATA[[#This Row],[BATSMAN NAME]],OFFSET(O111,0,0,BATROWS-ROW(O110)-ROW(T_BATTINGDATA[[#Headers],[BATSMAN NAME]])),0)&gt;0,0,SUMIF($O$6:O110,T_BATTINGDATA[[#This Row],[BATSMAN NAME]],$E$6:E110)),SUMIF($O$6:O110,T_BATTINGDATA[[#This Row],[BATSMAN NAME]],$E$6:E110))</f>
        <v>0</v>
      </c>
      <c r="AP110">
        <v>2</v>
      </c>
      <c r="AQ110" t="s">
        <v>149</v>
      </c>
      <c r="AR110" t="s">
        <v>323</v>
      </c>
      <c r="AS110">
        <v>8</v>
      </c>
      <c r="AT110">
        <v>0</v>
      </c>
      <c r="AU110">
        <v>36</v>
      </c>
      <c r="AV110">
        <v>2</v>
      </c>
      <c r="AW110">
        <v>4.5</v>
      </c>
      <c r="AX110">
        <v>35</v>
      </c>
      <c r="AY110">
        <v>4</v>
      </c>
      <c r="AZ110">
        <v>0</v>
      </c>
      <c r="BA110">
        <v>3</v>
      </c>
      <c r="BC110">
        <v>3</v>
      </c>
      <c r="BD110" t="str">
        <f>CONCATENATE(Table9[[#This Row],[Match Number]],Table9[[#This Row],[Team]],Table9[[#This Row],[BOWL NUM]])</f>
        <v>2Australia3</v>
      </c>
      <c r="BE110" t="str">
        <f>IFERROR(IF(AND(Table9[[#This Row],[Team]]=I_TEAM,IFERROR(IF(MATCH(Table9[[#This Row],[Bowler]],$AR$5:AR109,0)&gt;0,0),1)),1,0),"")</f>
        <v/>
      </c>
      <c r="BF11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1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10" t="e">
        <f>IF(Table9[[#This Row],[Team]]=I_TEAM,Table9[[#This Row],[Wickets]]*100-Table9[[#This Row],[Runs]],0)</f>
        <v>#REF!</v>
      </c>
      <c r="BI110">
        <f>Table9[[#This Row],[Wickets]]*100-Table9[[#This Row],[Runs]]</f>
        <v>164</v>
      </c>
      <c r="BJ110">
        <f ca="1">IFERROR(IF(MATCH(Table9[[#This Row],[Bowler]],OFFSET(AR111,0,0,BOWLROWS-ROW(AR110)-ROW(Table9[[#Headers],[BOWLER CUML WICKETS]])),0)&gt;0,0,SUMIF($AR$6:AR110,Table9[[#This Row],[Bowler]],$AV$6:AV110)),SUMIF($AR$6:AR110,Table9[[#This Row],[Bowler]],$AV$6:AV110))</f>
        <v>0</v>
      </c>
      <c r="BK110">
        <f ca="1">IFERROR(IF(MATCH(Table9[[#This Row],[Bowler]],OFFSET(AR111,0,0,BOWLROWS-ROW(AR110)-ROW(Table9[[#Headers],[BOWLER CUML WICKETS]])),0)&gt;0,0,SUMIF($AR$6:AR110,Table9[[#This Row],[Bowler]],$AU$6:AU110)),SUMIF($AR$6:AR110,Table9[[#This Row],[Bowler]],$AU$6:AU110))</f>
        <v>0</v>
      </c>
      <c r="BL110">
        <f ca="1">Table9[[#This Row],[BOWLER CUML WICKETS]]*100-Table9[[#This Row],[BOWLER CUML RUNS]]</f>
        <v>0</v>
      </c>
    </row>
    <row r="111" spans="1:64" x14ac:dyDescent="0.3">
      <c r="A111">
        <v>44</v>
      </c>
      <c r="B111" t="s">
        <v>137</v>
      </c>
      <c r="C111" t="s">
        <v>138</v>
      </c>
      <c r="D111" t="s">
        <v>324</v>
      </c>
      <c r="E111">
        <v>137</v>
      </c>
      <c r="F111">
        <v>223</v>
      </c>
      <c r="G111">
        <v>126</v>
      </c>
      <c r="H111">
        <v>14</v>
      </c>
      <c r="I111">
        <v>3</v>
      </c>
      <c r="J111">
        <v>108.73</v>
      </c>
      <c r="K111">
        <v>1</v>
      </c>
      <c r="L111" t="str">
        <f>CONCATENATE(T_BATTINGDATA[[#This Row],[Match]],T_BATTINGDATA[[#This Row],[Team]],T_BATTINGDATA[[#This Row],[Bat Number]])</f>
        <v>44India1</v>
      </c>
      <c r="M111" t="str">
        <f>IFERROR(IF(AND(T_BATTINGDATA[[#This Row],[Team]]=I_TEAM,IFERROR(IF(MATCH(T_BATTINGDATA[[#This Row],[BATSMAN NAME]],$O$5:O110,0)&gt;0,0),1)),1,0),"")</f>
        <v/>
      </c>
      <c r="N111" t="e">
        <f>IF(T_BATTINGDATA[[#This Row],[Team]]=I_TEAM,T_BATTINGDATA[[#This Row],[R]],0)</f>
        <v>#REF!</v>
      </c>
      <c r="O111" t="str">
        <f>LEFT(T_BATTINGDATA[[#This Row],[Batsman]],IFERROR(FIND("*",T_BATTINGDATA[[#This Row],[Batsman]])-1,IFERROR(FIND("†",T_BATTINGDATA[[#This Row],[Batsman]])-1,LEN(T_BATTINGDATA[[#This Row],[Batsman]]))))</f>
        <v>RG Sharma</v>
      </c>
      <c r="P111">
        <f ca="1">IFERROR(IF(MATCH(T_BATTINGDATA[[#This Row],[BATSMAN NAME]],OFFSET(O112,0,0,BATROWS-ROW(O111)-ROW(T_BATTINGDATA[[#Headers],[BATSMAN NAME]])),0)&gt;0,0,SUMIF($O$6:O111,T_BATTINGDATA[[#This Row],[BATSMAN NAME]],$E$6:E111)),SUMIF($O$6:O111,T_BATTINGDATA[[#This Row],[BATSMAN NAME]],$E$6:E111))</f>
        <v>0</v>
      </c>
      <c r="AP111">
        <v>2</v>
      </c>
      <c r="AQ111" t="s">
        <v>149</v>
      </c>
      <c r="AR111" t="s">
        <v>325</v>
      </c>
      <c r="AS111">
        <v>9</v>
      </c>
      <c r="AT111">
        <v>0</v>
      </c>
      <c r="AU111">
        <v>33</v>
      </c>
      <c r="AV111">
        <v>5</v>
      </c>
      <c r="AW111">
        <v>3.66</v>
      </c>
      <c r="AX111">
        <v>33</v>
      </c>
      <c r="AY111">
        <v>2</v>
      </c>
      <c r="AZ111">
        <v>1</v>
      </c>
      <c r="BC111">
        <v>4</v>
      </c>
      <c r="BD111" t="str">
        <f>CONCATENATE(Table9[[#This Row],[Match Number]],Table9[[#This Row],[Team]],Table9[[#This Row],[BOWL NUM]])</f>
        <v>2Australia4</v>
      </c>
      <c r="BE111" t="str">
        <f>IFERROR(IF(AND(Table9[[#This Row],[Team]]=I_TEAM,IFERROR(IF(MATCH(Table9[[#This Row],[Bowler]],$AR$5:AR110,0)&gt;0,0),1)),1,0),"")</f>
        <v/>
      </c>
      <c r="BF111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1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11" t="e">
        <f>IF(Table9[[#This Row],[Team]]=I_TEAM,Table9[[#This Row],[Wickets]]*100-Table9[[#This Row],[Runs]],0)</f>
        <v>#REF!</v>
      </c>
      <c r="BI111">
        <f>Table9[[#This Row],[Wickets]]*100-Table9[[#This Row],[Runs]]</f>
        <v>467</v>
      </c>
      <c r="BJ111">
        <f ca="1">IFERROR(IF(MATCH(Table9[[#This Row],[Bowler]],OFFSET(AR112,0,0,BOWLROWS-ROW(AR111)-ROW(Table9[[#Headers],[BOWLER CUML WICKETS]])),0)&gt;0,0,SUMIF($AR$6:AR111,Table9[[#This Row],[Bowler]],$AV$6:AV111)),SUMIF($AR$6:AR111,Table9[[#This Row],[Bowler]],$AV$6:AV111))</f>
        <v>0</v>
      </c>
      <c r="BK111">
        <f ca="1">IFERROR(IF(MATCH(Table9[[#This Row],[Bowler]],OFFSET(AR112,0,0,BOWLROWS-ROW(AR111)-ROW(Table9[[#Headers],[BOWLER CUML WICKETS]])),0)&gt;0,0,SUMIF($AR$6:AR111,Table9[[#This Row],[Bowler]],$AU$6:AU111)),SUMIF($AR$6:AR111,Table9[[#This Row],[Bowler]],$AU$6:AU111))</f>
        <v>0</v>
      </c>
      <c r="BL111">
        <f ca="1">Table9[[#This Row],[BOWLER CUML WICKETS]]*100-Table9[[#This Row],[BOWLER CUML RUNS]]</f>
        <v>0</v>
      </c>
    </row>
    <row r="112" spans="1:64" x14ac:dyDescent="0.3">
      <c r="A112">
        <v>44</v>
      </c>
      <c r="B112" t="s">
        <v>137</v>
      </c>
      <c r="C112" t="s">
        <v>143</v>
      </c>
      <c r="D112" t="s">
        <v>326</v>
      </c>
      <c r="E112">
        <v>30</v>
      </c>
      <c r="F112">
        <v>74</v>
      </c>
      <c r="G112">
        <v>50</v>
      </c>
      <c r="H112">
        <v>3</v>
      </c>
      <c r="I112">
        <v>0</v>
      </c>
      <c r="J112">
        <v>60</v>
      </c>
      <c r="K112">
        <v>2</v>
      </c>
      <c r="L112" t="str">
        <f>CONCATENATE(T_BATTINGDATA[[#This Row],[Match]],T_BATTINGDATA[[#This Row],[Team]],T_BATTINGDATA[[#This Row],[Bat Number]])</f>
        <v>44India2</v>
      </c>
      <c r="M112" t="str">
        <f>IFERROR(IF(AND(T_BATTINGDATA[[#This Row],[Team]]=I_TEAM,IFERROR(IF(MATCH(T_BATTINGDATA[[#This Row],[BATSMAN NAME]],$O$5:O111,0)&gt;0,0),1)),1,0),"")</f>
        <v/>
      </c>
      <c r="N112" t="e">
        <f>IF(T_BATTINGDATA[[#This Row],[Team]]=I_TEAM,T_BATTINGDATA[[#This Row],[R]],0)</f>
        <v>#REF!</v>
      </c>
      <c r="O112" t="str">
        <f>LEFT(T_BATTINGDATA[[#This Row],[Batsman]],IFERROR(FIND("*",T_BATTINGDATA[[#This Row],[Batsman]])-1,IFERROR(FIND("†",T_BATTINGDATA[[#This Row],[Batsman]])-1,LEN(T_BATTINGDATA[[#This Row],[Batsman]]))))</f>
        <v>S Dhawan</v>
      </c>
      <c r="P112">
        <f ca="1">IFERROR(IF(MATCH(T_BATTINGDATA[[#This Row],[BATSMAN NAME]],OFFSET(O113,0,0,BATROWS-ROW(O112)-ROW(T_BATTINGDATA[[#Headers],[BATSMAN NAME]])),0)&gt;0,0,SUMIF($O$6:O112,T_BATTINGDATA[[#This Row],[BATSMAN NAME]],$E$6:E112)),SUMIF($O$6:O112,T_BATTINGDATA[[#This Row],[BATSMAN NAME]],$E$6:E112))</f>
        <v>0</v>
      </c>
      <c r="AP112">
        <v>2</v>
      </c>
      <c r="AQ112" t="s">
        <v>149</v>
      </c>
      <c r="AR112" t="s">
        <v>327</v>
      </c>
      <c r="AS112">
        <v>3</v>
      </c>
      <c r="AT112">
        <v>0</v>
      </c>
      <c r="AU112">
        <v>13</v>
      </c>
      <c r="AV112">
        <v>0</v>
      </c>
      <c r="AW112">
        <v>4.33</v>
      </c>
      <c r="AX112">
        <v>8</v>
      </c>
      <c r="AY112">
        <v>0</v>
      </c>
      <c r="AZ112">
        <v>0</v>
      </c>
      <c r="BC112">
        <v>5</v>
      </c>
      <c r="BD112" t="str">
        <f>CONCATENATE(Table9[[#This Row],[Match Number]],Table9[[#This Row],[Team]],Table9[[#This Row],[BOWL NUM]])</f>
        <v>2Australia5</v>
      </c>
      <c r="BE112" t="str">
        <f>IFERROR(IF(AND(Table9[[#This Row],[Team]]=I_TEAM,IFERROR(IF(MATCH(Table9[[#This Row],[Bowler]],$AR$5:AR111,0)&gt;0,0),1)),1,0),"")</f>
        <v/>
      </c>
      <c r="BF112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11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12" t="e">
        <f>IF(Table9[[#This Row],[Team]]=I_TEAM,Table9[[#This Row],[Wickets]]*100-Table9[[#This Row],[Runs]],0)</f>
        <v>#REF!</v>
      </c>
      <c r="BI112">
        <f>Table9[[#This Row],[Wickets]]*100-Table9[[#This Row],[Runs]]</f>
        <v>-13</v>
      </c>
      <c r="BJ112">
        <f ca="1">IFERROR(IF(MATCH(Table9[[#This Row],[Bowler]],OFFSET(AR113,0,0,BOWLROWS-ROW(AR112)-ROW(Table9[[#Headers],[BOWLER CUML WICKETS]])),0)&gt;0,0,SUMIF($AR$6:AR112,Table9[[#This Row],[Bowler]],$AV$6:AV112)),SUMIF($AR$6:AR112,Table9[[#This Row],[Bowler]],$AV$6:AV112))</f>
        <v>0</v>
      </c>
      <c r="BK112">
        <f ca="1">IFERROR(IF(MATCH(Table9[[#This Row],[Bowler]],OFFSET(AR113,0,0,BOWLROWS-ROW(AR112)-ROW(Table9[[#Headers],[BOWLER CUML WICKETS]])),0)&gt;0,0,SUMIF($AR$6:AR112,Table9[[#This Row],[Bowler]],$AU$6:AU112)),SUMIF($AR$6:AR112,Table9[[#This Row],[Bowler]],$AU$6:AU112))</f>
        <v>0</v>
      </c>
      <c r="BL112">
        <f ca="1">Table9[[#This Row],[BOWLER CUML WICKETS]]*100-Table9[[#This Row],[BOWLER CUML RUNS]]</f>
        <v>0</v>
      </c>
    </row>
    <row r="113" spans="1:64" x14ac:dyDescent="0.3">
      <c r="A113">
        <v>44</v>
      </c>
      <c r="B113" t="s">
        <v>137</v>
      </c>
      <c r="C113" t="s">
        <v>147</v>
      </c>
      <c r="D113" t="s">
        <v>328</v>
      </c>
      <c r="E113">
        <v>3</v>
      </c>
      <c r="F113">
        <v>6</v>
      </c>
      <c r="G113">
        <v>8</v>
      </c>
      <c r="H113">
        <v>0</v>
      </c>
      <c r="I113">
        <v>0</v>
      </c>
      <c r="J113">
        <v>37.5</v>
      </c>
      <c r="K113">
        <v>3</v>
      </c>
      <c r="L113" t="str">
        <f>CONCATENATE(T_BATTINGDATA[[#This Row],[Match]],T_BATTINGDATA[[#This Row],[Team]],T_BATTINGDATA[[#This Row],[Bat Number]])</f>
        <v>44India3</v>
      </c>
      <c r="M113" t="str">
        <f>IFERROR(IF(AND(T_BATTINGDATA[[#This Row],[Team]]=I_TEAM,IFERROR(IF(MATCH(T_BATTINGDATA[[#This Row],[BATSMAN NAME]],$O$5:O112,0)&gt;0,0),1)),1,0),"")</f>
        <v/>
      </c>
      <c r="N113" t="e">
        <f>IF(T_BATTINGDATA[[#This Row],[Team]]=I_TEAM,T_BATTINGDATA[[#This Row],[R]],0)</f>
        <v>#REF!</v>
      </c>
      <c r="O113" t="str">
        <f>LEFT(T_BATTINGDATA[[#This Row],[Batsman]],IFERROR(FIND("*",T_BATTINGDATA[[#This Row],[Batsman]])-1,IFERROR(FIND("†",T_BATTINGDATA[[#This Row],[Batsman]])-1,LEN(T_BATTINGDATA[[#This Row],[Batsman]]))))</f>
        <v>V Kohli</v>
      </c>
      <c r="P113">
        <f ca="1">IFERROR(IF(MATCH(T_BATTINGDATA[[#This Row],[BATSMAN NAME]],OFFSET(O114,0,0,BATROWS-ROW(O113)-ROW(T_BATTINGDATA[[#Headers],[BATSMAN NAME]])),0)&gt;0,0,SUMIF($O$6:O113,T_BATTINGDATA[[#This Row],[BATSMAN NAME]],$E$6:E113)),SUMIF($O$6:O113,T_BATTINGDATA[[#This Row],[BATSMAN NAME]],$E$6:E113))</f>
        <v>0</v>
      </c>
      <c r="AP113">
        <v>2</v>
      </c>
      <c r="AQ113" t="s">
        <v>149</v>
      </c>
      <c r="AR113" t="s">
        <v>329</v>
      </c>
      <c r="AS113">
        <v>4</v>
      </c>
      <c r="AT113">
        <v>0</v>
      </c>
      <c r="AU113">
        <v>33</v>
      </c>
      <c r="AV113">
        <v>0</v>
      </c>
      <c r="AW113">
        <v>8.25</v>
      </c>
      <c r="AX113">
        <v>6</v>
      </c>
      <c r="AY113">
        <v>3</v>
      </c>
      <c r="AZ113">
        <v>0</v>
      </c>
      <c r="BA113">
        <v>1</v>
      </c>
      <c r="BC113">
        <v>6</v>
      </c>
      <c r="BD113" t="str">
        <f>CONCATENATE(Table9[[#This Row],[Match Number]],Table9[[#This Row],[Team]],Table9[[#This Row],[BOWL NUM]])</f>
        <v>2Australia6</v>
      </c>
      <c r="BE113" t="str">
        <f>IFERROR(IF(AND(Table9[[#This Row],[Team]]=I_TEAM,IFERROR(IF(MATCH(Table9[[#This Row],[Bowler]],$AR$5:AR112,0)&gt;0,0),1)),1,0),"")</f>
        <v/>
      </c>
      <c r="BF113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11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13" t="e">
        <f>IF(Table9[[#This Row],[Team]]=I_TEAM,Table9[[#This Row],[Wickets]]*100-Table9[[#This Row],[Runs]],0)</f>
        <v>#REF!</v>
      </c>
      <c r="BI113">
        <f>Table9[[#This Row],[Wickets]]*100-Table9[[#This Row],[Runs]]</f>
        <v>-33</v>
      </c>
      <c r="BJ113">
        <f ca="1">IFERROR(IF(MATCH(Table9[[#This Row],[Bowler]],OFFSET(AR114,0,0,BOWLROWS-ROW(AR113)-ROW(Table9[[#Headers],[BOWLER CUML WICKETS]])),0)&gt;0,0,SUMIF($AR$6:AR113,Table9[[#This Row],[Bowler]],$AV$6:AV113)),SUMIF($AR$6:AR113,Table9[[#This Row],[Bowler]],$AV$6:AV113))</f>
        <v>0</v>
      </c>
      <c r="BK113">
        <f ca="1">IFERROR(IF(MATCH(Table9[[#This Row],[Bowler]],OFFSET(AR114,0,0,BOWLROWS-ROW(AR113)-ROW(Table9[[#Headers],[BOWLER CUML WICKETS]])),0)&gt;0,0,SUMIF($AR$6:AR113,Table9[[#This Row],[Bowler]],$AU$6:AU113)),SUMIF($AR$6:AR113,Table9[[#This Row],[Bowler]],$AU$6:AU113))</f>
        <v>0</v>
      </c>
      <c r="BL113">
        <f ca="1">Table9[[#This Row],[BOWLER CUML WICKETS]]*100-Table9[[#This Row],[BOWLER CUML RUNS]]</f>
        <v>0</v>
      </c>
    </row>
    <row r="114" spans="1:64" x14ac:dyDescent="0.3">
      <c r="A114">
        <v>44</v>
      </c>
      <c r="B114" t="s">
        <v>137</v>
      </c>
      <c r="C114" t="s">
        <v>151</v>
      </c>
      <c r="D114" t="s">
        <v>330</v>
      </c>
      <c r="E114">
        <v>19</v>
      </c>
      <c r="F114">
        <v>38</v>
      </c>
      <c r="G114">
        <v>37</v>
      </c>
      <c r="H114">
        <v>1</v>
      </c>
      <c r="I114">
        <v>0</v>
      </c>
      <c r="J114">
        <v>51.35</v>
      </c>
      <c r="K114">
        <v>4</v>
      </c>
      <c r="L114" t="str">
        <f>CONCATENATE(T_BATTINGDATA[[#This Row],[Match]],T_BATTINGDATA[[#This Row],[Team]],T_BATTINGDATA[[#This Row],[Bat Number]])</f>
        <v>44India4</v>
      </c>
      <c r="M114" t="str">
        <f>IFERROR(IF(AND(T_BATTINGDATA[[#This Row],[Team]]=I_TEAM,IFERROR(IF(MATCH(T_BATTINGDATA[[#This Row],[BATSMAN NAME]],$O$5:O113,0)&gt;0,0),1)),1,0),"")</f>
        <v/>
      </c>
      <c r="N114" t="e">
        <f>IF(T_BATTINGDATA[[#This Row],[Team]]=I_TEAM,T_BATTINGDATA[[#This Row],[R]],0)</f>
        <v>#REF!</v>
      </c>
      <c r="O114" t="str">
        <f>LEFT(T_BATTINGDATA[[#This Row],[Batsman]],IFERROR(FIND("*",T_BATTINGDATA[[#This Row],[Batsman]])-1,IFERROR(FIND("†",T_BATTINGDATA[[#This Row],[Batsman]])-1,LEN(T_BATTINGDATA[[#This Row],[Batsman]]))))</f>
        <v>AM Rahane</v>
      </c>
      <c r="P114">
        <f ca="1">IFERROR(IF(MATCH(T_BATTINGDATA[[#This Row],[BATSMAN NAME]],OFFSET(O115,0,0,BATROWS-ROW(O114)-ROW(T_BATTINGDATA[[#Headers],[BATSMAN NAME]])),0)&gt;0,0,SUMIF($O$6:O114,T_BATTINGDATA[[#This Row],[BATSMAN NAME]],$E$6:E114)),SUMIF($O$6:O114,T_BATTINGDATA[[#This Row],[BATSMAN NAME]],$E$6:E114))</f>
        <v>0</v>
      </c>
      <c r="AP114">
        <v>2</v>
      </c>
      <c r="AQ114" t="s">
        <v>149</v>
      </c>
      <c r="AR114" t="s">
        <v>331</v>
      </c>
      <c r="AS114">
        <v>2</v>
      </c>
      <c r="AT114">
        <v>0</v>
      </c>
      <c r="AU114">
        <v>19</v>
      </c>
      <c r="AV114">
        <v>0</v>
      </c>
      <c r="AW114">
        <v>9.5</v>
      </c>
      <c r="AX114">
        <v>3</v>
      </c>
      <c r="AY114">
        <v>2</v>
      </c>
      <c r="AZ114">
        <v>0</v>
      </c>
      <c r="BA114">
        <v>0</v>
      </c>
      <c r="BC114">
        <v>7</v>
      </c>
      <c r="BD114" t="str">
        <f>CONCATENATE(Table9[[#This Row],[Match Number]],Table9[[#This Row],[Team]],Table9[[#This Row],[BOWL NUM]])</f>
        <v>2Australia7</v>
      </c>
      <c r="BE114" t="str">
        <f>IFERROR(IF(AND(Table9[[#This Row],[Team]]=I_TEAM,IFERROR(IF(MATCH(Table9[[#This Row],[Bowler]],$AR$5:AR113,0)&gt;0,0),1)),1,0),"")</f>
        <v/>
      </c>
      <c r="BF114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11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14" t="e">
        <f>IF(Table9[[#This Row],[Team]]=I_TEAM,Table9[[#This Row],[Wickets]]*100-Table9[[#This Row],[Runs]],0)</f>
        <v>#REF!</v>
      </c>
      <c r="BI114">
        <f>Table9[[#This Row],[Wickets]]*100-Table9[[#This Row],[Runs]]</f>
        <v>-19</v>
      </c>
      <c r="BJ114">
        <f ca="1">IFERROR(IF(MATCH(Table9[[#This Row],[Bowler]],OFFSET(AR115,0,0,BOWLROWS-ROW(AR114)-ROW(Table9[[#Headers],[BOWLER CUML WICKETS]])),0)&gt;0,0,SUMIF($AR$6:AR114,Table9[[#This Row],[Bowler]],$AV$6:AV114)),SUMIF($AR$6:AR114,Table9[[#This Row],[Bowler]],$AV$6:AV114))</f>
        <v>0</v>
      </c>
      <c r="BK114">
        <f ca="1">IFERROR(IF(MATCH(Table9[[#This Row],[Bowler]],OFFSET(AR115,0,0,BOWLROWS-ROW(AR114)-ROW(Table9[[#Headers],[BOWLER CUML WICKETS]])),0)&gt;0,0,SUMIF($AR$6:AR114,Table9[[#This Row],[Bowler]],$AU$6:AU114)),SUMIF($AR$6:AR114,Table9[[#This Row],[Bowler]],$AU$6:AU114))</f>
        <v>19</v>
      </c>
      <c r="BL114">
        <f ca="1">Table9[[#This Row],[BOWLER CUML WICKETS]]*100-Table9[[#This Row],[BOWLER CUML RUNS]]</f>
        <v>-19</v>
      </c>
    </row>
    <row r="115" spans="1:64" x14ac:dyDescent="0.3">
      <c r="A115">
        <v>44</v>
      </c>
      <c r="B115" t="s">
        <v>137</v>
      </c>
      <c r="C115" t="s">
        <v>156</v>
      </c>
      <c r="D115" t="s">
        <v>332</v>
      </c>
      <c r="E115">
        <v>65</v>
      </c>
      <c r="F115">
        <v>81</v>
      </c>
      <c r="G115">
        <v>57</v>
      </c>
      <c r="H115">
        <v>7</v>
      </c>
      <c r="I115">
        <v>1</v>
      </c>
      <c r="J115">
        <v>114.03</v>
      </c>
      <c r="K115">
        <v>5</v>
      </c>
      <c r="L115" t="str">
        <f>CONCATENATE(T_BATTINGDATA[[#This Row],[Match]],T_BATTINGDATA[[#This Row],[Team]],T_BATTINGDATA[[#This Row],[Bat Number]])</f>
        <v>44India5</v>
      </c>
      <c r="M115" t="str">
        <f>IFERROR(IF(AND(T_BATTINGDATA[[#This Row],[Team]]=I_TEAM,IFERROR(IF(MATCH(T_BATTINGDATA[[#This Row],[BATSMAN NAME]],$O$5:O114,0)&gt;0,0),1)),1,0),"")</f>
        <v/>
      </c>
      <c r="N115" t="e">
        <f>IF(T_BATTINGDATA[[#This Row],[Team]]=I_TEAM,T_BATTINGDATA[[#This Row],[R]],0)</f>
        <v>#REF!</v>
      </c>
      <c r="O115" t="str">
        <f>LEFT(T_BATTINGDATA[[#This Row],[Batsman]],IFERROR(FIND("*",T_BATTINGDATA[[#This Row],[Batsman]])-1,IFERROR(FIND("†",T_BATTINGDATA[[#This Row],[Batsman]])-1,LEN(T_BATTINGDATA[[#This Row],[Batsman]]))))</f>
        <v>SK Raina</v>
      </c>
      <c r="P115">
        <f ca="1">IFERROR(IF(MATCH(T_BATTINGDATA[[#This Row],[BATSMAN NAME]],OFFSET(O116,0,0,BATROWS-ROW(O115)-ROW(T_BATTINGDATA[[#Headers],[BATSMAN NAME]])),0)&gt;0,0,SUMIF($O$6:O115,T_BATTINGDATA[[#This Row],[BATSMAN NAME]],$E$6:E115)),SUMIF($O$6:O115,T_BATTINGDATA[[#This Row],[BATSMAN NAME]],$E$6:E115))</f>
        <v>0</v>
      </c>
      <c r="AP115">
        <v>3</v>
      </c>
      <c r="AQ115" t="s">
        <v>158</v>
      </c>
      <c r="AR115" t="s">
        <v>204</v>
      </c>
      <c r="AS115">
        <v>10</v>
      </c>
      <c r="AT115">
        <v>2</v>
      </c>
      <c r="AU115">
        <v>73</v>
      </c>
      <c r="AV115">
        <v>1</v>
      </c>
      <c r="AW115">
        <v>7.3</v>
      </c>
      <c r="AX115">
        <v>29</v>
      </c>
      <c r="AY115">
        <v>5</v>
      </c>
      <c r="AZ115">
        <v>4</v>
      </c>
      <c r="BA115">
        <v>3</v>
      </c>
      <c r="BB115">
        <v>0</v>
      </c>
      <c r="BC115">
        <v>1</v>
      </c>
      <c r="BD115" t="str">
        <f>CONCATENATE(Table9[[#This Row],[Match Number]],Table9[[#This Row],[Team]],Table9[[#This Row],[BOWL NUM]])</f>
        <v>3Zimbabwe1</v>
      </c>
      <c r="BE115" t="str">
        <f>IFERROR(IF(AND(Table9[[#This Row],[Team]]=I_TEAM,IFERROR(IF(MATCH(Table9[[#This Row],[Bowler]],$AR$5:AR114,0)&gt;0,0),1)),1,0),"")</f>
        <v/>
      </c>
      <c r="BF11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1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15" t="e">
        <f>IF(Table9[[#This Row],[Team]]=I_TEAM,Table9[[#This Row],[Wickets]]*100-Table9[[#This Row],[Runs]],0)</f>
        <v>#REF!</v>
      </c>
      <c r="BI115">
        <f>Table9[[#This Row],[Wickets]]*100-Table9[[#This Row],[Runs]]</f>
        <v>27</v>
      </c>
      <c r="BJ115">
        <f ca="1">IFERROR(IF(MATCH(Table9[[#This Row],[Bowler]],OFFSET(AR116,0,0,BOWLROWS-ROW(AR115)-ROW(Table9[[#Headers],[BOWLER CUML WICKETS]])),0)&gt;0,0,SUMIF($AR$6:AR115,Table9[[#This Row],[Bowler]],$AV$6:AV115)),SUMIF($AR$6:AR115,Table9[[#This Row],[Bowler]],$AV$6:AV115))</f>
        <v>0</v>
      </c>
      <c r="BK115">
        <f ca="1">IFERROR(IF(MATCH(Table9[[#This Row],[Bowler]],OFFSET(AR116,0,0,BOWLROWS-ROW(AR115)-ROW(Table9[[#Headers],[BOWLER CUML WICKETS]])),0)&gt;0,0,SUMIF($AR$6:AR115,Table9[[#This Row],[Bowler]],$AU$6:AU115)),SUMIF($AR$6:AR115,Table9[[#This Row],[Bowler]],$AU$6:AU115))</f>
        <v>0</v>
      </c>
      <c r="BL115">
        <f ca="1">Table9[[#This Row],[BOWLER CUML WICKETS]]*100-Table9[[#This Row],[BOWLER CUML RUNS]]</f>
        <v>0</v>
      </c>
    </row>
    <row r="116" spans="1:64" x14ac:dyDescent="0.3">
      <c r="A116">
        <v>44</v>
      </c>
      <c r="B116" t="s">
        <v>137</v>
      </c>
      <c r="C116" t="s">
        <v>160</v>
      </c>
      <c r="D116" t="s">
        <v>333</v>
      </c>
      <c r="E116">
        <v>6</v>
      </c>
      <c r="F116">
        <v>28</v>
      </c>
      <c r="G116">
        <v>11</v>
      </c>
      <c r="H116">
        <v>0</v>
      </c>
      <c r="I116">
        <v>0</v>
      </c>
      <c r="J116">
        <v>54.54</v>
      </c>
      <c r="K116">
        <v>6</v>
      </c>
      <c r="L116" t="str">
        <f>CONCATENATE(T_BATTINGDATA[[#This Row],[Match]],T_BATTINGDATA[[#This Row],[Team]],T_BATTINGDATA[[#This Row],[Bat Number]])</f>
        <v>44India6</v>
      </c>
      <c r="M116" t="str">
        <f>IFERROR(IF(AND(T_BATTINGDATA[[#This Row],[Team]]=I_TEAM,IFERROR(IF(MATCH(T_BATTINGDATA[[#This Row],[BATSMAN NAME]],$O$5:O115,0)&gt;0,0),1)),1,0),"")</f>
        <v/>
      </c>
      <c r="N116" t="e">
        <f>IF(T_BATTINGDATA[[#This Row],[Team]]=I_TEAM,T_BATTINGDATA[[#This Row],[R]],0)</f>
        <v>#REF!</v>
      </c>
      <c r="O116" t="str">
        <f>LEFT(T_BATTINGDATA[[#This Row],[Batsman]],IFERROR(FIND("*",T_BATTINGDATA[[#This Row],[Batsman]])-1,IFERROR(FIND("†",T_BATTINGDATA[[#This Row],[Batsman]])-1,LEN(T_BATTINGDATA[[#This Row],[Batsman]]))))</f>
        <v>MS Dhoni</v>
      </c>
      <c r="P116">
        <f ca="1">IFERROR(IF(MATCH(T_BATTINGDATA[[#This Row],[BATSMAN NAME]],OFFSET(O117,0,0,BATROWS-ROW(O116)-ROW(T_BATTINGDATA[[#Headers],[BATSMAN NAME]])),0)&gt;0,0,SUMIF($O$6:O116,T_BATTINGDATA[[#This Row],[BATSMAN NAME]],$E$6:E116)),SUMIF($O$6:O116,T_BATTINGDATA[[#This Row],[BATSMAN NAME]],$E$6:E116))</f>
        <v>0</v>
      </c>
      <c r="AP116">
        <v>3</v>
      </c>
      <c r="AQ116" t="s">
        <v>158</v>
      </c>
      <c r="AR116" t="s">
        <v>207</v>
      </c>
      <c r="AS116">
        <v>10</v>
      </c>
      <c r="AT116">
        <v>1</v>
      </c>
      <c r="AU116">
        <v>71</v>
      </c>
      <c r="AV116">
        <v>1</v>
      </c>
      <c r="AW116">
        <v>7.1</v>
      </c>
      <c r="AX116">
        <v>29</v>
      </c>
      <c r="AY116">
        <v>6</v>
      </c>
      <c r="AZ116">
        <v>2</v>
      </c>
      <c r="BA116">
        <v>3</v>
      </c>
      <c r="BB116">
        <v>1</v>
      </c>
      <c r="BC116">
        <v>2</v>
      </c>
      <c r="BD116" t="str">
        <f>CONCATENATE(Table9[[#This Row],[Match Number]],Table9[[#This Row],[Team]],Table9[[#This Row],[BOWL NUM]])</f>
        <v>3Zimbabwe2</v>
      </c>
      <c r="BE116" t="str">
        <f>IFERROR(IF(AND(Table9[[#This Row],[Team]]=I_TEAM,IFERROR(IF(MATCH(Table9[[#This Row],[Bowler]],$AR$5:AR115,0)&gt;0,0),1)),1,0),"")</f>
        <v/>
      </c>
      <c r="BF11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1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16" t="e">
        <f>IF(Table9[[#This Row],[Team]]=I_TEAM,Table9[[#This Row],[Wickets]]*100-Table9[[#This Row],[Runs]],0)</f>
        <v>#REF!</v>
      </c>
      <c r="BI116">
        <f>Table9[[#This Row],[Wickets]]*100-Table9[[#This Row],[Runs]]</f>
        <v>29</v>
      </c>
      <c r="BJ116">
        <f ca="1">IFERROR(IF(MATCH(Table9[[#This Row],[Bowler]],OFFSET(AR117,0,0,BOWLROWS-ROW(AR116)-ROW(Table9[[#Headers],[BOWLER CUML WICKETS]])),0)&gt;0,0,SUMIF($AR$6:AR116,Table9[[#This Row],[Bowler]],$AV$6:AV116)),SUMIF($AR$6:AR116,Table9[[#This Row],[Bowler]],$AV$6:AV116))</f>
        <v>0</v>
      </c>
      <c r="BK116">
        <f ca="1">IFERROR(IF(MATCH(Table9[[#This Row],[Bowler]],OFFSET(AR117,0,0,BOWLROWS-ROW(AR116)-ROW(Table9[[#Headers],[BOWLER CUML WICKETS]])),0)&gt;0,0,SUMIF($AR$6:AR116,Table9[[#This Row],[Bowler]],$AU$6:AU116)),SUMIF($AR$6:AR116,Table9[[#This Row],[Bowler]],$AU$6:AU116))</f>
        <v>0</v>
      </c>
      <c r="BL116">
        <f ca="1">Table9[[#This Row],[BOWLER CUML WICKETS]]*100-Table9[[#This Row],[BOWLER CUML RUNS]]</f>
        <v>0</v>
      </c>
    </row>
    <row r="117" spans="1:64" x14ac:dyDescent="0.3">
      <c r="A117">
        <v>44</v>
      </c>
      <c r="B117" t="s">
        <v>137</v>
      </c>
      <c r="C117" t="s">
        <v>163</v>
      </c>
      <c r="D117" t="s">
        <v>167</v>
      </c>
      <c r="E117">
        <v>23</v>
      </c>
      <c r="F117">
        <v>15</v>
      </c>
      <c r="G117">
        <v>10</v>
      </c>
      <c r="H117">
        <v>4</v>
      </c>
      <c r="I117">
        <v>0</v>
      </c>
      <c r="J117">
        <v>230</v>
      </c>
      <c r="K117">
        <v>7</v>
      </c>
      <c r="L117" t="str">
        <f>CONCATENATE(T_BATTINGDATA[[#This Row],[Match]],T_BATTINGDATA[[#This Row],[Team]],T_BATTINGDATA[[#This Row],[Bat Number]])</f>
        <v>44India7</v>
      </c>
      <c r="M117" t="str">
        <f>IFERROR(IF(AND(T_BATTINGDATA[[#This Row],[Team]]=I_TEAM,IFERROR(IF(MATCH(T_BATTINGDATA[[#This Row],[BATSMAN NAME]],$O$5:O116,0)&gt;0,0),1)),1,0),"")</f>
        <v/>
      </c>
      <c r="N117" t="e">
        <f>IF(T_BATTINGDATA[[#This Row],[Team]]=I_TEAM,T_BATTINGDATA[[#This Row],[R]],0)</f>
        <v>#REF!</v>
      </c>
      <c r="O117" t="str">
        <f>LEFT(T_BATTINGDATA[[#This Row],[Batsman]],IFERROR(FIND("*",T_BATTINGDATA[[#This Row],[Batsman]])-1,IFERROR(FIND("†",T_BATTINGDATA[[#This Row],[Batsman]])-1,LEN(T_BATTINGDATA[[#This Row],[Batsman]]))))</f>
        <v>RA Jadeja</v>
      </c>
      <c r="P117">
        <f ca="1">IFERROR(IF(MATCH(T_BATTINGDATA[[#This Row],[BATSMAN NAME]],OFFSET(O118,0,0,BATROWS-ROW(O117)-ROW(T_BATTINGDATA[[#Headers],[BATSMAN NAME]])),0)&gt;0,0,SUMIF($O$6:O117,T_BATTINGDATA[[#This Row],[BATSMAN NAME]],$E$6:E117)),SUMIF($O$6:O117,T_BATTINGDATA[[#This Row],[BATSMAN NAME]],$E$6:E117))</f>
        <v>0</v>
      </c>
      <c r="AP117">
        <v>3</v>
      </c>
      <c r="AQ117" t="s">
        <v>158</v>
      </c>
      <c r="AR117" t="s">
        <v>211</v>
      </c>
      <c r="AS117">
        <v>6</v>
      </c>
      <c r="AT117">
        <v>0</v>
      </c>
      <c r="AU117">
        <v>61</v>
      </c>
      <c r="AV117">
        <v>0</v>
      </c>
      <c r="AW117">
        <v>10.16</v>
      </c>
      <c r="AX117">
        <v>11</v>
      </c>
      <c r="AY117">
        <v>5</v>
      </c>
      <c r="AZ117">
        <v>3</v>
      </c>
      <c r="BA117">
        <v>2</v>
      </c>
      <c r="BB117">
        <v>0</v>
      </c>
      <c r="BC117">
        <v>3</v>
      </c>
      <c r="BD117" t="str">
        <f>CONCATENATE(Table9[[#This Row],[Match Number]],Table9[[#This Row],[Team]],Table9[[#This Row],[BOWL NUM]])</f>
        <v>3Zimbabwe3</v>
      </c>
      <c r="BE117" t="str">
        <f>IFERROR(IF(AND(Table9[[#This Row],[Team]]=I_TEAM,IFERROR(IF(MATCH(Table9[[#This Row],[Bowler]],$AR$5:AR116,0)&gt;0,0),1)),1,0),"")</f>
        <v/>
      </c>
      <c r="BF117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11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17" t="e">
        <f>IF(Table9[[#This Row],[Team]]=I_TEAM,Table9[[#This Row],[Wickets]]*100-Table9[[#This Row],[Runs]],0)</f>
        <v>#REF!</v>
      </c>
      <c r="BI117">
        <f>Table9[[#This Row],[Wickets]]*100-Table9[[#This Row],[Runs]]</f>
        <v>-61</v>
      </c>
      <c r="BJ117">
        <f ca="1">IFERROR(IF(MATCH(Table9[[#This Row],[Bowler]],OFFSET(AR118,0,0,BOWLROWS-ROW(AR117)-ROW(Table9[[#Headers],[BOWLER CUML WICKETS]])),0)&gt;0,0,SUMIF($AR$6:AR117,Table9[[#This Row],[Bowler]],$AV$6:AV117)),SUMIF($AR$6:AR117,Table9[[#This Row],[Bowler]],$AV$6:AV117))</f>
        <v>0</v>
      </c>
      <c r="BK117">
        <f ca="1">IFERROR(IF(MATCH(Table9[[#This Row],[Bowler]],OFFSET(AR118,0,0,BOWLROWS-ROW(AR117)-ROW(Table9[[#Headers],[BOWLER CUML WICKETS]])),0)&gt;0,0,SUMIF($AR$6:AR117,Table9[[#This Row],[Bowler]],$AU$6:AU117)),SUMIF($AR$6:AR117,Table9[[#This Row],[Bowler]],$AU$6:AU117))</f>
        <v>0</v>
      </c>
      <c r="BL117">
        <f ca="1">Table9[[#This Row],[BOWLER CUML WICKETS]]*100-Table9[[#This Row],[BOWLER CUML RUNS]]</f>
        <v>0</v>
      </c>
    </row>
    <row r="118" spans="1:64" x14ac:dyDescent="0.3">
      <c r="A118">
        <v>44</v>
      </c>
      <c r="B118" t="s">
        <v>137</v>
      </c>
      <c r="C118" t="s">
        <v>166</v>
      </c>
      <c r="D118" t="s">
        <v>167</v>
      </c>
      <c r="E118">
        <v>3</v>
      </c>
      <c r="F118">
        <v>5</v>
      </c>
      <c r="G118">
        <v>3</v>
      </c>
      <c r="H118">
        <v>0</v>
      </c>
      <c r="I118">
        <v>0</v>
      </c>
      <c r="J118">
        <v>100</v>
      </c>
      <c r="K118">
        <v>8</v>
      </c>
      <c r="L118" t="str">
        <f>CONCATENATE(T_BATTINGDATA[[#This Row],[Match]],T_BATTINGDATA[[#This Row],[Team]],T_BATTINGDATA[[#This Row],[Bat Number]])</f>
        <v>44India8</v>
      </c>
      <c r="M118" t="str">
        <f>IFERROR(IF(AND(T_BATTINGDATA[[#This Row],[Team]]=I_TEAM,IFERROR(IF(MATCH(T_BATTINGDATA[[#This Row],[BATSMAN NAME]],$O$5:O117,0)&gt;0,0),1)),1,0),"")</f>
        <v/>
      </c>
      <c r="N118" t="e">
        <f>IF(T_BATTINGDATA[[#This Row],[Team]]=I_TEAM,T_BATTINGDATA[[#This Row],[R]],0)</f>
        <v>#REF!</v>
      </c>
      <c r="O118" t="str">
        <f>LEFT(T_BATTINGDATA[[#This Row],[Batsman]],IFERROR(FIND("*",T_BATTINGDATA[[#This Row],[Batsman]])-1,IFERROR(FIND("†",T_BATTINGDATA[[#This Row],[Batsman]])-1,LEN(T_BATTINGDATA[[#This Row],[Batsman]]))))</f>
        <v>R Ashwin</v>
      </c>
      <c r="P118">
        <f ca="1">IFERROR(IF(MATCH(T_BATTINGDATA[[#This Row],[BATSMAN NAME]],OFFSET(O119,0,0,BATROWS-ROW(O118)-ROW(T_BATTINGDATA[[#Headers],[BATSMAN NAME]])),0)&gt;0,0,SUMIF($O$6:O118,T_BATTINGDATA[[#This Row],[BATSMAN NAME]],$E$6:E118)),SUMIF($O$6:O118,T_BATTINGDATA[[#This Row],[BATSMAN NAME]],$E$6:E118))</f>
        <v>0</v>
      </c>
      <c r="AP118">
        <v>3</v>
      </c>
      <c r="AQ118" t="s">
        <v>158</v>
      </c>
      <c r="AR118" t="s">
        <v>334</v>
      </c>
      <c r="AS118">
        <v>4</v>
      </c>
      <c r="AT118">
        <v>0</v>
      </c>
      <c r="AU118">
        <v>30</v>
      </c>
      <c r="AV118">
        <v>1</v>
      </c>
      <c r="AW118">
        <v>7.5</v>
      </c>
      <c r="AX118">
        <v>12</v>
      </c>
      <c r="AY118">
        <v>1</v>
      </c>
      <c r="AZ118">
        <v>2</v>
      </c>
      <c r="BA118">
        <v>2</v>
      </c>
      <c r="BB118">
        <v>1</v>
      </c>
      <c r="BC118">
        <v>4</v>
      </c>
      <c r="BD118" t="str">
        <f>CONCATENATE(Table9[[#This Row],[Match Number]],Table9[[#This Row],[Team]],Table9[[#This Row],[BOWL NUM]])</f>
        <v>3Zimbabwe4</v>
      </c>
      <c r="BE118" t="str">
        <f>IFERROR(IF(AND(Table9[[#This Row],[Team]]=I_TEAM,IFERROR(IF(MATCH(Table9[[#This Row],[Bowler]],$AR$5:AR117,0)&gt;0,0),1)),1,0),"")</f>
        <v/>
      </c>
      <c r="BF118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11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18" t="e">
        <f>IF(Table9[[#This Row],[Team]]=I_TEAM,Table9[[#This Row],[Wickets]]*100-Table9[[#This Row],[Runs]],0)</f>
        <v>#REF!</v>
      </c>
      <c r="BI118">
        <f>Table9[[#This Row],[Wickets]]*100-Table9[[#This Row],[Runs]]</f>
        <v>70</v>
      </c>
      <c r="BJ118">
        <f ca="1">IFERROR(IF(MATCH(Table9[[#This Row],[Bowler]],OFFSET(AR119,0,0,BOWLROWS-ROW(AR118)-ROW(Table9[[#Headers],[BOWLER CUML WICKETS]])),0)&gt;0,0,SUMIF($AR$6:AR118,Table9[[#This Row],[Bowler]],$AV$6:AV118)),SUMIF($AR$6:AR118,Table9[[#This Row],[Bowler]],$AV$6:AV118))</f>
        <v>0</v>
      </c>
      <c r="BK118">
        <f ca="1">IFERROR(IF(MATCH(Table9[[#This Row],[Bowler]],OFFSET(AR119,0,0,BOWLROWS-ROW(AR118)-ROW(Table9[[#Headers],[BOWLER CUML WICKETS]])),0)&gt;0,0,SUMIF($AR$6:AR118,Table9[[#This Row],[Bowler]],$AU$6:AU118)),SUMIF($AR$6:AR118,Table9[[#This Row],[Bowler]],$AU$6:AU118))</f>
        <v>0</v>
      </c>
      <c r="BL118">
        <f ca="1">Table9[[#This Row],[BOWLER CUML WICKETS]]*100-Table9[[#This Row],[BOWLER CUML RUNS]]</f>
        <v>0</v>
      </c>
    </row>
    <row r="119" spans="1:64" x14ac:dyDescent="0.3">
      <c r="A119">
        <v>44</v>
      </c>
      <c r="B119" t="s">
        <v>181</v>
      </c>
      <c r="C119" t="s">
        <v>335</v>
      </c>
      <c r="D119" t="s">
        <v>222</v>
      </c>
      <c r="E119">
        <v>25</v>
      </c>
      <c r="F119">
        <v>28</v>
      </c>
      <c r="G119">
        <v>25</v>
      </c>
      <c r="H119">
        <v>4</v>
      </c>
      <c r="I119">
        <v>0</v>
      </c>
      <c r="J119">
        <v>100</v>
      </c>
      <c r="K119">
        <v>1</v>
      </c>
      <c r="L119" t="str">
        <f>CONCATENATE(T_BATTINGDATA[[#This Row],[Match]],T_BATTINGDATA[[#This Row],[Team]],T_BATTINGDATA[[#This Row],[Bat Number]])</f>
        <v>44Bangladesh1</v>
      </c>
      <c r="M119" t="str">
        <f>IFERROR(IF(AND(T_BATTINGDATA[[#This Row],[Team]]=I_TEAM,IFERROR(IF(MATCH(T_BATTINGDATA[[#This Row],[BATSMAN NAME]],$O$5:O118,0)&gt;0,0),1)),1,0),"")</f>
        <v/>
      </c>
      <c r="N119" t="e">
        <f>IF(T_BATTINGDATA[[#This Row],[Team]]=I_TEAM,T_BATTINGDATA[[#This Row],[R]],0)</f>
        <v>#REF!</v>
      </c>
      <c r="O119" t="str">
        <f>LEFT(T_BATTINGDATA[[#This Row],[Batsman]],IFERROR(FIND("*",T_BATTINGDATA[[#This Row],[Batsman]])-1,IFERROR(FIND("†",T_BATTINGDATA[[#This Row],[Batsman]])-1,LEN(T_BATTINGDATA[[#This Row],[Batsman]]))))</f>
        <v>Tamim Iqbal</v>
      </c>
      <c r="P119">
        <f ca="1">IFERROR(IF(MATCH(T_BATTINGDATA[[#This Row],[BATSMAN NAME]],OFFSET(O120,0,0,BATROWS-ROW(O119)-ROW(T_BATTINGDATA[[#Headers],[BATSMAN NAME]])),0)&gt;0,0,SUMIF($O$6:O119,T_BATTINGDATA[[#This Row],[BATSMAN NAME]],$E$6:E119)),SUMIF($O$6:O119,T_BATTINGDATA[[#This Row],[BATSMAN NAME]],$E$6:E119))</f>
        <v>0</v>
      </c>
      <c r="AP119">
        <v>3</v>
      </c>
      <c r="AQ119" t="s">
        <v>158</v>
      </c>
      <c r="AR119" t="s">
        <v>214</v>
      </c>
      <c r="AS119">
        <v>8</v>
      </c>
      <c r="AT119">
        <v>0</v>
      </c>
      <c r="AU119">
        <v>44</v>
      </c>
      <c r="AV119">
        <v>0</v>
      </c>
      <c r="AW119">
        <v>5.5</v>
      </c>
      <c r="AX119">
        <v>19</v>
      </c>
      <c r="AY119">
        <v>0</v>
      </c>
      <c r="AZ119">
        <v>2</v>
      </c>
      <c r="BA119">
        <v>1</v>
      </c>
      <c r="BB119">
        <v>0</v>
      </c>
      <c r="BC119">
        <v>5</v>
      </c>
      <c r="BD119" t="str">
        <f>CONCATENATE(Table9[[#This Row],[Match Number]],Table9[[#This Row],[Team]],Table9[[#This Row],[BOWL NUM]])</f>
        <v>3Zimbabwe5</v>
      </c>
      <c r="BE119" t="str">
        <f>IFERROR(IF(AND(Table9[[#This Row],[Team]]=I_TEAM,IFERROR(IF(MATCH(Table9[[#This Row],[Bowler]],$AR$5:AR118,0)&gt;0,0),1)),1,0),"")</f>
        <v/>
      </c>
      <c r="BF119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1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19" t="e">
        <f>IF(Table9[[#This Row],[Team]]=I_TEAM,Table9[[#This Row],[Wickets]]*100-Table9[[#This Row],[Runs]],0)</f>
        <v>#REF!</v>
      </c>
      <c r="BI119">
        <f>Table9[[#This Row],[Wickets]]*100-Table9[[#This Row],[Runs]]</f>
        <v>-44</v>
      </c>
      <c r="BJ119">
        <f ca="1">IFERROR(IF(MATCH(Table9[[#This Row],[Bowler]],OFFSET(AR120,0,0,BOWLROWS-ROW(AR119)-ROW(Table9[[#Headers],[BOWLER CUML WICKETS]])),0)&gt;0,0,SUMIF($AR$6:AR119,Table9[[#This Row],[Bowler]],$AV$6:AV119)),SUMIF($AR$6:AR119,Table9[[#This Row],[Bowler]],$AV$6:AV119))</f>
        <v>0</v>
      </c>
      <c r="BK119">
        <f ca="1">IFERROR(IF(MATCH(Table9[[#This Row],[Bowler]],OFFSET(AR120,0,0,BOWLROWS-ROW(AR119)-ROW(Table9[[#Headers],[BOWLER CUML WICKETS]])),0)&gt;0,0,SUMIF($AR$6:AR119,Table9[[#This Row],[Bowler]],$AU$6:AU119)),SUMIF($AR$6:AR119,Table9[[#This Row],[Bowler]],$AU$6:AU119))</f>
        <v>0</v>
      </c>
      <c r="BL119">
        <f ca="1">Table9[[#This Row],[BOWLER CUML WICKETS]]*100-Table9[[#This Row],[BOWLER CUML RUNS]]</f>
        <v>0</v>
      </c>
    </row>
    <row r="120" spans="1:64" x14ac:dyDescent="0.3">
      <c r="A120">
        <v>44</v>
      </c>
      <c r="B120" t="s">
        <v>181</v>
      </c>
      <c r="C120" t="s">
        <v>336</v>
      </c>
      <c r="D120" t="s">
        <v>337</v>
      </c>
      <c r="E120">
        <v>5</v>
      </c>
      <c r="F120">
        <v>31</v>
      </c>
      <c r="G120">
        <v>14</v>
      </c>
      <c r="H120">
        <v>0</v>
      </c>
      <c r="I120">
        <v>0</v>
      </c>
      <c r="J120">
        <v>35.71</v>
      </c>
      <c r="K120">
        <v>2</v>
      </c>
      <c r="L120" t="str">
        <f>CONCATENATE(T_BATTINGDATA[[#This Row],[Match]],T_BATTINGDATA[[#This Row],[Team]],T_BATTINGDATA[[#This Row],[Bat Number]])</f>
        <v>44Bangladesh2</v>
      </c>
      <c r="M120" t="str">
        <f>IFERROR(IF(AND(T_BATTINGDATA[[#This Row],[Team]]=I_TEAM,IFERROR(IF(MATCH(T_BATTINGDATA[[#This Row],[BATSMAN NAME]],$O$5:O119,0)&gt;0,0),1)),1,0),"")</f>
        <v/>
      </c>
      <c r="N120" t="e">
        <f>IF(T_BATTINGDATA[[#This Row],[Team]]=I_TEAM,T_BATTINGDATA[[#This Row],[R]],0)</f>
        <v>#REF!</v>
      </c>
      <c r="O120" t="str">
        <f>LEFT(T_BATTINGDATA[[#This Row],[Batsman]],IFERROR(FIND("*",T_BATTINGDATA[[#This Row],[Batsman]])-1,IFERROR(FIND("†",T_BATTINGDATA[[#This Row],[Batsman]])-1,LEN(T_BATTINGDATA[[#This Row],[Batsman]]))))</f>
        <v>Imrul Kayes</v>
      </c>
      <c r="P120">
        <f ca="1">IFERROR(IF(MATCH(T_BATTINGDATA[[#This Row],[BATSMAN NAME]],OFFSET(O121,0,0,BATROWS-ROW(O120)-ROW(T_BATTINGDATA[[#Headers],[BATSMAN NAME]])),0)&gt;0,0,SUMIF($O$6:O120,T_BATTINGDATA[[#This Row],[BATSMAN NAME]],$E$6:E120)),SUMIF($O$6:O120,T_BATTINGDATA[[#This Row],[BATSMAN NAME]],$E$6:E120))</f>
        <v>0</v>
      </c>
      <c r="AP120">
        <v>3</v>
      </c>
      <c r="AQ120" t="s">
        <v>158</v>
      </c>
      <c r="AR120" t="s">
        <v>338</v>
      </c>
      <c r="AS120">
        <v>8</v>
      </c>
      <c r="AT120">
        <v>0</v>
      </c>
      <c r="AU120">
        <v>34</v>
      </c>
      <c r="AV120">
        <v>1</v>
      </c>
      <c r="AW120">
        <v>4.25</v>
      </c>
      <c r="AX120">
        <v>23</v>
      </c>
      <c r="AY120">
        <v>1</v>
      </c>
      <c r="AZ120">
        <v>1</v>
      </c>
      <c r="BA120">
        <v>0</v>
      </c>
      <c r="BB120">
        <v>0</v>
      </c>
      <c r="BC120">
        <v>6</v>
      </c>
      <c r="BD120" t="str">
        <f>CONCATENATE(Table9[[#This Row],[Match Number]],Table9[[#This Row],[Team]],Table9[[#This Row],[BOWL NUM]])</f>
        <v>3Zimbabwe6</v>
      </c>
      <c r="BE120" t="str">
        <f>IFERROR(IF(AND(Table9[[#This Row],[Team]]=I_TEAM,IFERROR(IF(MATCH(Table9[[#This Row],[Bowler]],$AR$5:AR119,0)&gt;0,0),1)),1,0),"")</f>
        <v/>
      </c>
      <c r="BF12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2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20" t="e">
        <f>IF(Table9[[#This Row],[Team]]=I_TEAM,Table9[[#This Row],[Wickets]]*100-Table9[[#This Row],[Runs]],0)</f>
        <v>#REF!</v>
      </c>
      <c r="BI120">
        <f>Table9[[#This Row],[Wickets]]*100-Table9[[#This Row],[Runs]]</f>
        <v>66</v>
      </c>
      <c r="BJ120">
        <f ca="1">IFERROR(IF(MATCH(Table9[[#This Row],[Bowler]],OFFSET(AR121,0,0,BOWLROWS-ROW(AR120)-ROW(Table9[[#Headers],[BOWLER CUML WICKETS]])),0)&gt;0,0,SUMIF($AR$6:AR120,Table9[[#This Row],[Bowler]],$AV$6:AV120)),SUMIF($AR$6:AR120,Table9[[#This Row],[Bowler]],$AV$6:AV120))</f>
        <v>0</v>
      </c>
      <c r="BK120">
        <f ca="1">IFERROR(IF(MATCH(Table9[[#This Row],[Bowler]],OFFSET(AR121,0,0,BOWLROWS-ROW(AR120)-ROW(Table9[[#Headers],[BOWLER CUML WICKETS]])),0)&gt;0,0,SUMIF($AR$6:AR120,Table9[[#This Row],[Bowler]],$AU$6:AU120)),SUMIF($AR$6:AR120,Table9[[#This Row],[Bowler]],$AU$6:AU120))</f>
        <v>0</v>
      </c>
      <c r="BL120">
        <f ca="1">Table9[[#This Row],[BOWLER CUML WICKETS]]*100-Table9[[#This Row],[BOWLER CUML RUNS]]</f>
        <v>0</v>
      </c>
    </row>
    <row r="121" spans="1:64" x14ac:dyDescent="0.3">
      <c r="A121">
        <v>44</v>
      </c>
      <c r="B121" t="s">
        <v>181</v>
      </c>
      <c r="C121" t="s">
        <v>339</v>
      </c>
      <c r="D121" t="s">
        <v>206</v>
      </c>
      <c r="E121">
        <v>29</v>
      </c>
      <c r="F121">
        <v>59</v>
      </c>
      <c r="G121">
        <v>43</v>
      </c>
      <c r="H121">
        <v>3</v>
      </c>
      <c r="I121">
        <v>1</v>
      </c>
      <c r="J121">
        <v>67.44</v>
      </c>
      <c r="K121">
        <v>3</v>
      </c>
      <c r="L121" t="str">
        <f>CONCATENATE(T_BATTINGDATA[[#This Row],[Match]],T_BATTINGDATA[[#This Row],[Team]],T_BATTINGDATA[[#This Row],[Bat Number]])</f>
        <v>44Bangladesh3</v>
      </c>
      <c r="M121" t="str">
        <f>IFERROR(IF(AND(T_BATTINGDATA[[#This Row],[Team]]=I_TEAM,IFERROR(IF(MATCH(T_BATTINGDATA[[#This Row],[BATSMAN NAME]],$O$5:O120,0)&gt;0,0),1)),1,0),"")</f>
        <v/>
      </c>
      <c r="N121" t="e">
        <f>IF(T_BATTINGDATA[[#This Row],[Team]]=I_TEAM,T_BATTINGDATA[[#This Row],[R]],0)</f>
        <v>#REF!</v>
      </c>
      <c r="O121" t="str">
        <f>LEFT(T_BATTINGDATA[[#This Row],[Batsman]],IFERROR(FIND("*",T_BATTINGDATA[[#This Row],[Batsman]])-1,IFERROR(FIND("†",T_BATTINGDATA[[#This Row],[Batsman]])-1,LEN(T_BATTINGDATA[[#This Row],[Batsman]]))))</f>
        <v>Soumya Sarkar</v>
      </c>
      <c r="P121">
        <f ca="1">IFERROR(IF(MATCH(T_BATTINGDATA[[#This Row],[BATSMAN NAME]],OFFSET(O122,0,0,BATROWS-ROW(O121)-ROW(T_BATTINGDATA[[#Headers],[BATSMAN NAME]])),0)&gt;0,0,SUMIF($O$6:O121,T_BATTINGDATA[[#This Row],[BATSMAN NAME]],$E$6:E121)),SUMIF($O$6:O121,T_BATTINGDATA[[#This Row],[BATSMAN NAME]],$E$6:E121))</f>
        <v>0</v>
      </c>
      <c r="AP121">
        <v>3</v>
      </c>
      <c r="AQ121" t="s">
        <v>158</v>
      </c>
      <c r="AR121" t="s">
        <v>217</v>
      </c>
      <c r="AS121">
        <v>3</v>
      </c>
      <c r="AT121">
        <v>0</v>
      </c>
      <c r="AU121">
        <v>19</v>
      </c>
      <c r="AV121">
        <v>0</v>
      </c>
      <c r="AW121">
        <v>6.33</v>
      </c>
      <c r="AX121">
        <v>3</v>
      </c>
      <c r="AY121">
        <v>0</v>
      </c>
      <c r="AZ121">
        <v>0</v>
      </c>
      <c r="BA121">
        <v>1</v>
      </c>
      <c r="BB121">
        <v>0</v>
      </c>
      <c r="BC121">
        <v>7</v>
      </c>
      <c r="BD121" t="str">
        <f>CONCATENATE(Table9[[#This Row],[Match Number]],Table9[[#This Row],[Team]],Table9[[#This Row],[BOWL NUM]])</f>
        <v>3Zimbabwe7</v>
      </c>
      <c r="BE121" t="str">
        <f>IFERROR(IF(AND(Table9[[#This Row],[Team]]=I_TEAM,IFERROR(IF(MATCH(Table9[[#This Row],[Bowler]],$AR$5:AR120,0)&gt;0,0),1)),1,0),"")</f>
        <v/>
      </c>
      <c r="BF121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12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21" t="e">
        <f>IF(Table9[[#This Row],[Team]]=I_TEAM,Table9[[#This Row],[Wickets]]*100-Table9[[#This Row],[Runs]],0)</f>
        <v>#REF!</v>
      </c>
      <c r="BI121">
        <f>Table9[[#This Row],[Wickets]]*100-Table9[[#This Row],[Runs]]</f>
        <v>-19</v>
      </c>
      <c r="BJ121">
        <f ca="1">IFERROR(IF(MATCH(Table9[[#This Row],[Bowler]],OFFSET(AR122,0,0,BOWLROWS-ROW(AR121)-ROW(Table9[[#Headers],[BOWLER CUML WICKETS]])),0)&gt;0,0,SUMIF($AR$6:AR121,Table9[[#This Row],[Bowler]],$AV$6:AV121)),SUMIF($AR$6:AR121,Table9[[#This Row],[Bowler]],$AV$6:AV121))</f>
        <v>0</v>
      </c>
      <c r="BK121">
        <f ca="1">IFERROR(IF(MATCH(Table9[[#This Row],[Bowler]],OFFSET(AR122,0,0,BOWLROWS-ROW(AR121)-ROW(Table9[[#Headers],[BOWLER CUML WICKETS]])),0)&gt;0,0,SUMIF($AR$6:AR121,Table9[[#This Row],[Bowler]],$AU$6:AU121)),SUMIF($AR$6:AR121,Table9[[#This Row],[Bowler]],$AU$6:AU121))</f>
        <v>0</v>
      </c>
      <c r="BL121">
        <f ca="1">Table9[[#This Row],[BOWLER CUML WICKETS]]*100-Table9[[#This Row],[BOWLER CUML RUNS]]</f>
        <v>0</v>
      </c>
    </row>
    <row r="122" spans="1:64" x14ac:dyDescent="0.3">
      <c r="A122">
        <v>44</v>
      </c>
      <c r="B122" t="s">
        <v>181</v>
      </c>
      <c r="C122" t="s">
        <v>275</v>
      </c>
      <c r="D122" t="s">
        <v>192</v>
      </c>
      <c r="E122">
        <v>21</v>
      </c>
      <c r="F122">
        <v>44</v>
      </c>
      <c r="G122">
        <v>31</v>
      </c>
      <c r="H122">
        <v>2</v>
      </c>
      <c r="I122">
        <v>0</v>
      </c>
      <c r="J122">
        <v>67.739999999999995</v>
      </c>
      <c r="K122">
        <v>4</v>
      </c>
      <c r="L122" t="str">
        <f>CONCATENATE(T_BATTINGDATA[[#This Row],[Match]],T_BATTINGDATA[[#This Row],[Team]],T_BATTINGDATA[[#This Row],[Bat Number]])</f>
        <v>44Bangladesh4</v>
      </c>
      <c r="M122" t="str">
        <f>IFERROR(IF(AND(T_BATTINGDATA[[#This Row],[Team]]=I_TEAM,IFERROR(IF(MATCH(T_BATTINGDATA[[#This Row],[BATSMAN NAME]],$O$5:O121,0)&gt;0,0),1)),1,0),"")</f>
        <v/>
      </c>
      <c r="N122" t="e">
        <f>IF(T_BATTINGDATA[[#This Row],[Team]]=I_TEAM,T_BATTINGDATA[[#This Row],[R]],0)</f>
        <v>#REF!</v>
      </c>
      <c r="O122" t="str">
        <f>LEFT(T_BATTINGDATA[[#This Row],[Batsman]],IFERROR(FIND("*",T_BATTINGDATA[[#This Row],[Batsman]])-1,IFERROR(FIND("†",T_BATTINGDATA[[#This Row],[Batsman]])-1,LEN(T_BATTINGDATA[[#This Row],[Batsman]]))))</f>
        <v>Mahmudullah</v>
      </c>
      <c r="P122">
        <f ca="1">IFERROR(IF(MATCH(T_BATTINGDATA[[#This Row],[BATSMAN NAME]],OFFSET(O123,0,0,BATROWS-ROW(O122)-ROW(T_BATTINGDATA[[#Headers],[BATSMAN NAME]])),0)&gt;0,0,SUMIF($O$6:O122,T_BATTINGDATA[[#This Row],[BATSMAN NAME]],$E$6:E122)),SUMIF($O$6:O122,T_BATTINGDATA[[#This Row],[BATSMAN NAME]],$E$6:E122))</f>
        <v>0</v>
      </c>
      <c r="AP122">
        <v>3</v>
      </c>
      <c r="AQ122" t="s">
        <v>158</v>
      </c>
      <c r="AR122" t="s">
        <v>218</v>
      </c>
      <c r="AS122">
        <v>1</v>
      </c>
      <c r="AT122">
        <v>0</v>
      </c>
      <c r="AU122">
        <v>6</v>
      </c>
      <c r="AV122">
        <v>0</v>
      </c>
      <c r="AW122">
        <v>6</v>
      </c>
      <c r="AX122">
        <v>3</v>
      </c>
      <c r="AY122">
        <v>1</v>
      </c>
      <c r="AZ122">
        <v>0</v>
      </c>
      <c r="BA122">
        <v>0</v>
      </c>
      <c r="BB122">
        <v>0</v>
      </c>
      <c r="BC122">
        <v>8</v>
      </c>
      <c r="BD122" t="str">
        <f>CONCATENATE(Table9[[#This Row],[Match Number]],Table9[[#This Row],[Team]],Table9[[#This Row],[BOWL NUM]])</f>
        <v>3Zimbabwe8</v>
      </c>
      <c r="BE122" t="str">
        <f>IFERROR(IF(AND(Table9[[#This Row],[Team]]=I_TEAM,IFERROR(IF(MATCH(Table9[[#This Row],[Bowler]],$AR$5:AR121,0)&gt;0,0),1)),1,0),"")</f>
        <v/>
      </c>
      <c r="BF122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12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22" t="e">
        <f>IF(Table9[[#This Row],[Team]]=I_TEAM,Table9[[#This Row],[Wickets]]*100-Table9[[#This Row],[Runs]],0)</f>
        <v>#REF!</v>
      </c>
      <c r="BI122">
        <f>Table9[[#This Row],[Wickets]]*100-Table9[[#This Row],[Runs]]</f>
        <v>-6</v>
      </c>
      <c r="BJ122">
        <f ca="1">IFERROR(IF(MATCH(Table9[[#This Row],[Bowler]],OFFSET(AR123,0,0,BOWLROWS-ROW(AR122)-ROW(Table9[[#Headers],[BOWLER CUML WICKETS]])),0)&gt;0,0,SUMIF($AR$6:AR122,Table9[[#This Row],[Bowler]],$AV$6:AV122)),SUMIF($AR$6:AR122,Table9[[#This Row],[Bowler]],$AV$6:AV122))</f>
        <v>0</v>
      </c>
      <c r="BK122">
        <f ca="1">IFERROR(IF(MATCH(Table9[[#This Row],[Bowler]],OFFSET(AR123,0,0,BOWLROWS-ROW(AR122)-ROW(Table9[[#Headers],[BOWLER CUML WICKETS]])),0)&gt;0,0,SUMIF($AR$6:AR122,Table9[[#This Row],[Bowler]],$AU$6:AU122)),SUMIF($AR$6:AR122,Table9[[#This Row],[Bowler]],$AU$6:AU122))</f>
        <v>0</v>
      </c>
      <c r="BL122">
        <f ca="1">Table9[[#This Row],[BOWLER CUML WICKETS]]*100-Table9[[#This Row],[BOWLER CUML RUNS]]</f>
        <v>0</v>
      </c>
    </row>
    <row r="123" spans="1:64" x14ac:dyDescent="0.3">
      <c r="A123">
        <v>44</v>
      </c>
      <c r="B123" t="s">
        <v>181</v>
      </c>
      <c r="C123" t="s">
        <v>280</v>
      </c>
      <c r="D123" t="s">
        <v>340</v>
      </c>
      <c r="E123">
        <v>10</v>
      </c>
      <c r="F123">
        <v>36</v>
      </c>
      <c r="G123">
        <v>34</v>
      </c>
      <c r="H123">
        <v>0</v>
      </c>
      <c r="I123">
        <v>0</v>
      </c>
      <c r="J123">
        <v>29.41</v>
      </c>
      <c r="K123">
        <v>5</v>
      </c>
      <c r="L123" t="str">
        <f>CONCATENATE(T_BATTINGDATA[[#This Row],[Match]],T_BATTINGDATA[[#This Row],[Team]],T_BATTINGDATA[[#This Row],[Bat Number]])</f>
        <v>44Bangladesh5</v>
      </c>
      <c r="M123" t="str">
        <f>IFERROR(IF(AND(T_BATTINGDATA[[#This Row],[Team]]=I_TEAM,IFERROR(IF(MATCH(T_BATTINGDATA[[#This Row],[BATSMAN NAME]],$O$5:O122,0)&gt;0,0),1)),1,0),"")</f>
        <v/>
      </c>
      <c r="N123" t="e">
        <f>IF(T_BATTINGDATA[[#This Row],[Team]]=I_TEAM,T_BATTINGDATA[[#This Row],[R]],0)</f>
        <v>#REF!</v>
      </c>
      <c r="O123" t="str">
        <f>LEFT(T_BATTINGDATA[[#This Row],[Batsman]],IFERROR(FIND("*",T_BATTINGDATA[[#This Row],[Batsman]])-1,IFERROR(FIND("†",T_BATTINGDATA[[#This Row],[Batsman]])-1,LEN(T_BATTINGDATA[[#This Row],[Batsman]]))))</f>
        <v>Shakib Al Hasan</v>
      </c>
      <c r="P123">
        <f ca="1">IFERROR(IF(MATCH(T_BATTINGDATA[[#This Row],[BATSMAN NAME]],OFFSET(O124,0,0,BATROWS-ROW(O123)-ROW(T_BATTINGDATA[[#Headers],[BATSMAN NAME]])),0)&gt;0,0,SUMIF($O$6:O123,T_BATTINGDATA[[#This Row],[BATSMAN NAME]],$E$6:E123)),SUMIF($O$6:O123,T_BATTINGDATA[[#This Row],[BATSMAN NAME]],$E$6:E123))</f>
        <v>0</v>
      </c>
      <c r="AP123">
        <v>3</v>
      </c>
      <c r="AQ123" t="s">
        <v>141</v>
      </c>
      <c r="AR123" t="s">
        <v>146</v>
      </c>
      <c r="AS123">
        <v>8</v>
      </c>
      <c r="AT123">
        <v>0</v>
      </c>
      <c r="AU123">
        <v>30</v>
      </c>
      <c r="AV123">
        <v>2</v>
      </c>
      <c r="AW123">
        <v>3.75</v>
      </c>
      <c r="AX123">
        <v>31</v>
      </c>
      <c r="AY123">
        <v>3</v>
      </c>
      <c r="AZ123">
        <v>0</v>
      </c>
      <c r="BA123">
        <v>3</v>
      </c>
      <c r="BB123">
        <v>0</v>
      </c>
      <c r="BC123">
        <v>1</v>
      </c>
      <c r="BD123" t="str">
        <f>CONCATENATE(Table9[[#This Row],[Match Number]],Table9[[#This Row],[Team]],Table9[[#This Row],[BOWL NUM]])</f>
        <v>3South Africa1</v>
      </c>
      <c r="BE123" t="str">
        <f>IFERROR(IF(AND(Table9[[#This Row],[Team]]=I_TEAM,IFERROR(IF(MATCH(Table9[[#This Row],[Bowler]],$AR$5:AR122,0)&gt;0,0),1)),1,0),"")</f>
        <v/>
      </c>
      <c r="BF123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2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23" t="e">
        <f>IF(Table9[[#This Row],[Team]]=I_TEAM,Table9[[#This Row],[Wickets]]*100-Table9[[#This Row],[Runs]],0)</f>
        <v>#REF!</v>
      </c>
      <c r="BI123">
        <f>Table9[[#This Row],[Wickets]]*100-Table9[[#This Row],[Runs]]</f>
        <v>170</v>
      </c>
      <c r="BJ123">
        <f ca="1">IFERROR(IF(MATCH(Table9[[#This Row],[Bowler]],OFFSET(AR124,0,0,BOWLROWS-ROW(AR123)-ROW(Table9[[#Headers],[BOWLER CUML WICKETS]])),0)&gt;0,0,SUMIF($AR$6:AR123,Table9[[#This Row],[Bowler]],$AV$6:AV123)),SUMIF($AR$6:AR123,Table9[[#This Row],[Bowler]],$AV$6:AV123))</f>
        <v>0</v>
      </c>
      <c r="BK123">
        <f ca="1">IFERROR(IF(MATCH(Table9[[#This Row],[Bowler]],OFFSET(AR124,0,0,BOWLROWS-ROW(AR123)-ROW(Table9[[#Headers],[BOWLER CUML WICKETS]])),0)&gt;0,0,SUMIF($AR$6:AR123,Table9[[#This Row],[Bowler]],$AU$6:AU123)),SUMIF($AR$6:AR123,Table9[[#This Row],[Bowler]],$AU$6:AU123))</f>
        <v>0</v>
      </c>
      <c r="BL123">
        <f ca="1">Table9[[#This Row],[BOWLER CUML WICKETS]]*100-Table9[[#This Row],[BOWLER CUML RUNS]]</f>
        <v>0</v>
      </c>
    </row>
    <row r="124" spans="1:64" x14ac:dyDescent="0.3">
      <c r="A124">
        <v>44</v>
      </c>
      <c r="B124" t="s">
        <v>181</v>
      </c>
      <c r="C124" t="s">
        <v>341</v>
      </c>
      <c r="D124" t="s">
        <v>222</v>
      </c>
      <c r="E124">
        <v>27</v>
      </c>
      <c r="F124">
        <v>50</v>
      </c>
      <c r="G124">
        <v>43</v>
      </c>
      <c r="H124">
        <v>2</v>
      </c>
      <c r="I124">
        <v>0</v>
      </c>
      <c r="J124">
        <v>62.79</v>
      </c>
      <c r="K124">
        <v>6</v>
      </c>
      <c r="L124" t="str">
        <f>CONCATENATE(T_BATTINGDATA[[#This Row],[Match]],T_BATTINGDATA[[#This Row],[Team]],T_BATTINGDATA[[#This Row],[Bat Number]])</f>
        <v>44Bangladesh6</v>
      </c>
      <c r="M124" t="str">
        <f>IFERROR(IF(AND(T_BATTINGDATA[[#This Row],[Team]]=I_TEAM,IFERROR(IF(MATCH(T_BATTINGDATA[[#This Row],[BATSMAN NAME]],$O$5:O123,0)&gt;0,0),1)),1,0),"")</f>
        <v/>
      </c>
      <c r="N124" t="e">
        <f>IF(T_BATTINGDATA[[#This Row],[Team]]=I_TEAM,T_BATTINGDATA[[#This Row],[R]],0)</f>
        <v>#REF!</v>
      </c>
      <c r="O124" t="str">
        <f>LEFT(T_BATTINGDATA[[#This Row],[Batsman]],IFERROR(FIND("*",T_BATTINGDATA[[#This Row],[Batsman]])-1,IFERROR(FIND("†",T_BATTINGDATA[[#This Row],[Batsman]])-1,LEN(T_BATTINGDATA[[#This Row],[Batsman]]))))</f>
        <v>Mushfiqur Rahim</v>
      </c>
      <c r="P124">
        <f ca="1">IFERROR(IF(MATCH(T_BATTINGDATA[[#This Row],[BATSMAN NAME]],OFFSET(O125,0,0,BATROWS-ROW(O124)-ROW(T_BATTINGDATA[[#Headers],[BATSMAN NAME]])),0)&gt;0,0,SUMIF($O$6:O124,T_BATTINGDATA[[#This Row],[BATSMAN NAME]],$E$6:E124)),SUMIF($O$6:O124,T_BATTINGDATA[[#This Row],[BATSMAN NAME]],$E$6:E124))</f>
        <v>0</v>
      </c>
      <c r="AP124">
        <v>3</v>
      </c>
      <c r="AQ124" t="s">
        <v>141</v>
      </c>
      <c r="AR124" t="s">
        <v>155</v>
      </c>
      <c r="AS124">
        <v>8.1999999999999993</v>
      </c>
      <c r="AT124">
        <v>1</v>
      </c>
      <c r="AU124">
        <v>49</v>
      </c>
      <c r="AV124">
        <v>2</v>
      </c>
      <c r="AW124">
        <v>5.88</v>
      </c>
      <c r="AX124">
        <v>32</v>
      </c>
      <c r="AY124">
        <v>6</v>
      </c>
      <c r="AZ124">
        <v>2</v>
      </c>
      <c r="BA124">
        <v>2</v>
      </c>
      <c r="BB124">
        <v>0</v>
      </c>
      <c r="BC124">
        <v>2</v>
      </c>
      <c r="BD124" t="str">
        <f>CONCATENATE(Table9[[#This Row],[Match Number]],Table9[[#This Row],[Team]],Table9[[#This Row],[BOWL NUM]])</f>
        <v>3South Africa2</v>
      </c>
      <c r="BE124" t="str">
        <f>IFERROR(IF(AND(Table9[[#This Row],[Team]]=I_TEAM,IFERROR(IF(MATCH(Table9[[#This Row],[Bowler]],$AR$5:AR123,0)&gt;0,0),1)),1,0),"")</f>
        <v/>
      </c>
      <c r="BF124">
        <f>(LEFT(Table9[[#This Row],[Overs]],IFERROR(FIND(".",Table9[[#This Row],[Overs]])-1,LEN(Table9[[#This Row],[Overs]])))*6) + IFERROR(IF(FIND(".",Table9[[#This Row],[Overs]])+1&gt;0,RIGHT(Table9[[#This Row],[Overs]],1),0),0)</f>
        <v>50</v>
      </c>
      <c r="BG12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24" t="e">
        <f>IF(Table9[[#This Row],[Team]]=I_TEAM,Table9[[#This Row],[Wickets]]*100-Table9[[#This Row],[Runs]],0)</f>
        <v>#REF!</v>
      </c>
      <c r="BI124">
        <f>Table9[[#This Row],[Wickets]]*100-Table9[[#This Row],[Runs]]</f>
        <v>151</v>
      </c>
      <c r="BJ124">
        <f ca="1">IFERROR(IF(MATCH(Table9[[#This Row],[Bowler]],OFFSET(AR125,0,0,BOWLROWS-ROW(AR124)-ROW(Table9[[#Headers],[BOWLER CUML WICKETS]])),0)&gt;0,0,SUMIF($AR$6:AR124,Table9[[#This Row],[Bowler]],$AV$6:AV124)),SUMIF($AR$6:AR124,Table9[[#This Row],[Bowler]],$AV$6:AV124))</f>
        <v>0</v>
      </c>
      <c r="BK124">
        <f ca="1">IFERROR(IF(MATCH(Table9[[#This Row],[Bowler]],OFFSET(AR125,0,0,BOWLROWS-ROW(AR124)-ROW(Table9[[#Headers],[BOWLER CUML WICKETS]])),0)&gt;0,0,SUMIF($AR$6:AR124,Table9[[#This Row],[Bowler]],$AU$6:AU124)),SUMIF($AR$6:AR124,Table9[[#This Row],[Bowler]],$AU$6:AU124))</f>
        <v>0</v>
      </c>
      <c r="BL124">
        <f ca="1">Table9[[#This Row],[BOWLER CUML WICKETS]]*100-Table9[[#This Row],[BOWLER CUML RUNS]]</f>
        <v>0</v>
      </c>
    </row>
    <row r="125" spans="1:64" x14ac:dyDescent="0.3">
      <c r="A125">
        <v>44</v>
      </c>
      <c r="B125" t="s">
        <v>181</v>
      </c>
      <c r="C125" t="s">
        <v>342</v>
      </c>
      <c r="D125" t="s">
        <v>343</v>
      </c>
      <c r="E125">
        <v>30</v>
      </c>
      <c r="F125">
        <v>68</v>
      </c>
      <c r="G125">
        <v>40</v>
      </c>
      <c r="H125">
        <v>2</v>
      </c>
      <c r="I125">
        <v>0</v>
      </c>
      <c r="J125">
        <v>75</v>
      </c>
      <c r="K125">
        <v>7</v>
      </c>
      <c r="L125" t="str">
        <f>CONCATENATE(T_BATTINGDATA[[#This Row],[Match]],T_BATTINGDATA[[#This Row],[Team]],T_BATTINGDATA[[#This Row],[Bat Number]])</f>
        <v>44Bangladesh7</v>
      </c>
      <c r="M125" t="str">
        <f>IFERROR(IF(AND(T_BATTINGDATA[[#This Row],[Team]]=I_TEAM,IFERROR(IF(MATCH(T_BATTINGDATA[[#This Row],[BATSMAN NAME]],$O$5:O124,0)&gt;0,0),1)),1,0),"")</f>
        <v/>
      </c>
      <c r="N125" t="e">
        <f>IF(T_BATTINGDATA[[#This Row],[Team]]=I_TEAM,T_BATTINGDATA[[#This Row],[R]],0)</f>
        <v>#REF!</v>
      </c>
      <c r="O125" t="str">
        <f>LEFT(T_BATTINGDATA[[#This Row],[Batsman]],IFERROR(FIND("*",T_BATTINGDATA[[#This Row],[Batsman]])-1,IFERROR(FIND("†",T_BATTINGDATA[[#This Row],[Batsman]])-1,LEN(T_BATTINGDATA[[#This Row],[Batsman]]))))</f>
        <v>Sabbir Rahman</v>
      </c>
      <c r="P125">
        <f ca="1">IFERROR(IF(MATCH(T_BATTINGDATA[[#This Row],[BATSMAN NAME]],OFFSET(O126,0,0,BATROWS-ROW(O125)-ROW(T_BATTINGDATA[[#Headers],[BATSMAN NAME]])),0)&gt;0,0,SUMIF($O$6:O125,T_BATTINGDATA[[#This Row],[BATSMAN NAME]],$E$6:E125)),SUMIF($O$6:O125,T_BATTINGDATA[[#This Row],[BATSMAN NAME]],$E$6:E125))</f>
        <v>0</v>
      </c>
      <c r="AP125">
        <v>3</v>
      </c>
      <c r="AQ125" t="s">
        <v>141</v>
      </c>
      <c r="AR125" t="s">
        <v>142</v>
      </c>
      <c r="AS125">
        <v>9</v>
      </c>
      <c r="AT125">
        <v>0</v>
      </c>
      <c r="AU125">
        <v>64</v>
      </c>
      <c r="AV125">
        <v>1</v>
      </c>
      <c r="AW125">
        <v>7.11</v>
      </c>
      <c r="AX125">
        <v>28</v>
      </c>
      <c r="AY125">
        <v>9</v>
      </c>
      <c r="AZ125">
        <v>2</v>
      </c>
      <c r="BA125">
        <v>0</v>
      </c>
      <c r="BB125">
        <v>0</v>
      </c>
      <c r="BC125">
        <v>3</v>
      </c>
      <c r="BD125" t="str">
        <f>CONCATENATE(Table9[[#This Row],[Match Number]],Table9[[#This Row],[Team]],Table9[[#This Row],[BOWL NUM]])</f>
        <v>3South Africa3</v>
      </c>
      <c r="BE125" t="str">
        <f>IFERROR(IF(AND(Table9[[#This Row],[Team]]=I_TEAM,IFERROR(IF(MATCH(Table9[[#This Row],[Bowler]],$AR$5:AR124,0)&gt;0,0),1)),1,0),"")</f>
        <v/>
      </c>
      <c r="BF125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2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25" t="e">
        <f>IF(Table9[[#This Row],[Team]]=I_TEAM,Table9[[#This Row],[Wickets]]*100-Table9[[#This Row],[Runs]],0)</f>
        <v>#REF!</v>
      </c>
      <c r="BI125">
        <f>Table9[[#This Row],[Wickets]]*100-Table9[[#This Row],[Runs]]</f>
        <v>36</v>
      </c>
      <c r="BJ125">
        <f ca="1">IFERROR(IF(MATCH(Table9[[#This Row],[Bowler]],OFFSET(AR126,0,0,BOWLROWS-ROW(AR125)-ROW(Table9[[#Headers],[BOWLER CUML WICKETS]])),0)&gt;0,0,SUMIF($AR$6:AR125,Table9[[#This Row],[Bowler]],$AV$6:AV125)),SUMIF($AR$6:AR125,Table9[[#This Row],[Bowler]],$AV$6:AV125))</f>
        <v>0</v>
      </c>
      <c r="BK125">
        <f ca="1">IFERROR(IF(MATCH(Table9[[#This Row],[Bowler]],OFFSET(AR126,0,0,BOWLROWS-ROW(AR125)-ROW(Table9[[#Headers],[BOWLER CUML WICKETS]])),0)&gt;0,0,SUMIF($AR$6:AR125,Table9[[#This Row],[Bowler]],$AU$6:AU125)),SUMIF($AR$6:AR125,Table9[[#This Row],[Bowler]],$AU$6:AU125))</f>
        <v>0</v>
      </c>
      <c r="BL125">
        <f ca="1">Table9[[#This Row],[BOWLER CUML WICKETS]]*100-Table9[[#This Row],[BOWLER CUML RUNS]]</f>
        <v>0</v>
      </c>
    </row>
    <row r="126" spans="1:64" x14ac:dyDescent="0.3">
      <c r="A126">
        <v>44</v>
      </c>
      <c r="B126" t="s">
        <v>181</v>
      </c>
      <c r="C126" t="s">
        <v>272</v>
      </c>
      <c r="D126" t="s">
        <v>344</v>
      </c>
      <c r="E126">
        <v>35</v>
      </c>
      <c r="F126">
        <v>29</v>
      </c>
      <c r="G126">
        <v>34</v>
      </c>
      <c r="H126">
        <v>6</v>
      </c>
      <c r="I126">
        <v>0</v>
      </c>
      <c r="J126">
        <v>102.94</v>
      </c>
      <c r="K126">
        <v>8</v>
      </c>
      <c r="L126" t="str">
        <f>CONCATENATE(T_BATTINGDATA[[#This Row],[Match]],T_BATTINGDATA[[#This Row],[Team]],T_BATTINGDATA[[#This Row],[Bat Number]])</f>
        <v>44Bangladesh8</v>
      </c>
      <c r="M126" t="str">
        <f>IFERROR(IF(AND(T_BATTINGDATA[[#This Row],[Team]]=I_TEAM,IFERROR(IF(MATCH(T_BATTINGDATA[[#This Row],[BATSMAN NAME]],$O$5:O125,0)&gt;0,0),1)),1,0),"")</f>
        <v/>
      </c>
      <c r="N126" t="e">
        <f>IF(T_BATTINGDATA[[#This Row],[Team]]=I_TEAM,T_BATTINGDATA[[#This Row],[R]],0)</f>
        <v>#REF!</v>
      </c>
      <c r="O126" t="str">
        <f>LEFT(T_BATTINGDATA[[#This Row],[Batsman]],IFERROR(FIND("*",T_BATTINGDATA[[#This Row],[Batsman]])-1,IFERROR(FIND("†",T_BATTINGDATA[[#This Row],[Batsman]])-1,LEN(T_BATTINGDATA[[#This Row],[Batsman]]))))</f>
        <v>Nasir Hossain</v>
      </c>
      <c r="P126">
        <f ca="1">IFERROR(IF(MATCH(T_BATTINGDATA[[#This Row],[BATSMAN NAME]],OFFSET(O127,0,0,BATROWS-ROW(O126)-ROW(T_BATTINGDATA[[#Headers],[BATSMAN NAME]])),0)&gt;0,0,SUMIF($O$6:O126,T_BATTINGDATA[[#This Row],[BATSMAN NAME]],$E$6:E126)),SUMIF($O$6:O126,T_BATTINGDATA[[#This Row],[BATSMAN NAME]],$E$6:E126))</f>
        <v>0</v>
      </c>
      <c r="AP126">
        <v>3</v>
      </c>
      <c r="AQ126" t="s">
        <v>141</v>
      </c>
      <c r="AR126" t="s">
        <v>345</v>
      </c>
      <c r="AS126">
        <v>5</v>
      </c>
      <c r="AT126">
        <v>0</v>
      </c>
      <c r="AU126">
        <v>40</v>
      </c>
      <c r="AV126">
        <v>0</v>
      </c>
      <c r="AW126">
        <v>8</v>
      </c>
      <c r="AX126">
        <v>11</v>
      </c>
      <c r="AY126">
        <v>3</v>
      </c>
      <c r="AZ126">
        <v>2</v>
      </c>
      <c r="BA126">
        <v>1</v>
      </c>
      <c r="BB126">
        <v>0</v>
      </c>
      <c r="BC126">
        <v>4</v>
      </c>
      <c r="BD126" t="str">
        <f>CONCATENATE(Table9[[#This Row],[Match Number]],Table9[[#This Row],[Team]],Table9[[#This Row],[BOWL NUM]])</f>
        <v>3South Africa4</v>
      </c>
      <c r="BE126" t="str">
        <f>IFERROR(IF(AND(Table9[[#This Row],[Team]]=I_TEAM,IFERROR(IF(MATCH(Table9[[#This Row],[Bowler]],$AR$5:AR125,0)&gt;0,0),1)),1,0),"")</f>
        <v/>
      </c>
      <c r="BF126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12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26" t="e">
        <f>IF(Table9[[#This Row],[Team]]=I_TEAM,Table9[[#This Row],[Wickets]]*100-Table9[[#This Row],[Runs]],0)</f>
        <v>#REF!</v>
      </c>
      <c r="BI126">
        <f>Table9[[#This Row],[Wickets]]*100-Table9[[#This Row],[Runs]]</f>
        <v>-40</v>
      </c>
      <c r="BJ126">
        <f ca="1">IFERROR(IF(MATCH(Table9[[#This Row],[Bowler]],OFFSET(AR127,0,0,BOWLROWS-ROW(AR126)-ROW(Table9[[#Headers],[BOWLER CUML WICKETS]])),0)&gt;0,0,SUMIF($AR$6:AR126,Table9[[#This Row],[Bowler]],$AV$6:AV126)),SUMIF($AR$6:AR126,Table9[[#This Row],[Bowler]],$AV$6:AV126))</f>
        <v>0</v>
      </c>
      <c r="BK126">
        <f ca="1">IFERROR(IF(MATCH(Table9[[#This Row],[Bowler]],OFFSET(AR127,0,0,BOWLROWS-ROW(AR126)-ROW(Table9[[#Headers],[BOWLER CUML WICKETS]])),0)&gt;0,0,SUMIF($AR$6:AR126,Table9[[#This Row],[Bowler]],$AU$6:AU126)),SUMIF($AR$6:AR126,Table9[[#This Row],[Bowler]],$AU$6:AU126))</f>
        <v>0</v>
      </c>
      <c r="BL126">
        <f ca="1">Table9[[#This Row],[BOWLER CUML WICKETS]]*100-Table9[[#This Row],[BOWLER CUML RUNS]]</f>
        <v>0</v>
      </c>
    </row>
    <row r="127" spans="1:64" x14ac:dyDescent="0.3">
      <c r="A127">
        <v>44</v>
      </c>
      <c r="B127" t="s">
        <v>181</v>
      </c>
      <c r="C127" t="s">
        <v>346</v>
      </c>
      <c r="D127" t="s">
        <v>224</v>
      </c>
      <c r="E127">
        <v>1</v>
      </c>
      <c r="F127">
        <v>4</v>
      </c>
      <c r="G127">
        <v>3</v>
      </c>
      <c r="H127">
        <v>0</v>
      </c>
      <c r="I127">
        <v>0</v>
      </c>
      <c r="J127">
        <v>33.33</v>
      </c>
      <c r="K127">
        <v>9</v>
      </c>
      <c r="L127" t="str">
        <f>CONCATENATE(T_BATTINGDATA[[#This Row],[Match]],T_BATTINGDATA[[#This Row],[Team]],T_BATTINGDATA[[#This Row],[Bat Number]])</f>
        <v>44Bangladesh9</v>
      </c>
      <c r="M127" t="str">
        <f>IFERROR(IF(AND(T_BATTINGDATA[[#This Row],[Team]]=I_TEAM,IFERROR(IF(MATCH(T_BATTINGDATA[[#This Row],[BATSMAN NAME]],$O$5:O126,0)&gt;0,0),1)),1,0),"")</f>
        <v/>
      </c>
      <c r="N127" t="e">
        <f>IF(T_BATTINGDATA[[#This Row],[Team]]=I_TEAM,T_BATTINGDATA[[#This Row],[R]],0)</f>
        <v>#REF!</v>
      </c>
      <c r="O127" t="str">
        <f>LEFT(T_BATTINGDATA[[#This Row],[Batsman]],IFERROR(FIND("*",T_BATTINGDATA[[#This Row],[Batsman]])-1,IFERROR(FIND("†",T_BATTINGDATA[[#This Row],[Batsman]])-1,LEN(T_BATTINGDATA[[#This Row],[Batsman]]))))</f>
        <v>Mashrafe Mortaza</v>
      </c>
      <c r="P127">
        <f ca="1">IFERROR(IF(MATCH(T_BATTINGDATA[[#This Row],[BATSMAN NAME]],OFFSET(O128,0,0,BATROWS-ROW(O127)-ROW(T_BATTINGDATA[[#Headers],[BATSMAN NAME]])),0)&gt;0,0,SUMIF($O$6:O127,T_BATTINGDATA[[#This Row],[BATSMAN NAME]],$E$6:E127)),SUMIF($O$6:O127,T_BATTINGDATA[[#This Row],[BATSMAN NAME]],$E$6:E127))</f>
        <v>0</v>
      </c>
      <c r="AP127">
        <v>3</v>
      </c>
      <c r="AQ127" t="s">
        <v>141</v>
      </c>
      <c r="AR127" t="s">
        <v>150</v>
      </c>
      <c r="AS127">
        <v>8</v>
      </c>
      <c r="AT127">
        <v>0</v>
      </c>
      <c r="AU127">
        <v>45</v>
      </c>
      <c r="AV127">
        <v>1</v>
      </c>
      <c r="AW127">
        <v>5.62</v>
      </c>
      <c r="AX127">
        <v>22</v>
      </c>
      <c r="AY127">
        <v>4</v>
      </c>
      <c r="AZ127">
        <v>1</v>
      </c>
      <c r="BA127">
        <v>2</v>
      </c>
      <c r="BB127">
        <v>0</v>
      </c>
      <c r="BC127">
        <v>5</v>
      </c>
      <c r="BD127" t="str">
        <f>CONCATENATE(Table9[[#This Row],[Match Number]],Table9[[#This Row],[Team]],Table9[[#This Row],[BOWL NUM]])</f>
        <v>3South Africa5</v>
      </c>
      <c r="BE127" t="str">
        <f>IFERROR(IF(AND(Table9[[#This Row],[Team]]=I_TEAM,IFERROR(IF(MATCH(Table9[[#This Row],[Bowler]],$AR$5:AR126,0)&gt;0,0),1)),1,0),"")</f>
        <v/>
      </c>
      <c r="BF127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2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27" t="e">
        <f>IF(Table9[[#This Row],[Team]]=I_TEAM,Table9[[#This Row],[Wickets]]*100-Table9[[#This Row],[Runs]],0)</f>
        <v>#REF!</v>
      </c>
      <c r="BI127">
        <f>Table9[[#This Row],[Wickets]]*100-Table9[[#This Row],[Runs]]</f>
        <v>55</v>
      </c>
      <c r="BJ127">
        <f ca="1">IFERROR(IF(MATCH(Table9[[#This Row],[Bowler]],OFFSET(AR128,0,0,BOWLROWS-ROW(AR127)-ROW(Table9[[#Headers],[BOWLER CUML WICKETS]])),0)&gt;0,0,SUMIF($AR$6:AR127,Table9[[#This Row],[Bowler]],$AV$6:AV127)),SUMIF($AR$6:AR127,Table9[[#This Row],[Bowler]],$AV$6:AV127))</f>
        <v>0</v>
      </c>
      <c r="BK127">
        <f ca="1">IFERROR(IF(MATCH(Table9[[#This Row],[Bowler]],OFFSET(AR128,0,0,BOWLROWS-ROW(AR127)-ROW(Table9[[#Headers],[BOWLER CUML WICKETS]])),0)&gt;0,0,SUMIF($AR$6:AR127,Table9[[#This Row],[Bowler]],$AU$6:AU127)),SUMIF($AR$6:AR127,Table9[[#This Row],[Bowler]],$AU$6:AU127))</f>
        <v>0</v>
      </c>
      <c r="BL127">
        <f ca="1">Table9[[#This Row],[BOWLER CUML WICKETS]]*100-Table9[[#This Row],[BOWLER CUML RUNS]]</f>
        <v>0</v>
      </c>
    </row>
    <row r="128" spans="1:64" x14ac:dyDescent="0.3">
      <c r="A128">
        <v>44</v>
      </c>
      <c r="B128" t="s">
        <v>181</v>
      </c>
      <c r="C128" t="s">
        <v>277</v>
      </c>
      <c r="D128" t="s">
        <v>347</v>
      </c>
      <c r="E128">
        <v>0</v>
      </c>
      <c r="F128">
        <v>2</v>
      </c>
      <c r="G128">
        <v>3</v>
      </c>
      <c r="H128">
        <v>0</v>
      </c>
      <c r="I128">
        <v>0</v>
      </c>
      <c r="J128">
        <v>0</v>
      </c>
      <c r="K128">
        <v>10</v>
      </c>
      <c r="L128" t="str">
        <f>CONCATENATE(T_BATTINGDATA[[#This Row],[Match]],T_BATTINGDATA[[#This Row],[Team]],T_BATTINGDATA[[#This Row],[Bat Number]])</f>
        <v>44Bangladesh10</v>
      </c>
      <c r="M128" t="str">
        <f>IFERROR(IF(AND(T_BATTINGDATA[[#This Row],[Team]]=I_TEAM,IFERROR(IF(MATCH(T_BATTINGDATA[[#This Row],[BATSMAN NAME]],$O$5:O127,0)&gt;0,0),1)),1,0),"")</f>
        <v/>
      </c>
      <c r="N128" t="e">
        <f>IF(T_BATTINGDATA[[#This Row],[Team]]=I_TEAM,T_BATTINGDATA[[#This Row],[R]],0)</f>
        <v>#REF!</v>
      </c>
      <c r="O128" t="str">
        <f>LEFT(T_BATTINGDATA[[#This Row],[Batsman]],IFERROR(FIND("*",T_BATTINGDATA[[#This Row],[Batsman]])-1,IFERROR(FIND("†",T_BATTINGDATA[[#This Row],[Batsman]])-1,LEN(T_BATTINGDATA[[#This Row],[Batsman]]))))</f>
        <v>Rubel Hossain</v>
      </c>
      <c r="P128">
        <f ca="1">IFERROR(IF(MATCH(T_BATTINGDATA[[#This Row],[BATSMAN NAME]],OFFSET(O129,0,0,BATROWS-ROW(O128)-ROW(T_BATTINGDATA[[#Headers],[BATSMAN NAME]])),0)&gt;0,0,SUMIF($O$6:O128,T_BATTINGDATA[[#This Row],[BATSMAN NAME]],$E$6:E128)),SUMIF($O$6:O128,T_BATTINGDATA[[#This Row],[BATSMAN NAME]],$E$6:E128))</f>
        <v>0</v>
      </c>
      <c r="AP128">
        <v>3</v>
      </c>
      <c r="AQ128" t="s">
        <v>141</v>
      </c>
      <c r="AR128" t="s">
        <v>159</v>
      </c>
      <c r="AS128">
        <v>10</v>
      </c>
      <c r="AT128">
        <v>0</v>
      </c>
      <c r="AU128">
        <v>36</v>
      </c>
      <c r="AV128">
        <v>3</v>
      </c>
      <c r="AW128">
        <v>3.6</v>
      </c>
      <c r="AX128">
        <v>34</v>
      </c>
      <c r="AY128">
        <v>3</v>
      </c>
      <c r="AZ128">
        <v>0</v>
      </c>
      <c r="BA128">
        <v>1</v>
      </c>
      <c r="BB128">
        <v>0</v>
      </c>
      <c r="BC128">
        <v>6</v>
      </c>
      <c r="BD128" t="str">
        <f>CONCATENATE(Table9[[#This Row],[Match Number]],Table9[[#This Row],[Team]],Table9[[#This Row],[BOWL NUM]])</f>
        <v>3South Africa6</v>
      </c>
      <c r="BE128" t="str">
        <f>IFERROR(IF(AND(Table9[[#This Row],[Team]]=I_TEAM,IFERROR(IF(MATCH(Table9[[#This Row],[Bowler]],$AR$5:AR127,0)&gt;0,0),1)),1,0),"")</f>
        <v/>
      </c>
      <c r="BF12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2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28" t="e">
        <f>IF(Table9[[#This Row],[Team]]=I_TEAM,Table9[[#This Row],[Wickets]]*100-Table9[[#This Row],[Runs]],0)</f>
        <v>#REF!</v>
      </c>
      <c r="BI128">
        <f>Table9[[#This Row],[Wickets]]*100-Table9[[#This Row],[Runs]]</f>
        <v>264</v>
      </c>
      <c r="BJ128">
        <f ca="1">IFERROR(IF(MATCH(Table9[[#This Row],[Bowler]],OFFSET(AR129,0,0,BOWLROWS-ROW(AR128)-ROW(Table9[[#Headers],[BOWLER CUML WICKETS]])),0)&gt;0,0,SUMIF($AR$6:AR128,Table9[[#This Row],[Bowler]],$AV$6:AV128)),SUMIF($AR$6:AR128,Table9[[#This Row],[Bowler]],$AV$6:AV128))</f>
        <v>0</v>
      </c>
      <c r="BK128">
        <f ca="1">IFERROR(IF(MATCH(Table9[[#This Row],[Bowler]],OFFSET(AR129,0,0,BOWLROWS-ROW(AR128)-ROW(Table9[[#Headers],[BOWLER CUML WICKETS]])),0)&gt;0,0,SUMIF($AR$6:AR128,Table9[[#This Row],[Bowler]],$AU$6:AU128)),SUMIF($AR$6:AR128,Table9[[#This Row],[Bowler]],$AU$6:AU128))</f>
        <v>0</v>
      </c>
      <c r="BL128">
        <f ca="1">Table9[[#This Row],[BOWLER CUML WICKETS]]*100-Table9[[#This Row],[BOWLER CUML RUNS]]</f>
        <v>0</v>
      </c>
    </row>
    <row r="129" spans="1:64" x14ac:dyDescent="0.3">
      <c r="A129">
        <v>44</v>
      </c>
      <c r="B129" t="s">
        <v>181</v>
      </c>
      <c r="C129" t="s">
        <v>270</v>
      </c>
      <c r="D129" t="s">
        <v>167</v>
      </c>
      <c r="E129">
        <v>0</v>
      </c>
      <c r="F129">
        <v>1</v>
      </c>
      <c r="G129">
        <v>0</v>
      </c>
      <c r="H129">
        <v>0</v>
      </c>
      <c r="I129">
        <v>0</v>
      </c>
      <c r="J129" t="s">
        <v>348</v>
      </c>
      <c r="K129">
        <v>11</v>
      </c>
      <c r="L129" t="str">
        <f>CONCATENATE(T_BATTINGDATA[[#This Row],[Match]],T_BATTINGDATA[[#This Row],[Team]],T_BATTINGDATA[[#This Row],[Bat Number]])</f>
        <v>44Bangladesh11</v>
      </c>
      <c r="M129" t="str">
        <f>IFERROR(IF(AND(T_BATTINGDATA[[#This Row],[Team]]=I_TEAM,IFERROR(IF(MATCH(T_BATTINGDATA[[#This Row],[BATSMAN NAME]],$O$5:O128,0)&gt;0,0),1)),1,0),"")</f>
        <v/>
      </c>
      <c r="N129" t="e">
        <f>IF(T_BATTINGDATA[[#This Row],[Team]]=I_TEAM,T_BATTINGDATA[[#This Row],[R]],0)</f>
        <v>#REF!</v>
      </c>
      <c r="O129" t="str">
        <f>LEFT(T_BATTINGDATA[[#This Row],[Batsman]],IFERROR(FIND("*",T_BATTINGDATA[[#This Row],[Batsman]])-1,IFERROR(FIND("†",T_BATTINGDATA[[#This Row],[Batsman]])-1,LEN(T_BATTINGDATA[[#This Row],[Batsman]]))))</f>
        <v>Taskin Ahmed</v>
      </c>
      <c r="P129">
        <f ca="1">IFERROR(IF(MATCH(T_BATTINGDATA[[#This Row],[BATSMAN NAME]],OFFSET(O130,0,0,BATROWS-ROW(O129)-ROW(T_BATTINGDATA[[#Headers],[BATSMAN NAME]])),0)&gt;0,0,SUMIF($O$6:O129,T_BATTINGDATA[[#This Row],[BATSMAN NAME]],$E$6:E129)),SUMIF($O$6:O129,T_BATTINGDATA[[#This Row],[BATSMAN NAME]],$E$6:E129))</f>
        <v>0</v>
      </c>
      <c r="AP129">
        <v>5</v>
      </c>
      <c r="AQ129" t="s">
        <v>169</v>
      </c>
      <c r="AR129" t="s">
        <v>242</v>
      </c>
      <c r="AS129">
        <v>7</v>
      </c>
      <c r="AT129">
        <v>1</v>
      </c>
      <c r="AU129">
        <v>59</v>
      </c>
      <c r="AV129">
        <v>1</v>
      </c>
      <c r="AW129">
        <v>8.42</v>
      </c>
      <c r="AX129">
        <v>18</v>
      </c>
      <c r="AY129">
        <v>7</v>
      </c>
      <c r="AZ129">
        <v>2</v>
      </c>
      <c r="BA129">
        <v>3</v>
      </c>
      <c r="BB129">
        <v>0</v>
      </c>
      <c r="BC129">
        <v>1</v>
      </c>
      <c r="BD129" t="str">
        <f>CONCATENATE(Table9[[#This Row],[Match Number]],Table9[[#This Row],[Team]],Table9[[#This Row],[BOWL NUM]])</f>
        <v>5Ireland1</v>
      </c>
      <c r="BE129" t="str">
        <f>IFERROR(IF(AND(Table9[[#This Row],[Team]]=I_TEAM,IFERROR(IF(MATCH(Table9[[#This Row],[Bowler]],$AR$5:AR128,0)&gt;0,0),1)),1,0),"")</f>
        <v/>
      </c>
      <c r="BF129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12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29" t="e">
        <f>IF(Table9[[#This Row],[Team]]=I_TEAM,Table9[[#This Row],[Wickets]]*100-Table9[[#This Row],[Runs]],0)</f>
        <v>#REF!</v>
      </c>
      <c r="BI129">
        <f>Table9[[#This Row],[Wickets]]*100-Table9[[#This Row],[Runs]]</f>
        <v>41</v>
      </c>
      <c r="BJ129">
        <f ca="1">IFERROR(IF(MATCH(Table9[[#This Row],[Bowler]],OFFSET(AR130,0,0,BOWLROWS-ROW(AR129)-ROW(Table9[[#Headers],[BOWLER CUML WICKETS]])),0)&gt;0,0,SUMIF($AR$6:AR129,Table9[[#This Row],[Bowler]],$AV$6:AV129)),SUMIF($AR$6:AR129,Table9[[#This Row],[Bowler]],$AV$6:AV129))</f>
        <v>0</v>
      </c>
      <c r="BK129">
        <f ca="1">IFERROR(IF(MATCH(Table9[[#This Row],[Bowler]],OFFSET(AR130,0,0,BOWLROWS-ROW(AR129)-ROW(Table9[[#Headers],[BOWLER CUML WICKETS]])),0)&gt;0,0,SUMIF($AR$6:AR129,Table9[[#This Row],[Bowler]],$AU$6:AU129)),SUMIF($AR$6:AR129,Table9[[#This Row],[Bowler]],$AU$6:AU129))</f>
        <v>0</v>
      </c>
      <c r="BL129">
        <f ca="1">Table9[[#This Row],[BOWLER CUML WICKETS]]*100-Table9[[#This Row],[BOWLER CUML RUNS]]</f>
        <v>0</v>
      </c>
    </row>
    <row r="130" spans="1:64" x14ac:dyDescent="0.3">
      <c r="A130">
        <v>1</v>
      </c>
      <c r="B130" t="s">
        <v>140</v>
      </c>
      <c r="C130" t="s">
        <v>349</v>
      </c>
      <c r="D130" t="s">
        <v>350</v>
      </c>
      <c r="E130">
        <v>49</v>
      </c>
      <c r="F130">
        <v>94</v>
      </c>
      <c r="G130">
        <v>62</v>
      </c>
      <c r="H130">
        <v>5</v>
      </c>
      <c r="I130">
        <v>0</v>
      </c>
      <c r="J130">
        <v>79.03</v>
      </c>
      <c r="K130">
        <v>1</v>
      </c>
      <c r="L130" t="str">
        <f>CONCATENATE(T_BATTINGDATA[[#This Row],[Match]],T_BATTINGDATA[[#This Row],[Team]],T_BATTINGDATA[[#This Row],[Bat Number]])</f>
        <v>1New Zealand1</v>
      </c>
      <c r="M130" t="str">
        <f>IFERROR(IF(AND(T_BATTINGDATA[[#This Row],[Team]]=I_TEAM,IFERROR(IF(MATCH(T_BATTINGDATA[[#This Row],[BATSMAN NAME]],$O$5:O129,0)&gt;0,0),1)),1,0),"")</f>
        <v/>
      </c>
      <c r="N130" t="e">
        <f>IF(T_BATTINGDATA[[#This Row],[Team]]=I_TEAM,T_BATTINGDATA[[#This Row],[R]],0)</f>
        <v>#REF!</v>
      </c>
      <c r="O130" t="str">
        <f>LEFT(T_BATTINGDATA[[#This Row],[Batsman]],IFERROR(FIND("*",T_BATTINGDATA[[#This Row],[Batsman]])-1,IFERROR(FIND("†",T_BATTINGDATA[[#This Row],[Batsman]])-1,LEN(T_BATTINGDATA[[#This Row],[Batsman]]))))</f>
        <v>MJ Guptill</v>
      </c>
      <c r="P130">
        <f ca="1">IFERROR(IF(MATCH(T_BATTINGDATA[[#This Row],[BATSMAN NAME]],OFFSET(O131,0,0,BATROWS-ROW(O130)-ROW(T_BATTINGDATA[[#Headers],[BATSMAN NAME]])),0)&gt;0,0,SUMIF($O$6:O130,T_BATTINGDATA[[#This Row],[BATSMAN NAME]],$E$6:E130)),SUMIF($O$6:O130,T_BATTINGDATA[[#This Row],[BATSMAN NAME]],$E$6:E130))</f>
        <v>0</v>
      </c>
      <c r="AP130">
        <v>5</v>
      </c>
      <c r="AQ130" t="s">
        <v>169</v>
      </c>
      <c r="AR130" t="s">
        <v>351</v>
      </c>
      <c r="AS130">
        <v>8</v>
      </c>
      <c r="AT130">
        <v>0</v>
      </c>
      <c r="AU130">
        <v>64</v>
      </c>
      <c r="AV130">
        <v>1</v>
      </c>
      <c r="AW130">
        <v>8</v>
      </c>
      <c r="AX130">
        <v>20</v>
      </c>
      <c r="AY130">
        <v>5</v>
      </c>
      <c r="AZ130">
        <v>3</v>
      </c>
      <c r="BA130">
        <v>1</v>
      </c>
      <c r="BB130">
        <v>0</v>
      </c>
      <c r="BC130">
        <v>2</v>
      </c>
      <c r="BD130" t="str">
        <f>CONCATENATE(Table9[[#This Row],[Match Number]],Table9[[#This Row],[Team]],Table9[[#This Row],[BOWL NUM]])</f>
        <v>5Ireland2</v>
      </c>
      <c r="BE130" t="str">
        <f>IFERROR(IF(AND(Table9[[#This Row],[Team]]=I_TEAM,IFERROR(IF(MATCH(Table9[[#This Row],[Bowler]],$AR$5:AR129,0)&gt;0,0),1)),1,0),"")</f>
        <v/>
      </c>
      <c r="BF13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3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30" t="e">
        <f>IF(Table9[[#This Row],[Team]]=I_TEAM,Table9[[#This Row],[Wickets]]*100-Table9[[#This Row],[Runs]],0)</f>
        <v>#REF!</v>
      </c>
      <c r="BI130">
        <f>Table9[[#This Row],[Wickets]]*100-Table9[[#This Row],[Runs]]</f>
        <v>36</v>
      </c>
      <c r="BJ130">
        <f ca="1">IFERROR(IF(MATCH(Table9[[#This Row],[Bowler]],OFFSET(AR131,0,0,BOWLROWS-ROW(AR130)-ROW(Table9[[#Headers],[BOWLER CUML WICKETS]])),0)&gt;0,0,SUMIF($AR$6:AR130,Table9[[#This Row],[Bowler]],$AV$6:AV130)),SUMIF($AR$6:AR130,Table9[[#This Row],[Bowler]],$AV$6:AV130))</f>
        <v>0</v>
      </c>
      <c r="BK130">
        <f ca="1">IFERROR(IF(MATCH(Table9[[#This Row],[Bowler]],OFFSET(AR131,0,0,BOWLROWS-ROW(AR130)-ROW(Table9[[#Headers],[BOWLER CUML WICKETS]])),0)&gt;0,0,SUMIF($AR$6:AR130,Table9[[#This Row],[Bowler]],$AU$6:AU130)),SUMIF($AR$6:AR130,Table9[[#This Row],[Bowler]],$AU$6:AU130))</f>
        <v>0</v>
      </c>
      <c r="BL130">
        <f ca="1">Table9[[#This Row],[BOWLER CUML WICKETS]]*100-Table9[[#This Row],[BOWLER CUML RUNS]]</f>
        <v>0</v>
      </c>
    </row>
    <row r="131" spans="1:64" x14ac:dyDescent="0.3">
      <c r="A131">
        <v>1</v>
      </c>
      <c r="B131" t="s">
        <v>140</v>
      </c>
      <c r="C131" t="s">
        <v>352</v>
      </c>
      <c r="D131" t="s">
        <v>353</v>
      </c>
      <c r="E131">
        <v>65</v>
      </c>
      <c r="F131">
        <v>68</v>
      </c>
      <c r="G131">
        <v>49</v>
      </c>
      <c r="H131">
        <v>10</v>
      </c>
      <c r="I131">
        <v>1</v>
      </c>
      <c r="J131">
        <v>132.65</v>
      </c>
      <c r="K131">
        <v>2</v>
      </c>
      <c r="L131" t="str">
        <f>CONCATENATE(T_BATTINGDATA[[#This Row],[Match]],T_BATTINGDATA[[#This Row],[Team]],T_BATTINGDATA[[#This Row],[Bat Number]])</f>
        <v>1New Zealand2</v>
      </c>
      <c r="M131" t="str">
        <f>IFERROR(IF(AND(T_BATTINGDATA[[#This Row],[Team]]=I_TEAM,IFERROR(IF(MATCH(T_BATTINGDATA[[#This Row],[BATSMAN NAME]],$O$5:O130,0)&gt;0,0),1)),1,0),"")</f>
        <v/>
      </c>
      <c r="N131" t="e">
        <f>IF(T_BATTINGDATA[[#This Row],[Team]]=I_TEAM,T_BATTINGDATA[[#This Row],[R]],0)</f>
        <v>#REF!</v>
      </c>
      <c r="O131" t="str">
        <f>LEFT(T_BATTINGDATA[[#This Row],[Batsman]],IFERROR(FIND("*",T_BATTINGDATA[[#This Row],[Batsman]])-1,IFERROR(FIND("†",T_BATTINGDATA[[#This Row],[Batsman]])-1,LEN(T_BATTINGDATA[[#This Row],[Batsman]]))))</f>
        <v>BB McCullum</v>
      </c>
      <c r="P131">
        <f ca="1">IFERROR(IF(MATCH(T_BATTINGDATA[[#This Row],[BATSMAN NAME]],OFFSET(O132,0,0,BATROWS-ROW(O131)-ROW(T_BATTINGDATA[[#Headers],[BATSMAN NAME]])),0)&gt;0,0,SUMIF($O$6:O131,T_BATTINGDATA[[#This Row],[BATSMAN NAME]],$E$6:E131)),SUMIF($O$6:O131,T_BATTINGDATA[[#This Row],[BATSMAN NAME]],$E$6:E131))</f>
        <v>0</v>
      </c>
      <c r="AP131">
        <v>5</v>
      </c>
      <c r="AQ131" t="s">
        <v>169</v>
      </c>
      <c r="AR131" t="s">
        <v>354</v>
      </c>
      <c r="AS131">
        <v>10</v>
      </c>
      <c r="AT131">
        <v>1</v>
      </c>
      <c r="AU131">
        <v>26</v>
      </c>
      <c r="AV131">
        <v>0</v>
      </c>
      <c r="AW131">
        <v>2.6</v>
      </c>
      <c r="AX131">
        <v>41</v>
      </c>
      <c r="AY131">
        <v>2</v>
      </c>
      <c r="AZ131">
        <v>0</v>
      </c>
      <c r="BA131">
        <v>0</v>
      </c>
      <c r="BB131">
        <v>0</v>
      </c>
      <c r="BC131">
        <v>3</v>
      </c>
      <c r="BD131" t="str">
        <f>CONCATENATE(Table9[[#This Row],[Match Number]],Table9[[#This Row],[Team]],Table9[[#This Row],[BOWL NUM]])</f>
        <v>5Ireland3</v>
      </c>
      <c r="BE131" t="str">
        <f>IFERROR(IF(AND(Table9[[#This Row],[Team]]=I_TEAM,IFERROR(IF(MATCH(Table9[[#This Row],[Bowler]],$AR$5:AR130,0)&gt;0,0),1)),1,0),"")</f>
        <v/>
      </c>
      <c r="BF13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3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31" t="e">
        <f>IF(Table9[[#This Row],[Team]]=I_TEAM,Table9[[#This Row],[Wickets]]*100-Table9[[#This Row],[Runs]],0)</f>
        <v>#REF!</v>
      </c>
      <c r="BI131">
        <f>Table9[[#This Row],[Wickets]]*100-Table9[[#This Row],[Runs]]</f>
        <v>-26</v>
      </c>
      <c r="BJ131">
        <f ca="1">IFERROR(IF(MATCH(Table9[[#This Row],[Bowler]],OFFSET(AR132,0,0,BOWLROWS-ROW(AR131)-ROW(Table9[[#Headers],[BOWLER CUML WICKETS]])),0)&gt;0,0,SUMIF($AR$6:AR131,Table9[[#This Row],[Bowler]],$AV$6:AV131)),SUMIF($AR$6:AR131,Table9[[#This Row],[Bowler]],$AV$6:AV131))</f>
        <v>0</v>
      </c>
      <c r="BK131">
        <f ca="1">IFERROR(IF(MATCH(Table9[[#This Row],[Bowler]],OFFSET(AR132,0,0,BOWLROWS-ROW(AR131)-ROW(Table9[[#Headers],[BOWLER CUML WICKETS]])),0)&gt;0,0,SUMIF($AR$6:AR131,Table9[[#This Row],[Bowler]],$AU$6:AU131)),SUMIF($AR$6:AR131,Table9[[#This Row],[Bowler]],$AU$6:AU131))</f>
        <v>0</v>
      </c>
      <c r="BL131">
        <f ca="1">Table9[[#This Row],[BOWLER CUML WICKETS]]*100-Table9[[#This Row],[BOWLER CUML RUNS]]</f>
        <v>0</v>
      </c>
    </row>
    <row r="132" spans="1:64" x14ac:dyDescent="0.3">
      <c r="A132">
        <v>1</v>
      </c>
      <c r="B132" t="s">
        <v>140</v>
      </c>
      <c r="C132" t="s">
        <v>307</v>
      </c>
      <c r="D132" t="s">
        <v>355</v>
      </c>
      <c r="E132">
        <v>57</v>
      </c>
      <c r="F132">
        <v>70</v>
      </c>
      <c r="G132">
        <v>65</v>
      </c>
      <c r="H132">
        <v>5</v>
      </c>
      <c r="I132">
        <v>1</v>
      </c>
      <c r="J132">
        <v>87.69</v>
      </c>
      <c r="K132">
        <v>3</v>
      </c>
      <c r="L132" t="str">
        <f>CONCATENATE(T_BATTINGDATA[[#This Row],[Match]],T_BATTINGDATA[[#This Row],[Team]],T_BATTINGDATA[[#This Row],[Bat Number]])</f>
        <v>1New Zealand3</v>
      </c>
      <c r="M132" t="str">
        <f>IFERROR(IF(AND(T_BATTINGDATA[[#This Row],[Team]]=I_TEAM,IFERROR(IF(MATCH(T_BATTINGDATA[[#This Row],[BATSMAN NAME]],$O$5:O131,0)&gt;0,0),1)),1,0),"")</f>
        <v/>
      </c>
      <c r="N132" t="e">
        <f>IF(T_BATTINGDATA[[#This Row],[Team]]=I_TEAM,T_BATTINGDATA[[#This Row],[R]],0)</f>
        <v>#REF!</v>
      </c>
      <c r="O132" t="str">
        <f>LEFT(T_BATTINGDATA[[#This Row],[Batsman]],IFERROR(FIND("*",T_BATTINGDATA[[#This Row],[Batsman]])-1,IFERROR(FIND("†",T_BATTINGDATA[[#This Row],[Batsman]])-1,LEN(T_BATTINGDATA[[#This Row],[Batsman]]))))</f>
        <v>KS Williamson</v>
      </c>
      <c r="P132">
        <f ca="1">IFERROR(IF(MATCH(T_BATTINGDATA[[#This Row],[BATSMAN NAME]],OFFSET(O133,0,0,BATROWS-ROW(O132)-ROW(T_BATTINGDATA[[#Headers],[BATSMAN NAME]])),0)&gt;0,0,SUMIF($O$6:O132,T_BATTINGDATA[[#This Row],[BATSMAN NAME]],$E$6:E132)),SUMIF($O$6:O132,T_BATTINGDATA[[#This Row],[BATSMAN NAME]],$E$6:E132))</f>
        <v>0</v>
      </c>
      <c r="AP132">
        <v>5</v>
      </c>
      <c r="AQ132" t="s">
        <v>169</v>
      </c>
      <c r="AR132" t="s">
        <v>251</v>
      </c>
      <c r="AS132">
        <v>9</v>
      </c>
      <c r="AT132">
        <v>0</v>
      </c>
      <c r="AU132">
        <v>71</v>
      </c>
      <c r="AV132">
        <v>1</v>
      </c>
      <c r="AW132">
        <v>7.88</v>
      </c>
      <c r="AX132">
        <v>31</v>
      </c>
      <c r="AY132">
        <v>8</v>
      </c>
      <c r="AZ132">
        <v>4</v>
      </c>
      <c r="BA132">
        <v>3</v>
      </c>
      <c r="BB132">
        <v>0</v>
      </c>
      <c r="BC132">
        <v>4</v>
      </c>
      <c r="BD132" t="str">
        <f>CONCATENATE(Table9[[#This Row],[Match Number]],Table9[[#This Row],[Team]],Table9[[#This Row],[BOWL NUM]])</f>
        <v>5Ireland4</v>
      </c>
      <c r="BE132" t="str">
        <f>IFERROR(IF(AND(Table9[[#This Row],[Team]]=I_TEAM,IFERROR(IF(MATCH(Table9[[#This Row],[Bowler]],$AR$5:AR131,0)&gt;0,0),1)),1,0),"")</f>
        <v/>
      </c>
      <c r="BF132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3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32" t="e">
        <f>IF(Table9[[#This Row],[Team]]=I_TEAM,Table9[[#This Row],[Wickets]]*100-Table9[[#This Row],[Runs]],0)</f>
        <v>#REF!</v>
      </c>
      <c r="BI132">
        <f>Table9[[#This Row],[Wickets]]*100-Table9[[#This Row],[Runs]]</f>
        <v>29</v>
      </c>
      <c r="BJ132">
        <f ca="1">IFERROR(IF(MATCH(Table9[[#This Row],[Bowler]],OFFSET(AR133,0,0,BOWLROWS-ROW(AR132)-ROW(Table9[[#Headers],[BOWLER CUML WICKETS]])),0)&gt;0,0,SUMIF($AR$6:AR132,Table9[[#This Row],[Bowler]],$AV$6:AV132)),SUMIF($AR$6:AR132,Table9[[#This Row],[Bowler]],$AV$6:AV132))</f>
        <v>0</v>
      </c>
      <c r="BK132">
        <f ca="1">IFERROR(IF(MATCH(Table9[[#This Row],[Bowler]],OFFSET(AR133,0,0,BOWLROWS-ROW(AR132)-ROW(Table9[[#Headers],[BOWLER CUML WICKETS]])),0)&gt;0,0,SUMIF($AR$6:AR132,Table9[[#This Row],[Bowler]],$AU$6:AU132)),SUMIF($AR$6:AR132,Table9[[#This Row],[Bowler]],$AU$6:AU132))</f>
        <v>0</v>
      </c>
      <c r="BL132">
        <f ca="1">Table9[[#This Row],[BOWLER CUML WICKETS]]*100-Table9[[#This Row],[BOWLER CUML RUNS]]</f>
        <v>0</v>
      </c>
    </row>
    <row r="133" spans="1:64" x14ac:dyDescent="0.3">
      <c r="A133">
        <v>1</v>
      </c>
      <c r="B133" t="s">
        <v>140</v>
      </c>
      <c r="C133" t="s">
        <v>356</v>
      </c>
      <c r="D133" t="s">
        <v>357</v>
      </c>
      <c r="E133">
        <v>14</v>
      </c>
      <c r="F133">
        <v>49</v>
      </c>
      <c r="G133">
        <v>28</v>
      </c>
      <c r="H133">
        <v>0</v>
      </c>
      <c r="I133">
        <v>0</v>
      </c>
      <c r="J133">
        <v>50</v>
      </c>
      <c r="K133">
        <v>4</v>
      </c>
      <c r="L133" t="str">
        <f>CONCATENATE(T_BATTINGDATA[[#This Row],[Match]],T_BATTINGDATA[[#This Row],[Team]],T_BATTINGDATA[[#This Row],[Bat Number]])</f>
        <v>1New Zealand4</v>
      </c>
      <c r="M133" t="str">
        <f>IFERROR(IF(AND(T_BATTINGDATA[[#This Row],[Team]]=I_TEAM,IFERROR(IF(MATCH(T_BATTINGDATA[[#This Row],[BATSMAN NAME]],$O$5:O132,0)&gt;0,0),1)),1,0),"")</f>
        <v/>
      </c>
      <c r="N133" t="e">
        <f>IF(T_BATTINGDATA[[#This Row],[Team]]=I_TEAM,T_BATTINGDATA[[#This Row],[R]],0)</f>
        <v>#REF!</v>
      </c>
      <c r="O133" t="str">
        <f>LEFT(T_BATTINGDATA[[#This Row],[Batsman]],IFERROR(FIND("*",T_BATTINGDATA[[#This Row],[Batsman]])-1,IFERROR(FIND("†",T_BATTINGDATA[[#This Row],[Batsman]])-1,LEN(T_BATTINGDATA[[#This Row],[Batsman]]))))</f>
        <v>LRPL Taylor</v>
      </c>
      <c r="P133">
        <f ca="1">IFERROR(IF(MATCH(T_BATTINGDATA[[#This Row],[BATSMAN NAME]],OFFSET(O134,0,0,BATROWS-ROW(O133)-ROW(T_BATTINGDATA[[#Headers],[BATSMAN NAME]])),0)&gt;0,0,SUMIF($O$6:O133,T_BATTINGDATA[[#This Row],[BATSMAN NAME]],$E$6:E133)),SUMIF($O$6:O133,T_BATTINGDATA[[#This Row],[BATSMAN NAME]],$E$6:E133))</f>
        <v>0</v>
      </c>
      <c r="AP133">
        <v>5</v>
      </c>
      <c r="AQ133" t="s">
        <v>169</v>
      </c>
      <c r="AR133" t="s">
        <v>246</v>
      </c>
      <c r="AS133">
        <v>10</v>
      </c>
      <c r="AT133">
        <v>0</v>
      </c>
      <c r="AU133">
        <v>50</v>
      </c>
      <c r="AV133">
        <v>3</v>
      </c>
      <c r="AW133">
        <v>5</v>
      </c>
      <c r="AX133">
        <v>38</v>
      </c>
      <c r="AY133">
        <v>4</v>
      </c>
      <c r="AZ133">
        <v>2</v>
      </c>
      <c r="BA133">
        <v>1</v>
      </c>
      <c r="BB133">
        <v>0</v>
      </c>
      <c r="BC133">
        <v>5</v>
      </c>
      <c r="BD133" t="str">
        <f>CONCATENATE(Table9[[#This Row],[Match Number]],Table9[[#This Row],[Team]],Table9[[#This Row],[BOWL NUM]])</f>
        <v>5Ireland5</v>
      </c>
      <c r="BE133" t="str">
        <f>IFERROR(IF(AND(Table9[[#This Row],[Team]]=I_TEAM,IFERROR(IF(MATCH(Table9[[#This Row],[Bowler]],$AR$5:AR132,0)&gt;0,0),1)),1,0),"")</f>
        <v/>
      </c>
      <c r="BF13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3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33" t="e">
        <f>IF(Table9[[#This Row],[Team]]=I_TEAM,Table9[[#This Row],[Wickets]]*100-Table9[[#This Row],[Runs]],0)</f>
        <v>#REF!</v>
      </c>
      <c r="BI133">
        <f>Table9[[#This Row],[Wickets]]*100-Table9[[#This Row],[Runs]]</f>
        <v>250</v>
      </c>
      <c r="BJ133">
        <f ca="1">IFERROR(IF(MATCH(Table9[[#This Row],[Bowler]],OFFSET(AR134,0,0,BOWLROWS-ROW(AR133)-ROW(Table9[[#Headers],[BOWLER CUML WICKETS]])),0)&gt;0,0,SUMIF($AR$6:AR133,Table9[[#This Row],[Bowler]],$AV$6:AV133)),SUMIF($AR$6:AR133,Table9[[#This Row],[Bowler]],$AV$6:AV133))</f>
        <v>0</v>
      </c>
      <c r="BK133">
        <f ca="1">IFERROR(IF(MATCH(Table9[[#This Row],[Bowler]],OFFSET(AR134,0,0,BOWLROWS-ROW(AR133)-ROW(Table9[[#Headers],[BOWLER CUML WICKETS]])),0)&gt;0,0,SUMIF($AR$6:AR133,Table9[[#This Row],[Bowler]],$AU$6:AU133)),SUMIF($AR$6:AR133,Table9[[#This Row],[Bowler]],$AU$6:AU133))</f>
        <v>0</v>
      </c>
      <c r="BL133">
        <f ca="1">Table9[[#This Row],[BOWLER CUML WICKETS]]*100-Table9[[#This Row],[BOWLER CUML RUNS]]</f>
        <v>0</v>
      </c>
    </row>
    <row r="134" spans="1:64" x14ac:dyDescent="0.3">
      <c r="A134">
        <v>1</v>
      </c>
      <c r="B134" t="s">
        <v>140</v>
      </c>
      <c r="C134" t="s">
        <v>305</v>
      </c>
      <c r="D134" t="s">
        <v>358</v>
      </c>
      <c r="E134">
        <v>29</v>
      </c>
      <c r="F134">
        <v>53</v>
      </c>
      <c r="G134">
        <v>34</v>
      </c>
      <c r="H134">
        <v>2</v>
      </c>
      <c r="I134">
        <v>0</v>
      </c>
      <c r="J134">
        <v>85.29</v>
      </c>
      <c r="K134">
        <v>5</v>
      </c>
      <c r="L134" t="str">
        <f>CONCATENATE(T_BATTINGDATA[[#This Row],[Match]],T_BATTINGDATA[[#This Row],[Team]],T_BATTINGDATA[[#This Row],[Bat Number]])</f>
        <v>1New Zealand5</v>
      </c>
      <c r="M134" t="str">
        <f>IFERROR(IF(AND(T_BATTINGDATA[[#This Row],[Team]]=I_TEAM,IFERROR(IF(MATCH(T_BATTINGDATA[[#This Row],[BATSMAN NAME]],$O$5:O133,0)&gt;0,0),1)),1,0),"")</f>
        <v/>
      </c>
      <c r="N134" t="e">
        <f>IF(T_BATTINGDATA[[#This Row],[Team]]=I_TEAM,T_BATTINGDATA[[#This Row],[R]],0)</f>
        <v>#REF!</v>
      </c>
      <c r="O134" t="str">
        <f>LEFT(T_BATTINGDATA[[#This Row],[Batsman]],IFERROR(FIND("*",T_BATTINGDATA[[#This Row],[Batsman]])-1,IFERROR(FIND("†",T_BATTINGDATA[[#This Row],[Batsman]])-1,LEN(T_BATTINGDATA[[#This Row],[Batsman]]))))</f>
        <v>GD Elliott</v>
      </c>
      <c r="P134">
        <f ca="1">IFERROR(IF(MATCH(T_BATTINGDATA[[#This Row],[BATSMAN NAME]],OFFSET(O135,0,0,BATROWS-ROW(O134)-ROW(T_BATTINGDATA[[#Headers],[BATSMAN NAME]])),0)&gt;0,0,SUMIF($O$6:O134,T_BATTINGDATA[[#This Row],[BATSMAN NAME]],$E$6:E134)),SUMIF($O$6:O134,T_BATTINGDATA[[#This Row],[BATSMAN NAME]],$E$6:E134))</f>
        <v>0</v>
      </c>
      <c r="AP134">
        <v>5</v>
      </c>
      <c r="AQ134" t="s">
        <v>169</v>
      </c>
      <c r="AR134" t="s">
        <v>249</v>
      </c>
      <c r="AS134">
        <v>6</v>
      </c>
      <c r="AT134">
        <v>0</v>
      </c>
      <c r="AU134">
        <v>33</v>
      </c>
      <c r="AV134">
        <v>0</v>
      </c>
      <c r="AW134">
        <v>5.5</v>
      </c>
      <c r="AX134">
        <v>18</v>
      </c>
      <c r="AY134">
        <v>2</v>
      </c>
      <c r="AZ134">
        <v>1</v>
      </c>
      <c r="BA134">
        <v>1</v>
      </c>
      <c r="BB134">
        <v>0</v>
      </c>
      <c r="BC134">
        <v>6</v>
      </c>
      <c r="BD134" t="str">
        <f>CONCATENATE(Table9[[#This Row],[Match Number]],Table9[[#This Row],[Team]],Table9[[#This Row],[BOWL NUM]])</f>
        <v>5Ireland6</v>
      </c>
      <c r="BE134" t="str">
        <f>IFERROR(IF(AND(Table9[[#This Row],[Team]]=I_TEAM,IFERROR(IF(MATCH(Table9[[#This Row],[Bowler]],$AR$5:AR133,0)&gt;0,0),1)),1,0),"")</f>
        <v/>
      </c>
      <c r="BF134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13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34" t="e">
        <f>IF(Table9[[#This Row],[Team]]=I_TEAM,Table9[[#This Row],[Wickets]]*100-Table9[[#This Row],[Runs]],0)</f>
        <v>#REF!</v>
      </c>
      <c r="BI134">
        <f>Table9[[#This Row],[Wickets]]*100-Table9[[#This Row],[Runs]]</f>
        <v>-33</v>
      </c>
      <c r="BJ134">
        <f ca="1">IFERROR(IF(MATCH(Table9[[#This Row],[Bowler]],OFFSET(AR135,0,0,BOWLROWS-ROW(AR134)-ROW(Table9[[#Headers],[BOWLER CUML WICKETS]])),0)&gt;0,0,SUMIF($AR$6:AR134,Table9[[#This Row],[Bowler]],$AV$6:AV134)),SUMIF($AR$6:AR134,Table9[[#This Row],[Bowler]],$AV$6:AV134))</f>
        <v>0</v>
      </c>
      <c r="BK134">
        <f ca="1">IFERROR(IF(MATCH(Table9[[#This Row],[Bowler]],OFFSET(AR135,0,0,BOWLROWS-ROW(AR134)-ROW(Table9[[#Headers],[BOWLER CUML WICKETS]])),0)&gt;0,0,SUMIF($AR$6:AR134,Table9[[#This Row],[Bowler]],$AU$6:AU134)),SUMIF($AR$6:AR134,Table9[[#This Row],[Bowler]],$AU$6:AU134))</f>
        <v>0</v>
      </c>
      <c r="BL134">
        <f ca="1">Table9[[#This Row],[BOWLER CUML WICKETS]]*100-Table9[[#This Row],[BOWLER CUML RUNS]]</f>
        <v>0</v>
      </c>
    </row>
    <row r="135" spans="1:64" x14ac:dyDescent="0.3">
      <c r="A135">
        <v>1</v>
      </c>
      <c r="B135" t="s">
        <v>140</v>
      </c>
      <c r="C135" t="s">
        <v>309</v>
      </c>
      <c r="D135" t="s">
        <v>359</v>
      </c>
      <c r="E135">
        <v>75</v>
      </c>
      <c r="F135">
        <v>77</v>
      </c>
      <c r="G135">
        <v>46</v>
      </c>
      <c r="H135">
        <v>8</v>
      </c>
      <c r="I135">
        <v>2</v>
      </c>
      <c r="J135">
        <v>163.04</v>
      </c>
      <c r="K135">
        <v>6</v>
      </c>
      <c r="L135" t="str">
        <f>CONCATENATE(T_BATTINGDATA[[#This Row],[Match]],T_BATTINGDATA[[#This Row],[Team]],T_BATTINGDATA[[#This Row],[Bat Number]])</f>
        <v>1New Zealand6</v>
      </c>
      <c r="M135" t="str">
        <f>IFERROR(IF(AND(T_BATTINGDATA[[#This Row],[Team]]=I_TEAM,IFERROR(IF(MATCH(T_BATTINGDATA[[#This Row],[BATSMAN NAME]],$O$5:O134,0)&gt;0,0),1)),1,0),"")</f>
        <v/>
      </c>
      <c r="N135" t="e">
        <f>IF(T_BATTINGDATA[[#This Row],[Team]]=I_TEAM,T_BATTINGDATA[[#This Row],[R]],0)</f>
        <v>#REF!</v>
      </c>
      <c r="O135" t="str">
        <f>LEFT(T_BATTINGDATA[[#This Row],[Batsman]],IFERROR(FIND("*",T_BATTINGDATA[[#This Row],[Batsman]])-1,IFERROR(FIND("†",T_BATTINGDATA[[#This Row],[Batsman]])-1,LEN(T_BATTINGDATA[[#This Row],[Batsman]]))))</f>
        <v>CJ Anderson</v>
      </c>
      <c r="P135">
        <f ca="1">IFERROR(IF(MATCH(T_BATTINGDATA[[#This Row],[BATSMAN NAME]],OFFSET(O136,0,0,BATROWS-ROW(O135)-ROW(T_BATTINGDATA[[#Headers],[BATSMAN NAME]])),0)&gt;0,0,SUMIF($O$6:O135,T_BATTINGDATA[[#This Row],[BATSMAN NAME]],$E$6:E135)),SUMIF($O$6:O135,T_BATTINGDATA[[#This Row],[BATSMAN NAME]],$E$6:E135))</f>
        <v>0</v>
      </c>
      <c r="AP135">
        <v>5</v>
      </c>
      <c r="AQ135" t="s">
        <v>170</v>
      </c>
      <c r="AR135" t="s">
        <v>260</v>
      </c>
      <c r="AS135">
        <v>9</v>
      </c>
      <c r="AT135">
        <v>1</v>
      </c>
      <c r="AU135">
        <v>44</v>
      </c>
      <c r="AV135">
        <v>0</v>
      </c>
      <c r="AW135">
        <v>4.88</v>
      </c>
      <c r="AX135">
        <v>33</v>
      </c>
      <c r="AY135">
        <v>5</v>
      </c>
      <c r="AZ135">
        <v>0</v>
      </c>
      <c r="BA135">
        <v>2</v>
      </c>
      <c r="BB135">
        <v>0</v>
      </c>
      <c r="BC135">
        <v>1</v>
      </c>
      <c r="BD135" t="str">
        <f>CONCATENATE(Table9[[#This Row],[Match Number]],Table9[[#This Row],[Team]],Table9[[#This Row],[BOWL NUM]])</f>
        <v>5West Indies1</v>
      </c>
      <c r="BE135" t="str">
        <f>IFERROR(IF(AND(Table9[[#This Row],[Team]]=I_TEAM,IFERROR(IF(MATCH(Table9[[#This Row],[Bowler]],$AR$5:AR134,0)&gt;0,0),1)),1,0),"")</f>
        <v/>
      </c>
      <c r="BF135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3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135" t="e">
        <f>IF(Table9[[#This Row],[Team]]=I_TEAM,Table9[[#This Row],[Wickets]]*100-Table9[[#This Row],[Runs]],0)</f>
        <v>#REF!</v>
      </c>
      <c r="BI135">
        <f>Table9[[#This Row],[Wickets]]*100-Table9[[#This Row],[Runs]]</f>
        <v>-44</v>
      </c>
      <c r="BJ135">
        <f ca="1">IFERROR(IF(MATCH(Table9[[#This Row],[Bowler]],OFFSET(AR136,0,0,BOWLROWS-ROW(AR135)-ROW(Table9[[#Headers],[BOWLER CUML WICKETS]])),0)&gt;0,0,SUMIF($AR$6:AR135,Table9[[#This Row],[Bowler]],$AV$6:AV135)),SUMIF($AR$6:AR135,Table9[[#This Row],[Bowler]],$AV$6:AV135))</f>
        <v>0</v>
      </c>
      <c r="BK135">
        <f ca="1">IFERROR(IF(MATCH(Table9[[#This Row],[Bowler]],OFFSET(AR136,0,0,BOWLROWS-ROW(AR135)-ROW(Table9[[#Headers],[BOWLER CUML WICKETS]])),0)&gt;0,0,SUMIF($AR$6:AR135,Table9[[#This Row],[Bowler]],$AU$6:AU135)),SUMIF($AR$6:AR135,Table9[[#This Row],[Bowler]],$AU$6:AU135))</f>
        <v>0</v>
      </c>
      <c r="BL135">
        <f ca="1">Table9[[#This Row],[BOWLER CUML WICKETS]]*100-Table9[[#This Row],[BOWLER CUML RUNS]]</f>
        <v>0</v>
      </c>
    </row>
    <row r="136" spans="1:64" x14ac:dyDescent="0.3">
      <c r="A136">
        <v>1</v>
      </c>
      <c r="B136" t="s">
        <v>140</v>
      </c>
      <c r="C136" t="s">
        <v>360</v>
      </c>
      <c r="D136" t="s">
        <v>167</v>
      </c>
      <c r="E136">
        <v>29</v>
      </c>
      <c r="F136">
        <v>29</v>
      </c>
      <c r="G136">
        <v>19</v>
      </c>
      <c r="H136">
        <v>4</v>
      </c>
      <c r="I136">
        <v>0</v>
      </c>
      <c r="J136">
        <v>152.63</v>
      </c>
      <c r="K136">
        <v>7</v>
      </c>
      <c r="L136" t="str">
        <f>CONCATENATE(T_BATTINGDATA[[#This Row],[Match]],T_BATTINGDATA[[#This Row],[Team]],T_BATTINGDATA[[#This Row],[Bat Number]])</f>
        <v>1New Zealand7</v>
      </c>
      <c r="M136" t="str">
        <f>IFERROR(IF(AND(T_BATTINGDATA[[#This Row],[Team]]=I_TEAM,IFERROR(IF(MATCH(T_BATTINGDATA[[#This Row],[BATSMAN NAME]],$O$5:O135,0)&gt;0,0),1)),1,0),"")</f>
        <v/>
      </c>
      <c r="N136" t="e">
        <f>IF(T_BATTINGDATA[[#This Row],[Team]]=I_TEAM,T_BATTINGDATA[[#This Row],[R]],0)</f>
        <v>#REF!</v>
      </c>
      <c r="O136" t="str">
        <f>LEFT(T_BATTINGDATA[[#This Row],[Batsman]],IFERROR(FIND("*",T_BATTINGDATA[[#This Row],[Batsman]])-1,IFERROR(FIND("†",T_BATTINGDATA[[#This Row],[Batsman]])-1,LEN(T_BATTINGDATA[[#This Row],[Batsman]]))))</f>
        <v>L Ronchi</v>
      </c>
      <c r="P136">
        <f ca="1">IFERROR(IF(MATCH(T_BATTINGDATA[[#This Row],[BATSMAN NAME]],OFFSET(O137,0,0,BATROWS-ROW(O136)-ROW(T_BATTINGDATA[[#Headers],[BATSMAN NAME]])),0)&gt;0,0,SUMIF($O$6:O136,T_BATTINGDATA[[#This Row],[BATSMAN NAME]],$E$6:E136)),SUMIF($O$6:O136,T_BATTINGDATA[[#This Row],[BATSMAN NAME]],$E$6:E136))</f>
        <v>0</v>
      </c>
      <c r="AP136">
        <v>5</v>
      </c>
      <c r="AQ136" t="s">
        <v>170</v>
      </c>
      <c r="AR136" t="s">
        <v>263</v>
      </c>
      <c r="AS136">
        <v>6</v>
      </c>
      <c r="AT136">
        <v>0</v>
      </c>
      <c r="AU136">
        <v>52</v>
      </c>
      <c r="AV136">
        <v>0</v>
      </c>
      <c r="AW136">
        <v>8.66</v>
      </c>
      <c r="AX136">
        <v>15</v>
      </c>
      <c r="AY136">
        <v>6</v>
      </c>
      <c r="AZ136">
        <v>2</v>
      </c>
      <c r="BA136">
        <v>1</v>
      </c>
      <c r="BB136">
        <v>0</v>
      </c>
      <c r="BC136">
        <v>2</v>
      </c>
      <c r="BD136" t="str">
        <f>CONCATENATE(Table9[[#This Row],[Match Number]],Table9[[#This Row],[Team]],Table9[[#This Row],[BOWL NUM]])</f>
        <v>5West Indies2</v>
      </c>
      <c r="BE136" t="str">
        <f>IFERROR(IF(AND(Table9[[#This Row],[Team]]=I_TEAM,IFERROR(IF(MATCH(Table9[[#This Row],[Bowler]],$AR$5:AR135,0)&gt;0,0),1)),1,0),"")</f>
        <v/>
      </c>
      <c r="BF136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13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136" t="e">
        <f>IF(Table9[[#This Row],[Team]]=I_TEAM,Table9[[#This Row],[Wickets]]*100-Table9[[#This Row],[Runs]],0)</f>
        <v>#REF!</v>
      </c>
      <c r="BI136">
        <f>Table9[[#This Row],[Wickets]]*100-Table9[[#This Row],[Runs]]</f>
        <v>-52</v>
      </c>
      <c r="BJ136">
        <f ca="1">IFERROR(IF(MATCH(Table9[[#This Row],[Bowler]],OFFSET(AR137,0,0,BOWLROWS-ROW(AR136)-ROW(Table9[[#Headers],[BOWLER CUML WICKETS]])),0)&gt;0,0,SUMIF($AR$6:AR136,Table9[[#This Row],[Bowler]],$AV$6:AV136)),SUMIF($AR$6:AR136,Table9[[#This Row],[Bowler]],$AV$6:AV136))</f>
        <v>0</v>
      </c>
      <c r="BK136">
        <f ca="1">IFERROR(IF(MATCH(Table9[[#This Row],[Bowler]],OFFSET(AR137,0,0,BOWLROWS-ROW(AR136)-ROW(Table9[[#Headers],[BOWLER CUML WICKETS]])),0)&gt;0,0,SUMIF($AR$6:AR136,Table9[[#This Row],[Bowler]],$AU$6:AU136)),SUMIF($AR$6:AR136,Table9[[#This Row],[Bowler]],$AU$6:AU136))</f>
        <v>0</v>
      </c>
      <c r="BL136">
        <f ca="1">Table9[[#This Row],[BOWLER CUML WICKETS]]*100-Table9[[#This Row],[BOWLER CUML RUNS]]</f>
        <v>0</v>
      </c>
    </row>
    <row r="137" spans="1:64" x14ac:dyDescent="0.3">
      <c r="A137">
        <v>1</v>
      </c>
      <c r="B137" t="s">
        <v>145</v>
      </c>
      <c r="C137" t="s">
        <v>361</v>
      </c>
      <c r="D137" t="s">
        <v>362</v>
      </c>
      <c r="E137">
        <v>65</v>
      </c>
      <c r="F137">
        <v>90</v>
      </c>
      <c r="G137">
        <v>60</v>
      </c>
      <c r="H137">
        <v>8</v>
      </c>
      <c r="I137">
        <v>0</v>
      </c>
      <c r="J137">
        <v>108.33</v>
      </c>
      <c r="K137">
        <v>1</v>
      </c>
      <c r="L137" t="str">
        <f>CONCATENATE(T_BATTINGDATA[[#This Row],[Match]],T_BATTINGDATA[[#This Row],[Team]],T_BATTINGDATA[[#This Row],[Bat Number]])</f>
        <v>1Sri Lanka1</v>
      </c>
      <c r="M137" t="str">
        <f>IFERROR(IF(AND(T_BATTINGDATA[[#This Row],[Team]]=I_TEAM,IFERROR(IF(MATCH(T_BATTINGDATA[[#This Row],[BATSMAN NAME]],$O$5:O136,0)&gt;0,0),1)),1,0),"")</f>
        <v/>
      </c>
      <c r="N137" t="e">
        <f>IF(T_BATTINGDATA[[#This Row],[Team]]=I_TEAM,T_BATTINGDATA[[#This Row],[R]],0)</f>
        <v>#REF!</v>
      </c>
      <c r="O137" t="str">
        <f>LEFT(T_BATTINGDATA[[#This Row],[Batsman]],IFERROR(FIND("*",T_BATTINGDATA[[#This Row],[Batsman]])-1,IFERROR(FIND("†",T_BATTINGDATA[[#This Row],[Batsman]])-1,LEN(T_BATTINGDATA[[#This Row],[Batsman]]))))</f>
        <v>HDRL Thirimanne</v>
      </c>
      <c r="P137">
        <f ca="1">IFERROR(IF(MATCH(T_BATTINGDATA[[#This Row],[BATSMAN NAME]],OFFSET(O138,0,0,BATROWS-ROW(O137)-ROW(T_BATTINGDATA[[#Headers],[BATSMAN NAME]])),0)&gt;0,0,SUMIF($O$6:O137,T_BATTINGDATA[[#This Row],[BATSMAN NAME]],$E$6:E137)),SUMIF($O$6:O137,T_BATTINGDATA[[#This Row],[BATSMAN NAME]],$E$6:E137))</f>
        <v>0</v>
      </c>
      <c r="AP137">
        <v>5</v>
      </c>
      <c r="AQ137" t="s">
        <v>170</v>
      </c>
      <c r="AR137" t="s">
        <v>259</v>
      </c>
      <c r="AS137">
        <v>8.5</v>
      </c>
      <c r="AT137">
        <v>0</v>
      </c>
      <c r="AU137">
        <v>71</v>
      </c>
      <c r="AV137">
        <v>3</v>
      </c>
      <c r="AW137">
        <v>8.0299999999999994</v>
      </c>
      <c r="AX137">
        <v>26</v>
      </c>
      <c r="AY137">
        <v>10</v>
      </c>
      <c r="AZ137">
        <v>2</v>
      </c>
      <c r="BA137">
        <v>1</v>
      </c>
      <c r="BB137">
        <v>0</v>
      </c>
      <c r="BC137">
        <v>3</v>
      </c>
      <c r="BD137" t="str">
        <f>CONCATENATE(Table9[[#This Row],[Match Number]],Table9[[#This Row],[Team]],Table9[[#This Row],[BOWL NUM]])</f>
        <v>5West Indies3</v>
      </c>
      <c r="BE137" t="str">
        <f>IFERROR(IF(AND(Table9[[#This Row],[Team]]=I_TEAM,IFERROR(IF(MATCH(Table9[[#This Row],[Bowler]],$AR$5:AR136,0)&gt;0,0),1)),1,0),"")</f>
        <v/>
      </c>
      <c r="BF137">
        <f>(LEFT(Table9[[#This Row],[Overs]],IFERROR(FIND(".",Table9[[#This Row],[Overs]])-1,LEN(Table9[[#This Row],[Overs]])))*6) + IFERROR(IF(FIND(".",Table9[[#This Row],[Overs]])+1&gt;0,RIGHT(Table9[[#This Row],[Overs]],1),0),0)</f>
        <v>53</v>
      </c>
      <c r="BG13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137" t="e">
        <f>IF(Table9[[#This Row],[Team]]=I_TEAM,Table9[[#This Row],[Wickets]]*100-Table9[[#This Row],[Runs]],0)</f>
        <v>#REF!</v>
      </c>
      <c r="BI137">
        <f>Table9[[#This Row],[Wickets]]*100-Table9[[#This Row],[Runs]]</f>
        <v>229</v>
      </c>
      <c r="BJ137">
        <f ca="1">IFERROR(IF(MATCH(Table9[[#This Row],[Bowler]],OFFSET(AR138,0,0,BOWLROWS-ROW(AR137)-ROW(Table9[[#Headers],[BOWLER CUML WICKETS]])),0)&gt;0,0,SUMIF($AR$6:AR137,Table9[[#This Row],[Bowler]],$AV$6:AV137)),SUMIF($AR$6:AR137,Table9[[#This Row],[Bowler]],$AV$6:AV137))</f>
        <v>0</v>
      </c>
      <c r="BK137">
        <f ca="1">IFERROR(IF(MATCH(Table9[[#This Row],[Bowler]],OFFSET(AR138,0,0,BOWLROWS-ROW(AR137)-ROW(Table9[[#Headers],[BOWLER CUML WICKETS]])),0)&gt;0,0,SUMIF($AR$6:AR137,Table9[[#This Row],[Bowler]],$AU$6:AU137)),SUMIF($AR$6:AR137,Table9[[#This Row],[Bowler]],$AU$6:AU137))</f>
        <v>0</v>
      </c>
      <c r="BL137">
        <f ca="1">Table9[[#This Row],[BOWLER CUML WICKETS]]*100-Table9[[#This Row],[BOWLER CUML RUNS]]</f>
        <v>0</v>
      </c>
    </row>
    <row r="138" spans="1:64" x14ac:dyDescent="0.3">
      <c r="A138">
        <v>1</v>
      </c>
      <c r="B138" t="s">
        <v>145</v>
      </c>
      <c r="C138" t="s">
        <v>290</v>
      </c>
      <c r="D138" t="s">
        <v>363</v>
      </c>
      <c r="E138">
        <v>24</v>
      </c>
      <c r="F138">
        <v>50</v>
      </c>
      <c r="G138">
        <v>41</v>
      </c>
      <c r="H138">
        <v>2</v>
      </c>
      <c r="I138">
        <v>0</v>
      </c>
      <c r="J138">
        <v>58.53</v>
      </c>
      <c r="K138">
        <v>2</v>
      </c>
      <c r="L138" t="str">
        <f>CONCATENATE(T_BATTINGDATA[[#This Row],[Match]],T_BATTINGDATA[[#This Row],[Team]],T_BATTINGDATA[[#This Row],[Bat Number]])</f>
        <v>1Sri Lanka2</v>
      </c>
      <c r="M138" t="str">
        <f>IFERROR(IF(AND(T_BATTINGDATA[[#This Row],[Team]]=I_TEAM,IFERROR(IF(MATCH(T_BATTINGDATA[[#This Row],[BATSMAN NAME]],$O$5:O137,0)&gt;0,0),1)),1,0),"")</f>
        <v/>
      </c>
      <c r="N138" t="e">
        <f>IF(T_BATTINGDATA[[#This Row],[Team]]=I_TEAM,T_BATTINGDATA[[#This Row],[R]],0)</f>
        <v>#REF!</v>
      </c>
      <c r="O138" t="str">
        <f>LEFT(T_BATTINGDATA[[#This Row],[Batsman]],IFERROR(FIND("*",T_BATTINGDATA[[#This Row],[Batsman]])-1,IFERROR(FIND("†",T_BATTINGDATA[[#This Row],[Batsman]])-1,LEN(T_BATTINGDATA[[#This Row],[Batsman]]))))</f>
        <v>TM Dilshan</v>
      </c>
      <c r="P138">
        <f ca="1">IFERROR(IF(MATCH(T_BATTINGDATA[[#This Row],[BATSMAN NAME]],OFFSET(O139,0,0,BATROWS-ROW(O138)-ROW(T_BATTINGDATA[[#Headers],[BATSMAN NAME]])),0)&gt;0,0,SUMIF($O$6:O138,T_BATTINGDATA[[#This Row],[BATSMAN NAME]],$E$6:E138)),SUMIF($O$6:O138,T_BATTINGDATA[[#This Row],[BATSMAN NAME]],$E$6:E138))</f>
        <v>0</v>
      </c>
      <c r="AP138">
        <v>5</v>
      </c>
      <c r="AQ138" t="s">
        <v>170</v>
      </c>
      <c r="AR138" t="s">
        <v>264</v>
      </c>
      <c r="AS138">
        <v>6</v>
      </c>
      <c r="AT138">
        <v>0</v>
      </c>
      <c r="AU138">
        <v>33</v>
      </c>
      <c r="AV138">
        <v>0</v>
      </c>
      <c r="AW138">
        <v>5.5</v>
      </c>
      <c r="AX138">
        <v>17</v>
      </c>
      <c r="AY138">
        <v>2</v>
      </c>
      <c r="AZ138">
        <v>1</v>
      </c>
      <c r="BA138">
        <v>1</v>
      </c>
      <c r="BB138">
        <v>0</v>
      </c>
      <c r="BC138">
        <v>4</v>
      </c>
      <c r="BD138" t="str">
        <f>CONCATENATE(Table9[[#This Row],[Match Number]],Table9[[#This Row],[Team]],Table9[[#This Row],[BOWL NUM]])</f>
        <v>5West Indies4</v>
      </c>
      <c r="BE138" t="str">
        <f>IFERROR(IF(AND(Table9[[#This Row],[Team]]=I_TEAM,IFERROR(IF(MATCH(Table9[[#This Row],[Bowler]],$AR$5:AR137,0)&gt;0,0),1)),1,0),"")</f>
        <v/>
      </c>
      <c r="BF138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13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138" t="e">
        <f>IF(Table9[[#This Row],[Team]]=I_TEAM,Table9[[#This Row],[Wickets]]*100-Table9[[#This Row],[Runs]],0)</f>
        <v>#REF!</v>
      </c>
      <c r="BI138">
        <f>Table9[[#This Row],[Wickets]]*100-Table9[[#This Row],[Runs]]</f>
        <v>-33</v>
      </c>
      <c r="BJ138">
        <f ca="1">IFERROR(IF(MATCH(Table9[[#This Row],[Bowler]],OFFSET(AR139,0,0,BOWLROWS-ROW(AR138)-ROW(Table9[[#Headers],[BOWLER CUML WICKETS]])),0)&gt;0,0,SUMIF($AR$6:AR138,Table9[[#This Row],[Bowler]],$AV$6:AV138)),SUMIF($AR$6:AR138,Table9[[#This Row],[Bowler]],$AV$6:AV138))</f>
        <v>0</v>
      </c>
      <c r="BK138">
        <f ca="1">IFERROR(IF(MATCH(Table9[[#This Row],[Bowler]],OFFSET(AR139,0,0,BOWLROWS-ROW(AR138)-ROW(Table9[[#Headers],[BOWLER CUML WICKETS]])),0)&gt;0,0,SUMIF($AR$6:AR138,Table9[[#This Row],[Bowler]],$AU$6:AU138)),SUMIF($AR$6:AR138,Table9[[#This Row],[Bowler]],$AU$6:AU138))</f>
        <v>0</v>
      </c>
      <c r="BL138">
        <f ca="1">Table9[[#This Row],[BOWLER CUML WICKETS]]*100-Table9[[#This Row],[BOWLER CUML RUNS]]</f>
        <v>0</v>
      </c>
    </row>
    <row r="139" spans="1:64" x14ac:dyDescent="0.3">
      <c r="A139">
        <v>1</v>
      </c>
      <c r="B139" t="s">
        <v>145</v>
      </c>
      <c r="C139" t="s">
        <v>364</v>
      </c>
      <c r="D139" t="s">
        <v>365</v>
      </c>
      <c r="E139">
        <v>39</v>
      </c>
      <c r="F139">
        <v>48</v>
      </c>
      <c r="G139">
        <v>38</v>
      </c>
      <c r="H139">
        <v>5</v>
      </c>
      <c r="I139">
        <v>0</v>
      </c>
      <c r="J139">
        <v>102.63</v>
      </c>
      <c r="K139">
        <v>3</v>
      </c>
      <c r="L139" t="str">
        <f>CONCATENATE(T_BATTINGDATA[[#This Row],[Match]],T_BATTINGDATA[[#This Row],[Team]],T_BATTINGDATA[[#This Row],[Bat Number]])</f>
        <v>1Sri Lanka3</v>
      </c>
      <c r="M139" t="str">
        <f>IFERROR(IF(AND(T_BATTINGDATA[[#This Row],[Team]]=I_TEAM,IFERROR(IF(MATCH(T_BATTINGDATA[[#This Row],[BATSMAN NAME]],$O$5:O138,0)&gt;0,0),1)),1,0),"")</f>
        <v/>
      </c>
      <c r="N139" t="e">
        <f>IF(T_BATTINGDATA[[#This Row],[Team]]=I_TEAM,T_BATTINGDATA[[#This Row],[R]],0)</f>
        <v>#REF!</v>
      </c>
      <c r="O139" t="str">
        <f>LEFT(T_BATTINGDATA[[#This Row],[Batsman]],IFERROR(FIND("*",T_BATTINGDATA[[#This Row],[Batsman]])-1,IFERROR(FIND("†",T_BATTINGDATA[[#This Row],[Batsman]])-1,LEN(T_BATTINGDATA[[#This Row],[Batsman]]))))</f>
        <v>KC Sangakkara</v>
      </c>
      <c r="P139">
        <f ca="1">IFERROR(IF(MATCH(T_BATTINGDATA[[#This Row],[BATSMAN NAME]],OFFSET(O140,0,0,BATROWS-ROW(O139)-ROW(T_BATTINGDATA[[#Headers],[BATSMAN NAME]])),0)&gt;0,0,SUMIF($O$6:O139,T_BATTINGDATA[[#This Row],[BATSMAN NAME]],$E$6:E139)),SUMIF($O$6:O139,T_BATTINGDATA[[#This Row],[BATSMAN NAME]],$E$6:E139))</f>
        <v>0</v>
      </c>
      <c r="AP139">
        <v>5</v>
      </c>
      <c r="AQ139" t="s">
        <v>170</v>
      </c>
      <c r="AR139" t="s">
        <v>291</v>
      </c>
      <c r="AS139">
        <v>8</v>
      </c>
      <c r="AT139">
        <v>0</v>
      </c>
      <c r="AU139">
        <v>41</v>
      </c>
      <c r="AV139">
        <v>1</v>
      </c>
      <c r="AW139">
        <v>5.12</v>
      </c>
      <c r="AX139">
        <v>20</v>
      </c>
      <c r="AY139">
        <v>3</v>
      </c>
      <c r="AZ139">
        <v>0</v>
      </c>
      <c r="BA139">
        <v>0</v>
      </c>
      <c r="BB139">
        <v>0</v>
      </c>
      <c r="BC139">
        <v>5</v>
      </c>
      <c r="BD139" t="str">
        <f>CONCATENATE(Table9[[#This Row],[Match Number]],Table9[[#This Row],[Team]],Table9[[#This Row],[BOWL NUM]])</f>
        <v>5West Indies5</v>
      </c>
      <c r="BE139" t="str">
        <f>IFERROR(IF(AND(Table9[[#This Row],[Team]]=I_TEAM,IFERROR(IF(MATCH(Table9[[#This Row],[Bowler]],$AR$5:AR138,0)&gt;0,0),1)),1,0),"")</f>
        <v/>
      </c>
      <c r="BF139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3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139" t="e">
        <f>IF(Table9[[#This Row],[Team]]=I_TEAM,Table9[[#This Row],[Wickets]]*100-Table9[[#This Row],[Runs]],0)</f>
        <v>#REF!</v>
      </c>
      <c r="BI139">
        <f>Table9[[#This Row],[Wickets]]*100-Table9[[#This Row],[Runs]]</f>
        <v>59</v>
      </c>
      <c r="BJ139">
        <f ca="1">IFERROR(IF(MATCH(Table9[[#This Row],[Bowler]],OFFSET(AR140,0,0,BOWLROWS-ROW(AR139)-ROW(Table9[[#Headers],[BOWLER CUML WICKETS]])),0)&gt;0,0,SUMIF($AR$6:AR139,Table9[[#This Row],[Bowler]],$AV$6:AV139)),SUMIF($AR$6:AR139,Table9[[#This Row],[Bowler]],$AV$6:AV139))</f>
        <v>0</v>
      </c>
      <c r="BK139">
        <f ca="1">IFERROR(IF(MATCH(Table9[[#This Row],[Bowler]],OFFSET(AR140,0,0,BOWLROWS-ROW(AR139)-ROW(Table9[[#Headers],[BOWLER CUML WICKETS]])),0)&gt;0,0,SUMIF($AR$6:AR139,Table9[[#This Row],[Bowler]],$AU$6:AU139)),SUMIF($AR$6:AR139,Table9[[#This Row],[Bowler]],$AU$6:AU139))</f>
        <v>0</v>
      </c>
      <c r="BL139">
        <f ca="1">Table9[[#This Row],[BOWLER CUML WICKETS]]*100-Table9[[#This Row],[BOWLER CUML RUNS]]</f>
        <v>0</v>
      </c>
    </row>
    <row r="140" spans="1:64" x14ac:dyDescent="0.3">
      <c r="A140">
        <v>1</v>
      </c>
      <c r="B140" t="s">
        <v>145</v>
      </c>
      <c r="C140" t="s">
        <v>366</v>
      </c>
      <c r="D140" t="s">
        <v>367</v>
      </c>
      <c r="E140">
        <v>0</v>
      </c>
      <c r="F140">
        <v>3</v>
      </c>
      <c r="G140">
        <v>4</v>
      </c>
      <c r="H140">
        <v>0</v>
      </c>
      <c r="I140">
        <v>0</v>
      </c>
      <c r="J140">
        <v>0</v>
      </c>
      <c r="K140">
        <v>4</v>
      </c>
      <c r="L140" t="str">
        <f>CONCATENATE(T_BATTINGDATA[[#This Row],[Match]],T_BATTINGDATA[[#This Row],[Team]],T_BATTINGDATA[[#This Row],[Bat Number]])</f>
        <v>1Sri Lanka4</v>
      </c>
      <c r="M140" t="str">
        <f>IFERROR(IF(AND(T_BATTINGDATA[[#This Row],[Team]]=I_TEAM,IFERROR(IF(MATCH(T_BATTINGDATA[[#This Row],[BATSMAN NAME]],$O$5:O139,0)&gt;0,0),1)),1,0),"")</f>
        <v/>
      </c>
      <c r="N140" t="e">
        <f>IF(T_BATTINGDATA[[#This Row],[Team]]=I_TEAM,T_BATTINGDATA[[#This Row],[R]],0)</f>
        <v>#REF!</v>
      </c>
      <c r="O140" t="str">
        <f>LEFT(T_BATTINGDATA[[#This Row],[Batsman]],IFERROR(FIND("*",T_BATTINGDATA[[#This Row],[Batsman]])-1,IFERROR(FIND("†",T_BATTINGDATA[[#This Row],[Batsman]])-1,LEN(T_BATTINGDATA[[#This Row],[Batsman]]))))</f>
        <v>DPMD Jayawardene</v>
      </c>
      <c r="P140">
        <f ca="1">IFERROR(IF(MATCH(T_BATTINGDATA[[#This Row],[BATSMAN NAME]],OFFSET(O141,0,0,BATROWS-ROW(O140)-ROW(T_BATTINGDATA[[#Headers],[BATSMAN NAME]])),0)&gt;0,0,SUMIF($O$6:O140,T_BATTINGDATA[[#This Row],[BATSMAN NAME]],$E$6:E140)),SUMIF($O$6:O140,T_BATTINGDATA[[#This Row],[BATSMAN NAME]],$E$6:E140))</f>
        <v>0</v>
      </c>
      <c r="AP140">
        <v>5</v>
      </c>
      <c r="AQ140" t="s">
        <v>170</v>
      </c>
      <c r="AR140" t="s">
        <v>302</v>
      </c>
      <c r="AS140">
        <v>3</v>
      </c>
      <c r="AT140">
        <v>0</v>
      </c>
      <c r="AU140">
        <v>25</v>
      </c>
      <c r="AV140">
        <v>0</v>
      </c>
      <c r="AW140">
        <v>8.33</v>
      </c>
      <c r="AX140">
        <v>7</v>
      </c>
      <c r="AY140">
        <v>3</v>
      </c>
      <c r="AZ140">
        <v>1</v>
      </c>
      <c r="BA140">
        <v>0</v>
      </c>
      <c r="BB140">
        <v>0</v>
      </c>
      <c r="BC140">
        <v>6</v>
      </c>
      <c r="BD140" t="str">
        <f>CONCATENATE(Table9[[#This Row],[Match Number]],Table9[[#This Row],[Team]],Table9[[#This Row],[BOWL NUM]])</f>
        <v>5West Indies6</v>
      </c>
      <c r="BE140" t="str">
        <f>IFERROR(IF(AND(Table9[[#This Row],[Team]]=I_TEAM,IFERROR(IF(MATCH(Table9[[#This Row],[Bowler]],$AR$5:AR139,0)&gt;0,0),1)),1,0),"")</f>
        <v/>
      </c>
      <c r="BF140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14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140" t="e">
        <f>IF(Table9[[#This Row],[Team]]=I_TEAM,Table9[[#This Row],[Wickets]]*100-Table9[[#This Row],[Runs]],0)</f>
        <v>#REF!</v>
      </c>
      <c r="BI140">
        <f>Table9[[#This Row],[Wickets]]*100-Table9[[#This Row],[Runs]]</f>
        <v>-25</v>
      </c>
      <c r="BJ140">
        <f ca="1">IFERROR(IF(MATCH(Table9[[#This Row],[Bowler]],OFFSET(AR141,0,0,BOWLROWS-ROW(AR140)-ROW(Table9[[#Headers],[BOWLER CUML WICKETS]])),0)&gt;0,0,SUMIF($AR$6:AR140,Table9[[#This Row],[Bowler]],$AV$6:AV140)),SUMIF($AR$6:AR140,Table9[[#This Row],[Bowler]],$AV$6:AV140))</f>
        <v>0</v>
      </c>
      <c r="BK140">
        <f ca="1">IFERROR(IF(MATCH(Table9[[#This Row],[Bowler]],OFFSET(AR141,0,0,BOWLROWS-ROW(AR140)-ROW(Table9[[#Headers],[BOWLER CUML WICKETS]])),0)&gt;0,0,SUMIF($AR$6:AR140,Table9[[#This Row],[Bowler]],$AU$6:AU140)),SUMIF($AR$6:AR140,Table9[[#This Row],[Bowler]],$AU$6:AU140))</f>
        <v>0</v>
      </c>
      <c r="BL140">
        <f ca="1">Table9[[#This Row],[BOWLER CUML WICKETS]]*100-Table9[[#This Row],[BOWLER CUML RUNS]]</f>
        <v>0</v>
      </c>
    </row>
    <row r="141" spans="1:64" x14ac:dyDescent="0.3">
      <c r="A141">
        <v>1</v>
      </c>
      <c r="B141" t="s">
        <v>145</v>
      </c>
      <c r="C141" t="s">
        <v>368</v>
      </c>
      <c r="D141" t="s">
        <v>369</v>
      </c>
      <c r="E141">
        <v>14</v>
      </c>
      <c r="F141">
        <v>32</v>
      </c>
      <c r="G141">
        <v>21</v>
      </c>
      <c r="H141">
        <v>0</v>
      </c>
      <c r="I141">
        <v>0</v>
      </c>
      <c r="J141">
        <v>66.66</v>
      </c>
      <c r="K141">
        <v>5</v>
      </c>
      <c r="L141" t="str">
        <f>CONCATENATE(T_BATTINGDATA[[#This Row],[Match]],T_BATTINGDATA[[#This Row],[Team]],T_BATTINGDATA[[#This Row],[Bat Number]])</f>
        <v>1Sri Lanka5</v>
      </c>
      <c r="M141" t="str">
        <f>IFERROR(IF(AND(T_BATTINGDATA[[#This Row],[Team]]=I_TEAM,IFERROR(IF(MATCH(T_BATTINGDATA[[#This Row],[BATSMAN NAME]],$O$5:O140,0)&gt;0,0),1)),1,0),"")</f>
        <v/>
      </c>
      <c r="N141" t="e">
        <f>IF(T_BATTINGDATA[[#This Row],[Team]]=I_TEAM,T_BATTINGDATA[[#This Row],[R]],0)</f>
        <v>#REF!</v>
      </c>
      <c r="O141" t="str">
        <f>LEFT(T_BATTINGDATA[[#This Row],[Batsman]],IFERROR(FIND("*",T_BATTINGDATA[[#This Row],[Batsman]])-1,IFERROR(FIND("†",T_BATTINGDATA[[#This Row],[Batsman]])-1,LEN(T_BATTINGDATA[[#This Row],[Batsman]]))))</f>
        <v>FDM Karunaratne</v>
      </c>
      <c r="P141">
        <f ca="1">IFERROR(IF(MATCH(T_BATTINGDATA[[#This Row],[BATSMAN NAME]],OFFSET(O142,0,0,BATROWS-ROW(O141)-ROW(T_BATTINGDATA[[#Headers],[BATSMAN NAME]])),0)&gt;0,0,SUMIF($O$6:O141,T_BATTINGDATA[[#This Row],[BATSMAN NAME]],$E$6:E141)),SUMIF($O$6:O141,T_BATTINGDATA[[#This Row],[BATSMAN NAME]],$E$6:E141))</f>
        <v>0</v>
      </c>
      <c r="AP141">
        <v>5</v>
      </c>
      <c r="AQ141" t="s">
        <v>170</v>
      </c>
      <c r="AR141" t="s">
        <v>267</v>
      </c>
      <c r="AS141">
        <v>4</v>
      </c>
      <c r="AT141">
        <v>0</v>
      </c>
      <c r="AU141">
        <v>25</v>
      </c>
      <c r="AV141">
        <v>1</v>
      </c>
      <c r="AW141">
        <v>6.25</v>
      </c>
      <c r="AX141">
        <v>10</v>
      </c>
      <c r="AY141">
        <v>3</v>
      </c>
      <c r="AZ141">
        <v>0</v>
      </c>
      <c r="BA141">
        <v>0</v>
      </c>
      <c r="BB141">
        <v>0</v>
      </c>
      <c r="BC141">
        <v>7</v>
      </c>
      <c r="BD141" t="str">
        <f>CONCATENATE(Table9[[#This Row],[Match Number]],Table9[[#This Row],[Team]],Table9[[#This Row],[BOWL NUM]])</f>
        <v>5West Indies7</v>
      </c>
      <c r="BE141" t="str">
        <f>IFERROR(IF(AND(Table9[[#This Row],[Team]]=I_TEAM,IFERROR(IF(MATCH(Table9[[#This Row],[Bowler]],$AR$5:AR140,0)&gt;0,0),1)),1,0),"")</f>
        <v/>
      </c>
      <c r="BF141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14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141" t="e">
        <f>IF(Table9[[#This Row],[Team]]=I_TEAM,Table9[[#This Row],[Wickets]]*100-Table9[[#This Row],[Runs]],0)</f>
        <v>#REF!</v>
      </c>
      <c r="BI141">
        <f>Table9[[#This Row],[Wickets]]*100-Table9[[#This Row],[Runs]]</f>
        <v>75</v>
      </c>
      <c r="BJ141">
        <f ca="1">IFERROR(IF(MATCH(Table9[[#This Row],[Bowler]],OFFSET(AR142,0,0,BOWLROWS-ROW(AR141)-ROW(Table9[[#Headers],[BOWLER CUML WICKETS]])),0)&gt;0,0,SUMIF($AR$6:AR141,Table9[[#This Row],[Bowler]],$AV$6:AV141)),SUMIF($AR$6:AR141,Table9[[#This Row],[Bowler]],$AV$6:AV141))</f>
        <v>0</v>
      </c>
      <c r="BK141">
        <f ca="1">IFERROR(IF(MATCH(Table9[[#This Row],[Bowler]],OFFSET(AR142,0,0,BOWLROWS-ROW(AR141)-ROW(Table9[[#Headers],[BOWLER CUML WICKETS]])),0)&gt;0,0,SUMIF($AR$6:AR141,Table9[[#This Row],[Bowler]],$AU$6:AU141)),SUMIF($AR$6:AR141,Table9[[#This Row],[Bowler]],$AU$6:AU141))</f>
        <v>0</v>
      </c>
      <c r="BL141">
        <f ca="1">Table9[[#This Row],[BOWLER CUML WICKETS]]*100-Table9[[#This Row],[BOWLER CUML RUNS]]</f>
        <v>0</v>
      </c>
    </row>
    <row r="142" spans="1:64" x14ac:dyDescent="0.3">
      <c r="A142">
        <v>1</v>
      </c>
      <c r="B142" t="s">
        <v>145</v>
      </c>
      <c r="C142" t="s">
        <v>370</v>
      </c>
      <c r="D142" t="s">
        <v>371</v>
      </c>
      <c r="E142">
        <v>46</v>
      </c>
      <c r="F142">
        <v>80</v>
      </c>
      <c r="G142">
        <v>52</v>
      </c>
      <c r="H142">
        <v>5</v>
      </c>
      <c r="I142">
        <v>0</v>
      </c>
      <c r="J142">
        <v>88.46</v>
      </c>
      <c r="K142">
        <v>6</v>
      </c>
      <c r="L142" t="str">
        <f>CONCATENATE(T_BATTINGDATA[[#This Row],[Match]],T_BATTINGDATA[[#This Row],[Team]],T_BATTINGDATA[[#This Row],[Bat Number]])</f>
        <v>1Sri Lanka6</v>
      </c>
      <c r="M142" t="str">
        <f>IFERROR(IF(AND(T_BATTINGDATA[[#This Row],[Team]]=I_TEAM,IFERROR(IF(MATCH(T_BATTINGDATA[[#This Row],[BATSMAN NAME]],$O$5:O141,0)&gt;0,0),1)),1,0),"")</f>
        <v/>
      </c>
      <c r="N142" t="e">
        <f>IF(T_BATTINGDATA[[#This Row],[Team]]=I_TEAM,T_BATTINGDATA[[#This Row],[R]],0)</f>
        <v>#REF!</v>
      </c>
      <c r="O142" t="str">
        <f>LEFT(T_BATTINGDATA[[#This Row],[Batsman]],IFERROR(FIND("*",T_BATTINGDATA[[#This Row],[Batsman]])-1,IFERROR(FIND("†",T_BATTINGDATA[[#This Row],[Batsman]])-1,LEN(T_BATTINGDATA[[#This Row],[Batsman]]))))</f>
        <v>AD Mathews</v>
      </c>
      <c r="P142">
        <f ca="1">IFERROR(IF(MATCH(T_BATTINGDATA[[#This Row],[BATSMAN NAME]],OFFSET(O143,0,0,BATROWS-ROW(O142)-ROW(T_BATTINGDATA[[#Headers],[BATSMAN NAME]])),0)&gt;0,0,SUMIF($O$6:O142,T_BATTINGDATA[[#This Row],[BATSMAN NAME]],$E$6:E142)),SUMIF($O$6:O142,T_BATTINGDATA[[#This Row],[BATSMAN NAME]],$E$6:E142))</f>
        <v>0</v>
      </c>
      <c r="AP142">
        <v>5</v>
      </c>
      <c r="AQ142" t="s">
        <v>170</v>
      </c>
      <c r="AR142" t="s">
        <v>300</v>
      </c>
      <c r="AS142">
        <v>1</v>
      </c>
      <c r="AT142">
        <v>0</v>
      </c>
      <c r="AU142">
        <v>12</v>
      </c>
      <c r="AV142">
        <v>0</v>
      </c>
      <c r="AW142">
        <v>12</v>
      </c>
      <c r="AX142">
        <v>0</v>
      </c>
      <c r="AY142">
        <v>2</v>
      </c>
      <c r="AZ142">
        <v>0</v>
      </c>
      <c r="BA142">
        <v>0</v>
      </c>
      <c r="BB142">
        <v>0</v>
      </c>
      <c r="BC142">
        <v>8</v>
      </c>
      <c r="BD142" t="str">
        <f>CONCATENATE(Table9[[#This Row],[Match Number]],Table9[[#This Row],[Team]],Table9[[#This Row],[BOWL NUM]])</f>
        <v>5West Indies8</v>
      </c>
      <c r="BE142" t="str">
        <f>IFERROR(IF(AND(Table9[[#This Row],[Team]]=I_TEAM,IFERROR(IF(MATCH(Table9[[#This Row],[Bowler]],$AR$5:AR141,0)&gt;0,0),1)),1,0),"")</f>
        <v/>
      </c>
      <c r="BF142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14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142" t="e">
        <f>IF(Table9[[#This Row],[Team]]=I_TEAM,Table9[[#This Row],[Wickets]]*100-Table9[[#This Row],[Runs]],0)</f>
        <v>#REF!</v>
      </c>
      <c r="BI142">
        <f>Table9[[#This Row],[Wickets]]*100-Table9[[#This Row],[Runs]]</f>
        <v>-12</v>
      </c>
      <c r="BJ142">
        <f ca="1">IFERROR(IF(MATCH(Table9[[#This Row],[Bowler]],OFFSET(AR143,0,0,BOWLROWS-ROW(AR142)-ROW(Table9[[#Headers],[BOWLER CUML WICKETS]])),0)&gt;0,0,SUMIF($AR$6:AR142,Table9[[#This Row],[Bowler]],$AV$6:AV142)),SUMIF($AR$6:AR142,Table9[[#This Row],[Bowler]],$AV$6:AV142))</f>
        <v>0</v>
      </c>
      <c r="BK142">
        <f ca="1">IFERROR(IF(MATCH(Table9[[#This Row],[Bowler]],OFFSET(AR143,0,0,BOWLROWS-ROW(AR142)-ROW(Table9[[#Headers],[BOWLER CUML WICKETS]])),0)&gt;0,0,SUMIF($AR$6:AR142,Table9[[#This Row],[Bowler]],$AU$6:AU142)),SUMIF($AR$6:AR142,Table9[[#This Row],[Bowler]],$AU$6:AU142))</f>
        <v>12</v>
      </c>
      <c r="BL142">
        <f ca="1">Table9[[#This Row],[BOWLER CUML WICKETS]]*100-Table9[[#This Row],[BOWLER CUML RUNS]]</f>
        <v>-12</v>
      </c>
    </row>
    <row r="143" spans="1:64" x14ac:dyDescent="0.3">
      <c r="A143">
        <v>1</v>
      </c>
      <c r="B143" t="s">
        <v>145</v>
      </c>
      <c r="C143" t="s">
        <v>295</v>
      </c>
      <c r="D143" t="s">
        <v>372</v>
      </c>
      <c r="E143">
        <v>4</v>
      </c>
      <c r="F143">
        <v>5</v>
      </c>
      <c r="G143">
        <v>4</v>
      </c>
      <c r="H143">
        <v>1</v>
      </c>
      <c r="I143">
        <v>0</v>
      </c>
      <c r="J143">
        <v>100</v>
      </c>
      <c r="K143">
        <v>7</v>
      </c>
      <c r="L143" t="str">
        <f>CONCATENATE(T_BATTINGDATA[[#This Row],[Match]],T_BATTINGDATA[[#This Row],[Team]],T_BATTINGDATA[[#This Row],[Bat Number]])</f>
        <v>1Sri Lanka7</v>
      </c>
      <c r="M143" t="str">
        <f>IFERROR(IF(AND(T_BATTINGDATA[[#This Row],[Team]]=I_TEAM,IFERROR(IF(MATCH(T_BATTINGDATA[[#This Row],[BATSMAN NAME]],$O$5:O142,0)&gt;0,0),1)),1,0),"")</f>
        <v/>
      </c>
      <c r="N143" t="e">
        <f>IF(T_BATTINGDATA[[#This Row],[Team]]=I_TEAM,T_BATTINGDATA[[#This Row],[R]],0)</f>
        <v>#REF!</v>
      </c>
      <c r="O143" t="str">
        <f>LEFT(T_BATTINGDATA[[#This Row],[Batsman]],IFERROR(FIND("*",T_BATTINGDATA[[#This Row],[Batsman]])-1,IFERROR(FIND("†",T_BATTINGDATA[[#This Row],[Batsman]])-1,LEN(T_BATTINGDATA[[#This Row],[Batsman]]))))</f>
        <v>BMAJ Mendis</v>
      </c>
      <c r="P143">
        <f ca="1">IFERROR(IF(MATCH(T_BATTINGDATA[[#This Row],[BATSMAN NAME]],OFFSET(O144,0,0,BATROWS-ROW(O143)-ROW(T_BATTINGDATA[[#Headers],[BATSMAN NAME]])),0)&gt;0,0,SUMIF($O$6:O143,T_BATTINGDATA[[#This Row],[BATSMAN NAME]],$E$6:E143)),SUMIF($O$6:O143,T_BATTINGDATA[[#This Row],[BATSMAN NAME]],$E$6:E143))</f>
        <v>0</v>
      </c>
      <c r="AP143">
        <v>6</v>
      </c>
      <c r="AQ143" t="s">
        <v>140</v>
      </c>
      <c r="AR143" t="s">
        <v>297</v>
      </c>
      <c r="AS143">
        <v>8</v>
      </c>
      <c r="AT143">
        <v>3</v>
      </c>
      <c r="AU143">
        <v>35</v>
      </c>
      <c r="AV143">
        <v>2</v>
      </c>
      <c r="AW143">
        <v>4.37</v>
      </c>
      <c r="AX143">
        <v>33</v>
      </c>
      <c r="AY143">
        <v>5</v>
      </c>
      <c r="AZ143">
        <v>1</v>
      </c>
      <c r="BA143">
        <v>0</v>
      </c>
      <c r="BB143">
        <v>0</v>
      </c>
      <c r="BC143">
        <v>1</v>
      </c>
      <c r="BD143" t="str">
        <f>CONCATENATE(Table9[[#This Row],[Match Number]],Table9[[#This Row],[Team]],Table9[[#This Row],[BOWL NUM]])</f>
        <v>6New Zealand1</v>
      </c>
      <c r="BE143" t="str">
        <f>IFERROR(IF(AND(Table9[[#This Row],[Team]]=I_TEAM,IFERROR(IF(MATCH(Table9[[#This Row],[Bowler]],$AR$5:AR142,0)&gt;0,0),1)),1,0),"")</f>
        <v/>
      </c>
      <c r="BF143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4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143" t="e">
        <f>IF(Table9[[#This Row],[Team]]=I_TEAM,Table9[[#This Row],[Wickets]]*100-Table9[[#This Row],[Runs]],0)</f>
        <v>#REF!</v>
      </c>
      <c r="BI143">
        <f>Table9[[#This Row],[Wickets]]*100-Table9[[#This Row],[Runs]]</f>
        <v>165</v>
      </c>
      <c r="BJ143">
        <f ca="1">IFERROR(IF(MATCH(Table9[[#This Row],[Bowler]],OFFSET(AR144,0,0,BOWLROWS-ROW(AR143)-ROW(Table9[[#Headers],[BOWLER CUML WICKETS]])),0)&gt;0,0,SUMIF($AR$6:AR143,Table9[[#This Row],[Bowler]],$AV$6:AV143)),SUMIF($AR$6:AR143,Table9[[#This Row],[Bowler]],$AV$6:AV143))</f>
        <v>0</v>
      </c>
      <c r="BK143">
        <f ca="1">IFERROR(IF(MATCH(Table9[[#This Row],[Bowler]],OFFSET(AR144,0,0,BOWLROWS-ROW(AR143)-ROW(Table9[[#Headers],[BOWLER CUML WICKETS]])),0)&gt;0,0,SUMIF($AR$6:AR143,Table9[[#This Row],[Bowler]],$AU$6:AU143)),SUMIF($AR$6:AR143,Table9[[#This Row],[Bowler]],$AU$6:AU143))</f>
        <v>0</v>
      </c>
      <c r="BL143">
        <f ca="1">Table9[[#This Row],[BOWLER CUML WICKETS]]*100-Table9[[#This Row],[BOWLER CUML RUNS]]</f>
        <v>0</v>
      </c>
    </row>
    <row r="144" spans="1:64" x14ac:dyDescent="0.3">
      <c r="A144">
        <v>1</v>
      </c>
      <c r="B144" t="s">
        <v>145</v>
      </c>
      <c r="C144" t="s">
        <v>285</v>
      </c>
      <c r="D144" t="s">
        <v>373</v>
      </c>
      <c r="E144">
        <v>10</v>
      </c>
      <c r="F144">
        <v>32</v>
      </c>
      <c r="G144">
        <v>21</v>
      </c>
      <c r="H144">
        <v>1</v>
      </c>
      <c r="I144">
        <v>0</v>
      </c>
      <c r="J144">
        <v>47.61</v>
      </c>
      <c r="K144">
        <v>8</v>
      </c>
      <c r="L144" t="str">
        <f>CONCATENATE(T_BATTINGDATA[[#This Row],[Match]],T_BATTINGDATA[[#This Row],[Team]],T_BATTINGDATA[[#This Row],[Bat Number]])</f>
        <v>1Sri Lanka8</v>
      </c>
      <c r="M144" t="str">
        <f>IFERROR(IF(AND(T_BATTINGDATA[[#This Row],[Team]]=I_TEAM,IFERROR(IF(MATCH(T_BATTINGDATA[[#This Row],[BATSMAN NAME]],$O$5:O143,0)&gt;0,0),1)),1,0),"")</f>
        <v/>
      </c>
      <c r="N144" t="e">
        <f>IF(T_BATTINGDATA[[#This Row],[Team]]=I_TEAM,T_BATTINGDATA[[#This Row],[R]],0)</f>
        <v>#REF!</v>
      </c>
      <c r="O144" t="str">
        <f>LEFT(T_BATTINGDATA[[#This Row],[Batsman]],IFERROR(FIND("*",T_BATTINGDATA[[#This Row],[Batsman]])-1,IFERROR(FIND("†",T_BATTINGDATA[[#This Row],[Batsman]])-1,LEN(T_BATTINGDATA[[#This Row],[Batsman]]))))</f>
        <v>KMDN Kulasekara</v>
      </c>
      <c r="P144">
        <f ca="1">IFERROR(IF(MATCH(T_BATTINGDATA[[#This Row],[BATSMAN NAME]],OFFSET(O145,0,0,BATROWS-ROW(O144)-ROW(T_BATTINGDATA[[#Headers],[BATSMAN NAME]])),0)&gt;0,0,SUMIF($O$6:O144,T_BATTINGDATA[[#This Row],[BATSMAN NAME]],$E$6:E144)),SUMIF($O$6:O144,T_BATTINGDATA[[#This Row],[BATSMAN NAME]],$E$6:E144))</f>
        <v>0</v>
      </c>
      <c r="AP144">
        <v>6</v>
      </c>
      <c r="AQ144" t="s">
        <v>140</v>
      </c>
      <c r="AR144" t="s">
        <v>299</v>
      </c>
      <c r="AS144">
        <v>6</v>
      </c>
      <c r="AT144">
        <v>1</v>
      </c>
      <c r="AU144">
        <v>21</v>
      </c>
      <c r="AV144">
        <v>2</v>
      </c>
      <c r="AW144">
        <v>3.5</v>
      </c>
      <c r="AX144">
        <v>29</v>
      </c>
      <c r="AY144">
        <v>3</v>
      </c>
      <c r="AZ144">
        <v>0</v>
      </c>
      <c r="BA144">
        <v>4</v>
      </c>
      <c r="BB144">
        <v>0</v>
      </c>
      <c r="BC144">
        <v>2</v>
      </c>
      <c r="BD144" t="str">
        <f>CONCATENATE(Table9[[#This Row],[Match Number]],Table9[[#This Row],[Team]],Table9[[#This Row],[BOWL NUM]])</f>
        <v>6New Zealand2</v>
      </c>
      <c r="BE144" t="str">
        <f>IFERROR(IF(AND(Table9[[#This Row],[Team]]=I_TEAM,IFERROR(IF(MATCH(Table9[[#This Row],[Bowler]],$AR$5:AR143,0)&gt;0,0),1)),1,0),"")</f>
        <v/>
      </c>
      <c r="BF144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14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144" t="e">
        <f>IF(Table9[[#This Row],[Team]]=I_TEAM,Table9[[#This Row],[Wickets]]*100-Table9[[#This Row],[Runs]],0)</f>
        <v>#REF!</v>
      </c>
      <c r="BI144">
        <f>Table9[[#This Row],[Wickets]]*100-Table9[[#This Row],[Runs]]</f>
        <v>179</v>
      </c>
      <c r="BJ144">
        <f ca="1">IFERROR(IF(MATCH(Table9[[#This Row],[Bowler]],OFFSET(AR145,0,0,BOWLROWS-ROW(AR144)-ROW(Table9[[#Headers],[BOWLER CUML WICKETS]])),0)&gt;0,0,SUMIF($AR$6:AR144,Table9[[#This Row],[Bowler]],$AV$6:AV144)),SUMIF($AR$6:AR144,Table9[[#This Row],[Bowler]],$AV$6:AV144))</f>
        <v>0</v>
      </c>
      <c r="BK144">
        <f ca="1">IFERROR(IF(MATCH(Table9[[#This Row],[Bowler]],OFFSET(AR145,0,0,BOWLROWS-ROW(AR144)-ROW(Table9[[#Headers],[BOWLER CUML WICKETS]])),0)&gt;0,0,SUMIF($AR$6:AR144,Table9[[#This Row],[Bowler]],$AU$6:AU144)),SUMIF($AR$6:AR144,Table9[[#This Row],[Bowler]],$AU$6:AU144))</f>
        <v>0</v>
      </c>
      <c r="BL144">
        <f ca="1">Table9[[#This Row],[BOWLER CUML WICKETS]]*100-Table9[[#This Row],[BOWLER CUML RUNS]]</f>
        <v>0</v>
      </c>
    </row>
    <row r="145" spans="1:64" x14ac:dyDescent="0.3">
      <c r="A145">
        <v>1</v>
      </c>
      <c r="B145" t="s">
        <v>145</v>
      </c>
      <c r="C145" t="s">
        <v>289</v>
      </c>
      <c r="D145" t="s">
        <v>374</v>
      </c>
      <c r="E145">
        <v>13</v>
      </c>
      <c r="F145">
        <v>41</v>
      </c>
      <c r="G145">
        <v>19</v>
      </c>
      <c r="H145">
        <v>2</v>
      </c>
      <c r="I145">
        <v>0</v>
      </c>
      <c r="J145">
        <v>68.42</v>
      </c>
      <c r="K145">
        <v>9</v>
      </c>
      <c r="L145" t="str">
        <f>CONCATENATE(T_BATTINGDATA[[#This Row],[Match]],T_BATTINGDATA[[#This Row],[Team]],T_BATTINGDATA[[#This Row],[Bat Number]])</f>
        <v>1Sri Lanka9</v>
      </c>
      <c r="M145" t="str">
        <f>IFERROR(IF(AND(T_BATTINGDATA[[#This Row],[Team]]=I_TEAM,IFERROR(IF(MATCH(T_BATTINGDATA[[#This Row],[BATSMAN NAME]],$O$5:O144,0)&gt;0,0),1)),1,0),"")</f>
        <v/>
      </c>
      <c r="N145" t="e">
        <f>IF(T_BATTINGDATA[[#This Row],[Team]]=I_TEAM,T_BATTINGDATA[[#This Row],[R]],0)</f>
        <v>#REF!</v>
      </c>
      <c r="O145" t="str">
        <f>LEFT(T_BATTINGDATA[[#This Row],[Batsman]],IFERROR(FIND("*",T_BATTINGDATA[[#This Row],[Batsman]])-1,IFERROR(FIND("†",T_BATTINGDATA[[#This Row],[Batsman]])-1,LEN(T_BATTINGDATA[[#This Row],[Batsman]]))))</f>
        <v>HMRKB Herath</v>
      </c>
      <c r="P145">
        <f ca="1">IFERROR(IF(MATCH(T_BATTINGDATA[[#This Row],[BATSMAN NAME]],OFFSET(O146,0,0,BATROWS-ROW(O145)-ROW(T_BATTINGDATA[[#Headers],[BATSMAN NAME]])),0)&gt;0,0,SUMIF($O$6:O145,T_BATTINGDATA[[#This Row],[BATSMAN NAME]],$E$6:E145)),SUMIF($O$6:O145,T_BATTINGDATA[[#This Row],[BATSMAN NAME]],$E$6:E145))</f>
        <v>13</v>
      </c>
      <c r="AP145">
        <v>6</v>
      </c>
      <c r="AQ145" t="s">
        <v>140</v>
      </c>
      <c r="AR145" t="s">
        <v>301</v>
      </c>
      <c r="AS145">
        <v>7</v>
      </c>
      <c r="AT145">
        <v>0</v>
      </c>
      <c r="AU145">
        <v>32</v>
      </c>
      <c r="AV145">
        <v>0</v>
      </c>
      <c r="AW145">
        <v>4.57</v>
      </c>
      <c r="AX145">
        <v>25</v>
      </c>
      <c r="AY145">
        <v>3</v>
      </c>
      <c r="AZ145">
        <v>0</v>
      </c>
      <c r="BA145">
        <v>1</v>
      </c>
      <c r="BB145">
        <v>0</v>
      </c>
      <c r="BC145">
        <v>3</v>
      </c>
      <c r="BD145" t="str">
        <f>CONCATENATE(Table9[[#This Row],[Match Number]],Table9[[#This Row],[Team]],Table9[[#This Row],[BOWL NUM]])</f>
        <v>6New Zealand3</v>
      </c>
      <c r="BE145" t="str">
        <f>IFERROR(IF(AND(Table9[[#This Row],[Team]]=I_TEAM,IFERROR(IF(MATCH(Table9[[#This Row],[Bowler]],$AR$5:AR144,0)&gt;0,0),1)),1,0),"")</f>
        <v/>
      </c>
      <c r="BF145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14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145" t="e">
        <f>IF(Table9[[#This Row],[Team]]=I_TEAM,Table9[[#This Row],[Wickets]]*100-Table9[[#This Row],[Runs]],0)</f>
        <v>#REF!</v>
      </c>
      <c r="BI145">
        <f>Table9[[#This Row],[Wickets]]*100-Table9[[#This Row],[Runs]]</f>
        <v>-32</v>
      </c>
      <c r="BJ145">
        <f ca="1">IFERROR(IF(MATCH(Table9[[#This Row],[Bowler]],OFFSET(AR146,0,0,BOWLROWS-ROW(AR145)-ROW(Table9[[#Headers],[BOWLER CUML WICKETS]])),0)&gt;0,0,SUMIF($AR$6:AR145,Table9[[#This Row],[Bowler]],$AV$6:AV145)),SUMIF($AR$6:AR145,Table9[[#This Row],[Bowler]],$AV$6:AV145))</f>
        <v>0</v>
      </c>
      <c r="BK145">
        <f ca="1">IFERROR(IF(MATCH(Table9[[#This Row],[Bowler]],OFFSET(AR146,0,0,BOWLROWS-ROW(AR145)-ROW(Table9[[#Headers],[BOWLER CUML WICKETS]])),0)&gt;0,0,SUMIF($AR$6:AR145,Table9[[#This Row],[Bowler]],$AU$6:AU145)),SUMIF($AR$6:AR145,Table9[[#This Row],[Bowler]],$AU$6:AU145))</f>
        <v>0</v>
      </c>
      <c r="BL145">
        <f ca="1">Table9[[#This Row],[BOWLER CUML WICKETS]]*100-Table9[[#This Row],[BOWLER CUML RUNS]]</f>
        <v>0</v>
      </c>
    </row>
    <row r="146" spans="1:64" x14ac:dyDescent="0.3">
      <c r="A146">
        <v>1</v>
      </c>
      <c r="B146" t="s">
        <v>145</v>
      </c>
      <c r="C146" t="s">
        <v>287</v>
      </c>
      <c r="D146" t="s">
        <v>375</v>
      </c>
      <c r="E146">
        <v>0</v>
      </c>
      <c r="F146">
        <v>4</v>
      </c>
      <c r="G146">
        <v>1</v>
      </c>
      <c r="H146">
        <v>0</v>
      </c>
      <c r="I146">
        <v>0</v>
      </c>
      <c r="J146">
        <v>0</v>
      </c>
      <c r="K146">
        <v>10</v>
      </c>
      <c r="L146" t="str">
        <f>CONCATENATE(T_BATTINGDATA[[#This Row],[Match]],T_BATTINGDATA[[#This Row],[Team]],T_BATTINGDATA[[#This Row],[Bat Number]])</f>
        <v>1Sri Lanka10</v>
      </c>
      <c r="M146" t="str">
        <f>IFERROR(IF(AND(T_BATTINGDATA[[#This Row],[Team]]=I_TEAM,IFERROR(IF(MATCH(T_BATTINGDATA[[#This Row],[BATSMAN NAME]],$O$5:O145,0)&gt;0,0),1)),1,0),"")</f>
        <v/>
      </c>
      <c r="N146" t="e">
        <f>IF(T_BATTINGDATA[[#This Row],[Team]]=I_TEAM,T_BATTINGDATA[[#This Row],[R]],0)</f>
        <v>#REF!</v>
      </c>
      <c r="O146" t="str">
        <f>LEFT(T_BATTINGDATA[[#This Row],[Batsman]],IFERROR(FIND("*",T_BATTINGDATA[[#This Row],[Batsman]])-1,IFERROR(FIND("†",T_BATTINGDATA[[#This Row],[Batsman]])-1,LEN(T_BATTINGDATA[[#This Row],[Batsman]]))))</f>
        <v>SL Malinga</v>
      </c>
      <c r="P146">
        <f ca="1">IFERROR(IF(MATCH(T_BATTINGDATA[[#This Row],[BATSMAN NAME]],OFFSET(O147,0,0,BATROWS-ROW(O146)-ROW(T_BATTINGDATA[[#Headers],[BATSMAN NAME]])),0)&gt;0,0,SUMIF($O$6:O146,T_BATTINGDATA[[#This Row],[BATSMAN NAME]],$E$6:E146)),SUMIF($O$6:O146,T_BATTINGDATA[[#This Row],[BATSMAN NAME]],$E$6:E146))</f>
        <v>0</v>
      </c>
      <c r="AP146">
        <v>6</v>
      </c>
      <c r="AQ146" t="s">
        <v>140</v>
      </c>
      <c r="AR146" t="s">
        <v>303</v>
      </c>
      <c r="AS146">
        <v>8.1999999999999993</v>
      </c>
      <c r="AT146">
        <v>1</v>
      </c>
      <c r="AU146">
        <v>24</v>
      </c>
      <c r="AV146">
        <v>3</v>
      </c>
      <c r="AW146">
        <v>2.88</v>
      </c>
      <c r="AX146">
        <v>32</v>
      </c>
      <c r="AY146">
        <v>0</v>
      </c>
      <c r="AZ146">
        <v>1</v>
      </c>
      <c r="BA146">
        <v>0</v>
      </c>
      <c r="BB146">
        <v>0</v>
      </c>
      <c r="BC146">
        <v>4</v>
      </c>
      <c r="BD146" t="str">
        <f>CONCATENATE(Table9[[#This Row],[Match Number]],Table9[[#This Row],[Team]],Table9[[#This Row],[BOWL NUM]])</f>
        <v>6New Zealand4</v>
      </c>
      <c r="BE146" t="str">
        <f>IFERROR(IF(AND(Table9[[#This Row],[Team]]=I_TEAM,IFERROR(IF(MATCH(Table9[[#This Row],[Bowler]],$AR$5:AR145,0)&gt;0,0),1)),1,0),"")</f>
        <v/>
      </c>
      <c r="BF146">
        <f>(LEFT(Table9[[#This Row],[Overs]],IFERROR(FIND(".",Table9[[#This Row],[Overs]])-1,LEN(Table9[[#This Row],[Overs]])))*6) + IFERROR(IF(FIND(".",Table9[[#This Row],[Overs]])+1&gt;0,RIGHT(Table9[[#This Row],[Overs]],1),0),0)</f>
        <v>50</v>
      </c>
      <c r="BG14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146" t="e">
        <f>IF(Table9[[#This Row],[Team]]=I_TEAM,Table9[[#This Row],[Wickets]]*100-Table9[[#This Row],[Runs]],0)</f>
        <v>#REF!</v>
      </c>
      <c r="BI146">
        <f>Table9[[#This Row],[Wickets]]*100-Table9[[#This Row],[Runs]]</f>
        <v>276</v>
      </c>
      <c r="BJ146">
        <f ca="1">IFERROR(IF(MATCH(Table9[[#This Row],[Bowler]],OFFSET(AR147,0,0,BOWLROWS-ROW(AR146)-ROW(Table9[[#Headers],[BOWLER CUML WICKETS]])),0)&gt;0,0,SUMIF($AR$6:AR146,Table9[[#This Row],[Bowler]],$AV$6:AV146)),SUMIF($AR$6:AR146,Table9[[#This Row],[Bowler]],$AV$6:AV146))</f>
        <v>0</v>
      </c>
      <c r="BK146">
        <f ca="1">IFERROR(IF(MATCH(Table9[[#This Row],[Bowler]],OFFSET(AR147,0,0,BOWLROWS-ROW(AR146)-ROW(Table9[[#Headers],[BOWLER CUML WICKETS]])),0)&gt;0,0,SUMIF($AR$6:AR146,Table9[[#This Row],[Bowler]],$AU$6:AU146)),SUMIF($AR$6:AR146,Table9[[#This Row],[Bowler]],$AU$6:AU146))</f>
        <v>0</v>
      </c>
      <c r="BL146">
        <f ca="1">Table9[[#This Row],[BOWLER CUML WICKETS]]*100-Table9[[#This Row],[BOWLER CUML RUNS]]</f>
        <v>0</v>
      </c>
    </row>
    <row r="147" spans="1:64" x14ac:dyDescent="0.3">
      <c r="A147">
        <v>1</v>
      </c>
      <c r="B147" t="s">
        <v>145</v>
      </c>
      <c r="C147" t="s">
        <v>293</v>
      </c>
      <c r="D147" t="s">
        <v>167</v>
      </c>
      <c r="E147">
        <v>7</v>
      </c>
      <c r="F147">
        <v>21</v>
      </c>
      <c r="G147">
        <v>17</v>
      </c>
      <c r="H147">
        <v>0</v>
      </c>
      <c r="I147">
        <v>0</v>
      </c>
      <c r="J147">
        <v>41.17</v>
      </c>
      <c r="K147">
        <v>11</v>
      </c>
      <c r="L147" t="str">
        <f>CONCATENATE(T_BATTINGDATA[[#This Row],[Match]],T_BATTINGDATA[[#This Row],[Team]],T_BATTINGDATA[[#This Row],[Bat Number]])</f>
        <v>1Sri Lanka11</v>
      </c>
      <c r="M147" t="str">
        <f>IFERROR(IF(AND(T_BATTINGDATA[[#This Row],[Team]]=I_TEAM,IFERROR(IF(MATCH(T_BATTINGDATA[[#This Row],[BATSMAN NAME]],$O$5:O146,0)&gt;0,0),1)),1,0),"")</f>
        <v/>
      </c>
      <c r="N147" t="e">
        <f>IF(T_BATTINGDATA[[#This Row],[Team]]=I_TEAM,T_BATTINGDATA[[#This Row],[R]],0)</f>
        <v>#REF!</v>
      </c>
      <c r="O147" t="str">
        <f>LEFT(T_BATTINGDATA[[#This Row],[Batsman]],IFERROR(FIND("*",T_BATTINGDATA[[#This Row],[Batsman]])-1,IFERROR(FIND("†",T_BATTINGDATA[[#This Row],[Batsman]])-1,LEN(T_BATTINGDATA[[#This Row],[Batsman]]))))</f>
        <v>RAS Lakmal</v>
      </c>
      <c r="P147">
        <f ca="1">IFERROR(IF(MATCH(T_BATTINGDATA[[#This Row],[BATSMAN NAME]],OFFSET(O148,0,0,BATROWS-ROW(O147)-ROW(T_BATTINGDATA[[#Headers],[BATSMAN NAME]])),0)&gt;0,0,SUMIF($O$6:O147,T_BATTINGDATA[[#This Row],[BATSMAN NAME]],$E$6:E147)),SUMIF($O$6:O147,T_BATTINGDATA[[#This Row],[BATSMAN NAME]],$E$6:E147))</f>
        <v>7</v>
      </c>
      <c r="AP147">
        <v>6</v>
      </c>
      <c r="AQ147" t="s">
        <v>140</v>
      </c>
      <c r="AR147" t="s">
        <v>305</v>
      </c>
      <c r="AS147">
        <v>2</v>
      </c>
      <c r="AT147">
        <v>0</v>
      </c>
      <c r="AU147">
        <v>11</v>
      </c>
      <c r="AV147">
        <v>0</v>
      </c>
      <c r="AW147">
        <v>5.5</v>
      </c>
      <c r="AX147">
        <v>4</v>
      </c>
      <c r="AY147">
        <v>1</v>
      </c>
      <c r="AZ147">
        <v>0</v>
      </c>
      <c r="BA147">
        <v>0</v>
      </c>
      <c r="BB147">
        <v>0</v>
      </c>
      <c r="BC147">
        <v>5</v>
      </c>
      <c r="BD147" t="str">
        <f>CONCATENATE(Table9[[#This Row],[Match Number]],Table9[[#This Row],[Team]],Table9[[#This Row],[BOWL NUM]])</f>
        <v>6New Zealand5</v>
      </c>
      <c r="BE147" t="str">
        <f>IFERROR(IF(AND(Table9[[#This Row],[Team]]=I_TEAM,IFERROR(IF(MATCH(Table9[[#This Row],[Bowler]],$AR$5:AR146,0)&gt;0,0),1)),1,0),"")</f>
        <v/>
      </c>
      <c r="BF147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14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147" t="e">
        <f>IF(Table9[[#This Row],[Team]]=I_TEAM,Table9[[#This Row],[Wickets]]*100-Table9[[#This Row],[Runs]],0)</f>
        <v>#REF!</v>
      </c>
      <c r="BI147">
        <f>Table9[[#This Row],[Wickets]]*100-Table9[[#This Row],[Runs]]</f>
        <v>-11</v>
      </c>
      <c r="BJ147">
        <f ca="1">IFERROR(IF(MATCH(Table9[[#This Row],[Bowler]],OFFSET(AR148,0,0,BOWLROWS-ROW(AR147)-ROW(Table9[[#Headers],[BOWLER CUML WICKETS]])),0)&gt;0,0,SUMIF($AR$6:AR147,Table9[[#This Row],[Bowler]],$AV$6:AV147)),SUMIF($AR$6:AR147,Table9[[#This Row],[Bowler]],$AV$6:AV147))</f>
        <v>0</v>
      </c>
      <c r="BK147">
        <f ca="1">IFERROR(IF(MATCH(Table9[[#This Row],[Bowler]],OFFSET(AR148,0,0,BOWLROWS-ROW(AR147)-ROW(Table9[[#Headers],[BOWLER CUML WICKETS]])),0)&gt;0,0,SUMIF($AR$6:AR147,Table9[[#This Row],[Bowler]],$AU$6:AU147)),SUMIF($AR$6:AR147,Table9[[#This Row],[Bowler]],$AU$6:AU147))</f>
        <v>0</v>
      </c>
      <c r="BL147">
        <f ca="1">Table9[[#This Row],[BOWLER CUML WICKETS]]*100-Table9[[#This Row],[BOWLER CUML RUNS]]</f>
        <v>0</v>
      </c>
    </row>
    <row r="148" spans="1:64" x14ac:dyDescent="0.3">
      <c r="A148">
        <v>2</v>
      </c>
      <c r="B148" t="s">
        <v>149</v>
      </c>
      <c r="C148" t="s">
        <v>376</v>
      </c>
      <c r="D148" t="s">
        <v>377</v>
      </c>
      <c r="E148">
        <v>22</v>
      </c>
      <c r="F148">
        <v>34</v>
      </c>
      <c r="G148">
        <v>18</v>
      </c>
      <c r="H148">
        <v>3</v>
      </c>
      <c r="I148">
        <v>0</v>
      </c>
      <c r="J148">
        <v>122.22</v>
      </c>
      <c r="K148">
        <v>1</v>
      </c>
      <c r="L148" t="str">
        <f>CONCATENATE(T_BATTINGDATA[[#This Row],[Match]],T_BATTINGDATA[[#This Row],[Team]],T_BATTINGDATA[[#This Row],[Bat Number]])</f>
        <v>2Australia1</v>
      </c>
      <c r="M148" t="str">
        <f>IFERROR(IF(AND(T_BATTINGDATA[[#This Row],[Team]]=I_TEAM,IFERROR(IF(MATCH(T_BATTINGDATA[[#This Row],[BATSMAN NAME]],$O$5:O147,0)&gt;0,0),1)),1,0),"")</f>
        <v/>
      </c>
      <c r="N148" t="e">
        <f>IF(T_BATTINGDATA[[#This Row],[Team]]=I_TEAM,T_BATTINGDATA[[#This Row],[R]],0)</f>
        <v>#REF!</v>
      </c>
      <c r="O148" t="str">
        <f>LEFT(T_BATTINGDATA[[#This Row],[Batsman]],IFERROR(FIND("*",T_BATTINGDATA[[#This Row],[Batsman]])-1,IFERROR(FIND("†",T_BATTINGDATA[[#This Row],[Batsman]])-1,LEN(T_BATTINGDATA[[#This Row],[Batsman]]))))</f>
        <v>DA Warner</v>
      </c>
      <c r="P148">
        <f ca="1">IFERROR(IF(MATCH(T_BATTINGDATA[[#This Row],[BATSMAN NAME]],OFFSET(O149,0,0,BATROWS-ROW(O148)-ROW(T_BATTINGDATA[[#Headers],[BATSMAN NAME]])),0)&gt;0,0,SUMIF($O$6:O148,T_BATTINGDATA[[#This Row],[BATSMAN NAME]],$E$6:E148)),SUMIF($O$6:O148,T_BATTINGDATA[[#This Row],[BATSMAN NAME]],$E$6:E148))</f>
        <v>0</v>
      </c>
      <c r="AP148">
        <v>6</v>
      </c>
      <c r="AQ148" t="s">
        <v>140</v>
      </c>
      <c r="AR148" t="s">
        <v>309</v>
      </c>
      <c r="AS148">
        <v>5</v>
      </c>
      <c r="AT148">
        <v>1</v>
      </c>
      <c r="AU148">
        <v>18</v>
      </c>
      <c r="AV148">
        <v>3</v>
      </c>
      <c r="AW148">
        <v>3.6</v>
      </c>
      <c r="AX148">
        <v>21</v>
      </c>
      <c r="AY148">
        <v>2</v>
      </c>
      <c r="AZ148">
        <v>0</v>
      </c>
      <c r="BA148">
        <v>0</v>
      </c>
      <c r="BB148">
        <v>0</v>
      </c>
      <c r="BC148">
        <v>6</v>
      </c>
      <c r="BD148" t="str">
        <f>CONCATENATE(Table9[[#This Row],[Match Number]],Table9[[#This Row],[Team]],Table9[[#This Row],[BOWL NUM]])</f>
        <v>6New Zealand6</v>
      </c>
      <c r="BE148" t="str">
        <f>IFERROR(IF(AND(Table9[[#This Row],[Team]]=I_TEAM,IFERROR(IF(MATCH(Table9[[#This Row],[Bowler]],$AR$5:AR147,0)&gt;0,0),1)),1,0),"")</f>
        <v/>
      </c>
      <c r="BF148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14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148" t="e">
        <f>IF(Table9[[#This Row],[Team]]=I_TEAM,Table9[[#This Row],[Wickets]]*100-Table9[[#This Row],[Runs]],0)</f>
        <v>#REF!</v>
      </c>
      <c r="BI148">
        <f>Table9[[#This Row],[Wickets]]*100-Table9[[#This Row],[Runs]]</f>
        <v>282</v>
      </c>
      <c r="BJ148">
        <f ca="1">IFERROR(IF(MATCH(Table9[[#This Row],[Bowler]],OFFSET(AR149,0,0,BOWLROWS-ROW(AR148)-ROW(Table9[[#Headers],[BOWLER CUML WICKETS]])),0)&gt;0,0,SUMIF($AR$6:AR148,Table9[[#This Row],[Bowler]],$AV$6:AV148)),SUMIF($AR$6:AR148,Table9[[#This Row],[Bowler]],$AV$6:AV148))</f>
        <v>0</v>
      </c>
      <c r="BK148">
        <f ca="1">IFERROR(IF(MATCH(Table9[[#This Row],[Bowler]],OFFSET(AR149,0,0,BOWLROWS-ROW(AR148)-ROW(Table9[[#Headers],[BOWLER CUML WICKETS]])),0)&gt;0,0,SUMIF($AR$6:AR148,Table9[[#This Row],[Bowler]],$AU$6:AU148)),SUMIF($AR$6:AR148,Table9[[#This Row],[Bowler]],$AU$6:AU148))</f>
        <v>0</v>
      </c>
      <c r="BL148">
        <f ca="1">Table9[[#This Row],[BOWLER CUML WICKETS]]*100-Table9[[#This Row],[BOWLER CUML RUNS]]</f>
        <v>0</v>
      </c>
    </row>
    <row r="149" spans="1:64" x14ac:dyDescent="0.3">
      <c r="A149">
        <v>2</v>
      </c>
      <c r="B149" t="s">
        <v>149</v>
      </c>
      <c r="C149" t="s">
        <v>378</v>
      </c>
      <c r="D149" t="s">
        <v>379</v>
      </c>
      <c r="E149">
        <v>135</v>
      </c>
      <c r="F149">
        <v>158</v>
      </c>
      <c r="G149">
        <v>128</v>
      </c>
      <c r="H149">
        <v>12</v>
      </c>
      <c r="I149">
        <v>3</v>
      </c>
      <c r="J149">
        <v>105.46</v>
      </c>
      <c r="K149">
        <v>2</v>
      </c>
      <c r="L149" t="str">
        <f>CONCATENATE(T_BATTINGDATA[[#This Row],[Match]],T_BATTINGDATA[[#This Row],[Team]],T_BATTINGDATA[[#This Row],[Bat Number]])</f>
        <v>2Australia2</v>
      </c>
      <c r="M149" t="str">
        <f>IFERROR(IF(AND(T_BATTINGDATA[[#This Row],[Team]]=I_TEAM,IFERROR(IF(MATCH(T_BATTINGDATA[[#This Row],[BATSMAN NAME]],$O$5:O148,0)&gt;0,0),1)),1,0),"")</f>
        <v/>
      </c>
      <c r="N149" t="e">
        <f>IF(T_BATTINGDATA[[#This Row],[Team]]=I_TEAM,T_BATTINGDATA[[#This Row],[R]],0)</f>
        <v>#REF!</v>
      </c>
      <c r="O149" t="str">
        <f>LEFT(T_BATTINGDATA[[#This Row],[Batsman]],IFERROR(FIND("*",T_BATTINGDATA[[#This Row],[Batsman]])-1,IFERROR(FIND("†",T_BATTINGDATA[[#This Row],[Batsman]])-1,LEN(T_BATTINGDATA[[#This Row],[Batsman]]))))</f>
        <v>AJ Finch</v>
      </c>
      <c r="P149">
        <f ca="1">IFERROR(IF(MATCH(T_BATTINGDATA[[#This Row],[BATSMAN NAME]],OFFSET(O150,0,0,BATROWS-ROW(O149)-ROW(T_BATTINGDATA[[#Headers],[BATSMAN NAME]])),0)&gt;0,0,SUMIF($O$6:O149,T_BATTINGDATA[[#This Row],[BATSMAN NAME]],$E$6:E149)),SUMIF($O$6:O149,T_BATTINGDATA[[#This Row],[BATSMAN NAME]],$E$6:E149))</f>
        <v>0</v>
      </c>
      <c r="AP149">
        <v>6</v>
      </c>
      <c r="AQ149" t="s">
        <v>176</v>
      </c>
      <c r="AR149" t="s">
        <v>380</v>
      </c>
      <c r="AS149">
        <v>9.5</v>
      </c>
      <c r="AT149">
        <v>0</v>
      </c>
      <c r="AU149">
        <v>57</v>
      </c>
      <c r="AV149">
        <v>3</v>
      </c>
      <c r="AW149">
        <v>5.79</v>
      </c>
      <c r="AX149">
        <v>38</v>
      </c>
      <c r="AY149">
        <v>10</v>
      </c>
      <c r="AZ149">
        <v>0</v>
      </c>
      <c r="BA149">
        <v>1</v>
      </c>
      <c r="BB149">
        <v>0</v>
      </c>
      <c r="BC149">
        <v>1</v>
      </c>
      <c r="BD149" t="str">
        <f>CONCATENATE(Table9[[#This Row],[Match Number]],Table9[[#This Row],[Team]],Table9[[#This Row],[BOWL NUM]])</f>
        <v>6Scotland1</v>
      </c>
      <c r="BE149" t="str">
        <f>IFERROR(IF(AND(Table9[[#This Row],[Team]]=I_TEAM,IFERROR(IF(MATCH(Table9[[#This Row],[Bowler]],$AR$5:AR148,0)&gt;0,0),1)),1,0),"")</f>
        <v/>
      </c>
      <c r="BF149">
        <f>(LEFT(Table9[[#This Row],[Overs]],IFERROR(FIND(".",Table9[[#This Row],[Overs]])-1,LEN(Table9[[#This Row],[Overs]])))*6) + IFERROR(IF(FIND(".",Table9[[#This Row],[Overs]])+1&gt;0,RIGHT(Table9[[#This Row],[Overs]],1),0),0)</f>
        <v>59</v>
      </c>
      <c r="BG14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149" t="e">
        <f>IF(Table9[[#This Row],[Team]]=I_TEAM,Table9[[#This Row],[Wickets]]*100-Table9[[#This Row],[Runs]],0)</f>
        <v>#REF!</v>
      </c>
      <c r="BI149">
        <f>Table9[[#This Row],[Wickets]]*100-Table9[[#This Row],[Runs]]</f>
        <v>243</v>
      </c>
      <c r="BJ149">
        <f ca="1">IFERROR(IF(MATCH(Table9[[#This Row],[Bowler]],OFFSET(AR150,0,0,BOWLROWS-ROW(AR149)-ROW(Table9[[#Headers],[BOWLER CUML WICKETS]])),0)&gt;0,0,SUMIF($AR$6:AR149,Table9[[#This Row],[Bowler]],$AV$6:AV149)),SUMIF($AR$6:AR149,Table9[[#This Row],[Bowler]],$AV$6:AV149))</f>
        <v>0</v>
      </c>
      <c r="BK149">
        <f ca="1">IFERROR(IF(MATCH(Table9[[#This Row],[Bowler]],OFFSET(AR150,0,0,BOWLROWS-ROW(AR149)-ROW(Table9[[#Headers],[BOWLER CUML WICKETS]])),0)&gt;0,0,SUMIF($AR$6:AR149,Table9[[#This Row],[Bowler]],$AU$6:AU149)),SUMIF($AR$6:AR149,Table9[[#This Row],[Bowler]],$AU$6:AU149))</f>
        <v>0</v>
      </c>
      <c r="BL149">
        <f ca="1">Table9[[#This Row],[BOWLER CUML WICKETS]]*100-Table9[[#This Row],[BOWLER CUML RUNS]]</f>
        <v>0</v>
      </c>
    </row>
    <row r="150" spans="1:64" x14ac:dyDescent="0.3">
      <c r="A150">
        <v>2</v>
      </c>
      <c r="B150" t="s">
        <v>149</v>
      </c>
      <c r="C150" t="s">
        <v>327</v>
      </c>
      <c r="D150" t="s">
        <v>381</v>
      </c>
      <c r="E150">
        <v>0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3</v>
      </c>
      <c r="L150" t="str">
        <f>CONCATENATE(T_BATTINGDATA[[#This Row],[Match]],T_BATTINGDATA[[#This Row],[Team]],T_BATTINGDATA[[#This Row],[Bat Number]])</f>
        <v>2Australia3</v>
      </c>
      <c r="M150" t="str">
        <f>IFERROR(IF(AND(T_BATTINGDATA[[#This Row],[Team]]=I_TEAM,IFERROR(IF(MATCH(T_BATTINGDATA[[#This Row],[BATSMAN NAME]],$O$5:O149,0)&gt;0,0),1)),1,0),"")</f>
        <v/>
      </c>
      <c r="N150" t="e">
        <f>IF(T_BATTINGDATA[[#This Row],[Team]]=I_TEAM,T_BATTINGDATA[[#This Row],[R]],0)</f>
        <v>#REF!</v>
      </c>
      <c r="O150" t="str">
        <f>LEFT(T_BATTINGDATA[[#This Row],[Batsman]],IFERROR(FIND("*",T_BATTINGDATA[[#This Row],[Batsman]])-1,IFERROR(FIND("†",T_BATTINGDATA[[#This Row],[Batsman]])-1,LEN(T_BATTINGDATA[[#This Row],[Batsman]]))))</f>
        <v>SR Watson</v>
      </c>
      <c r="P150">
        <f ca="1">IFERROR(IF(MATCH(T_BATTINGDATA[[#This Row],[BATSMAN NAME]],OFFSET(O151,0,0,BATROWS-ROW(O150)-ROW(T_BATTINGDATA[[#Headers],[BATSMAN NAME]])),0)&gt;0,0,SUMIF($O$6:O150,T_BATTINGDATA[[#This Row],[BATSMAN NAME]],$E$6:E150)),SUMIF($O$6:O150,T_BATTINGDATA[[#This Row],[BATSMAN NAME]],$E$6:E150))</f>
        <v>0</v>
      </c>
      <c r="AP150">
        <v>6</v>
      </c>
      <c r="AQ150" t="s">
        <v>176</v>
      </c>
      <c r="AR150" t="s">
        <v>382</v>
      </c>
      <c r="AS150">
        <v>4</v>
      </c>
      <c r="AT150">
        <v>0</v>
      </c>
      <c r="AU150">
        <v>27</v>
      </c>
      <c r="AV150">
        <v>0</v>
      </c>
      <c r="AW150">
        <v>6.75</v>
      </c>
      <c r="AX150">
        <v>11</v>
      </c>
      <c r="AY150">
        <v>4</v>
      </c>
      <c r="AZ150">
        <v>0</v>
      </c>
      <c r="BA150">
        <v>2</v>
      </c>
      <c r="BB150">
        <v>0</v>
      </c>
      <c r="BC150">
        <v>2</v>
      </c>
      <c r="BD150" t="str">
        <f>CONCATENATE(Table9[[#This Row],[Match Number]],Table9[[#This Row],[Team]],Table9[[#This Row],[BOWL NUM]])</f>
        <v>6Scotland2</v>
      </c>
      <c r="BE150" t="str">
        <f>IFERROR(IF(AND(Table9[[#This Row],[Team]]=I_TEAM,IFERROR(IF(MATCH(Table9[[#This Row],[Bowler]],$AR$5:AR149,0)&gt;0,0),1)),1,0),"")</f>
        <v/>
      </c>
      <c r="BF150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15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150" t="e">
        <f>IF(Table9[[#This Row],[Team]]=I_TEAM,Table9[[#This Row],[Wickets]]*100-Table9[[#This Row],[Runs]],0)</f>
        <v>#REF!</v>
      </c>
      <c r="BI150">
        <f>Table9[[#This Row],[Wickets]]*100-Table9[[#This Row],[Runs]]</f>
        <v>-27</v>
      </c>
      <c r="BJ150">
        <f ca="1">IFERROR(IF(MATCH(Table9[[#This Row],[Bowler]],OFFSET(AR151,0,0,BOWLROWS-ROW(AR150)-ROW(Table9[[#Headers],[BOWLER CUML WICKETS]])),0)&gt;0,0,SUMIF($AR$6:AR150,Table9[[#This Row],[Bowler]],$AV$6:AV150)),SUMIF($AR$6:AR150,Table9[[#This Row],[Bowler]],$AV$6:AV150))</f>
        <v>0</v>
      </c>
      <c r="BK150">
        <f ca="1">IFERROR(IF(MATCH(Table9[[#This Row],[Bowler]],OFFSET(AR151,0,0,BOWLROWS-ROW(AR150)-ROW(Table9[[#Headers],[BOWLER CUML WICKETS]])),0)&gt;0,0,SUMIF($AR$6:AR150,Table9[[#This Row],[Bowler]],$AU$6:AU150)),SUMIF($AR$6:AR150,Table9[[#This Row],[Bowler]],$AU$6:AU150))</f>
        <v>0</v>
      </c>
      <c r="BL150">
        <f ca="1">Table9[[#This Row],[BOWLER CUML WICKETS]]*100-Table9[[#This Row],[BOWLER CUML RUNS]]</f>
        <v>0</v>
      </c>
    </row>
    <row r="151" spans="1:64" x14ac:dyDescent="0.3">
      <c r="A151">
        <v>2</v>
      </c>
      <c r="B151" t="s">
        <v>149</v>
      </c>
      <c r="C151" t="s">
        <v>331</v>
      </c>
      <c r="D151" t="s">
        <v>383</v>
      </c>
      <c r="E151">
        <v>5</v>
      </c>
      <c r="F151">
        <v>14</v>
      </c>
      <c r="G151">
        <v>9</v>
      </c>
      <c r="H151">
        <v>1</v>
      </c>
      <c r="I151">
        <v>0</v>
      </c>
      <c r="J151">
        <v>55.55</v>
      </c>
      <c r="K151">
        <v>4</v>
      </c>
      <c r="L151" t="str">
        <f>CONCATENATE(T_BATTINGDATA[[#This Row],[Match]],T_BATTINGDATA[[#This Row],[Team]],T_BATTINGDATA[[#This Row],[Bat Number]])</f>
        <v>2Australia4</v>
      </c>
      <c r="M151" t="str">
        <f>IFERROR(IF(AND(T_BATTINGDATA[[#This Row],[Team]]=I_TEAM,IFERROR(IF(MATCH(T_BATTINGDATA[[#This Row],[BATSMAN NAME]],$O$5:O150,0)&gt;0,0),1)),1,0),"")</f>
        <v/>
      </c>
      <c r="N151" t="e">
        <f>IF(T_BATTINGDATA[[#This Row],[Team]]=I_TEAM,T_BATTINGDATA[[#This Row],[R]],0)</f>
        <v>#REF!</v>
      </c>
      <c r="O151" t="str">
        <f>LEFT(T_BATTINGDATA[[#This Row],[Batsman]],IFERROR(FIND("*",T_BATTINGDATA[[#This Row],[Batsman]])-1,IFERROR(FIND("†",T_BATTINGDATA[[#This Row],[Batsman]])-1,LEN(T_BATTINGDATA[[#This Row],[Batsman]]))))</f>
        <v>SPD Smith</v>
      </c>
      <c r="P151">
        <f ca="1">IFERROR(IF(MATCH(T_BATTINGDATA[[#This Row],[BATSMAN NAME]],OFFSET(O152,0,0,BATROWS-ROW(O151)-ROW(T_BATTINGDATA[[#Headers],[BATSMAN NAME]])),0)&gt;0,0,SUMIF($O$6:O151,T_BATTINGDATA[[#This Row],[BATSMAN NAME]],$E$6:E151)),SUMIF($O$6:O151,T_BATTINGDATA[[#This Row],[BATSMAN NAME]],$E$6:E151))</f>
        <v>0</v>
      </c>
      <c r="AP151">
        <v>6</v>
      </c>
      <c r="AQ151" t="s">
        <v>176</v>
      </c>
      <c r="AR151" t="s">
        <v>384</v>
      </c>
      <c r="AS151">
        <v>7</v>
      </c>
      <c r="AT151">
        <v>0</v>
      </c>
      <c r="AU151">
        <v>40</v>
      </c>
      <c r="AV151">
        <v>3</v>
      </c>
      <c r="AW151">
        <v>5.71</v>
      </c>
      <c r="AX151">
        <v>25</v>
      </c>
      <c r="AY151">
        <v>6</v>
      </c>
      <c r="AZ151">
        <v>0</v>
      </c>
      <c r="BA151">
        <v>2</v>
      </c>
      <c r="BB151">
        <v>0</v>
      </c>
      <c r="BC151">
        <v>3</v>
      </c>
      <c r="BD151" t="str">
        <f>CONCATENATE(Table9[[#This Row],[Match Number]],Table9[[#This Row],[Team]],Table9[[#This Row],[BOWL NUM]])</f>
        <v>6Scotland3</v>
      </c>
      <c r="BE151" t="str">
        <f>IFERROR(IF(AND(Table9[[#This Row],[Team]]=I_TEAM,IFERROR(IF(MATCH(Table9[[#This Row],[Bowler]],$AR$5:AR150,0)&gt;0,0),1)),1,0),"")</f>
        <v/>
      </c>
      <c r="BF151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15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151" t="e">
        <f>IF(Table9[[#This Row],[Team]]=I_TEAM,Table9[[#This Row],[Wickets]]*100-Table9[[#This Row],[Runs]],0)</f>
        <v>#REF!</v>
      </c>
      <c r="BI151">
        <f>Table9[[#This Row],[Wickets]]*100-Table9[[#This Row],[Runs]]</f>
        <v>260</v>
      </c>
      <c r="BJ151">
        <f ca="1">IFERROR(IF(MATCH(Table9[[#This Row],[Bowler]],OFFSET(AR152,0,0,BOWLROWS-ROW(AR151)-ROW(Table9[[#Headers],[BOWLER CUML WICKETS]])),0)&gt;0,0,SUMIF($AR$6:AR151,Table9[[#This Row],[Bowler]],$AV$6:AV151)),SUMIF($AR$6:AR151,Table9[[#This Row],[Bowler]],$AV$6:AV151))</f>
        <v>0</v>
      </c>
      <c r="BK151">
        <f ca="1">IFERROR(IF(MATCH(Table9[[#This Row],[Bowler]],OFFSET(AR152,0,0,BOWLROWS-ROW(AR151)-ROW(Table9[[#Headers],[BOWLER CUML WICKETS]])),0)&gt;0,0,SUMIF($AR$6:AR151,Table9[[#This Row],[Bowler]],$AU$6:AU151)),SUMIF($AR$6:AR151,Table9[[#This Row],[Bowler]],$AU$6:AU151))</f>
        <v>0</v>
      </c>
      <c r="BL151">
        <f ca="1">Table9[[#This Row],[BOWLER CUML WICKETS]]*100-Table9[[#This Row],[BOWLER CUML RUNS]]</f>
        <v>0</v>
      </c>
    </row>
    <row r="152" spans="1:64" x14ac:dyDescent="0.3">
      <c r="A152">
        <v>2</v>
      </c>
      <c r="B152" t="s">
        <v>149</v>
      </c>
      <c r="C152" t="s">
        <v>385</v>
      </c>
      <c r="D152" t="s">
        <v>386</v>
      </c>
      <c r="E152">
        <v>55</v>
      </c>
      <c r="F152">
        <v>113</v>
      </c>
      <c r="G152">
        <v>69</v>
      </c>
      <c r="H152">
        <v>3</v>
      </c>
      <c r="I152">
        <v>0</v>
      </c>
      <c r="J152">
        <v>79.709999999999994</v>
      </c>
      <c r="K152">
        <v>5</v>
      </c>
      <c r="L152" t="str">
        <f>CONCATENATE(T_BATTINGDATA[[#This Row],[Match]],T_BATTINGDATA[[#This Row],[Team]],T_BATTINGDATA[[#This Row],[Bat Number]])</f>
        <v>2Australia5</v>
      </c>
      <c r="M152" t="str">
        <f>IFERROR(IF(AND(T_BATTINGDATA[[#This Row],[Team]]=I_TEAM,IFERROR(IF(MATCH(T_BATTINGDATA[[#This Row],[BATSMAN NAME]],$O$5:O151,0)&gt;0,0),1)),1,0),"")</f>
        <v/>
      </c>
      <c r="N152" t="e">
        <f>IF(T_BATTINGDATA[[#This Row],[Team]]=I_TEAM,T_BATTINGDATA[[#This Row],[R]],0)</f>
        <v>#REF!</v>
      </c>
      <c r="O152" t="str">
        <f>LEFT(T_BATTINGDATA[[#This Row],[Batsman]],IFERROR(FIND("*",T_BATTINGDATA[[#This Row],[Batsman]])-1,IFERROR(FIND("†",T_BATTINGDATA[[#This Row],[Batsman]])-1,LEN(T_BATTINGDATA[[#This Row],[Batsman]]))))</f>
        <v>GJ Bailey</v>
      </c>
      <c r="P152">
        <f ca="1">IFERROR(IF(MATCH(T_BATTINGDATA[[#This Row],[BATSMAN NAME]],OFFSET(O153,0,0,BATROWS-ROW(O152)-ROW(T_BATTINGDATA[[#Headers],[BATSMAN NAME]])),0)&gt;0,0,SUMIF($O$6:O152,T_BATTINGDATA[[#This Row],[BATSMAN NAME]],$E$6:E152)),SUMIF($O$6:O152,T_BATTINGDATA[[#This Row],[BATSMAN NAME]],$E$6:E152))</f>
        <v>55</v>
      </c>
      <c r="AP152">
        <v>6</v>
      </c>
      <c r="AQ152" t="s">
        <v>176</v>
      </c>
      <c r="AR152" t="s">
        <v>387</v>
      </c>
      <c r="AS152">
        <v>4</v>
      </c>
      <c r="AT152">
        <v>0</v>
      </c>
      <c r="AU152">
        <v>21</v>
      </c>
      <c r="AV152">
        <v>1</v>
      </c>
      <c r="AW152">
        <v>5.25</v>
      </c>
      <c r="AX152">
        <v>12</v>
      </c>
      <c r="AY152">
        <v>3</v>
      </c>
      <c r="AZ152">
        <v>0</v>
      </c>
      <c r="BA152">
        <v>0</v>
      </c>
      <c r="BB152">
        <v>0</v>
      </c>
      <c r="BC152">
        <v>4</v>
      </c>
      <c r="BD152" t="str">
        <f>CONCATENATE(Table9[[#This Row],[Match Number]],Table9[[#This Row],[Team]],Table9[[#This Row],[BOWL NUM]])</f>
        <v>6Scotland4</v>
      </c>
      <c r="BE152" t="str">
        <f>IFERROR(IF(AND(Table9[[#This Row],[Team]]=I_TEAM,IFERROR(IF(MATCH(Table9[[#This Row],[Bowler]],$AR$5:AR151,0)&gt;0,0),1)),1,0),"")</f>
        <v/>
      </c>
      <c r="BF152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15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152" t="e">
        <f>IF(Table9[[#This Row],[Team]]=I_TEAM,Table9[[#This Row],[Wickets]]*100-Table9[[#This Row],[Runs]],0)</f>
        <v>#REF!</v>
      </c>
      <c r="BI152">
        <f>Table9[[#This Row],[Wickets]]*100-Table9[[#This Row],[Runs]]</f>
        <v>79</v>
      </c>
      <c r="BJ152">
        <f ca="1">IFERROR(IF(MATCH(Table9[[#This Row],[Bowler]],OFFSET(AR153,0,0,BOWLROWS-ROW(AR152)-ROW(Table9[[#Headers],[BOWLER CUML WICKETS]])),0)&gt;0,0,SUMIF($AR$6:AR152,Table9[[#This Row],[Bowler]],$AV$6:AV152)),SUMIF($AR$6:AR152,Table9[[#This Row],[Bowler]],$AV$6:AV152))</f>
        <v>0</v>
      </c>
      <c r="BK152">
        <f ca="1">IFERROR(IF(MATCH(Table9[[#This Row],[Bowler]],OFFSET(AR153,0,0,BOWLROWS-ROW(AR152)-ROW(Table9[[#Headers],[BOWLER CUML WICKETS]])),0)&gt;0,0,SUMIF($AR$6:AR152,Table9[[#This Row],[Bowler]],$AU$6:AU152)),SUMIF($AR$6:AR152,Table9[[#This Row],[Bowler]],$AU$6:AU152))</f>
        <v>0</v>
      </c>
      <c r="BL152">
        <f ca="1">Table9[[#This Row],[BOWLER CUML WICKETS]]*100-Table9[[#This Row],[BOWLER CUML RUNS]]</f>
        <v>0</v>
      </c>
    </row>
    <row r="153" spans="1:64" x14ac:dyDescent="0.3">
      <c r="A153">
        <v>2</v>
      </c>
      <c r="B153" t="s">
        <v>149</v>
      </c>
      <c r="C153" t="s">
        <v>329</v>
      </c>
      <c r="D153" t="s">
        <v>388</v>
      </c>
      <c r="E153">
        <v>66</v>
      </c>
      <c r="F153">
        <v>63</v>
      </c>
      <c r="G153">
        <v>40</v>
      </c>
      <c r="H153">
        <v>11</v>
      </c>
      <c r="I153">
        <v>0</v>
      </c>
      <c r="J153">
        <v>165</v>
      </c>
      <c r="K153">
        <v>6</v>
      </c>
      <c r="L153" t="str">
        <f>CONCATENATE(T_BATTINGDATA[[#This Row],[Match]],T_BATTINGDATA[[#This Row],[Team]],T_BATTINGDATA[[#This Row],[Bat Number]])</f>
        <v>2Australia6</v>
      </c>
      <c r="M153" t="str">
        <f>IFERROR(IF(AND(T_BATTINGDATA[[#This Row],[Team]]=I_TEAM,IFERROR(IF(MATCH(T_BATTINGDATA[[#This Row],[BATSMAN NAME]],$O$5:O152,0)&gt;0,0),1)),1,0),"")</f>
        <v/>
      </c>
      <c r="N153" t="e">
        <f>IF(T_BATTINGDATA[[#This Row],[Team]]=I_TEAM,T_BATTINGDATA[[#This Row],[R]],0)</f>
        <v>#REF!</v>
      </c>
      <c r="O153" t="str">
        <f>LEFT(T_BATTINGDATA[[#This Row],[Batsman]],IFERROR(FIND("*",T_BATTINGDATA[[#This Row],[Batsman]])-1,IFERROR(FIND("†",T_BATTINGDATA[[#This Row],[Batsman]])-1,LEN(T_BATTINGDATA[[#This Row],[Batsman]]))))</f>
        <v>GJ Maxwell</v>
      </c>
      <c r="P153">
        <f ca="1">IFERROR(IF(MATCH(T_BATTINGDATA[[#This Row],[BATSMAN NAME]],OFFSET(O154,0,0,BATROWS-ROW(O153)-ROW(T_BATTINGDATA[[#Headers],[BATSMAN NAME]])),0)&gt;0,0,SUMIF($O$6:O153,T_BATTINGDATA[[#This Row],[BATSMAN NAME]],$E$6:E153)),SUMIF($O$6:O153,T_BATTINGDATA[[#This Row],[BATSMAN NAME]],$E$6:E153))</f>
        <v>0</v>
      </c>
      <c r="AP153">
        <v>7</v>
      </c>
      <c r="AQ153" t="s">
        <v>185</v>
      </c>
      <c r="AR153" t="s">
        <v>389</v>
      </c>
      <c r="AS153">
        <v>10</v>
      </c>
      <c r="AT153">
        <v>0</v>
      </c>
      <c r="AU153">
        <v>61</v>
      </c>
      <c r="AV153">
        <v>2</v>
      </c>
      <c r="AW153">
        <v>6.1</v>
      </c>
      <c r="AX153">
        <v>32</v>
      </c>
      <c r="AY153">
        <v>7</v>
      </c>
      <c r="AZ153">
        <v>1</v>
      </c>
      <c r="BA153">
        <v>1</v>
      </c>
      <c r="BB153">
        <v>0</v>
      </c>
      <c r="BC153">
        <v>1</v>
      </c>
      <c r="BD153" t="str">
        <f>CONCATENATE(Table9[[#This Row],[Match Number]],Table9[[#This Row],[Team]],Table9[[#This Row],[BOWL NUM]])</f>
        <v>7Afghanistan1</v>
      </c>
      <c r="BE153" t="str">
        <f>IFERROR(IF(AND(Table9[[#This Row],[Team]]=I_TEAM,IFERROR(IF(MATCH(Table9[[#This Row],[Bowler]],$AR$5:AR152,0)&gt;0,0),1)),1,0),"")</f>
        <v/>
      </c>
      <c r="BF15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5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153" t="e">
        <f>IF(Table9[[#This Row],[Team]]=I_TEAM,Table9[[#This Row],[Wickets]]*100-Table9[[#This Row],[Runs]],0)</f>
        <v>#REF!</v>
      </c>
      <c r="BI153">
        <f>Table9[[#This Row],[Wickets]]*100-Table9[[#This Row],[Runs]]</f>
        <v>139</v>
      </c>
      <c r="BJ153">
        <f ca="1">IFERROR(IF(MATCH(Table9[[#This Row],[Bowler]],OFFSET(AR154,0,0,BOWLROWS-ROW(AR153)-ROW(Table9[[#Headers],[BOWLER CUML WICKETS]])),0)&gt;0,0,SUMIF($AR$6:AR153,Table9[[#This Row],[Bowler]],$AV$6:AV153)),SUMIF($AR$6:AR153,Table9[[#This Row],[Bowler]],$AV$6:AV153))</f>
        <v>0</v>
      </c>
      <c r="BK153">
        <f ca="1">IFERROR(IF(MATCH(Table9[[#This Row],[Bowler]],OFFSET(AR154,0,0,BOWLROWS-ROW(AR153)-ROW(Table9[[#Headers],[BOWLER CUML WICKETS]])),0)&gt;0,0,SUMIF($AR$6:AR153,Table9[[#This Row],[Bowler]],$AU$6:AU153)),SUMIF($AR$6:AR153,Table9[[#This Row],[Bowler]],$AU$6:AU153))</f>
        <v>0</v>
      </c>
      <c r="BL153">
        <f ca="1">Table9[[#This Row],[BOWLER CUML WICKETS]]*100-Table9[[#This Row],[BOWLER CUML RUNS]]</f>
        <v>0</v>
      </c>
    </row>
    <row r="154" spans="1:64" x14ac:dyDescent="0.3">
      <c r="A154">
        <v>2</v>
      </c>
      <c r="B154" t="s">
        <v>149</v>
      </c>
      <c r="C154" t="s">
        <v>325</v>
      </c>
      <c r="D154" t="s">
        <v>388</v>
      </c>
      <c r="E154">
        <v>23</v>
      </c>
      <c r="F154">
        <v>31</v>
      </c>
      <c r="G154">
        <v>20</v>
      </c>
      <c r="H154">
        <v>3</v>
      </c>
      <c r="I154">
        <v>0</v>
      </c>
      <c r="J154">
        <v>115</v>
      </c>
      <c r="K154">
        <v>7</v>
      </c>
      <c r="L154" t="str">
        <f>CONCATENATE(T_BATTINGDATA[[#This Row],[Match]],T_BATTINGDATA[[#This Row],[Team]],T_BATTINGDATA[[#This Row],[Bat Number]])</f>
        <v>2Australia7</v>
      </c>
      <c r="M154" t="str">
        <f>IFERROR(IF(AND(T_BATTINGDATA[[#This Row],[Team]]=I_TEAM,IFERROR(IF(MATCH(T_BATTINGDATA[[#This Row],[BATSMAN NAME]],$O$5:O153,0)&gt;0,0),1)),1,0),"")</f>
        <v/>
      </c>
      <c r="N154" t="e">
        <f>IF(T_BATTINGDATA[[#This Row],[Team]]=I_TEAM,T_BATTINGDATA[[#This Row],[R]],0)</f>
        <v>#REF!</v>
      </c>
      <c r="O154" t="str">
        <f>LEFT(T_BATTINGDATA[[#This Row],[Batsman]],IFERROR(FIND("*",T_BATTINGDATA[[#This Row],[Batsman]])-1,IFERROR(FIND("†",T_BATTINGDATA[[#This Row],[Batsman]])-1,LEN(T_BATTINGDATA[[#This Row],[Batsman]]))))</f>
        <v>MR Marsh</v>
      </c>
      <c r="P154">
        <f ca="1">IFERROR(IF(MATCH(T_BATTINGDATA[[#This Row],[BATSMAN NAME]],OFFSET(O155,0,0,BATROWS-ROW(O154)-ROW(T_BATTINGDATA[[#Headers],[BATSMAN NAME]])),0)&gt;0,0,SUMIF($O$6:O154,T_BATTINGDATA[[#This Row],[BATSMAN NAME]],$E$6:E154)),SUMIF($O$6:O154,T_BATTINGDATA[[#This Row],[BATSMAN NAME]],$E$6:E154))</f>
        <v>0</v>
      </c>
      <c r="AP154">
        <v>7</v>
      </c>
      <c r="AQ154" t="s">
        <v>185</v>
      </c>
      <c r="AR154" t="s">
        <v>390</v>
      </c>
      <c r="AS154">
        <v>7</v>
      </c>
      <c r="AT154">
        <v>1</v>
      </c>
      <c r="AU154">
        <v>20</v>
      </c>
      <c r="AV154">
        <v>2</v>
      </c>
      <c r="AW154">
        <v>2.85</v>
      </c>
      <c r="AX154">
        <v>30</v>
      </c>
      <c r="AY154">
        <v>2</v>
      </c>
      <c r="AZ154">
        <v>0</v>
      </c>
      <c r="BA154">
        <v>0</v>
      </c>
      <c r="BB154">
        <v>0</v>
      </c>
      <c r="BC154">
        <v>2</v>
      </c>
      <c r="BD154" t="str">
        <f>CONCATENATE(Table9[[#This Row],[Match Number]],Table9[[#This Row],[Team]],Table9[[#This Row],[BOWL NUM]])</f>
        <v>7Afghanistan2</v>
      </c>
      <c r="BE154" t="str">
        <f>IFERROR(IF(AND(Table9[[#This Row],[Team]]=I_TEAM,IFERROR(IF(MATCH(Table9[[#This Row],[Bowler]],$AR$5:AR153,0)&gt;0,0),1)),1,0),"")</f>
        <v/>
      </c>
      <c r="BF154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15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154" t="e">
        <f>IF(Table9[[#This Row],[Team]]=I_TEAM,Table9[[#This Row],[Wickets]]*100-Table9[[#This Row],[Runs]],0)</f>
        <v>#REF!</v>
      </c>
      <c r="BI154">
        <f>Table9[[#This Row],[Wickets]]*100-Table9[[#This Row],[Runs]]</f>
        <v>180</v>
      </c>
      <c r="BJ154">
        <f ca="1">IFERROR(IF(MATCH(Table9[[#This Row],[Bowler]],OFFSET(AR155,0,0,BOWLROWS-ROW(AR154)-ROW(Table9[[#Headers],[BOWLER CUML WICKETS]])),0)&gt;0,0,SUMIF($AR$6:AR154,Table9[[#This Row],[Bowler]],$AV$6:AV154)),SUMIF($AR$6:AR154,Table9[[#This Row],[Bowler]],$AV$6:AV154))</f>
        <v>0</v>
      </c>
      <c r="BK154">
        <f ca="1">IFERROR(IF(MATCH(Table9[[#This Row],[Bowler]],OFFSET(AR155,0,0,BOWLROWS-ROW(AR154)-ROW(Table9[[#Headers],[BOWLER CUML WICKETS]])),0)&gt;0,0,SUMIF($AR$6:AR154,Table9[[#This Row],[Bowler]],$AU$6:AU154)),SUMIF($AR$6:AR154,Table9[[#This Row],[Bowler]],$AU$6:AU154))</f>
        <v>0</v>
      </c>
      <c r="BL154">
        <f ca="1">Table9[[#This Row],[BOWLER CUML WICKETS]]*100-Table9[[#This Row],[BOWLER CUML RUNS]]</f>
        <v>0</v>
      </c>
    </row>
    <row r="155" spans="1:64" x14ac:dyDescent="0.3">
      <c r="A155">
        <v>2</v>
      </c>
      <c r="B155" t="s">
        <v>149</v>
      </c>
      <c r="C155" t="s">
        <v>391</v>
      </c>
      <c r="D155" t="s">
        <v>392</v>
      </c>
      <c r="E155">
        <v>31</v>
      </c>
      <c r="F155">
        <v>23</v>
      </c>
      <c r="G155">
        <v>14</v>
      </c>
      <c r="H155">
        <v>5</v>
      </c>
      <c r="I155">
        <v>0</v>
      </c>
      <c r="J155">
        <v>221.42</v>
      </c>
      <c r="K155">
        <v>8</v>
      </c>
      <c r="L155" t="str">
        <f>CONCATENATE(T_BATTINGDATA[[#This Row],[Match]],T_BATTINGDATA[[#This Row],[Team]],T_BATTINGDATA[[#This Row],[Bat Number]])</f>
        <v>2Australia8</v>
      </c>
      <c r="M155" t="str">
        <f>IFERROR(IF(AND(T_BATTINGDATA[[#This Row],[Team]]=I_TEAM,IFERROR(IF(MATCH(T_BATTINGDATA[[#This Row],[BATSMAN NAME]],$O$5:O154,0)&gt;0,0),1)),1,0),"")</f>
        <v/>
      </c>
      <c r="N155" t="e">
        <f>IF(T_BATTINGDATA[[#This Row],[Team]]=I_TEAM,T_BATTINGDATA[[#This Row],[R]],0)</f>
        <v>#REF!</v>
      </c>
      <c r="O155" t="str">
        <f>LEFT(T_BATTINGDATA[[#This Row],[Batsman]],IFERROR(FIND("*",T_BATTINGDATA[[#This Row],[Batsman]])-1,IFERROR(FIND("†",T_BATTINGDATA[[#This Row],[Batsman]])-1,LEN(T_BATTINGDATA[[#This Row],[Batsman]]))))</f>
        <v>BJ Haddin</v>
      </c>
      <c r="P155">
        <f ca="1">IFERROR(IF(MATCH(T_BATTINGDATA[[#This Row],[BATSMAN NAME]],OFFSET(O156,0,0,BATROWS-ROW(O155)-ROW(T_BATTINGDATA[[#Headers],[BATSMAN NAME]])),0)&gt;0,0,SUMIF($O$6:O155,T_BATTINGDATA[[#This Row],[BATSMAN NAME]],$E$6:E155)),SUMIF($O$6:O155,T_BATTINGDATA[[#This Row],[BATSMAN NAME]],$E$6:E155))</f>
        <v>0</v>
      </c>
      <c r="AP155">
        <v>7</v>
      </c>
      <c r="AQ155" t="s">
        <v>185</v>
      </c>
      <c r="AR155" t="s">
        <v>393</v>
      </c>
      <c r="AS155">
        <v>9</v>
      </c>
      <c r="AT155">
        <v>0</v>
      </c>
      <c r="AU155">
        <v>55</v>
      </c>
      <c r="AV155">
        <v>2</v>
      </c>
      <c r="AW155">
        <v>6.11</v>
      </c>
      <c r="AX155">
        <v>28</v>
      </c>
      <c r="AY155">
        <v>5</v>
      </c>
      <c r="AZ155">
        <v>1</v>
      </c>
      <c r="BA155">
        <v>3</v>
      </c>
      <c r="BB155">
        <v>0</v>
      </c>
      <c r="BC155">
        <v>3</v>
      </c>
      <c r="BD155" t="str">
        <f>CONCATENATE(Table9[[#This Row],[Match Number]],Table9[[#This Row],[Team]],Table9[[#This Row],[BOWL NUM]])</f>
        <v>7Afghanistan3</v>
      </c>
      <c r="BE155" t="str">
        <f>IFERROR(IF(AND(Table9[[#This Row],[Team]]=I_TEAM,IFERROR(IF(MATCH(Table9[[#This Row],[Bowler]],$AR$5:AR154,0)&gt;0,0),1)),1,0),"")</f>
        <v/>
      </c>
      <c r="BF155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5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155" t="e">
        <f>IF(Table9[[#This Row],[Team]]=I_TEAM,Table9[[#This Row],[Wickets]]*100-Table9[[#This Row],[Runs]],0)</f>
        <v>#REF!</v>
      </c>
      <c r="BI155">
        <f>Table9[[#This Row],[Wickets]]*100-Table9[[#This Row],[Runs]]</f>
        <v>145</v>
      </c>
      <c r="BJ155">
        <f ca="1">IFERROR(IF(MATCH(Table9[[#This Row],[Bowler]],OFFSET(AR156,0,0,BOWLROWS-ROW(AR155)-ROW(Table9[[#Headers],[BOWLER CUML WICKETS]])),0)&gt;0,0,SUMIF($AR$6:AR155,Table9[[#This Row],[Bowler]],$AV$6:AV155)),SUMIF($AR$6:AR155,Table9[[#This Row],[Bowler]],$AV$6:AV155))</f>
        <v>2</v>
      </c>
      <c r="BK155">
        <f ca="1">IFERROR(IF(MATCH(Table9[[#This Row],[Bowler]],OFFSET(AR156,0,0,BOWLROWS-ROW(AR155)-ROW(Table9[[#Headers],[BOWLER CUML WICKETS]])),0)&gt;0,0,SUMIF($AR$6:AR155,Table9[[#This Row],[Bowler]],$AU$6:AU155)),SUMIF($AR$6:AR155,Table9[[#This Row],[Bowler]],$AU$6:AU155))</f>
        <v>55</v>
      </c>
      <c r="BL155">
        <f ca="1">Table9[[#This Row],[BOWLER CUML WICKETS]]*100-Table9[[#This Row],[BOWLER CUML RUNS]]</f>
        <v>145</v>
      </c>
    </row>
    <row r="156" spans="1:64" x14ac:dyDescent="0.3">
      <c r="A156">
        <v>2</v>
      </c>
      <c r="B156" t="s">
        <v>149</v>
      </c>
      <c r="C156" t="s">
        <v>323</v>
      </c>
      <c r="D156" t="s">
        <v>394</v>
      </c>
      <c r="E156">
        <v>0</v>
      </c>
      <c r="F156">
        <v>3</v>
      </c>
      <c r="G156">
        <v>1</v>
      </c>
      <c r="H156">
        <v>0</v>
      </c>
      <c r="I156">
        <v>0</v>
      </c>
      <c r="J156">
        <v>0</v>
      </c>
      <c r="K156">
        <v>9</v>
      </c>
      <c r="L156" t="str">
        <f>CONCATENATE(T_BATTINGDATA[[#This Row],[Match]],T_BATTINGDATA[[#This Row],[Team]],T_BATTINGDATA[[#This Row],[Bat Number]])</f>
        <v>2Australia9</v>
      </c>
      <c r="M156" t="str">
        <f>IFERROR(IF(AND(T_BATTINGDATA[[#This Row],[Team]]=I_TEAM,IFERROR(IF(MATCH(T_BATTINGDATA[[#This Row],[BATSMAN NAME]],$O$5:O155,0)&gt;0,0),1)),1,0),"")</f>
        <v/>
      </c>
      <c r="N156" t="e">
        <f>IF(T_BATTINGDATA[[#This Row],[Team]]=I_TEAM,T_BATTINGDATA[[#This Row],[R]],0)</f>
        <v>#REF!</v>
      </c>
      <c r="O156" t="str">
        <f>LEFT(T_BATTINGDATA[[#This Row],[Batsman]],IFERROR(FIND("*",T_BATTINGDATA[[#This Row],[Batsman]])-1,IFERROR(FIND("†",T_BATTINGDATA[[#This Row],[Batsman]])-1,LEN(T_BATTINGDATA[[#This Row],[Batsman]]))))</f>
        <v>MG Johnson</v>
      </c>
      <c r="P156">
        <f ca="1">IFERROR(IF(MATCH(T_BATTINGDATA[[#This Row],[BATSMAN NAME]],OFFSET(O157,0,0,BATROWS-ROW(O156)-ROW(T_BATTINGDATA[[#Headers],[BATSMAN NAME]])),0)&gt;0,0,SUMIF($O$6:O156,T_BATTINGDATA[[#This Row],[BATSMAN NAME]],$E$6:E156)),SUMIF($O$6:O156,T_BATTINGDATA[[#This Row],[BATSMAN NAME]],$E$6:E156))</f>
        <v>0</v>
      </c>
      <c r="AP156">
        <v>7</v>
      </c>
      <c r="AQ156" t="s">
        <v>185</v>
      </c>
      <c r="AR156" t="s">
        <v>395</v>
      </c>
      <c r="AS156">
        <v>9</v>
      </c>
      <c r="AT156">
        <v>3</v>
      </c>
      <c r="AU156">
        <v>32</v>
      </c>
      <c r="AV156">
        <v>2</v>
      </c>
      <c r="AW156">
        <v>3.55</v>
      </c>
      <c r="AX156">
        <v>40</v>
      </c>
      <c r="AY156">
        <v>2</v>
      </c>
      <c r="AZ156">
        <v>1</v>
      </c>
      <c r="BA156">
        <v>1</v>
      </c>
      <c r="BB156">
        <v>0</v>
      </c>
      <c r="BC156">
        <v>4</v>
      </c>
      <c r="BD156" t="str">
        <f>CONCATENATE(Table9[[#This Row],[Match Number]],Table9[[#This Row],[Team]],Table9[[#This Row],[BOWL NUM]])</f>
        <v>7Afghanistan4</v>
      </c>
      <c r="BE156" t="str">
        <f>IFERROR(IF(AND(Table9[[#This Row],[Team]]=I_TEAM,IFERROR(IF(MATCH(Table9[[#This Row],[Bowler]],$AR$5:AR155,0)&gt;0,0),1)),1,0),"")</f>
        <v/>
      </c>
      <c r="BF156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5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156" t="e">
        <f>IF(Table9[[#This Row],[Team]]=I_TEAM,Table9[[#This Row],[Wickets]]*100-Table9[[#This Row],[Runs]],0)</f>
        <v>#REF!</v>
      </c>
      <c r="BI156">
        <f>Table9[[#This Row],[Wickets]]*100-Table9[[#This Row],[Runs]]</f>
        <v>168</v>
      </c>
      <c r="BJ156">
        <f ca="1">IFERROR(IF(MATCH(Table9[[#This Row],[Bowler]],OFFSET(AR157,0,0,BOWLROWS-ROW(AR156)-ROW(Table9[[#Headers],[BOWLER CUML WICKETS]])),0)&gt;0,0,SUMIF($AR$6:AR156,Table9[[#This Row],[Bowler]],$AV$6:AV156)),SUMIF($AR$6:AR156,Table9[[#This Row],[Bowler]],$AV$6:AV156))</f>
        <v>0</v>
      </c>
      <c r="BK156">
        <f ca="1">IFERROR(IF(MATCH(Table9[[#This Row],[Bowler]],OFFSET(AR157,0,0,BOWLROWS-ROW(AR156)-ROW(Table9[[#Headers],[BOWLER CUML WICKETS]])),0)&gt;0,0,SUMIF($AR$6:AR156,Table9[[#This Row],[Bowler]],$AU$6:AU156)),SUMIF($AR$6:AR156,Table9[[#This Row],[Bowler]],$AU$6:AU156))</f>
        <v>0</v>
      </c>
      <c r="BL156">
        <f ca="1">Table9[[#This Row],[BOWLER CUML WICKETS]]*100-Table9[[#This Row],[BOWLER CUML RUNS]]</f>
        <v>0</v>
      </c>
    </row>
    <row r="157" spans="1:64" x14ac:dyDescent="0.3">
      <c r="A157">
        <v>2</v>
      </c>
      <c r="B157" t="s">
        <v>149</v>
      </c>
      <c r="C157" t="s">
        <v>321</v>
      </c>
      <c r="D157" t="s">
        <v>167</v>
      </c>
      <c r="E157">
        <v>0</v>
      </c>
      <c r="F157">
        <v>1</v>
      </c>
      <c r="G157">
        <v>0</v>
      </c>
      <c r="H157">
        <v>0</v>
      </c>
      <c r="I157">
        <v>0</v>
      </c>
      <c r="J157" t="s">
        <v>348</v>
      </c>
      <c r="K157">
        <v>10</v>
      </c>
      <c r="L157" t="str">
        <f>CONCATENATE(T_BATTINGDATA[[#This Row],[Match]],T_BATTINGDATA[[#This Row],[Team]],T_BATTINGDATA[[#This Row],[Bat Number]])</f>
        <v>2Australia10</v>
      </c>
      <c r="M157" t="str">
        <f>IFERROR(IF(AND(T_BATTINGDATA[[#This Row],[Team]]=I_TEAM,IFERROR(IF(MATCH(T_BATTINGDATA[[#This Row],[BATSMAN NAME]],$O$5:O156,0)&gt;0,0),1)),1,0),"")</f>
        <v/>
      </c>
      <c r="N157" t="e">
        <f>IF(T_BATTINGDATA[[#This Row],[Team]]=I_TEAM,T_BATTINGDATA[[#This Row],[R]],0)</f>
        <v>#REF!</v>
      </c>
      <c r="O157" t="str">
        <f>LEFT(T_BATTINGDATA[[#This Row],[Batsman]],IFERROR(FIND("*",T_BATTINGDATA[[#This Row],[Batsman]])-1,IFERROR(FIND("†",T_BATTINGDATA[[#This Row],[Batsman]])-1,LEN(T_BATTINGDATA[[#This Row],[Batsman]]))))</f>
        <v>MA Starc</v>
      </c>
      <c r="P157">
        <f ca="1">IFERROR(IF(MATCH(T_BATTINGDATA[[#This Row],[BATSMAN NAME]],OFFSET(O158,0,0,BATROWS-ROW(O157)-ROW(T_BATTINGDATA[[#Headers],[BATSMAN NAME]])),0)&gt;0,0,SUMIF($O$6:O157,T_BATTINGDATA[[#This Row],[BATSMAN NAME]],$E$6:E157)),SUMIF($O$6:O157,T_BATTINGDATA[[#This Row],[BATSMAN NAME]],$E$6:E157))</f>
        <v>0</v>
      </c>
      <c r="AP157">
        <v>7</v>
      </c>
      <c r="AQ157" t="s">
        <v>185</v>
      </c>
      <c r="AR157" t="s">
        <v>396</v>
      </c>
      <c r="AS157">
        <v>9</v>
      </c>
      <c r="AT157">
        <v>0</v>
      </c>
      <c r="AU157">
        <v>58</v>
      </c>
      <c r="AV157">
        <v>1</v>
      </c>
      <c r="AW157">
        <v>6.44</v>
      </c>
      <c r="AX157">
        <v>17</v>
      </c>
      <c r="AY157">
        <v>5</v>
      </c>
      <c r="AZ157">
        <v>0</v>
      </c>
      <c r="BA157">
        <v>1</v>
      </c>
      <c r="BB157">
        <v>0</v>
      </c>
      <c r="BC157">
        <v>5</v>
      </c>
      <c r="BD157" t="str">
        <f>CONCATENATE(Table9[[#This Row],[Match Number]],Table9[[#This Row],[Team]],Table9[[#This Row],[BOWL NUM]])</f>
        <v>7Afghanistan5</v>
      </c>
      <c r="BE157" t="str">
        <f>IFERROR(IF(AND(Table9[[#This Row],[Team]]=I_TEAM,IFERROR(IF(MATCH(Table9[[#This Row],[Bowler]],$AR$5:AR156,0)&gt;0,0),1)),1,0),"")</f>
        <v/>
      </c>
      <c r="BF157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5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157" t="e">
        <f>IF(Table9[[#This Row],[Team]]=I_TEAM,Table9[[#This Row],[Wickets]]*100-Table9[[#This Row],[Runs]],0)</f>
        <v>#REF!</v>
      </c>
      <c r="BI157">
        <f>Table9[[#This Row],[Wickets]]*100-Table9[[#This Row],[Runs]]</f>
        <v>42</v>
      </c>
      <c r="BJ157">
        <f ca="1">IFERROR(IF(MATCH(Table9[[#This Row],[Bowler]],OFFSET(AR158,0,0,BOWLROWS-ROW(AR157)-ROW(Table9[[#Headers],[BOWLER CUML WICKETS]])),0)&gt;0,0,SUMIF($AR$6:AR157,Table9[[#This Row],[Bowler]],$AV$6:AV157)),SUMIF($AR$6:AR157,Table9[[#This Row],[Bowler]],$AV$6:AV157))</f>
        <v>0</v>
      </c>
      <c r="BK157">
        <f ca="1">IFERROR(IF(MATCH(Table9[[#This Row],[Bowler]],OFFSET(AR158,0,0,BOWLROWS-ROW(AR157)-ROW(Table9[[#Headers],[BOWLER CUML WICKETS]])),0)&gt;0,0,SUMIF($AR$6:AR157,Table9[[#This Row],[Bowler]],$AU$6:AU157)),SUMIF($AR$6:AR157,Table9[[#This Row],[Bowler]],$AU$6:AU157))</f>
        <v>0</v>
      </c>
      <c r="BL157">
        <f ca="1">Table9[[#This Row],[BOWLER CUML WICKETS]]*100-Table9[[#This Row],[BOWLER CUML RUNS]]</f>
        <v>0</v>
      </c>
    </row>
    <row r="158" spans="1:64" x14ac:dyDescent="0.3">
      <c r="A158">
        <v>2</v>
      </c>
      <c r="B158" t="s">
        <v>154</v>
      </c>
      <c r="C158" t="s">
        <v>318</v>
      </c>
      <c r="D158" t="s">
        <v>397</v>
      </c>
      <c r="E158">
        <v>10</v>
      </c>
      <c r="F158">
        <v>20</v>
      </c>
      <c r="G158">
        <v>13</v>
      </c>
      <c r="H158">
        <v>2</v>
      </c>
      <c r="I158">
        <v>0</v>
      </c>
      <c r="J158">
        <v>76.92</v>
      </c>
      <c r="K158">
        <v>1</v>
      </c>
      <c r="L158" t="str">
        <f>CONCATENATE(T_BATTINGDATA[[#This Row],[Match]],T_BATTINGDATA[[#This Row],[Team]],T_BATTINGDATA[[#This Row],[Bat Number]])</f>
        <v>2England1</v>
      </c>
      <c r="M158" t="str">
        <f>IFERROR(IF(AND(T_BATTINGDATA[[#This Row],[Team]]=I_TEAM,IFERROR(IF(MATCH(T_BATTINGDATA[[#This Row],[BATSMAN NAME]],$O$5:O157,0)&gt;0,0),1)),1,0),"")</f>
        <v/>
      </c>
      <c r="N158" t="e">
        <f>IF(T_BATTINGDATA[[#This Row],[Team]]=I_TEAM,T_BATTINGDATA[[#This Row],[R]],0)</f>
        <v>#REF!</v>
      </c>
      <c r="O158" t="str">
        <f>LEFT(T_BATTINGDATA[[#This Row],[Batsman]],IFERROR(FIND("*",T_BATTINGDATA[[#This Row],[Batsman]])-1,IFERROR(FIND("†",T_BATTINGDATA[[#This Row],[Batsman]])-1,LEN(T_BATTINGDATA[[#This Row],[Batsman]]))))</f>
        <v>MM Ali</v>
      </c>
      <c r="P158">
        <f ca="1">IFERROR(IF(MATCH(T_BATTINGDATA[[#This Row],[BATSMAN NAME]],OFFSET(O159,0,0,BATROWS-ROW(O158)-ROW(T_BATTINGDATA[[#Headers],[BATSMAN NAME]])),0)&gt;0,0,SUMIF($O$6:O158,T_BATTINGDATA[[#This Row],[BATSMAN NAME]],$E$6:E158)),SUMIF($O$6:O158,T_BATTINGDATA[[#This Row],[BATSMAN NAME]],$E$6:E158))</f>
        <v>0</v>
      </c>
      <c r="AP158">
        <v>7</v>
      </c>
      <c r="AQ158" t="s">
        <v>185</v>
      </c>
      <c r="AR158" t="s">
        <v>398</v>
      </c>
      <c r="AS158">
        <v>4.5</v>
      </c>
      <c r="AT158">
        <v>0</v>
      </c>
      <c r="AU158">
        <v>32</v>
      </c>
      <c r="AV158">
        <v>0</v>
      </c>
      <c r="AW158">
        <v>6.62</v>
      </c>
      <c r="AX158">
        <v>9</v>
      </c>
      <c r="AY158">
        <v>3</v>
      </c>
      <c r="AZ158">
        <v>0</v>
      </c>
      <c r="BA158">
        <v>0</v>
      </c>
      <c r="BB158">
        <v>0</v>
      </c>
      <c r="BC158">
        <v>6</v>
      </c>
      <c r="BD158" t="str">
        <f>CONCATENATE(Table9[[#This Row],[Match Number]],Table9[[#This Row],[Team]],Table9[[#This Row],[BOWL NUM]])</f>
        <v>7Afghanistan6</v>
      </c>
      <c r="BE158" t="str">
        <f>IFERROR(IF(AND(Table9[[#This Row],[Team]]=I_TEAM,IFERROR(IF(MATCH(Table9[[#This Row],[Bowler]],$AR$5:AR157,0)&gt;0,0),1)),1,0),"")</f>
        <v/>
      </c>
      <c r="BF158">
        <f>(LEFT(Table9[[#This Row],[Overs]],IFERROR(FIND(".",Table9[[#This Row],[Overs]])-1,LEN(Table9[[#This Row],[Overs]])))*6) + IFERROR(IF(FIND(".",Table9[[#This Row],[Overs]])+1&gt;0,RIGHT(Table9[[#This Row],[Overs]],1),0),0)</f>
        <v>29</v>
      </c>
      <c r="BG15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158" t="e">
        <f>IF(Table9[[#This Row],[Team]]=I_TEAM,Table9[[#This Row],[Wickets]]*100-Table9[[#This Row],[Runs]],0)</f>
        <v>#REF!</v>
      </c>
      <c r="BI158">
        <f>Table9[[#This Row],[Wickets]]*100-Table9[[#This Row],[Runs]]</f>
        <v>-32</v>
      </c>
      <c r="BJ158">
        <f ca="1">IFERROR(IF(MATCH(Table9[[#This Row],[Bowler]],OFFSET(AR159,0,0,BOWLROWS-ROW(AR158)-ROW(Table9[[#Headers],[BOWLER CUML WICKETS]])),0)&gt;0,0,SUMIF($AR$6:AR158,Table9[[#This Row],[Bowler]],$AV$6:AV158)),SUMIF($AR$6:AR158,Table9[[#This Row],[Bowler]],$AV$6:AV158))</f>
        <v>0</v>
      </c>
      <c r="BK158">
        <f ca="1">IFERROR(IF(MATCH(Table9[[#This Row],[Bowler]],OFFSET(AR159,0,0,BOWLROWS-ROW(AR158)-ROW(Table9[[#Headers],[BOWLER CUML WICKETS]])),0)&gt;0,0,SUMIF($AR$6:AR158,Table9[[#This Row],[Bowler]],$AU$6:AU158)),SUMIF($AR$6:AR158,Table9[[#This Row],[Bowler]],$AU$6:AU158))</f>
        <v>0</v>
      </c>
      <c r="BL158">
        <f ca="1">Table9[[#This Row],[BOWLER CUML WICKETS]]*100-Table9[[#This Row],[BOWLER CUML RUNS]]</f>
        <v>0</v>
      </c>
    </row>
    <row r="159" spans="1:64" x14ac:dyDescent="0.3">
      <c r="A159">
        <v>2</v>
      </c>
      <c r="B159" t="s">
        <v>154</v>
      </c>
      <c r="C159" t="s">
        <v>399</v>
      </c>
      <c r="D159" t="s">
        <v>400</v>
      </c>
      <c r="E159">
        <v>36</v>
      </c>
      <c r="F159">
        <v>63</v>
      </c>
      <c r="G159">
        <v>45</v>
      </c>
      <c r="H159">
        <v>4</v>
      </c>
      <c r="I159">
        <v>0</v>
      </c>
      <c r="J159">
        <v>80</v>
      </c>
      <c r="K159">
        <v>2</v>
      </c>
      <c r="L159" t="str">
        <f>CONCATENATE(T_BATTINGDATA[[#This Row],[Match]],T_BATTINGDATA[[#This Row],[Team]],T_BATTINGDATA[[#This Row],[Bat Number]])</f>
        <v>2England2</v>
      </c>
      <c r="M159" t="str">
        <f>IFERROR(IF(AND(T_BATTINGDATA[[#This Row],[Team]]=I_TEAM,IFERROR(IF(MATCH(T_BATTINGDATA[[#This Row],[BATSMAN NAME]],$O$5:O158,0)&gt;0,0),1)),1,0),"")</f>
        <v/>
      </c>
      <c r="N159" t="e">
        <f>IF(T_BATTINGDATA[[#This Row],[Team]]=I_TEAM,T_BATTINGDATA[[#This Row],[R]],0)</f>
        <v>#REF!</v>
      </c>
      <c r="O159" t="str">
        <f>LEFT(T_BATTINGDATA[[#This Row],[Batsman]],IFERROR(FIND("*",T_BATTINGDATA[[#This Row],[Batsman]])-1,IFERROR(FIND("†",T_BATTINGDATA[[#This Row],[Batsman]])-1,LEN(T_BATTINGDATA[[#This Row],[Batsman]]))))</f>
        <v>IR Bell</v>
      </c>
      <c r="P159">
        <f ca="1">IFERROR(IF(MATCH(T_BATTINGDATA[[#This Row],[BATSMAN NAME]],OFFSET(O160,0,0,BATROWS-ROW(O159)-ROW(T_BATTINGDATA[[#Headers],[BATSMAN NAME]])),0)&gt;0,0,SUMIF($O$6:O159,T_BATTINGDATA[[#This Row],[BATSMAN NAME]],$E$6:E159)),SUMIF($O$6:O159,T_BATTINGDATA[[#This Row],[BATSMAN NAME]],$E$6:E159))</f>
        <v>0</v>
      </c>
      <c r="AP159">
        <v>7</v>
      </c>
      <c r="AQ159" t="s">
        <v>185</v>
      </c>
      <c r="AR159" t="s">
        <v>401</v>
      </c>
      <c r="AS159">
        <v>1.1000000000000001</v>
      </c>
      <c r="AT159">
        <v>0</v>
      </c>
      <c r="AU159">
        <v>2</v>
      </c>
      <c r="AV159">
        <v>0</v>
      </c>
      <c r="AW159">
        <v>1.71</v>
      </c>
      <c r="AX159">
        <v>5</v>
      </c>
      <c r="AY159">
        <v>0</v>
      </c>
      <c r="AZ159">
        <v>0</v>
      </c>
      <c r="BA159">
        <v>0</v>
      </c>
      <c r="BB159">
        <v>0</v>
      </c>
      <c r="BC159">
        <v>7</v>
      </c>
      <c r="BD159" t="str">
        <f>CONCATENATE(Table9[[#This Row],[Match Number]],Table9[[#This Row],[Team]],Table9[[#This Row],[BOWL NUM]])</f>
        <v>7Afghanistan7</v>
      </c>
      <c r="BE159" t="str">
        <f>IFERROR(IF(AND(Table9[[#This Row],[Team]]=I_TEAM,IFERROR(IF(MATCH(Table9[[#This Row],[Bowler]],$AR$5:AR158,0)&gt;0,0),1)),1,0),"")</f>
        <v/>
      </c>
      <c r="BF159">
        <f>(LEFT(Table9[[#This Row],[Overs]],IFERROR(FIND(".",Table9[[#This Row],[Overs]])-1,LEN(Table9[[#This Row],[Overs]])))*6) + IFERROR(IF(FIND(".",Table9[[#This Row],[Overs]])+1&gt;0,RIGHT(Table9[[#This Row],[Overs]],1),0),0)</f>
        <v>7</v>
      </c>
      <c r="BG15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159" t="e">
        <f>IF(Table9[[#This Row],[Team]]=I_TEAM,Table9[[#This Row],[Wickets]]*100-Table9[[#This Row],[Runs]],0)</f>
        <v>#REF!</v>
      </c>
      <c r="BI159">
        <f>Table9[[#This Row],[Wickets]]*100-Table9[[#This Row],[Runs]]</f>
        <v>-2</v>
      </c>
      <c r="BJ159">
        <f ca="1">IFERROR(IF(MATCH(Table9[[#This Row],[Bowler]],OFFSET(AR160,0,0,BOWLROWS-ROW(AR159)-ROW(Table9[[#Headers],[BOWLER CUML WICKETS]])),0)&gt;0,0,SUMIF($AR$6:AR159,Table9[[#This Row],[Bowler]],$AV$6:AV159)),SUMIF($AR$6:AR159,Table9[[#This Row],[Bowler]],$AV$6:AV159))</f>
        <v>0</v>
      </c>
      <c r="BK159">
        <f ca="1">IFERROR(IF(MATCH(Table9[[#This Row],[Bowler]],OFFSET(AR160,0,0,BOWLROWS-ROW(AR159)-ROW(Table9[[#Headers],[BOWLER CUML WICKETS]])),0)&gt;0,0,SUMIF($AR$6:AR159,Table9[[#This Row],[Bowler]],$AU$6:AU159)),SUMIF($AR$6:AR159,Table9[[#This Row],[Bowler]],$AU$6:AU159))</f>
        <v>0</v>
      </c>
      <c r="BL159">
        <f ca="1">Table9[[#This Row],[BOWLER CUML WICKETS]]*100-Table9[[#This Row],[BOWLER CUML RUNS]]</f>
        <v>0</v>
      </c>
    </row>
    <row r="160" spans="1:64" x14ac:dyDescent="0.3">
      <c r="A160">
        <v>2</v>
      </c>
      <c r="B160" t="s">
        <v>154</v>
      </c>
      <c r="C160" t="s">
        <v>402</v>
      </c>
      <c r="D160" t="s">
        <v>403</v>
      </c>
      <c r="E160">
        <v>10</v>
      </c>
      <c r="F160">
        <v>23</v>
      </c>
      <c r="G160">
        <v>13</v>
      </c>
      <c r="H160">
        <v>2</v>
      </c>
      <c r="I160">
        <v>0</v>
      </c>
      <c r="J160">
        <v>76.92</v>
      </c>
      <c r="K160">
        <v>3</v>
      </c>
      <c r="L160" t="str">
        <f>CONCATENATE(T_BATTINGDATA[[#This Row],[Match]],T_BATTINGDATA[[#This Row],[Team]],T_BATTINGDATA[[#This Row],[Bat Number]])</f>
        <v>2England3</v>
      </c>
      <c r="M160" t="str">
        <f>IFERROR(IF(AND(T_BATTINGDATA[[#This Row],[Team]]=I_TEAM,IFERROR(IF(MATCH(T_BATTINGDATA[[#This Row],[BATSMAN NAME]],$O$5:O159,0)&gt;0,0),1)),1,0),"")</f>
        <v/>
      </c>
      <c r="N160" t="e">
        <f>IF(T_BATTINGDATA[[#This Row],[Team]]=I_TEAM,T_BATTINGDATA[[#This Row],[R]],0)</f>
        <v>#REF!</v>
      </c>
      <c r="O160" t="str">
        <f>LEFT(T_BATTINGDATA[[#This Row],[Batsman]],IFERROR(FIND("*",T_BATTINGDATA[[#This Row],[Batsman]])-1,IFERROR(FIND("†",T_BATTINGDATA[[#This Row],[Batsman]])-1,LEN(T_BATTINGDATA[[#This Row],[Batsman]]))))</f>
        <v>GS Ballance</v>
      </c>
      <c r="P160">
        <f ca="1">IFERROR(IF(MATCH(T_BATTINGDATA[[#This Row],[BATSMAN NAME]],OFFSET(O161,0,0,BATROWS-ROW(O160)-ROW(T_BATTINGDATA[[#Headers],[BATSMAN NAME]])),0)&gt;0,0,SUMIF($O$6:O160,T_BATTINGDATA[[#This Row],[BATSMAN NAME]],$E$6:E160)),SUMIF($O$6:O160,T_BATTINGDATA[[#This Row],[BATSMAN NAME]],$E$6:E160))</f>
        <v>0</v>
      </c>
      <c r="AP160">
        <v>7</v>
      </c>
      <c r="AQ160" t="s">
        <v>181</v>
      </c>
      <c r="AR160" t="s">
        <v>268</v>
      </c>
      <c r="AS160">
        <v>9</v>
      </c>
      <c r="AT160">
        <v>2</v>
      </c>
      <c r="AU160">
        <v>20</v>
      </c>
      <c r="AV160">
        <v>3</v>
      </c>
      <c r="AW160">
        <v>2.2200000000000002</v>
      </c>
      <c r="AX160">
        <v>43</v>
      </c>
      <c r="AY160">
        <v>3</v>
      </c>
      <c r="AZ160">
        <v>0</v>
      </c>
      <c r="BA160">
        <v>0</v>
      </c>
      <c r="BB160">
        <v>0</v>
      </c>
      <c r="BC160">
        <v>1</v>
      </c>
      <c r="BD160" t="str">
        <f>CONCATENATE(Table9[[#This Row],[Match Number]],Table9[[#This Row],[Team]],Table9[[#This Row],[BOWL NUM]])</f>
        <v>7Bangladesh1</v>
      </c>
      <c r="BE160" t="str">
        <f>IFERROR(IF(AND(Table9[[#This Row],[Team]]=I_TEAM,IFERROR(IF(MATCH(Table9[[#This Row],[Bowler]],$AR$5:AR159,0)&gt;0,0),1)),1,0),"")</f>
        <v/>
      </c>
      <c r="BF160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6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160" t="e">
        <f>IF(Table9[[#This Row],[Team]]=I_TEAM,Table9[[#This Row],[Wickets]]*100-Table9[[#This Row],[Runs]],0)</f>
        <v>#REF!</v>
      </c>
      <c r="BI160">
        <f>Table9[[#This Row],[Wickets]]*100-Table9[[#This Row],[Runs]]</f>
        <v>280</v>
      </c>
      <c r="BJ160">
        <f ca="1">IFERROR(IF(MATCH(Table9[[#This Row],[Bowler]],OFFSET(AR161,0,0,BOWLROWS-ROW(AR160)-ROW(Table9[[#Headers],[BOWLER CUML WICKETS]])),0)&gt;0,0,SUMIF($AR$6:AR160,Table9[[#This Row],[Bowler]],$AV$6:AV160)),SUMIF($AR$6:AR160,Table9[[#This Row],[Bowler]],$AV$6:AV160))</f>
        <v>0</v>
      </c>
      <c r="BK160">
        <f ca="1">IFERROR(IF(MATCH(Table9[[#This Row],[Bowler]],OFFSET(AR161,0,0,BOWLROWS-ROW(AR160)-ROW(Table9[[#Headers],[BOWLER CUML WICKETS]])),0)&gt;0,0,SUMIF($AR$6:AR160,Table9[[#This Row],[Bowler]],$AU$6:AU160)),SUMIF($AR$6:AR160,Table9[[#This Row],[Bowler]],$AU$6:AU160))</f>
        <v>0</v>
      </c>
      <c r="BL160">
        <f ca="1">Table9[[#This Row],[BOWLER CUML WICKETS]]*100-Table9[[#This Row],[BOWLER CUML RUNS]]</f>
        <v>0</v>
      </c>
    </row>
    <row r="161" spans="1:64" x14ac:dyDescent="0.3">
      <c r="A161">
        <v>2</v>
      </c>
      <c r="B161" t="s">
        <v>154</v>
      </c>
      <c r="C161" t="s">
        <v>320</v>
      </c>
      <c r="D161" t="s">
        <v>404</v>
      </c>
      <c r="E161">
        <v>5</v>
      </c>
      <c r="F161">
        <v>20</v>
      </c>
      <c r="G161">
        <v>12</v>
      </c>
      <c r="H161">
        <v>0</v>
      </c>
      <c r="I161">
        <v>0</v>
      </c>
      <c r="J161">
        <v>41.66</v>
      </c>
      <c r="K161">
        <v>4</v>
      </c>
      <c r="L161" t="str">
        <f>CONCATENATE(T_BATTINGDATA[[#This Row],[Match]],T_BATTINGDATA[[#This Row],[Team]],T_BATTINGDATA[[#This Row],[Bat Number]])</f>
        <v>2England4</v>
      </c>
      <c r="M161" t="str">
        <f>IFERROR(IF(AND(T_BATTINGDATA[[#This Row],[Team]]=I_TEAM,IFERROR(IF(MATCH(T_BATTINGDATA[[#This Row],[BATSMAN NAME]],$O$5:O160,0)&gt;0,0),1)),1,0),"")</f>
        <v/>
      </c>
      <c r="N161" t="e">
        <f>IF(T_BATTINGDATA[[#This Row],[Team]]=I_TEAM,T_BATTINGDATA[[#This Row],[R]],0)</f>
        <v>#REF!</v>
      </c>
      <c r="O161" t="str">
        <f>LEFT(T_BATTINGDATA[[#This Row],[Batsman]],IFERROR(FIND("*",T_BATTINGDATA[[#This Row],[Batsman]])-1,IFERROR(FIND("†",T_BATTINGDATA[[#This Row],[Batsman]])-1,LEN(T_BATTINGDATA[[#This Row],[Batsman]]))))</f>
        <v>JE Root</v>
      </c>
      <c r="P161">
        <f ca="1">IFERROR(IF(MATCH(T_BATTINGDATA[[#This Row],[BATSMAN NAME]],OFFSET(O162,0,0,BATROWS-ROW(O161)-ROW(T_BATTINGDATA[[#Headers],[BATSMAN NAME]])),0)&gt;0,0,SUMIF($O$6:O161,T_BATTINGDATA[[#This Row],[BATSMAN NAME]],$E$6:E161)),SUMIF($O$6:O161,T_BATTINGDATA[[#This Row],[BATSMAN NAME]],$E$6:E161))</f>
        <v>0</v>
      </c>
      <c r="AP161">
        <v>7</v>
      </c>
      <c r="AQ161" t="s">
        <v>181</v>
      </c>
      <c r="AR161" t="s">
        <v>277</v>
      </c>
      <c r="AS161">
        <v>6</v>
      </c>
      <c r="AT161">
        <v>0</v>
      </c>
      <c r="AU161">
        <v>27</v>
      </c>
      <c r="AV161">
        <v>1</v>
      </c>
      <c r="AW161">
        <v>4.5</v>
      </c>
      <c r="AX161">
        <v>22</v>
      </c>
      <c r="AY161">
        <v>2</v>
      </c>
      <c r="AZ161">
        <v>0</v>
      </c>
      <c r="BA161">
        <v>1</v>
      </c>
      <c r="BB161">
        <v>0</v>
      </c>
      <c r="BC161">
        <v>2</v>
      </c>
      <c r="BD161" t="str">
        <f>CONCATENATE(Table9[[#This Row],[Match Number]],Table9[[#This Row],[Team]],Table9[[#This Row],[BOWL NUM]])</f>
        <v>7Bangladesh2</v>
      </c>
      <c r="BE161" t="str">
        <f>IFERROR(IF(AND(Table9[[#This Row],[Team]]=I_TEAM,IFERROR(IF(MATCH(Table9[[#This Row],[Bowler]],$AR$5:AR160,0)&gt;0,0),1)),1,0),"")</f>
        <v/>
      </c>
      <c r="BF161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16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161" t="e">
        <f>IF(Table9[[#This Row],[Team]]=I_TEAM,Table9[[#This Row],[Wickets]]*100-Table9[[#This Row],[Runs]],0)</f>
        <v>#REF!</v>
      </c>
      <c r="BI161">
        <f>Table9[[#This Row],[Wickets]]*100-Table9[[#This Row],[Runs]]</f>
        <v>73</v>
      </c>
      <c r="BJ161">
        <f ca="1">IFERROR(IF(MATCH(Table9[[#This Row],[Bowler]],OFFSET(AR162,0,0,BOWLROWS-ROW(AR161)-ROW(Table9[[#Headers],[BOWLER CUML WICKETS]])),0)&gt;0,0,SUMIF($AR$6:AR161,Table9[[#This Row],[Bowler]],$AV$6:AV161)),SUMIF($AR$6:AR161,Table9[[#This Row],[Bowler]],$AV$6:AV161))</f>
        <v>0</v>
      </c>
      <c r="BK161">
        <f ca="1">IFERROR(IF(MATCH(Table9[[#This Row],[Bowler]],OFFSET(AR162,0,0,BOWLROWS-ROW(AR161)-ROW(Table9[[#Headers],[BOWLER CUML WICKETS]])),0)&gt;0,0,SUMIF($AR$6:AR161,Table9[[#This Row],[Bowler]],$AU$6:AU161)),SUMIF($AR$6:AR161,Table9[[#This Row],[Bowler]],$AU$6:AU161))</f>
        <v>0</v>
      </c>
      <c r="BL161">
        <f ca="1">Table9[[#This Row],[BOWLER CUML WICKETS]]*100-Table9[[#This Row],[BOWLER CUML RUNS]]</f>
        <v>0</v>
      </c>
    </row>
    <row r="162" spans="1:64" x14ac:dyDescent="0.3">
      <c r="A162">
        <v>2</v>
      </c>
      <c r="B162" t="s">
        <v>154</v>
      </c>
      <c r="C162" t="s">
        <v>405</v>
      </c>
      <c r="D162" t="s">
        <v>404</v>
      </c>
      <c r="E162">
        <v>0</v>
      </c>
      <c r="F162">
        <v>24</v>
      </c>
      <c r="G162">
        <v>6</v>
      </c>
      <c r="H162">
        <v>0</v>
      </c>
      <c r="I162">
        <v>0</v>
      </c>
      <c r="J162">
        <v>0</v>
      </c>
      <c r="K162">
        <v>5</v>
      </c>
      <c r="L162" t="str">
        <f>CONCATENATE(T_BATTINGDATA[[#This Row],[Match]],T_BATTINGDATA[[#This Row],[Team]],T_BATTINGDATA[[#This Row],[Bat Number]])</f>
        <v>2England5</v>
      </c>
      <c r="M162" t="str">
        <f>IFERROR(IF(AND(T_BATTINGDATA[[#This Row],[Team]]=I_TEAM,IFERROR(IF(MATCH(T_BATTINGDATA[[#This Row],[BATSMAN NAME]],$O$5:O161,0)&gt;0,0),1)),1,0),"")</f>
        <v/>
      </c>
      <c r="N162" t="e">
        <f>IF(T_BATTINGDATA[[#This Row],[Team]]=I_TEAM,T_BATTINGDATA[[#This Row],[R]],0)</f>
        <v>#REF!</v>
      </c>
      <c r="O162" t="str">
        <f>LEFT(T_BATTINGDATA[[#This Row],[Batsman]],IFERROR(FIND("*",T_BATTINGDATA[[#This Row],[Batsman]])-1,IFERROR(FIND("†",T_BATTINGDATA[[#This Row],[Batsman]])-1,LEN(T_BATTINGDATA[[#This Row],[Batsman]]))))</f>
        <v>EJG Morgan</v>
      </c>
      <c r="P162">
        <f ca="1">IFERROR(IF(MATCH(T_BATTINGDATA[[#This Row],[BATSMAN NAME]],OFFSET(O163,0,0,BATROWS-ROW(O162)-ROW(T_BATTINGDATA[[#Headers],[BATSMAN NAME]])),0)&gt;0,0,SUMIF($O$6:O162,T_BATTINGDATA[[#This Row],[BATSMAN NAME]],$E$6:E162)),SUMIF($O$6:O162,T_BATTINGDATA[[#This Row],[BATSMAN NAME]],$E$6:E162))</f>
        <v>0</v>
      </c>
      <c r="AP162">
        <v>7</v>
      </c>
      <c r="AQ162" t="s">
        <v>181</v>
      </c>
      <c r="AR162" t="s">
        <v>270</v>
      </c>
      <c r="AS162">
        <v>7</v>
      </c>
      <c r="AT162">
        <v>0</v>
      </c>
      <c r="AU162">
        <v>23</v>
      </c>
      <c r="AV162">
        <v>1</v>
      </c>
      <c r="AW162">
        <v>3.28</v>
      </c>
      <c r="AX162">
        <v>25</v>
      </c>
      <c r="AY162">
        <v>2</v>
      </c>
      <c r="AZ162">
        <v>0</v>
      </c>
      <c r="BA162">
        <v>0</v>
      </c>
      <c r="BB162">
        <v>0</v>
      </c>
      <c r="BC162">
        <v>3</v>
      </c>
      <c r="BD162" t="str">
        <f>CONCATENATE(Table9[[#This Row],[Match Number]],Table9[[#This Row],[Team]],Table9[[#This Row],[BOWL NUM]])</f>
        <v>7Bangladesh3</v>
      </c>
      <c r="BE162" t="str">
        <f>IFERROR(IF(AND(Table9[[#This Row],[Team]]=I_TEAM,IFERROR(IF(MATCH(Table9[[#This Row],[Bowler]],$AR$5:AR161,0)&gt;0,0),1)),1,0),"")</f>
        <v/>
      </c>
      <c r="BF162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16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162" t="e">
        <f>IF(Table9[[#This Row],[Team]]=I_TEAM,Table9[[#This Row],[Wickets]]*100-Table9[[#This Row],[Runs]],0)</f>
        <v>#REF!</v>
      </c>
      <c r="BI162">
        <f>Table9[[#This Row],[Wickets]]*100-Table9[[#This Row],[Runs]]</f>
        <v>77</v>
      </c>
      <c r="BJ162">
        <f ca="1">IFERROR(IF(MATCH(Table9[[#This Row],[Bowler]],OFFSET(AR163,0,0,BOWLROWS-ROW(AR162)-ROW(Table9[[#Headers],[BOWLER CUML WICKETS]])),0)&gt;0,0,SUMIF($AR$6:AR162,Table9[[#This Row],[Bowler]],$AV$6:AV162)),SUMIF($AR$6:AR162,Table9[[#This Row],[Bowler]],$AV$6:AV162))</f>
        <v>0</v>
      </c>
      <c r="BK162">
        <f ca="1">IFERROR(IF(MATCH(Table9[[#This Row],[Bowler]],OFFSET(AR163,0,0,BOWLROWS-ROW(AR162)-ROW(Table9[[#Headers],[BOWLER CUML WICKETS]])),0)&gt;0,0,SUMIF($AR$6:AR162,Table9[[#This Row],[Bowler]],$AU$6:AU162)),SUMIF($AR$6:AR162,Table9[[#This Row],[Bowler]],$AU$6:AU162))</f>
        <v>0</v>
      </c>
      <c r="BL162">
        <f ca="1">Table9[[#This Row],[BOWLER CUML WICKETS]]*100-Table9[[#This Row],[BOWLER CUML RUNS]]</f>
        <v>0</v>
      </c>
    </row>
    <row r="163" spans="1:64" x14ac:dyDescent="0.3">
      <c r="A163">
        <v>2</v>
      </c>
      <c r="B163" t="s">
        <v>154</v>
      </c>
      <c r="C163" t="s">
        <v>406</v>
      </c>
      <c r="D163" t="s">
        <v>167</v>
      </c>
      <c r="E163">
        <v>98</v>
      </c>
      <c r="F163">
        <v>126</v>
      </c>
      <c r="G163">
        <v>90</v>
      </c>
      <c r="H163">
        <v>11</v>
      </c>
      <c r="I163">
        <v>2</v>
      </c>
      <c r="J163">
        <v>108.88</v>
      </c>
      <c r="K163">
        <v>6</v>
      </c>
      <c r="L163" t="str">
        <f>CONCATENATE(T_BATTINGDATA[[#This Row],[Match]],T_BATTINGDATA[[#This Row],[Team]],T_BATTINGDATA[[#This Row],[Bat Number]])</f>
        <v>2England6</v>
      </c>
      <c r="M163" t="str">
        <f>IFERROR(IF(AND(T_BATTINGDATA[[#This Row],[Team]]=I_TEAM,IFERROR(IF(MATCH(T_BATTINGDATA[[#This Row],[BATSMAN NAME]],$O$5:O162,0)&gt;0,0),1)),1,0),"")</f>
        <v/>
      </c>
      <c r="N163" t="e">
        <f>IF(T_BATTINGDATA[[#This Row],[Team]]=I_TEAM,T_BATTINGDATA[[#This Row],[R]],0)</f>
        <v>#REF!</v>
      </c>
      <c r="O163" t="str">
        <f>LEFT(T_BATTINGDATA[[#This Row],[Batsman]],IFERROR(FIND("*",T_BATTINGDATA[[#This Row],[Batsman]])-1,IFERROR(FIND("†",T_BATTINGDATA[[#This Row],[Batsman]])-1,LEN(T_BATTINGDATA[[#This Row],[Batsman]]))))</f>
        <v>JWA Taylor</v>
      </c>
      <c r="P163">
        <f ca="1">IFERROR(IF(MATCH(T_BATTINGDATA[[#This Row],[BATSMAN NAME]],OFFSET(O164,0,0,BATROWS-ROW(O163)-ROW(T_BATTINGDATA[[#Headers],[BATSMAN NAME]])),0)&gt;0,0,SUMIF($O$6:O163,T_BATTINGDATA[[#This Row],[BATSMAN NAME]],$E$6:E163)),SUMIF($O$6:O163,T_BATTINGDATA[[#This Row],[BATSMAN NAME]],$E$6:E163))</f>
        <v>0</v>
      </c>
      <c r="AP163">
        <v>7</v>
      </c>
      <c r="AQ163" t="s">
        <v>181</v>
      </c>
      <c r="AR163" t="s">
        <v>280</v>
      </c>
      <c r="AS163">
        <v>8.5</v>
      </c>
      <c r="AT163">
        <v>0</v>
      </c>
      <c r="AU163">
        <v>43</v>
      </c>
      <c r="AV163">
        <v>2</v>
      </c>
      <c r="AW163">
        <v>4.8600000000000003</v>
      </c>
      <c r="AX163">
        <v>30</v>
      </c>
      <c r="AY163">
        <v>2</v>
      </c>
      <c r="AZ163">
        <v>2</v>
      </c>
      <c r="BA163">
        <v>0</v>
      </c>
      <c r="BB163">
        <v>0</v>
      </c>
      <c r="BC163">
        <v>4</v>
      </c>
      <c r="BD163" t="str">
        <f>CONCATENATE(Table9[[#This Row],[Match Number]],Table9[[#This Row],[Team]],Table9[[#This Row],[BOWL NUM]])</f>
        <v>7Bangladesh4</v>
      </c>
      <c r="BE163" t="str">
        <f>IFERROR(IF(AND(Table9[[#This Row],[Team]]=I_TEAM,IFERROR(IF(MATCH(Table9[[#This Row],[Bowler]],$AR$5:AR162,0)&gt;0,0),1)),1,0),"")</f>
        <v/>
      </c>
      <c r="BF163">
        <f>(LEFT(Table9[[#This Row],[Overs]],IFERROR(FIND(".",Table9[[#This Row],[Overs]])-1,LEN(Table9[[#This Row],[Overs]])))*6) + IFERROR(IF(FIND(".",Table9[[#This Row],[Overs]])+1&gt;0,RIGHT(Table9[[#This Row],[Overs]],1),0),0)</f>
        <v>53</v>
      </c>
      <c r="BG16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163" t="e">
        <f>IF(Table9[[#This Row],[Team]]=I_TEAM,Table9[[#This Row],[Wickets]]*100-Table9[[#This Row],[Runs]],0)</f>
        <v>#REF!</v>
      </c>
      <c r="BI163">
        <f>Table9[[#This Row],[Wickets]]*100-Table9[[#This Row],[Runs]]</f>
        <v>157</v>
      </c>
      <c r="BJ163">
        <f ca="1">IFERROR(IF(MATCH(Table9[[#This Row],[Bowler]],OFFSET(AR164,0,0,BOWLROWS-ROW(AR163)-ROW(Table9[[#Headers],[BOWLER CUML WICKETS]])),0)&gt;0,0,SUMIF($AR$6:AR163,Table9[[#This Row],[Bowler]],$AV$6:AV163)),SUMIF($AR$6:AR163,Table9[[#This Row],[Bowler]],$AV$6:AV163))</f>
        <v>0</v>
      </c>
      <c r="BK163">
        <f ca="1">IFERROR(IF(MATCH(Table9[[#This Row],[Bowler]],OFFSET(AR164,0,0,BOWLROWS-ROW(AR163)-ROW(Table9[[#Headers],[BOWLER CUML WICKETS]])),0)&gt;0,0,SUMIF($AR$6:AR163,Table9[[#This Row],[Bowler]],$AU$6:AU163)),SUMIF($AR$6:AR163,Table9[[#This Row],[Bowler]],$AU$6:AU163))</f>
        <v>0</v>
      </c>
      <c r="BL163">
        <f ca="1">Table9[[#This Row],[BOWLER CUML WICKETS]]*100-Table9[[#This Row],[BOWLER CUML RUNS]]</f>
        <v>0</v>
      </c>
    </row>
    <row r="164" spans="1:64" x14ac:dyDescent="0.3">
      <c r="A164">
        <v>2</v>
      </c>
      <c r="B164" t="s">
        <v>154</v>
      </c>
      <c r="C164" t="s">
        <v>407</v>
      </c>
      <c r="D164" t="s">
        <v>408</v>
      </c>
      <c r="E164">
        <v>10</v>
      </c>
      <c r="F164">
        <v>11</v>
      </c>
      <c r="G164">
        <v>12</v>
      </c>
      <c r="H164">
        <v>1</v>
      </c>
      <c r="I164">
        <v>0</v>
      </c>
      <c r="J164">
        <v>83.33</v>
      </c>
      <c r="K164">
        <v>7</v>
      </c>
      <c r="L164" t="str">
        <f>CONCATENATE(T_BATTINGDATA[[#This Row],[Match]],T_BATTINGDATA[[#This Row],[Team]],T_BATTINGDATA[[#This Row],[Bat Number]])</f>
        <v>2England7</v>
      </c>
      <c r="M164" t="str">
        <f>IFERROR(IF(AND(T_BATTINGDATA[[#This Row],[Team]]=I_TEAM,IFERROR(IF(MATCH(T_BATTINGDATA[[#This Row],[BATSMAN NAME]],$O$5:O163,0)&gt;0,0),1)),1,0),"")</f>
        <v/>
      </c>
      <c r="N164" t="e">
        <f>IF(T_BATTINGDATA[[#This Row],[Team]]=I_TEAM,T_BATTINGDATA[[#This Row],[R]],0)</f>
        <v>#REF!</v>
      </c>
      <c r="O164" t="str">
        <f>LEFT(T_BATTINGDATA[[#This Row],[Batsman]],IFERROR(FIND("*",T_BATTINGDATA[[#This Row],[Batsman]])-1,IFERROR(FIND("†",T_BATTINGDATA[[#This Row],[Batsman]])-1,LEN(T_BATTINGDATA[[#This Row],[Batsman]]))))</f>
        <v>JC Buttler</v>
      </c>
      <c r="P164">
        <f ca="1">IFERROR(IF(MATCH(T_BATTINGDATA[[#This Row],[BATSMAN NAME]],OFFSET(O165,0,0,BATROWS-ROW(O164)-ROW(T_BATTINGDATA[[#Headers],[BATSMAN NAME]])),0)&gt;0,0,SUMIF($O$6:O164,T_BATTINGDATA[[#This Row],[BATSMAN NAME]],$E$6:E164)),SUMIF($O$6:O164,T_BATTINGDATA[[#This Row],[BATSMAN NAME]],$E$6:E164))</f>
        <v>0</v>
      </c>
      <c r="AP164">
        <v>7</v>
      </c>
      <c r="AQ164" t="s">
        <v>181</v>
      </c>
      <c r="AR164" t="s">
        <v>275</v>
      </c>
      <c r="AS164">
        <v>8</v>
      </c>
      <c r="AT164">
        <v>1</v>
      </c>
      <c r="AU164">
        <v>31</v>
      </c>
      <c r="AV164">
        <v>1</v>
      </c>
      <c r="AW164">
        <v>3.87</v>
      </c>
      <c r="AX164">
        <v>26</v>
      </c>
      <c r="AY164">
        <v>2</v>
      </c>
      <c r="AZ164">
        <v>0</v>
      </c>
      <c r="BA164">
        <v>1</v>
      </c>
      <c r="BB164">
        <v>0</v>
      </c>
      <c r="BC164">
        <v>5</v>
      </c>
      <c r="BD164" t="str">
        <f>CONCATENATE(Table9[[#This Row],[Match Number]],Table9[[#This Row],[Team]],Table9[[#This Row],[BOWL NUM]])</f>
        <v>7Bangladesh5</v>
      </c>
      <c r="BE164" t="str">
        <f>IFERROR(IF(AND(Table9[[#This Row],[Team]]=I_TEAM,IFERROR(IF(MATCH(Table9[[#This Row],[Bowler]],$AR$5:AR163,0)&gt;0,0),1)),1,0),"")</f>
        <v/>
      </c>
      <c r="BF164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6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164" t="e">
        <f>IF(Table9[[#This Row],[Team]]=I_TEAM,Table9[[#This Row],[Wickets]]*100-Table9[[#This Row],[Runs]],0)</f>
        <v>#REF!</v>
      </c>
      <c r="BI164">
        <f>Table9[[#This Row],[Wickets]]*100-Table9[[#This Row],[Runs]]</f>
        <v>69</v>
      </c>
      <c r="BJ164">
        <f ca="1">IFERROR(IF(MATCH(Table9[[#This Row],[Bowler]],OFFSET(AR165,0,0,BOWLROWS-ROW(AR164)-ROW(Table9[[#Headers],[BOWLER CUML WICKETS]])),0)&gt;0,0,SUMIF($AR$6:AR164,Table9[[#This Row],[Bowler]],$AV$6:AV164)),SUMIF($AR$6:AR164,Table9[[#This Row],[Bowler]],$AV$6:AV164))</f>
        <v>0</v>
      </c>
      <c r="BK164">
        <f ca="1">IFERROR(IF(MATCH(Table9[[#This Row],[Bowler]],OFFSET(AR165,0,0,BOWLROWS-ROW(AR164)-ROW(Table9[[#Headers],[BOWLER CUML WICKETS]])),0)&gt;0,0,SUMIF($AR$6:AR164,Table9[[#This Row],[Bowler]],$AU$6:AU164)),SUMIF($AR$6:AR164,Table9[[#This Row],[Bowler]],$AU$6:AU164))</f>
        <v>0</v>
      </c>
      <c r="BL164">
        <f ca="1">Table9[[#This Row],[BOWLER CUML WICKETS]]*100-Table9[[#This Row],[BOWLER CUML RUNS]]</f>
        <v>0</v>
      </c>
    </row>
    <row r="165" spans="1:64" x14ac:dyDescent="0.3">
      <c r="A165">
        <v>2</v>
      </c>
      <c r="B165" t="s">
        <v>154</v>
      </c>
      <c r="C165" t="s">
        <v>314</v>
      </c>
      <c r="D165" t="s">
        <v>409</v>
      </c>
      <c r="E165">
        <v>37</v>
      </c>
      <c r="F165">
        <v>54</v>
      </c>
      <c r="G165">
        <v>42</v>
      </c>
      <c r="H165">
        <v>2</v>
      </c>
      <c r="I165">
        <v>0</v>
      </c>
      <c r="J165">
        <v>88.09</v>
      </c>
      <c r="K165">
        <v>8</v>
      </c>
      <c r="L165" t="str">
        <f>CONCATENATE(T_BATTINGDATA[[#This Row],[Match]],T_BATTINGDATA[[#This Row],[Team]],T_BATTINGDATA[[#This Row],[Bat Number]])</f>
        <v>2England8</v>
      </c>
      <c r="M165" t="str">
        <f>IFERROR(IF(AND(T_BATTINGDATA[[#This Row],[Team]]=I_TEAM,IFERROR(IF(MATCH(T_BATTINGDATA[[#This Row],[BATSMAN NAME]],$O$5:O164,0)&gt;0,0),1)),1,0),"")</f>
        <v/>
      </c>
      <c r="N165" t="e">
        <f>IF(T_BATTINGDATA[[#This Row],[Team]]=I_TEAM,T_BATTINGDATA[[#This Row],[R]],0)</f>
        <v>#REF!</v>
      </c>
      <c r="O165" t="str">
        <f>LEFT(T_BATTINGDATA[[#This Row],[Batsman]],IFERROR(FIND("*",T_BATTINGDATA[[#This Row],[Batsman]])-1,IFERROR(FIND("†",T_BATTINGDATA[[#This Row],[Batsman]])-1,LEN(T_BATTINGDATA[[#This Row],[Batsman]]))))</f>
        <v>CR Woakes</v>
      </c>
      <c r="P165">
        <f ca="1">IFERROR(IF(MATCH(T_BATTINGDATA[[#This Row],[BATSMAN NAME]],OFFSET(O166,0,0,BATROWS-ROW(O165)-ROW(T_BATTINGDATA[[#Headers],[BATSMAN NAME]])),0)&gt;0,0,SUMIF($O$6:O165,T_BATTINGDATA[[#This Row],[BATSMAN NAME]],$E$6:E165)),SUMIF($O$6:O165,T_BATTINGDATA[[#This Row],[BATSMAN NAME]],$E$6:E165))</f>
        <v>0</v>
      </c>
      <c r="AP165">
        <v>7</v>
      </c>
      <c r="AQ165" t="s">
        <v>181</v>
      </c>
      <c r="AR165" t="s">
        <v>339</v>
      </c>
      <c r="AS165">
        <v>3</v>
      </c>
      <c r="AT165">
        <v>0</v>
      </c>
      <c r="AU165">
        <v>13</v>
      </c>
      <c r="AV165">
        <v>0</v>
      </c>
      <c r="AW165">
        <v>4.33</v>
      </c>
      <c r="AX165">
        <v>8</v>
      </c>
      <c r="AY165">
        <v>0</v>
      </c>
      <c r="AZ165">
        <v>0</v>
      </c>
      <c r="BA165">
        <v>0</v>
      </c>
      <c r="BB165">
        <v>0</v>
      </c>
      <c r="BC165">
        <v>6</v>
      </c>
      <c r="BD165" t="str">
        <f>CONCATENATE(Table9[[#This Row],[Match Number]],Table9[[#This Row],[Team]],Table9[[#This Row],[BOWL NUM]])</f>
        <v>7Bangladesh6</v>
      </c>
      <c r="BE165" t="str">
        <f>IFERROR(IF(AND(Table9[[#This Row],[Team]]=I_TEAM,IFERROR(IF(MATCH(Table9[[#This Row],[Bowler]],$AR$5:AR164,0)&gt;0,0),1)),1,0),"")</f>
        <v/>
      </c>
      <c r="BF165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16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165" t="e">
        <f>IF(Table9[[#This Row],[Team]]=I_TEAM,Table9[[#This Row],[Wickets]]*100-Table9[[#This Row],[Runs]],0)</f>
        <v>#REF!</v>
      </c>
      <c r="BI165">
        <f>Table9[[#This Row],[Wickets]]*100-Table9[[#This Row],[Runs]]</f>
        <v>-13</v>
      </c>
      <c r="BJ165">
        <f ca="1">IFERROR(IF(MATCH(Table9[[#This Row],[Bowler]],OFFSET(AR166,0,0,BOWLROWS-ROW(AR165)-ROW(Table9[[#Headers],[BOWLER CUML WICKETS]])),0)&gt;0,0,SUMIF($AR$6:AR165,Table9[[#This Row],[Bowler]],$AV$6:AV165)),SUMIF($AR$6:AR165,Table9[[#This Row],[Bowler]],$AV$6:AV165))</f>
        <v>0</v>
      </c>
      <c r="BK165">
        <f ca="1">IFERROR(IF(MATCH(Table9[[#This Row],[Bowler]],OFFSET(AR166,0,0,BOWLROWS-ROW(AR165)-ROW(Table9[[#Headers],[BOWLER CUML WICKETS]])),0)&gt;0,0,SUMIF($AR$6:AR165,Table9[[#This Row],[Bowler]],$AU$6:AU165)),SUMIF($AR$6:AR165,Table9[[#This Row],[Bowler]],$AU$6:AU165))</f>
        <v>0</v>
      </c>
      <c r="BL165">
        <f ca="1">Table9[[#This Row],[BOWLER CUML WICKETS]]*100-Table9[[#This Row],[BOWLER CUML RUNS]]</f>
        <v>0</v>
      </c>
    </row>
    <row r="166" spans="1:64" x14ac:dyDescent="0.3">
      <c r="A166">
        <v>2</v>
      </c>
      <c r="B166" t="s">
        <v>154</v>
      </c>
      <c r="C166" t="s">
        <v>312</v>
      </c>
      <c r="D166" t="s">
        <v>410</v>
      </c>
      <c r="E166">
        <v>0</v>
      </c>
      <c r="F166">
        <v>3</v>
      </c>
      <c r="G166">
        <v>1</v>
      </c>
      <c r="H166">
        <v>0</v>
      </c>
      <c r="I166">
        <v>0</v>
      </c>
      <c r="J166">
        <v>0</v>
      </c>
      <c r="K166">
        <v>9</v>
      </c>
      <c r="L166" t="str">
        <f>CONCATENATE(T_BATTINGDATA[[#This Row],[Match]],T_BATTINGDATA[[#This Row],[Team]],T_BATTINGDATA[[#This Row],[Bat Number]])</f>
        <v>2England9</v>
      </c>
      <c r="M166" t="str">
        <f>IFERROR(IF(AND(T_BATTINGDATA[[#This Row],[Team]]=I_TEAM,IFERROR(IF(MATCH(T_BATTINGDATA[[#This Row],[BATSMAN NAME]],$O$5:O165,0)&gt;0,0),1)),1,0),"")</f>
        <v/>
      </c>
      <c r="N166" t="e">
        <f>IF(T_BATTINGDATA[[#This Row],[Team]]=I_TEAM,T_BATTINGDATA[[#This Row],[R]],0)</f>
        <v>#REF!</v>
      </c>
      <c r="O166" t="str">
        <f>LEFT(T_BATTINGDATA[[#This Row],[Batsman]],IFERROR(FIND("*",T_BATTINGDATA[[#This Row],[Batsman]])-1,IFERROR(FIND("†",T_BATTINGDATA[[#This Row],[Batsman]])-1,LEN(T_BATTINGDATA[[#This Row],[Batsman]]))))</f>
        <v>SCJ Broad</v>
      </c>
      <c r="P166">
        <f ca="1">IFERROR(IF(MATCH(T_BATTINGDATA[[#This Row],[BATSMAN NAME]],OFFSET(O167,0,0,BATROWS-ROW(O166)-ROW(T_BATTINGDATA[[#Headers],[BATSMAN NAME]])),0)&gt;0,0,SUMIF($O$6:O166,T_BATTINGDATA[[#This Row],[BATSMAN NAME]],$E$6:E166)),SUMIF($O$6:O166,T_BATTINGDATA[[#This Row],[BATSMAN NAME]],$E$6:E166))</f>
        <v>0</v>
      </c>
      <c r="AP166">
        <v>7</v>
      </c>
      <c r="AQ166" t="s">
        <v>181</v>
      </c>
      <c r="AR166" t="s">
        <v>342</v>
      </c>
      <c r="AS166">
        <v>1</v>
      </c>
      <c r="AT166">
        <v>0</v>
      </c>
      <c r="AU166">
        <v>4</v>
      </c>
      <c r="AV166">
        <v>0</v>
      </c>
      <c r="AW166">
        <v>4</v>
      </c>
      <c r="AX166">
        <v>3</v>
      </c>
      <c r="AY166">
        <v>0</v>
      </c>
      <c r="AZ166">
        <v>0</v>
      </c>
      <c r="BA166">
        <v>0</v>
      </c>
      <c r="BB166">
        <v>0</v>
      </c>
      <c r="BC166">
        <v>7</v>
      </c>
      <c r="BD166" t="str">
        <f>CONCATENATE(Table9[[#This Row],[Match Number]],Table9[[#This Row],[Team]],Table9[[#This Row],[BOWL NUM]])</f>
        <v>7Bangladesh7</v>
      </c>
      <c r="BE166" t="str">
        <f>IFERROR(IF(AND(Table9[[#This Row],[Team]]=I_TEAM,IFERROR(IF(MATCH(Table9[[#This Row],[Bowler]],$AR$5:AR165,0)&gt;0,0),1)),1,0),"")</f>
        <v/>
      </c>
      <c r="BF166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16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166" t="e">
        <f>IF(Table9[[#This Row],[Team]]=I_TEAM,Table9[[#This Row],[Wickets]]*100-Table9[[#This Row],[Runs]],0)</f>
        <v>#REF!</v>
      </c>
      <c r="BI166">
        <f>Table9[[#This Row],[Wickets]]*100-Table9[[#This Row],[Runs]]</f>
        <v>-4</v>
      </c>
      <c r="BJ166">
        <f ca="1">IFERROR(IF(MATCH(Table9[[#This Row],[Bowler]],OFFSET(AR167,0,0,BOWLROWS-ROW(AR166)-ROW(Table9[[#Headers],[BOWLER CUML WICKETS]])),0)&gt;0,0,SUMIF($AR$6:AR166,Table9[[#This Row],[Bowler]],$AV$6:AV166)),SUMIF($AR$6:AR166,Table9[[#This Row],[Bowler]],$AV$6:AV166))</f>
        <v>0</v>
      </c>
      <c r="BK166">
        <f ca="1">IFERROR(IF(MATCH(Table9[[#This Row],[Bowler]],OFFSET(AR167,0,0,BOWLROWS-ROW(AR166)-ROW(Table9[[#Headers],[BOWLER CUML WICKETS]])),0)&gt;0,0,SUMIF($AR$6:AR166,Table9[[#This Row],[Bowler]],$AU$6:AU166)),SUMIF($AR$6:AR166,Table9[[#This Row],[Bowler]],$AU$6:AU166))</f>
        <v>0</v>
      </c>
      <c r="BL166">
        <f ca="1">Table9[[#This Row],[BOWLER CUML WICKETS]]*100-Table9[[#This Row],[BOWLER CUML RUNS]]</f>
        <v>0</v>
      </c>
    </row>
    <row r="167" spans="1:64" x14ac:dyDescent="0.3">
      <c r="A167">
        <v>2</v>
      </c>
      <c r="B167" t="s">
        <v>154</v>
      </c>
      <c r="C167" t="s">
        <v>316</v>
      </c>
      <c r="D167" t="s">
        <v>411</v>
      </c>
      <c r="E167">
        <v>1</v>
      </c>
      <c r="F167">
        <v>4</v>
      </c>
      <c r="G167">
        <v>6</v>
      </c>
      <c r="H167">
        <v>0</v>
      </c>
      <c r="I167">
        <v>0</v>
      </c>
      <c r="J167">
        <v>16.66</v>
      </c>
      <c r="K167">
        <v>10</v>
      </c>
      <c r="L167" t="str">
        <f>CONCATENATE(T_BATTINGDATA[[#This Row],[Match]],T_BATTINGDATA[[#This Row],[Team]],T_BATTINGDATA[[#This Row],[Bat Number]])</f>
        <v>2England10</v>
      </c>
      <c r="M167" t="str">
        <f>IFERROR(IF(AND(T_BATTINGDATA[[#This Row],[Team]]=I_TEAM,IFERROR(IF(MATCH(T_BATTINGDATA[[#This Row],[BATSMAN NAME]],$O$5:O166,0)&gt;0,0),1)),1,0),"")</f>
        <v/>
      </c>
      <c r="N167" t="e">
        <f>IF(T_BATTINGDATA[[#This Row],[Team]]=I_TEAM,T_BATTINGDATA[[#This Row],[R]],0)</f>
        <v>#REF!</v>
      </c>
      <c r="O167" t="str">
        <f>LEFT(T_BATTINGDATA[[#This Row],[Batsman]],IFERROR(FIND("*",T_BATTINGDATA[[#This Row],[Batsman]])-1,IFERROR(FIND("†",T_BATTINGDATA[[#This Row],[Batsman]])-1,LEN(T_BATTINGDATA[[#This Row],[Batsman]]))))</f>
        <v>ST Finn</v>
      </c>
      <c r="P167">
        <f ca="1">IFERROR(IF(MATCH(T_BATTINGDATA[[#This Row],[BATSMAN NAME]],OFFSET(O168,0,0,BATROWS-ROW(O167)-ROW(T_BATTINGDATA[[#Headers],[BATSMAN NAME]])),0)&gt;0,0,SUMIF($O$6:O167,T_BATTINGDATA[[#This Row],[BATSMAN NAME]],$E$6:E167)),SUMIF($O$6:O167,T_BATTINGDATA[[#This Row],[BATSMAN NAME]],$E$6:E167))</f>
        <v>0</v>
      </c>
      <c r="AP167">
        <v>8</v>
      </c>
      <c r="AQ167" t="s">
        <v>158</v>
      </c>
      <c r="AR167" t="s">
        <v>204</v>
      </c>
      <c r="AS167">
        <v>9</v>
      </c>
      <c r="AT167">
        <v>0</v>
      </c>
      <c r="AU167">
        <v>66</v>
      </c>
      <c r="AV167">
        <v>0</v>
      </c>
      <c r="AW167">
        <v>7.33</v>
      </c>
      <c r="AX167">
        <v>29</v>
      </c>
      <c r="AY167">
        <v>8</v>
      </c>
      <c r="AZ167">
        <v>2</v>
      </c>
      <c r="BA167">
        <v>5</v>
      </c>
      <c r="BB167">
        <v>0</v>
      </c>
      <c r="BC167">
        <v>1</v>
      </c>
      <c r="BD167" t="str">
        <f>CONCATENATE(Table9[[#This Row],[Match Number]],Table9[[#This Row],[Team]],Table9[[#This Row],[BOWL NUM]])</f>
        <v>8Zimbabwe1</v>
      </c>
      <c r="BE167" t="str">
        <f>IFERROR(IF(AND(Table9[[#This Row],[Team]]=I_TEAM,IFERROR(IF(MATCH(Table9[[#This Row],[Bowler]],$AR$5:AR166,0)&gt;0,0),1)),1,0),"")</f>
        <v/>
      </c>
      <c r="BF167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6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167" t="e">
        <f>IF(Table9[[#This Row],[Team]]=I_TEAM,Table9[[#This Row],[Wickets]]*100-Table9[[#This Row],[Runs]],0)</f>
        <v>#REF!</v>
      </c>
      <c r="BI167">
        <f>Table9[[#This Row],[Wickets]]*100-Table9[[#This Row],[Runs]]</f>
        <v>-66</v>
      </c>
      <c r="BJ167">
        <f ca="1">IFERROR(IF(MATCH(Table9[[#This Row],[Bowler]],OFFSET(AR168,0,0,BOWLROWS-ROW(AR167)-ROW(Table9[[#Headers],[BOWLER CUML WICKETS]])),0)&gt;0,0,SUMIF($AR$6:AR167,Table9[[#This Row],[Bowler]],$AV$6:AV167)),SUMIF($AR$6:AR167,Table9[[#This Row],[Bowler]],$AV$6:AV167))</f>
        <v>0</v>
      </c>
      <c r="BK167">
        <f ca="1">IFERROR(IF(MATCH(Table9[[#This Row],[Bowler]],OFFSET(AR168,0,0,BOWLROWS-ROW(AR167)-ROW(Table9[[#Headers],[BOWLER CUML WICKETS]])),0)&gt;0,0,SUMIF($AR$6:AR167,Table9[[#This Row],[Bowler]],$AU$6:AU167)),SUMIF($AR$6:AR167,Table9[[#This Row],[Bowler]],$AU$6:AU167))</f>
        <v>0</v>
      </c>
      <c r="BL167">
        <f ca="1">Table9[[#This Row],[BOWLER CUML WICKETS]]*100-Table9[[#This Row],[BOWLER CUML RUNS]]</f>
        <v>0</v>
      </c>
    </row>
    <row r="168" spans="1:64" x14ac:dyDescent="0.3">
      <c r="A168">
        <v>2</v>
      </c>
      <c r="B168" t="s">
        <v>154</v>
      </c>
      <c r="C168" t="s">
        <v>310</v>
      </c>
      <c r="D168" t="s">
        <v>412</v>
      </c>
      <c r="E168">
        <v>8</v>
      </c>
      <c r="F168">
        <v>26</v>
      </c>
      <c r="G168">
        <v>11</v>
      </c>
      <c r="H168">
        <v>1</v>
      </c>
      <c r="I168">
        <v>0</v>
      </c>
      <c r="J168">
        <v>72.72</v>
      </c>
      <c r="K168">
        <v>11</v>
      </c>
      <c r="L168" t="str">
        <f>CONCATENATE(T_BATTINGDATA[[#This Row],[Match]],T_BATTINGDATA[[#This Row],[Team]],T_BATTINGDATA[[#This Row],[Bat Number]])</f>
        <v>2England11</v>
      </c>
      <c r="M168" t="str">
        <f>IFERROR(IF(AND(T_BATTINGDATA[[#This Row],[Team]]=I_TEAM,IFERROR(IF(MATCH(T_BATTINGDATA[[#This Row],[BATSMAN NAME]],$O$5:O167,0)&gt;0,0),1)),1,0),"")</f>
        <v/>
      </c>
      <c r="N168" t="e">
        <f>IF(T_BATTINGDATA[[#This Row],[Team]]=I_TEAM,T_BATTINGDATA[[#This Row],[R]],0)</f>
        <v>#REF!</v>
      </c>
      <c r="O168" t="str">
        <f>LEFT(T_BATTINGDATA[[#This Row],[Batsman]],IFERROR(FIND("*",T_BATTINGDATA[[#This Row],[Batsman]])-1,IFERROR(FIND("†",T_BATTINGDATA[[#This Row],[Batsman]])-1,LEN(T_BATTINGDATA[[#This Row],[Batsman]]))))</f>
        <v>JM Anderson</v>
      </c>
      <c r="P168">
        <f ca="1">IFERROR(IF(MATCH(T_BATTINGDATA[[#This Row],[BATSMAN NAME]],OFFSET(O169,0,0,BATROWS-ROW(O168)-ROW(T_BATTINGDATA[[#Headers],[BATSMAN NAME]])),0)&gt;0,0,SUMIF($O$6:O168,T_BATTINGDATA[[#This Row],[BATSMAN NAME]],$E$6:E168)),SUMIF($O$6:O168,T_BATTINGDATA[[#This Row],[BATSMAN NAME]],$E$6:E168))</f>
        <v>0</v>
      </c>
      <c r="AP168">
        <v>8</v>
      </c>
      <c r="AQ168" t="s">
        <v>158</v>
      </c>
      <c r="AR168" t="s">
        <v>207</v>
      </c>
      <c r="AS168">
        <v>10</v>
      </c>
      <c r="AT168">
        <v>1</v>
      </c>
      <c r="AU168">
        <v>42</v>
      </c>
      <c r="AV168">
        <v>3</v>
      </c>
      <c r="AW168">
        <v>4.2</v>
      </c>
      <c r="AX168">
        <v>41</v>
      </c>
      <c r="AY168">
        <v>2</v>
      </c>
      <c r="AZ168">
        <v>2</v>
      </c>
      <c r="BA168">
        <v>3</v>
      </c>
      <c r="BB168">
        <v>1</v>
      </c>
      <c r="BC168">
        <v>2</v>
      </c>
      <c r="BD168" t="str">
        <f>CONCATENATE(Table9[[#This Row],[Match Number]],Table9[[#This Row],[Team]],Table9[[#This Row],[BOWL NUM]])</f>
        <v>8Zimbabwe2</v>
      </c>
      <c r="BE168" t="str">
        <f>IFERROR(IF(AND(Table9[[#This Row],[Team]]=I_TEAM,IFERROR(IF(MATCH(Table9[[#This Row],[Bowler]],$AR$5:AR167,0)&gt;0,0),1)),1,0),"")</f>
        <v/>
      </c>
      <c r="BF16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6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168" t="e">
        <f>IF(Table9[[#This Row],[Team]]=I_TEAM,Table9[[#This Row],[Wickets]]*100-Table9[[#This Row],[Runs]],0)</f>
        <v>#REF!</v>
      </c>
      <c r="BI168">
        <f>Table9[[#This Row],[Wickets]]*100-Table9[[#This Row],[Runs]]</f>
        <v>258</v>
      </c>
      <c r="BJ168">
        <f ca="1">IFERROR(IF(MATCH(Table9[[#This Row],[Bowler]],OFFSET(AR169,0,0,BOWLROWS-ROW(AR168)-ROW(Table9[[#Headers],[BOWLER CUML WICKETS]])),0)&gt;0,0,SUMIF($AR$6:AR168,Table9[[#This Row],[Bowler]],$AV$6:AV168)),SUMIF($AR$6:AR168,Table9[[#This Row],[Bowler]],$AV$6:AV168))</f>
        <v>0</v>
      </c>
      <c r="BK168">
        <f ca="1">IFERROR(IF(MATCH(Table9[[#This Row],[Bowler]],OFFSET(AR169,0,0,BOWLROWS-ROW(AR168)-ROW(Table9[[#Headers],[BOWLER CUML WICKETS]])),0)&gt;0,0,SUMIF($AR$6:AR168,Table9[[#This Row],[Bowler]],$AU$6:AU168)),SUMIF($AR$6:AR168,Table9[[#This Row],[Bowler]],$AU$6:AU168))</f>
        <v>0</v>
      </c>
      <c r="BL168">
        <f ca="1">Table9[[#This Row],[BOWLER CUML WICKETS]]*100-Table9[[#This Row],[BOWLER CUML RUNS]]</f>
        <v>0</v>
      </c>
    </row>
    <row r="169" spans="1:64" x14ac:dyDescent="0.3">
      <c r="A169">
        <v>3</v>
      </c>
      <c r="B169" t="s">
        <v>141</v>
      </c>
      <c r="C169" t="s">
        <v>174</v>
      </c>
      <c r="D169" t="s">
        <v>413</v>
      </c>
      <c r="E169">
        <v>7</v>
      </c>
      <c r="F169">
        <v>16</v>
      </c>
      <c r="G169">
        <v>16</v>
      </c>
      <c r="H169">
        <v>1</v>
      </c>
      <c r="I169">
        <v>0</v>
      </c>
      <c r="J169">
        <v>43.75</v>
      </c>
      <c r="K169">
        <v>1</v>
      </c>
      <c r="L169" t="str">
        <f>CONCATENATE(T_BATTINGDATA[[#This Row],[Match]],T_BATTINGDATA[[#This Row],[Team]],T_BATTINGDATA[[#This Row],[Bat Number]])</f>
        <v>3South Africa1</v>
      </c>
      <c r="M169" t="str">
        <f>IFERROR(IF(AND(T_BATTINGDATA[[#This Row],[Team]]=I_TEAM,IFERROR(IF(MATCH(T_BATTINGDATA[[#This Row],[BATSMAN NAME]],$O$5:O168,0)&gt;0,0),1)),1,0),"")</f>
        <v/>
      </c>
      <c r="N169" t="e">
        <f>IF(T_BATTINGDATA[[#This Row],[Team]]=I_TEAM,T_BATTINGDATA[[#This Row],[R]],0)</f>
        <v>#REF!</v>
      </c>
      <c r="O169" t="str">
        <f>LEFT(T_BATTINGDATA[[#This Row],[Batsman]],IFERROR(FIND("*",T_BATTINGDATA[[#This Row],[Batsman]])-1,IFERROR(FIND("†",T_BATTINGDATA[[#This Row],[Batsman]])-1,LEN(T_BATTINGDATA[[#This Row],[Batsman]]))))</f>
        <v>Q de Kock</v>
      </c>
      <c r="P169">
        <f ca="1">IFERROR(IF(MATCH(T_BATTINGDATA[[#This Row],[BATSMAN NAME]],OFFSET(O170,0,0,BATROWS-ROW(O169)-ROW(T_BATTINGDATA[[#Headers],[BATSMAN NAME]])),0)&gt;0,0,SUMIF($O$6:O169,T_BATTINGDATA[[#This Row],[BATSMAN NAME]],$E$6:E169)),SUMIF($O$6:O169,T_BATTINGDATA[[#This Row],[BATSMAN NAME]],$E$6:E169))</f>
        <v>0</v>
      </c>
      <c r="AP169">
        <v>8</v>
      </c>
      <c r="AQ169" t="s">
        <v>158</v>
      </c>
      <c r="AR169" t="s">
        <v>211</v>
      </c>
      <c r="AS169">
        <v>8</v>
      </c>
      <c r="AT169">
        <v>0</v>
      </c>
      <c r="AU169">
        <v>39</v>
      </c>
      <c r="AV169">
        <v>2</v>
      </c>
      <c r="AW169">
        <v>4.87</v>
      </c>
      <c r="AX169">
        <v>30</v>
      </c>
      <c r="AY169">
        <v>6</v>
      </c>
      <c r="AZ169">
        <v>0</v>
      </c>
      <c r="BA169">
        <v>0</v>
      </c>
      <c r="BB169">
        <v>0</v>
      </c>
      <c r="BC169">
        <v>3</v>
      </c>
      <c r="BD169" t="str">
        <f>CONCATENATE(Table9[[#This Row],[Match Number]],Table9[[#This Row],[Team]],Table9[[#This Row],[BOWL NUM]])</f>
        <v>8Zimbabwe3</v>
      </c>
      <c r="BE169" t="str">
        <f>IFERROR(IF(AND(Table9[[#This Row],[Team]]=I_TEAM,IFERROR(IF(MATCH(Table9[[#This Row],[Bowler]],$AR$5:AR168,0)&gt;0,0),1)),1,0),"")</f>
        <v/>
      </c>
      <c r="BF169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6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169" t="e">
        <f>IF(Table9[[#This Row],[Team]]=I_TEAM,Table9[[#This Row],[Wickets]]*100-Table9[[#This Row],[Runs]],0)</f>
        <v>#REF!</v>
      </c>
      <c r="BI169">
        <f>Table9[[#This Row],[Wickets]]*100-Table9[[#This Row],[Runs]]</f>
        <v>161</v>
      </c>
      <c r="BJ169">
        <f ca="1">IFERROR(IF(MATCH(Table9[[#This Row],[Bowler]],OFFSET(AR170,0,0,BOWLROWS-ROW(AR169)-ROW(Table9[[#Headers],[BOWLER CUML WICKETS]])),0)&gt;0,0,SUMIF($AR$6:AR169,Table9[[#This Row],[Bowler]],$AV$6:AV169)),SUMIF($AR$6:AR169,Table9[[#This Row],[Bowler]],$AV$6:AV169))</f>
        <v>0</v>
      </c>
      <c r="BK169">
        <f ca="1">IFERROR(IF(MATCH(Table9[[#This Row],[Bowler]],OFFSET(AR170,0,0,BOWLROWS-ROW(AR169)-ROW(Table9[[#Headers],[BOWLER CUML WICKETS]])),0)&gt;0,0,SUMIF($AR$6:AR169,Table9[[#This Row],[Bowler]],$AU$6:AU169)),SUMIF($AR$6:AR169,Table9[[#This Row],[Bowler]],$AU$6:AU169))</f>
        <v>0</v>
      </c>
      <c r="BL169">
        <f ca="1">Table9[[#This Row],[BOWLER CUML WICKETS]]*100-Table9[[#This Row],[BOWLER CUML RUNS]]</f>
        <v>0</v>
      </c>
    </row>
    <row r="170" spans="1:64" x14ac:dyDescent="0.3">
      <c r="A170">
        <v>3</v>
      </c>
      <c r="B170" t="s">
        <v>141</v>
      </c>
      <c r="C170" t="s">
        <v>172</v>
      </c>
      <c r="D170" t="s">
        <v>240</v>
      </c>
      <c r="E170">
        <v>11</v>
      </c>
      <c r="F170">
        <v>36</v>
      </c>
      <c r="G170">
        <v>26</v>
      </c>
      <c r="H170">
        <v>1</v>
      </c>
      <c r="I170">
        <v>0</v>
      </c>
      <c r="J170">
        <v>42.3</v>
      </c>
      <c r="K170">
        <v>2</v>
      </c>
      <c r="L170" t="str">
        <f>CONCATENATE(T_BATTINGDATA[[#This Row],[Match]],T_BATTINGDATA[[#This Row],[Team]],T_BATTINGDATA[[#This Row],[Bat Number]])</f>
        <v>3South Africa2</v>
      </c>
      <c r="M170" t="str">
        <f>IFERROR(IF(AND(T_BATTINGDATA[[#This Row],[Team]]=I_TEAM,IFERROR(IF(MATCH(T_BATTINGDATA[[#This Row],[BATSMAN NAME]],$O$5:O169,0)&gt;0,0),1)),1,0),"")</f>
        <v/>
      </c>
      <c r="N170" t="e">
        <f>IF(T_BATTINGDATA[[#This Row],[Team]]=I_TEAM,T_BATTINGDATA[[#This Row],[R]],0)</f>
        <v>#REF!</v>
      </c>
      <c r="O170" t="str">
        <f>LEFT(T_BATTINGDATA[[#This Row],[Batsman]],IFERROR(FIND("*",T_BATTINGDATA[[#This Row],[Batsman]])-1,IFERROR(FIND("†",T_BATTINGDATA[[#This Row],[Batsman]])-1,LEN(T_BATTINGDATA[[#This Row],[Batsman]]))))</f>
        <v>HM Amla</v>
      </c>
      <c r="P170">
        <f ca="1">IFERROR(IF(MATCH(T_BATTINGDATA[[#This Row],[BATSMAN NAME]],OFFSET(O171,0,0,BATROWS-ROW(O170)-ROW(T_BATTINGDATA[[#Headers],[BATSMAN NAME]])),0)&gt;0,0,SUMIF($O$6:O170,T_BATTINGDATA[[#This Row],[BATSMAN NAME]],$E$6:E170)),SUMIF($O$6:O170,T_BATTINGDATA[[#This Row],[BATSMAN NAME]],$E$6:E170))</f>
        <v>0</v>
      </c>
      <c r="AP170">
        <v>8</v>
      </c>
      <c r="AQ170" t="s">
        <v>158</v>
      </c>
      <c r="AR170" t="s">
        <v>338</v>
      </c>
      <c r="AS170">
        <v>10</v>
      </c>
      <c r="AT170">
        <v>0</v>
      </c>
      <c r="AU170">
        <v>53</v>
      </c>
      <c r="AV170">
        <v>0</v>
      </c>
      <c r="AW170">
        <v>5.3</v>
      </c>
      <c r="AX170">
        <v>33</v>
      </c>
      <c r="AY170">
        <v>8</v>
      </c>
      <c r="AZ170">
        <v>0</v>
      </c>
      <c r="BA170">
        <v>0</v>
      </c>
      <c r="BB170">
        <v>0</v>
      </c>
      <c r="BC170">
        <v>4</v>
      </c>
      <c r="BD170" t="str">
        <f>CONCATENATE(Table9[[#This Row],[Match Number]],Table9[[#This Row],[Team]],Table9[[#This Row],[BOWL NUM]])</f>
        <v>8Zimbabwe4</v>
      </c>
      <c r="BE170" t="str">
        <f>IFERROR(IF(AND(Table9[[#This Row],[Team]]=I_TEAM,IFERROR(IF(MATCH(Table9[[#This Row],[Bowler]],$AR$5:AR169,0)&gt;0,0),1)),1,0),"")</f>
        <v/>
      </c>
      <c r="BF17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7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170" t="e">
        <f>IF(Table9[[#This Row],[Team]]=I_TEAM,Table9[[#This Row],[Wickets]]*100-Table9[[#This Row],[Runs]],0)</f>
        <v>#REF!</v>
      </c>
      <c r="BI170">
        <f>Table9[[#This Row],[Wickets]]*100-Table9[[#This Row],[Runs]]</f>
        <v>-53</v>
      </c>
      <c r="BJ170">
        <f ca="1">IFERROR(IF(MATCH(Table9[[#This Row],[Bowler]],OFFSET(AR171,0,0,BOWLROWS-ROW(AR170)-ROW(Table9[[#Headers],[BOWLER CUML WICKETS]])),0)&gt;0,0,SUMIF($AR$6:AR170,Table9[[#This Row],[Bowler]],$AV$6:AV170)),SUMIF($AR$6:AR170,Table9[[#This Row],[Bowler]],$AV$6:AV170))</f>
        <v>0</v>
      </c>
      <c r="BK170">
        <f ca="1">IFERROR(IF(MATCH(Table9[[#This Row],[Bowler]],OFFSET(AR171,0,0,BOWLROWS-ROW(AR170)-ROW(Table9[[#Headers],[BOWLER CUML WICKETS]])),0)&gt;0,0,SUMIF($AR$6:AR170,Table9[[#This Row],[Bowler]],$AU$6:AU170)),SUMIF($AR$6:AR170,Table9[[#This Row],[Bowler]],$AU$6:AU170))</f>
        <v>0</v>
      </c>
      <c r="BL170">
        <f ca="1">Table9[[#This Row],[BOWLER CUML WICKETS]]*100-Table9[[#This Row],[BOWLER CUML RUNS]]</f>
        <v>0</v>
      </c>
    </row>
    <row r="171" spans="1:64" x14ac:dyDescent="0.3">
      <c r="A171">
        <v>3</v>
      </c>
      <c r="B171" t="s">
        <v>141</v>
      </c>
      <c r="C171" t="s">
        <v>177</v>
      </c>
      <c r="D171" t="s">
        <v>414</v>
      </c>
      <c r="E171">
        <v>24</v>
      </c>
      <c r="F171">
        <v>60</v>
      </c>
      <c r="G171">
        <v>32</v>
      </c>
      <c r="H171">
        <v>0</v>
      </c>
      <c r="I171">
        <v>1</v>
      </c>
      <c r="J171">
        <v>75</v>
      </c>
      <c r="K171">
        <v>3</v>
      </c>
      <c r="L171" t="str">
        <f>CONCATENATE(T_BATTINGDATA[[#This Row],[Match]],T_BATTINGDATA[[#This Row],[Team]],T_BATTINGDATA[[#This Row],[Bat Number]])</f>
        <v>3South Africa3</v>
      </c>
      <c r="M171" t="str">
        <f>IFERROR(IF(AND(T_BATTINGDATA[[#This Row],[Team]]=I_TEAM,IFERROR(IF(MATCH(T_BATTINGDATA[[#This Row],[BATSMAN NAME]],$O$5:O170,0)&gt;0,0),1)),1,0),"")</f>
        <v/>
      </c>
      <c r="N171" t="e">
        <f>IF(T_BATTINGDATA[[#This Row],[Team]]=I_TEAM,T_BATTINGDATA[[#This Row],[R]],0)</f>
        <v>#REF!</v>
      </c>
      <c r="O171" t="str">
        <f>LEFT(T_BATTINGDATA[[#This Row],[Batsman]],IFERROR(FIND("*",T_BATTINGDATA[[#This Row],[Batsman]])-1,IFERROR(FIND("†",T_BATTINGDATA[[#This Row],[Batsman]])-1,LEN(T_BATTINGDATA[[#This Row],[Batsman]]))))</f>
        <v>F du Plessis</v>
      </c>
      <c r="P171">
        <f ca="1">IFERROR(IF(MATCH(T_BATTINGDATA[[#This Row],[BATSMAN NAME]],OFFSET(O172,0,0,BATROWS-ROW(O171)-ROW(T_BATTINGDATA[[#Headers],[BATSMAN NAME]])),0)&gt;0,0,SUMIF($O$6:O171,T_BATTINGDATA[[#This Row],[BATSMAN NAME]],$E$6:E171)),SUMIF($O$6:O171,T_BATTINGDATA[[#This Row],[BATSMAN NAME]],$E$6:E171))</f>
        <v>0</v>
      </c>
      <c r="AP171">
        <v>8</v>
      </c>
      <c r="AQ171" t="s">
        <v>158</v>
      </c>
      <c r="AR171" t="s">
        <v>334</v>
      </c>
      <c r="AS171">
        <v>1</v>
      </c>
      <c r="AT171">
        <v>0</v>
      </c>
      <c r="AU171">
        <v>12</v>
      </c>
      <c r="AV171">
        <v>0</v>
      </c>
      <c r="AW171">
        <v>12</v>
      </c>
      <c r="AX171">
        <v>3</v>
      </c>
      <c r="AY171">
        <v>1</v>
      </c>
      <c r="AZ171">
        <v>0</v>
      </c>
      <c r="BA171">
        <v>2</v>
      </c>
      <c r="BB171">
        <v>0</v>
      </c>
      <c r="BC171">
        <v>5</v>
      </c>
      <c r="BD171" t="str">
        <f>CONCATENATE(Table9[[#This Row],[Match Number]],Table9[[#This Row],[Team]],Table9[[#This Row],[BOWL NUM]])</f>
        <v>8Zimbabwe5</v>
      </c>
      <c r="BE171" t="str">
        <f>IFERROR(IF(AND(Table9[[#This Row],[Team]]=I_TEAM,IFERROR(IF(MATCH(Table9[[#This Row],[Bowler]],$AR$5:AR170,0)&gt;0,0),1)),1,0),"")</f>
        <v/>
      </c>
      <c r="BF171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17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171" t="e">
        <f>IF(Table9[[#This Row],[Team]]=I_TEAM,Table9[[#This Row],[Wickets]]*100-Table9[[#This Row],[Runs]],0)</f>
        <v>#REF!</v>
      </c>
      <c r="BI171">
        <f>Table9[[#This Row],[Wickets]]*100-Table9[[#This Row],[Runs]]</f>
        <v>-12</v>
      </c>
      <c r="BJ171">
        <f ca="1">IFERROR(IF(MATCH(Table9[[#This Row],[Bowler]],OFFSET(AR172,0,0,BOWLROWS-ROW(AR171)-ROW(Table9[[#Headers],[BOWLER CUML WICKETS]])),0)&gt;0,0,SUMIF($AR$6:AR171,Table9[[#This Row],[Bowler]],$AV$6:AV171)),SUMIF($AR$6:AR171,Table9[[#This Row],[Bowler]],$AV$6:AV171))</f>
        <v>0</v>
      </c>
      <c r="BK171">
        <f ca="1">IFERROR(IF(MATCH(Table9[[#This Row],[Bowler]],OFFSET(AR172,0,0,BOWLROWS-ROW(AR171)-ROW(Table9[[#Headers],[BOWLER CUML WICKETS]])),0)&gt;0,0,SUMIF($AR$6:AR171,Table9[[#This Row],[Bowler]],$AU$6:AU171)),SUMIF($AR$6:AR171,Table9[[#This Row],[Bowler]],$AU$6:AU171))</f>
        <v>0</v>
      </c>
      <c r="BL171">
        <f ca="1">Table9[[#This Row],[BOWLER CUML WICKETS]]*100-Table9[[#This Row],[BOWLER CUML RUNS]]</f>
        <v>0</v>
      </c>
    </row>
    <row r="172" spans="1:64" x14ac:dyDescent="0.3">
      <c r="A172">
        <v>3</v>
      </c>
      <c r="B172" t="s">
        <v>141</v>
      </c>
      <c r="C172" t="s">
        <v>179</v>
      </c>
      <c r="D172" t="s">
        <v>415</v>
      </c>
      <c r="E172">
        <v>25</v>
      </c>
      <c r="F172">
        <v>53</v>
      </c>
      <c r="G172">
        <v>36</v>
      </c>
      <c r="H172">
        <v>1</v>
      </c>
      <c r="I172">
        <v>1</v>
      </c>
      <c r="J172">
        <v>69.44</v>
      </c>
      <c r="K172">
        <v>4</v>
      </c>
      <c r="L172" t="str">
        <f>CONCATENATE(T_BATTINGDATA[[#This Row],[Match]],T_BATTINGDATA[[#This Row],[Team]],T_BATTINGDATA[[#This Row],[Bat Number]])</f>
        <v>3South Africa4</v>
      </c>
      <c r="M172" t="str">
        <f>IFERROR(IF(AND(T_BATTINGDATA[[#This Row],[Team]]=I_TEAM,IFERROR(IF(MATCH(T_BATTINGDATA[[#This Row],[BATSMAN NAME]],$O$5:O171,0)&gt;0,0),1)),1,0),"")</f>
        <v/>
      </c>
      <c r="N172" t="e">
        <f>IF(T_BATTINGDATA[[#This Row],[Team]]=I_TEAM,T_BATTINGDATA[[#This Row],[R]],0)</f>
        <v>#REF!</v>
      </c>
      <c r="O172" t="str">
        <f>LEFT(T_BATTINGDATA[[#This Row],[Batsman]],IFERROR(FIND("*",T_BATTINGDATA[[#This Row],[Batsman]])-1,IFERROR(FIND("†",T_BATTINGDATA[[#This Row],[Batsman]])-1,LEN(T_BATTINGDATA[[#This Row],[Batsman]]))))</f>
        <v>AB de Villiers</v>
      </c>
      <c r="P172">
        <f ca="1">IFERROR(IF(MATCH(T_BATTINGDATA[[#This Row],[BATSMAN NAME]],OFFSET(O173,0,0,BATROWS-ROW(O172)-ROW(T_BATTINGDATA[[#Headers],[BATSMAN NAME]])),0)&gt;0,0,SUMIF($O$6:O172,T_BATTINGDATA[[#This Row],[BATSMAN NAME]],$E$6:E172)),SUMIF($O$6:O172,T_BATTINGDATA[[#This Row],[BATSMAN NAME]],$E$6:E172))</f>
        <v>0</v>
      </c>
      <c r="AP172">
        <v>8</v>
      </c>
      <c r="AQ172" t="s">
        <v>158</v>
      </c>
      <c r="AR172" t="s">
        <v>214</v>
      </c>
      <c r="AS172">
        <v>8</v>
      </c>
      <c r="AT172">
        <v>0</v>
      </c>
      <c r="AU172">
        <v>43</v>
      </c>
      <c r="AV172">
        <v>2</v>
      </c>
      <c r="AW172">
        <v>5.37</v>
      </c>
      <c r="AX172">
        <v>19</v>
      </c>
      <c r="AY172">
        <v>3</v>
      </c>
      <c r="AZ172">
        <v>0</v>
      </c>
      <c r="BA172">
        <v>1</v>
      </c>
      <c r="BB172">
        <v>0</v>
      </c>
      <c r="BC172">
        <v>6</v>
      </c>
      <c r="BD172" t="str">
        <f>CONCATENATE(Table9[[#This Row],[Match Number]],Table9[[#This Row],[Team]],Table9[[#This Row],[BOWL NUM]])</f>
        <v>8Zimbabwe6</v>
      </c>
      <c r="BE172" t="str">
        <f>IFERROR(IF(AND(Table9[[#This Row],[Team]]=I_TEAM,IFERROR(IF(MATCH(Table9[[#This Row],[Bowler]],$AR$5:AR171,0)&gt;0,0),1)),1,0),"")</f>
        <v/>
      </c>
      <c r="BF172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7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172" t="e">
        <f>IF(Table9[[#This Row],[Team]]=I_TEAM,Table9[[#This Row],[Wickets]]*100-Table9[[#This Row],[Runs]],0)</f>
        <v>#REF!</v>
      </c>
      <c r="BI172">
        <f>Table9[[#This Row],[Wickets]]*100-Table9[[#This Row],[Runs]]</f>
        <v>157</v>
      </c>
      <c r="BJ172">
        <f ca="1">IFERROR(IF(MATCH(Table9[[#This Row],[Bowler]],OFFSET(AR173,0,0,BOWLROWS-ROW(AR172)-ROW(Table9[[#Headers],[BOWLER CUML WICKETS]])),0)&gt;0,0,SUMIF($AR$6:AR172,Table9[[#This Row],[Bowler]],$AV$6:AV172)),SUMIF($AR$6:AR172,Table9[[#This Row],[Bowler]],$AV$6:AV172))</f>
        <v>0</v>
      </c>
      <c r="BK172">
        <f ca="1">IFERROR(IF(MATCH(Table9[[#This Row],[Bowler]],OFFSET(AR173,0,0,BOWLROWS-ROW(AR172)-ROW(Table9[[#Headers],[BOWLER CUML WICKETS]])),0)&gt;0,0,SUMIF($AR$6:AR172,Table9[[#This Row],[Bowler]],$AU$6:AU172)),SUMIF($AR$6:AR172,Table9[[#This Row],[Bowler]],$AU$6:AU172))</f>
        <v>0</v>
      </c>
      <c r="BL172">
        <f ca="1">Table9[[#This Row],[BOWLER CUML WICKETS]]*100-Table9[[#This Row],[BOWLER CUML RUNS]]</f>
        <v>0</v>
      </c>
    </row>
    <row r="173" spans="1:64" x14ac:dyDescent="0.3">
      <c r="A173">
        <v>3</v>
      </c>
      <c r="B173" t="s">
        <v>141</v>
      </c>
      <c r="C173" t="s">
        <v>183</v>
      </c>
      <c r="D173" t="s">
        <v>167</v>
      </c>
      <c r="E173">
        <v>138</v>
      </c>
      <c r="F173">
        <v>133</v>
      </c>
      <c r="G173">
        <v>92</v>
      </c>
      <c r="H173">
        <v>7</v>
      </c>
      <c r="I173">
        <v>9</v>
      </c>
      <c r="J173">
        <v>150</v>
      </c>
      <c r="K173">
        <v>5</v>
      </c>
      <c r="L173" t="str">
        <f>CONCATENATE(T_BATTINGDATA[[#This Row],[Match]],T_BATTINGDATA[[#This Row],[Team]],T_BATTINGDATA[[#This Row],[Bat Number]])</f>
        <v>3South Africa5</v>
      </c>
      <c r="M173" t="str">
        <f>IFERROR(IF(AND(T_BATTINGDATA[[#This Row],[Team]]=I_TEAM,IFERROR(IF(MATCH(T_BATTINGDATA[[#This Row],[BATSMAN NAME]],$O$5:O172,0)&gt;0,0),1)),1,0),"")</f>
        <v/>
      </c>
      <c r="N173" t="e">
        <f>IF(T_BATTINGDATA[[#This Row],[Team]]=I_TEAM,T_BATTINGDATA[[#This Row],[R]],0)</f>
        <v>#REF!</v>
      </c>
      <c r="O173" t="str">
        <f>LEFT(T_BATTINGDATA[[#This Row],[Batsman]],IFERROR(FIND("*",T_BATTINGDATA[[#This Row],[Batsman]])-1,IFERROR(FIND("†",T_BATTINGDATA[[#This Row],[Batsman]])-1,LEN(T_BATTINGDATA[[#This Row],[Batsman]]))))</f>
        <v>DA Miller</v>
      </c>
      <c r="P173">
        <f ca="1">IFERROR(IF(MATCH(T_BATTINGDATA[[#This Row],[BATSMAN NAME]],OFFSET(O174,0,0,BATROWS-ROW(O173)-ROW(T_BATTINGDATA[[#Headers],[BATSMAN NAME]])),0)&gt;0,0,SUMIF($O$6:O173,T_BATTINGDATA[[#This Row],[BATSMAN NAME]],$E$6:E173)),SUMIF($O$6:O173,T_BATTINGDATA[[#This Row],[BATSMAN NAME]],$E$6:E173))</f>
        <v>0</v>
      </c>
      <c r="AP173">
        <v>8</v>
      </c>
      <c r="AQ173" t="s">
        <v>158</v>
      </c>
      <c r="AR173" t="s">
        <v>217</v>
      </c>
      <c r="AS173">
        <v>3</v>
      </c>
      <c r="AT173">
        <v>0</v>
      </c>
      <c r="AU173">
        <v>11</v>
      </c>
      <c r="AV173">
        <v>0</v>
      </c>
      <c r="AW173">
        <v>3.66</v>
      </c>
      <c r="AX173">
        <v>10</v>
      </c>
      <c r="AY173">
        <v>1</v>
      </c>
      <c r="AZ173">
        <v>0</v>
      </c>
      <c r="BA173">
        <v>0</v>
      </c>
      <c r="BB173">
        <v>0</v>
      </c>
      <c r="BC173">
        <v>7</v>
      </c>
      <c r="BD173" t="str">
        <f>CONCATENATE(Table9[[#This Row],[Match Number]],Table9[[#This Row],[Team]],Table9[[#This Row],[BOWL NUM]])</f>
        <v>8Zimbabwe7</v>
      </c>
      <c r="BE173" t="str">
        <f>IFERROR(IF(AND(Table9[[#This Row],[Team]]=I_TEAM,IFERROR(IF(MATCH(Table9[[#This Row],[Bowler]],$AR$5:AR172,0)&gt;0,0),1)),1,0),"")</f>
        <v/>
      </c>
      <c r="BF173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17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173" t="e">
        <f>IF(Table9[[#This Row],[Team]]=I_TEAM,Table9[[#This Row],[Wickets]]*100-Table9[[#This Row],[Runs]],0)</f>
        <v>#REF!</v>
      </c>
      <c r="BI173">
        <f>Table9[[#This Row],[Wickets]]*100-Table9[[#This Row],[Runs]]</f>
        <v>-11</v>
      </c>
      <c r="BJ173">
        <f ca="1">IFERROR(IF(MATCH(Table9[[#This Row],[Bowler]],OFFSET(AR174,0,0,BOWLROWS-ROW(AR173)-ROW(Table9[[#Headers],[BOWLER CUML WICKETS]])),0)&gt;0,0,SUMIF($AR$6:AR173,Table9[[#This Row],[Bowler]],$AV$6:AV173)),SUMIF($AR$6:AR173,Table9[[#This Row],[Bowler]],$AV$6:AV173))</f>
        <v>0</v>
      </c>
      <c r="BK173">
        <f ca="1">IFERROR(IF(MATCH(Table9[[#This Row],[Bowler]],OFFSET(AR174,0,0,BOWLROWS-ROW(AR173)-ROW(Table9[[#Headers],[BOWLER CUML WICKETS]])),0)&gt;0,0,SUMIF($AR$6:AR173,Table9[[#This Row],[Bowler]],$AU$6:AU173)),SUMIF($AR$6:AR173,Table9[[#This Row],[Bowler]],$AU$6:AU173))</f>
        <v>0</v>
      </c>
      <c r="BL173">
        <f ca="1">Table9[[#This Row],[BOWLER CUML WICKETS]]*100-Table9[[#This Row],[BOWLER CUML RUNS]]</f>
        <v>0</v>
      </c>
    </row>
    <row r="174" spans="1:64" x14ac:dyDescent="0.3">
      <c r="A174">
        <v>3</v>
      </c>
      <c r="B174" t="s">
        <v>141</v>
      </c>
      <c r="C174" t="s">
        <v>150</v>
      </c>
      <c r="D174" t="s">
        <v>167</v>
      </c>
      <c r="E174">
        <v>115</v>
      </c>
      <c r="F174">
        <v>119</v>
      </c>
      <c r="G174">
        <v>100</v>
      </c>
      <c r="H174">
        <v>9</v>
      </c>
      <c r="I174">
        <v>3</v>
      </c>
      <c r="J174">
        <v>115</v>
      </c>
      <c r="K174">
        <v>6</v>
      </c>
      <c r="L174" t="str">
        <f>CONCATENATE(T_BATTINGDATA[[#This Row],[Match]],T_BATTINGDATA[[#This Row],[Team]],T_BATTINGDATA[[#This Row],[Bat Number]])</f>
        <v>3South Africa6</v>
      </c>
      <c r="M174" t="str">
        <f>IFERROR(IF(AND(T_BATTINGDATA[[#This Row],[Team]]=I_TEAM,IFERROR(IF(MATCH(T_BATTINGDATA[[#This Row],[BATSMAN NAME]],$O$5:O173,0)&gt;0,0),1)),1,0),"")</f>
        <v/>
      </c>
      <c r="N174" t="e">
        <f>IF(T_BATTINGDATA[[#This Row],[Team]]=I_TEAM,T_BATTINGDATA[[#This Row],[R]],0)</f>
        <v>#REF!</v>
      </c>
      <c r="O174" t="str">
        <f>LEFT(T_BATTINGDATA[[#This Row],[Batsman]],IFERROR(FIND("*",T_BATTINGDATA[[#This Row],[Batsman]])-1,IFERROR(FIND("†",T_BATTINGDATA[[#This Row],[Batsman]])-1,LEN(T_BATTINGDATA[[#This Row],[Batsman]]))))</f>
        <v>JP Duminy</v>
      </c>
      <c r="P174">
        <f ca="1">IFERROR(IF(MATCH(T_BATTINGDATA[[#This Row],[BATSMAN NAME]],OFFSET(O175,0,0,BATROWS-ROW(O174)-ROW(T_BATTINGDATA[[#Headers],[BATSMAN NAME]])),0)&gt;0,0,SUMIF($O$6:O174,T_BATTINGDATA[[#This Row],[BATSMAN NAME]],$E$6:E174)),SUMIF($O$6:O174,T_BATTINGDATA[[#This Row],[BATSMAN NAME]],$E$6:E174))</f>
        <v>0</v>
      </c>
      <c r="AP174">
        <v>8</v>
      </c>
      <c r="AQ174" t="s">
        <v>158</v>
      </c>
      <c r="AR174" t="s">
        <v>218</v>
      </c>
      <c r="AS174">
        <v>1</v>
      </c>
      <c r="AT174">
        <v>0</v>
      </c>
      <c r="AU174">
        <v>9</v>
      </c>
      <c r="AV174">
        <v>0</v>
      </c>
      <c r="AW174">
        <v>9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8</v>
      </c>
      <c r="BD174" t="str">
        <f>CONCATENATE(Table9[[#This Row],[Match Number]],Table9[[#This Row],[Team]],Table9[[#This Row],[BOWL NUM]])</f>
        <v>8Zimbabwe8</v>
      </c>
      <c r="BE174" t="str">
        <f>IFERROR(IF(AND(Table9[[#This Row],[Team]]=I_TEAM,IFERROR(IF(MATCH(Table9[[#This Row],[Bowler]],$AR$5:AR173,0)&gt;0,0),1)),1,0),"")</f>
        <v/>
      </c>
      <c r="BF174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17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174" t="e">
        <f>IF(Table9[[#This Row],[Team]]=I_TEAM,Table9[[#This Row],[Wickets]]*100-Table9[[#This Row],[Runs]],0)</f>
        <v>#REF!</v>
      </c>
      <c r="BI174">
        <f>Table9[[#This Row],[Wickets]]*100-Table9[[#This Row],[Runs]]</f>
        <v>-9</v>
      </c>
      <c r="BJ174">
        <f ca="1">IFERROR(IF(MATCH(Table9[[#This Row],[Bowler]],OFFSET(AR175,0,0,BOWLROWS-ROW(AR174)-ROW(Table9[[#Headers],[BOWLER CUML WICKETS]])),0)&gt;0,0,SUMIF($AR$6:AR174,Table9[[#This Row],[Bowler]],$AV$6:AV174)),SUMIF($AR$6:AR174,Table9[[#This Row],[Bowler]],$AV$6:AV174))</f>
        <v>0</v>
      </c>
      <c r="BK174">
        <f ca="1">IFERROR(IF(MATCH(Table9[[#This Row],[Bowler]],OFFSET(AR175,0,0,BOWLROWS-ROW(AR174)-ROW(Table9[[#Headers],[BOWLER CUML WICKETS]])),0)&gt;0,0,SUMIF($AR$6:AR174,Table9[[#This Row],[Bowler]],$AU$6:AU174)),SUMIF($AR$6:AR174,Table9[[#This Row],[Bowler]],$AU$6:AU174))</f>
        <v>0</v>
      </c>
      <c r="BL174">
        <f ca="1">Table9[[#This Row],[BOWLER CUML WICKETS]]*100-Table9[[#This Row],[BOWLER CUML RUNS]]</f>
        <v>0</v>
      </c>
    </row>
    <row r="175" spans="1:64" x14ac:dyDescent="0.3">
      <c r="A175">
        <v>3</v>
      </c>
      <c r="B175" t="s">
        <v>158</v>
      </c>
      <c r="C175" t="s">
        <v>221</v>
      </c>
      <c r="D175" t="s">
        <v>416</v>
      </c>
      <c r="E175">
        <v>64</v>
      </c>
      <c r="F175">
        <v>93</v>
      </c>
      <c r="G175">
        <v>82</v>
      </c>
      <c r="H175">
        <v>10</v>
      </c>
      <c r="I175">
        <v>0</v>
      </c>
      <c r="J175">
        <v>78.040000000000006</v>
      </c>
      <c r="K175">
        <v>1</v>
      </c>
      <c r="L175" t="str">
        <f>CONCATENATE(T_BATTINGDATA[[#This Row],[Match]],T_BATTINGDATA[[#This Row],[Team]],T_BATTINGDATA[[#This Row],[Bat Number]])</f>
        <v>3Zimbabwe1</v>
      </c>
      <c r="M175" t="str">
        <f>IFERROR(IF(AND(T_BATTINGDATA[[#This Row],[Team]]=I_TEAM,IFERROR(IF(MATCH(T_BATTINGDATA[[#This Row],[BATSMAN NAME]],$O$5:O174,0)&gt;0,0),1)),1,0),"")</f>
        <v/>
      </c>
      <c r="N175" t="e">
        <f>IF(T_BATTINGDATA[[#This Row],[Team]]=I_TEAM,T_BATTINGDATA[[#This Row],[R]],0)</f>
        <v>#REF!</v>
      </c>
      <c r="O175" t="str">
        <f>LEFT(T_BATTINGDATA[[#This Row],[Batsman]],IFERROR(FIND("*",T_BATTINGDATA[[#This Row],[Batsman]])-1,IFERROR(FIND("†",T_BATTINGDATA[[#This Row],[Batsman]])-1,LEN(T_BATTINGDATA[[#This Row],[Batsman]]))))</f>
        <v>CJ Chibhabha</v>
      </c>
      <c r="P175">
        <f ca="1">IFERROR(IF(MATCH(T_BATTINGDATA[[#This Row],[BATSMAN NAME]],OFFSET(O176,0,0,BATROWS-ROW(O175)-ROW(T_BATTINGDATA[[#Headers],[BATSMAN NAME]])),0)&gt;0,0,SUMIF($O$6:O175,T_BATTINGDATA[[#This Row],[BATSMAN NAME]],$E$6:E175)),SUMIF($O$6:O175,T_BATTINGDATA[[#This Row],[BATSMAN NAME]],$E$6:E175))</f>
        <v>0</v>
      </c>
      <c r="AP175">
        <v>8</v>
      </c>
      <c r="AQ175" t="s">
        <v>164</v>
      </c>
      <c r="AR175" t="s">
        <v>223</v>
      </c>
      <c r="AS175">
        <v>10</v>
      </c>
      <c r="AT175">
        <v>1</v>
      </c>
      <c r="AU175">
        <v>60</v>
      </c>
      <c r="AV175">
        <v>1</v>
      </c>
      <c r="AW175">
        <v>6</v>
      </c>
      <c r="AX175">
        <v>34</v>
      </c>
      <c r="AY175">
        <v>6</v>
      </c>
      <c r="AZ175">
        <v>1</v>
      </c>
      <c r="BA175">
        <v>4</v>
      </c>
      <c r="BB175">
        <v>0</v>
      </c>
      <c r="BC175">
        <v>1</v>
      </c>
      <c r="BD175" t="str">
        <f>CONCATENATE(Table9[[#This Row],[Match Number]],Table9[[#This Row],[Team]],Table9[[#This Row],[BOWL NUM]])</f>
        <v>8UAE1</v>
      </c>
      <c r="BE175" t="str">
        <f>IFERROR(IF(AND(Table9[[#This Row],[Team]]=I_TEAM,IFERROR(IF(MATCH(Table9[[#This Row],[Bowler]],$AR$5:AR174,0)&gt;0,0),1)),1,0),"")</f>
        <v/>
      </c>
      <c r="BF17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7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75" t="e">
        <f>IF(Table9[[#This Row],[Team]]=I_TEAM,Table9[[#This Row],[Wickets]]*100-Table9[[#This Row],[Runs]],0)</f>
        <v>#REF!</v>
      </c>
      <c r="BI175">
        <f>Table9[[#This Row],[Wickets]]*100-Table9[[#This Row],[Runs]]</f>
        <v>40</v>
      </c>
      <c r="BJ175">
        <f ca="1">IFERROR(IF(MATCH(Table9[[#This Row],[Bowler]],OFFSET(AR176,0,0,BOWLROWS-ROW(AR175)-ROW(Table9[[#Headers],[BOWLER CUML WICKETS]])),0)&gt;0,0,SUMIF($AR$6:AR175,Table9[[#This Row],[Bowler]],$AV$6:AV175)),SUMIF($AR$6:AR175,Table9[[#This Row],[Bowler]],$AV$6:AV175))</f>
        <v>0</v>
      </c>
      <c r="BK175">
        <f ca="1">IFERROR(IF(MATCH(Table9[[#This Row],[Bowler]],OFFSET(AR176,0,0,BOWLROWS-ROW(AR175)-ROW(Table9[[#Headers],[BOWLER CUML WICKETS]])),0)&gt;0,0,SUMIF($AR$6:AR175,Table9[[#This Row],[Bowler]],$AU$6:AU175)),SUMIF($AR$6:AR175,Table9[[#This Row],[Bowler]],$AU$6:AU175))</f>
        <v>0</v>
      </c>
      <c r="BL175">
        <f ca="1">Table9[[#This Row],[BOWLER CUML WICKETS]]*100-Table9[[#This Row],[BOWLER CUML RUNS]]</f>
        <v>0</v>
      </c>
    </row>
    <row r="176" spans="1:64" x14ac:dyDescent="0.3">
      <c r="A176">
        <v>3</v>
      </c>
      <c r="B176" t="s">
        <v>158</v>
      </c>
      <c r="C176" t="s">
        <v>217</v>
      </c>
      <c r="D176" t="s">
        <v>417</v>
      </c>
      <c r="E176">
        <v>5</v>
      </c>
      <c r="F176">
        <v>27</v>
      </c>
      <c r="G176">
        <v>13</v>
      </c>
      <c r="H176">
        <v>1</v>
      </c>
      <c r="I176">
        <v>0</v>
      </c>
      <c r="J176">
        <v>38.46</v>
      </c>
      <c r="K176">
        <v>2</v>
      </c>
      <c r="L176" t="str">
        <f>CONCATENATE(T_BATTINGDATA[[#This Row],[Match]],T_BATTINGDATA[[#This Row],[Team]],T_BATTINGDATA[[#This Row],[Bat Number]])</f>
        <v>3Zimbabwe2</v>
      </c>
      <c r="M176" t="str">
        <f>IFERROR(IF(AND(T_BATTINGDATA[[#This Row],[Team]]=I_TEAM,IFERROR(IF(MATCH(T_BATTINGDATA[[#This Row],[BATSMAN NAME]],$O$5:O175,0)&gt;0,0),1)),1,0),"")</f>
        <v/>
      </c>
      <c r="N176" t="e">
        <f>IF(T_BATTINGDATA[[#This Row],[Team]]=I_TEAM,T_BATTINGDATA[[#This Row],[R]],0)</f>
        <v>#REF!</v>
      </c>
      <c r="O176" t="str">
        <f>LEFT(T_BATTINGDATA[[#This Row],[Batsman]],IFERROR(FIND("*",T_BATTINGDATA[[#This Row],[Batsman]])-1,IFERROR(FIND("†",T_BATTINGDATA[[#This Row],[Batsman]])-1,LEN(T_BATTINGDATA[[#This Row],[Batsman]]))))</f>
        <v>Sikandar Raza</v>
      </c>
      <c r="P176">
        <f ca="1">IFERROR(IF(MATCH(T_BATTINGDATA[[#This Row],[BATSMAN NAME]],OFFSET(O177,0,0,BATROWS-ROW(O176)-ROW(T_BATTINGDATA[[#Headers],[BATSMAN NAME]])),0)&gt;0,0,SUMIF($O$6:O176,T_BATTINGDATA[[#This Row],[BATSMAN NAME]],$E$6:E176)),SUMIF($O$6:O176,T_BATTINGDATA[[#This Row],[BATSMAN NAME]],$E$6:E176))</f>
        <v>0</v>
      </c>
      <c r="AP176">
        <v>8</v>
      </c>
      <c r="AQ176" t="s">
        <v>164</v>
      </c>
      <c r="AR176" t="s">
        <v>228</v>
      </c>
      <c r="AS176">
        <v>9</v>
      </c>
      <c r="AT176">
        <v>0</v>
      </c>
      <c r="AU176">
        <v>49</v>
      </c>
      <c r="AV176">
        <v>1</v>
      </c>
      <c r="AW176">
        <v>5.44</v>
      </c>
      <c r="AX176">
        <v>33</v>
      </c>
      <c r="AY176">
        <v>7</v>
      </c>
      <c r="AZ176">
        <v>0</v>
      </c>
      <c r="BA176">
        <v>5</v>
      </c>
      <c r="BB176">
        <v>0</v>
      </c>
      <c r="BC176">
        <v>2</v>
      </c>
      <c r="BD176" t="str">
        <f>CONCATENATE(Table9[[#This Row],[Match Number]],Table9[[#This Row],[Team]],Table9[[#This Row],[BOWL NUM]])</f>
        <v>8UAE2</v>
      </c>
      <c r="BE176" t="str">
        <f>IFERROR(IF(AND(Table9[[#This Row],[Team]]=I_TEAM,IFERROR(IF(MATCH(Table9[[#This Row],[Bowler]],$AR$5:AR175,0)&gt;0,0),1)),1,0),"")</f>
        <v/>
      </c>
      <c r="BF176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7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76" t="e">
        <f>IF(Table9[[#This Row],[Team]]=I_TEAM,Table9[[#This Row],[Wickets]]*100-Table9[[#This Row],[Runs]],0)</f>
        <v>#REF!</v>
      </c>
      <c r="BI176">
        <f>Table9[[#This Row],[Wickets]]*100-Table9[[#This Row],[Runs]]</f>
        <v>51</v>
      </c>
      <c r="BJ176">
        <f ca="1">IFERROR(IF(MATCH(Table9[[#This Row],[Bowler]],OFFSET(AR177,0,0,BOWLROWS-ROW(AR176)-ROW(Table9[[#Headers],[BOWLER CUML WICKETS]])),0)&gt;0,0,SUMIF($AR$6:AR176,Table9[[#This Row],[Bowler]],$AV$6:AV176)),SUMIF($AR$6:AR176,Table9[[#This Row],[Bowler]],$AV$6:AV176))</f>
        <v>0</v>
      </c>
      <c r="BK176">
        <f ca="1">IFERROR(IF(MATCH(Table9[[#This Row],[Bowler]],OFFSET(AR177,0,0,BOWLROWS-ROW(AR176)-ROW(Table9[[#Headers],[BOWLER CUML WICKETS]])),0)&gt;0,0,SUMIF($AR$6:AR176,Table9[[#This Row],[Bowler]],$AU$6:AU176)),SUMIF($AR$6:AR176,Table9[[#This Row],[Bowler]],$AU$6:AU176))</f>
        <v>0</v>
      </c>
      <c r="BL176">
        <f ca="1">Table9[[#This Row],[BOWLER CUML WICKETS]]*100-Table9[[#This Row],[BOWLER CUML RUNS]]</f>
        <v>0</v>
      </c>
    </row>
    <row r="177" spans="1:64" x14ac:dyDescent="0.3">
      <c r="A177">
        <v>3</v>
      </c>
      <c r="B177" t="s">
        <v>158</v>
      </c>
      <c r="C177" t="s">
        <v>218</v>
      </c>
      <c r="D177" t="s">
        <v>418</v>
      </c>
      <c r="E177">
        <v>80</v>
      </c>
      <c r="F177">
        <v>98</v>
      </c>
      <c r="G177">
        <v>74</v>
      </c>
      <c r="H177">
        <v>8</v>
      </c>
      <c r="I177">
        <v>2</v>
      </c>
      <c r="J177">
        <v>108.1</v>
      </c>
      <c r="K177">
        <v>3</v>
      </c>
      <c r="L177" t="str">
        <f>CONCATENATE(T_BATTINGDATA[[#This Row],[Match]],T_BATTINGDATA[[#This Row],[Team]],T_BATTINGDATA[[#This Row],[Bat Number]])</f>
        <v>3Zimbabwe3</v>
      </c>
      <c r="M177" t="str">
        <f>IFERROR(IF(AND(T_BATTINGDATA[[#This Row],[Team]]=I_TEAM,IFERROR(IF(MATCH(T_BATTINGDATA[[#This Row],[BATSMAN NAME]],$O$5:O176,0)&gt;0,0),1)),1,0),"")</f>
        <v/>
      </c>
      <c r="N177" t="e">
        <f>IF(T_BATTINGDATA[[#This Row],[Team]]=I_TEAM,T_BATTINGDATA[[#This Row],[R]],0)</f>
        <v>#REF!</v>
      </c>
      <c r="O177" t="str">
        <f>LEFT(T_BATTINGDATA[[#This Row],[Batsman]],IFERROR(FIND("*",T_BATTINGDATA[[#This Row],[Batsman]])-1,IFERROR(FIND("†",T_BATTINGDATA[[#This Row],[Batsman]])-1,LEN(T_BATTINGDATA[[#This Row],[Batsman]]))))</f>
        <v>H Masakadza</v>
      </c>
      <c r="P177">
        <f ca="1">IFERROR(IF(MATCH(T_BATTINGDATA[[#This Row],[BATSMAN NAME]],OFFSET(O178,0,0,BATROWS-ROW(O177)-ROW(T_BATTINGDATA[[#Headers],[BATSMAN NAME]])),0)&gt;0,0,SUMIF($O$6:O177,T_BATTINGDATA[[#This Row],[BATSMAN NAME]],$E$6:E177)),SUMIF($O$6:O177,T_BATTINGDATA[[#This Row],[BATSMAN NAME]],$E$6:E177))</f>
        <v>0</v>
      </c>
      <c r="AP177">
        <v>8</v>
      </c>
      <c r="AQ177" t="s">
        <v>164</v>
      </c>
      <c r="AR177" t="s">
        <v>419</v>
      </c>
      <c r="AS177">
        <v>10</v>
      </c>
      <c r="AT177">
        <v>0</v>
      </c>
      <c r="AU177">
        <v>53</v>
      </c>
      <c r="AV177">
        <v>1</v>
      </c>
      <c r="AW177">
        <v>5.3</v>
      </c>
      <c r="AX177">
        <v>30</v>
      </c>
      <c r="AY177">
        <v>3</v>
      </c>
      <c r="AZ177">
        <v>1</v>
      </c>
      <c r="BA177">
        <v>0</v>
      </c>
      <c r="BB177">
        <v>0</v>
      </c>
      <c r="BC177">
        <v>3</v>
      </c>
      <c r="BD177" t="str">
        <f>CONCATENATE(Table9[[#This Row],[Match Number]],Table9[[#This Row],[Team]],Table9[[#This Row],[BOWL NUM]])</f>
        <v>8UAE3</v>
      </c>
      <c r="BE177" t="str">
        <f>IFERROR(IF(AND(Table9[[#This Row],[Team]]=I_TEAM,IFERROR(IF(MATCH(Table9[[#This Row],[Bowler]],$AR$5:AR176,0)&gt;0,0),1)),1,0),"")</f>
        <v/>
      </c>
      <c r="BF17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7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77" t="e">
        <f>IF(Table9[[#This Row],[Team]]=I_TEAM,Table9[[#This Row],[Wickets]]*100-Table9[[#This Row],[Runs]],0)</f>
        <v>#REF!</v>
      </c>
      <c r="BI177">
        <f>Table9[[#This Row],[Wickets]]*100-Table9[[#This Row],[Runs]]</f>
        <v>47</v>
      </c>
      <c r="BJ177">
        <f ca="1">IFERROR(IF(MATCH(Table9[[#This Row],[Bowler]],OFFSET(AR178,0,0,BOWLROWS-ROW(AR177)-ROW(Table9[[#Headers],[BOWLER CUML WICKETS]])),0)&gt;0,0,SUMIF($AR$6:AR177,Table9[[#This Row],[Bowler]],$AV$6:AV177)),SUMIF($AR$6:AR177,Table9[[#This Row],[Bowler]],$AV$6:AV177))</f>
        <v>0</v>
      </c>
      <c r="BK177">
        <f ca="1">IFERROR(IF(MATCH(Table9[[#This Row],[Bowler]],OFFSET(AR178,0,0,BOWLROWS-ROW(AR177)-ROW(Table9[[#Headers],[BOWLER CUML WICKETS]])),0)&gt;0,0,SUMIF($AR$6:AR177,Table9[[#This Row],[Bowler]],$AU$6:AU177)),SUMIF($AR$6:AR177,Table9[[#This Row],[Bowler]],$AU$6:AU177))</f>
        <v>0</v>
      </c>
      <c r="BL177">
        <f ca="1">Table9[[#This Row],[BOWLER CUML WICKETS]]*100-Table9[[#This Row],[BOWLER CUML RUNS]]</f>
        <v>0</v>
      </c>
    </row>
    <row r="178" spans="1:64" x14ac:dyDescent="0.3">
      <c r="A178">
        <v>3</v>
      </c>
      <c r="B178" t="s">
        <v>158</v>
      </c>
      <c r="C178" t="s">
        <v>420</v>
      </c>
      <c r="D178" t="s">
        <v>421</v>
      </c>
      <c r="E178">
        <v>40</v>
      </c>
      <c r="F178">
        <v>51</v>
      </c>
      <c r="G178">
        <v>40</v>
      </c>
      <c r="H178">
        <v>4</v>
      </c>
      <c r="I178">
        <v>1</v>
      </c>
      <c r="J178">
        <v>100</v>
      </c>
      <c r="K178">
        <v>4</v>
      </c>
      <c r="L178" t="str">
        <f>CONCATENATE(T_BATTINGDATA[[#This Row],[Match]],T_BATTINGDATA[[#This Row],[Team]],T_BATTINGDATA[[#This Row],[Bat Number]])</f>
        <v>3Zimbabwe4</v>
      </c>
      <c r="M178" t="str">
        <f>IFERROR(IF(AND(T_BATTINGDATA[[#This Row],[Team]]=I_TEAM,IFERROR(IF(MATCH(T_BATTINGDATA[[#This Row],[BATSMAN NAME]],$O$5:O177,0)&gt;0,0),1)),1,0),"")</f>
        <v/>
      </c>
      <c r="N178" t="e">
        <f>IF(T_BATTINGDATA[[#This Row],[Team]]=I_TEAM,T_BATTINGDATA[[#This Row],[R]],0)</f>
        <v>#REF!</v>
      </c>
      <c r="O178" t="str">
        <f>LEFT(T_BATTINGDATA[[#This Row],[Batsman]],IFERROR(FIND("*",T_BATTINGDATA[[#This Row],[Batsman]])-1,IFERROR(FIND("†",T_BATTINGDATA[[#This Row],[Batsman]])-1,LEN(T_BATTINGDATA[[#This Row],[Batsman]]))))</f>
        <v>BRM Taylor</v>
      </c>
      <c r="P178">
        <f ca="1">IFERROR(IF(MATCH(T_BATTINGDATA[[#This Row],[BATSMAN NAME]],OFFSET(O179,0,0,BATROWS-ROW(O178)-ROW(T_BATTINGDATA[[#Headers],[BATSMAN NAME]])),0)&gt;0,0,SUMIF($O$6:O178,T_BATTINGDATA[[#This Row],[BATSMAN NAME]],$E$6:E178)),SUMIF($O$6:O178,T_BATTINGDATA[[#This Row],[BATSMAN NAME]],$E$6:E178))</f>
        <v>0</v>
      </c>
      <c r="AP178">
        <v>8</v>
      </c>
      <c r="AQ178" t="s">
        <v>164</v>
      </c>
      <c r="AR178" t="s">
        <v>233</v>
      </c>
      <c r="AS178">
        <v>9</v>
      </c>
      <c r="AT178">
        <v>0</v>
      </c>
      <c r="AU178">
        <v>51</v>
      </c>
      <c r="AV178">
        <v>2</v>
      </c>
      <c r="AW178">
        <v>5.66</v>
      </c>
      <c r="AX178">
        <v>26</v>
      </c>
      <c r="AY178">
        <v>5</v>
      </c>
      <c r="AZ178">
        <v>1</v>
      </c>
      <c r="BA178">
        <v>1</v>
      </c>
      <c r="BB178">
        <v>0</v>
      </c>
      <c r="BC178">
        <v>4</v>
      </c>
      <c r="BD178" t="str">
        <f>CONCATENATE(Table9[[#This Row],[Match Number]],Table9[[#This Row],[Team]],Table9[[#This Row],[BOWL NUM]])</f>
        <v>8UAE4</v>
      </c>
      <c r="BE178" t="str">
        <f>IFERROR(IF(AND(Table9[[#This Row],[Team]]=I_TEAM,IFERROR(IF(MATCH(Table9[[#This Row],[Bowler]],$AR$5:AR177,0)&gt;0,0),1)),1,0),"")</f>
        <v/>
      </c>
      <c r="BF178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7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78" t="e">
        <f>IF(Table9[[#This Row],[Team]]=I_TEAM,Table9[[#This Row],[Wickets]]*100-Table9[[#This Row],[Runs]],0)</f>
        <v>#REF!</v>
      </c>
      <c r="BI178">
        <f>Table9[[#This Row],[Wickets]]*100-Table9[[#This Row],[Runs]]</f>
        <v>149</v>
      </c>
      <c r="BJ178">
        <f ca="1">IFERROR(IF(MATCH(Table9[[#This Row],[Bowler]],OFFSET(AR179,0,0,BOWLROWS-ROW(AR178)-ROW(Table9[[#Headers],[BOWLER CUML WICKETS]])),0)&gt;0,0,SUMIF($AR$6:AR178,Table9[[#This Row],[Bowler]],$AV$6:AV178)),SUMIF($AR$6:AR178,Table9[[#This Row],[Bowler]],$AV$6:AV178))</f>
        <v>0</v>
      </c>
      <c r="BK178">
        <f ca="1">IFERROR(IF(MATCH(Table9[[#This Row],[Bowler]],OFFSET(AR179,0,0,BOWLROWS-ROW(AR178)-ROW(Table9[[#Headers],[BOWLER CUML WICKETS]])),0)&gt;0,0,SUMIF($AR$6:AR178,Table9[[#This Row],[Bowler]],$AU$6:AU178)),SUMIF($AR$6:AR178,Table9[[#This Row],[Bowler]],$AU$6:AU178))</f>
        <v>0</v>
      </c>
      <c r="BL178">
        <f ca="1">Table9[[#This Row],[BOWLER CUML WICKETS]]*100-Table9[[#This Row],[BOWLER CUML RUNS]]</f>
        <v>0</v>
      </c>
    </row>
    <row r="179" spans="1:64" x14ac:dyDescent="0.3">
      <c r="A179">
        <v>3</v>
      </c>
      <c r="B179" t="s">
        <v>158</v>
      </c>
      <c r="C179" t="s">
        <v>214</v>
      </c>
      <c r="D179" t="s">
        <v>422</v>
      </c>
      <c r="E179">
        <v>8</v>
      </c>
      <c r="F179">
        <v>26</v>
      </c>
      <c r="G179">
        <v>13</v>
      </c>
      <c r="H179">
        <v>1</v>
      </c>
      <c r="I179">
        <v>0</v>
      </c>
      <c r="J179">
        <v>61.53</v>
      </c>
      <c r="K179">
        <v>5</v>
      </c>
      <c r="L179" t="str">
        <f>CONCATENATE(T_BATTINGDATA[[#This Row],[Match]],T_BATTINGDATA[[#This Row],[Team]],T_BATTINGDATA[[#This Row],[Bat Number]])</f>
        <v>3Zimbabwe5</v>
      </c>
      <c r="M179" t="str">
        <f>IFERROR(IF(AND(T_BATTINGDATA[[#This Row],[Team]]=I_TEAM,IFERROR(IF(MATCH(T_BATTINGDATA[[#This Row],[BATSMAN NAME]],$O$5:O178,0)&gt;0,0),1)),1,0),"")</f>
        <v/>
      </c>
      <c r="N179" t="e">
        <f>IF(T_BATTINGDATA[[#This Row],[Team]]=I_TEAM,T_BATTINGDATA[[#This Row],[R]],0)</f>
        <v>#REF!</v>
      </c>
      <c r="O179" t="str">
        <f>LEFT(T_BATTINGDATA[[#This Row],[Batsman]],IFERROR(FIND("*",T_BATTINGDATA[[#This Row],[Batsman]])-1,IFERROR(FIND("†",T_BATTINGDATA[[#This Row],[Batsman]])-1,LEN(T_BATTINGDATA[[#This Row],[Batsman]]))))</f>
        <v>SC Williams</v>
      </c>
      <c r="P179">
        <f ca="1">IFERROR(IF(MATCH(T_BATTINGDATA[[#This Row],[BATSMAN NAME]],OFFSET(O180,0,0,BATROWS-ROW(O179)-ROW(T_BATTINGDATA[[#Headers],[BATSMAN NAME]])),0)&gt;0,0,SUMIF($O$6:O179,T_BATTINGDATA[[#This Row],[BATSMAN NAME]],$E$6:E179)),SUMIF($O$6:O179,T_BATTINGDATA[[#This Row],[BATSMAN NAME]],$E$6:E179))</f>
        <v>0</v>
      </c>
      <c r="AP179">
        <v>8</v>
      </c>
      <c r="AQ179" t="s">
        <v>164</v>
      </c>
      <c r="AR179" t="s">
        <v>230</v>
      </c>
      <c r="AS179">
        <v>9</v>
      </c>
      <c r="AT179">
        <v>0</v>
      </c>
      <c r="AU179">
        <v>59</v>
      </c>
      <c r="AV179">
        <v>1</v>
      </c>
      <c r="AW179">
        <v>6.55</v>
      </c>
      <c r="AX179">
        <v>22</v>
      </c>
      <c r="AY179">
        <v>4</v>
      </c>
      <c r="AZ179">
        <v>2</v>
      </c>
      <c r="BA179">
        <v>0</v>
      </c>
      <c r="BB179">
        <v>0</v>
      </c>
      <c r="BC179">
        <v>5</v>
      </c>
      <c r="BD179" t="str">
        <f>CONCATENATE(Table9[[#This Row],[Match Number]],Table9[[#This Row],[Team]],Table9[[#This Row],[BOWL NUM]])</f>
        <v>8UAE5</v>
      </c>
      <c r="BE179" t="str">
        <f>IFERROR(IF(AND(Table9[[#This Row],[Team]]=I_TEAM,IFERROR(IF(MATCH(Table9[[#This Row],[Bowler]],$AR$5:AR178,0)&gt;0,0),1)),1,0),"")</f>
        <v/>
      </c>
      <c r="BF179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7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79" t="e">
        <f>IF(Table9[[#This Row],[Team]]=I_TEAM,Table9[[#This Row],[Wickets]]*100-Table9[[#This Row],[Runs]],0)</f>
        <v>#REF!</v>
      </c>
      <c r="BI179">
        <f>Table9[[#This Row],[Wickets]]*100-Table9[[#This Row],[Runs]]</f>
        <v>41</v>
      </c>
      <c r="BJ179">
        <f ca="1">IFERROR(IF(MATCH(Table9[[#This Row],[Bowler]],OFFSET(AR180,0,0,BOWLROWS-ROW(AR179)-ROW(Table9[[#Headers],[BOWLER CUML WICKETS]])),0)&gt;0,0,SUMIF($AR$6:AR179,Table9[[#This Row],[Bowler]],$AV$6:AV179)),SUMIF($AR$6:AR179,Table9[[#This Row],[Bowler]],$AV$6:AV179))</f>
        <v>0</v>
      </c>
      <c r="BK179">
        <f ca="1">IFERROR(IF(MATCH(Table9[[#This Row],[Bowler]],OFFSET(AR180,0,0,BOWLROWS-ROW(AR179)-ROW(Table9[[#Headers],[BOWLER CUML WICKETS]])),0)&gt;0,0,SUMIF($AR$6:AR179,Table9[[#This Row],[Bowler]],$AU$6:AU179)),SUMIF($AR$6:AR179,Table9[[#This Row],[Bowler]],$AU$6:AU179))</f>
        <v>0</v>
      </c>
      <c r="BL179">
        <f ca="1">Table9[[#This Row],[BOWLER CUML WICKETS]]*100-Table9[[#This Row],[BOWLER CUML RUNS]]</f>
        <v>0</v>
      </c>
    </row>
    <row r="180" spans="1:64" x14ac:dyDescent="0.3">
      <c r="A180">
        <v>3</v>
      </c>
      <c r="B180" t="s">
        <v>158</v>
      </c>
      <c r="C180" t="s">
        <v>231</v>
      </c>
      <c r="D180" t="s">
        <v>423</v>
      </c>
      <c r="E180">
        <v>13</v>
      </c>
      <c r="F180">
        <v>29</v>
      </c>
      <c r="G180">
        <v>21</v>
      </c>
      <c r="H180">
        <v>0</v>
      </c>
      <c r="I180">
        <v>1</v>
      </c>
      <c r="J180">
        <v>61.9</v>
      </c>
      <c r="K180">
        <v>6</v>
      </c>
      <c r="L180" t="str">
        <f>CONCATENATE(T_BATTINGDATA[[#This Row],[Match]],T_BATTINGDATA[[#This Row],[Team]],T_BATTINGDATA[[#This Row],[Bat Number]])</f>
        <v>3Zimbabwe6</v>
      </c>
      <c r="M180" t="str">
        <f>IFERROR(IF(AND(T_BATTINGDATA[[#This Row],[Team]]=I_TEAM,IFERROR(IF(MATCH(T_BATTINGDATA[[#This Row],[BATSMAN NAME]],$O$5:O179,0)&gt;0,0),1)),1,0),"")</f>
        <v/>
      </c>
      <c r="N180" t="e">
        <f>IF(T_BATTINGDATA[[#This Row],[Team]]=I_TEAM,T_BATTINGDATA[[#This Row],[R]],0)</f>
        <v>#REF!</v>
      </c>
      <c r="O180" t="str">
        <f>LEFT(T_BATTINGDATA[[#This Row],[Batsman]],IFERROR(FIND("*",T_BATTINGDATA[[#This Row],[Batsman]])-1,IFERROR(FIND("†",T_BATTINGDATA[[#This Row],[Batsman]])-1,LEN(T_BATTINGDATA[[#This Row],[Batsman]]))))</f>
        <v>CR Ervine</v>
      </c>
      <c r="P180">
        <f ca="1">IFERROR(IF(MATCH(T_BATTINGDATA[[#This Row],[BATSMAN NAME]],OFFSET(O181,0,0,BATROWS-ROW(O180)-ROW(T_BATTINGDATA[[#Headers],[BATSMAN NAME]])),0)&gt;0,0,SUMIF($O$6:O180,T_BATTINGDATA[[#This Row],[BATSMAN NAME]],$E$6:E180)),SUMIF($O$6:O180,T_BATTINGDATA[[#This Row],[BATSMAN NAME]],$E$6:E180))</f>
        <v>0</v>
      </c>
      <c r="AP180">
        <v>8</v>
      </c>
      <c r="AQ180" t="s">
        <v>164</v>
      </c>
      <c r="AR180" t="s">
        <v>256</v>
      </c>
      <c r="AS180">
        <v>1</v>
      </c>
      <c r="AT180">
        <v>0</v>
      </c>
      <c r="AU180">
        <v>8</v>
      </c>
      <c r="AV180">
        <v>0</v>
      </c>
      <c r="AW180">
        <v>8</v>
      </c>
      <c r="AX180">
        <v>2</v>
      </c>
      <c r="AY180">
        <v>1</v>
      </c>
      <c r="AZ180">
        <v>0</v>
      </c>
      <c r="BA180">
        <v>0</v>
      </c>
      <c r="BB180">
        <v>0</v>
      </c>
      <c r="BC180">
        <v>6</v>
      </c>
      <c r="BD180" t="str">
        <f>CONCATENATE(Table9[[#This Row],[Match Number]],Table9[[#This Row],[Team]],Table9[[#This Row],[BOWL NUM]])</f>
        <v>8UAE6</v>
      </c>
      <c r="BE180" t="str">
        <f>IFERROR(IF(AND(Table9[[#This Row],[Team]]=I_TEAM,IFERROR(IF(MATCH(Table9[[#This Row],[Bowler]],$AR$5:AR179,0)&gt;0,0),1)),1,0),"")</f>
        <v/>
      </c>
      <c r="BF180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18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80" t="e">
        <f>IF(Table9[[#This Row],[Team]]=I_TEAM,Table9[[#This Row],[Wickets]]*100-Table9[[#This Row],[Runs]],0)</f>
        <v>#REF!</v>
      </c>
      <c r="BI180">
        <f>Table9[[#This Row],[Wickets]]*100-Table9[[#This Row],[Runs]]</f>
        <v>-8</v>
      </c>
      <c r="BJ180">
        <f ca="1">IFERROR(IF(MATCH(Table9[[#This Row],[Bowler]],OFFSET(AR181,0,0,BOWLROWS-ROW(AR180)-ROW(Table9[[#Headers],[BOWLER CUML WICKETS]])),0)&gt;0,0,SUMIF($AR$6:AR180,Table9[[#This Row],[Bowler]],$AV$6:AV180)),SUMIF($AR$6:AR180,Table9[[#This Row],[Bowler]],$AV$6:AV180))</f>
        <v>0</v>
      </c>
      <c r="BK180">
        <f ca="1">IFERROR(IF(MATCH(Table9[[#This Row],[Bowler]],OFFSET(AR181,0,0,BOWLROWS-ROW(AR180)-ROW(Table9[[#Headers],[BOWLER CUML WICKETS]])),0)&gt;0,0,SUMIF($AR$6:AR180,Table9[[#This Row],[Bowler]],$AU$6:AU180)),SUMIF($AR$6:AR180,Table9[[#This Row],[Bowler]],$AU$6:AU180))</f>
        <v>0</v>
      </c>
      <c r="BL180">
        <f ca="1">Table9[[#This Row],[BOWLER CUML WICKETS]]*100-Table9[[#This Row],[BOWLER CUML RUNS]]</f>
        <v>0</v>
      </c>
    </row>
    <row r="181" spans="1:64" x14ac:dyDescent="0.3">
      <c r="A181">
        <v>3</v>
      </c>
      <c r="B181" t="s">
        <v>158</v>
      </c>
      <c r="C181" t="s">
        <v>424</v>
      </c>
      <c r="D181" t="s">
        <v>139</v>
      </c>
      <c r="E181">
        <v>8</v>
      </c>
      <c r="F181">
        <v>13</v>
      </c>
      <c r="G181">
        <v>7</v>
      </c>
      <c r="H181">
        <v>0</v>
      </c>
      <c r="I181">
        <v>1</v>
      </c>
      <c r="J181">
        <v>114.28</v>
      </c>
      <c r="K181">
        <v>7</v>
      </c>
      <c r="L181" t="str">
        <f>CONCATENATE(T_BATTINGDATA[[#This Row],[Match]],T_BATTINGDATA[[#This Row],[Team]],T_BATTINGDATA[[#This Row],[Bat Number]])</f>
        <v>3Zimbabwe7</v>
      </c>
      <c r="M181" t="str">
        <f>IFERROR(IF(AND(T_BATTINGDATA[[#This Row],[Team]]=I_TEAM,IFERROR(IF(MATCH(T_BATTINGDATA[[#This Row],[BATSMAN NAME]],$O$5:O180,0)&gt;0,0),1)),1,0),"")</f>
        <v/>
      </c>
      <c r="N181" t="e">
        <f>IF(T_BATTINGDATA[[#This Row],[Team]]=I_TEAM,T_BATTINGDATA[[#This Row],[R]],0)</f>
        <v>#REF!</v>
      </c>
      <c r="O181" t="str">
        <f>LEFT(T_BATTINGDATA[[#This Row],[Batsman]],IFERROR(FIND("*",T_BATTINGDATA[[#This Row],[Batsman]])-1,IFERROR(FIND("†",T_BATTINGDATA[[#This Row],[Batsman]])-1,LEN(T_BATTINGDATA[[#This Row],[Batsman]]))))</f>
        <v>E Chigumbura</v>
      </c>
      <c r="P181">
        <f ca="1">IFERROR(IF(MATCH(T_BATTINGDATA[[#This Row],[BATSMAN NAME]],OFFSET(O182,0,0,BATROWS-ROW(O181)-ROW(T_BATTINGDATA[[#Headers],[BATSMAN NAME]])),0)&gt;0,0,SUMIF($O$6:O181,T_BATTINGDATA[[#This Row],[BATSMAN NAME]],$E$6:E181)),SUMIF($O$6:O181,T_BATTINGDATA[[#This Row],[BATSMAN NAME]],$E$6:E181))</f>
        <v>0</v>
      </c>
      <c r="AP181">
        <v>9</v>
      </c>
      <c r="AQ181" t="s">
        <v>140</v>
      </c>
      <c r="AR181" t="s">
        <v>297</v>
      </c>
      <c r="AS181">
        <v>9</v>
      </c>
      <c r="AT181">
        <v>0</v>
      </c>
      <c r="AU181">
        <v>33</v>
      </c>
      <c r="AV181">
        <v>7</v>
      </c>
      <c r="AW181">
        <v>3.66</v>
      </c>
      <c r="AX181">
        <v>38</v>
      </c>
      <c r="AY181">
        <v>4</v>
      </c>
      <c r="AZ181">
        <v>0</v>
      </c>
      <c r="BA181">
        <v>3</v>
      </c>
      <c r="BB181">
        <v>0</v>
      </c>
      <c r="BC181">
        <v>1</v>
      </c>
      <c r="BD181" t="str">
        <f>CONCATENATE(Table9[[#This Row],[Match Number]],Table9[[#This Row],[Team]],Table9[[#This Row],[BOWL NUM]])</f>
        <v>9New Zealand1</v>
      </c>
      <c r="BE181" t="str">
        <f>IFERROR(IF(AND(Table9[[#This Row],[Team]]=I_TEAM,IFERROR(IF(MATCH(Table9[[#This Row],[Bowler]],$AR$5:AR180,0)&gt;0,0),1)),1,0),"")</f>
        <v/>
      </c>
      <c r="BF181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8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81" t="e">
        <f>IF(Table9[[#This Row],[Team]]=I_TEAM,Table9[[#This Row],[Wickets]]*100-Table9[[#This Row],[Runs]],0)</f>
        <v>#REF!</v>
      </c>
      <c r="BI181">
        <f>Table9[[#This Row],[Wickets]]*100-Table9[[#This Row],[Runs]]</f>
        <v>667</v>
      </c>
      <c r="BJ181">
        <f ca="1">IFERROR(IF(MATCH(Table9[[#This Row],[Bowler]],OFFSET(AR182,0,0,BOWLROWS-ROW(AR181)-ROW(Table9[[#Headers],[BOWLER CUML WICKETS]])),0)&gt;0,0,SUMIF($AR$6:AR181,Table9[[#This Row],[Bowler]],$AV$6:AV181)),SUMIF($AR$6:AR181,Table9[[#This Row],[Bowler]],$AV$6:AV181))</f>
        <v>0</v>
      </c>
      <c r="BK181">
        <f ca="1">IFERROR(IF(MATCH(Table9[[#This Row],[Bowler]],OFFSET(AR182,0,0,BOWLROWS-ROW(AR181)-ROW(Table9[[#Headers],[BOWLER CUML WICKETS]])),0)&gt;0,0,SUMIF($AR$6:AR181,Table9[[#This Row],[Bowler]],$AU$6:AU181)),SUMIF($AR$6:AR181,Table9[[#This Row],[Bowler]],$AU$6:AU181))</f>
        <v>0</v>
      </c>
      <c r="BL181">
        <f ca="1">Table9[[#This Row],[BOWLER CUML WICKETS]]*100-Table9[[#This Row],[BOWLER CUML RUNS]]</f>
        <v>0</v>
      </c>
    </row>
    <row r="182" spans="1:64" x14ac:dyDescent="0.3">
      <c r="A182">
        <v>3</v>
      </c>
      <c r="B182" t="s">
        <v>158</v>
      </c>
      <c r="C182" t="s">
        <v>211</v>
      </c>
      <c r="D182" t="s">
        <v>425</v>
      </c>
      <c r="E182">
        <v>27</v>
      </c>
      <c r="F182">
        <v>28</v>
      </c>
      <c r="G182">
        <v>25</v>
      </c>
      <c r="H182">
        <v>2</v>
      </c>
      <c r="I182">
        <v>2</v>
      </c>
      <c r="J182">
        <v>108</v>
      </c>
      <c r="K182">
        <v>8</v>
      </c>
      <c r="L182" t="str">
        <f>CONCATENATE(T_BATTINGDATA[[#This Row],[Match]],T_BATTINGDATA[[#This Row],[Team]],T_BATTINGDATA[[#This Row],[Bat Number]])</f>
        <v>3Zimbabwe8</v>
      </c>
      <c r="M182" t="str">
        <f>IFERROR(IF(AND(T_BATTINGDATA[[#This Row],[Team]]=I_TEAM,IFERROR(IF(MATCH(T_BATTINGDATA[[#This Row],[BATSMAN NAME]],$O$5:O181,0)&gt;0,0),1)),1,0),"")</f>
        <v/>
      </c>
      <c r="N182" t="e">
        <f>IF(T_BATTINGDATA[[#This Row],[Team]]=I_TEAM,T_BATTINGDATA[[#This Row],[R]],0)</f>
        <v>#REF!</v>
      </c>
      <c r="O182" t="str">
        <f>LEFT(T_BATTINGDATA[[#This Row],[Batsman]],IFERROR(FIND("*",T_BATTINGDATA[[#This Row],[Batsman]])-1,IFERROR(FIND("†",T_BATTINGDATA[[#This Row],[Batsman]])-1,LEN(T_BATTINGDATA[[#This Row],[Batsman]]))))</f>
        <v>SF Mire</v>
      </c>
      <c r="P182">
        <f ca="1">IFERROR(IF(MATCH(T_BATTINGDATA[[#This Row],[BATSMAN NAME]],OFFSET(O183,0,0,BATROWS-ROW(O182)-ROW(T_BATTINGDATA[[#Headers],[BATSMAN NAME]])),0)&gt;0,0,SUMIF($O$6:O182,T_BATTINGDATA[[#This Row],[BATSMAN NAME]],$E$6:E182)),SUMIF($O$6:O182,T_BATTINGDATA[[#This Row],[BATSMAN NAME]],$E$6:E182))</f>
        <v>0</v>
      </c>
      <c r="AP182">
        <v>9</v>
      </c>
      <c r="AQ182" t="s">
        <v>140</v>
      </c>
      <c r="AR182" t="s">
        <v>299</v>
      </c>
      <c r="AS182">
        <v>10</v>
      </c>
      <c r="AT182">
        <v>2</v>
      </c>
      <c r="AU182">
        <v>32</v>
      </c>
      <c r="AV182">
        <v>1</v>
      </c>
      <c r="AW182">
        <v>3.2</v>
      </c>
      <c r="AX182">
        <v>39</v>
      </c>
      <c r="AY182">
        <v>1</v>
      </c>
      <c r="AZ182">
        <v>0</v>
      </c>
      <c r="BA182">
        <v>1</v>
      </c>
      <c r="BB182">
        <v>0</v>
      </c>
      <c r="BC182">
        <v>2</v>
      </c>
      <c r="BD182" t="str">
        <f>CONCATENATE(Table9[[#This Row],[Match Number]],Table9[[#This Row],[Team]],Table9[[#This Row],[BOWL NUM]])</f>
        <v>9New Zealand2</v>
      </c>
      <c r="BE182" t="str">
        <f>IFERROR(IF(AND(Table9[[#This Row],[Team]]=I_TEAM,IFERROR(IF(MATCH(Table9[[#This Row],[Bowler]],$AR$5:AR181,0)&gt;0,0),1)),1,0),"")</f>
        <v/>
      </c>
      <c r="BF18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8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82" t="e">
        <f>IF(Table9[[#This Row],[Team]]=I_TEAM,Table9[[#This Row],[Wickets]]*100-Table9[[#This Row],[Runs]],0)</f>
        <v>#REF!</v>
      </c>
      <c r="BI182">
        <f>Table9[[#This Row],[Wickets]]*100-Table9[[#This Row],[Runs]]</f>
        <v>68</v>
      </c>
      <c r="BJ182">
        <f ca="1">IFERROR(IF(MATCH(Table9[[#This Row],[Bowler]],OFFSET(AR183,0,0,BOWLROWS-ROW(AR182)-ROW(Table9[[#Headers],[BOWLER CUML WICKETS]])),0)&gt;0,0,SUMIF($AR$6:AR182,Table9[[#This Row],[Bowler]],$AV$6:AV182)),SUMIF($AR$6:AR182,Table9[[#This Row],[Bowler]],$AV$6:AV182))</f>
        <v>0</v>
      </c>
      <c r="BK182">
        <f ca="1">IFERROR(IF(MATCH(Table9[[#This Row],[Bowler]],OFFSET(AR183,0,0,BOWLROWS-ROW(AR182)-ROW(Table9[[#Headers],[BOWLER CUML WICKETS]])),0)&gt;0,0,SUMIF($AR$6:AR182,Table9[[#This Row],[Bowler]],$AU$6:AU182)),SUMIF($AR$6:AR182,Table9[[#This Row],[Bowler]],$AU$6:AU182))</f>
        <v>0</v>
      </c>
      <c r="BL182">
        <f ca="1">Table9[[#This Row],[BOWLER CUML WICKETS]]*100-Table9[[#This Row],[BOWLER CUML RUNS]]</f>
        <v>0</v>
      </c>
    </row>
    <row r="183" spans="1:64" x14ac:dyDescent="0.3">
      <c r="A183">
        <v>3</v>
      </c>
      <c r="B183" t="s">
        <v>158</v>
      </c>
      <c r="C183" t="s">
        <v>204</v>
      </c>
      <c r="D183" t="s">
        <v>426</v>
      </c>
      <c r="E183">
        <v>4</v>
      </c>
      <c r="F183">
        <v>3</v>
      </c>
      <c r="G183">
        <v>4</v>
      </c>
      <c r="H183">
        <v>1</v>
      </c>
      <c r="I183">
        <v>0</v>
      </c>
      <c r="J183">
        <v>100</v>
      </c>
      <c r="K183">
        <v>9</v>
      </c>
      <c r="L183" t="str">
        <f>CONCATENATE(T_BATTINGDATA[[#This Row],[Match]],T_BATTINGDATA[[#This Row],[Team]],T_BATTINGDATA[[#This Row],[Bat Number]])</f>
        <v>3Zimbabwe9</v>
      </c>
      <c r="M183" t="str">
        <f>IFERROR(IF(AND(T_BATTINGDATA[[#This Row],[Team]]=I_TEAM,IFERROR(IF(MATCH(T_BATTINGDATA[[#This Row],[BATSMAN NAME]],$O$5:O182,0)&gt;0,0),1)),1,0),"")</f>
        <v/>
      </c>
      <c r="N183" t="e">
        <f>IF(T_BATTINGDATA[[#This Row],[Team]]=I_TEAM,T_BATTINGDATA[[#This Row],[R]],0)</f>
        <v>#REF!</v>
      </c>
      <c r="O183" t="str">
        <f>LEFT(T_BATTINGDATA[[#This Row],[Batsman]],IFERROR(FIND("*",T_BATTINGDATA[[#This Row],[Batsman]])-1,IFERROR(FIND("†",T_BATTINGDATA[[#This Row],[Batsman]])-1,LEN(T_BATTINGDATA[[#This Row],[Batsman]]))))</f>
        <v>T Panyangara</v>
      </c>
      <c r="P183">
        <f ca="1">IFERROR(IF(MATCH(T_BATTINGDATA[[#This Row],[BATSMAN NAME]],OFFSET(O184,0,0,BATROWS-ROW(O183)-ROW(T_BATTINGDATA[[#Headers],[BATSMAN NAME]])),0)&gt;0,0,SUMIF($O$6:O183,T_BATTINGDATA[[#This Row],[BATSMAN NAME]],$E$6:E183)),SUMIF($O$6:O183,T_BATTINGDATA[[#This Row],[BATSMAN NAME]],$E$6:E183))</f>
        <v>0</v>
      </c>
      <c r="AP183">
        <v>9</v>
      </c>
      <c r="AQ183" t="s">
        <v>140</v>
      </c>
      <c r="AR183" t="s">
        <v>301</v>
      </c>
      <c r="AS183">
        <v>5.2</v>
      </c>
      <c r="AT183">
        <v>1</v>
      </c>
      <c r="AU183">
        <v>25</v>
      </c>
      <c r="AV183">
        <v>1</v>
      </c>
      <c r="AW183">
        <v>4.68</v>
      </c>
      <c r="AX183">
        <v>21</v>
      </c>
      <c r="AY183">
        <v>3</v>
      </c>
      <c r="AZ183">
        <v>0</v>
      </c>
      <c r="BA183">
        <v>2</v>
      </c>
      <c r="BB183">
        <v>0</v>
      </c>
      <c r="BC183">
        <v>3</v>
      </c>
      <c r="BD183" t="str">
        <f>CONCATENATE(Table9[[#This Row],[Match Number]],Table9[[#This Row],[Team]],Table9[[#This Row],[BOWL NUM]])</f>
        <v>9New Zealand3</v>
      </c>
      <c r="BE183" t="str">
        <f>IFERROR(IF(AND(Table9[[#This Row],[Team]]=I_TEAM,IFERROR(IF(MATCH(Table9[[#This Row],[Bowler]],$AR$5:AR182,0)&gt;0,0),1)),1,0),"")</f>
        <v/>
      </c>
      <c r="BF183">
        <f>(LEFT(Table9[[#This Row],[Overs]],IFERROR(FIND(".",Table9[[#This Row],[Overs]])-1,LEN(Table9[[#This Row],[Overs]])))*6) + IFERROR(IF(FIND(".",Table9[[#This Row],[Overs]])+1&gt;0,RIGHT(Table9[[#This Row],[Overs]],1),0),0)</f>
        <v>32</v>
      </c>
      <c r="BG18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83" t="e">
        <f>IF(Table9[[#This Row],[Team]]=I_TEAM,Table9[[#This Row],[Wickets]]*100-Table9[[#This Row],[Runs]],0)</f>
        <v>#REF!</v>
      </c>
      <c r="BI183">
        <f>Table9[[#This Row],[Wickets]]*100-Table9[[#This Row],[Runs]]</f>
        <v>75</v>
      </c>
      <c r="BJ183">
        <f ca="1">IFERROR(IF(MATCH(Table9[[#This Row],[Bowler]],OFFSET(AR184,0,0,BOWLROWS-ROW(AR183)-ROW(Table9[[#Headers],[BOWLER CUML WICKETS]])),0)&gt;0,0,SUMIF($AR$6:AR183,Table9[[#This Row],[Bowler]],$AV$6:AV183)),SUMIF($AR$6:AR183,Table9[[#This Row],[Bowler]],$AV$6:AV183))</f>
        <v>0</v>
      </c>
      <c r="BK183">
        <f ca="1">IFERROR(IF(MATCH(Table9[[#This Row],[Bowler]],OFFSET(AR184,0,0,BOWLROWS-ROW(AR183)-ROW(Table9[[#Headers],[BOWLER CUML WICKETS]])),0)&gt;0,0,SUMIF($AR$6:AR183,Table9[[#This Row],[Bowler]],$AU$6:AU183)),SUMIF($AR$6:AR183,Table9[[#This Row],[Bowler]],$AU$6:AU183))</f>
        <v>0</v>
      </c>
      <c r="BL183">
        <f ca="1">Table9[[#This Row],[BOWLER CUML WICKETS]]*100-Table9[[#This Row],[BOWLER CUML RUNS]]</f>
        <v>0</v>
      </c>
    </row>
    <row r="184" spans="1:64" x14ac:dyDescent="0.3">
      <c r="A184">
        <v>3</v>
      </c>
      <c r="B184" t="s">
        <v>158</v>
      </c>
      <c r="C184" t="s">
        <v>207</v>
      </c>
      <c r="D184" t="s">
        <v>427</v>
      </c>
      <c r="E184">
        <v>6</v>
      </c>
      <c r="F184">
        <v>21</v>
      </c>
      <c r="G184">
        <v>11</v>
      </c>
      <c r="H184">
        <v>1</v>
      </c>
      <c r="I184">
        <v>0</v>
      </c>
      <c r="J184">
        <v>54.54</v>
      </c>
      <c r="K184">
        <v>10</v>
      </c>
      <c r="L184" t="str">
        <f>CONCATENATE(T_BATTINGDATA[[#This Row],[Match]],T_BATTINGDATA[[#This Row],[Team]],T_BATTINGDATA[[#This Row],[Bat Number]])</f>
        <v>3Zimbabwe10</v>
      </c>
      <c r="M184" t="str">
        <f>IFERROR(IF(AND(T_BATTINGDATA[[#This Row],[Team]]=I_TEAM,IFERROR(IF(MATCH(T_BATTINGDATA[[#This Row],[BATSMAN NAME]],$O$5:O183,0)&gt;0,0),1)),1,0),"")</f>
        <v/>
      </c>
      <c r="N184" t="e">
        <f>IF(T_BATTINGDATA[[#This Row],[Team]]=I_TEAM,T_BATTINGDATA[[#This Row],[R]],0)</f>
        <v>#REF!</v>
      </c>
      <c r="O184" t="str">
        <f>LEFT(T_BATTINGDATA[[#This Row],[Batsman]],IFERROR(FIND("*",T_BATTINGDATA[[#This Row],[Batsman]])-1,IFERROR(FIND("†",T_BATTINGDATA[[#This Row],[Batsman]])-1,LEN(T_BATTINGDATA[[#This Row],[Batsman]]))))</f>
        <v>TL Chatara</v>
      </c>
      <c r="P184">
        <f ca="1">IFERROR(IF(MATCH(T_BATTINGDATA[[#This Row],[BATSMAN NAME]],OFFSET(O185,0,0,BATROWS-ROW(O184)-ROW(T_BATTINGDATA[[#Headers],[BATSMAN NAME]])),0)&gt;0,0,SUMIF($O$6:O184,T_BATTINGDATA[[#This Row],[BATSMAN NAME]],$E$6:E184)),SUMIF($O$6:O184,T_BATTINGDATA[[#This Row],[BATSMAN NAME]],$E$6:E184))</f>
        <v>0</v>
      </c>
      <c r="AP184">
        <v>9</v>
      </c>
      <c r="AQ184" t="s">
        <v>140</v>
      </c>
      <c r="AR184" t="s">
        <v>303</v>
      </c>
      <c r="AS184">
        <v>7</v>
      </c>
      <c r="AT184">
        <v>0</v>
      </c>
      <c r="AU184">
        <v>19</v>
      </c>
      <c r="AV184">
        <v>1</v>
      </c>
      <c r="AW184">
        <v>2.71</v>
      </c>
      <c r="AX184">
        <v>25</v>
      </c>
      <c r="AY184">
        <v>0</v>
      </c>
      <c r="AZ184">
        <v>0</v>
      </c>
      <c r="BA184">
        <v>0</v>
      </c>
      <c r="BB184">
        <v>0</v>
      </c>
      <c r="BC184">
        <v>4</v>
      </c>
      <c r="BD184" t="str">
        <f>CONCATENATE(Table9[[#This Row],[Match Number]],Table9[[#This Row],[Team]],Table9[[#This Row],[BOWL NUM]])</f>
        <v>9New Zealand4</v>
      </c>
      <c r="BE184" t="str">
        <f>IFERROR(IF(AND(Table9[[#This Row],[Team]]=I_TEAM,IFERROR(IF(MATCH(Table9[[#This Row],[Bowler]],$AR$5:AR183,0)&gt;0,0),1)),1,0),"")</f>
        <v/>
      </c>
      <c r="BF184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18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84" t="e">
        <f>IF(Table9[[#This Row],[Team]]=I_TEAM,Table9[[#This Row],[Wickets]]*100-Table9[[#This Row],[Runs]],0)</f>
        <v>#REF!</v>
      </c>
      <c r="BI184">
        <f>Table9[[#This Row],[Wickets]]*100-Table9[[#This Row],[Runs]]</f>
        <v>81</v>
      </c>
      <c r="BJ184">
        <f ca="1">IFERROR(IF(MATCH(Table9[[#This Row],[Bowler]],OFFSET(AR185,0,0,BOWLROWS-ROW(AR184)-ROW(Table9[[#Headers],[BOWLER CUML WICKETS]])),0)&gt;0,0,SUMIF($AR$6:AR184,Table9[[#This Row],[Bowler]],$AV$6:AV184)),SUMIF($AR$6:AR184,Table9[[#This Row],[Bowler]],$AV$6:AV184))</f>
        <v>0</v>
      </c>
      <c r="BK184">
        <f ca="1">IFERROR(IF(MATCH(Table9[[#This Row],[Bowler]],OFFSET(AR185,0,0,BOWLROWS-ROW(AR184)-ROW(Table9[[#Headers],[BOWLER CUML WICKETS]])),0)&gt;0,0,SUMIF($AR$6:AR184,Table9[[#This Row],[Bowler]],$AU$6:AU184)),SUMIF($AR$6:AR184,Table9[[#This Row],[Bowler]],$AU$6:AU184))</f>
        <v>0</v>
      </c>
      <c r="BL184">
        <f ca="1">Table9[[#This Row],[BOWLER CUML WICKETS]]*100-Table9[[#This Row],[BOWLER CUML RUNS]]</f>
        <v>0</v>
      </c>
    </row>
    <row r="185" spans="1:64" x14ac:dyDescent="0.3">
      <c r="A185">
        <v>3</v>
      </c>
      <c r="B185" t="s">
        <v>158</v>
      </c>
      <c r="C185" t="s">
        <v>338</v>
      </c>
      <c r="D185" t="s">
        <v>167</v>
      </c>
      <c r="E185">
        <v>0</v>
      </c>
      <c r="F185">
        <v>4</v>
      </c>
      <c r="G185">
        <v>0</v>
      </c>
      <c r="H185">
        <v>0</v>
      </c>
      <c r="I185">
        <v>0</v>
      </c>
      <c r="J185" t="s">
        <v>348</v>
      </c>
      <c r="K185">
        <v>11</v>
      </c>
      <c r="L185" t="str">
        <f>CONCATENATE(T_BATTINGDATA[[#This Row],[Match]],T_BATTINGDATA[[#This Row],[Team]],T_BATTINGDATA[[#This Row],[Bat Number]])</f>
        <v>3Zimbabwe11</v>
      </c>
      <c r="M185" t="str">
        <f>IFERROR(IF(AND(T_BATTINGDATA[[#This Row],[Team]]=I_TEAM,IFERROR(IF(MATCH(T_BATTINGDATA[[#This Row],[BATSMAN NAME]],$O$5:O184,0)&gt;0,0),1)),1,0),"")</f>
        <v/>
      </c>
      <c r="N185" t="e">
        <f>IF(T_BATTINGDATA[[#This Row],[Team]]=I_TEAM,T_BATTINGDATA[[#This Row],[R]],0)</f>
        <v>#REF!</v>
      </c>
      <c r="O185" t="str">
        <f>LEFT(T_BATTINGDATA[[#This Row],[Batsman]],IFERROR(FIND("*",T_BATTINGDATA[[#This Row],[Batsman]])-1,IFERROR(FIND("†",T_BATTINGDATA[[#This Row],[Batsman]])-1,LEN(T_BATTINGDATA[[#This Row],[Batsman]]))))</f>
        <v>T Kamungozi</v>
      </c>
      <c r="P185">
        <f ca="1">IFERROR(IF(MATCH(T_BATTINGDATA[[#This Row],[BATSMAN NAME]],OFFSET(O186,0,0,BATROWS-ROW(O185)-ROW(T_BATTINGDATA[[#Headers],[BATSMAN NAME]])),0)&gt;0,0,SUMIF($O$6:O185,T_BATTINGDATA[[#This Row],[BATSMAN NAME]],$E$6:E185)),SUMIF($O$6:O185,T_BATTINGDATA[[#This Row],[BATSMAN NAME]],$E$6:E185))</f>
        <v>0</v>
      </c>
      <c r="AP185">
        <v>9</v>
      </c>
      <c r="AQ185" t="s">
        <v>140</v>
      </c>
      <c r="AR185" t="s">
        <v>309</v>
      </c>
      <c r="AS185">
        <v>2</v>
      </c>
      <c r="AT185">
        <v>0</v>
      </c>
      <c r="AU185">
        <v>8</v>
      </c>
      <c r="AV185">
        <v>0</v>
      </c>
      <c r="AW185">
        <v>4</v>
      </c>
      <c r="AX185">
        <v>8</v>
      </c>
      <c r="AY185">
        <v>1</v>
      </c>
      <c r="AZ185">
        <v>0</v>
      </c>
      <c r="BA185">
        <v>1</v>
      </c>
      <c r="BB185">
        <v>0</v>
      </c>
      <c r="BC185">
        <v>5</v>
      </c>
      <c r="BD185" t="str">
        <f>CONCATENATE(Table9[[#This Row],[Match Number]],Table9[[#This Row],[Team]],Table9[[#This Row],[BOWL NUM]])</f>
        <v>9New Zealand5</v>
      </c>
      <c r="BE185" t="str">
        <f>IFERROR(IF(AND(Table9[[#This Row],[Team]]=I_TEAM,IFERROR(IF(MATCH(Table9[[#This Row],[Bowler]],$AR$5:AR184,0)&gt;0,0),1)),1,0),"")</f>
        <v/>
      </c>
      <c r="BF185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18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85" t="e">
        <f>IF(Table9[[#This Row],[Team]]=I_TEAM,Table9[[#This Row],[Wickets]]*100-Table9[[#This Row],[Runs]],0)</f>
        <v>#REF!</v>
      </c>
      <c r="BI185">
        <f>Table9[[#This Row],[Wickets]]*100-Table9[[#This Row],[Runs]]</f>
        <v>-8</v>
      </c>
      <c r="BJ185">
        <f ca="1">IFERROR(IF(MATCH(Table9[[#This Row],[Bowler]],OFFSET(AR186,0,0,BOWLROWS-ROW(AR185)-ROW(Table9[[#Headers],[BOWLER CUML WICKETS]])),0)&gt;0,0,SUMIF($AR$6:AR185,Table9[[#This Row],[Bowler]],$AV$6:AV185)),SUMIF($AR$6:AR185,Table9[[#This Row],[Bowler]],$AV$6:AV185))</f>
        <v>0</v>
      </c>
      <c r="BK185">
        <f ca="1">IFERROR(IF(MATCH(Table9[[#This Row],[Bowler]],OFFSET(AR186,0,0,BOWLROWS-ROW(AR185)-ROW(Table9[[#Headers],[BOWLER CUML WICKETS]])),0)&gt;0,0,SUMIF($AR$6:AR185,Table9[[#This Row],[Bowler]],$AU$6:AU185)),SUMIF($AR$6:AR185,Table9[[#This Row],[Bowler]],$AU$6:AU185))</f>
        <v>0</v>
      </c>
      <c r="BL185">
        <f ca="1">Table9[[#This Row],[BOWLER CUML WICKETS]]*100-Table9[[#This Row],[BOWLER CUML RUNS]]</f>
        <v>0</v>
      </c>
    </row>
    <row r="186" spans="1:64" x14ac:dyDescent="0.3">
      <c r="A186">
        <v>5</v>
      </c>
      <c r="B186" t="s">
        <v>170</v>
      </c>
      <c r="C186" t="s">
        <v>265</v>
      </c>
      <c r="D186" t="s">
        <v>428</v>
      </c>
      <c r="E186">
        <v>18</v>
      </c>
      <c r="F186">
        <v>29</v>
      </c>
      <c r="G186">
        <v>24</v>
      </c>
      <c r="H186">
        <v>3</v>
      </c>
      <c r="I186">
        <v>0</v>
      </c>
      <c r="J186">
        <v>75</v>
      </c>
      <c r="K186">
        <v>1</v>
      </c>
      <c r="L186" t="str">
        <f>CONCATENATE(T_BATTINGDATA[[#This Row],[Match]],T_BATTINGDATA[[#This Row],[Team]],T_BATTINGDATA[[#This Row],[Bat Number]])</f>
        <v>5West Indies1</v>
      </c>
      <c r="M186" t="str">
        <f>IFERROR(IF(AND(T_BATTINGDATA[[#This Row],[Team]]=I_TEAM,IFERROR(IF(MATCH(T_BATTINGDATA[[#This Row],[BATSMAN NAME]],$O$5:O185,0)&gt;0,0),1)),1,0),"")</f>
        <v/>
      </c>
      <c r="N186" t="e">
        <f>IF(T_BATTINGDATA[[#This Row],[Team]]=I_TEAM,T_BATTINGDATA[[#This Row],[R]],0)</f>
        <v>#REF!</v>
      </c>
      <c r="O186" t="str">
        <f>LEFT(T_BATTINGDATA[[#This Row],[Batsman]],IFERROR(FIND("*",T_BATTINGDATA[[#This Row],[Batsman]])-1,IFERROR(FIND("†",T_BATTINGDATA[[#This Row],[Batsman]])-1,LEN(T_BATTINGDATA[[#This Row],[Batsman]]))))</f>
        <v>DR Smith</v>
      </c>
      <c r="P186">
        <f ca="1">IFERROR(IF(MATCH(T_BATTINGDATA[[#This Row],[BATSMAN NAME]],OFFSET(O187,0,0,BATROWS-ROW(O186)-ROW(T_BATTINGDATA[[#Headers],[BATSMAN NAME]])),0)&gt;0,0,SUMIF($O$6:O186,T_BATTINGDATA[[#This Row],[BATSMAN NAME]],$E$6:E186)),SUMIF($O$6:O186,T_BATTINGDATA[[#This Row],[BATSMAN NAME]],$E$6:E186))</f>
        <v>0</v>
      </c>
      <c r="AP186">
        <v>9</v>
      </c>
      <c r="AQ186" t="s">
        <v>154</v>
      </c>
      <c r="AR186" t="s">
        <v>310</v>
      </c>
      <c r="AS186">
        <v>5</v>
      </c>
      <c r="AT186">
        <v>0</v>
      </c>
      <c r="AU186">
        <v>37</v>
      </c>
      <c r="AV186">
        <v>0</v>
      </c>
      <c r="AW186">
        <v>7.4</v>
      </c>
      <c r="AX186">
        <v>16</v>
      </c>
      <c r="AY186">
        <v>5</v>
      </c>
      <c r="AZ186">
        <v>0</v>
      </c>
      <c r="BA186">
        <v>3</v>
      </c>
      <c r="BB186">
        <v>0</v>
      </c>
      <c r="BC186">
        <v>1</v>
      </c>
      <c r="BD186" t="str">
        <f>CONCATENATE(Table9[[#This Row],[Match Number]],Table9[[#This Row],[Team]],Table9[[#This Row],[BOWL NUM]])</f>
        <v>9England1</v>
      </c>
      <c r="BE186" t="str">
        <f>IFERROR(IF(AND(Table9[[#This Row],[Team]]=I_TEAM,IFERROR(IF(MATCH(Table9[[#This Row],[Bowler]],$AR$5:AR185,0)&gt;0,0),1)),1,0),"")</f>
        <v/>
      </c>
      <c r="BF186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18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186" t="e">
        <f>IF(Table9[[#This Row],[Team]]=I_TEAM,Table9[[#This Row],[Wickets]]*100-Table9[[#This Row],[Runs]],0)</f>
        <v>#REF!</v>
      </c>
      <c r="BI186">
        <f>Table9[[#This Row],[Wickets]]*100-Table9[[#This Row],[Runs]]</f>
        <v>-37</v>
      </c>
      <c r="BJ186">
        <f ca="1">IFERROR(IF(MATCH(Table9[[#This Row],[Bowler]],OFFSET(AR187,0,0,BOWLROWS-ROW(AR186)-ROW(Table9[[#Headers],[BOWLER CUML WICKETS]])),0)&gt;0,0,SUMIF($AR$6:AR186,Table9[[#This Row],[Bowler]],$AV$6:AV186)),SUMIF($AR$6:AR186,Table9[[#This Row],[Bowler]],$AV$6:AV186))</f>
        <v>0</v>
      </c>
      <c r="BK186">
        <f ca="1">IFERROR(IF(MATCH(Table9[[#This Row],[Bowler]],OFFSET(AR187,0,0,BOWLROWS-ROW(AR186)-ROW(Table9[[#Headers],[BOWLER CUML WICKETS]])),0)&gt;0,0,SUMIF($AR$6:AR186,Table9[[#This Row],[Bowler]],$AU$6:AU186)),SUMIF($AR$6:AR186,Table9[[#This Row],[Bowler]],$AU$6:AU186))</f>
        <v>0</v>
      </c>
      <c r="BL186">
        <f ca="1">Table9[[#This Row],[BOWLER CUML WICKETS]]*100-Table9[[#This Row],[BOWLER CUML RUNS]]</f>
        <v>0</v>
      </c>
    </row>
    <row r="187" spans="1:64" x14ac:dyDescent="0.3">
      <c r="A187">
        <v>5</v>
      </c>
      <c r="B187" t="s">
        <v>170</v>
      </c>
      <c r="C187" t="s">
        <v>291</v>
      </c>
      <c r="D187" t="s">
        <v>429</v>
      </c>
      <c r="E187">
        <v>36</v>
      </c>
      <c r="F187">
        <v>79</v>
      </c>
      <c r="G187">
        <v>65</v>
      </c>
      <c r="H187">
        <v>3</v>
      </c>
      <c r="I187">
        <v>1</v>
      </c>
      <c r="J187">
        <v>55.38</v>
      </c>
      <c r="K187">
        <v>2</v>
      </c>
      <c r="L187" t="str">
        <f>CONCATENATE(T_BATTINGDATA[[#This Row],[Match]],T_BATTINGDATA[[#This Row],[Team]],T_BATTINGDATA[[#This Row],[Bat Number]])</f>
        <v>5West Indies2</v>
      </c>
      <c r="M187" t="str">
        <f>IFERROR(IF(AND(T_BATTINGDATA[[#This Row],[Team]]=I_TEAM,IFERROR(IF(MATCH(T_BATTINGDATA[[#This Row],[BATSMAN NAME]],$O$5:O186,0)&gt;0,0),1)),1,0),"")</f>
        <v/>
      </c>
      <c r="N187" t="e">
        <f>IF(T_BATTINGDATA[[#This Row],[Team]]=I_TEAM,T_BATTINGDATA[[#This Row],[R]],0)</f>
        <v>#REF!</v>
      </c>
      <c r="O187" t="str">
        <f>LEFT(T_BATTINGDATA[[#This Row],[Batsman]],IFERROR(FIND("*",T_BATTINGDATA[[#This Row],[Batsman]])-1,IFERROR(FIND("†",T_BATTINGDATA[[#This Row],[Batsman]])-1,LEN(T_BATTINGDATA[[#This Row],[Batsman]]))))</f>
        <v>CH Gayle</v>
      </c>
      <c r="P187">
        <f ca="1">IFERROR(IF(MATCH(T_BATTINGDATA[[#This Row],[BATSMAN NAME]],OFFSET(O188,0,0,BATROWS-ROW(O187)-ROW(T_BATTINGDATA[[#Headers],[BATSMAN NAME]])),0)&gt;0,0,SUMIF($O$6:O187,T_BATTINGDATA[[#This Row],[BATSMAN NAME]],$E$6:E187)),SUMIF($O$6:O187,T_BATTINGDATA[[#This Row],[BATSMAN NAME]],$E$6:E187))</f>
        <v>0</v>
      </c>
      <c r="AP187">
        <v>9</v>
      </c>
      <c r="AQ187" t="s">
        <v>154</v>
      </c>
      <c r="AR187" t="s">
        <v>312</v>
      </c>
      <c r="AS187">
        <v>2.2000000000000002</v>
      </c>
      <c r="AT187">
        <v>0</v>
      </c>
      <c r="AU187">
        <v>27</v>
      </c>
      <c r="AV187">
        <v>0</v>
      </c>
      <c r="AW187">
        <v>11.57</v>
      </c>
      <c r="AX187">
        <v>7</v>
      </c>
      <c r="AY187">
        <v>3</v>
      </c>
      <c r="AZ187">
        <v>1</v>
      </c>
      <c r="BA187">
        <v>1</v>
      </c>
      <c r="BB187">
        <v>0</v>
      </c>
      <c r="BC187">
        <v>2</v>
      </c>
      <c r="BD187" t="str">
        <f>CONCATENATE(Table9[[#This Row],[Match Number]],Table9[[#This Row],[Team]],Table9[[#This Row],[BOWL NUM]])</f>
        <v>9England2</v>
      </c>
      <c r="BE187" t="str">
        <f>IFERROR(IF(AND(Table9[[#This Row],[Team]]=I_TEAM,IFERROR(IF(MATCH(Table9[[#This Row],[Bowler]],$AR$5:AR186,0)&gt;0,0),1)),1,0),"")</f>
        <v/>
      </c>
      <c r="BF187">
        <f>(LEFT(Table9[[#This Row],[Overs]],IFERROR(FIND(".",Table9[[#This Row],[Overs]])-1,LEN(Table9[[#This Row],[Overs]])))*6) + IFERROR(IF(FIND(".",Table9[[#This Row],[Overs]])+1&gt;0,RIGHT(Table9[[#This Row],[Overs]],1),0),0)</f>
        <v>14</v>
      </c>
      <c r="BG18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187" t="e">
        <f>IF(Table9[[#This Row],[Team]]=I_TEAM,Table9[[#This Row],[Wickets]]*100-Table9[[#This Row],[Runs]],0)</f>
        <v>#REF!</v>
      </c>
      <c r="BI187">
        <f>Table9[[#This Row],[Wickets]]*100-Table9[[#This Row],[Runs]]</f>
        <v>-27</v>
      </c>
      <c r="BJ187">
        <f ca="1">IFERROR(IF(MATCH(Table9[[#This Row],[Bowler]],OFFSET(AR188,0,0,BOWLROWS-ROW(AR187)-ROW(Table9[[#Headers],[BOWLER CUML WICKETS]])),0)&gt;0,0,SUMIF($AR$6:AR187,Table9[[#This Row],[Bowler]],$AV$6:AV187)),SUMIF($AR$6:AR187,Table9[[#This Row],[Bowler]],$AV$6:AV187))</f>
        <v>0</v>
      </c>
      <c r="BK187">
        <f ca="1">IFERROR(IF(MATCH(Table9[[#This Row],[Bowler]],OFFSET(AR188,0,0,BOWLROWS-ROW(AR187)-ROW(Table9[[#Headers],[BOWLER CUML WICKETS]])),0)&gt;0,0,SUMIF($AR$6:AR187,Table9[[#This Row],[Bowler]],$AU$6:AU187)),SUMIF($AR$6:AR187,Table9[[#This Row],[Bowler]],$AU$6:AU187))</f>
        <v>0</v>
      </c>
      <c r="BL187">
        <f ca="1">Table9[[#This Row],[BOWLER CUML WICKETS]]*100-Table9[[#This Row],[BOWLER CUML RUNS]]</f>
        <v>0</v>
      </c>
    </row>
    <row r="188" spans="1:64" x14ac:dyDescent="0.3">
      <c r="A188">
        <v>5</v>
      </c>
      <c r="B188" t="s">
        <v>170</v>
      </c>
      <c r="C188" t="s">
        <v>430</v>
      </c>
      <c r="D188" t="s">
        <v>431</v>
      </c>
      <c r="E188">
        <v>0</v>
      </c>
      <c r="F188">
        <v>4</v>
      </c>
      <c r="G188">
        <v>0</v>
      </c>
      <c r="H188">
        <v>0</v>
      </c>
      <c r="I188">
        <v>0</v>
      </c>
      <c r="J188" t="s">
        <v>348</v>
      </c>
      <c r="K188">
        <v>3</v>
      </c>
      <c r="L188" t="str">
        <f>CONCATENATE(T_BATTINGDATA[[#This Row],[Match]],T_BATTINGDATA[[#This Row],[Team]],T_BATTINGDATA[[#This Row],[Bat Number]])</f>
        <v>5West Indies3</v>
      </c>
      <c r="M188" t="str">
        <f>IFERROR(IF(AND(T_BATTINGDATA[[#This Row],[Team]]=I_TEAM,IFERROR(IF(MATCH(T_BATTINGDATA[[#This Row],[BATSMAN NAME]],$O$5:O187,0)&gt;0,0),1)),1,0),"")</f>
        <v/>
      </c>
      <c r="N188" t="e">
        <f>IF(T_BATTINGDATA[[#This Row],[Team]]=I_TEAM,T_BATTINGDATA[[#This Row],[R]],0)</f>
        <v>#REF!</v>
      </c>
      <c r="O188" t="str">
        <f>LEFT(T_BATTINGDATA[[#This Row],[Batsman]],IFERROR(FIND("*",T_BATTINGDATA[[#This Row],[Batsman]])-1,IFERROR(FIND("†",T_BATTINGDATA[[#This Row],[Batsman]])-1,LEN(T_BATTINGDATA[[#This Row],[Batsman]]))))</f>
        <v>DM Bravo</v>
      </c>
      <c r="P188">
        <f ca="1">IFERROR(IF(MATCH(T_BATTINGDATA[[#This Row],[BATSMAN NAME]],OFFSET(O189,0,0,BATROWS-ROW(O188)-ROW(T_BATTINGDATA[[#Headers],[BATSMAN NAME]])),0)&gt;0,0,SUMIF($O$6:O188,T_BATTINGDATA[[#This Row],[BATSMAN NAME]],$E$6:E188)),SUMIF($O$6:O188,T_BATTINGDATA[[#This Row],[BATSMAN NAME]],$E$6:E188))</f>
        <v>0</v>
      </c>
      <c r="AP188">
        <v>9</v>
      </c>
      <c r="AQ188" t="s">
        <v>154</v>
      </c>
      <c r="AR188" t="s">
        <v>316</v>
      </c>
      <c r="AS188">
        <v>2</v>
      </c>
      <c r="AT188">
        <v>0</v>
      </c>
      <c r="AU188">
        <v>49</v>
      </c>
      <c r="AV188">
        <v>0</v>
      </c>
      <c r="AW188">
        <v>24.5</v>
      </c>
      <c r="AX188">
        <v>2</v>
      </c>
      <c r="AY188">
        <v>3</v>
      </c>
      <c r="AZ188">
        <v>6</v>
      </c>
      <c r="BA188">
        <v>0</v>
      </c>
      <c r="BB188">
        <v>0</v>
      </c>
      <c r="BC188">
        <v>3</v>
      </c>
      <c r="BD188" t="str">
        <f>CONCATENATE(Table9[[#This Row],[Match Number]],Table9[[#This Row],[Team]],Table9[[#This Row],[BOWL NUM]])</f>
        <v>9England3</v>
      </c>
      <c r="BE188" t="str">
        <f>IFERROR(IF(AND(Table9[[#This Row],[Team]]=I_TEAM,IFERROR(IF(MATCH(Table9[[#This Row],[Bowler]],$AR$5:AR187,0)&gt;0,0),1)),1,0),"")</f>
        <v/>
      </c>
      <c r="BF188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18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188" t="e">
        <f>IF(Table9[[#This Row],[Team]]=I_TEAM,Table9[[#This Row],[Wickets]]*100-Table9[[#This Row],[Runs]],0)</f>
        <v>#REF!</v>
      </c>
      <c r="BI188">
        <f>Table9[[#This Row],[Wickets]]*100-Table9[[#This Row],[Runs]]</f>
        <v>-49</v>
      </c>
      <c r="BJ188">
        <f ca="1">IFERROR(IF(MATCH(Table9[[#This Row],[Bowler]],OFFSET(AR189,0,0,BOWLROWS-ROW(AR188)-ROW(Table9[[#Headers],[BOWLER CUML WICKETS]])),0)&gt;0,0,SUMIF($AR$6:AR188,Table9[[#This Row],[Bowler]],$AV$6:AV188)),SUMIF($AR$6:AR188,Table9[[#This Row],[Bowler]],$AV$6:AV188))</f>
        <v>0</v>
      </c>
      <c r="BK188">
        <f ca="1">IFERROR(IF(MATCH(Table9[[#This Row],[Bowler]],OFFSET(AR189,0,0,BOWLROWS-ROW(AR188)-ROW(Table9[[#Headers],[BOWLER CUML WICKETS]])),0)&gt;0,0,SUMIF($AR$6:AR188,Table9[[#This Row],[Bowler]],$AU$6:AU188)),SUMIF($AR$6:AR188,Table9[[#This Row],[Bowler]],$AU$6:AU188))</f>
        <v>0</v>
      </c>
      <c r="BL188">
        <f ca="1">Table9[[#This Row],[BOWLER CUML WICKETS]]*100-Table9[[#This Row],[BOWLER CUML RUNS]]</f>
        <v>0</v>
      </c>
    </row>
    <row r="189" spans="1:64" x14ac:dyDescent="0.3">
      <c r="A189">
        <v>5</v>
      </c>
      <c r="B189" t="s">
        <v>170</v>
      </c>
      <c r="C189" t="s">
        <v>267</v>
      </c>
      <c r="D189" t="s">
        <v>432</v>
      </c>
      <c r="E189">
        <v>21</v>
      </c>
      <c r="F189">
        <v>49</v>
      </c>
      <c r="G189">
        <v>41</v>
      </c>
      <c r="H189">
        <v>1</v>
      </c>
      <c r="I189">
        <v>1</v>
      </c>
      <c r="J189">
        <v>51.21</v>
      </c>
      <c r="K189">
        <v>4</v>
      </c>
      <c r="L189" t="str">
        <f>CONCATENATE(T_BATTINGDATA[[#This Row],[Match]],T_BATTINGDATA[[#This Row],[Team]],T_BATTINGDATA[[#This Row],[Bat Number]])</f>
        <v>5West Indies4</v>
      </c>
      <c r="M189" t="str">
        <f>IFERROR(IF(AND(T_BATTINGDATA[[#This Row],[Team]]=I_TEAM,IFERROR(IF(MATCH(T_BATTINGDATA[[#This Row],[BATSMAN NAME]],$O$5:O188,0)&gt;0,0),1)),1,0),"")</f>
        <v/>
      </c>
      <c r="N189" t="e">
        <f>IF(T_BATTINGDATA[[#This Row],[Team]]=I_TEAM,T_BATTINGDATA[[#This Row],[R]],0)</f>
        <v>#REF!</v>
      </c>
      <c r="O189" t="str">
        <f>LEFT(T_BATTINGDATA[[#This Row],[Batsman]],IFERROR(FIND("*",T_BATTINGDATA[[#This Row],[Batsman]])-1,IFERROR(FIND("†",T_BATTINGDATA[[#This Row],[Batsman]])-1,LEN(T_BATTINGDATA[[#This Row],[Batsman]]))))</f>
        <v>MN Samuels</v>
      </c>
      <c r="P189">
        <f ca="1">IFERROR(IF(MATCH(T_BATTINGDATA[[#This Row],[BATSMAN NAME]],OFFSET(O190,0,0,BATROWS-ROW(O189)-ROW(T_BATTINGDATA[[#Headers],[BATSMAN NAME]])),0)&gt;0,0,SUMIF($O$6:O189,T_BATTINGDATA[[#This Row],[BATSMAN NAME]],$E$6:E189)),SUMIF($O$6:O189,T_BATTINGDATA[[#This Row],[BATSMAN NAME]],$E$6:E189))</f>
        <v>0</v>
      </c>
      <c r="AP189">
        <v>9</v>
      </c>
      <c r="AQ189" t="s">
        <v>154</v>
      </c>
      <c r="AR189" t="s">
        <v>314</v>
      </c>
      <c r="AS189">
        <v>3</v>
      </c>
      <c r="AT189">
        <v>1</v>
      </c>
      <c r="AU189">
        <v>8</v>
      </c>
      <c r="AV189">
        <v>2</v>
      </c>
      <c r="AW189">
        <v>2.66</v>
      </c>
      <c r="AX189">
        <v>16</v>
      </c>
      <c r="AY189">
        <v>2</v>
      </c>
      <c r="AZ189">
        <v>0</v>
      </c>
      <c r="BA189">
        <v>0</v>
      </c>
      <c r="BB189">
        <v>0</v>
      </c>
      <c r="BC189">
        <v>4</v>
      </c>
      <c r="BD189" t="str">
        <f>CONCATENATE(Table9[[#This Row],[Match Number]],Table9[[#This Row],[Team]],Table9[[#This Row],[BOWL NUM]])</f>
        <v>9England4</v>
      </c>
      <c r="BE189" t="str">
        <f>IFERROR(IF(AND(Table9[[#This Row],[Team]]=I_TEAM,IFERROR(IF(MATCH(Table9[[#This Row],[Bowler]],$AR$5:AR188,0)&gt;0,0),1)),1,0),"")</f>
        <v/>
      </c>
      <c r="BF189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18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189" t="e">
        <f>IF(Table9[[#This Row],[Team]]=I_TEAM,Table9[[#This Row],[Wickets]]*100-Table9[[#This Row],[Runs]],0)</f>
        <v>#REF!</v>
      </c>
      <c r="BI189">
        <f>Table9[[#This Row],[Wickets]]*100-Table9[[#This Row],[Runs]]</f>
        <v>192</v>
      </c>
      <c r="BJ189">
        <f ca="1">IFERROR(IF(MATCH(Table9[[#This Row],[Bowler]],OFFSET(AR190,0,0,BOWLROWS-ROW(AR189)-ROW(Table9[[#Headers],[BOWLER CUML WICKETS]])),0)&gt;0,0,SUMIF($AR$6:AR189,Table9[[#This Row],[Bowler]],$AV$6:AV189)),SUMIF($AR$6:AR189,Table9[[#This Row],[Bowler]],$AV$6:AV189))</f>
        <v>0</v>
      </c>
      <c r="BK189">
        <f ca="1">IFERROR(IF(MATCH(Table9[[#This Row],[Bowler]],OFFSET(AR190,0,0,BOWLROWS-ROW(AR189)-ROW(Table9[[#Headers],[BOWLER CUML WICKETS]])),0)&gt;0,0,SUMIF($AR$6:AR189,Table9[[#This Row],[Bowler]],$AU$6:AU189)),SUMIF($AR$6:AR189,Table9[[#This Row],[Bowler]],$AU$6:AU189))</f>
        <v>0</v>
      </c>
      <c r="BL189">
        <f ca="1">Table9[[#This Row],[BOWLER CUML WICKETS]]*100-Table9[[#This Row],[BOWLER CUML RUNS]]</f>
        <v>0</v>
      </c>
    </row>
    <row r="190" spans="1:64" x14ac:dyDescent="0.3">
      <c r="A190">
        <v>5</v>
      </c>
      <c r="B190" t="s">
        <v>170</v>
      </c>
      <c r="C190" t="s">
        <v>298</v>
      </c>
      <c r="D190" t="s">
        <v>433</v>
      </c>
      <c r="E190">
        <v>1</v>
      </c>
      <c r="F190">
        <v>12</v>
      </c>
      <c r="G190">
        <v>6</v>
      </c>
      <c r="H190">
        <v>0</v>
      </c>
      <c r="I190">
        <v>0</v>
      </c>
      <c r="J190">
        <v>16.66</v>
      </c>
      <c r="K190">
        <v>5</v>
      </c>
      <c r="L190" t="str">
        <f>CONCATENATE(T_BATTINGDATA[[#This Row],[Match]],T_BATTINGDATA[[#This Row],[Team]],T_BATTINGDATA[[#This Row],[Bat Number]])</f>
        <v>5West Indies5</v>
      </c>
      <c r="M190" t="str">
        <f>IFERROR(IF(AND(T_BATTINGDATA[[#This Row],[Team]]=I_TEAM,IFERROR(IF(MATCH(T_BATTINGDATA[[#This Row],[BATSMAN NAME]],$O$5:O189,0)&gt;0,0),1)),1,0),"")</f>
        <v/>
      </c>
      <c r="N190" t="e">
        <f>IF(T_BATTINGDATA[[#This Row],[Team]]=I_TEAM,T_BATTINGDATA[[#This Row],[R]],0)</f>
        <v>#REF!</v>
      </c>
      <c r="O190" t="str">
        <f>LEFT(T_BATTINGDATA[[#This Row],[Batsman]],IFERROR(FIND("*",T_BATTINGDATA[[#This Row],[Batsman]])-1,IFERROR(FIND("†",T_BATTINGDATA[[#This Row],[Batsman]])-1,LEN(T_BATTINGDATA[[#This Row],[Batsman]]))))</f>
        <v>D Ramdin</v>
      </c>
      <c r="P190">
        <f ca="1">IFERROR(IF(MATCH(T_BATTINGDATA[[#This Row],[BATSMAN NAME]],OFFSET(O191,0,0,BATROWS-ROW(O190)-ROW(T_BATTINGDATA[[#Headers],[BATSMAN NAME]])),0)&gt;0,0,SUMIF($O$6:O190,T_BATTINGDATA[[#This Row],[BATSMAN NAME]],$E$6:E190)),SUMIF($O$6:O190,T_BATTINGDATA[[#This Row],[BATSMAN NAME]],$E$6:E190))</f>
        <v>0</v>
      </c>
      <c r="AP190">
        <v>10</v>
      </c>
      <c r="AQ190" t="s">
        <v>153</v>
      </c>
      <c r="AR190" t="s">
        <v>182</v>
      </c>
      <c r="AS190">
        <v>10</v>
      </c>
      <c r="AT190">
        <v>0</v>
      </c>
      <c r="AU190">
        <v>44</v>
      </c>
      <c r="AV190">
        <v>1</v>
      </c>
      <c r="AW190">
        <v>4.4000000000000004</v>
      </c>
      <c r="AX190">
        <v>33</v>
      </c>
      <c r="AY190">
        <v>5</v>
      </c>
      <c r="AZ190">
        <v>0</v>
      </c>
      <c r="BA190">
        <v>1</v>
      </c>
      <c r="BB190">
        <v>0</v>
      </c>
      <c r="BC190">
        <v>1</v>
      </c>
      <c r="BD190" t="str">
        <f>CONCATENATE(Table9[[#This Row],[Match Number]],Table9[[#This Row],[Team]],Table9[[#This Row],[BOWL NUM]])</f>
        <v>10Pakistan1</v>
      </c>
      <c r="BE190" t="str">
        <f>IFERROR(IF(AND(Table9[[#This Row],[Team]]=I_TEAM,IFERROR(IF(MATCH(Table9[[#This Row],[Bowler]],$AR$5:AR189,0)&gt;0,0),1)),1,0),"")</f>
        <v/>
      </c>
      <c r="BF19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9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90" t="e">
        <f>IF(Table9[[#This Row],[Team]]=I_TEAM,Table9[[#This Row],[Wickets]]*100-Table9[[#This Row],[Runs]],0)</f>
        <v>#REF!</v>
      </c>
      <c r="BI190">
        <f>Table9[[#This Row],[Wickets]]*100-Table9[[#This Row],[Runs]]</f>
        <v>56</v>
      </c>
      <c r="BJ190">
        <f ca="1">IFERROR(IF(MATCH(Table9[[#This Row],[Bowler]],OFFSET(AR191,0,0,BOWLROWS-ROW(AR190)-ROW(Table9[[#Headers],[BOWLER CUML WICKETS]])),0)&gt;0,0,SUMIF($AR$6:AR190,Table9[[#This Row],[Bowler]],$AV$6:AV190)),SUMIF($AR$6:AR190,Table9[[#This Row],[Bowler]],$AV$6:AV190))</f>
        <v>0</v>
      </c>
      <c r="BK190">
        <f ca="1">IFERROR(IF(MATCH(Table9[[#This Row],[Bowler]],OFFSET(AR191,0,0,BOWLROWS-ROW(AR190)-ROW(Table9[[#Headers],[BOWLER CUML WICKETS]])),0)&gt;0,0,SUMIF($AR$6:AR190,Table9[[#This Row],[Bowler]],$AU$6:AU190)),SUMIF($AR$6:AR190,Table9[[#This Row],[Bowler]],$AU$6:AU190))</f>
        <v>0</v>
      </c>
      <c r="BL190">
        <f ca="1">Table9[[#This Row],[BOWLER CUML WICKETS]]*100-Table9[[#This Row],[BOWLER CUML RUNS]]</f>
        <v>0</v>
      </c>
    </row>
    <row r="191" spans="1:64" x14ac:dyDescent="0.3">
      <c r="A191">
        <v>5</v>
      </c>
      <c r="B191" t="s">
        <v>170</v>
      </c>
      <c r="C191" t="s">
        <v>300</v>
      </c>
      <c r="D191" t="s">
        <v>434</v>
      </c>
      <c r="E191">
        <v>102</v>
      </c>
      <c r="F191">
        <v>124</v>
      </c>
      <c r="G191">
        <v>84</v>
      </c>
      <c r="H191">
        <v>9</v>
      </c>
      <c r="I191">
        <v>5</v>
      </c>
      <c r="J191">
        <v>121.42</v>
      </c>
      <c r="K191">
        <v>6</v>
      </c>
      <c r="L191" t="str">
        <f>CONCATENATE(T_BATTINGDATA[[#This Row],[Match]],T_BATTINGDATA[[#This Row],[Team]],T_BATTINGDATA[[#This Row],[Bat Number]])</f>
        <v>5West Indies6</v>
      </c>
      <c r="M191" t="str">
        <f>IFERROR(IF(AND(T_BATTINGDATA[[#This Row],[Team]]=I_TEAM,IFERROR(IF(MATCH(T_BATTINGDATA[[#This Row],[BATSMAN NAME]],$O$5:O190,0)&gt;0,0),1)),1,0),"")</f>
        <v/>
      </c>
      <c r="N191" t="e">
        <f>IF(T_BATTINGDATA[[#This Row],[Team]]=I_TEAM,T_BATTINGDATA[[#This Row],[R]],0)</f>
        <v>#REF!</v>
      </c>
      <c r="O191" t="str">
        <f>LEFT(T_BATTINGDATA[[#This Row],[Batsman]],IFERROR(FIND("*",T_BATTINGDATA[[#This Row],[Batsman]])-1,IFERROR(FIND("†",T_BATTINGDATA[[#This Row],[Batsman]])-1,LEN(T_BATTINGDATA[[#This Row],[Batsman]]))))</f>
        <v>LMP Simmons</v>
      </c>
      <c r="P191">
        <f ca="1">IFERROR(IF(MATCH(T_BATTINGDATA[[#This Row],[BATSMAN NAME]],OFFSET(O192,0,0,BATROWS-ROW(O191)-ROW(T_BATTINGDATA[[#Headers],[BATSMAN NAME]])),0)&gt;0,0,SUMIF($O$6:O191,T_BATTINGDATA[[#This Row],[BATSMAN NAME]],$E$6:E191)),SUMIF($O$6:O191,T_BATTINGDATA[[#This Row],[BATSMAN NAME]],$E$6:E191))</f>
        <v>0</v>
      </c>
      <c r="AP191">
        <v>10</v>
      </c>
      <c r="AQ191" t="s">
        <v>153</v>
      </c>
      <c r="AR191" t="s">
        <v>186</v>
      </c>
      <c r="AS191">
        <v>10</v>
      </c>
      <c r="AT191">
        <v>1</v>
      </c>
      <c r="AU191">
        <v>73</v>
      </c>
      <c r="AV191">
        <v>1</v>
      </c>
      <c r="AW191">
        <v>7.3</v>
      </c>
      <c r="AX191">
        <v>32</v>
      </c>
      <c r="AY191">
        <v>6</v>
      </c>
      <c r="AZ191">
        <v>4</v>
      </c>
      <c r="BA191">
        <v>0</v>
      </c>
      <c r="BB191">
        <v>1</v>
      </c>
      <c r="BC191">
        <v>2</v>
      </c>
      <c r="BD191" t="str">
        <f>CONCATENATE(Table9[[#This Row],[Match Number]],Table9[[#This Row],[Team]],Table9[[#This Row],[BOWL NUM]])</f>
        <v>10Pakistan2</v>
      </c>
      <c r="BE191" t="str">
        <f>IFERROR(IF(AND(Table9[[#This Row],[Team]]=I_TEAM,IFERROR(IF(MATCH(Table9[[#This Row],[Bowler]],$AR$5:AR190,0)&gt;0,0),1)),1,0),"")</f>
        <v/>
      </c>
      <c r="BF19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9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91" t="e">
        <f>IF(Table9[[#This Row],[Team]]=I_TEAM,Table9[[#This Row],[Wickets]]*100-Table9[[#This Row],[Runs]],0)</f>
        <v>#REF!</v>
      </c>
      <c r="BI191">
        <f>Table9[[#This Row],[Wickets]]*100-Table9[[#This Row],[Runs]]</f>
        <v>27</v>
      </c>
      <c r="BJ191">
        <f ca="1">IFERROR(IF(MATCH(Table9[[#This Row],[Bowler]],OFFSET(AR192,0,0,BOWLROWS-ROW(AR191)-ROW(Table9[[#Headers],[BOWLER CUML WICKETS]])),0)&gt;0,0,SUMIF($AR$6:AR191,Table9[[#This Row],[Bowler]],$AV$6:AV191)),SUMIF($AR$6:AR191,Table9[[#This Row],[Bowler]],$AV$6:AV191))</f>
        <v>0</v>
      </c>
      <c r="BK191">
        <f ca="1">IFERROR(IF(MATCH(Table9[[#This Row],[Bowler]],OFFSET(AR192,0,0,BOWLROWS-ROW(AR191)-ROW(Table9[[#Headers],[BOWLER CUML WICKETS]])),0)&gt;0,0,SUMIF($AR$6:AR191,Table9[[#This Row],[Bowler]],$AU$6:AU191)),SUMIF($AR$6:AR191,Table9[[#This Row],[Bowler]],$AU$6:AU191))</f>
        <v>0</v>
      </c>
      <c r="BL191">
        <f ca="1">Table9[[#This Row],[BOWLER CUML WICKETS]]*100-Table9[[#This Row],[BOWLER CUML RUNS]]</f>
        <v>0</v>
      </c>
    </row>
    <row r="192" spans="1:64" x14ac:dyDescent="0.3">
      <c r="A192">
        <v>5</v>
      </c>
      <c r="B192" t="s">
        <v>170</v>
      </c>
      <c r="C192" t="s">
        <v>302</v>
      </c>
      <c r="D192" t="s">
        <v>435</v>
      </c>
      <c r="E192">
        <v>89</v>
      </c>
      <c r="F192">
        <v>88</v>
      </c>
      <c r="G192">
        <v>67</v>
      </c>
      <c r="H192">
        <v>9</v>
      </c>
      <c r="I192">
        <v>4</v>
      </c>
      <c r="J192">
        <v>132.83000000000001</v>
      </c>
      <c r="K192">
        <v>7</v>
      </c>
      <c r="L192" t="str">
        <f>CONCATENATE(T_BATTINGDATA[[#This Row],[Match]],T_BATTINGDATA[[#This Row],[Team]],T_BATTINGDATA[[#This Row],[Bat Number]])</f>
        <v>5West Indies7</v>
      </c>
      <c r="M192" t="str">
        <f>IFERROR(IF(AND(T_BATTINGDATA[[#This Row],[Team]]=I_TEAM,IFERROR(IF(MATCH(T_BATTINGDATA[[#This Row],[BATSMAN NAME]],$O$5:O191,0)&gt;0,0),1)),1,0),"")</f>
        <v/>
      </c>
      <c r="N192" t="e">
        <f>IF(T_BATTINGDATA[[#This Row],[Team]]=I_TEAM,T_BATTINGDATA[[#This Row],[R]],0)</f>
        <v>#REF!</v>
      </c>
      <c r="O192" t="str">
        <f>LEFT(T_BATTINGDATA[[#This Row],[Batsman]],IFERROR(FIND("*",T_BATTINGDATA[[#This Row],[Batsman]])-1,IFERROR(FIND("†",T_BATTINGDATA[[#This Row],[Batsman]])-1,LEN(T_BATTINGDATA[[#This Row],[Batsman]]))))</f>
        <v>DJG Sammy</v>
      </c>
      <c r="P192">
        <f ca="1">IFERROR(IF(MATCH(T_BATTINGDATA[[#This Row],[BATSMAN NAME]],OFFSET(O193,0,0,BATROWS-ROW(O192)-ROW(T_BATTINGDATA[[#Headers],[BATSMAN NAME]])),0)&gt;0,0,SUMIF($O$6:O192,T_BATTINGDATA[[#This Row],[BATSMAN NAME]],$E$6:E192)),SUMIF($O$6:O192,T_BATTINGDATA[[#This Row],[BATSMAN NAME]],$E$6:E192))</f>
        <v>0</v>
      </c>
      <c r="AP192">
        <v>10</v>
      </c>
      <c r="AQ192" t="s">
        <v>153</v>
      </c>
      <c r="AR192" t="s">
        <v>188</v>
      </c>
      <c r="AS192">
        <v>10</v>
      </c>
      <c r="AT192">
        <v>0</v>
      </c>
      <c r="AU192">
        <v>48</v>
      </c>
      <c r="AV192">
        <v>0</v>
      </c>
      <c r="AW192">
        <v>4.8</v>
      </c>
      <c r="AX192">
        <v>31</v>
      </c>
      <c r="AY192">
        <v>2</v>
      </c>
      <c r="AZ192">
        <v>1</v>
      </c>
      <c r="BA192">
        <v>1</v>
      </c>
      <c r="BB192">
        <v>0</v>
      </c>
      <c r="BC192">
        <v>3</v>
      </c>
      <c r="BD192" t="str">
        <f>CONCATENATE(Table9[[#This Row],[Match Number]],Table9[[#This Row],[Team]],Table9[[#This Row],[BOWL NUM]])</f>
        <v>10Pakistan3</v>
      </c>
      <c r="BE192" t="str">
        <f>IFERROR(IF(AND(Table9[[#This Row],[Team]]=I_TEAM,IFERROR(IF(MATCH(Table9[[#This Row],[Bowler]],$AR$5:AR191,0)&gt;0,0),1)),1,0),"")</f>
        <v/>
      </c>
      <c r="BF19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9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92" t="e">
        <f>IF(Table9[[#This Row],[Team]]=I_TEAM,Table9[[#This Row],[Wickets]]*100-Table9[[#This Row],[Runs]],0)</f>
        <v>#REF!</v>
      </c>
      <c r="BI192">
        <f>Table9[[#This Row],[Wickets]]*100-Table9[[#This Row],[Runs]]</f>
        <v>-48</v>
      </c>
      <c r="BJ192">
        <f ca="1">IFERROR(IF(MATCH(Table9[[#This Row],[Bowler]],OFFSET(AR193,0,0,BOWLROWS-ROW(AR192)-ROW(Table9[[#Headers],[BOWLER CUML WICKETS]])),0)&gt;0,0,SUMIF($AR$6:AR192,Table9[[#This Row],[Bowler]],$AV$6:AV192)),SUMIF($AR$6:AR192,Table9[[#This Row],[Bowler]],$AV$6:AV192))</f>
        <v>0</v>
      </c>
      <c r="BK192">
        <f ca="1">IFERROR(IF(MATCH(Table9[[#This Row],[Bowler]],OFFSET(AR193,0,0,BOWLROWS-ROW(AR192)-ROW(Table9[[#Headers],[BOWLER CUML WICKETS]])),0)&gt;0,0,SUMIF($AR$6:AR192,Table9[[#This Row],[Bowler]],$AU$6:AU192)),SUMIF($AR$6:AR192,Table9[[#This Row],[Bowler]],$AU$6:AU192))</f>
        <v>0</v>
      </c>
      <c r="BL192">
        <f ca="1">Table9[[#This Row],[BOWLER CUML WICKETS]]*100-Table9[[#This Row],[BOWLER CUML RUNS]]</f>
        <v>0</v>
      </c>
    </row>
    <row r="193" spans="1:64" x14ac:dyDescent="0.3">
      <c r="A193">
        <v>5</v>
      </c>
      <c r="B193" t="s">
        <v>170</v>
      </c>
      <c r="C193" t="s">
        <v>264</v>
      </c>
      <c r="D193" t="s">
        <v>167</v>
      </c>
      <c r="E193">
        <v>27</v>
      </c>
      <c r="F193">
        <v>29</v>
      </c>
      <c r="G193">
        <v>13</v>
      </c>
      <c r="H193">
        <v>3</v>
      </c>
      <c r="I193">
        <v>1</v>
      </c>
      <c r="J193">
        <v>207.69</v>
      </c>
      <c r="K193">
        <v>8</v>
      </c>
      <c r="L193" t="str">
        <f>CONCATENATE(T_BATTINGDATA[[#This Row],[Match]],T_BATTINGDATA[[#This Row],[Team]],T_BATTINGDATA[[#This Row],[Bat Number]])</f>
        <v>5West Indies8</v>
      </c>
      <c r="M193" t="str">
        <f>IFERROR(IF(AND(T_BATTINGDATA[[#This Row],[Team]]=I_TEAM,IFERROR(IF(MATCH(T_BATTINGDATA[[#This Row],[BATSMAN NAME]],$O$5:O192,0)&gt;0,0),1)),1,0),"")</f>
        <v/>
      </c>
      <c r="N193" t="e">
        <f>IF(T_BATTINGDATA[[#This Row],[Team]]=I_TEAM,T_BATTINGDATA[[#This Row],[R]],0)</f>
        <v>#REF!</v>
      </c>
      <c r="O193" t="str">
        <f>LEFT(T_BATTINGDATA[[#This Row],[Batsman]],IFERROR(FIND("*",T_BATTINGDATA[[#This Row],[Batsman]])-1,IFERROR(FIND("†",T_BATTINGDATA[[#This Row],[Batsman]])-1,LEN(T_BATTINGDATA[[#This Row],[Batsman]]))))</f>
        <v>AD Russell</v>
      </c>
      <c r="P193">
        <f ca="1">IFERROR(IF(MATCH(T_BATTINGDATA[[#This Row],[BATSMAN NAME]],OFFSET(O194,0,0,BATROWS-ROW(O193)-ROW(T_BATTINGDATA[[#Headers],[BATSMAN NAME]])),0)&gt;0,0,SUMIF($O$6:O193,T_BATTINGDATA[[#This Row],[BATSMAN NAME]],$E$6:E193)),SUMIF($O$6:O193,T_BATTINGDATA[[#This Row],[BATSMAN NAME]],$E$6:E193))</f>
        <v>0</v>
      </c>
      <c r="AP193">
        <v>10</v>
      </c>
      <c r="AQ193" t="s">
        <v>153</v>
      </c>
      <c r="AR193" t="s">
        <v>193</v>
      </c>
      <c r="AS193">
        <v>9</v>
      </c>
      <c r="AT193">
        <v>0</v>
      </c>
      <c r="AU193">
        <v>62</v>
      </c>
      <c r="AV193">
        <v>2</v>
      </c>
      <c r="AW193">
        <v>6.88</v>
      </c>
      <c r="AX193">
        <v>22</v>
      </c>
      <c r="AY193">
        <v>8</v>
      </c>
      <c r="AZ193">
        <v>1</v>
      </c>
      <c r="BA193">
        <v>0</v>
      </c>
      <c r="BB193">
        <v>0</v>
      </c>
      <c r="BC193">
        <v>4</v>
      </c>
      <c r="BD193" t="str">
        <f>CONCATENATE(Table9[[#This Row],[Match Number]],Table9[[#This Row],[Team]],Table9[[#This Row],[BOWL NUM]])</f>
        <v>10Pakistan4</v>
      </c>
      <c r="BE193" t="str">
        <f>IFERROR(IF(AND(Table9[[#This Row],[Team]]=I_TEAM,IFERROR(IF(MATCH(Table9[[#This Row],[Bowler]],$AR$5:AR192,0)&gt;0,0),1)),1,0),"")</f>
        <v/>
      </c>
      <c r="BF193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9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93" t="e">
        <f>IF(Table9[[#This Row],[Team]]=I_TEAM,Table9[[#This Row],[Wickets]]*100-Table9[[#This Row],[Runs]],0)</f>
        <v>#REF!</v>
      </c>
      <c r="BI193">
        <f>Table9[[#This Row],[Wickets]]*100-Table9[[#This Row],[Runs]]</f>
        <v>138</v>
      </c>
      <c r="BJ193">
        <f ca="1">IFERROR(IF(MATCH(Table9[[#This Row],[Bowler]],OFFSET(AR194,0,0,BOWLROWS-ROW(AR193)-ROW(Table9[[#Headers],[BOWLER CUML WICKETS]])),0)&gt;0,0,SUMIF($AR$6:AR193,Table9[[#This Row],[Bowler]],$AV$6:AV193)),SUMIF($AR$6:AR193,Table9[[#This Row],[Bowler]],$AV$6:AV193))</f>
        <v>0</v>
      </c>
      <c r="BK193">
        <f ca="1">IFERROR(IF(MATCH(Table9[[#This Row],[Bowler]],OFFSET(AR194,0,0,BOWLROWS-ROW(AR193)-ROW(Table9[[#Headers],[BOWLER CUML WICKETS]])),0)&gt;0,0,SUMIF($AR$6:AR193,Table9[[#This Row],[Bowler]],$AU$6:AU193)),SUMIF($AR$6:AR193,Table9[[#This Row],[Bowler]],$AU$6:AU193))</f>
        <v>0</v>
      </c>
      <c r="BL193">
        <f ca="1">Table9[[#This Row],[BOWLER CUML WICKETS]]*100-Table9[[#This Row],[BOWLER CUML RUNS]]</f>
        <v>0</v>
      </c>
    </row>
    <row r="194" spans="1:64" x14ac:dyDescent="0.3">
      <c r="A194">
        <v>5</v>
      </c>
      <c r="B194" t="s">
        <v>170</v>
      </c>
      <c r="C194" t="s">
        <v>306</v>
      </c>
      <c r="D194" t="s">
        <v>167</v>
      </c>
      <c r="E194">
        <v>0</v>
      </c>
      <c r="F194">
        <v>2</v>
      </c>
      <c r="G194">
        <v>0</v>
      </c>
      <c r="H194">
        <v>0</v>
      </c>
      <c r="I194">
        <v>0</v>
      </c>
      <c r="J194" t="s">
        <v>348</v>
      </c>
      <c r="K194">
        <v>9</v>
      </c>
      <c r="L194" t="str">
        <f>CONCATENATE(T_BATTINGDATA[[#This Row],[Match]],T_BATTINGDATA[[#This Row],[Team]],T_BATTINGDATA[[#This Row],[Bat Number]])</f>
        <v>5West Indies9</v>
      </c>
      <c r="M194" t="str">
        <f>IFERROR(IF(AND(T_BATTINGDATA[[#This Row],[Team]]=I_TEAM,IFERROR(IF(MATCH(T_BATTINGDATA[[#This Row],[BATSMAN NAME]],$O$5:O193,0)&gt;0,0),1)),1,0),"")</f>
        <v/>
      </c>
      <c r="N194" t="e">
        <f>IF(T_BATTINGDATA[[#This Row],[Team]]=I_TEAM,T_BATTINGDATA[[#This Row],[R]],0)</f>
        <v>#REF!</v>
      </c>
      <c r="O194" t="str">
        <f>LEFT(T_BATTINGDATA[[#This Row],[Batsman]],IFERROR(FIND("*",T_BATTINGDATA[[#This Row],[Batsman]])-1,IFERROR(FIND("†",T_BATTINGDATA[[#This Row],[Batsman]])-1,LEN(T_BATTINGDATA[[#This Row],[Batsman]]))))</f>
        <v>JO Holder</v>
      </c>
      <c r="P194">
        <f ca="1">IFERROR(IF(MATCH(T_BATTINGDATA[[#This Row],[BATSMAN NAME]],OFFSET(O195,0,0,BATROWS-ROW(O194)-ROW(T_BATTINGDATA[[#Headers],[BATSMAN NAME]])),0)&gt;0,0,SUMIF($O$6:O194,T_BATTINGDATA[[#This Row],[BATSMAN NAME]],$E$6:E194)),SUMIF($O$6:O194,T_BATTINGDATA[[#This Row],[BATSMAN NAME]],$E$6:E194))</f>
        <v>0</v>
      </c>
      <c r="AP194">
        <v>10</v>
      </c>
      <c r="AQ194" t="s">
        <v>153</v>
      </c>
      <c r="AR194" t="s">
        <v>189</v>
      </c>
      <c r="AS194">
        <v>10</v>
      </c>
      <c r="AT194">
        <v>0</v>
      </c>
      <c r="AU194">
        <v>67</v>
      </c>
      <c r="AV194">
        <v>1</v>
      </c>
      <c r="AW194">
        <v>6.7</v>
      </c>
      <c r="AX194">
        <v>30</v>
      </c>
      <c r="AY194">
        <v>6</v>
      </c>
      <c r="AZ194">
        <v>1</v>
      </c>
      <c r="BA194">
        <v>4</v>
      </c>
      <c r="BB194">
        <v>0</v>
      </c>
      <c r="BC194">
        <v>5</v>
      </c>
      <c r="BD194" t="str">
        <f>CONCATENATE(Table9[[#This Row],[Match Number]],Table9[[#This Row],[Team]],Table9[[#This Row],[BOWL NUM]])</f>
        <v>10Pakistan5</v>
      </c>
      <c r="BE194" t="str">
        <f>IFERROR(IF(AND(Table9[[#This Row],[Team]]=I_TEAM,IFERROR(IF(MATCH(Table9[[#This Row],[Bowler]],$AR$5:AR193,0)&gt;0,0),1)),1,0),"")</f>
        <v/>
      </c>
      <c r="BF19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9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94" t="e">
        <f>IF(Table9[[#This Row],[Team]]=I_TEAM,Table9[[#This Row],[Wickets]]*100-Table9[[#This Row],[Runs]],0)</f>
        <v>#REF!</v>
      </c>
      <c r="BI194">
        <f>Table9[[#This Row],[Wickets]]*100-Table9[[#This Row],[Runs]]</f>
        <v>33</v>
      </c>
      <c r="BJ194">
        <f ca="1">IFERROR(IF(MATCH(Table9[[#This Row],[Bowler]],OFFSET(AR195,0,0,BOWLROWS-ROW(AR194)-ROW(Table9[[#Headers],[BOWLER CUML WICKETS]])),0)&gt;0,0,SUMIF($AR$6:AR194,Table9[[#This Row],[Bowler]],$AV$6:AV194)),SUMIF($AR$6:AR194,Table9[[#This Row],[Bowler]],$AV$6:AV194))</f>
        <v>0</v>
      </c>
      <c r="BK194">
        <f ca="1">IFERROR(IF(MATCH(Table9[[#This Row],[Bowler]],OFFSET(AR195,0,0,BOWLROWS-ROW(AR194)-ROW(Table9[[#Headers],[BOWLER CUML WICKETS]])),0)&gt;0,0,SUMIF($AR$6:AR194,Table9[[#This Row],[Bowler]],$AU$6:AU194)),SUMIF($AR$6:AR194,Table9[[#This Row],[Bowler]],$AU$6:AU194))</f>
        <v>0</v>
      </c>
      <c r="BL194">
        <f ca="1">Table9[[#This Row],[BOWLER CUML WICKETS]]*100-Table9[[#This Row],[BOWLER CUML RUNS]]</f>
        <v>0</v>
      </c>
    </row>
    <row r="195" spans="1:64" x14ac:dyDescent="0.3">
      <c r="A195">
        <v>5</v>
      </c>
      <c r="B195" t="s">
        <v>169</v>
      </c>
      <c r="C195" t="s">
        <v>269</v>
      </c>
      <c r="D195" t="s">
        <v>436</v>
      </c>
      <c r="E195">
        <v>23</v>
      </c>
      <c r="F195">
        <v>57</v>
      </c>
      <c r="G195">
        <v>43</v>
      </c>
      <c r="H195">
        <v>1</v>
      </c>
      <c r="I195">
        <v>1</v>
      </c>
      <c r="J195">
        <v>53.48</v>
      </c>
      <c r="K195">
        <v>1</v>
      </c>
      <c r="L195" t="str">
        <f>CONCATENATE(T_BATTINGDATA[[#This Row],[Match]],T_BATTINGDATA[[#This Row],[Team]],T_BATTINGDATA[[#This Row],[Bat Number]])</f>
        <v>5Ireland1</v>
      </c>
      <c r="M195" t="str">
        <f>IFERROR(IF(AND(T_BATTINGDATA[[#This Row],[Team]]=I_TEAM,IFERROR(IF(MATCH(T_BATTINGDATA[[#This Row],[BATSMAN NAME]],$O$5:O194,0)&gt;0,0),1)),1,0),"")</f>
        <v/>
      </c>
      <c r="N195" t="e">
        <f>IF(T_BATTINGDATA[[#This Row],[Team]]=I_TEAM,T_BATTINGDATA[[#This Row],[R]],0)</f>
        <v>#REF!</v>
      </c>
      <c r="O195" t="str">
        <f>LEFT(T_BATTINGDATA[[#This Row],[Batsman]],IFERROR(FIND("*",T_BATTINGDATA[[#This Row],[Batsman]])-1,IFERROR(FIND("†",T_BATTINGDATA[[#This Row],[Batsman]])-1,LEN(T_BATTINGDATA[[#This Row],[Batsman]]))))</f>
        <v>WTS Porterfield</v>
      </c>
      <c r="P195">
        <f ca="1">IFERROR(IF(MATCH(T_BATTINGDATA[[#This Row],[BATSMAN NAME]],OFFSET(O196,0,0,BATROWS-ROW(O195)-ROW(T_BATTINGDATA[[#Headers],[BATSMAN NAME]])),0)&gt;0,0,SUMIF($O$6:O195,T_BATTINGDATA[[#This Row],[BATSMAN NAME]],$E$6:E195)),SUMIF($O$6:O195,T_BATTINGDATA[[#This Row],[BATSMAN NAME]],$E$6:E195))</f>
        <v>0</v>
      </c>
      <c r="AP195">
        <v>10</v>
      </c>
      <c r="AQ195" t="s">
        <v>153</v>
      </c>
      <c r="AR195" t="s">
        <v>212</v>
      </c>
      <c r="AS195">
        <v>1</v>
      </c>
      <c r="AT195">
        <v>0</v>
      </c>
      <c r="AU195">
        <v>8</v>
      </c>
      <c r="AV195">
        <v>0</v>
      </c>
      <c r="AW195">
        <v>8</v>
      </c>
      <c r="AX195">
        <v>2</v>
      </c>
      <c r="AY195">
        <v>1</v>
      </c>
      <c r="AZ195">
        <v>0</v>
      </c>
      <c r="BA195">
        <v>0</v>
      </c>
      <c r="BB195">
        <v>0</v>
      </c>
      <c r="BC195">
        <v>6</v>
      </c>
      <c r="BD195" t="str">
        <f>CONCATENATE(Table9[[#This Row],[Match Number]],Table9[[#This Row],[Team]],Table9[[#This Row],[BOWL NUM]])</f>
        <v>10Pakistan6</v>
      </c>
      <c r="BE195" t="str">
        <f>IFERROR(IF(AND(Table9[[#This Row],[Team]]=I_TEAM,IFERROR(IF(MATCH(Table9[[#This Row],[Bowler]],$AR$5:AR194,0)&gt;0,0),1)),1,0),"")</f>
        <v/>
      </c>
      <c r="BF195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19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95" t="e">
        <f>IF(Table9[[#This Row],[Team]]=I_TEAM,Table9[[#This Row],[Wickets]]*100-Table9[[#This Row],[Runs]],0)</f>
        <v>#REF!</v>
      </c>
      <c r="BI195">
        <f>Table9[[#This Row],[Wickets]]*100-Table9[[#This Row],[Runs]]</f>
        <v>-8</v>
      </c>
      <c r="BJ195">
        <f ca="1">IFERROR(IF(MATCH(Table9[[#This Row],[Bowler]],OFFSET(AR196,0,0,BOWLROWS-ROW(AR195)-ROW(Table9[[#Headers],[BOWLER CUML WICKETS]])),0)&gt;0,0,SUMIF($AR$6:AR195,Table9[[#This Row],[Bowler]],$AV$6:AV195)),SUMIF($AR$6:AR195,Table9[[#This Row],[Bowler]],$AV$6:AV195))</f>
        <v>0</v>
      </c>
      <c r="BK195">
        <f ca="1">IFERROR(IF(MATCH(Table9[[#This Row],[Bowler]],OFFSET(AR196,0,0,BOWLROWS-ROW(AR195)-ROW(Table9[[#Headers],[BOWLER CUML WICKETS]])),0)&gt;0,0,SUMIF($AR$6:AR195,Table9[[#This Row],[Bowler]],$AU$6:AU195)),SUMIF($AR$6:AR195,Table9[[#This Row],[Bowler]],$AU$6:AU195))</f>
        <v>0</v>
      </c>
      <c r="BL195">
        <f ca="1">Table9[[#This Row],[BOWLER CUML WICKETS]]*100-Table9[[#This Row],[BOWLER CUML RUNS]]</f>
        <v>0</v>
      </c>
    </row>
    <row r="196" spans="1:64" x14ac:dyDescent="0.3">
      <c r="A196">
        <v>5</v>
      </c>
      <c r="B196" t="s">
        <v>169</v>
      </c>
      <c r="C196" t="s">
        <v>249</v>
      </c>
      <c r="D196" t="s">
        <v>437</v>
      </c>
      <c r="E196">
        <v>92</v>
      </c>
      <c r="F196">
        <v>115</v>
      </c>
      <c r="G196">
        <v>84</v>
      </c>
      <c r="H196">
        <v>9</v>
      </c>
      <c r="I196">
        <v>3</v>
      </c>
      <c r="J196">
        <v>109.52</v>
      </c>
      <c r="K196">
        <v>2</v>
      </c>
      <c r="L196" t="str">
        <f>CONCATENATE(T_BATTINGDATA[[#This Row],[Match]],T_BATTINGDATA[[#This Row],[Team]],T_BATTINGDATA[[#This Row],[Bat Number]])</f>
        <v>5Ireland2</v>
      </c>
      <c r="M196" t="str">
        <f>IFERROR(IF(AND(T_BATTINGDATA[[#This Row],[Team]]=I_TEAM,IFERROR(IF(MATCH(T_BATTINGDATA[[#This Row],[BATSMAN NAME]],$O$5:O195,0)&gt;0,0),1)),1,0),"")</f>
        <v/>
      </c>
      <c r="N196" t="e">
        <f>IF(T_BATTINGDATA[[#This Row],[Team]]=I_TEAM,T_BATTINGDATA[[#This Row],[R]],0)</f>
        <v>#REF!</v>
      </c>
      <c r="O196" t="str">
        <f>LEFT(T_BATTINGDATA[[#This Row],[Batsman]],IFERROR(FIND("*",T_BATTINGDATA[[#This Row],[Batsman]])-1,IFERROR(FIND("†",T_BATTINGDATA[[#This Row],[Batsman]])-1,LEN(T_BATTINGDATA[[#This Row],[Batsman]]))))</f>
        <v>PR Stirling</v>
      </c>
      <c r="P196">
        <f ca="1">IFERROR(IF(MATCH(T_BATTINGDATA[[#This Row],[BATSMAN NAME]],OFFSET(O197,0,0,BATROWS-ROW(O196)-ROW(T_BATTINGDATA[[#Headers],[BATSMAN NAME]])),0)&gt;0,0,SUMIF($O$6:O196,T_BATTINGDATA[[#This Row],[BATSMAN NAME]],$E$6:E196)),SUMIF($O$6:O196,T_BATTINGDATA[[#This Row],[BATSMAN NAME]],$E$6:E196))</f>
        <v>0</v>
      </c>
      <c r="AP196">
        <v>10</v>
      </c>
      <c r="AQ196" t="s">
        <v>170</v>
      </c>
      <c r="AR196" t="s">
        <v>259</v>
      </c>
      <c r="AS196">
        <v>7</v>
      </c>
      <c r="AT196">
        <v>1</v>
      </c>
      <c r="AU196">
        <v>15</v>
      </c>
      <c r="AV196">
        <v>3</v>
      </c>
      <c r="AW196">
        <v>2.14</v>
      </c>
      <c r="AX196">
        <v>32</v>
      </c>
      <c r="AY196">
        <v>0</v>
      </c>
      <c r="AZ196">
        <v>0</v>
      </c>
      <c r="BA196">
        <v>2</v>
      </c>
      <c r="BB196">
        <v>0</v>
      </c>
      <c r="BC196">
        <v>1</v>
      </c>
      <c r="BD196" t="str">
        <f>CONCATENATE(Table9[[#This Row],[Match Number]],Table9[[#This Row],[Team]],Table9[[#This Row],[BOWL NUM]])</f>
        <v>10West Indies1</v>
      </c>
      <c r="BE196" t="str">
        <f>IFERROR(IF(AND(Table9[[#This Row],[Team]]=I_TEAM,IFERROR(IF(MATCH(Table9[[#This Row],[Bowler]],$AR$5:AR195,0)&gt;0,0),1)),1,0),"")</f>
        <v/>
      </c>
      <c r="BF196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19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196" t="e">
        <f>IF(Table9[[#This Row],[Team]]=I_TEAM,Table9[[#This Row],[Wickets]]*100-Table9[[#This Row],[Runs]],0)</f>
        <v>#REF!</v>
      </c>
      <c r="BI196">
        <f>Table9[[#This Row],[Wickets]]*100-Table9[[#This Row],[Runs]]</f>
        <v>285</v>
      </c>
      <c r="BJ196">
        <f ca="1">IFERROR(IF(MATCH(Table9[[#This Row],[Bowler]],OFFSET(AR197,0,0,BOWLROWS-ROW(AR196)-ROW(Table9[[#Headers],[BOWLER CUML WICKETS]])),0)&gt;0,0,SUMIF($AR$6:AR196,Table9[[#This Row],[Bowler]],$AV$6:AV196)),SUMIF($AR$6:AR196,Table9[[#This Row],[Bowler]],$AV$6:AV196))</f>
        <v>0</v>
      </c>
      <c r="BK196">
        <f ca="1">IFERROR(IF(MATCH(Table9[[#This Row],[Bowler]],OFFSET(AR197,0,0,BOWLROWS-ROW(AR196)-ROW(Table9[[#Headers],[BOWLER CUML WICKETS]])),0)&gt;0,0,SUMIF($AR$6:AR196,Table9[[#This Row],[Bowler]],$AU$6:AU196)),SUMIF($AR$6:AR196,Table9[[#This Row],[Bowler]],$AU$6:AU196))</f>
        <v>0</v>
      </c>
      <c r="BL196">
        <f ca="1">Table9[[#This Row],[BOWLER CUML WICKETS]]*100-Table9[[#This Row],[BOWLER CUML RUNS]]</f>
        <v>0</v>
      </c>
    </row>
    <row r="197" spans="1:64" x14ac:dyDescent="0.3">
      <c r="A197">
        <v>5</v>
      </c>
      <c r="B197" t="s">
        <v>169</v>
      </c>
      <c r="C197" t="s">
        <v>273</v>
      </c>
      <c r="D197" t="s">
        <v>438</v>
      </c>
      <c r="E197">
        <v>84</v>
      </c>
      <c r="F197">
        <v>111</v>
      </c>
      <c r="G197">
        <v>67</v>
      </c>
      <c r="H197">
        <v>10</v>
      </c>
      <c r="I197">
        <v>2</v>
      </c>
      <c r="J197">
        <v>125.37</v>
      </c>
      <c r="K197">
        <v>3</v>
      </c>
      <c r="L197" t="str">
        <f>CONCATENATE(T_BATTINGDATA[[#This Row],[Match]],T_BATTINGDATA[[#This Row],[Team]],T_BATTINGDATA[[#This Row],[Bat Number]])</f>
        <v>5Ireland3</v>
      </c>
      <c r="M197" t="str">
        <f>IFERROR(IF(AND(T_BATTINGDATA[[#This Row],[Team]]=I_TEAM,IFERROR(IF(MATCH(T_BATTINGDATA[[#This Row],[BATSMAN NAME]],$O$5:O196,0)&gt;0,0),1)),1,0),"")</f>
        <v/>
      </c>
      <c r="N197" t="e">
        <f>IF(T_BATTINGDATA[[#This Row],[Team]]=I_TEAM,T_BATTINGDATA[[#This Row],[R]],0)</f>
        <v>#REF!</v>
      </c>
      <c r="O197" t="str">
        <f>LEFT(T_BATTINGDATA[[#This Row],[Batsman]],IFERROR(FIND("*",T_BATTINGDATA[[#This Row],[Batsman]])-1,IFERROR(FIND("†",T_BATTINGDATA[[#This Row],[Batsman]])-1,LEN(T_BATTINGDATA[[#This Row],[Batsman]]))))</f>
        <v>EC Joyce</v>
      </c>
      <c r="P197">
        <f ca="1">IFERROR(IF(MATCH(T_BATTINGDATA[[#This Row],[BATSMAN NAME]],OFFSET(O198,0,0,BATROWS-ROW(O197)-ROW(T_BATTINGDATA[[#Headers],[BATSMAN NAME]])),0)&gt;0,0,SUMIF($O$6:O197,T_BATTINGDATA[[#This Row],[BATSMAN NAME]],$E$6:E197)),SUMIF($O$6:O197,T_BATTINGDATA[[#This Row],[BATSMAN NAME]],$E$6:E197))</f>
        <v>0</v>
      </c>
      <c r="AP197">
        <v>10</v>
      </c>
      <c r="AQ197" t="s">
        <v>170</v>
      </c>
      <c r="AR197" t="s">
        <v>260</v>
      </c>
      <c r="AS197">
        <v>7</v>
      </c>
      <c r="AT197">
        <v>2</v>
      </c>
      <c r="AU197">
        <v>23</v>
      </c>
      <c r="AV197">
        <v>1</v>
      </c>
      <c r="AW197">
        <v>3.28</v>
      </c>
      <c r="AX197">
        <v>33</v>
      </c>
      <c r="AY197">
        <v>4</v>
      </c>
      <c r="AZ197">
        <v>0</v>
      </c>
      <c r="BA197">
        <v>1</v>
      </c>
      <c r="BB197">
        <v>0</v>
      </c>
      <c r="BC197">
        <v>2</v>
      </c>
      <c r="BD197" t="str">
        <f>CONCATENATE(Table9[[#This Row],[Match Number]],Table9[[#This Row],[Team]],Table9[[#This Row],[BOWL NUM]])</f>
        <v>10West Indies2</v>
      </c>
      <c r="BE197" t="str">
        <f>IFERROR(IF(AND(Table9[[#This Row],[Team]]=I_TEAM,IFERROR(IF(MATCH(Table9[[#This Row],[Bowler]],$AR$5:AR196,0)&gt;0,0),1)),1,0),"")</f>
        <v/>
      </c>
      <c r="BF197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19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197" t="e">
        <f>IF(Table9[[#This Row],[Team]]=I_TEAM,Table9[[#This Row],[Wickets]]*100-Table9[[#This Row],[Runs]],0)</f>
        <v>#REF!</v>
      </c>
      <c r="BI197">
        <f>Table9[[#This Row],[Wickets]]*100-Table9[[#This Row],[Runs]]</f>
        <v>77</v>
      </c>
      <c r="BJ197">
        <f ca="1">IFERROR(IF(MATCH(Table9[[#This Row],[Bowler]],OFFSET(AR198,0,0,BOWLROWS-ROW(AR197)-ROW(Table9[[#Headers],[BOWLER CUML WICKETS]])),0)&gt;0,0,SUMIF($AR$6:AR197,Table9[[#This Row],[Bowler]],$AV$6:AV197)),SUMIF($AR$6:AR197,Table9[[#This Row],[Bowler]],$AV$6:AV197))</f>
        <v>0</v>
      </c>
      <c r="BK197">
        <f ca="1">IFERROR(IF(MATCH(Table9[[#This Row],[Bowler]],OFFSET(AR198,0,0,BOWLROWS-ROW(AR197)-ROW(Table9[[#Headers],[BOWLER CUML WICKETS]])),0)&gt;0,0,SUMIF($AR$6:AR197,Table9[[#This Row],[Bowler]],$AU$6:AU197)),SUMIF($AR$6:AR197,Table9[[#This Row],[Bowler]],$AU$6:AU197))</f>
        <v>0</v>
      </c>
      <c r="BL197">
        <f ca="1">Table9[[#This Row],[BOWLER CUML WICKETS]]*100-Table9[[#This Row],[BOWLER CUML RUNS]]</f>
        <v>0</v>
      </c>
    </row>
    <row r="198" spans="1:64" x14ac:dyDescent="0.3">
      <c r="A198">
        <v>5</v>
      </c>
      <c r="B198" t="s">
        <v>169</v>
      </c>
      <c r="C198" t="s">
        <v>276</v>
      </c>
      <c r="D198" t="s">
        <v>167</v>
      </c>
      <c r="E198">
        <v>79</v>
      </c>
      <c r="F198">
        <v>90</v>
      </c>
      <c r="G198">
        <v>60</v>
      </c>
      <c r="H198">
        <v>11</v>
      </c>
      <c r="I198">
        <v>0</v>
      </c>
      <c r="J198">
        <v>131.66</v>
      </c>
      <c r="K198">
        <v>4</v>
      </c>
      <c r="L198" t="str">
        <f>CONCATENATE(T_BATTINGDATA[[#This Row],[Match]],T_BATTINGDATA[[#This Row],[Team]],T_BATTINGDATA[[#This Row],[Bat Number]])</f>
        <v>5Ireland4</v>
      </c>
      <c r="M198" t="str">
        <f>IFERROR(IF(AND(T_BATTINGDATA[[#This Row],[Team]]=I_TEAM,IFERROR(IF(MATCH(T_BATTINGDATA[[#This Row],[BATSMAN NAME]],$O$5:O197,0)&gt;0,0),1)),1,0),"")</f>
        <v/>
      </c>
      <c r="N198" t="e">
        <f>IF(T_BATTINGDATA[[#This Row],[Team]]=I_TEAM,T_BATTINGDATA[[#This Row],[R]],0)</f>
        <v>#REF!</v>
      </c>
      <c r="O198" t="str">
        <f>LEFT(T_BATTINGDATA[[#This Row],[Batsman]],IFERROR(FIND("*",T_BATTINGDATA[[#This Row],[Batsman]])-1,IFERROR(FIND("†",T_BATTINGDATA[[#This Row],[Batsman]])-1,LEN(T_BATTINGDATA[[#This Row],[Batsman]]))))</f>
        <v>NJ O'Brien</v>
      </c>
      <c r="P198">
        <f ca="1">IFERROR(IF(MATCH(T_BATTINGDATA[[#This Row],[BATSMAN NAME]],OFFSET(O199,0,0,BATROWS-ROW(O198)-ROW(T_BATTINGDATA[[#Headers],[BATSMAN NAME]])),0)&gt;0,0,SUMIF($O$6:O198,T_BATTINGDATA[[#This Row],[BATSMAN NAME]],$E$6:E198)),SUMIF($O$6:O198,T_BATTINGDATA[[#This Row],[BATSMAN NAME]],$E$6:E198))</f>
        <v>0</v>
      </c>
      <c r="AP198">
        <v>10</v>
      </c>
      <c r="AQ198" t="s">
        <v>170</v>
      </c>
      <c r="AR198" t="s">
        <v>264</v>
      </c>
      <c r="AS198">
        <v>8</v>
      </c>
      <c r="AT198">
        <v>2</v>
      </c>
      <c r="AU198">
        <v>33</v>
      </c>
      <c r="AV198">
        <v>3</v>
      </c>
      <c r="AW198">
        <v>4.12</v>
      </c>
      <c r="AX198">
        <v>32</v>
      </c>
      <c r="AY198">
        <v>3</v>
      </c>
      <c r="AZ198">
        <v>1</v>
      </c>
      <c r="BA198">
        <v>2</v>
      </c>
      <c r="BB198">
        <v>0</v>
      </c>
      <c r="BC198">
        <v>3</v>
      </c>
      <c r="BD198" t="str">
        <f>CONCATENATE(Table9[[#This Row],[Match Number]],Table9[[#This Row],[Team]],Table9[[#This Row],[BOWL NUM]])</f>
        <v>10West Indies3</v>
      </c>
      <c r="BE198" t="str">
        <f>IFERROR(IF(AND(Table9[[#This Row],[Team]]=I_TEAM,IFERROR(IF(MATCH(Table9[[#This Row],[Bowler]],$AR$5:AR197,0)&gt;0,0),1)),1,0),"")</f>
        <v/>
      </c>
      <c r="BF198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9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198" t="e">
        <f>IF(Table9[[#This Row],[Team]]=I_TEAM,Table9[[#This Row],[Wickets]]*100-Table9[[#This Row],[Runs]],0)</f>
        <v>#REF!</v>
      </c>
      <c r="BI198">
        <f>Table9[[#This Row],[Wickets]]*100-Table9[[#This Row],[Runs]]</f>
        <v>267</v>
      </c>
      <c r="BJ198">
        <f ca="1">IFERROR(IF(MATCH(Table9[[#This Row],[Bowler]],OFFSET(AR199,0,0,BOWLROWS-ROW(AR198)-ROW(Table9[[#Headers],[BOWLER CUML WICKETS]])),0)&gt;0,0,SUMIF($AR$6:AR198,Table9[[#This Row],[Bowler]],$AV$6:AV198)),SUMIF($AR$6:AR198,Table9[[#This Row],[Bowler]],$AV$6:AV198))</f>
        <v>0</v>
      </c>
      <c r="BK198">
        <f ca="1">IFERROR(IF(MATCH(Table9[[#This Row],[Bowler]],OFFSET(AR199,0,0,BOWLROWS-ROW(AR198)-ROW(Table9[[#Headers],[BOWLER CUML WICKETS]])),0)&gt;0,0,SUMIF($AR$6:AR198,Table9[[#This Row],[Bowler]],$AU$6:AU198)),SUMIF($AR$6:AR198,Table9[[#This Row],[Bowler]],$AU$6:AU198))</f>
        <v>0</v>
      </c>
      <c r="BL198">
        <f ca="1">Table9[[#This Row],[BOWLER CUML WICKETS]]*100-Table9[[#This Row],[BOWLER CUML RUNS]]</f>
        <v>0</v>
      </c>
    </row>
    <row r="199" spans="1:64" x14ac:dyDescent="0.3">
      <c r="A199">
        <v>5</v>
      </c>
      <c r="B199" t="s">
        <v>169</v>
      </c>
      <c r="C199" t="s">
        <v>278</v>
      </c>
      <c r="D199" t="s">
        <v>438</v>
      </c>
      <c r="E199">
        <v>9</v>
      </c>
      <c r="F199">
        <v>13</v>
      </c>
      <c r="G199">
        <v>9</v>
      </c>
      <c r="H199">
        <v>2</v>
      </c>
      <c r="I199">
        <v>0</v>
      </c>
      <c r="J199">
        <v>100</v>
      </c>
      <c r="K199">
        <v>5</v>
      </c>
      <c r="L199" t="str">
        <f>CONCATENATE(T_BATTINGDATA[[#This Row],[Match]],T_BATTINGDATA[[#This Row],[Team]],T_BATTINGDATA[[#This Row],[Bat Number]])</f>
        <v>5Ireland5</v>
      </c>
      <c r="M199" t="str">
        <f>IFERROR(IF(AND(T_BATTINGDATA[[#This Row],[Team]]=I_TEAM,IFERROR(IF(MATCH(T_BATTINGDATA[[#This Row],[BATSMAN NAME]],$O$5:O198,0)&gt;0,0),1)),1,0),"")</f>
        <v/>
      </c>
      <c r="N199" t="e">
        <f>IF(T_BATTINGDATA[[#This Row],[Team]]=I_TEAM,T_BATTINGDATA[[#This Row],[R]],0)</f>
        <v>#REF!</v>
      </c>
      <c r="O199" t="str">
        <f>LEFT(T_BATTINGDATA[[#This Row],[Batsman]],IFERROR(FIND("*",T_BATTINGDATA[[#This Row],[Batsman]])-1,IFERROR(FIND("†",T_BATTINGDATA[[#This Row],[Batsman]])-1,LEN(T_BATTINGDATA[[#This Row],[Batsman]]))))</f>
        <v>A Balbirnie</v>
      </c>
      <c r="P199">
        <f ca="1">IFERROR(IF(MATCH(T_BATTINGDATA[[#This Row],[BATSMAN NAME]],OFFSET(O200,0,0,BATROWS-ROW(O199)-ROW(T_BATTINGDATA[[#Headers],[BATSMAN NAME]])),0)&gt;0,0,SUMIF($O$6:O199,T_BATTINGDATA[[#This Row],[BATSMAN NAME]],$E$6:E199)),SUMIF($O$6:O199,T_BATTINGDATA[[#This Row],[BATSMAN NAME]],$E$6:E199))</f>
        <v>0</v>
      </c>
      <c r="AP199">
        <v>10</v>
      </c>
      <c r="AQ199" t="s">
        <v>170</v>
      </c>
      <c r="AR199" t="s">
        <v>302</v>
      </c>
      <c r="AS199">
        <v>8</v>
      </c>
      <c r="AT199">
        <v>0</v>
      </c>
      <c r="AU199">
        <v>47</v>
      </c>
      <c r="AV199">
        <v>1</v>
      </c>
      <c r="AW199">
        <v>5.87</v>
      </c>
      <c r="AX199">
        <v>27</v>
      </c>
      <c r="AY199">
        <v>6</v>
      </c>
      <c r="AZ199">
        <v>1</v>
      </c>
      <c r="BA199">
        <v>0</v>
      </c>
      <c r="BB199">
        <v>0</v>
      </c>
      <c r="BC199">
        <v>4</v>
      </c>
      <c r="BD199" t="str">
        <f>CONCATENATE(Table9[[#This Row],[Match Number]],Table9[[#This Row],[Team]],Table9[[#This Row],[BOWL NUM]])</f>
        <v>10West Indies4</v>
      </c>
      <c r="BE199" t="str">
        <f>IFERROR(IF(AND(Table9[[#This Row],[Team]]=I_TEAM,IFERROR(IF(MATCH(Table9[[#This Row],[Bowler]],$AR$5:AR198,0)&gt;0,0),1)),1,0),"")</f>
        <v/>
      </c>
      <c r="BF199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9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199" t="e">
        <f>IF(Table9[[#This Row],[Team]]=I_TEAM,Table9[[#This Row],[Wickets]]*100-Table9[[#This Row],[Runs]],0)</f>
        <v>#REF!</v>
      </c>
      <c r="BI199">
        <f>Table9[[#This Row],[Wickets]]*100-Table9[[#This Row],[Runs]]</f>
        <v>53</v>
      </c>
      <c r="BJ199">
        <f ca="1">IFERROR(IF(MATCH(Table9[[#This Row],[Bowler]],OFFSET(AR200,0,0,BOWLROWS-ROW(AR199)-ROW(Table9[[#Headers],[BOWLER CUML WICKETS]])),0)&gt;0,0,SUMIF($AR$6:AR199,Table9[[#This Row],[Bowler]],$AV$6:AV199)),SUMIF($AR$6:AR199,Table9[[#This Row],[Bowler]],$AV$6:AV199))</f>
        <v>0</v>
      </c>
      <c r="BK199">
        <f ca="1">IFERROR(IF(MATCH(Table9[[#This Row],[Bowler]],OFFSET(AR200,0,0,BOWLROWS-ROW(AR199)-ROW(Table9[[#Headers],[BOWLER CUML WICKETS]])),0)&gt;0,0,SUMIF($AR$6:AR199,Table9[[#This Row],[Bowler]],$AU$6:AU199)),SUMIF($AR$6:AR199,Table9[[#This Row],[Bowler]],$AU$6:AU199))</f>
        <v>0</v>
      </c>
      <c r="BL199">
        <f ca="1">Table9[[#This Row],[BOWLER CUML WICKETS]]*100-Table9[[#This Row],[BOWLER CUML RUNS]]</f>
        <v>0</v>
      </c>
    </row>
    <row r="200" spans="1:64" x14ac:dyDescent="0.3">
      <c r="A200">
        <v>5</v>
      </c>
      <c r="B200" t="s">
        <v>169</v>
      </c>
      <c r="C200" t="s">
        <v>281</v>
      </c>
      <c r="D200" t="s">
        <v>439</v>
      </c>
      <c r="E200">
        <v>1</v>
      </c>
      <c r="F200">
        <v>12</v>
      </c>
      <c r="G200">
        <v>6</v>
      </c>
      <c r="H200">
        <v>0</v>
      </c>
      <c r="I200">
        <v>0</v>
      </c>
      <c r="J200">
        <v>16.66</v>
      </c>
      <c r="K200">
        <v>6</v>
      </c>
      <c r="L200" t="str">
        <f>CONCATENATE(T_BATTINGDATA[[#This Row],[Match]],T_BATTINGDATA[[#This Row],[Team]],T_BATTINGDATA[[#This Row],[Bat Number]])</f>
        <v>5Ireland6</v>
      </c>
      <c r="M200" t="str">
        <f>IFERROR(IF(AND(T_BATTINGDATA[[#This Row],[Team]]=I_TEAM,IFERROR(IF(MATCH(T_BATTINGDATA[[#This Row],[BATSMAN NAME]],$O$5:O199,0)&gt;0,0),1)),1,0),"")</f>
        <v/>
      </c>
      <c r="N200" t="e">
        <f>IF(T_BATTINGDATA[[#This Row],[Team]]=I_TEAM,T_BATTINGDATA[[#This Row],[R]],0)</f>
        <v>#REF!</v>
      </c>
      <c r="O200" t="str">
        <f>LEFT(T_BATTINGDATA[[#This Row],[Batsman]],IFERROR(FIND("*",T_BATTINGDATA[[#This Row],[Batsman]])-1,IFERROR(FIND("†",T_BATTINGDATA[[#This Row],[Batsman]])-1,LEN(T_BATTINGDATA[[#This Row],[Batsman]]))))</f>
        <v>GC Wilson</v>
      </c>
      <c r="P200">
        <f ca="1">IFERROR(IF(MATCH(T_BATTINGDATA[[#This Row],[BATSMAN NAME]],OFFSET(O201,0,0,BATROWS-ROW(O200)-ROW(T_BATTINGDATA[[#Headers],[BATSMAN NAME]])),0)&gt;0,0,SUMIF($O$6:O200,T_BATTINGDATA[[#This Row],[BATSMAN NAME]],$E$6:E200)),SUMIF($O$6:O200,T_BATTINGDATA[[#This Row],[BATSMAN NAME]],$E$6:E200))</f>
        <v>0</v>
      </c>
      <c r="AP200">
        <v>10</v>
      </c>
      <c r="AQ200" t="s">
        <v>170</v>
      </c>
      <c r="AR200" t="s">
        <v>440</v>
      </c>
      <c r="AS200">
        <v>9</v>
      </c>
      <c r="AT200">
        <v>0</v>
      </c>
      <c r="AU200">
        <v>39</v>
      </c>
      <c r="AV200">
        <v>2</v>
      </c>
      <c r="AW200">
        <v>4.33</v>
      </c>
      <c r="AX200">
        <v>29</v>
      </c>
      <c r="AY200">
        <v>1</v>
      </c>
      <c r="AZ200">
        <v>0</v>
      </c>
      <c r="BA200">
        <v>0</v>
      </c>
      <c r="BB200">
        <v>1</v>
      </c>
      <c r="BC200">
        <v>5</v>
      </c>
      <c r="BD200" t="str">
        <f>CONCATENATE(Table9[[#This Row],[Match Number]],Table9[[#This Row],[Team]],Table9[[#This Row],[BOWL NUM]])</f>
        <v>10West Indies5</v>
      </c>
      <c r="BE200" t="str">
        <f>IFERROR(IF(AND(Table9[[#This Row],[Team]]=I_TEAM,IFERROR(IF(MATCH(Table9[[#This Row],[Bowler]],$AR$5:AR199,0)&gt;0,0),1)),1,0),"")</f>
        <v/>
      </c>
      <c r="BF200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0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00" t="e">
        <f>IF(Table9[[#This Row],[Team]]=I_TEAM,Table9[[#This Row],[Wickets]]*100-Table9[[#This Row],[Runs]],0)</f>
        <v>#REF!</v>
      </c>
      <c r="BI200">
        <f>Table9[[#This Row],[Wickets]]*100-Table9[[#This Row],[Runs]]</f>
        <v>161</v>
      </c>
      <c r="BJ200">
        <f ca="1">IFERROR(IF(MATCH(Table9[[#This Row],[Bowler]],OFFSET(AR201,0,0,BOWLROWS-ROW(AR200)-ROW(Table9[[#Headers],[BOWLER CUML WICKETS]])),0)&gt;0,0,SUMIF($AR$6:AR200,Table9[[#This Row],[Bowler]],$AV$6:AV200)),SUMIF($AR$6:AR200,Table9[[#This Row],[Bowler]],$AV$6:AV200))</f>
        <v>0</v>
      </c>
      <c r="BK200">
        <f ca="1">IFERROR(IF(MATCH(Table9[[#This Row],[Bowler]],OFFSET(AR201,0,0,BOWLROWS-ROW(AR200)-ROW(Table9[[#Headers],[BOWLER CUML WICKETS]])),0)&gt;0,0,SUMIF($AR$6:AR200,Table9[[#This Row],[Bowler]],$AU$6:AU200)),SUMIF($AR$6:AR200,Table9[[#This Row],[Bowler]],$AU$6:AU200))</f>
        <v>0</v>
      </c>
      <c r="BL200">
        <f ca="1">Table9[[#This Row],[BOWLER CUML WICKETS]]*100-Table9[[#This Row],[BOWLER CUML RUNS]]</f>
        <v>0</v>
      </c>
    </row>
    <row r="201" spans="1:64" x14ac:dyDescent="0.3">
      <c r="A201">
        <v>5</v>
      </c>
      <c r="B201" t="s">
        <v>169</v>
      </c>
      <c r="C201" t="s">
        <v>251</v>
      </c>
      <c r="D201" t="s">
        <v>441</v>
      </c>
      <c r="E201">
        <v>0</v>
      </c>
      <c r="F201">
        <v>3</v>
      </c>
      <c r="G201">
        <v>1</v>
      </c>
      <c r="H201">
        <v>0</v>
      </c>
      <c r="I201">
        <v>0</v>
      </c>
      <c r="J201">
        <v>0</v>
      </c>
      <c r="K201">
        <v>7</v>
      </c>
      <c r="L201" t="str">
        <f>CONCATENATE(T_BATTINGDATA[[#This Row],[Match]],T_BATTINGDATA[[#This Row],[Team]],T_BATTINGDATA[[#This Row],[Bat Number]])</f>
        <v>5Ireland7</v>
      </c>
      <c r="M201" t="str">
        <f>IFERROR(IF(AND(T_BATTINGDATA[[#This Row],[Team]]=I_TEAM,IFERROR(IF(MATCH(T_BATTINGDATA[[#This Row],[BATSMAN NAME]],$O$5:O200,0)&gt;0,0),1)),1,0),"")</f>
        <v/>
      </c>
      <c r="N201" t="e">
        <f>IF(T_BATTINGDATA[[#This Row],[Team]]=I_TEAM,T_BATTINGDATA[[#This Row],[R]],0)</f>
        <v>#REF!</v>
      </c>
      <c r="O201" t="str">
        <f>LEFT(T_BATTINGDATA[[#This Row],[Batsman]],IFERROR(FIND("*",T_BATTINGDATA[[#This Row],[Batsman]])-1,IFERROR(FIND("†",T_BATTINGDATA[[#This Row],[Batsman]])-1,LEN(T_BATTINGDATA[[#This Row],[Batsman]]))))</f>
        <v>KJ O'Brien</v>
      </c>
      <c r="P201">
        <f ca="1">IFERROR(IF(MATCH(T_BATTINGDATA[[#This Row],[BATSMAN NAME]],OFFSET(O202,0,0,BATROWS-ROW(O201)-ROW(T_BATTINGDATA[[#Headers],[BATSMAN NAME]])),0)&gt;0,0,SUMIF($O$6:O201,T_BATTINGDATA[[#This Row],[BATSMAN NAME]],$E$6:E201)),SUMIF($O$6:O201,T_BATTINGDATA[[#This Row],[BATSMAN NAME]],$E$6:E201))</f>
        <v>0</v>
      </c>
      <c r="AP201">
        <v>12</v>
      </c>
      <c r="AQ201" t="s">
        <v>145</v>
      </c>
      <c r="AR201" t="s">
        <v>287</v>
      </c>
      <c r="AS201">
        <v>9.4</v>
      </c>
      <c r="AT201">
        <v>1</v>
      </c>
      <c r="AU201">
        <v>41</v>
      </c>
      <c r="AV201">
        <v>3</v>
      </c>
      <c r="AW201">
        <v>4.24</v>
      </c>
      <c r="AX201">
        <v>44</v>
      </c>
      <c r="AY201">
        <v>6</v>
      </c>
      <c r="AZ201">
        <v>0</v>
      </c>
      <c r="BA201">
        <v>5</v>
      </c>
      <c r="BB201">
        <v>1</v>
      </c>
      <c r="BC201">
        <v>1</v>
      </c>
      <c r="BD201" t="str">
        <f>CONCATENATE(Table9[[#This Row],[Match Number]],Table9[[#This Row],[Team]],Table9[[#This Row],[BOWL NUM]])</f>
        <v>12Sri Lanka1</v>
      </c>
      <c r="BE201" t="str">
        <f>IFERROR(IF(AND(Table9[[#This Row],[Team]]=I_TEAM,IFERROR(IF(MATCH(Table9[[#This Row],[Bowler]],$AR$5:AR200,0)&gt;0,0),1)),1,0),"")</f>
        <v/>
      </c>
      <c r="BF201">
        <f>(LEFT(Table9[[#This Row],[Overs]],IFERROR(FIND(".",Table9[[#This Row],[Overs]])-1,LEN(Table9[[#This Row],[Overs]])))*6) + IFERROR(IF(FIND(".",Table9[[#This Row],[Overs]])+1&gt;0,RIGHT(Table9[[#This Row],[Overs]],1),0),0)</f>
        <v>58</v>
      </c>
      <c r="BG20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201" t="e">
        <f>IF(Table9[[#This Row],[Team]]=I_TEAM,Table9[[#This Row],[Wickets]]*100-Table9[[#This Row],[Runs]],0)</f>
        <v>#REF!</v>
      </c>
      <c r="BI201">
        <f>Table9[[#This Row],[Wickets]]*100-Table9[[#This Row],[Runs]]</f>
        <v>259</v>
      </c>
      <c r="BJ201">
        <f ca="1">IFERROR(IF(MATCH(Table9[[#This Row],[Bowler]],OFFSET(AR202,0,0,BOWLROWS-ROW(AR201)-ROW(Table9[[#Headers],[BOWLER CUML WICKETS]])),0)&gt;0,0,SUMIF($AR$6:AR201,Table9[[#This Row],[Bowler]],$AV$6:AV201)),SUMIF($AR$6:AR201,Table9[[#This Row],[Bowler]],$AV$6:AV201))</f>
        <v>0</v>
      </c>
      <c r="BK201">
        <f ca="1">IFERROR(IF(MATCH(Table9[[#This Row],[Bowler]],OFFSET(AR202,0,0,BOWLROWS-ROW(AR201)-ROW(Table9[[#Headers],[BOWLER CUML WICKETS]])),0)&gt;0,0,SUMIF($AR$6:AR201,Table9[[#This Row],[Bowler]],$AU$6:AU201)),SUMIF($AR$6:AR201,Table9[[#This Row],[Bowler]],$AU$6:AU201))</f>
        <v>0</v>
      </c>
      <c r="BL201">
        <f ca="1">Table9[[#This Row],[BOWLER CUML WICKETS]]*100-Table9[[#This Row],[BOWLER CUML RUNS]]</f>
        <v>0</v>
      </c>
    </row>
    <row r="202" spans="1:64" x14ac:dyDescent="0.3">
      <c r="A202">
        <v>5</v>
      </c>
      <c r="B202" t="s">
        <v>169</v>
      </c>
      <c r="C202" t="s">
        <v>242</v>
      </c>
      <c r="D202" t="s">
        <v>167</v>
      </c>
      <c r="E202">
        <v>6</v>
      </c>
      <c r="F202">
        <v>9</v>
      </c>
      <c r="G202">
        <v>5</v>
      </c>
      <c r="H202">
        <v>1</v>
      </c>
      <c r="I202">
        <v>0</v>
      </c>
      <c r="J202">
        <v>120</v>
      </c>
      <c r="K202">
        <v>8</v>
      </c>
      <c r="L202" t="str">
        <f>CONCATENATE(T_BATTINGDATA[[#This Row],[Match]],T_BATTINGDATA[[#This Row],[Team]],T_BATTINGDATA[[#This Row],[Bat Number]])</f>
        <v>5Ireland8</v>
      </c>
      <c r="M202" t="str">
        <f>IFERROR(IF(AND(T_BATTINGDATA[[#This Row],[Team]]=I_TEAM,IFERROR(IF(MATCH(T_BATTINGDATA[[#This Row],[BATSMAN NAME]],$O$5:O201,0)&gt;0,0),1)),1,0),"")</f>
        <v/>
      </c>
      <c r="N202" t="e">
        <f>IF(T_BATTINGDATA[[#This Row],[Team]]=I_TEAM,T_BATTINGDATA[[#This Row],[R]],0)</f>
        <v>#REF!</v>
      </c>
      <c r="O202" t="str">
        <f>LEFT(T_BATTINGDATA[[#This Row],[Batsman]],IFERROR(FIND("*",T_BATTINGDATA[[#This Row],[Batsman]])-1,IFERROR(FIND("†",T_BATTINGDATA[[#This Row],[Batsman]])-1,LEN(T_BATTINGDATA[[#This Row],[Batsman]]))))</f>
        <v>JF Mooney</v>
      </c>
      <c r="P202">
        <f ca="1">IFERROR(IF(MATCH(T_BATTINGDATA[[#This Row],[BATSMAN NAME]],OFFSET(O203,0,0,BATROWS-ROW(O202)-ROW(T_BATTINGDATA[[#Headers],[BATSMAN NAME]])),0)&gt;0,0,SUMIF($O$6:O202,T_BATTINGDATA[[#This Row],[BATSMAN NAME]],$E$6:E202)),SUMIF($O$6:O202,T_BATTINGDATA[[#This Row],[BATSMAN NAME]],$E$6:E202))</f>
        <v>0</v>
      </c>
      <c r="AP202">
        <v>12</v>
      </c>
      <c r="AQ202" t="s">
        <v>145</v>
      </c>
      <c r="AR202" t="s">
        <v>293</v>
      </c>
      <c r="AS202">
        <v>10</v>
      </c>
      <c r="AT202">
        <v>1</v>
      </c>
      <c r="AU202">
        <v>36</v>
      </c>
      <c r="AV202">
        <v>2</v>
      </c>
      <c r="AW202">
        <v>3.6</v>
      </c>
      <c r="AX202">
        <v>40</v>
      </c>
      <c r="AY202">
        <v>2</v>
      </c>
      <c r="AZ202">
        <v>1</v>
      </c>
      <c r="BA202">
        <v>2</v>
      </c>
      <c r="BB202">
        <v>0</v>
      </c>
      <c r="BC202">
        <v>2</v>
      </c>
      <c r="BD202" t="str">
        <f>CONCATENATE(Table9[[#This Row],[Match Number]],Table9[[#This Row],[Team]],Table9[[#This Row],[BOWL NUM]])</f>
        <v>12Sri Lanka2</v>
      </c>
      <c r="BE202" t="str">
        <f>IFERROR(IF(AND(Table9[[#This Row],[Team]]=I_TEAM,IFERROR(IF(MATCH(Table9[[#This Row],[Bowler]],$AR$5:AR201,0)&gt;0,0),1)),1,0),"")</f>
        <v/>
      </c>
      <c r="BF20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0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202" t="e">
        <f>IF(Table9[[#This Row],[Team]]=I_TEAM,Table9[[#This Row],[Wickets]]*100-Table9[[#This Row],[Runs]],0)</f>
        <v>#REF!</v>
      </c>
      <c r="BI202">
        <f>Table9[[#This Row],[Wickets]]*100-Table9[[#This Row],[Runs]]</f>
        <v>164</v>
      </c>
      <c r="BJ202">
        <f ca="1">IFERROR(IF(MATCH(Table9[[#This Row],[Bowler]],OFFSET(AR203,0,0,BOWLROWS-ROW(AR202)-ROW(Table9[[#Headers],[BOWLER CUML WICKETS]])),0)&gt;0,0,SUMIF($AR$6:AR202,Table9[[#This Row],[Bowler]],$AV$6:AV202)),SUMIF($AR$6:AR202,Table9[[#This Row],[Bowler]],$AV$6:AV202))</f>
        <v>0</v>
      </c>
      <c r="BK202">
        <f ca="1">IFERROR(IF(MATCH(Table9[[#This Row],[Bowler]],OFFSET(AR203,0,0,BOWLROWS-ROW(AR202)-ROW(Table9[[#Headers],[BOWLER CUML WICKETS]])),0)&gt;0,0,SUMIF($AR$6:AR202,Table9[[#This Row],[Bowler]],$AU$6:AU202)),SUMIF($AR$6:AR202,Table9[[#This Row],[Bowler]],$AU$6:AU202))</f>
        <v>0</v>
      </c>
      <c r="BL202">
        <f ca="1">Table9[[#This Row],[BOWLER CUML WICKETS]]*100-Table9[[#This Row],[BOWLER CUML RUNS]]</f>
        <v>0</v>
      </c>
    </row>
    <row r="203" spans="1:64" x14ac:dyDescent="0.3">
      <c r="A203">
        <v>6</v>
      </c>
      <c r="B203" t="s">
        <v>176</v>
      </c>
      <c r="C203" t="s">
        <v>442</v>
      </c>
      <c r="D203" t="s">
        <v>443</v>
      </c>
      <c r="E203">
        <v>1</v>
      </c>
      <c r="F203">
        <v>20</v>
      </c>
      <c r="G203">
        <v>10</v>
      </c>
      <c r="H203">
        <v>0</v>
      </c>
      <c r="I203">
        <v>0</v>
      </c>
      <c r="J203">
        <v>10</v>
      </c>
      <c r="K203">
        <v>1</v>
      </c>
      <c r="L203" t="str">
        <f>CONCATENATE(T_BATTINGDATA[[#This Row],[Match]],T_BATTINGDATA[[#This Row],[Team]],T_BATTINGDATA[[#This Row],[Bat Number]])</f>
        <v>6Scotland1</v>
      </c>
      <c r="M203" t="str">
        <f>IFERROR(IF(AND(T_BATTINGDATA[[#This Row],[Team]]=I_TEAM,IFERROR(IF(MATCH(T_BATTINGDATA[[#This Row],[BATSMAN NAME]],$O$5:O202,0)&gt;0,0),1)),1,0),"")</f>
        <v/>
      </c>
      <c r="N203" t="e">
        <f>IF(T_BATTINGDATA[[#This Row],[Team]]=I_TEAM,T_BATTINGDATA[[#This Row],[R]],0)</f>
        <v>#REF!</v>
      </c>
      <c r="O203" t="str">
        <f>LEFT(T_BATTINGDATA[[#This Row],[Batsman]],IFERROR(FIND("*",T_BATTINGDATA[[#This Row],[Batsman]])-1,IFERROR(FIND("†",T_BATTINGDATA[[#This Row],[Batsman]])-1,LEN(T_BATTINGDATA[[#This Row],[Batsman]]))))</f>
        <v>KJ Coetzer</v>
      </c>
      <c r="P203">
        <f ca="1">IFERROR(IF(MATCH(T_BATTINGDATA[[#This Row],[BATSMAN NAME]],OFFSET(O204,0,0,BATROWS-ROW(O203)-ROW(T_BATTINGDATA[[#Headers],[BATSMAN NAME]])),0)&gt;0,0,SUMIF($O$6:O203,T_BATTINGDATA[[#This Row],[BATSMAN NAME]],$E$6:E203)),SUMIF($O$6:O203,T_BATTINGDATA[[#This Row],[BATSMAN NAME]],$E$6:E203))</f>
        <v>0</v>
      </c>
      <c r="AP203">
        <v>12</v>
      </c>
      <c r="AQ203" t="s">
        <v>145</v>
      </c>
      <c r="AR203" t="s">
        <v>288</v>
      </c>
      <c r="AS203">
        <v>7</v>
      </c>
      <c r="AT203">
        <v>0</v>
      </c>
      <c r="AU203">
        <v>41</v>
      </c>
      <c r="AV203">
        <v>3</v>
      </c>
      <c r="AW203">
        <v>5.85</v>
      </c>
      <c r="AX203">
        <v>23</v>
      </c>
      <c r="AY203">
        <v>3</v>
      </c>
      <c r="AZ203">
        <v>1</v>
      </c>
      <c r="BA203">
        <v>2</v>
      </c>
      <c r="BB203">
        <v>0</v>
      </c>
      <c r="BC203">
        <v>3</v>
      </c>
      <c r="BD203" t="str">
        <f>CONCATENATE(Table9[[#This Row],[Match Number]],Table9[[#This Row],[Team]],Table9[[#This Row],[BOWL NUM]])</f>
        <v>12Sri Lanka3</v>
      </c>
      <c r="BE203" t="str">
        <f>IFERROR(IF(AND(Table9[[#This Row],[Team]]=I_TEAM,IFERROR(IF(MATCH(Table9[[#This Row],[Bowler]],$AR$5:AR202,0)&gt;0,0),1)),1,0),"")</f>
        <v/>
      </c>
      <c r="BF203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20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203" t="e">
        <f>IF(Table9[[#This Row],[Team]]=I_TEAM,Table9[[#This Row],[Wickets]]*100-Table9[[#This Row],[Runs]],0)</f>
        <v>#REF!</v>
      </c>
      <c r="BI203">
        <f>Table9[[#This Row],[Wickets]]*100-Table9[[#This Row],[Runs]]</f>
        <v>259</v>
      </c>
      <c r="BJ203">
        <f ca="1">IFERROR(IF(MATCH(Table9[[#This Row],[Bowler]],OFFSET(AR204,0,0,BOWLROWS-ROW(AR203)-ROW(Table9[[#Headers],[BOWLER CUML WICKETS]])),0)&gt;0,0,SUMIF($AR$6:AR203,Table9[[#This Row],[Bowler]],$AV$6:AV203)),SUMIF($AR$6:AR203,Table9[[#This Row],[Bowler]],$AV$6:AV203))</f>
        <v>0</v>
      </c>
      <c r="BK203">
        <f ca="1">IFERROR(IF(MATCH(Table9[[#This Row],[Bowler]],OFFSET(AR204,0,0,BOWLROWS-ROW(AR203)-ROW(Table9[[#Headers],[BOWLER CUML WICKETS]])),0)&gt;0,0,SUMIF($AR$6:AR203,Table9[[#This Row],[Bowler]],$AU$6:AU203)),SUMIF($AR$6:AR203,Table9[[#This Row],[Bowler]],$AU$6:AU203))</f>
        <v>0</v>
      </c>
      <c r="BL203">
        <f ca="1">Table9[[#This Row],[BOWLER CUML WICKETS]]*100-Table9[[#This Row],[BOWLER CUML RUNS]]</f>
        <v>0</v>
      </c>
    </row>
    <row r="204" spans="1:64" x14ac:dyDescent="0.3">
      <c r="A204">
        <v>6</v>
      </c>
      <c r="B204" t="s">
        <v>176</v>
      </c>
      <c r="C204" t="s">
        <v>444</v>
      </c>
      <c r="D204" t="s">
        <v>365</v>
      </c>
      <c r="E204">
        <v>0</v>
      </c>
      <c r="F204">
        <v>5</v>
      </c>
      <c r="G204">
        <v>1</v>
      </c>
      <c r="H204">
        <v>0</v>
      </c>
      <c r="I204">
        <v>0</v>
      </c>
      <c r="J204">
        <v>0</v>
      </c>
      <c r="K204">
        <v>2</v>
      </c>
      <c r="L204" t="str">
        <f>CONCATENATE(T_BATTINGDATA[[#This Row],[Match]],T_BATTINGDATA[[#This Row],[Team]],T_BATTINGDATA[[#This Row],[Bat Number]])</f>
        <v>6Scotland2</v>
      </c>
      <c r="M204" t="str">
        <f>IFERROR(IF(AND(T_BATTINGDATA[[#This Row],[Team]]=I_TEAM,IFERROR(IF(MATCH(T_BATTINGDATA[[#This Row],[BATSMAN NAME]],$O$5:O203,0)&gt;0,0),1)),1,0),"")</f>
        <v/>
      </c>
      <c r="N204" t="e">
        <f>IF(T_BATTINGDATA[[#This Row],[Team]]=I_TEAM,T_BATTINGDATA[[#This Row],[R]],0)</f>
        <v>#REF!</v>
      </c>
      <c r="O204" t="str">
        <f>LEFT(T_BATTINGDATA[[#This Row],[Batsman]],IFERROR(FIND("*",T_BATTINGDATA[[#This Row],[Batsman]])-1,IFERROR(FIND("†",T_BATTINGDATA[[#This Row],[Batsman]])-1,LEN(T_BATTINGDATA[[#This Row],[Batsman]]))))</f>
        <v>CS MacLeod</v>
      </c>
      <c r="P204">
        <f ca="1">IFERROR(IF(MATCH(T_BATTINGDATA[[#This Row],[BATSMAN NAME]],OFFSET(O205,0,0,BATROWS-ROW(O204)-ROW(T_BATTINGDATA[[#Headers],[BATSMAN NAME]])),0)&gt;0,0,SUMIF($O$6:O204,T_BATTINGDATA[[#This Row],[BATSMAN NAME]],$E$6:E204)),SUMIF($O$6:O204,T_BATTINGDATA[[#This Row],[BATSMAN NAME]],$E$6:E204))</f>
        <v>0</v>
      </c>
      <c r="AP204">
        <v>12</v>
      </c>
      <c r="AQ204" t="s">
        <v>145</v>
      </c>
      <c r="AR204" t="s">
        <v>445</v>
      </c>
      <c r="AS204">
        <v>10</v>
      </c>
      <c r="AT204">
        <v>0</v>
      </c>
      <c r="AU204">
        <v>54</v>
      </c>
      <c r="AV204">
        <v>1</v>
      </c>
      <c r="AW204">
        <v>5.4</v>
      </c>
      <c r="AX204">
        <v>33</v>
      </c>
      <c r="AY204">
        <v>5</v>
      </c>
      <c r="AZ204">
        <v>2</v>
      </c>
      <c r="BA204">
        <v>1</v>
      </c>
      <c r="BB204">
        <v>0</v>
      </c>
      <c r="BC204">
        <v>4</v>
      </c>
      <c r="BD204" t="str">
        <f>CONCATENATE(Table9[[#This Row],[Match Number]],Table9[[#This Row],[Team]],Table9[[#This Row],[BOWL NUM]])</f>
        <v>12Sri Lanka4</v>
      </c>
      <c r="BE204" t="str">
        <f>IFERROR(IF(AND(Table9[[#This Row],[Team]]=I_TEAM,IFERROR(IF(MATCH(Table9[[#This Row],[Bowler]],$AR$5:AR203,0)&gt;0,0),1)),1,0),"")</f>
        <v/>
      </c>
      <c r="BF20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0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204" t="e">
        <f>IF(Table9[[#This Row],[Team]]=I_TEAM,Table9[[#This Row],[Wickets]]*100-Table9[[#This Row],[Runs]],0)</f>
        <v>#REF!</v>
      </c>
      <c r="BI204">
        <f>Table9[[#This Row],[Wickets]]*100-Table9[[#This Row],[Runs]]</f>
        <v>46</v>
      </c>
      <c r="BJ204">
        <f ca="1">IFERROR(IF(MATCH(Table9[[#This Row],[Bowler]],OFFSET(AR205,0,0,BOWLROWS-ROW(AR204)-ROW(Table9[[#Headers],[BOWLER CUML WICKETS]])),0)&gt;0,0,SUMIF($AR$6:AR204,Table9[[#This Row],[Bowler]],$AV$6:AV204)),SUMIF($AR$6:AR204,Table9[[#This Row],[Bowler]],$AV$6:AV204))</f>
        <v>0</v>
      </c>
      <c r="BK204">
        <f ca="1">IFERROR(IF(MATCH(Table9[[#This Row],[Bowler]],OFFSET(AR205,0,0,BOWLROWS-ROW(AR204)-ROW(Table9[[#Headers],[BOWLER CUML WICKETS]])),0)&gt;0,0,SUMIF($AR$6:AR204,Table9[[#This Row],[Bowler]],$AU$6:AU204)),SUMIF($AR$6:AR204,Table9[[#This Row],[Bowler]],$AU$6:AU204))</f>
        <v>0</v>
      </c>
      <c r="BL204">
        <f ca="1">Table9[[#This Row],[BOWLER CUML WICKETS]]*100-Table9[[#This Row],[BOWLER CUML RUNS]]</f>
        <v>0</v>
      </c>
    </row>
    <row r="205" spans="1:64" x14ac:dyDescent="0.3">
      <c r="A205">
        <v>6</v>
      </c>
      <c r="B205" t="s">
        <v>176</v>
      </c>
      <c r="C205" t="s">
        <v>446</v>
      </c>
      <c r="D205" t="s">
        <v>365</v>
      </c>
      <c r="E205">
        <v>0</v>
      </c>
      <c r="F205">
        <v>2</v>
      </c>
      <c r="G205">
        <v>1</v>
      </c>
      <c r="H205">
        <v>0</v>
      </c>
      <c r="I205">
        <v>0</v>
      </c>
      <c r="J205">
        <v>0</v>
      </c>
      <c r="K205">
        <v>3</v>
      </c>
      <c r="L205" t="str">
        <f>CONCATENATE(T_BATTINGDATA[[#This Row],[Match]],T_BATTINGDATA[[#This Row],[Team]],T_BATTINGDATA[[#This Row],[Bat Number]])</f>
        <v>6Scotland3</v>
      </c>
      <c r="M205" t="str">
        <f>IFERROR(IF(AND(T_BATTINGDATA[[#This Row],[Team]]=I_TEAM,IFERROR(IF(MATCH(T_BATTINGDATA[[#This Row],[BATSMAN NAME]],$O$5:O204,0)&gt;0,0),1)),1,0),"")</f>
        <v/>
      </c>
      <c r="N205" t="e">
        <f>IF(T_BATTINGDATA[[#This Row],[Team]]=I_TEAM,T_BATTINGDATA[[#This Row],[R]],0)</f>
        <v>#REF!</v>
      </c>
      <c r="O205" t="str">
        <f>LEFT(T_BATTINGDATA[[#This Row],[Batsman]],IFERROR(FIND("*",T_BATTINGDATA[[#This Row],[Batsman]])-1,IFERROR(FIND("†",T_BATTINGDATA[[#This Row],[Batsman]])-1,LEN(T_BATTINGDATA[[#This Row],[Batsman]]))))</f>
        <v>HJW Gardiner</v>
      </c>
      <c r="P205">
        <f ca="1">IFERROR(IF(MATCH(T_BATTINGDATA[[#This Row],[BATSMAN NAME]],OFFSET(O206,0,0,BATROWS-ROW(O205)-ROW(T_BATTINGDATA[[#Headers],[BATSMAN NAME]])),0)&gt;0,0,SUMIF($O$6:O205,T_BATTINGDATA[[#This Row],[BATSMAN NAME]],$E$6:E205)),SUMIF($O$6:O205,T_BATTINGDATA[[#This Row],[BATSMAN NAME]],$E$6:E205))</f>
        <v>0</v>
      </c>
      <c r="AP205">
        <v>12</v>
      </c>
      <c r="AQ205" t="s">
        <v>145</v>
      </c>
      <c r="AR205" t="s">
        <v>289</v>
      </c>
      <c r="AS205">
        <v>10</v>
      </c>
      <c r="AT205">
        <v>0</v>
      </c>
      <c r="AU205">
        <v>41</v>
      </c>
      <c r="AV205">
        <v>1</v>
      </c>
      <c r="AW205">
        <v>4.0999999999999996</v>
      </c>
      <c r="AX205">
        <v>36</v>
      </c>
      <c r="AY205">
        <v>3</v>
      </c>
      <c r="AZ205">
        <v>1</v>
      </c>
      <c r="BA205">
        <v>1</v>
      </c>
      <c r="BB205">
        <v>0</v>
      </c>
      <c r="BC205">
        <v>5</v>
      </c>
      <c r="BD205" t="str">
        <f>CONCATENATE(Table9[[#This Row],[Match Number]],Table9[[#This Row],[Team]],Table9[[#This Row],[BOWL NUM]])</f>
        <v>12Sri Lanka5</v>
      </c>
      <c r="BE205" t="str">
        <f>IFERROR(IF(AND(Table9[[#This Row],[Team]]=I_TEAM,IFERROR(IF(MATCH(Table9[[#This Row],[Bowler]],$AR$5:AR204,0)&gt;0,0),1)),1,0),"")</f>
        <v/>
      </c>
      <c r="BF20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0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205" t="e">
        <f>IF(Table9[[#This Row],[Team]]=I_TEAM,Table9[[#This Row],[Wickets]]*100-Table9[[#This Row],[Runs]],0)</f>
        <v>#REF!</v>
      </c>
      <c r="BI205">
        <f>Table9[[#This Row],[Wickets]]*100-Table9[[#This Row],[Runs]]</f>
        <v>59</v>
      </c>
      <c r="BJ205">
        <f ca="1">IFERROR(IF(MATCH(Table9[[#This Row],[Bowler]],OFFSET(AR206,0,0,BOWLROWS-ROW(AR205)-ROW(Table9[[#Headers],[BOWLER CUML WICKETS]])),0)&gt;0,0,SUMIF($AR$6:AR205,Table9[[#This Row],[Bowler]],$AV$6:AV205)),SUMIF($AR$6:AR205,Table9[[#This Row],[Bowler]],$AV$6:AV205))</f>
        <v>0</v>
      </c>
      <c r="BK205">
        <f ca="1">IFERROR(IF(MATCH(Table9[[#This Row],[Bowler]],OFFSET(AR206,0,0,BOWLROWS-ROW(AR205)-ROW(Table9[[#Headers],[BOWLER CUML WICKETS]])),0)&gt;0,0,SUMIF($AR$6:AR205,Table9[[#This Row],[Bowler]],$AU$6:AU205)),SUMIF($AR$6:AR205,Table9[[#This Row],[Bowler]],$AU$6:AU205))</f>
        <v>0</v>
      </c>
      <c r="BL205">
        <f ca="1">Table9[[#This Row],[BOWLER CUML WICKETS]]*100-Table9[[#This Row],[BOWLER CUML RUNS]]</f>
        <v>0</v>
      </c>
    </row>
    <row r="206" spans="1:64" x14ac:dyDescent="0.3">
      <c r="A206">
        <v>6</v>
      </c>
      <c r="B206" t="s">
        <v>176</v>
      </c>
      <c r="C206" t="s">
        <v>447</v>
      </c>
      <c r="D206" t="s">
        <v>448</v>
      </c>
      <c r="E206">
        <v>56</v>
      </c>
      <c r="F206">
        <v>111</v>
      </c>
      <c r="G206">
        <v>79</v>
      </c>
      <c r="H206">
        <v>7</v>
      </c>
      <c r="I206">
        <v>1</v>
      </c>
      <c r="J206">
        <v>70.88</v>
      </c>
      <c r="K206">
        <v>4</v>
      </c>
      <c r="L206" t="str">
        <f>CONCATENATE(T_BATTINGDATA[[#This Row],[Match]],T_BATTINGDATA[[#This Row],[Team]],T_BATTINGDATA[[#This Row],[Bat Number]])</f>
        <v>6Scotland4</v>
      </c>
      <c r="M206" t="str">
        <f>IFERROR(IF(AND(T_BATTINGDATA[[#This Row],[Team]]=I_TEAM,IFERROR(IF(MATCH(T_BATTINGDATA[[#This Row],[BATSMAN NAME]],$O$5:O205,0)&gt;0,0),1)),1,0),"")</f>
        <v/>
      </c>
      <c r="N206" t="e">
        <f>IF(T_BATTINGDATA[[#This Row],[Team]]=I_TEAM,T_BATTINGDATA[[#This Row],[R]],0)</f>
        <v>#REF!</v>
      </c>
      <c r="O206" t="str">
        <f>LEFT(T_BATTINGDATA[[#This Row],[Batsman]],IFERROR(FIND("*",T_BATTINGDATA[[#This Row],[Batsman]])-1,IFERROR(FIND("†",T_BATTINGDATA[[#This Row],[Batsman]])-1,LEN(T_BATTINGDATA[[#This Row],[Batsman]]))))</f>
        <v>MW Machan</v>
      </c>
      <c r="P206">
        <f ca="1">IFERROR(IF(MATCH(T_BATTINGDATA[[#This Row],[BATSMAN NAME]],OFFSET(O207,0,0,BATROWS-ROW(O206)-ROW(T_BATTINGDATA[[#Headers],[BATSMAN NAME]])),0)&gt;0,0,SUMIF($O$6:O206,T_BATTINGDATA[[#This Row],[BATSMAN NAME]],$E$6:E206)),SUMIF($O$6:O206,T_BATTINGDATA[[#This Row],[BATSMAN NAME]],$E$6:E206))</f>
        <v>0</v>
      </c>
      <c r="AP206">
        <v>12</v>
      </c>
      <c r="AQ206" t="s">
        <v>145</v>
      </c>
      <c r="AR206" t="s">
        <v>295</v>
      </c>
      <c r="AS206">
        <v>3</v>
      </c>
      <c r="AT206">
        <v>0</v>
      </c>
      <c r="AU206">
        <v>13</v>
      </c>
      <c r="AV206">
        <v>0</v>
      </c>
      <c r="AW206">
        <v>4.33</v>
      </c>
      <c r="AX206">
        <v>9</v>
      </c>
      <c r="AY206">
        <v>1</v>
      </c>
      <c r="AZ206">
        <v>0</v>
      </c>
      <c r="BA206">
        <v>0</v>
      </c>
      <c r="BB206">
        <v>0</v>
      </c>
      <c r="BC206">
        <v>6</v>
      </c>
      <c r="BD206" t="str">
        <f>CONCATENATE(Table9[[#This Row],[Match Number]],Table9[[#This Row],[Team]],Table9[[#This Row],[BOWL NUM]])</f>
        <v>12Sri Lanka6</v>
      </c>
      <c r="BE206" t="str">
        <f>IFERROR(IF(AND(Table9[[#This Row],[Team]]=I_TEAM,IFERROR(IF(MATCH(Table9[[#This Row],[Bowler]],$AR$5:AR205,0)&gt;0,0),1)),1,0),"")</f>
        <v/>
      </c>
      <c r="BF206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20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206" t="e">
        <f>IF(Table9[[#This Row],[Team]]=I_TEAM,Table9[[#This Row],[Wickets]]*100-Table9[[#This Row],[Runs]],0)</f>
        <v>#REF!</v>
      </c>
      <c r="BI206">
        <f>Table9[[#This Row],[Wickets]]*100-Table9[[#This Row],[Runs]]</f>
        <v>-13</v>
      </c>
      <c r="BJ206">
        <f ca="1">IFERROR(IF(MATCH(Table9[[#This Row],[Bowler]],OFFSET(AR207,0,0,BOWLROWS-ROW(AR206)-ROW(Table9[[#Headers],[BOWLER CUML WICKETS]])),0)&gt;0,0,SUMIF($AR$6:AR206,Table9[[#This Row],[Bowler]],$AV$6:AV206)),SUMIF($AR$6:AR206,Table9[[#This Row],[Bowler]],$AV$6:AV206))</f>
        <v>2</v>
      </c>
      <c r="BK206">
        <f ca="1">IFERROR(IF(MATCH(Table9[[#This Row],[Bowler]],OFFSET(AR207,0,0,BOWLROWS-ROW(AR206)-ROW(Table9[[#Headers],[BOWLER CUML WICKETS]])),0)&gt;0,0,SUMIF($AR$6:AR206,Table9[[#This Row],[Bowler]],$AU$6:AU206)),SUMIF($AR$6:AR206,Table9[[#This Row],[Bowler]],$AU$6:AU206))</f>
        <v>18</v>
      </c>
      <c r="BL206">
        <f ca="1">Table9[[#This Row],[BOWLER CUML WICKETS]]*100-Table9[[#This Row],[BOWLER CUML RUNS]]</f>
        <v>182</v>
      </c>
    </row>
    <row r="207" spans="1:64" x14ac:dyDescent="0.3">
      <c r="A207">
        <v>6</v>
      </c>
      <c r="B207" t="s">
        <v>176</v>
      </c>
      <c r="C207" t="s">
        <v>449</v>
      </c>
      <c r="D207" t="s">
        <v>450</v>
      </c>
      <c r="E207">
        <v>0</v>
      </c>
      <c r="F207">
        <v>3</v>
      </c>
      <c r="G207">
        <v>1</v>
      </c>
      <c r="H207">
        <v>0</v>
      </c>
      <c r="I207">
        <v>0</v>
      </c>
      <c r="J207">
        <v>0</v>
      </c>
      <c r="K207">
        <v>5</v>
      </c>
      <c r="L207" t="str">
        <f>CONCATENATE(T_BATTINGDATA[[#This Row],[Match]],T_BATTINGDATA[[#This Row],[Team]],T_BATTINGDATA[[#This Row],[Bat Number]])</f>
        <v>6Scotland5</v>
      </c>
      <c r="M207" t="str">
        <f>IFERROR(IF(AND(T_BATTINGDATA[[#This Row],[Team]]=I_TEAM,IFERROR(IF(MATCH(T_BATTINGDATA[[#This Row],[BATSMAN NAME]],$O$5:O206,0)&gt;0,0),1)),1,0),"")</f>
        <v/>
      </c>
      <c r="N207" t="e">
        <f>IF(T_BATTINGDATA[[#This Row],[Team]]=I_TEAM,T_BATTINGDATA[[#This Row],[R]],0)</f>
        <v>#REF!</v>
      </c>
      <c r="O207" t="str">
        <f>LEFT(T_BATTINGDATA[[#This Row],[Batsman]],IFERROR(FIND("*",T_BATTINGDATA[[#This Row],[Batsman]])-1,IFERROR(FIND("†",T_BATTINGDATA[[#This Row],[Batsman]])-1,LEN(T_BATTINGDATA[[#This Row],[Batsman]]))))</f>
        <v>PL Mommsen</v>
      </c>
      <c r="P207">
        <f ca="1">IFERROR(IF(MATCH(T_BATTINGDATA[[#This Row],[BATSMAN NAME]],OFFSET(O208,0,0,BATROWS-ROW(O207)-ROW(T_BATTINGDATA[[#Headers],[BATSMAN NAME]])),0)&gt;0,0,SUMIF($O$6:O207,T_BATTINGDATA[[#This Row],[BATSMAN NAME]],$E$6:E207)),SUMIF($O$6:O207,T_BATTINGDATA[[#This Row],[BATSMAN NAME]],$E$6:E207))</f>
        <v>0</v>
      </c>
      <c r="AP207">
        <v>12</v>
      </c>
      <c r="AQ207" t="s">
        <v>185</v>
      </c>
      <c r="AR207" t="s">
        <v>451</v>
      </c>
      <c r="AS207">
        <v>9</v>
      </c>
      <c r="AT207">
        <v>0</v>
      </c>
      <c r="AU207">
        <v>44</v>
      </c>
      <c r="AV207">
        <v>1</v>
      </c>
      <c r="AW207">
        <v>4.88</v>
      </c>
      <c r="AX207">
        <v>31</v>
      </c>
      <c r="AY207">
        <v>2</v>
      </c>
      <c r="AZ207">
        <v>2</v>
      </c>
      <c r="BA207">
        <v>1</v>
      </c>
      <c r="BB207">
        <v>0</v>
      </c>
      <c r="BC207">
        <v>1</v>
      </c>
      <c r="BD207" t="str">
        <f>CONCATENATE(Table9[[#This Row],[Match Number]],Table9[[#This Row],[Team]],Table9[[#This Row],[BOWL NUM]])</f>
        <v>12Afghanistan1</v>
      </c>
      <c r="BE207" t="str">
        <f>IFERROR(IF(AND(Table9[[#This Row],[Team]]=I_TEAM,IFERROR(IF(MATCH(Table9[[#This Row],[Bowler]],$AR$5:AR206,0)&gt;0,0),1)),1,0),"")</f>
        <v/>
      </c>
      <c r="BF207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0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07" t="e">
        <f>IF(Table9[[#This Row],[Team]]=I_TEAM,Table9[[#This Row],[Wickets]]*100-Table9[[#This Row],[Runs]],0)</f>
        <v>#REF!</v>
      </c>
      <c r="BI207">
        <f>Table9[[#This Row],[Wickets]]*100-Table9[[#This Row],[Runs]]</f>
        <v>56</v>
      </c>
      <c r="BJ207">
        <f ca="1">IFERROR(IF(MATCH(Table9[[#This Row],[Bowler]],OFFSET(AR208,0,0,BOWLROWS-ROW(AR207)-ROW(Table9[[#Headers],[BOWLER CUML WICKETS]])),0)&gt;0,0,SUMIF($AR$6:AR207,Table9[[#This Row],[Bowler]],$AV$6:AV207)),SUMIF($AR$6:AR207,Table9[[#This Row],[Bowler]],$AV$6:AV207))</f>
        <v>0</v>
      </c>
      <c r="BK207">
        <f ca="1">IFERROR(IF(MATCH(Table9[[#This Row],[Bowler]],OFFSET(AR208,0,0,BOWLROWS-ROW(AR207)-ROW(Table9[[#Headers],[BOWLER CUML WICKETS]])),0)&gt;0,0,SUMIF($AR$6:AR207,Table9[[#This Row],[Bowler]],$AU$6:AU207)),SUMIF($AR$6:AR207,Table9[[#This Row],[Bowler]],$AU$6:AU207))</f>
        <v>0</v>
      </c>
      <c r="BL207">
        <f ca="1">Table9[[#This Row],[BOWLER CUML WICKETS]]*100-Table9[[#This Row],[BOWLER CUML RUNS]]</f>
        <v>0</v>
      </c>
    </row>
    <row r="208" spans="1:64" x14ac:dyDescent="0.3">
      <c r="A208">
        <v>6</v>
      </c>
      <c r="B208" t="s">
        <v>176</v>
      </c>
      <c r="C208" t="s">
        <v>452</v>
      </c>
      <c r="D208" t="s">
        <v>374</v>
      </c>
      <c r="E208">
        <v>50</v>
      </c>
      <c r="F208">
        <v>104</v>
      </c>
      <c r="G208">
        <v>80</v>
      </c>
      <c r="H208">
        <v>4</v>
      </c>
      <c r="I208">
        <v>1</v>
      </c>
      <c r="J208">
        <v>62.5</v>
      </c>
      <c r="K208">
        <v>6</v>
      </c>
      <c r="L208" t="str">
        <f>CONCATENATE(T_BATTINGDATA[[#This Row],[Match]],T_BATTINGDATA[[#This Row],[Team]],T_BATTINGDATA[[#This Row],[Bat Number]])</f>
        <v>6Scotland6</v>
      </c>
      <c r="M208" t="str">
        <f>IFERROR(IF(AND(T_BATTINGDATA[[#This Row],[Team]]=I_TEAM,IFERROR(IF(MATCH(T_BATTINGDATA[[#This Row],[BATSMAN NAME]],$O$5:O207,0)&gt;0,0),1)),1,0),"")</f>
        <v/>
      </c>
      <c r="N208" t="e">
        <f>IF(T_BATTINGDATA[[#This Row],[Team]]=I_TEAM,T_BATTINGDATA[[#This Row],[R]],0)</f>
        <v>#REF!</v>
      </c>
      <c r="O208" t="str">
        <f>LEFT(T_BATTINGDATA[[#This Row],[Batsman]],IFERROR(FIND("*",T_BATTINGDATA[[#This Row],[Batsman]])-1,IFERROR(FIND("†",T_BATTINGDATA[[#This Row],[Batsman]])-1,LEN(T_BATTINGDATA[[#This Row],[Batsman]]))))</f>
        <v>RD Berrington</v>
      </c>
      <c r="P208">
        <f ca="1">IFERROR(IF(MATCH(T_BATTINGDATA[[#This Row],[BATSMAN NAME]],OFFSET(O209,0,0,BATROWS-ROW(O208)-ROW(T_BATTINGDATA[[#Headers],[BATSMAN NAME]])),0)&gt;0,0,SUMIF($O$6:O208,T_BATTINGDATA[[#This Row],[BATSMAN NAME]],$E$6:E208)),SUMIF($O$6:O208,T_BATTINGDATA[[#This Row],[BATSMAN NAME]],$E$6:E208))</f>
        <v>0</v>
      </c>
      <c r="AP208">
        <v>12</v>
      </c>
      <c r="AQ208" t="s">
        <v>185</v>
      </c>
      <c r="AR208" t="s">
        <v>390</v>
      </c>
      <c r="AS208">
        <v>10</v>
      </c>
      <c r="AT208">
        <v>1</v>
      </c>
      <c r="AU208">
        <v>48</v>
      </c>
      <c r="AV208">
        <v>1</v>
      </c>
      <c r="AW208">
        <v>4.8</v>
      </c>
      <c r="AX208">
        <v>33</v>
      </c>
      <c r="AY208">
        <v>5</v>
      </c>
      <c r="AZ208">
        <v>0</v>
      </c>
      <c r="BA208">
        <v>0</v>
      </c>
      <c r="BB208">
        <v>0</v>
      </c>
      <c r="BC208">
        <v>2</v>
      </c>
      <c r="BD208" t="str">
        <f>CONCATENATE(Table9[[#This Row],[Match Number]],Table9[[#This Row],[Team]],Table9[[#This Row],[BOWL NUM]])</f>
        <v>12Afghanistan2</v>
      </c>
      <c r="BE208" t="str">
        <f>IFERROR(IF(AND(Table9[[#This Row],[Team]]=I_TEAM,IFERROR(IF(MATCH(Table9[[#This Row],[Bowler]],$AR$5:AR207,0)&gt;0,0),1)),1,0),"")</f>
        <v/>
      </c>
      <c r="BF20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0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08" t="e">
        <f>IF(Table9[[#This Row],[Team]]=I_TEAM,Table9[[#This Row],[Wickets]]*100-Table9[[#This Row],[Runs]],0)</f>
        <v>#REF!</v>
      </c>
      <c r="BI208">
        <f>Table9[[#This Row],[Wickets]]*100-Table9[[#This Row],[Runs]]</f>
        <v>52</v>
      </c>
      <c r="BJ208">
        <f ca="1">IFERROR(IF(MATCH(Table9[[#This Row],[Bowler]],OFFSET(AR209,0,0,BOWLROWS-ROW(AR208)-ROW(Table9[[#Headers],[BOWLER CUML WICKETS]])),0)&gt;0,0,SUMIF($AR$6:AR208,Table9[[#This Row],[Bowler]],$AV$6:AV208)),SUMIF($AR$6:AR208,Table9[[#This Row],[Bowler]],$AV$6:AV208))</f>
        <v>0</v>
      </c>
      <c r="BK208">
        <f ca="1">IFERROR(IF(MATCH(Table9[[#This Row],[Bowler]],OFFSET(AR209,0,0,BOWLROWS-ROW(AR208)-ROW(Table9[[#Headers],[BOWLER CUML WICKETS]])),0)&gt;0,0,SUMIF($AR$6:AR208,Table9[[#This Row],[Bowler]],$AU$6:AU208)),SUMIF($AR$6:AR208,Table9[[#This Row],[Bowler]],$AU$6:AU208))</f>
        <v>0</v>
      </c>
      <c r="BL208">
        <f ca="1">Table9[[#This Row],[BOWLER CUML WICKETS]]*100-Table9[[#This Row],[BOWLER CUML RUNS]]</f>
        <v>0</v>
      </c>
    </row>
    <row r="209" spans="1:64" x14ac:dyDescent="0.3">
      <c r="A209">
        <v>6</v>
      </c>
      <c r="B209" t="s">
        <v>176</v>
      </c>
      <c r="C209" t="s">
        <v>453</v>
      </c>
      <c r="D209" t="s">
        <v>454</v>
      </c>
      <c r="E209">
        <v>14</v>
      </c>
      <c r="F209">
        <v>28</v>
      </c>
      <c r="G209">
        <v>18</v>
      </c>
      <c r="H209">
        <v>2</v>
      </c>
      <c r="I209">
        <v>0</v>
      </c>
      <c r="J209">
        <v>77.77</v>
      </c>
      <c r="K209">
        <v>7</v>
      </c>
      <c r="L209" t="str">
        <f>CONCATENATE(T_BATTINGDATA[[#This Row],[Match]],T_BATTINGDATA[[#This Row],[Team]],T_BATTINGDATA[[#This Row],[Bat Number]])</f>
        <v>6Scotland7</v>
      </c>
      <c r="M209" t="str">
        <f>IFERROR(IF(AND(T_BATTINGDATA[[#This Row],[Team]]=I_TEAM,IFERROR(IF(MATCH(T_BATTINGDATA[[#This Row],[BATSMAN NAME]],$O$5:O208,0)&gt;0,0),1)),1,0),"")</f>
        <v/>
      </c>
      <c r="N209" t="e">
        <f>IF(T_BATTINGDATA[[#This Row],[Team]]=I_TEAM,T_BATTINGDATA[[#This Row],[R]],0)</f>
        <v>#REF!</v>
      </c>
      <c r="O209" t="str">
        <f>LEFT(T_BATTINGDATA[[#This Row],[Batsman]],IFERROR(FIND("*",T_BATTINGDATA[[#This Row],[Batsman]])-1,IFERROR(FIND("†",T_BATTINGDATA[[#This Row],[Batsman]])-1,LEN(T_BATTINGDATA[[#This Row],[Batsman]]))))</f>
        <v>MH Cross</v>
      </c>
      <c r="P209">
        <f ca="1">IFERROR(IF(MATCH(T_BATTINGDATA[[#This Row],[BATSMAN NAME]],OFFSET(O210,0,0,BATROWS-ROW(O209)-ROW(T_BATTINGDATA[[#Headers],[BATSMAN NAME]])),0)&gt;0,0,SUMIF($O$6:O209,T_BATTINGDATA[[#This Row],[BATSMAN NAME]],$E$6:E209)),SUMIF($O$6:O209,T_BATTINGDATA[[#This Row],[BATSMAN NAME]],$E$6:E209))</f>
        <v>0</v>
      </c>
      <c r="AP209">
        <v>12</v>
      </c>
      <c r="AQ209" t="s">
        <v>185</v>
      </c>
      <c r="AR209" t="s">
        <v>389</v>
      </c>
      <c r="AS209">
        <v>9</v>
      </c>
      <c r="AT209">
        <v>0</v>
      </c>
      <c r="AU209">
        <v>45</v>
      </c>
      <c r="AV209">
        <v>3</v>
      </c>
      <c r="AW209">
        <v>5</v>
      </c>
      <c r="AX209">
        <v>30</v>
      </c>
      <c r="AY209">
        <v>5</v>
      </c>
      <c r="AZ209">
        <v>0</v>
      </c>
      <c r="BA209">
        <v>0</v>
      </c>
      <c r="BB209">
        <v>1</v>
      </c>
      <c r="BC209">
        <v>3</v>
      </c>
      <c r="BD209" t="str">
        <f>CONCATENATE(Table9[[#This Row],[Match Number]],Table9[[#This Row],[Team]],Table9[[#This Row],[BOWL NUM]])</f>
        <v>12Afghanistan3</v>
      </c>
      <c r="BE209" t="str">
        <f>IFERROR(IF(AND(Table9[[#This Row],[Team]]=I_TEAM,IFERROR(IF(MATCH(Table9[[#This Row],[Bowler]],$AR$5:AR208,0)&gt;0,0),1)),1,0),"")</f>
        <v/>
      </c>
      <c r="BF209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0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09" t="e">
        <f>IF(Table9[[#This Row],[Team]]=I_TEAM,Table9[[#This Row],[Wickets]]*100-Table9[[#This Row],[Runs]],0)</f>
        <v>#REF!</v>
      </c>
      <c r="BI209">
        <f>Table9[[#This Row],[Wickets]]*100-Table9[[#This Row],[Runs]]</f>
        <v>255</v>
      </c>
      <c r="BJ209">
        <f ca="1">IFERROR(IF(MATCH(Table9[[#This Row],[Bowler]],OFFSET(AR210,0,0,BOWLROWS-ROW(AR209)-ROW(Table9[[#Headers],[BOWLER CUML WICKETS]])),0)&gt;0,0,SUMIF($AR$6:AR209,Table9[[#This Row],[Bowler]],$AV$6:AV209)),SUMIF($AR$6:AR209,Table9[[#This Row],[Bowler]],$AV$6:AV209))</f>
        <v>0</v>
      </c>
      <c r="BK209">
        <f ca="1">IFERROR(IF(MATCH(Table9[[#This Row],[Bowler]],OFFSET(AR210,0,0,BOWLROWS-ROW(AR209)-ROW(Table9[[#Headers],[BOWLER CUML WICKETS]])),0)&gt;0,0,SUMIF($AR$6:AR209,Table9[[#This Row],[Bowler]],$AU$6:AU209)),SUMIF($AR$6:AR209,Table9[[#This Row],[Bowler]],$AU$6:AU209))</f>
        <v>0</v>
      </c>
      <c r="BL209">
        <f ca="1">Table9[[#This Row],[BOWLER CUML WICKETS]]*100-Table9[[#This Row],[BOWLER CUML RUNS]]</f>
        <v>0</v>
      </c>
    </row>
    <row r="210" spans="1:64" x14ac:dyDescent="0.3">
      <c r="A210">
        <v>6</v>
      </c>
      <c r="B210" t="s">
        <v>176</v>
      </c>
      <c r="C210" t="s">
        <v>384</v>
      </c>
      <c r="D210" t="s">
        <v>167</v>
      </c>
      <c r="E210">
        <v>11</v>
      </c>
      <c r="F210">
        <v>36</v>
      </c>
      <c r="G210">
        <v>19</v>
      </c>
      <c r="H210">
        <v>1</v>
      </c>
      <c r="I210">
        <v>0</v>
      </c>
      <c r="J210">
        <v>57.89</v>
      </c>
      <c r="K210">
        <v>8</v>
      </c>
      <c r="L210" t="str">
        <f>CONCATENATE(T_BATTINGDATA[[#This Row],[Match]],T_BATTINGDATA[[#This Row],[Team]],T_BATTINGDATA[[#This Row],[Bat Number]])</f>
        <v>6Scotland8</v>
      </c>
      <c r="M210" t="str">
        <f>IFERROR(IF(AND(T_BATTINGDATA[[#This Row],[Team]]=I_TEAM,IFERROR(IF(MATCH(T_BATTINGDATA[[#This Row],[BATSMAN NAME]],$O$5:O209,0)&gt;0,0),1)),1,0),"")</f>
        <v/>
      </c>
      <c r="N210" t="e">
        <f>IF(T_BATTINGDATA[[#This Row],[Team]]=I_TEAM,T_BATTINGDATA[[#This Row],[R]],0)</f>
        <v>#REF!</v>
      </c>
      <c r="O210" t="str">
        <f>LEFT(T_BATTINGDATA[[#This Row],[Batsman]],IFERROR(FIND("*",T_BATTINGDATA[[#This Row],[Batsman]])-1,IFERROR(FIND("†",T_BATTINGDATA[[#This Row],[Batsman]])-1,LEN(T_BATTINGDATA[[#This Row],[Batsman]]))))</f>
        <v>JH Davey</v>
      </c>
      <c r="P210">
        <f ca="1">IFERROR(IF(MATCH(T_BATTINGDATA[[#This Row],[BATSMAN NAME]],OFFSET(O211,0,0,BATROWS-ROW(O210)-ROW(T_BATTINGDATA[[#Headers],[BATSMAN NAME]])),0)&gt;0,0,SUMIF($O$6:O210,T_BATTINGDATA[[#This Row],[BATSMAN NAME]],$E$6:E210)),SUMIF($O$6:O210,T_BATTINGDATA[[#This Row],[BATSMAN NAME]],$E$6:E210))</f>
        <v>0</v>
      </c>
      <c r="AP210">
        <v>12</v>
      </c>
      <c r="AQ210" t="s">
        <v>185</v>
      </c>
      <c r="AR210" t="s">
        <v>395</v>
      </c>
      <c r="AS210">
        <v>8.1</v>
      </c>
      <c r="AT210">
        <v>0</v>
      </c>
      <c r="AU210">
        <v>31</v>
      </c>
      <c r="AV210">
        <v>0</v>
      </c>
      <c r="AW210">
        <v>3.79</v>
      </c>
      <c r="AX210">
        <v>29</v>
      </c>
      <c r="AY210">
        <v>3</v>
      </c>
      <c r="AZ210">
        <v>0</v>
      </c>
      <c r="BA210">
        <v>0</v>
      </c>
      <c r="BB210">
        <v>0</v>
      </c>
      <c r="BC210">
        <v>4</v>
      </c>
      <c r="BD210" t="str">
        <f>CONCATENATE(Table9[[#This Row],[Match Number]],Table9[[#This Row],[Team]],Table9[[#This Row],[BOWL NUM]])</f>
        <v>12Afghanistan4</v>
      </c>
      <c r="BE210" t="str">
        <f>IFERROR(IF(AND(Table9[[#This Row],[Team]]=I_TEAM,IFERROR(IF(MATCH(Table9[[#This Row],[Bowler]],$AR$5:AR209,0)&gt;0,0),1)),1,0),"")</f>
        <v/>
      </c>
      <c r="BF210">
        <f>(LEFT(Table9[[#This Row],[Overs]],IFERROR(FIND(".",Table9[[#This Row],[Overs]])-1,LEN(Table9[[#This Row],[Overs]])))*6) + IFERROR(IF(FIND(".",Table9[[#This Row],[Overs]])+1&gt;0,RIGHT(Table9[[#This Row],[Overs]],1),0),0)</f>
        <v>49</v>
      </c>
      <c r="BG21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10" t="e">
        <f>IF(Table9[[#This Row],[Team]]=I_TEAM,Table9[[#This Row],[Wickets]]*100-Table9[[#This Row],[Runs]],0)</f>
        <v>#REF!</v>
      </c>
      <c r="BI210">
        <f>Table9[[#This Row],[Wickets]]*100-Table9[[#This Row],[Runs]]</f>
        <v>-31</v>
      </c>
      <c r="BJ210">
        <f ca="1">IFERROR(IF(MATCH(Table9[[#This Row],[Bowler]],OFFSET(AR211,0,0,BOWLROWS-ROW(AR210)-ROW(Table9[[#Headers],[BOWLER CUML WICKETS]])),0)&gt;0,0,SUMIF($AR$6:AR210,Table9[[#This Row],[Bowler]],$AV$6:AV210)),SUMIF($AR$6:AR210,Table9[[#This Row],[Bowler]],$AV$6:AV210))</f>
        <v>2</v>
      </c>
      <c r="BK210">
        <f ca="1">IFERROR(IF(MATCH(Table9[[#This Row],[Bowler]],OFFSET(AR211,0,0,BOWLROWS-ROW(AR210)-ROW(Table9[[#Headers],[BOWLER CUML WICKETS]])),0)&gt;0,0,SUMIF($AR$6:AR210,Table9[[#This Row],[Bowler]],$AU$6:AU210)),SUMIF($AR$6:AR210,Table9[[#This Row],[Bowler]],$AU$6:AU210))</f>
        <v>63</v>
      </c>
      <c r="BL210">
        <f ca="1">Table9[[#This Row],[BOWLER CUML WICKETS]]*100-Table9[[#This Row],[BOWLER CUML RUNS]]</f>
        <v>137</v>
      </c>
    </row>
    <row r="211" spans="1:64" x14ac:dyDescent="0.3">
      <c r="A211">
        <v>6</v>
      </c>
      <c r="B211" t="s">
        <v>176</v>
      </c>
      <c r="C211" t="s">
        <v>382</v>
      </c>
      <c r="D211" t="s">
        <v>455</v>
      </c>
      <c r="E211">
        <v>4</v>
      </c>
      <c r="F211">
        <v>6</v>
      </c>
      <c r="G211">
        <v>6</v>
      </c>
      <c r="H211">
        <v>0</v>
      </c>
      <c r="I211">
        <v>0</v>
      </c>
      <c r="J211">
        <v>66.66</v>
      </c>
      <c r="K211">
        <v>9</v>
      </c>
      <c r="L211" t="str">
        <f>CONCATENATE(T_BATTINGDATA[[#This Row],[Match]],T_BATTINGDATA[[#This Row],[Team]],T_BATTINGDATA[[#This Row],[Bat Number]])</f>
        <v>6Scotland9</v>
      </c>
      <c r="M211" t="str">
        <f>IFERROR(IF(AND(T_BATTINGDATA[[#This Row],[Team]]=I_TEAM,IFERROR(IF(MATCH(T_BATTINGDATA[[#This Row],[BATSMAN NAME]],$O$5:O210,0)&gt;0,0),1)),1,0),"")</f>
        <v/>
      </c>
      <c r="N211" t="e">
        <f>IF(T_BATTINGDATA[[#This Row],[Team]]=I_TEAM,T_BATTINGDATA[[#This Row],[R]],0)</f>
        <v>#REF!</v>
      </c>
      <c r="O211" t="str">
        <f>LEFT(T_BATTINGDATA[[#This Row],[Batsman]],IFERROR(FIND("*",T_BATTINGDATA[[#This Row],[Batsman]])-1,IFERROR(FIND("†",T_BATTINGDATA[[#This Row],[Batsman]])-1,LEN(T_BATTINGDATA[[#This Row],[Batsman]]))))</f>
        <v>RML Taylor</v>
      </c>
      <c r="P211">
        <f ca="1">IFERROR(IF(MATCH(T_BATTINGDATA[[#This Row],[BATSMAN NAME]],OFFSET(O212,0,0,BATROWS-ROW(O211)-ROW(T_BATTINGDATA[[#Headers],[BATSMAN NAME]])),0)&gt;0,0,SUMIF($O$6:O211,T_BATTINGDATA[[#This Row],[BATSMAN NAME]],$E$6:E211)),SUMIF($O$6:O211,T_BATTINGDATA[[#This Row],[BATSMAN NAME]],$E$6:E211))</f>
        <v>0</v>
      </c>
      <c r="AP211">
        <v>12</v>
      </c>
      <c r="AQ211" t="s">
        <v>185</v>
      </c>
      <c r="AR211" t="s">
        <v>396</v>
      </c>
      <c r="AS211">
        <v>5.2</v>
      </c>
      <c r="AT211">
        <v>0</v>
      </c>
      <c r="AU211">
        <v>28</v>
      </c>
      <c r="AV211">
        <v>0</v>
      </c>
      <c r="AW211">
        <v>5.25</v>
      </c>
      <c r="AX211">
        <v>12</v>
      </c>
      <c r="AY211">
        <v>1</v>
      </c>
      <c r="AZ211">
        <v>0</v>
      </c>
      <c r="BA211">
        <v>1</v>
      </c>
      <c r="BB211">
        <v>0</v>
      </c>
      <c r="BC211">
        <v>5</v>
      </c>
      <c r="BD211" t="str">
        <f>CONCATENATE(Table9[[#This Row],[Match Number]],Table9[[#This Row],[Team]],Table9[[#This Row],[BOWL NUM]])</f>
        <v>12Afghanistan5</v>
      </c>
      <c r="BE211" t="str">
        <f>IFERROR(IF(AND(Table9[[#This Row],[Team]]=I_TEAM,IFERROR(IF(MATCH(Table9[[#This Row],[Bowler]],$AR$5:AR210,0)&gt;0,0),1)),1,0),"")</f>
        <v/>
      </c>
      <c r="BF211">
        <f>(LEFT(Table9[[#This Row],[Overs]],IFERROR(FIND(".",Table9[[#This Row],[Overs]])-1,LEN(Table9[[#This Row],[Overs]])))*6) + IFERROR(IF(FIND(".",Table9[[#This Row],[Overs]])+1&gt;0,RIGHT(Table9[[#This Row],[Overs]],1),0),0)</f>
        <v>32</v>
      </c>
      <c r="BG21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11" t="e">
        <f>IF(Table9[[#This Row],[Team]]=I_TEAM,Table9[[#This Row],[Wickets]]*100-Table9[[#This Row],[Runs]],0)</f>
        <v>#REF!</v>
      </c>
      <c r="BI211">
        <f>Table9[[#This Row],[Wickets]]*100-Table9[[#This Row],[Runs]]</f>
        <v>-28</v>
      </c>
      <c r="BJ211">
        <f ca="1">IFERROR(IF(MATCH(Table9[[#This Row],[Bowler]],OFFSET(AR212,0,0,BOWLROWS-ROW(AR211)-ROW(Table9[[#Headers],[BOWLER CUML WICKETS]])),0)&gt;0,0,SUMIF($AR$6:AR211,Table9[[#This Row],[Bowler]],$AV$6:AV211)),SUMIF($AR$6:AR211,Table9[[#This Row],[Bowler]],$AV$6:AV211))</f>
        <v>0</v>
      </c>
      <c r="BK211">
        <f ca="1">IFERROR(IF(MATCH(Table9[[#This Row],[Bowler]],OFFSET(AR212,0,0,BOWLROWS-ROW(AR211)-ROW(Table9[[#Headers],[BOWLER CUML WICKETS]])),0)&gt;0,0,SUMIF($AR$6:AR211,Table9[[#This Row],[Bowler]],$AU$6:AU211)),SUMIF($AR$6:AR211,Table9[[#This Row],[Bowler]],$AU$6:AU211))</f>
        <v>0</v>
      </c>
      <c r="BL211">
        <f ca="1">Table9[[#This Row],[BOWLER CUML WICKETS]]*100-Table9[[#This Row],[BOWLER CUML RUNS]]</f>
        <v>0</v>
      </c>
    </row>
    <row r="212" spans="1:64" x14ac:dyDescent="0.3">
      <c r="A212">
        <v>6</v>
      </c>
      <c r="B212" t="s">
        <v>176</v>
      </c>
      <c r="C212" t="s">
        <v>387</v>
      </c>
      <c r="D212" t="s">
        <v>456</v>
      </c>
      <c r="E212">
        <v>0</v>
      </c>
      <c r="F212">
        <v>6</v>
      </c>
      <c r="G212">
        <v>2</v>
      </c>
      <c r="H212">
        <v>0</v>
      </c>
      <c r="I212">
        <v>0</v>
      </c>
      <c r="J212">
        <v>0</v>
      </c>
      <c r="K212">
        <v>10</v>
      </c>
      <c r="L212" t="str">
        <f>CONCATENATE(T_BATTINGDATA[[#This Row],[Match]],T_BATTINGDATA[[#This Row],[Team]],T_BATTINGDATA[[#This Row],[Bat Number]])</f>
        <v>6Scotland10</v>
      </c>
      <c r="M212" t="str">
        <f>IFERROR(IF(AND(T_BATTINGDATA[[#This Row],[Team]]=I_TEAM,IFERROR(IF(MATCH(T_BATTINGDATA[[#This Row],[BATSMAN NAME]],$O$5:O211,0)&gt;0,0),1)),1,0),"")</f>
        <v/>
      </c>
      <c r="N212" t="e">
        <f>IF(T_BATTINGDATA[[#This Row],[Team]]=I_TEAM,T_BATTINGDATA[[#This Row],[R]],0)</f>
        <v>#REF!</v>
      </c>
      <c r="O212" t="str">
        <f>LEFT(T_BATTINGDATA[[#This Row],[Batsman]],IFERROR(FIND("*",T_BATTINGDATA[[#This Row],[Batsman]])-1,IFERROR(FIND("†",T_BATTINGDATA[[#This Row],[Batsman]])-1,LEN(T_BATTINGDATA[[#This Row],[Batsman]]))))</f>
        <v>RM Haq</v>
      </c>
      <c r="P212">
        <f ca="1">IFERROR(IF(MATCH(T_BATTINGDATA[[#This Row],[BATSMAN NAME]],OFFSET(O213,0,0,BATROWS-ROW(O212)-ROW(T_BATTINGDATA[[#Headers],[BATSMAN NAME]])),0)&gt;0,0,SUMIF($O$6:O212,T_BATTINGDATA[[#This Row],[BATSMAN NAME]],$E$6:E212)),SUMIF($O$6:O212,T_BATTINGDATA[[#This Row],[BATSMAN NAME]],$E$6:E212))</f>
        <v>0</v>
      </c>
      <c r="AP212">
        <v>12</v>
      </c>
      <c r="AQ212" t="s">
        <v>185</v>
      </c>
      <c r="AR212" t="s">
        <v>457</v>
      </c>
      <c r="AS212">
        <v>0.5</v>
      </c>
      <c r="AT212">
        <v>0</v>
      </c>
      <c r="AU212">
        <v>6</v>
      </c>
      <c r="AV212">
        <v>0</v>
      </c>
      <c r="AW212">
        <v>7.2</v>
      </c>
      <c r="AX212">
        <v>2</v>
      </c>
      <c r="AY212">
        <v>1</v>
      </c>
      <c r="AZ212">
        <v>0</v>
      </c>
      <c r="BA212">
        <v>0</v>
      </c>
      <c r="BB212">
        <v>0</v>
      </c>
      <c r="BC212">
        <v>6</v>
      </c>
      <c r="BD212" t="str">
        <f>CONCATENATE(Table9[[#This Row],[Match Number]],Table9[[#This Row],[Team]],Table9[[#This Row],[BOWL NUM]])</f>
        <v>12Afghanistan6</v>
      </c>
      <c r="BE212" t="str">
        <f>IFERROR(IF(AND(Table9[[#This Row],[Team]]=I_TEAM,IFERROR(IF(MATCH(Table9[[#This Row],[Bowler]],$AR$5:AR211,0)&gt;0,0),1)),1,0),"")</f>
        <v/>
      </c>
      <c r="BF212">
        <f>(LEFT(Table9[[#This Row],[Overs]],IFERROR(FIND(".",Table9[[#This Row],[Overs]])-1,LEN(Table9[[#This Row],[Overs]])))*6) + IFERROR(IF(FIND(".",Table9[[#This Row],[Overs]])+1&gt;0,RIGHT(Table9[[#This Row],[Overs]],1),0),0)</f>
        <v>5</v>
      </c>
      <c r="BG21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12" t="e">
        <f>IF(Table9[[#This Row],[Team]]=I_TEAM,Table9[[#This Row],[Wickets]]*100-Table9[[#This Row],[Runs]],0)</f>
        <v>#REF!</v>
      </c>
      <c r="BI212">
        <f>Table9[[#This Row],[Wickets]]*100-Table9[[#This Row],[Runs]]</f>
        <v>-6</v>
      </c>
      <c r="BJ212">
        <f ca="1">IFERROR(IF(MATCH(Table9[[#This Row],[Bowler]],OFFSET(AR213,0,0,BOWLROWS-ROW(AR212)-ROW(Table9[[#Headers],[BOWLER CUML WICKETS]])),0)&gt;0,0,SUMIF($AR$6:AR212,Table9[[#This Row],[Bowler]],$AV$6:AV212)),SUMIF($AR$6:AR212,Table9[[#This Row],[Bowler]],$AV$6:AV212))</f>
        <v>0</v>
      </c>
      <c r="BK212">
        <f ca="1">IFERROR(IF(MATCH(Table9[[#This Row],[Bowler]],OFFSET(AR213,0,0,BOWLROWS-ROW(AR212)-ROW(Table9[[#Headers],[BOWLER CUML WICKETS]])),0)&gt;0,0,SUMIF($AR$6:AR212,Table9[[#This Row],[Bowler]],$AU$6:AU212)),SUMIF($AR$6:AR212,Table9[[#This Row],[Bowler]],$AU$6:AU212))</f>
        <v>6</v>
      </c>
      <c r="BL212">
        <f ca="1">Table9[[#This Row],[BOWLER CUML WICKETS]]*100-Table9[[#This Row],[BOWLER CUML RUNS]]</f>
        <v>-6</v>
      </c>
    </row>
    <row r="213" spans="1:64" x14ac:dyDescent="0.3">
      <c r="A213">
        <v>6</v>
      </c>
      <c r="B213" t="s">
        <v>176</v>
      </c>
      <c r="C213" t="s">
        <v>380</v>
      </c>
      <c r="D213" t="s">
        <v>458</v>
      </c>
      <c r="E213">
        <v>0</v>
      </c>
      <c r="F213">
        <v>4</v>
      </c>
      <c r="G213">
        <v>1</v>
      </c>
      <c r="H213">
        <v>0</v>
      </c>
      <c r="I213">
        <v>0</v>
      </c>
      <c r="J213">
        <v>0</v>
      </c>
      <c r="K213">
        <v>11</v>
      </c>
      <c r="L213" t="str">
        <f>CONCATENATE(T_BATTINGDATA[[#This Row],[Match]],T_BATTINGDATA[[#This Row],[Team]],T_BATTINGDATA[[#This Row],[Bat Number]])</f>
        <v>6Scotland11</v>
      </c>
      <c r="M213" t="str">
        <f>IFERROR(IF(AND(T_BATTINGDATA[[#This Row],[Team]]=I_TEAM,IFERROR(IF(MATCH(T_BATTINGDATA[[#This Row],[BATSMAN NAME]],$O$5:O212,0)&gt;0,0),1)),1,0),"")</f>
        <v/>
      </c>
      <c r="N213" t="e">
        <f>IF(T_BATTINGDATA[[#This Row],[Team]]=I_TEAM,T_BATTINGDATA[[#This Row],[R]],0)</f>
        <v>#REF!</v>
      </c>
      <c r="O213" t="str">
        <f>LEFT(T_BATTINGDATA[[#This Row],[Batsman]],IFERROR(FIND("*",T_BATTINGDATA[[#This Row],[Batsman]])-1,IFERROR(FIND("†",T_BATTINGDATA[[#This Row],[Batsman]])-1,LEN(T_BATTINGDATA[[#This Row],[Batsman]]))))</f>
        <v>I Wardlaw</v>
      </c>
      <c r="P213">
        <f ca="1">IFERROR(IF(MATCH(T_BATTINGDATA[[#This Row],[BATSMAN NAME]],OFFSET(O214,0,0,BATROWS-ROW(O213)-ROW(T_BATTINGDATA[[#Headers],[BATSMAN NAME]])),0)&gt;0,0,SUMIF($O$6:O213,T_BATTINGDATA[[#This Row],[BATSMAN NAME]],$E$6:E213)),SUMIF($O$6:O213,T_BATTINGDATA[[#This Row],[BATSMAN NAME]],$E$6:E213))</f>
        <v>0</v>
      </c>
      <c r="AP213">
        <v>12</v>
      </c>
      <c r="AQ213" t="s">
        <v>185</v>
      </c>
      <c r="AR213" t="s">
        <v>401</v>
      </c>
      <c r="AS213">
        <v>6</v>
      </c>
      <c r="AT213">
        <v>0</v>
      </c>
      <c r="AU213">
        <v>32</v>
      </c>
      <c r="AV213">
        <v>0</v>
      </c>
      <c r="AW213">
        <v>5.33</v>
      </c>
      <c r="AX213">
        <v>15</v>
      </c>
      <c r="AY213">
        <v>3</v>
      </c>
      <c r="AZ213">
        <v>0</v>
      </c>
      <c r="BA213">
        <v>0</v>
      </c>
      <c r="BB213">
        <v>0</v>
      </c>
      <c r="BC213">
        <v>7</v>
      </c>
      <c r="BD213" t="str">
        <f>CONCATENATE(Table9[[#This Row],[Match Number]],Table9[[#This Row],[Team]],Table9[[#This Row],[BOWL NUM]])</f>
        <v>12Afghanistan7</v>
      </c>
      <c r="BE213" t="str">
        <f>IFERROR(IF(AND(Table9[[#This Row],[Team]]=I_TEAM,IFERROR(IF(MATCH(Table9[[#This Row],[Bowler]],$AR$5:AR212,0)&gt;0,0),1)),1,0),"")</f>
        <v/>
      </c>
      <c r="BF213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21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13" t="e">
        <f>IF(Table9[[#This Row],[Team]]=I_TEAM,Table9[[#This Row],[Wickets]]*100-Table9[[#This Row],[Runs]],0)</f>
        <v>#REF!</v>
      </c>
      <c r="BI213">
        <f>Table9[[#This Row],[Wickets]]*100-Table9[[#This Row],[Runs]]</f>
        <v>-32</v>
      </c>
      <c r="BJ213">
        <f ca="1">IFERROR(IF(MATCH(Table9[[#This Row],[Bowler]],OFFSET(AR214,0,0,BOWLROWS-ROW(AR213)-ROW(Table9[[#Headers],[BOWLER CUML WICKETS]])),0)&gt;0,0,SUMIF($AR$6:AR213,Table9[[#This Row],[Bowler]],$AV$6:AV213)),SUMIF($AR$6:AR213,Table9[[#This Row],[Bowler]],$AV$6:AV213))</f>
        <v>0</v>
      </c>
      <c r="BK213">
        <f ca="1">IFERROR(IF(MATCH(Table9[[#This Row],[Bowler]],OFFSET(AR214,0,0,BOWLROWS-ROW(AR213)-ROW(Table9[[#Headers],[BOWLER CUML WICKETS]])),0)&gt;0,0,SUMIF($AR$6:AR213,Table9[[#This Row],[Bowler]],$AU$6:AU213)),SUMIF($AR$6:AR213,Table9[[#This Row],[Bowler]],$AU$6:AU213))</f>
        <v>0</v>
      </c>
      <c r="BL213">
        <f ca="1">Table9[[#This Row],[BOWLER CUML WICKETS]]*100-Table9[[#This Row],[BOWLER CUML RUNS]]</f>
        <v>0</v>
      </c>
    </row>
    <row r="214" spans="1:64" x14ac:dyDescent="0.3">
      <c r="A214">
        <v>6</v>
      </c>
      <c r="B214" t="s">
        <v>140</v>
      </c>
      <c r="C214" t="s">
        <v>349</v>
      </c>
      <c r="D214" t="s">
        <v>459</v>
      </c>
      <c r="E214">
        <v>17</v>
      </c>
      <c r="F214">
        <v>10</v>
      </c>
      <c r="G214">
        <v>14</v>
      </c>
      <c r="H214">
        <v>4</v>
      </c>
      <c r="I214">
        <v>0</v>
      </c>
      <c r="J214">
        <v>121.42</v>
      </c>
      <c r="K214">
        <v>1</v>
      </c>
      <c r="L214" t="str">
        <f>CONCATENATE(T_BATTINGDATA[[#This Row],[Match]],T_BATTINGDATA[[#This Row],[Team]],T_BATTINGDATA[[#This Row],[Bat Number]])</f>
        <v>6New Zealand1</v>
      </c>
      <c r="M214" t="str">
        <f>IFERROR(IF(AND(T_BATTINGDATA[[#This Row],[Team]]=I_TEAM,IFERROR(IF(MATCH(T_BATTINGDATA[[#This Row],[BATSMAN NAME]],$O$5:O213,0)&gt;0,0),1)),1,0),"")</f>
        <v/>
      </c>
      <c r="N214" t="e">
        <f>IF(T_BATTINGDATA[[#This Row],[Team]]=I_TEAM,T_BATTINGDATA[[#This Row],[R]],0)</f>
        <v>#REF!</v>
      </c>
      <c r="O214" t="str">
        <f>LEFT(T_BATTINGDATA[[#This Row],[Batsman]],IFERROR(FIND("*",T_BATTINGDATA[[#This Row],[Batsman]])-1,IFERROR(FIND("†",T_BATTINGDATA[[#This Row],[Batsman]])-1,LEN(T_BATTINGDATA[[#This Row],[Batsman]]))))</f>
        <v>MJ Guptill</v>
      </c>
      <c r="P214">
        <f ca="1">IFERROR(IF(MATCH(T_BATTINGDATA[[#This Row],[BATSMAN NAME]],OFFSET(O215,0,0,BATROWS-ROW(O214)-ROW(T_BATTINGDATA[[#Headers],[BATSMAN NAME]])),0)&gt;0,0,SUMIF($O$6:O214,T_BATTINGDATA[[#This Row],[BATSMAN NAME]],$E$6:E214)),SUMIF($O$6:O214,T_BATTINGDATA[[#This Row],[BATSMAN NAME]],$E$6:E214))</f>
        <v>0</v>
      </c>
      <c r="AP214">
        <v>14</v>
      </c>
      <c r="AQ214" t="s">
        <v>176</v>
      </c>
      <c r="AR214" t="s">
        <v>380</v>
      </c>
      <c r="AS214">
        <v>10</v>
      </c>
      <c r="AT214">
        <v>1</v>
      </c>
      <c r="AU214">
        <v>60</v>
      </c>
      <c r="AV214">
        <v>1</v>
      </c>
      <c r="AW214">
        <v>6</v>
      </c>
      <c r="AX214">
        <v>33</v>
      </c>
      <c r="AY214">
        <v>5</v>
      </c>
      <c r="AZ214">
        <v>2</v>
      </c>
      <c r="BA214">
        <v>2</v>
      </c>
      <c r="BB214">
        <v>0</v>
      </c>
      <c r="BC214">
        <v>1</v>
      </c>
      <c r="BD214" t="str">
        <f>CONCATENATE(Table9[[#This Row],[Match Number]],Table9[[#This Row],[Team]],Table9[[#This Row],[BOWL NUM]])</f>
        <v>14Scotland1</v>
      </c>
      <c r="BE214" t="str">
        <f>IFERROR(IF(AND(Table9[[#This Row],[Team]]=I_TEAM,IFERROR(IF(MATCH(Table9[[#This Row],[Bowler]],$AR$5:AR213,0)&gt;0,0),1)),1,0),"")</f>
        <v/>
      </c>
      <c r="BF21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1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214" t="e">
        <f>IF(Table9[[#This Row],[Team]]=I_TEAM,Table9[[#This Row],[Wickets]]*100-Table9[[#This Row],[Runs]],0)</f>
        <v>#REF!</v>
      </c>
      <c r="BI214">
        <f>Table9[[#This Row],[Wickets]]*100-Table9[[#This Row],[Runs]]</f>
        <v>40</v>
      </c>
      <c r="BJ214">
        <f ca="1">IFERROR(IF(MATCH(Table9[[#This Row],[Bowler]],OFFSET(AR215,0,0,BOWLROWS-ROW(AR214)-ROW(Table9[[#Headers],[BOWLER CUML WICKETS]])),0)&gt;0,0,SUMIF($AR$6:AR214,Table9[[#This Row],[Bowler]],$AV$6:AV214)),SUMIF($AR$6:AR214,Table9[[#This Row],[Bowler]],$AV$6:AV214))</f>
        <v>0</v>
      </c>
      <c r="BK214">
        <f ca="1">IFERROR(IF(MATCH(Table9[[#This Row],[Bowler]],OFFSET(AR215,0,0,BOWLROWS-ROW(AR214)-ROW(Table9[[#Headers],[BOWLER CUML WICKETS]])),0)&gt;0,0,SUMIF($AR$6:AR214,Table9[[#This Row],[Bowler]],$AU$6:AU214)),SUMIF($AR$6:AR214,Table9[[#This Row],[Bowler]],$AU$6:AU214))</f>
        <v>0</v>
      </c>
      <c r="BL214">
        <f ca="1">Table9[[#This Row],[BOWLER CUML WICKETS]]*100-Table9[[#This Row],[BOWLER CUML RUNS]]</f>
        <v>0</v>
      </c>
    </row>
    <row r="215" spans="1:64" x14ac:dyDescent="0.3">
      <c r="A215">
        <v>6</v>
      </c>
      <c r="B215" t="s">
        <v>140</v>
      </c>
      <c r="C215" t="s">
        <v>352</v>
      </c>
      <c r="D215" t="s">
        <v>459</v>
      </c>
      <c r="E215">
        <v>15</v>
      </c>
      <c r="F215">
        <v>28</v>
      </c>
      <c r="G215">
        <v>12</v>
      </c>
      <c r="H215">
        <v>3</v>
      </c>
      <c r="I215">
        <v>0</v>
      </c>
      <c r="J215">
        <v>125</v>
      </c>
      <c r="K215">
        <v>2</v>
      </c>
      <c r="L215" t="str">
        <f>CONCATENATE(T_BATTINGDATA[[#This Row],[Match]],T_BATTINGDATA[[#This Row],[Team]],T_BATTINGDATA[[#This Row],[Bat Number]])</f>
        <v>6New Zealand2</v>
      </c>
      <c r="M215" t="str">
        <f>IFERROR(IF(AND(T_BATTINGDATA[[#This Row],[Team]]=I_TEAM,IFERROR(IF(MATCH(T_BATTINGDATA[[#This Row],[BATSMAN NAME]],$O$5:O214,0)&gt;0,0),1)),1,0),"")</f>
        <v/>
      </c>
      <c r="N215" t="e">
        <f>IF(T_BATTINGDATA[[#This Row],[Team]]=I_TEAM,T_BATTINGDATA[[#This Row],[R]],0)</f>
        <v>#REF!</v>
      </c>
      <c r="O215" t="str">
        <f>LEFT(T_BATTINGDATA[[#This Row],[Batsman]],IFERROR(FIND("*",T_BATTINGDATA[[#This Row],[Batsman]])-1,IFERROR(FIND("†",T_BATTINGDATA[[#This Row],[Batsman]])-1,LEN(T_BATTINGDATA[[#This Row],[Batsman]]))))</f>
        <v>BB McCullum</v>
      </c>
      <c r="P215">
        <f ca="1">IFERROR(IF(MATCH(T_BATTINGDATA[[#This Row],[BATSMAN NAME]],OFFSET(O216,0,0,BATROWS-ROW(O215)-ROW(T_BATTINGDATA[[#Headers],[BATSMAN NAME]])),0)&gt;0,0,SUMIF($O$6:O215,T_BATTINGDATA[[#This Row],[BATSMAN NAME]],$E$6:E215)),SUMIF($O$6:O215,T_BATTINGDATA[[#This Row],[BATSMAN NAME]],$E$6:E215))</f>
        <v>0</v>
      </c>
      <c r="AP215">
        <v>14</v>
      </c>
      <c r="AQ215" t="s">
        <v>176</v>
      </c>
      <c r="AR215" t="s">
        <v>384</v>
      </c>
      <c r="AS215">
        <v>10</v>
      </c>
      <c r="AT215">
        <v>0</v>
      </c>
      <c r="AU215">
        <v>68</v>
      </c>
      <c r="AV215">
        <v>4</v>
      </c>
      <c r="AW215">
        <v>6.8</v>
      </c>
      <c r="AX215">
        <v>32</v>
      </c>
      <c r="AY215">
        <v>7</v>
      </c>
      <c r="AZ215">
        <v>1</v>
      </c>
      <c r="BA215">
        <v>9</v>
      </c>
      <c r="BB215">
        <v>0</v>
      </c>
      <c r="BC215">
        <v>2</v>
      </c>
      <c r="BD215" t="str">
        <f>CONCATENATE(Table9[[#This Row],[Match Number]],Table9[[#This Row],[Team]],Table9[[#This Row],[BOWL NUM]])</f>
        <v>14Scotland2</v>
      </c>
      <c r="BE215" t="str">
        <f>IFERROR(IF(AND(Table9[[#This Row],[Team]]=I_TEAM,IFERROR(IF(MATCH(Table9[[#This Row],[Bowler]],$AR$5:AR214,0)&gt;0,0),1)),1,0),"")</f>
        <v/>
      </c>
      <c r="BF21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1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215" t="e">
        <f>IF(Table9[[#This Row],[Team]]=I_TEAM,Table9[[#This Row],[Wickets]]*100-Table9[[#This Row],[Runs]],0)</f>
        <v>#REF!</v>
      </c>
      <c r="BI215">
        <f>Table9[[#This Row],[Wickets]]*100-Table9[[#This Row],[Runs]]</f>
        <v>332</v>
      </c>
      <c r="BJ215">
        <f ca="1">IFERROR(IF(MATCH(Table9[[#This Row],[Bowler]],OFFSET(AR216,0,0,BOWLROWS-ROW(AR215)-ROW(Table9[[#Headers],[BOWLER CUML WICKETS]])),0)&gt;0,0,SUMIF($AR$6:AR215,Table9[[#This Row],[Bowler]],$AV$6:AV215)),SUMIF($AR$6:AR215,Table9[[#This Row],[Bowler]],$AV$6:AV215))</f>
        <v>0</v>
      </c>
      <c r="BK215">
        <f ca="1">IFERROR(IF(MATCH(Table9[[#This Row],[Bowler]],OFFSET(AR216,0,0,BOWLROWS-ROW(AR215)-ROW(Table9[[#Headers],[BOWLER CUML WICKETS]])),0)&gt;0,0,SUMIF($AR$6:AR215,Table9[[#This Row],[Bowler]],$AU$6:AU215)),SUMIF($AR$6:AR215,Table9[[#This Row],[Bowler]],$AU$6:AU215))</f>
        <v>0</v>
      </c>
      <c r="BL215">
        <f ca="1">Table9[[#This Row],[BOWLER CUML WICKETS]]*100-Table9[[#This Row],[BOWLER CUML RUNS]]</f>
        <v>0</v>
      </c>
    </row>
    <row r="216" spans="1:64" x14ac:dyDescent="0.3">
      <c r="A216">
        <v>6</v>
      </c>
      <c r="B216" t="s">
        <v>140</v>
      </c>
      <c r="C216" t="s">
        <v>307</v>
      </c>
      <c r="D216" t="s">
        <v>460</v>
      </c>
      <c r="E216">
        <v>38</v>
      </c>
      <c r="F216">
        <v>60</v>
      </c>
      <c r="G216">
        <v>45</v>
      </c>
      <c r="H216">
        <v>6</v>
      </c>
      <c r="I216">
        <v>0</v>
      </c>
      <c r="J216">
        <v>84.44</v>
      </c>
      <c r="K216">
        <v>3</v>
      </c>
      <c r="L216" t="str">
        <f>CONCATENATE(T_BATTINGDATA[[#This Row],[Match]],T_BATTINGDATA[[#This Row],[Team]],T_BATTINGDATA[[#This Row],[Bat Number]])</f>
        <v>6New Zealand3</v>
      </c>
      <c r="M216" t="str">
        <f>IFERROR(IF(AND(T_BATTINGDATA[[#This Row],[Team]]=I_TEAM,IFERROR(IF(MATCH(T_BATTINGDATA[[#This Row],[BATSMAN NAME]],$O$5:O215,0)&gt;0,0),1)),1,0),"")</f>
        <v/>
      </c>
      <c r="N216" t="e">
        <f>IF(T_BATTINGDATA[[#This Row],[Team]]=I_TEAM,T_BATTINGDATA[[#This Row],[R]],0)</f>
        <v>#REF!</v>
      </c>
      <c r="O216" t="str">
        <f>LEFT(T_BATTINGDATA[[#This Row],[Batsman]],IFERROR(FIND("*",T_BATTINGDATA[[#This Row],[Batsman]])-1,IFERROR(FIND("†",T_BATTINGDATA[[#This Row],[Batsman]])-1,LEN(T_BATTINGDATA[[#This Row],[Batsman]]))))</f>
        <v>KS Williamson</v>
      </c>
      <c r="P216">
        <f ca="1">IFERROR(IF(MATCH(T_BATTINGDATA[[#This Row],[BATSMAN NAME]],OFFSET(O217,0,0,BATROWS-ROW(O216)-ROW(T_BATTINGDATA[[#Headers],[BATSMAN NAME]])),0)&gt;0,0,SUMIF($O$6:O216,T_BATTINGDATA[[#This Row],[BATSMAN NAME]],$E$6:E216)),SUMIF($O$6:O216,T_BATTINGDATA[[#This Row],[BATSMAN NAME]],$E$6:E216))</f>
        <v>0</v>
      </c>
      <c r="AP216">
        <v>14</v>
      </c>
      <c r="AQ216" t="s">
        <v>176</v>
      </c>
      <c r="AR216" t="s">
        <v>461</v>
      </c>
      <c r="AS216">
        <v>10</v>
      </c>
      <c r="AT216">
        <v>1</v>
      </c>
      <c r="AU216">
        <v>46</v>
      </c>
      <c r="AV216">
        <v>1</v>
      </c>
      <c r="AW216">
        <v>4.5999999999999996</v>
      </c>
      <c r="AX216">
        <v>35</v>
      </c>
      <c r="AY216">
        <v>5</v>
      </c>
      <c r="AZ216">
        <v>0</v>
      </c>
      <c r="BA216">
        <v>2</v>
      </c>
      <c r="BB216">
        <v>0</v>
      </c>
      <c r="BC216">
        <v>3</v>
      </c>
      <c r="BD216" t="str">
        <f>CONCATENATE(Table9[[#This Row],[Match Number]],Table9[[#This Row],[Team]],Table9[[#This Row],[BOWL NUM]])</f>
        <v>14Scotland3</v>
      </c>
      <c r="BE216" t="str">
        <f>IFERROR(IF(AND(Table9[[#This Row],[Team]]=I_TEAM,IFERROR(IF(MATCH(Table9[[#This Row],[Bowler]],$AR$5:AR215,0)&gt;0,0),1)),1,0),"")</f>
        <v/>
      </c>
      <c r="BF21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1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216" t="e">
        <f>IF(Table9[[#This Row],[Team]]=I_TEAM,Table9[[#This Row],[Wickets]]*100-Table9[[#This Row],[Runs]],0)</f>
        <v>#REF!</v>
      </c>
      <c r="BI216">
        <f>Table9[[#This Row],[Wickets]]*100-Table9[[#This Row],[Runs]]</f>
        <v>54</v>
      </c>
      <c r="BJ216">
        <f ca="1">IFERROR(IF(MATCH(Table9[[#This Row],[Bowler]],OFFSET(AR217,0,0,BOWLROWS-ROW(AR216)-ROW(Table9[[#Headers],[BOWLER CUML WICKETS]])),0)&gt;0,0,SUMIF($AR$6:AR216,Table9[[#This Row],[Bowler]],$AV$6:AV216)),SUMIF($AR$6:AR216,Table9[[#This Row],[Bowler]],$AV$6:AV216))</f>
        <v>0</v>
      </c>
      <c r="BK216">
        <f ca="1">IFERROR(IF(MATCH(Table9[[#This Row],[Bowler]],OFFSET(AR217,0,0,BOWLROWS-ROW(AR216)-ROW(Table9[[#Headers],[BOWLER CUML WICKETS]])),0)&gt;0,0,SUMIF($AR$6:AR216,Table9[[#This Row],[Bowler]],$AU$6:AU216)),SUMIF($AR$6:AR216,Table9[[#This Row],[Bowler]],$AU$6:AU216))</f>
        <v>0</v>
      </c>
      <c r="BL216">
        <f ca="1">Table9[[#This Row],[BOWLER CUML WICKETS]]*100-Table9[[#This Row],[BOWLER CUML RUNS]]</f>
        <v>0</v>
      </c>
    </row>
    <row r="217" spans="1:64" x14ac:dyDescent="0.3">
      <c r="A217">
        <v>6</v>
      </c>
      <c r="B217" t="s">
        <v>140</v>
      </c>
      <c r="C217" t="s">
        <v>356</v>
      </c>
      <c r="D217" t="s">
        <v>462</v>
      </c>
      <c r="E217">
        <v>9</v>
      </c>
      <c r="F217">
        <v>15</v>
      </c>
      <c r="G217">
        <v>14</v>
      </c>
      <c r="H217">
        <v>1</v>
      </c>
      <c r="I217">
        <v>0</v>
      </c>
      <c r="J217">
        <v>64.28</v>
      </c>
      <c r="K217">
        <v>4</v>
      </c>
      <c r="L217" t="str">
        <f>CONCATENATE(T_BATTINGDATA[[#This Row],[Match]],T_BATTINGDATA[[#This Row],[Team]],T_BATTINGDATA[[#This Row],[Bat Number]])</f>
        <v>6New Zealand4</v>
      </c>
      <c r="M217" t="str">
        <f>IFERROR(IF(AND(T_BATTINGDATA[[#This Row],[Team]]=I_TEAM,IFERROR(IF(MATCH(T_BATTINGDATA[[#This Row],[BATSMAN NAME]],$O$5:O216,0)&gt;0,0),1)),1,0),"")</f>
        <v/>
      </c>
      <c r="N217" t="e">
        <f>IF(T_BATTINGDATA[[#This Row],[Team]]=I_TEAM,T_BATTINGDATA[[#This Row],[R]],0)</f>
        <v>#REF!</v>
      </c>
      <c r="O217" t="str">
        <f>LEFT(T_BATTINGDATA[[#This Row],[Batsman]],IFERROR(FIND("*",T_BATTINGDATA[[#This Row],[Batsman]])-1,IFERROR(FIND("†",T_BATTINGDATA[[#This Row],[Batsman]])-1,LEN(T_BATTINGDATA[[#This Row],[Batsman]]))))</f>
        <v>LRPL Taylor</v>
      </c>
      <c r="P217">
        <f ca="1">IFERROR(IF(MATCH(T_BATTINGDATA[[#This Row],[BATSMAN NAME]],OFFSET(O218,0,0,BATROWS-ROW(O217)-ROW(T_BATTINGDATA[[#Headers],[BATSMAN NAME]])),0)&gt;0,0,SUMIF($O$6:O217,T_BATTINGDATA[[#This Row],[BATSMAN NAME]],$E$6:E217)),SUMIF($O$6:O217,T_BATTINGDATA[[#This Row],[BATSMAN NAME]],$E$6:E217))</f>
        <v>0</v>
      </c>
      <c r="AP217">
        <v>14</v>
      </c>
      <c r="AQ217" t="s">
        <v>176</v>
      </c>
      <c r="AR217" t="s">
        <v>387</v>
      </c>
      <c r="AS217">
        <v>10</v>
      </c>
      <c r="AT217">
        <v>0</v>
      </c>
      <c r="AU217">
        <v>51</v>
      </c>
      <c r="AV217">
        <v>1</v>
      </c>
      <c r="AW217">
        <v>5.0999999999999996</v>
      </c>
      <c r="AX217">
        <v>29</v>
      </c>
      <c r="AY217">
        <v>0</v>
      </c>
      <c r="AZ217">
        <v>2</v>
      </c>
      <c r="BA217">
        <v>0</v>
      </c>
      <c r="BB217">
        <v>1</v>
      </c>
      <c r="BC217">
        <v>4</v>
      </c>
      <c r="BD217" t="str">
        <f>CONCATENATE(Table9[[#This Row],[Match Number]],Table9[[#This Row],[Team]],Table9[[#This Row],[BOWL NUM]])</f>
        <v>14Scotland4</v>
      </c>
      <c r="BE217" t="str">
        <f>IFERROR(IF(AND(Table9[[#This Row],[Team]]=I_TEAM,IFERROR(IF(MATCH(Table9[[#This Row],[Bowler]],$AR$5:AR216,0)&gt;0,0),1)),1,0),"")</f>
        <v/>
      </c>
      <c r="BF21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1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217" t="e">
        <f>IF(Table9[[#This Row],[Team]]=I_TEAM,Table9[[#This Row],[Wickets]]*100-Table9[[#This Row],[Runs]],0)</f>
        <v>#REF!</v>
      </c>
      <c r="BI217">
        <f>Table9[[#This Row],[Wickets]]*100-Table9[[#This Row],[Runs]]</f>
        <v>49</v>
      </c>
      <c r="BJ217">
        <f ca="1">IFERROR(IF(MATCH(Table9[[#This Row],[Bowler]],OFFSET(AR218,0,0,BOWLROWS-ROW(AR217)-ROW(Table9[[#Headers],[BOWLER CUML WICKETS]])),0)&gt;0,0,SUMIF($AR$6:AR217,Table9[[#This Row],[Bowler]],$AV$6:AV217)),SUMIF($AR$6:AR217,Table9[[#This Row],[Bowler]],$AV$6:AV217))</f>
        <v>0</v>
      </c>
      <c r="BK217">
        <f ca="1">IFERROR(IF(MATCH(Table9[[#This Row],[Bowler]],OFFSET(AR218,0,0,BOWLROWS-ROW(AR217)-ROW(Table9[[#Headers],[BOWLER CUML WICKETS]])),0)&gt;0,0,SUMIF($AR$6:AR217,Table9[[#This Row],[Bowler]],$AU$6:AU217)),SUMIF($AR$6:AR217,Table9[[#This Row],[Bowler]],$AU$6:AU217))</f>
        <v>0</v>
      </c>
      <c r="BL217">
        <f ca="1">Table9[[#This Row],[BOWLER CUML WICKETS]]*100-Table9[[#This Row],[BOWLER CUML RUNS]]</f>
        <v>0</v>
      </c>
    </row>
    <row r="218" spans="1:64" x14ac:dyDescent="0.3">
      <c r="A218">
        <v>6</v>
      </c>
      <c r="B218" t="s">
        <v>140</v>
      </c>
      <c r="C218" t="s">
        <v>305</v>
      </c>
      <c r="D218" t="s">
        <v>459</v>
      </c>
      <c r="E218">
        <v>29</v>
      </c>
      <c r="F218">
        <v>41</v>
      </c>
      <c r="G218">
        <v>31</v>
      </c>
      <c r="H218">
        <v>5</v>
      </c>
      <c r="I218">
        <v>0</v>
      </c>
      <c r="J218">
        <v>93.54</v>
      </c>
      <c r="K218">
        <v>5</v>
      </c>
      <c r="L218" t="str">
        <f>CONCATENATE(T_BATTINGDATA[[#This Row],[Match]],T_BATTINGDATA[[#This Row],[Team]],T_BATTINGDATA[[#This Row],[Bat Number]])</f>
        <v>6New Zealand5</v>
      </c>
      <c r="M218" t="str">
        <f>IFERROR(IF(AND(T_BATTINGDATA[[#This Row],[Team]]=I_TEAM,IFERROR(IF(MATCH(T_BATTINGDATA[[#This Row],[BATSMAN NAME]],$O$5:O217,0)&gt;0,0),1)),1,0),"")</f>
        <v/>
      </c>
      <c r="N218" t="e">
        <f>IF(T_BATTINGDATA[[#This Row],[Team]]=I_TEAM,T_BATTINGDATA[[#This Row],[R]],0)</f>
        <v>#REF!</v>
      </c>
      <c r="O218" t="str">
        <f>LEFT(T_BATTINGDATA[[#This Row],[Batsman]],IFERROR(FIND("*",T_BATTINGDATA[[#This Row],[Batsman]])-1,IFERROR(FIND("†",T_BATTINGDATA[[#This Row],[Batsman]])-1,LEN(T_BATTINGDATA[[#This Row],[Batsman]]))))</f>
        <v>GD Elliott</v>
      </c>
      <c r="P218">
        <f ca="1">IFERROR(IF(MATCH(T_BATTINGDATA[[#This Row],[BATSMAN NAME]],OFFSET(O219,0,0,BATROWS-ROW(O218)-ROW(T_BATTINGDATA[[#Headers],[BATSMAN NAME]])),0)&gt;0,0,SUMIF($O$6:O218,T_BATTINGDATA[[#This Row],[BATSMAN NAME]],$E$6:E218)),SUMIF($O$6:O218,T_BATTINGDATA[[#This Row],[BATSMAN NAME]],$E$6:E218))</f>
        <v>0</v>
      </c>
      <c r="AP218">
        <v>14</v>
      </c>
      <c r="AQ218" t="s">
        <v>176</v>
      </c>
      <c r="AR218" t="s">
        <v>452</v>
      </c>
      <c r="AS218">
        <v>5</v>
      </c>
      <c r="AT218">
        <v>0</v>
      </c>
      <c r="AU218">
        <v>43</v>
      </c>
      <c r="AV218">
        <v>1</v>
      </c>
      <c r="AW218">
        <v>8.6</v>
      </c>
      <c r="AX218">
        <v>11</v>
      </c>
      <c r="AY218">
        <v>5</v>
      </c>
      <c r="AZ218">
        <v>1</v>
      </c>
      <c r="BA218">
        <v>2</v>
      </c>
      <c r="BB218">
        <v>0</v>
      </c>
      <c r="BC218">
        <v>5</v>
      </c>
      <c r="BD218" t="str">
        <f>CONCATENATE(Table9[[#This Row],[Match Number]],Table9[[#This Row],[Team]],Table9[[#This Row],[BOWL NUM]])</f>
        <v>14Scotland5</v>
      </c>
      <c r="BE218" t="str">
        <f>IFERROR(IF(AND(Table9[[#This Row],[Team]]=I_TEAM,IFERROR(IF(MATCH(Table9[[#This Row],[Bowler]],$AR$5:AR217,0)&gt;0,0),1)),1,0),"")</f>
        <v/>
      </c>
      <c r="BF218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21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218" t="e">
        <f>IF(Table9[[#This Row],[Team]]=I_TEAM,Table9[[#This Row],[Wickets]]*100-Table9[[#This Row],[Runs]],0)</f>
        <v>#REF!</v>
      </c>
      <c r="BI218">
        <f>Table9[[#This Row],[Wickets]]*100-Table9[[#This Row],[Runs]]</f>
        <v>57</v>
      </c>
      <c r="BJ218">
        <f ca="1">IFERROR(IF(MATCH(Table9[[#This Row],[Bowler]],OFFSET(AR219,0,0,BOWLROWS-ROW(AR218)-ROW(Table9[[#Headers],[BOWLER CUML WICKETS]])),0)&gt;0,0,SUMIF($AR$6:AR218,Table9[[#This Row],[Bowler]],$AV$6:AV218)),SUMIF($AR$6:AR218,Table9[[#This Row],[Bowler]],$AV$6:AV218))</f>
        <v>0</v>
      </c>
      <c r="BK218">
        <f ca="1">IFERROR(IF(MATCH(Table9[[#This Row],[Bowler]],OFFSET(AR219,0,0,BOWLROWS-ROW(AR218)-ROW(Table9[[#Headers],[BOWLER CUML WICKETS]])),0)&gt;0,0,SUMIF($AR$6:AR218,Table9[[#This Row],[Bowler]],$AU$6:AU218)),SUMIF($AR$6:AR218,Table9[[#This Row],[Bowler]],$AU$6:AU218))</f>
        <v>0</v>
      </c>
      <c r="BL218">
        <f ca="1">Table9[[#This Row],[BOWLER CUML WICKETS]]*100-Table9[[#This Row],[BOWLER CUML RUNS]]</f>
        <v>0</v>
      </c>
    </row>
    <row r="219" spans="1:64" x14ac:dyDescent="0.3">
      <c r="A219">
        <v>6</v>
      </c>
      <c r="B219" t="s">
        <v>140</v>
      </c>
      <c r="C219" t="s">
        <v>309</v>
      </c>
      <c r="D219" t="s">
        <v>463</v>
      </c>
      <c r="E219">
        <v>11</v>
      </c>
      <c r="F219">
        <v>25</v>
      </c>
      <c r="G219">
        <v>16</v>
      </c>
      <c r="H219">
        <v>1</v>
      </c>
      <c r="I219">
        <v>0</v>
      </c>
      <c r="J219">
        <v>68.75</v>
      </c>
      <c r="K219">
        <v>6</v>
      </c>
      <c r="L219" t="str">
        <f>CONCATENATE(T_BATTINGDATA[[#This Row],[Match]],T_BATTINGDATA[[#This Row],[Team]],T_BATTINGDATA[[#This Row],[Bat Number]])</f>
        <v>6New Zealand6</v>
      </c>
      <c r="M219" t="str">
        <f>IFERROR(IF(AND(T_BATTINGDATA[[#This Row],[Team]]=I_TEAM,IFERROR(IF(MATCH(T_BATTINGDATA[[#This Row],[BATSMAN NAME]],$O$5:O218,0)&gt;0,0),1)),1,0),"")</f>
        <v/>
      </c>
      <c r="N219" t="e">
        <f>IF(T_BATTINGDATA[[#This Row],[Team]]=I_TEAM,T_BATTINGDATA[[#This Row],[R]],0)</f>
        <v>#REF!</v>
      </c>
      <c r="O219" t="str">
        <f>LEFT(T_BATTINGDATA[[#This Row],[Batsman]],IFERROR(FIND("*",T_BATTINGDATA[[#This Row],[Batsman]])-1,IFERROR(FIND("†",T_BATTINGDATA[[#This Row],[Batsman]])-1,LEN(T_BATTINGDATA[[#This Row],[Batsman]]))))</f>
        <v>CJ Anderson</v>
      </c>
      <c r="P219">
        <f ca="1">IFERROR(IF(MATCH(T_BATTINGDATA[[#This Row],[BATSMAN NAME]],OFFSET(O220,0,0,BATROWS-ROW(O219)-ROW(T_BATTINGDATA[[#Headers],[BATSMAN NAME]])),0)&gt;0,0,SUMIF($O$6:O219,T_BATTINGDATA[[#This Row],[BATSMAN NAME]],$E$6:E219)),SUMIF($O$6:O219,T_BATTINGDATA[[#This Row],[BATSMAN NAME]],$E$6:E219))</f>
        <v>0</v>
      </c>
      <c r="AP219">
        <v>14</v>
      </c>
      <c r="AQ219" t="s">
        <v>176</v>
      </c>
      <c r="AR219" t="s">
        <v>447</v>
      </c>
      <c r="AS219">
        <v>2</v>
      </c>
      <c r="AT219">
        <v>0</v>
      </c>
      <c r="AU219">
        <v>11</v>
      </c>
      <c r="AV219">
        <v>0</v>
      </c>
      <c r="AW219">
        <v>5.5</v>
      </c>
      <c r="AX219">
        <v>2</v>
      </c>
      <c r="AY219">
        <v>0</v>
      </c>
      <c r="AZ219">
        <v>0</v>
      </c>
      <c r="BA219">
        <v>0</v>
      </c>
      <c r="BB219">
        <v>0</v>
      </c>
      <c r="BC219">
        <v>6</v>
      </c>
      <c r="BD219" t="str">
        <f>CONCATENATE(Table9[[#This Row],[Match Number]],Table9[[#This Row],[Team]],Table9[[#This Row],[BOWL NUM]])</f>
        <v>14Scotland6</v>
      </c>
      <c r="BE219" t="str">
        <f>IFERROR(IF(AND(Table9[[#This Row],[Team]]=I_TEAM,IFERROR(IF(MATCH(Table9[[#This Row],[Bowler]],$AR$5:AR218,0)&gt;0,0),1)),1,0),"")</f>
        <v/>
      </c>
      <c r="BF219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21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219" t="e">
        <f>IF(Table9[[#This Row],[Team]]=I_TEAM,Table9[[#This Row],[Wickets]]*100-Table9[[#This Row],[Runs]],0)</f>
        <v>#REF!</v>
      </c>
      <c r="BI219">
        <f>Table9[[#This Row],[Wickets]]*100-Table9[[#This Row],[Runs]]</f>
        <v>-11</v>
      </c>
      <c r="BJ219">
        <f ca="1">IFERROR(IF(MATCH(Table9[[#This Row],[Bowler]],OFFSET(AR220,0,0,BOWLROWS-ROW(AR219)-ROW(Table9[[#Headers],[BOWLER CUML WICKETS]])),0)&gt;0,0,SUMIF($AR$6:AR219,Table9[[#This Row],[Bowler]],$AV$6:AV219)),SUMIF($AR$6:AR219,Table9[[#This Row],[Bowler]],$AV$6:AV219))</f>
        <v>0</v>
      </c>
      <c r="BK219">
        <f ca="1">IFERROR(IF(MATCH(Table9[[#This Row],[Bowler]],OFFSET(AR220,0,0,BOWLROWS-ROW(AR219)-ROW(Table9[[#Headers],[BOWLER CUML WICKETS]])),0)&gt;0,0,SUMIF($AR$6:AR219,Table9[[#This Row],[Bowler]],$AU$6:AU219)),SUMIF($AR$6:AR219,Table9[[#This Row],[Bowler]],$AU$6:AU219))</f>
        <v>0</v>
      </c>
      <c r="BL219">
        <f ca="1">Table9[[#This Row],[BOWLER CUML WICKETS]]*100-Table9[[#This Row],[BOWLER CUML RUNS]]</f>
        <v>0</v>
      </c>
    </row>
    <row r="220" spans="1:64" x14ac:dyDescent="0.3">
      <c r="A220">
        <v>6</v>
      </c>
      <c r="B220" t="s">
        <v>140</v>
      </c>
      <c r="C220" t="s">
        <v>360</v>
      </c>
      <c r="D220" t="s">
        <v>464</v>
      </c>
      <c r="E220">
        <v>12</v>
      </c>
      <c r="F220">
        <v>12</v>
      </c>
      <c r="G220">
        <v>10</v>
      </c>
      <c r="H220">
        <v>2</v>
      </c>
      <c r="I220">
        <v>0</v>
      </c>
      <c r="J220">
        <v>120</v>
      </c>
      <c r="K220">
        <v>7</v>
      </c>
      <c r="L220" t="str">
        <f>CONCATENATE(T_BATTINGDATA[[#This Row],[Match]],T_BATTINGDATA[[#This Row],[Team]],T_BATTINGDATA[[#This Row],[Bat Number]])</f>
        <v>6New Zealand7</v>
      </c>
      <c r="M220" t="str">
        <f>IFERROR(IF(AND(T_BATTINGDATA[[#This Row],[Team]]=I_TEAM,IFERROR(IF(MATCH(T_BATTINGDATA[[#This Row],[BATSMAN NAME]],$O$5:O219,0)&gt;0,0),1)),1,0),"")</f>
        <v/>
      </c>
      <c r="N220" t="e">
        <f>IF(T_BATTINGDATA[[#This Row],[Team]]=I_TEAM,T_BATTINGDATA[[#This Row],[R]],0)</f>
        <v>#REF!</v>
      </c>
      <c r="O220" t="str">
        <f>LEFT(T_BATTINGDATA[[#This Row],[Batsman]],IFERROR(FIND("*",T_BATTINGDATA[[#This Row],[Batsman]])-1,IFERROR(FIND("†",T_BATTINGDATA[[#This Row],[Batsman]])-1,LEN(T_BATTINGDATA[[#This Row],[Batsman]]))))</f>
        <v>L Ronchi</v>
      </c>
      <c r="P220">
        <f ca="1">IFERROR(IF(MATCH(T_BATTINGDATA[[#This Row],[BATSMAN NAME]],OFFSET(O221,0,0,BATROWS-ROW(O220)-ROW(T_BATTINGDATA[[#Headers],[BATSMAN NAME]])),0)&gt;0,0,SUMIF($O$6:O220,T_BATTINGDATA[[#This Row],[BATSMAN NAME]],$E$6:E220)),SUMIF($O$6:O220,T_BATTINGDATA[[#This Row],[BATSMAN NAME]],$E$6:E220))</f>
        <v>0</v>
      </c>
      <c r="AP220">
        <v>14</v>
      </c>
      <c r="AQ220" t="s">
        <v>176</v>
      </c>
      <c r="AR220" t="s">
        <v>442</v>
      </c>
      <c r="AS220">
        <v>3</v>
      </c>
      <c r="AT220">
        <v>0</v>
      </c>
      <c r="AU220">
        <v>19</v>
      </c>
      <c r="AV220">
        <v>0</v>
      </c>
      <c r="AW220">
        <v>6.33</v>
      </c>
      <c r="AX220">
        <v>5</v>
      </c>
      <c r="AY220">
        <v>0</v>
      </c>
      <c r="AZ220">
        <v>1</v>
      </c>
      <c r="BA220">
        <v>0</v>
      </c>
      <c r="BB220">
        <v>0</v>
      </c>
      <c r="BC220">
        <v>7</v>
      </c>
      <c r="BD220" t="str">
        <f>CONCATENATE(Table9[[#This Row],[Match Number]],Table9[[#This Row],[Team]],Table9[[#This Row],[BOWL NUM]])</f>
        <v>14Scotland7</v>
      </c>
      <c r="BE220" t="str">
        <f>IFERROR(IF(AND(Table9[[#This Row],[Team]]=I_TEAM,IFERROR(IF(MATCH(Table9[[#This Row],[Bowler]],$AR$5:AR219,0)&gt;0,0),1)),1,0),"")</f>
        <v/>
      </c>
      <c r="BF220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22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220" t="e">
        <f>IF(Table9[[#This Row],[Team]]=I_TEAM,Table9[[#This Row],[Wickets]]*100-Table9[[#This Row],[Runs]],0)</f>
        <v>#REF!</v>
      </c>
      <c r="BI220">
        <f>Table9[[#This Row],[Wickets]]*100-Table9[[#This Row],[Runs]]</f>
        <v>-19</v>
      </c>
      <c r="BJ220">
        <f ca="1">IFERROR(IF(MATCH(Table9[[#This Row],[Bowler]],OFFSET(AR221,0,0,BOWLROWS-ROW(AR220)-ROW(Table9[[#Headers],[BOWLER CUML WICKETS]])),0)&gt;0,0,SUMIF($AR$6:AR220,Table9[[#This Row],[Bowler]],$AV$6:AV220)),SUMIF($AR$6:AR220,Table9[[#This Row],[Bowler]],$AV$6:AV220))</f>
        <v>0</v>
      </c>
      <c r="BK220">
        <f ca="1">IFERROR(IF(MATCH(Table9[[#This Row],[Bowler]],OFFSET(AR221,0,0,BOWLROWS-ROW(AR220)-ROW(Table9[[#Headers],[BOWLER CUML WICKETS]])),0)&gt;0,0,SUMIF($AR$6:AR220,Table9[[#This Row],[Bowler]],$AU$6:AU220)),SUMIF($AR$6:AR220,Table9[[#This Row],[Bowler]],$AU$6:AU220))</f>
        <v>0</v>
      </c>
      <c r="BL220">
        <f ca="1">Table9[[#This Row],[BOWLER CUML WICKETS]]*100-Table9[[#This Row],[BOWLER CUML RUNS]]</f>
        <v>0</v>
      </c>
    </row>
    <row r="221" spans="1:64" x14ac:dyDescent="0.3">
      <c r="A221">
        <v>6</v>
      </c>
      <c r="B221" t="s">
        <v>140</v>
      </c>
      <c r="C221" t="s">
        <v>303</v>
      </c>
      <c r="D221" t="s">
        <v>167</v>
      </c>
      <c r="E221">
        <v>8</v>
      </c>
      <c r="F221">
        <v>9</v>
      </c>
      <c r="G221">
        <v>4</v>
      </c>
      <c r="H221">
        <v>1</v>
      </c>
      <c r="I221">
        <v>0</v>
      </c>
      <c r="J221">
        <v>200</v>
      </c>
      <c r="K221">
        <v>8</v>
      </c>
      <c r="L221" t="str">
        <f>CONCATENATE(T_BATTINGDATA[[#This Row],[Match]],T_BATTINGDATA[[#This Row],[Team]],T_BATTINGDATA[[#This Row],[Bat Number]])</f>
        <v>6New Zealand8</v>
      </c>
      <c r="M221" t="str">
        <f>IFERROR(IF(AND(T_BATTINGDATA[[#This Row],[Team]]=I_TEAM,IFERROR(IF(MATCH(T_BATTINGDATA[[#This Row],[BATSMAN NAME]],$O$5:O220,0)&gt;0,0),1)),1,0),"")</f>
        <v/>
      </c>
      <c r="N221" t="e">
        <f>IF(T_BATTINGDATA[[#This Row],[Team]]=I_TEAM,T_BATTINGDATA[[#This Row],[R]],0)</f>
        <v>#REF!</v>
      </c>
      <c r="O221" t="str">
        <f>LEFT(T_BATTINGDATA[[#This Row],[Batsman]],IFERROR(FIND("*",T_BATTINGDATA[[#This Row],[Batsman]])-1,IFERROR(FIND("†",T_BATTINGDATA[[#This Row],[Batsman]])-1,LEN(T_BATTINGDATA[[#This Row],[Batsman]]))))</f>
        <v>DL Vettori</v>
      </c>
      <c r="P221">
        <f ca="1">IFERROR(IF(MATCH(T_BATTINGDATA[[#This Row],[BATSMAN NAME]],OFFSET(O222,0,0,BATROWS-ROW(O221)-ROW(T_BATTINGDATA[[#Headers],[BATSMAN NAME]])),0)&gt;0,0,SUMIF($O$6:O221,T_BATTINGDATA[[#This Row],[BATSMAN NAME]],$E$6:E221)),SUMIF($O$6:O221,T_BATTINGDATA[[#This Row],[BATSMAN NAME]],$E$6:E221))</f>
        <v>0</v>
      </c>
      <c r="AP221">
        <v>14</v>
      </c>
      <c r="AQ221" t="s">
        <v>154</v>
      </c>
      <c r="AR221" t="s">
        <v>310</v>
      </c>
      <c r="AS221">
        <v>6</v>
      </c>
      <c r="AT221">
        <v>0</v>
      </c>
      <c r="AU221">
        <v>30</v>
      </c>
      <c r="AV221">
        <v>2</v>
      </c>
      <c r="AW221">
        <v>5</v>
      </c>
      <c r="AX221">
        <v>24</v>
      </c>
      <c r="AY221">
        <v>5</v>
      </c>
      <c r="AZ221">
        <v>0</v>
      </c>
      <c r="BA221">
        <v>0</v>
      </c>
      <c r="BB221">
        <v>0</v>
      </c>
      <c r="BC221">
        <v>1</v>
      </c>
      <c r="BD221" t="str">
        <f>CONCATENATE(Table9[[#This Row],[Match Number]],Table9[[#This Row],[Team]],Table9[[#This Row],[BOWL NUM]])</f>
        <v>14England1</v>
      </c>
      <c r="BE221" t="str">
        <f>IFERROR(IF(AND(Table9[[#This Row],[Team]]=I_TEAM,IFERROR(IF(MATCH(Table9[[#This Row],[Bowler]],$AR$5:AR220,0)&gt;0,0),1)),1,0),"")</f>
        <v/>
      </c>
      <c r="BF221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22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221" t="e">
        <f>IF(Table9[[#This Row],[Team]]=I_TEAM,Table9[[#This Row],[Wickets]]*100-Table9[[#This Row],[Runs]],0)</f>
        <v>#REF!</v>
      </c>
      <c r="BI221">
        <f>Table9[[#This Row],[Wickets]]*100-Table9[[#This Row],[Runs]]</f>
        <v>170</v>
      </c>
      <c r="BJ221">
        <f ca="1">IFERROR(IF(MATCH(Table9[[#This Row],[Bowler]],OFFSET(AR222,0,0,BOWLROWS-ROW(AR221)-ROW(Table9[[#Headers],[BOWLER CUML WICKETS]])),0)&gt;0,0,SUMIF($AR$6:AR221,Table9[[#This Row],[Bowler]],$AV$6:AV221)),SUMIF($AR$6:AR221,Table9[[#This Row],[Bowler]],$AV$6:AV221))</f>
        <v>0</v>
      </c>
      <c r="BK221">
        <f ca="1">IFERROR(IF(MATCH(Table9[[#This Row],[Bowler]],OFFSET(AR222,0,0,BOWLROWS-ROW(AR221)-ROW(Table9[[#Headers],[BOWLER CUML WICKETS]])),0)&gt;0,0,SUMIF($AR$6:AR221,Table9[[#This Row],[Bowler]],$AU$6:AU221)),SUMIF($AR$6:AR221,Table9[[#This Row],[Bowler]],$AU$6:AU221))</f>
        <v>0</v>
      </c>
      <c r="BL221">
        <f ca="1">Table9[[#This Row],[BOWLER CUML WICKETS]]*100-Table9[[#This Row],[BOWLER CUML RUNS]]</f>
        <v>0</v>
      </c>
    </row>
    <row r="222" spans="1:64" x14ac:dyDescent="0.3">
      <c r="A222">
        <v>6</v>
      </c>
      <c r="B222" t="s">
        <v>140</v>
      </c>
      <c r="C222" t="s">
        <v>301</v>
      </c>
      <c r="D222" t="s">
        <v>167</v>
      </c>
      <c r="E222">
        <v>1</v>
      </c>
      <c r="F222">
        <v>6</v>
      </c>
      <c r="G222">
        <v>3</v>
      </c>
      <c r="H222">
        <v>0</v>
      </c>
      <c r="I222">
        <v>0</v>
      </c>
      <c r="J222">
        <v>33.33</v>
      </c>
      <c r="K222">
        <v>9</v>
      </c>
      <c r="L222" t="str">
        <f>CONCATENATE(T_BATTINGDATA[[#This Row],[Match]],T_BATTINGDATA[[#This Row],[Team]],T_BATTINGDATA[[#This Row],[Bat Number]])</f>
        <v>6New Zealand9</v>
      </c>
      <c r="M222" t="str">
        <f>IFERROR(IF(AND(T_BATTINGDATA[[#This Row],[Team]]=I_TEAM,IFERROR(IF(MATCH(T_BATTINGDATA[[#This Row],[BATSMAN NAME]],$O$5:O221,0)&gt;0,0),1)),1,0),"")</f>
        <v/>
      </c>
      <c r="N222" t="e">
        <f>IF(T_BATTINGDATA[[#This Row],[Team]]=I_TEAM,T_BATTINGDATA[[#This Row],[R]],0)</f>
        <v>#REF!</v>
      </c>
      <c r="O222" t="str">
        <f>LEFT(T_BATTINGDATA[[#This Row],[Batsman]],IFERROR(FIND("*",T_BATTINGDATA[[#This Row],[Batsman]])-1,IFERROR(FIND("†",T_BATTINGDATA[[#This Row],[Batsman]])-1,LEN(T_BATTINGDATA[[#This Row],[Batsman]]))))</f>
        <v>AF Milne</v>
      </c>
      <c r="P222">
        <f ca="1">IFERROR(IF(MATCH(T_BATTINGDATA[[#This Row],[BATSMAN NAME]],OFFSET(O223,0,0,BATROWS-ROW(O222)-ROW(T_BATTINGDATA[[#Headers],[BATSMAN NAME]])),0)&gt;0,0,SUMIF($O$6:O222,T_BATTINGDATA[[#This Row],[BATSMAN NAME]],$E$6:E222)),SUMIF($O$6:O222,T_BATTINGDATA[[#This Row],[BATSMAN NAME]],$E$6:E222))</f>
        <v>0</v>
      </c>
      <c r="AP222">
        <v>14</v>
      </c>
      <c r="AQ222" t="s">
        <v>154</v>
      </c>
      <c r="AR222" t="s">
        <v>312</v>
      </c>
      <c r="AS222">
        <v>7</v>
      </c>
      <c r="AT222">
        <v>0</v>
      </c>
      <c r="AU222">
        <v>24</v>
      </c>
      <c r="AV222">
        <v>0</v>
      </c>
      <c r="AW222">
        <v>3.42</v>
      </c>
      <c r="AX222">
        <v>29</v>
      </c>
      <c r="AY222">
        <v>3</v>
      </c>
      <c r="AZ222">
        <v>0</v>
      </c>
      <c r="BA222">
        <v>1</v>
      </c>
      <c r="BB222">
        <v>0</v>
      </c>
      <c r="BC222">
        <v>2</v>
      </c>
      <c r="BD222" t="str">
        <f>CONCATENATE(Table9[[#This Row],[Match Number]],Table9[[#This Row],[Team]],Table9[[#This Row],[BOWL NUM]])</f>
        <v>14England2</v>
      </c>
      <c r="BE222" t="str">
        <f>IFERROR(IF(AND(Table9[[#This Row],[Team]]=I_TEAM,IFERROR(IF(MATCH(Table9[[#This Row],[Bowler]],$AR$5:AR221,0)&gt;0,0),1)),1,0),"")</f>
        <v/>
      </c>
      <c r="BF222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22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222" t="e">
        <f>IF(Table9[[#This Row],[Team]]=I_TEAM,Table9[[#This Row],[Wickets]]*100-Table9[[#This Row],[Runs]],0)</f>
        <v>#REF!</v>
      </c>
      <c r="BI222">
        <f>Table9[[#This Row],[Wickets]]*100-Table9[[#This Row],[Runs]]</f>
        <v>-24</v>
      </c>
      <c r="BJ222">
        <f ca="1">IFERROR(IF(MATCH(Table9[[#This Row],[Bowler]],OFFSET(AR223,0,0,BOWLROWS-ROW(AR222)-ROW(Table9[[#Headers],[BOWLER CUML WICKETS]])),0)&gt;0,0,SUMIF($AR$6:AR222,Table9[[#This Row],[Bowler]],$AV$6:AV222)),SUMIF($AR$6:AR222,Table9[[#This Row],[Bowler]],$AV$6:AV222))</f>
        <v>0</v>
      </c>
      <c r="BK222">
        <f ca="1">IFERROR(IF(MATCH(Table9[[#This Row],[Bowler]],OFFSET(AR223,0,0,BOWLROWS-ROW(AR222)-ROW(Table9[[#Headers],[BOWLER CUML WICKETS]])),0)&gt;0,0,SUMIF($AR$6:AR222,Table9[[#This Row],[Bowler]],$AU$6:AU222)),SUMIF($AR$6:AR222,Table9[[#This Row],[Bowler]],$AU$6:AU222))</f>
        <v>0</v>
      </c>
      <c r="BL222">
        <f ca="1">Table9[[#This Row],[BOWLER CUML WICKETS]]*100-Table9[[#This Row],[BOWLER CUML RUNS]]</f>
        <v>0</v>
      </c>
    </row>
    <row r="223" spans="1:64" x14ac:dyDescent="0.3">
      <c r="A223">
        <v>7</v>
      </c>
      <c r="B223" t="s">
        <v>181</v>
      </c>
      <c r="C223" t="s">
        <v>465</v>
      </c>
      <c r="D223" t="s">
        <v>466</v>
      </c>
      <c r="E223">
        <v>29</v>
      </c>
      <c r="F223">
        <v>66</v>
      </c>
      <c r="G223">
        <v>55</v>
      </c>
      <c r="H223">
        <v>4</v>
      </c>
      <c r="I223">
        <v>0</v>
      </c>
      <c r="J223">
        <v>52.72</v>
      </c>
      <c r="K223">
        <v>1</v>
      </c>
      <c r="L223" t="str">
        <f>CONCATENATE(T_BATTINGDATA[[#This Row],[Match]],T_BATTINGDATA[[#This Row],[Team]],T_BATTINGDATA[[#This Row],[Bat Number]])</f>
        <v>7Bangladesh1</v>
      </c>
      <c r="M223" t="str">
        <f>IFERROR(IF(AND(T_BATTINGDATA[[#This Row],[Team]]=I_TEAM,IFERROR(IF(MATCH(T_BATTINGDATA[[#This Row],[BATSMAN NAME]],$O$5:O222,0)&gt;0,0),1)),1,0),"")</f>
        <v/>
      </c>
      <c r="N223" t="e">
        <f>IF(T_BATTINGDATA[[#This Row],[Team]]=I_TEAM,T_BATTINGDATA[[#This Row],[R]],0)</f>
        <v>#REF!</v>
      </c>
      <c r="O223" t="str">
        <f>LEFT(T_BATTINGDATA[[#This Row],[Batsman]],IFERROR(FIND("*",T_BATTINGDATA[[#This Row],[Batsman]])-1,IFERROR(FIND("†",T_BATTINGDATA[[#This Row],[Batsman]])-1,LEN(T_BATTINGDATA[[#This Row],[Batsman]]))))</f>
        <v>Anamul Haque</v>
      </c>
      <c r="P223">
        <f ca="1">IFERROR(IF(MATCH(T_BATTINGDATA[[#This Row],[BATSMAN NAME]],OFFSET(O224,0,0,BATROWS-ROW(O223)-ROW(T_BATTINGDATA[[#Headers],[BATSMAN NAME]])),0)&gt;0,0,SUMIF($O$6:O223,T_BATTINGDATA[[#This Row],[BATSMAN NAME]],$E$6:E223)),SUMIF($O$6:O223,T_BATTINGDATA[[#This Row],[BATSMAN NAME]],$E$6:E223))</f>
        <v>0</v>
      </c>
      <c r="AP223">
        <v>14</v>
      </c>
      <c r="AQ223" t="s">
        <v>154</v>
      </c>
      <c r="AR223" t="s">
        <v>314</v>
      </c>
      <c r="AS223">
        <v>5.2</v>
      </c>
      <c r="AT223">
        <v>0</v>
      </c>
      <c r="AU223">
        <v>25</v>
      </c>
      <c r="AV223">
        <v>2</v>
      </c>
      <c r="AW223">
        <v>4.68</v>
      </c>
      <c r="AX223">
        <v>25</v>
      </c>
      <c r="AY223">
        <v>6</v>
      </c>
      <c r="AZ223">
        <v>0</v>
      </c>
      <c r="BA223">
        <v>0</v>
      </c>
      <c r="BB223">
        <v>0</v>
      </c>
      <c r="BC223">
        <v>3</v>
      </c>
      <c r="BD223" t="str">
        <f>CONCATENATE(Table9[[#This Row],[Match Number]],Table9[[#This Row],[Team]],Table9[[#This Row],[BOWL NUM]])</f>
        <v>14England3</v>
      </c>
      <c r="BE223" t="str">
        <f>IFERROR(IF(AND(Table9[[#This Row],[Team]]=I_TEAM,IFERROR(IF(MATCH(Table9[[#This Row],[Bowler]],$AR$5:AR222,0)&gt;0,0),1)),1,0),"")</f>
        <v/>
      </c>
      <c r="BF223">
        <f>(LEFT(Table9[[#This Row],[Overs]],IFERROR(FIND(".",Table9[[#This Row],[Overs]])-1,LEN(Table9[[#This Row],[Overs]])))*6) + IFERROR(IF(FIND(".",Table9[[#This Row],[Overs]])+1&gt;0,RIGHT(Table9[[#This Row],[Overs]],1),0),0)</f>
        <v>32</v>
      </c>
      <c r="BG22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223" t="e">
        <f>IF(Table9[[#This Row],[Team]]=I_TEAM,Table9[[#This Row],[Wickets]]*100-Table9[[#This Row],[Runs]],0)</f>
        <v>#REF!</v>
      </c>
      <c r="BI223">
        <f>Table9[[#This Row],[Wickets]]*100-Table9[[#This Row],[Runs]]</f>
        <v>175</v>
      </c>
      <c r="BJ223">
        <f ca="1">IFERROR(IF(MATCH(Table9[[#This Row],[Bowler]],OFFSET(AR224,0,0,BOWLROWS-ROW(AR223)-ROW(Table9[[#Headers],[BOWLER CUML WICKETS]])),0)&gt;0,0,SUMIF($AR$6:AR223,Table9[[#This Row],[Bowler]],$AV$6:AV223)),SUMIF($AR$6:AR223,Table9[[#This Row],[Bowler]],$AV$6:AV223))</f>
        <v>0</v>
      </c>
      <c r="BK223">
        <f ca="1">IFERROR(IF(MATCH(Table9[[#This Row],[Bowler]],OFFSET(AR224,0,0,BOWLROWS-ROW(AR223)-ROW(Table9[[#Headers],[BOWLER CUML WICKETS]])),0)&gt;0,0,SUMIF($AR$6:AR223,Table9[[#This Row],[Bowler]],$AU$6:AU223)),SUMIF($AR$6:AR223,Table9[[#This Row],[Bowler]],$AU$6:AU223))</f>
        <v>0</v>
      </c>
      <c r="BL223">
        <f ca="1">Table9[[#This Row],[BOWLER CUML WICKETS]]*100-Table9[[#This Row],[BOWLER CUML RUNS]]</f>
        <v>0</v>
      </c>
    </row>
    <row r="224" spans="1:64" x14ac:dyDescent="0.3">
      <c r="A224">
        <v>7</v>
      </c>
      <c r="B224" t="s">
        <v>181</v>
      </c>
      <c r="C224" t="s">
        <v>335</v>
      </c>
      <c r="D224" t="s">
        <v>467</v>
      </c>
      <c r="E224">
        <v>19</v>
      </c>
      <c r="F224">
        <v>58</v>
      </c>
      <c r="G224">
        <v>42</v>
      </c>
      <c r="H224">
        <v>2</v>
      </c>
      <c r="I224">
        <v>0</v>
      </c>
      <c r="J224">
        <v>45.23</v>
      </c>
      <c r="K224">
        <v>2</v>
      </c>
      <c r="L224" t="str">
        <f>CONCATENATE(T_BATTINGDATA[[#This Row],[Match]],T_BATTINGDATA[[#This Row],[Team]],T_BATTINGDATA[[#This Row],[Bat Number]])</f>
        <v>7Bangladesh2</v>
      </c>
      <c r="M224" t="str">
        <f>IFERROR(IF(AND(T_BATTINGDATA[[#This Row],[Team]]=I_TEAM,IFERROR(IF(MATCH(T_BATTINGDATA[[#This Row],[BATSMAN NAME]],$O$5:O223,0)&gt;0,0),1)),1,0),"")</f>
        <v/>
      </c>
      <c r="N224" t="e">
        <f>IF(T_BATTINGDATA[[#This Row],[Team]]=I_TEAM,T_BATTINGDATA[[#This Row],[R]],0)</f>
        <v>#REF!</v>
      </c>
      <c r="O224" t="str">
        <f>LEFT(T_BATTINGDATA[[#This Row],[Batsman]],IFERROR(FIND("*",T_BATTINGDATA[[#This Row],[Batsman]])-1,IFERROR(FIND("†",T_BATTINGDATA[[#This Row],[Batsman]])-1,LEN(T_BATTINGDATA[[#This Row],[Batsman]]))))</f>
        <v>Tamim Iqbal</v>
      </c>
      <c r="P224">
        <f ca="1">IFERROR(IF(MATCH(T_BATTINGDATA[[#This Row],[BATSMAN NAME]],OFFSET(O225,0,0,BATROWS-ROW(O224)-ROW(T_BATTINGDATA[[#Headers],[BATSMAN NAME]])),0)&gt;0,0,SUMIF($O$6:O224,T_BATTINGDATA[[#This Row],[BATSMAN NAME]],$E$6:E224)),SUMIF($O$6:O224,T_BATTINGDATA[[#This Row],[BATSMAN NAME]],$E$6:E224))</f>
        <v>0</v>
      </c>
      <c r="AP224">
        <v>14</v>
      </c>
      <c r="AQ224" t="s">
        <v>154</v>
      </c>
      <c r="AR224" t="s">
        <v>316</v>
      </c>
      <c r="AS224">
        <v>9</v>
      </c>
      <c r="AT224">
        <v>3</v>
      </c>
      <c r="AU224">
        <v>26</v>
      </c>
      <c r="AV224">
        <v>3</v>
      </c>
      <c r="AW224">
        <v>2.88</v>
      </c>
      <c r="AX224">
        <v>38</v>
      </c>
      <c r="AY224">
        <v>3</v>
      </c>
      <c r="AZ224">
        <v>0</v>
      </c>
      <c r="BA224">
        <v>0</v>
      </c>
      <c r="BB224">
        <v>0</v>
      </c>
      <c r="BC224">
        <v>4</v>
      </c>
      <c r="BD224" t="str">
        <f>CONCATENATE(Table9[[#This Row],[Match Number]],Table9[[#This Row],[Team]],Table9[[#This Row],[BOWL NUM]])</f>
        <v>14England4</v>
      </c>
      <c r="BE224" t="str">
        <f>IFERROR(IF(AND(Table9[[#This Row],[Team]]=I_TEAM,IFERROR(IF(MATCH(Table9[[#This Row],[Bowler]],$AR$5:AR223,0)&gt;0,0),1)),1,0),"")</f>
        <v/>
      </c>
      <c r="BF224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2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224" t="e">
        <f>IF(Table9[[#This Row],[Team]]=I_TEAM,Table9[[#This Row],[Wickets]]*100-Table9[[#This Row],[Runs]],0)</f>
        <v>#REF!</v>
      </c>
      <c r="BI224">
        <f>Table9[[#This Row],[Wickets]]*100-Table9[[#This Row],[Runs]]</f>
        <v>274</v>
      </c>
      <c r="BJ224">
        <f ca="1">IFERROR(IF(MATCH(Table9[[#This Row],[Bowler]],OFFSET(AR225,0,0,BOWLROWS-ROW(AR224)-ROW(Table9[[#Headers],[BOWLER CUML WICKETS]])),0)&gt;0,0,SUMIF($AR$6:AR224,Table9[[#This Row],[Bowler]],$AV$6:AV224)),SUMIF($AR$6:AR224,Table9[[#This Row],[Bowler]],$AV$6:AV224))</f>
        <v>0</v>
      </c>
      <c r="BK224">
        <f ca="1">IFERROR(IF(MATCH(Table9[[#This Row],[Bowler]],OFFSET(AR225,0,0,BOWLROWS-ROW(AR224)-ROW(Table9[[#Headers],[BOWLER CUML WICKETS]])),0)&gt;0,0,SUMIF($AR$6:AR224,Table9[[#This Row],[Bowler]],$AU$6:AU224)),SUMIF($AR$6:AR224,Table9[[#This Row],[Bowler]],$AU$6:AU224))</f>
        <v>0</v>
      </c>
      <c r="BL224">
        <f ca="1">Table9[[#This Row],[BOWLER CUML WICKETS]]*100-Table9[[#This Row],[BOWLER CUML RUNS]]</f>
        <v>0</v>
      </c>
    </row>
    <row r="225" spans="1:64" x14ac:dyDescent="0.3">
      <c r="A225">
        <v>7</v>
      </c>
      <c r="B225" t="s">
        <v>181</v>
      </c>
      <c r="C225" t="s">
        <v>339</v>
      </c>
      <c r="D225" t="s">
        <v>468</v>
      </c>
      <c r="E225">
        <v>28</v>
      </c>
      <c r="F225">
        <v>51</v>
      </c>
      <c r="G225">
        <v>25</v>
      </c>
      <c r="H225">
        <v>3</v>
      </c>
      <c r="I225">
        <v>1</v>
      </c>
      <c r="J225">
        <v>112</v>
      </c>
      <c r="K225">
        <v>3</v>
      </c>
      <c r="L225" t="str">
        <f>CONCATENATE(T_BATTINGDATA[[#This Row],[Match]],T_BATTINGDATA[[#This Row],[Team]],T_BATTINGDATA[[#This Row],[Bat Number]])</f>
        <v>7Bangladesh3</v>
      </c>
      <c r="M225" t="str">
        <f>IFERROR(IF(AND(T_BATTINGDATA[[#This Row],[Team]]=I_TEAM,IFERROR(IF(MATCH(T_BATTINGDATA[[#This Row],[BATSMAN NAME]],$O$5:O224,0)&gt;0,0),1)),1,0),"")</f>
        <v/>
      </c>
      <c r="N225" t="e">
        <f>IF(T_BATTINGDATA[[#This Row],[Team]]=I_TEAM,T_BATTINGDATA[[#This Row],[R]],0)</f>
        <v>#REF!</v>
      </c>
      <c r="O225" t="str">
        <f>LEFT(T_BATTINGDATA[[#This Row],[Batsman]],IFERROR(FIND("*",T_BATTINGDATA[[#This Row],[Batsman]])-1,IFERROR(FIND("†",T_BATTINGDATA[[#This Row],[Batsman]])-1,LEN(T_BATTINGDATA[[#This Row],[Batsman]]))))</f>
        <v>Soumya Sarkar</v>
      </c>
      <c r="P225">
        <f ca="1">IFERROR(IF(MATCH(T_BATTINGDATA[[#This Row],[BATSMAN NAME]],OFFSET(O226,0,0,BATROWS-ROW(O225)-ROW(T_BATTINGDATA[[#Headers],[BATSMAN NAME]])),0)&gt;0,0,SUMIF($O$6:O225,T_BATTINGDATA[[#This Row],[BATSMAN NAME]],$E$6:E225)),SUMIF($O$6:O225,T_BATTINGDATA[[#This Row],[BATSMAN NAME]],$E$6:E225))</f>
        <v>0</v>
      </c>
      <c r="AP225">
        <v>14</v>
      </c>
      <c r="AQ225" t="s">
        <v>154</v>
      </c>
      <c r="AR225" t="s">
        <v>318</v>
      </c>
      <c r="AS225">
        <v>10</v>
      </c>
      <c r="AT225">
        <v>0</v>
      </c>
      <c r="AU225">
        <v>47</v>
      </c>
      <c r="AV225">
        <v>2</v>
      </c>
      <c r="AW225">
        <v>4.7</v>
      </c>
      <c r="AX225">
        <v>28</v>
      </c>
      <c r="AY225">
        <v>4</v>
      </c>
      <c r="AZ225">
        <v>0</v>
      </c>
      <c r="BA225">
        <v>0</v>
      </c>
      <c r="BB225">
        <v>0</v>
      </c>
      <c r="BC225">
        <v>5</v>
      </c>
      <c r="BD225" t="str">
        <f>CONCATENATE(Table9[[#This Row],[Match Number]],Table9[[#This Row],[Team]],Table9[[#This Row],[BOWL NUM]])</f>
        <v>14England5</v>
      </c>
      <c r="BE225" t="str">
        <f>IFERROR(IF(AND(Table9[[#This Row],[Team]]=I_TEAM,IFERROR(IF(MATCH(Table9[[#This Row],[Bowler]],$AR$5:AR224,0)&gt;0,0),1)),1,0),"")</f>
        <v/>
      </c>
      <c r="BF22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2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225" t="e">
        <f>IF(Table9[[#This Row],[Team]]=I_TEAM,Table9[[#This Row],[Wickets]]*100-Table9[[#This Row],[Runs]],0)</f>
        <v>#REF!</v>
      </c>
      <c r="BI225">
        <f>Table9[[#This Row],[Wickets]]*100-Table9[[#This Row],[Runs]]</f>
        <v>153</v>
      </c>
      <c r="BJ225">
        <f ca="1">IFERROR(IF(MATCH(Table9[[#This Row],[Bowler]],OFFSET(AR226,0,0,BOWLROWS-ROW(AR225)-ROW(Table9[[#Headers],[BOWLER CUML WICKETS]])),0)&gt;0,0,SUMIF($AR$6:AR225,Table9[[#This Row],[Bowler]],$AV$6:AV225)),SUMIF($AR$6:AR225,Table9[[#This Row],[Bowler]],$AV$6:AV225))</f>
        <v>0</v>
      </c>
      <c r="BK225">
        <f ca="1">IFERROR(IF(MATCH(Table9[[#This Row],[Bowler]],OFFSET(AR226,0,0,BOWLROWS-ROW(AR225)-ROW(Table9[[#Headers],[BOWLER CUML WICKETS]])),0)&gt;0,0,SUMIF($AR$6:AR225,Table9[[#This Row],[Bowler]],$AU$6:AU225)),SUMIF($AR$6:AR225,Table9[[#This Row],[Bowler]],$AU$6:AU225))</f>
        <v>0</v>
      </c>
      <c r="BL225">
        <f ca="1">Table9[[#This Row],[BOWLER CUML WICKETS]]*100-Table9[[#This Row],[BOWLER CUML RUNS]]</f>
        <v>0</v>
      </c>
    </row>
    <row r="226" spans="1:64" x14ac:dyDescent="0.3">
      <c r="A226">
        <v>7</v>
      </c>
      <c r="B226" t="s">
        <v>181</v>
      </c>
      <c r="C226" t="s">
        <v>275</v>
      </c>
      <c r="D226" t="s">
        <v>469</v>
      </c>
      <c r="E226">
        <v>23</v>
      </c>
      <c r="F226">
        <v>55</v>
      </c>
      <c r="G226">
        <v>46</v>
      </c>
      <c r="H226">
        <v>0</v>
      </c>
      <c r="I226">
        <v>0</v>
      </c>
      <c r="J226">
        <v>50</v>
      </c>
      <c r="K226">
        <v>4</v>
      </c>
      <c r="L226" t="str">
        <f>CONCATENATE(T_BATTINGDATA[[#This Row],[Match]],T_BATTINGDATA[[#This Row],[Team]],T_BATTINGDATA[[#This Row],[Bat Number]])</f>
        <v>7Bangladesh4</v>
      </c>
      <c r="M226" t="str">
        <f>IFERROR(IF(AND(T_BATTINGDATA[[#This Row],[Team]]=I_TEAM,IFERROR(IF(MATCH(T_BATTINGDATA[[#This Row],[BATSMAN NAME]],$O$5:O225,0)&gt;0,0),1)),1,0),"")</f>
        <v/>
      </c>
      <c r="N226" t="e">
        <f>IF(T_BATTINGDATA[[#This Row],[Team]]=I_TEAM,T_BATTINGDATA[[#This Row],[R]],0)</f>
        <v>#REF!</v>
      </c>
      <c r="O226" t="str">
        <f>LEFT(T_BATTINGDATA[[#This Row],[Batsman]],IFERROR(FIND("*",T_BATTINGDATA[[#This Row],[Batsman]])-1,IFERROR(FIND("†",T_BATTINGDATA[[#This Row],[Batsman]])-1,LEN(T_BATTINGDATA[[#This Row],[Batsman]]))))</f>
        <v>Mahmudullah</v>
      </c>
      <c r="P226">
        <f ca="1">IFERROR(IF(MATCH(T_BATTINGDATA[[#This Row],[BATSMAN NAME]],OFFSET(O227,0,0,BATROWS-ROW(O226)-ROW(T_BATTINGDATA[[#Headers],[BATSMAN NAME]])),0)&gt;0,0,SUMIF($O$6:O226,T_BATTINGDATA[[#This Row],[BATSMAN NAME]],$E$6:E226)),SUMIF($O$6:O226,T_BATTINGDATA[[#This Row],[BATSMAN NAME]],$E$6:E226))</f>
        <v>0</v>
      </c>
      <c r="AP226">
        <v>14</v>
      </c>
      <c r="AQ226" t="s">
        <v>154</v>
      </c>
      <c r="AR226" t="s">
        <v>320</v>
      </c>
      <c r="AS226">
        <v>5</v>
      </c>
      <c r="AT226">
        <v>0</v>
      </c>
      <c r="AU226">
        <v>27</v>
      </c>
      <c r="AV226">
        <v>1</v>
      </c>
      <c r="AW226">
        <v>5.4</v>
      </c>
      <c r="AX226">
        <v>9</v>
      </c>
      <c r="AY226">
        <v>1</v>
      </c>
      <c r="AZ226">
        <v>0</v>
      </c>
      <c r="BA226">
        <v>1</v>
      </c>
      <c r="BB226">
        <v>0</v>
      </c>
      <c r="BC226">
        <v>6</v>
      </c>
      <c r="BD226" t="str">
        <f>CONCATENATE(Table9[[#This Row],[Match Number]],Table9[[#This Row],[Team]],Table9[[#This Row],[BOWL NUM]])</f>
        <v>14England6</v>
      </c>
      <c r="BE226" t="str">
        <f>IFERROR(IF(AND(Table9[[#This Row],[Team]]=I_TEAM,IFERROR(IF(MATCH(Table9[[#This Row],[Bowler]],$AR$5:AR225,0)&gt;0,0),1)),1,0),"")</f>
        <v/>
      </c>
      <c r="BF226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22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226" t="e">
        <f>IF(Table9[[#This Row],[Team]]=I_TEAM,Table9[[#This Row],[Wickets]]*100-Table9[[#This Row],[Runs]],0)</f>
        <v>#REF!</v>
      </c>
      <c r="BI226">
        <f>Table9[[#This Row],[Wickets]]*100-Table9[[#This Row],[Runs]]</f>
        <v>73</v>
      </c>
      <c r="BJ226">
        <f ca="1">IFERROR(IF(MATCH(Table9[[#This Row],[Bowler]],OFFSET(AR227,0,0,BOWLROWS-ROW(AR226)-ROW(Table9[[#Headers],[BOWLER CUML WICKETS]])),0)&gt;0,0,SUMIF($AR$6:AR226,Table9[[#This Row],[Bowler]],$AV$6:AV226)),SUMIF($AR$6:AR226,Table9[[#This Row],[Bowler]],$AV$6:AV226))</f>
        <v>0</v>
      </c>
      <c r="BK226">
        <f ca="1">IFERROR(IF(MATCH(Table9[[#This Row],[Bowler]],OFFSET(AR227,0,0,BOWLROWS-ROW(AR226)-ROW(Table9[[#Headers],[BOWLER CUML WICKETS]])),0)&gt;0,0,SUMIF($AR$6:AR226,Table9[[#This Row],[Bowler]],$AU$6:AU226)),SUMIF($AR$6:AR226,Table9[[#This Row],[Bowler]],$AU$6:AU226))</f>
        <v>0</v>
      </c>
      <c r="BL226">
        <f ca="1">Table9[[#This Row],[BOWLER CUML WICKETS]]*100-Table9[[#This Row],[BOWLER CUML RUNS]]</f>
        <v>0</v>
      </c>
    </row>
    <row r="227" spans="1:64" x14ac:dyDescent="0.3">
      <c r="A227">
        <v>7</v>
      </c>
      <c r="B227" t="s">
        <v>181</v>
      </c>
      <c r="C227" t="s">
        <v>280</v>
      </c>
      <c r="D227" t="s">
        <v>470</v>
      </c>
      <c r="E227">
        <v>63</v>
      </c>
      <c r="F227">
        <v>86</v>
      </c>
      <c r="G227">
        <v>51</v>
      </c>
      <c r="H227">
        <v>6</v>
      </c>
      <c r="I227">
        <v>1</v>
      </c>
      <c r="J227">
        <v>123.52</v>
      </c>
      <c r="K227">
        <v>5</v>
      </c>
      <c r="L227" t="str">
        <f>CONCATENATE(T_BATTINGDATA[[#This Row],[Match]],T_BATTINGDATA[[#This Row],[Team]],T_BATTINGDATA[[#This Row],[Bat Number]])</f>
        <v>7Bangladesh5</v>
      </c>
      <c r="M227" t="str">
        <f>IFERROR(IF(AND(T_BATTINGDATA[[#This Row],[Team]]=I_TEAM,IFERROR(IF(MATCH(T_BATTINGDATA[[#This Row],[BATSMAN NAME]],$O$5:O226,0)&gt;0,0),1)),1,0),"")</f>
        <v/>
      </c>
      <c r="N227" t="e">
        <f>IF(T_BATTINGDATA[[#This Row],[Team]]=I_TEAM,T_BATTINGDATA[[#This Row],[R]],0)</f>
        <v>#REF!</v>
      </c>
      <c r="O227" t="str">
        <f>LEFT(T_BATTINGDATA[[#This Row],[Batsman]],IFERROR(FIND("*",T_BATTINGDATA[[#This Row],[Batsman]])-1,IFERROR(FIND("†",T_BATTINGDATA[[#This Row],[Batsman]])-1,LEN(T_BATTINGDATA[[#This Row],[Batsman]]))))</f>
        <v>Shakib Al Hasan</v>
      </c>
      <c r="P227">
        <f ca="1">IFERROR(IF(MATCH(T_BATTINGDATA[[#This Row],[BATSMAN NAME]],OFFSET(O228,0,0,BATROWS-ROW(O227)-ROW(T_BATTINGDATA[[#Headers],[BATSMAN NAME]])),0)&gt;0,0,SUMIF($O$6:O227,T_BATTINGDATA[[#This Row],[BATSMAN NAME]],$E$6:E227)),SUMIF($O$6:O227,T_BATTINGDATA[[#This Row],[BATSMAN NAME]],$E$6:E227))</f>
        <v>0</v>
      </c>
      <c r="AP227">
        <v>15</v>
      </c>
      <c r="AQ227" t="s">
        <v>158</v>
      </c>
      <c r="AR227" t="s">
        <v>204</v>
      </c>
      <c r="AS227">
        <v>9</v>
      </c>
      <c r="AT227">
        <v>0</v>
      </c>
      <c r="AU227">
        <v>82</v>
      </c>
      <c r="AV227">
        <v>1</v>
      </c>
      <c r="AW227">
        <v>9.11</v>
      </c>
      <c r="AX227">
        <v>26</v>
      </c>
      <c r="AY227">
        <v>6</v>
      </c>
      <c r="AZ227">
        <v>4</v>
      </c>
      <c r="BA227">
        <v>4</v>
      </c>
      <c r="BB227">
        <v>2</v>
      </c>
      <c r="BC227">
        <v>1</v>
      </c>
      <c r="BD227" t="str">
        <f>CONCATENATE(Table9[[#This Row],[Match Number]],Table9[[#This Row],[Team]],Table9[[#This Row],[BOWL NUM]])</f>
        <v>15Zimbabwe1</v>
      </c>
      <c r="BE227" t="str">
        <f>IFERROR(IF(AND(Table9[[#This Row],[Team]]=I_TEAM,IFERROR(IF(MATCH(Table9[[#This Row],[Bowler]],$AR$5:AR226,0)&gt;0,0),1)),1,0),"")</f>
        <v/>
      </c>
      <c r="BF227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2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27" t="e">
        <f>IF(Table9[[#This Row],[Team]]=I_TEAM,Table9[[#This Row],[Wickets]]*100-Table9[[#This Row],[Runs]],0)</f>
        <v>#REF!</v>
      </c>
      <c r="BI227">
        <f>Table9[[#This Row],[Wickets]]*100-Table9[[#This Row],[Runs]]</f>
        <v>18</v>
      </c>
      <c r="BJ227">
        <f ca="1">IFERROR(IF(MATCH(Table9[[#This Row],[Bowler]],OFFSET(AR228,0,0,BOWLROWS-ROW(AR227)-ROW(Table9[[#Headers],[BOWLER CUML WICKETS]])),0)&gt;0,0,SUMIF($AR$6:AR227,Table9[[#This Row],[Bowler]],$AV$6:AV227)),SUMIF($AR$6:AR227,Table9[[#This Row],[Bowler]],$AV$6:AV227))</f>
        <v>0</v>
      </c>
      <c r="BK227">
        <f ca="1">IFERROR(IF(MATCH(Table9[[#This Row],[Bowler]],OFFSET(AR228,0,0,BOWLROWS-ROW(AR227)-ROW(Table9[[#Headers],[BOWLER CUML WICKETS]])),0)&gt;0,0,SUMIF($AR$6:AR227,Table9[[#This Row],[Bowler]],$AU$6:AU227)),SUMIF($AR$6:AR227,Table9[[#This Row],[Bowler]],$AU$6:AU227))</f>
        <v>0</v>
      </c>
      <c r="BL227">
        <f ca="1">Table9[[#This Row],[BOWLER CUML WICKETS]]*100-Table9[[#This Row],[BOWLER CUML RUNS]]</f>
        <v>0</v>
      </c>
    </row>
    <row r="228" spans="1:64" x14ac:dyDescent="0.3">
      <c r="A228">
        <v>7</v>
      </c>
      <c r="B228" t="s">
        <v>181</v>
      </c>
      <c r="C228" t="s">
        <v>341</v>
      </c>
      <c r="D228" t="s">
        <v>471</v>
      </c>
      <c r="E228">
        <v>71</v>
      </c>
      <c r="F228">
        <v>83</v>
      </c>
      <c r="G228">
        <v>56</v>
      </c>
      <c r="H228">
        <v>6</v>
      </c>
      <c r="I228">
        <v>1</v>
      </c>
      <c r="J228">
        <v>126.78</v>
      </c>
      <c r="K228">
        <v>6</v>
      </c>
      <c r="L228" t="str">
        <f>CONCATENATE(T_BATTINGDATA[[#This Row],[Match]],T_BATTINGDATA[[#This Row],[Team]],T_BATTINGDATA[[#This Row],[Bat Number]])</f>
        <v>7Bangladesh6</v>
      </c>
      <c r="M228" t="str">
        <f>IFERROR(IF(AND(T_BATTINGDATA[[#This Row],[Team]]=I_TEAM,IFERROR(IF(MATCH(T_BATTINGDATA[[#This Row],[BATSMAN NAME]],$O$5:O227,0)&gt;0,0),1)),1,0),"")</f>
        <v/>
      </c>
      <c r="N228" t="e">
        <f>IF(T_BATTINGDATA[[#This Row],[Team]]=I_TEAM,T_BATTINGDATA[[#This Row],[R]],0)</f>
        <v>#REF!</v>
      </c>
      <c r="O228" t="str">
        <f>LEFT(T_BATTINGDATA[[#This Row],[Batsman]],IFERROR(FIND("*",T_BATTINGDATA[[#This Row],[Batsman]])-1,IFERROR(FIND("†",T_BATTINGDATA[[#This Row],[Batsman]])-1,LEN(T_BATTINGDATA[[#This Row],[Batsman]]))))</f>
        <v>Mushfiqur Rahim</v>
      </c>
      <c r="P228">
        <f ca="1">IFERROR(IF(MATCH(T_BATTINGDATA[[#This Row],[BATSMAN NAME]],OFFSET(O229,0,0,BATROWS-ROW(O228)-ROW(T_BATTINGDATA[[#Headers],[BATSMAN NAME]])),0)&gt;0,0,SUMIF($O$6:O228,T_BATTINGDATA[[#This Row],[BATSMAN NAME]],$E$6:E228)),SUMIF($O$6:O228,T_BATTINGDATA[[#This Row],[BATSMAN NAME]],$E$6:E228))</f>
        <v>0</v>
      </c>
      <c r="AP228">
        <v>15</v>
      </c>
      <c r="AQ228" t="s">
        <v>158</v>
      </c>
      <c r="AR228" t="s">
        <v>207</v>
      </c>
      <c r="AS228">
        <v>9.4</v>
      </c>
      <c r="AT228">
        <v>0</v>
      </c>
      <c r="AU228">
        <v>74</v>
      </c>
      <c r="AV228">
        <v>0</v>
      </c>
      <c r="AW228">
        <v>7.65</v>
      </c>
      <c r="AX228">
        <v>28</v>
      </c>
      <c r="AY228">
        <v>8</v>
      </c>
      <c r="AZ228">
        <v>2</v>
      </c>
      <c r="BA228">
        <v>0</v>
      </c>
      <c r="BB228">
        <v>2</v>
      </c>
      <c r="BC228">
        <v>2</v>
      </c>
      <c r="BD228" t="str">
        <f>CONCATENATE(Table9[[#This Row],[Match Number]],Table9[[#This Row],[Team]],Table9[[#This Row],[BOWL NUM]])</f>
        <v>15Zimbabwe2</v>
      </c>
      <c r="BE228" t="str">
        <f>IFERROR(IF(AND(Table9[[#This Row],[Team]]=I_TEAM,IFERROR(IF(MATCH(Table9[[#This Row],[Bowler]],$AR$5:AR227,0)&gt;0,0),1)),1,0),"")</f>
        <v/>
      </c>
      <c r="BF228">
        <f>(LEFT(Table9[[#This Row],[Overs]],IFERROR(FIND(".",Table9[[#This Row],[Overs]])-1,LEN(Table9[[#This Row],[Overs]])))*6) + IFERROR(IF(FIND(".",Table9[[#This Row],[Overs]])+1&gt;0,RIGHT(Table9[[#This Row],[Overs]],1),0),0)</f>
        <v>58</v>
      </c>
      <c r="BG22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28" t="e">
        <f>IF(Table9[[#This Row],[Team]]=I_TEAM,Table9[[#This Row],[Wickets]]*100-Table9[[#This Row],[Runs]],0)</f>
        <v>#REF!</v>
      </c>
      <c r="BI228">
        <f>Table9[[#This Row],[Wickets]]*100-Table9[[#This Row],[Runs]]</f>
        <v>-74</v>
      </c>
      <c r="BJ228">
        <f ca="1">IFERROR(IF(MATCH(Table9[[#This Row],[Bowler]],OFFSET(AR229,0,0,BOWLROWS-ROW(AR228)-ROW(Table9[[#Headers],[BOWLER CUML WICKETS]])),0)&gt;0,0,SUMIF($AR$6:AR228,Table9[[#This Row],[Bowler]],$AV$6:AV228)),SUMIF($AR$6:AR228,Table9[[#This Row],[Bowler]],$AV$6:AV228))</f>
        <v>0</v>
      </c>
      <c r="BK228">
        <f ca="1">IFERROR(IF(MATCH(Table9[[#This Row],[Bowler]],OFFSET(AR229,0,0,BOWLROWS-ROW(AR228)-ROW(Table9[[#Headers],[BOWLER CUML WICKETS]])),0)&gt;0,0,SUMIF($AR$6:AR228,Table9[[#This Row],[Bowler]],$AU$6:AU228)),SUMIF($AR$6:AR228,Table9[[#This Row],[Bowler]],$AU$6:AU228))</f>
        <v>0</v>
      </c>
      <c r="BL228">
        <f ca="1">Table9[[#This Row],[BOWLER CUML WICKETS]]*100-Table9[[#This Row],[BOWLER CUML RUNS]]</f>
        <v>0</v>
      </c>
    </row>
    <row r="229" spans="1:64" x14ac:dyDescent="0.3">
      <c r="A229">
        <v>7</v>
      </c>
      <c r="B229" t="s">
        <v>181</v>
      </c>
      <c r="C229" t="s">
        <v>342</v>
      </c>
      <c r="D229" t="s">
        <v>470</v>
      </c>
      <c r="E229">
        <v>3</v>
      </c>
      <c r="F229">
        <v>7</v>
      </c>
      <c r="G229">
        <v>8</v>
      </c>
      <c r="H229">
        <v>0</v>
      </c>
      <c r="I229">
        <v>0</v>
      </c>
      <c r="J229">
        <v>37.5</v>
      </c>
      <c r="K229">
        <v>7</v>
      </c>
      <c r="L229" t="str">
        <f>CONCATENATE(T_BATTINGDATA[[#This Row],[Match]],T_BATTINGDATA[[#This Row],[Team]],T_BATTINGDATA[[#This Row],[Bat Number]])</f>
        <v>7Bangladesh7</v>
      </c>
      <c r="M229" t="str">
        <f>IFERROR(IF(AND(T_BATTINGDATA[[#This Row],[Team]]=I_TEAM,IFERROR(IF(MATCH(T_BATTINGDATA[[#This Row],[BATSMAN NAME]],$O$5:O228,0)&gt;0,0),1)),1,0),"")</f>
        <v/>
      </c>
      <c r="N229" t="e">
        <f>IF(T_BATTINGDATA[[#This Row],[Team]]=I_TEAM,T_BATTINGDATA[[#This Row],[R]],0)</f>
        <v>#REF!</v>
      </c>
      <c r="O229" t="str">
        <f>LEFT(T_BATTINGDATA[[#This Row],[Batsman]],IFERROR(FIND("*",T_BATTINGDATA[[#This Row],[Batsman]])-1,IFERROR(FIND("†",T_BATTINGDATA[[#This Row],[Batsman]])-1,LEN(T_BATTINGDATA[[#This Row],[Batsman]]))))</f>
        <v>Sabbir Rahman</v>
      </c>
      <c r="P229">
        <f ca="1">IFERROR(IF(MATCH(T_BATTINGDATA[[#This Row],[BATSMAN NAME]],OFFSET(O230,0,0,BATROWS-ROW(O229)-ROW(T_BATTINGDATA[[#Headers],[BATSMAN NAME]])),0)&gt;0,0,SUMIF($O$6:O229,T_BATTINGDATA[[#This Row],[BATSMAN NAME]],$E$6:E229)),SUMIF($O$6:O229,T_BATTINGDATA[[#This Row],[BATSMAN NAME]],$E$6:E229))</f>
        <v>0</v>
      </c>
      <c r="AP229">
        <v>15</v>
      </c>
      <c r="AQ229" t="s">
        <v>158</v>
      </c>
      <c r="AR229" t="s">
        <v>214</v>
      </c>
      <c r="AS229">
        <v>5</v>
      </c>
      <c r="AT229">
        <v>0</v>
      </c>
      <c r="AU229">
        <v>48</v>
      </c>
      <c r="AV229">
        <v>0</v>
      </c>
      <c r="AW229">
        <v>9.6</v>
      </c>
      <c r="AX229">
        <v>8</v>
      </c>
      <c r="AY229">
        <v>1</v>
      </c>
      <c r="AZ229">
        <v>4</v>
      </c>
      <c r="BA229">
        <v>1</v>
      </c>
      <c r="BB229">
        <v>0</v>
      </c>
      <c r="BC229">
        <v>3</v>
      </c>
      <c r="BD229" t="str">
        <f>CONCATENATE(Table9[[#This Row],[Match Number]],Table9[[#This Row],[Team]],Table9[[#This Row],[BOWL NUM]])</f>
        <v>15Zimbabwe3</v>
      </c>
      <c r="BE229" t="str">
        <f>IFERROR(IF(AND(Table9[[#This Row],[Team]]=I_TEAM,IFERROR(IF(MATCH(Table9[[#This Row],[Bowler]],$AR$5:AR228,0)&gt;0,0),1)),1,0),"")</f>
        <v/>
      </c>
      <c r="BF229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22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29" t="e">
        <f>IF(Table9[[#This Row],[Team]]=I_TEAM,Table9[[#This Row],[Wickets]]*100-Table9[[#This Row],[Runs]],0)</f>
        <v>#REF!</v>
      </c>
      <c r="BI229">
        <f>Table9[[#This Row],[Wickets]]*100-Table9[[#This Row],[Runs]]</f>
        <v>-48</v>
      </c>
      <c r="BJ229">
        <f ca="1">IFERROR(IF(MATCH(Table9[[#This Row],[Bowler]],OFFSET(AR230,0,0,BOWLROWS-ROW(AR229)-ROW(Table9[[#Headers],[BOWLER CUML WICKETS]])),0)&gt;0,0,SUMIF($AR$6:AR229,Table9[[#This Row],[Bowler]],$AV$6:AV229)),SUMIF($AR$6:AR229,Table9[[#This Row],[Bowler]],$AV$6:AV229))</f>
        <v>0</v>
      </c>
      <c r="BK229">
        <f ca="1">IFERROR(IF(MATCH(Table9[[#This Row],[Bowler]],OFFSET(AR230,0,0,BOWLROWS-ROW(AR229)-ROW(Table9[[#Headers],[BOWLER CUML WICKETS]])),0)&gt;0,0,SUMIF($AR$6:AR229,Table9[[#This Row],[Bowler]],$AU$6:AU229)),SUMIF($AR$6:AR229,Table9[[#This Row],[Bowler]],$AU$6:AU229))</f>
        <v>0</v>
      </c>
      <c r="BL229">
        <f ca="1">Table9[[#This Row],[BOWLER CUML WICKETS]]*100-Table9[[#This Row],[BOWLER CUML RUNS]]</f>
        <v>0</v>
      </c>
    </row>
    <row r="230" spans="1:64" x14ac:dyDescent="0.3">
      <c r="A230">
        <v>7</v>
      </c>
      <c r="B230" t="s">
        <v>181</v>
      </c>
      <c r="C230" t="s">
        <v>346</v>
      </c>
      <c r="D230" t="s">
        <v>472</v>
      </c>
      <c r="E230">
        <v>14</v>
      </c>
      <c r="F230">
        <v>12</v>
      </c>
      <c r="G230">
        <v>9</v>
      </c>
      <c r="H230">
        <v>3</v>
      </c>
      <c r="I230">
        <v>0</v>
      </c>
      <c r="J230">
        <v>155.55000000000001</v>
      </c>
      <c r="K230">
        <v>8</v>
      </c>
      <c r="L230" t="str">
        <f>CONCATENATE(T_BATTINGDATA[[#This Row],[Match]],T_BATTINGDATA[[#This Row],[Team]],T_BATTINGDATA[[#This Row],[Bat Number]])</f>
        <v>7Bangladesh8</v>
      </c>
      <c r="M230" t="str">
        <f>IFERROR(IF(AND(T_BATTINGDATA[[#This Row],[Team]]=I_TEAM,IFERROR(IF(MATCH(T_BATTINGDATA[[#This Row],[BATSMAN NAME]],$O$5:O229,0)&gt;0,0),1)),1,0),"")</f>
        <v/>
      </c>
      <c r="N230" t="e">
        <f>IF(T_BATTINGDATA[[#This Row],[Team]]=I_TEAM,T_BATTINGDATA[[#This Row],[R]],0)</f>
        <v>#REF!</v>
      </c>
      <c r="O230" t="str">
        <f>LEFT(T_BATTINGDATA[[#This Row],[Batsman]],IFERROR(FIND("*",T_BATTINGDATA[[#This Row],[Batsman]])-1,IFERROR(FIND("†",T_BATTINGDATA[[#This Row],[Batsman]])-1,LEN(T_BATTINGDATA[[#This Row],[Batsman]]))))</f>
        <v>Mashrafe Mortaza</v>
      </c>
      <c r="P230">
        <f ca="1">IFERROR(IF(MATCH(T_BATTINGDATA[[#This Row],[BATSMAN NAME]],OFFSET(O231,0,0,BATROWS-ROW(O230)-ROW(T_BATTINGDATA[[#Headers],[BATSMAN NAME]])),0)&gt;0,0,SUMIF($O$6:O230,T_BATTINGDATA[[#This Row],[BATSMAN NAME]],$E$6:E230)),SUMIF($O$6:O230,T_BATTINGDATA[[#This Row],[BATSMAN NAME]],$E$6:E230))</f>
        <v>0</v>
      </c>
      <c r="AP230">
        <v>15</v>
      </c>
      <c r="AQ230" t="s">
        <v>158</v>
      </c>
      <c r="AR230" t="s">
        <v>334</v>
      </c>
      <c r="AS230">
        <v>7</v>
      </c>
      <c r="AT230">
        <v>0</v>
      </c>
      <c r="AU230">
        <v>44</v>
      </c>
      <c r="AV230">
        <v>0</v>
      </c>
      <c r="AW230">
        <v>6.28</v>
      </c>
      <c r="AX230">
        <v>26</v>
      </c>
      <c r="AY230">
        <v>2</v>
      </c>
      <c r="AZ230">
        <v>2</v>
      </c>
      <c r="BA230">
        <v>6</v>
      </c>
      <c r="BB230">
        <v>1</v>
      </c>
      <c r="BC230">
        <v>4</v>
      </c>
      <c r="BD230" t="str">
        <f>CONCATENATE(Table9[[#This Row],[Match Number]],Table9[[#This Row],[Team]],Table9[[#This Row],[BOWL NUM]])</f>
        <v>15Zimbabwe4</v>
      </c>
      <c r="BE230" t="str">
        <f>IFERROR(IF(AND(Table9[[#This Row],[Team]]=I_TEAM,IFERROR(IF(MATCH(Table9[[#This Row],[Bowler]],$AR$5:AR229,0)&gt;0,0),1)),1,0),"")</f>
        <v/>
      </c>
      <c r="BF230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23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30" t="e">
        <f>IF(Table9[[#This Row],[Team]]=I_TEAM,Table9[[#This Row],[Wickets]]*100-Table9[[#This Row],[Runs]],0)</f>
        <v>#REF!</v>
      </c>
      <c r="BI230">
        <f>Table9[[#This Row],[Wickets]]*100-Table9[[#This Row],[Runs]]</f>
        <v>-44</v>
      </c>
      <c r="BJ230">
        <f ca="1">IFERROR(IF(MATCH(Table9[[#This Row],[Bowler]],OFFSET(AR231,0,0,BOWLROWS-ROW(AR230)-ROW(Table9[[#Headers],[BOWLER CUML WICKETS]])),0)&gt;0,0,SUMIF($AR$6:AR230,Table9[[#This Row],[Bowler]],$AV$6:AV230)),SUMIF($AR$6:AR230,Table9[[#This Row],[Bowler]],$AV$6:AV230))</f>
        <v>0</v>
      </c>
      <c r="BK230">
        <f ca="1">IFERROR(IF(MATCH(Table9[[#This Row],[Bowler]],OFFSET(AR231,0,0,BOWLROWS-ROW(AR230)-ROW(Table9[[#Headers],[BOWLER CUML WICKETS]])),0)&gt;0,0,SUMIF($AR$6:AR230,Table9[[#This Row],[Bowler]],$AU$6:AU230)),SUMIF($AR$6:AR230,Table9[[#This Row],[Bowler]],$AU$6:AU230))</f>
        <v>0</v>
      </c>
      <c r="BL230">
        <f ca="1">Table9[[#This Row],[BOWLER CUML WICKETS]]*100-Table9[[#This Row],[BOWLER CUML RUNS]]</f>
        <v>0</v>
      </c>
    </row>
    <row r="231" spans="1:64" x14ac:dyDescent="0.3">
      <c r="A231">
        <v>7</v>
      </c>
      <c r="B231" t="s">
        <v>181</v>
      </c>
      <c r="C231" t="s">
        <v>473</v>
      </c>
      <c r="D231" t="s">
        <v>474</v>
      </c>
      <c r="E231">
        <v>3</v>
      </c>
      <c r="F231">
        <v>6</v>
      </c>
      <c r="G231">
        <v>3</v>
      </c>
      <c r="H231">
        <v>0</v>
      </c>
      <c r="I231">
        <v>0</v>
      </c>
      <c r="J231">
        <v>100</v>
      </c>
      <c r="K231">
        <v>9</v>
      </c>
      <c r="L231" t="str">
        <f>CONCATENATE(T_BATTINGDATA[[#This Row],[Match]],T_BATTINGDATA[[#This Row],[Team]],T_BATTINGDATA[[#This Row],[Bat Number]])</f>
        <v>7Bangladesh9</v>
      </c>
      <c r="M231" t="str">
        <f>IFERROR(IF(AND(T_BATTINGDATA[[#This Row],[Team]]=I_TEAM,IFERROR(IF(MATCH(T_BATTINGDATA[[#This Row],[BATSMAN NAME]],$O$5:O230,0)&gt;0,0),1)),1,0),"")</f>
        <v/>
      </c>
      <c r="N231" t="e">
        <f>IF(T_BATTINGDATA[[#This Row],[Team]]=I_TEAM,T_BATTINGDATA[[#This Row],[R]],0)</f>
        <v>#REF!</v>
      </c>
      <c r="O231" t="str">
        <f>LEFT(T_BATTINGDATA[[#This Row],[Batsman]],IFERROR(FIND("*",T_BATTINGDATA[[#This Row],[Batsman]])-1,IFERROR(FIND("†",T_BATTINGDATA[[#This Row],[Batsman]])-1,LEN(T_BATTINGDATA[[#This Row],[Batsman]]))))</f>
        <v>Mominul Haque</v>
      </c>
      <c r="P231">
        <f ca="1">IFERROR(IF(MATCH(T_BATTINGDATA[[#This Row],[BATSMAN NAME]],OFFSET(O232,0,0,BATROWS-ROW(O231)-ROW(T_BATTINGDATA[[#Headers],[BATSMAN NAME]])),0)&gt;0,0,SUMIF($O$6:O231,T_BATTINGDATA[[#This Row],[BATSMAN NAME]],$E$6:E231)),SUMIF($O$6:O231,T_BATTINGDATA[[#This Row],[BATSMAN NAME]],$E$6:E231))</f>
        <v>0</v>
      </c>
      <c r="AP231">
        <v>15</v>
      </c>
      <c r="AQ231" t="s">
        <v>158</v>
      </c>
      <c r="AR231" t="s">
        <v>217</v>
      </c>
      <c r="AS231">
        <v>10</v>
      </c>
      <c r="AT231">
        <v>1</v>
      </c>
      <c r="AU231">
        <v>45</v>
      </c>
      <c r="AV231">
        <v>0</v>
      </c>
      <c r="AW231">
        <v>4.5</v>
      </c>
      <c r="AX231">
        <v>31</v>
      </c>
      <c r="AY231">
        <v>1</v>
      </c>
      <c r="AZ231">
        <v>1</v>
      </c>
      <c r="BA231">
        <v>4</v>
      </c>
      <c r="BB231">
        <v>0</v>
      </c>
      <c r="BC231">
        <v>5</v>
      </c>
      <c r="BD231" t="str">
        <f>CONCATENATE(Table9[[#This Row],[Match Number]],Table9[[#This Row],[Team]],Table9[[#This Row],[BOWL NUM]])</f>
        <v>15Zimbabwe5</v>
      </c>
      <c r="BE231" t="str">
        <f>IFERROR(IF(AND(Table9[[#This Row],[Team]]=I_TEAM,IFERROR(IF(MATCH(Table9[[#This Row],[Bowler]],$AR$5:AR230,0)&gt;0,0),1)),1,0),"")</f>
        <v/>
      </c>
      <c r="BF23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3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31" t="e">
        <f>IF(Table9[[#This Row],[Team]]=I_TEAM,Table9[[#This Row],[Wickets]]*100-Table9[[#This Row],[Runs]],0)</f>
        <v>#REF!</v>
      </c>
      <c r="BI231">
        <f>Table9[[#This Row],[Wickets]]*100-Table9[[#This Row],[Runs]]</f>
        <v>-45</v>
      </c>
      <c r="BJ231">
        <f ca="1">IFERROR(IF(MATCH(Table9[[#This Row],[Bowler]],OFFSET(AR232,0,0,BOWLROWS-ROW(AR231)-ROW(Table9[[#Headers],[BOWLER CUML WICKETS]])),0)&gt;0,0,SUMIF($AR$6:AR231,Table9[[#This Row],[Bowler]],$AV$6:AV231)),SUMIF($AR$6:AR231,Table9[[#This Row],[Bowler]],$AV$6:AV231))</f>
        <v>0</v>
      </c>
      <c r="BK231">
        <f ca="1">IFERROR(IF(MATCH(Table9[[#This Row],[Bowler]],OFFSET(AR232,0,0,BOWLROWS-ROW(AR231)-ROW(Table9[[#Headers],[BOWLER CUML WICKETS]])),0)&gt;0,0,SUMIF($AR$6:AR231,Table9[[#This Row],[Bowler]],$AU$6:AU231)),SUMIF($AR$6:AR231,Table9[[#This Row],[Bowler]],$AU$6:AU231))</f>
        <v>0</v>
      </c>
      <c r="BL231">
        <f ca="1">Table9[[#This Row],[BOWLER CUML WICKETS]]*100-Table9[[#This Row],[BOWLER CUML RUNS]]</f>
        <v>0</v>
      </c>
    </row>
    <row r="232" spans="1:64" x14ac:dyDescent="0.3">
      <c r="A232">
        <v>7</v>
      </c>
      <c r="B232" t="s">
        <v>181</v>
      </c>
      <c r="C232" t="s">
        <v>277</v>
      </c>
      <c r="D232" t="s">
        <v>167</v>
      </c>
      <c r="E232">
        <v>0</v>
      </c>
      <c r="F232">
        <v>6</v>
      </c>
      <c r="G232">
        <v>2</v>
      </c>
      <c r="H232">
        <v>0</v>
      </c>
      <c r="I232">
        <v>0</v>
      </c>
      <c r="J232">
        <v>0</v>
      </c>
      <c r="K232">
        <v>10</v>
      </c>
      <c r="L232" t="str">
        <f>CONCATENATE(T_BATTINGDATA[[#This Row],[Match]],T_BATTINGDATA[[#This Row],[Team]],T_BATTINGDATA[[#This Row],[Bat Number]])</f>
        <v>7Bangladesh10</v>
      </c>
      <c r="M232" t="str">
        <f>IFERROR(IF(AND(T_BATTINGDATA[[#This Row],[Team]]=I_TEAM,IFERROR(IF(MATCH(T_BATTINGDATA[[#This Row],[BATSMAN NAME]],$O$5:O231,0)&gt;0,0),1)),1,0),"")</f>
        <v/>
      </c>
      <c r="N232" t="e">
        <f>IF(T_BATTINGDATA[[#This Row],[Team]]=I_TEAM,T_BATTINGDATA[[#This Row],[R]],0)</f>
        <v>#REF!</v>
      </c>
      <c r="O232" t="str">
        <f>LEFT(T_BATTINGDATA[[#This Row],[Batsman]],IFERROR(FIND("*",T_BATTINGDATA[[#This Row],[Batsman]])-1,IFERROR(FIND("†",T_BATTINGDATA[[#This Row],[Batsman]])-1,LEN(T_BATTINGDATA[[#This Row],[Batsman]]))))</f>
        <v>Rubel Hossain</v>
      </c>
      <c r="P232">
        <f ca="1">IFERROR(IF(MATCH(T_BATTINGDATA[[#This Row],[BATSMAN NAME]],OFFSET(O233,0,0,BATROWS-ROW(O232)-ROW(T_BATTINGDATA[[#Headers],[BATSMAN NAME]])),0)&gt;0,0,SUMIF($O$6:O232,T_BATTINGDATA[[#This Row],[BATSMAN NAME]],$E$6:E232)),SUMIF($O$6:O232,T_BATTINGDATA[[#This Row],[BATSMAN NAME]],$E$6:E232))</f>
        <v>0</v>
      </c>
      <c r="AP232">
        <v>15</v>
      </c>
      <c r="AQ232" t="s">
        <v>158</v>
      </c>
      <c r="AR232" t="s">
        <v>338</v>
      </c>
      <c r="AS232">
        <v>3</v>
      </c>
      <c r="AT232">
        <v>0</v>
      </c>
      <c r="AU232">
        <v>37</v>
      </c>
      <c r="AV232">
        <v>0</v>
      </c>
      <c r="AW232">
        <v>12.33</v>
      </c>
      <c r="AX232">
        <v>7</v>
      </c>
      <c r="AY232">
        <v>2</v>
      </c>
      <c r="AZ232">
        <v>4</v>
      </c>
      <c r="BA232">
        <v>0</v>
      </c>
      <c r="BB232">
        <v>0</v>
      </c>
      <c r="BC232">
        <v>6</v>
      </c>
      <c r="BD232" t="str">
        <f>CONCATENATE(Table9[[#This Row],[Match Number]],Table9[[#This Row],[Team]],Table9[[#This Row],[BOWL NUM]])</f>
        <v>15Zimbabwe6</v>
      </c>
      <c r="BE232" t="str">
        <f>IFERROR(IF(AND(Table9[[#This Row],[Team]]=I_TEAM,IFERROR(IF(MATCH(Table9[[#This Row],[Bowler]],$AR$5:AR231,0)&gt;0,0),1)),1,0),"")</f>
        <v/>
      </c>
      <c r="BF232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23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32" t="e">
        <f>IF(Table9[[#This Row],[Team]]=I_TEAM,Table9[[#This Row],[Wickets]]*100-Table9[[#This Row],[Runs]],0)</f>
        <v>#REF!</v>
      </c>
      <c r="BI232">
        <f>Table9[[#This Row],[Wickets]]*100-Table9[[#This Row],[Runs]]</f>
        <v>-37</v>
      </c>
      <c r="BJ232">
        <f ca="1">IFERROR(IF(MATCH(Table9[[#This Row],[Bowler]],OFFSET(AR233,0,0,BOWLROWS-ROW(AR232)-ROW(Table9[[#Headers],[BOWLER CUML WICKETS]])),0)&gt;0,0,SUMIF($AR$6:AR232,Table9[[#This Row],[Bowler]],$AV$6:AV232)),SUMIF($AR$6:AR232,Table9[[#This Row],[Bowler]],$AV$6:AV232))</f>
        <v>1</v>
      </c>
      <c r="BK232">
        <f ca="1">IFERROR(IF(MATCH(Table9[[#This Row],[Bowler]],OFFSET(AR233,0,0,BOWLROWS-ROW(AR232)-ROW(Table9[[#Headers],[BOWLER CUML WICKETS]])),0)&gt;0,0,SUMIF($AR$6:AR232,Table9[[#This Row],[Bowler]],$AU$6:AU232)),SUMIF($AR$6:AR232,Table9[[#This Row],[Bowler]],$AU$6:AU232))</f>
        <v>124</v>
      </c>
      <c r="BL232">
        <f ca="1">Table9[[#This Row],[BOWLER CUML WICKETS]]*100-Table9[[#This Row],[BOWLER CUML RUNS]]</f>
        <v>-24</v>
      </c>
    </row>
    <row r="233" spans="1:64" x14ac:dyDescent="0.3">
      <c r="A233">
        <v>7</v>
      </c>
      <c r="B233" t="s">
        <v>181</v>
      </c>
      <c r="C233" t="s">
        <v>270</v>
      </c>
      <c r="D233" t="s">
        <v>472</v>
      </c>
      <c r="E233">
        <v>1</v>
      </c>
      <c r="F233">
        <v>5</v>
      </c>
      <c r="G233">
        <v>3</v>
      </c>
      <c r="H233">
        <v>0</v>
      </c>
      <c r="I233">
        <v>0</v>
      </c>
      <c r="J233">
        <v>33.33</v>
      </c>
      <c r="K233">
        <v>11</v>
      </c>
      <c r="L233" t="str">
        <f>CONCATENATE(T_BATTINGDATA[[#This Row],[Match]],T_BATTINGDATA[[#This Row],[Team]],T_BATTINGDATA[[#This Row],[Bat Number]])</f>
        <v>7Bangladesh11</v>
      </c>
      <c r="M233" t="str">
        <f>IFERROR(IF(AND(T_BATTINGDATA[[#This Row],[Team]]=I_TEAM,IFERROR(IF(MATCH(T_BATTINGDATA[[#This Row],[BATSMAN NAME]],$O$5:O232,0)&gt;0,0),1)),1,0),"")</f>
        <v/>
      </c>
      <c r="N233" t="e">
        <f>IF(T_BATTINGDATA[[#This Row],[Team]]=I_TEAM,T_BATTINGDATA[[#This Row],[R]],0)</f>
        <v>#REF!</v>
      </c>
      <c r="O233" t="str">
        <f>LEFT(T_BATTINGDATA[[#This Row],[Batsman]],IFERROR(FIND("*",T_BATTINGDATA[[#This Row],[Batsman]])-1,IFERROR(FIND("†",T_BATTINGDATA[[#This Row],[Batsman]])-1,LEN(T_BATTINGDATA[[#This Row],[Batsman]]))))</f>
        <v>Taskin Ahmed</v>
      </c>
      <c r="P233">
        <f ca="1">IFERROR(IF(MATCH(T_BATTINGDATA[[#This Row],[BATSMAN NAME]],OFFSET(O234,0,0,BATROWS-ROW(O233)-ROW(T_BATTINGDATA[[#Headers],[BATSMAN NAME]])),0)&gt;0,0,SUMIF($O$6:O233,T_BATTINGDATA[[#This Row],[BATSMAN NAME]],$E$6:E233)),SUMIF($O$6:O233,T_BATTINGDATA[[#This Row],[BATSMAN NAME]],$E$6:E233))</f>
        <v>0</v>
      </c>
      <c r="AP233">
        <v>15</v>
      </c>
      <c r="AQ233" t="s">
        <v>158</v>
      </c>
      <c r="AR233" t="s">
        <v>218</v>
      </c>
      <c r="AS233">
        <v>6.2</v>
      </c>
      <c r="AT233">
        <v>0</v>
      </c>
      <c r="AU233">
        <v>39</v>
      </c>
      <c r="AV233">
        <v>1</v>
      </c>
      <c r="AW233">
        <v>6.15</v>
      </c>
      <c r="AX233">
        <v>13</v>
      </c>
      <c r="AY233">
        <v>1</v>
      </c>
      <c r="AZ233">
        <v>2</v>
      </c>
      <c r="BA233">
        <v>0</v>
      </c>
      <c r="BB233">
        <v>0</v>
      </c>
      <c r="BC233">
        <v>7</v>
      </c>
      <c r="BD233" t="str">
        <f>CONCATENATE(Table9[[#This Row],[Match Number]],Table9[[#This Row],[Team]],Table9[[#This Row],[BOWL NUM]])</f>
        <v>15Zimbabwe7</v>
      </c>
      <c r="BE233" t="str">
        <f>IFERROR(IF(AND(Table9[[#This Row],[Team]]=I_TEAM,IFERROR(IF(MATCH(Table9[[#This Row],[Bowler]],$AR$5:AR232,0)&gt;0,0),1)),1,0),"")</f>
        <v/>
      </c>
      <c r="BF233">
        <f>(LEFT(Table9[[#This Row],[Overs]],IFERROR(FIND(".",Table9[[#This Row],[Overs]])-1,LEN(Table9[[#This Row],[Overs]])))*6) + IFERROR(IF(FIND(".",Table9[[#This Row],[Overs]])+1&gt;0,RIGHT(Table9[[#This Row],[Overs]],1),0),0)</f>
        <v>38</v>
      </c>
      <c r="BG23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33" t="e">
        <f>IF(Table9[[#This Row],[Team]]=I_TEAM,Table9[[#This Row],[Wickets]]*100-Table9[[#This Row],[Runs]],0)</f>
        <v>#REF!</v>
      </c>
      <c r="BI233">
        <f>Table9[[#This Row],[Wickets]]*100-Table9[[#This Row],[Runs]]</f>
        <v>61</v>
      </c>
      <c r="BJ233">
        <f ca="1">IFERROR(IF(MATCH(Table9[[#This Row],[Bowler]],OFFSET(AR234,0,0,BOWLROWS-ROW(AR233)-ROW(Table9[[#Headers],[BOWLER CUML WICKETS]])),0)&gt;0,0,SUMIF($AR$6:AR233,Table9[[#This Row],[Bowler]],$AV$6:AV233)),SUMIF($AR$6:AR233,Table9[[#This Row],[Bowler]],$AV$6:AV233))</f>
        <v>0</v>
      </c>
      <c r="BK233">
        <f ca="1">IFERROR(IF(MATCH(Table9[[#This Row],[Bowler]],OFFSET(AR234,0,0,BOWLROWS-ROW(AR233)-ROW(Table9[[#Headers],[BOWLER CUML WICKETS]])),0)&gt;0,0,SUMIF($AR$6:AR233,Table9[[#This Row],[Bowler]],$AU$6:AU233)),SUMIF($AR$6:AR233,Table9[[#This Row],[Bowler]],$AU$6:AU233))</f>
        <v>0</v>
      </c>
      <c r="BL233">
        <f ca="1">Table9[[#This Row],[BOWLER CUML WICKETS]]*100-Table9[[#This Row],[BOWLER CUML RUNS]]</f>
        <v>0</v>
      </c>
    </row>
    <row r="234" spans="1:64" x14ac:dyDescent="0.3">
      <c r="A234">
        <v>7</v>
      </c>
      <c r="B234" t="s">
        <v>185</v>
      </c>
      <c r="C234" t="s">
        <v>398</v>
      </c>
      <c r="D234" t="s">
        <v>475</v>
      </c>
      <c r="E234">
        <v>1</v>
      </c>
      <c r="F234">
        <v>4</v>
      </c>
      <c r="G234">
        <v>2</v>
      </c>
      <c r="H234">
        <v>0</v>
      </c>
      <c r="I234">
        <v>0</v>
      </c>
      <c r="J234">
        <v>50</v>
      </c>
      <c r="K234">
        <v>1</v>
      </c>
      <c r="L234" t="str">
        <f>CONCATENATE(T_BATTINGDATA[[#This Row],[Match]],T_BATTINGDATA[[#This Row],[Team]],T_BATTINGDATA[[#This Row],[Bat Number]])</f>
        <v>7Afghanistan1</v>
      </c>
      <c r="M234" t="str">
        <f>IFERROR(IF(AND(T_BATTINGDATA[[#This Row],[Team]]=I_TEAM,IFERROR(IF(MATCH(T_BATTINGDATA[[#This Row],[BATSMAN NAME]],$O$5:O233,0)&gt;0,0),1)),1,0),"")</f>
        <v/>
      </c>
      <c r="N234" t="e">
        <f>IF(T_BATTINGDATA[[#This Row],[Team]]=I_TEAM,T_BATTINGDATA[[#This Row],[R]],0)</f>
        <v>#REF!</v>
      </c>
      <c r="O234" t="str">
        <f>LEFT(T_BATTINGDATA[[#This Row],[Batsman]],IFERROR(FIND("*",T_BATTINGDATA[[#This Row],[Batsman]])-1,IFERROR(FIND("†",T_BATTINGDATA[[#This Row],[Batsman]])-1,LEN(T_BATTINGDATA[[#This Row],[Batsman]]))))</f>
        <v>Javed Ahmadi</v>
      </c>
      <c r="P234">
        <f ca="1">IFERROR(IF(MATCH(T_BATTINGDATA[[#This Row],[BATSMAN NAME]],OFFSET(O235,0,0,BATROWS-ROW(O234)-ROW(T_BATTINGDATA[[#Headers],[BATSMAN NAME]])),0)&gt;0,0,SUMIF($O$6:O234,T_BATTINGDATA[[#This Row],[BATSMAN NAME]],$E$6:E234)),SUMIF($O$6:O234,T_BATTINGDATA[[#This Row],[BATSMAN NAME]],$E$6:E234))</f>
        <v>0</v>
      </c>
      <c r="AP234">
        <v>15</v>
      </c>
      <c r="AQ234" t="s">
        <v>170</v>
      </c>
      <c r="AR234" t="s">
        <v>259</v>
      </c>
      <c r="AS234">
        <v>10</v>
      </c>
      <c r="AT234">
        <v>0</v>
      </c>
      <c r="AU234">
        <v>38</v>
      </c>
      <c r="AV234">
        <v>3</v>
      </c>
      <c r="AW234">
        <v>3.8</v>
      </c>
      <c r="AX234">
        <v>35</v>
      </c>
      <c r="AY234">
        <v>1</v>
      </c>
      <c r="AZ234">
        <v>0</v>
      </c>
      <c r="BA234">
        <v>5</v>
      </c>
      <c r="BB234">
        <v>0</v>
      </c>
      <c r="BC234">
        <v>1</v>
      </c>
      <c r="BD234" t="str">
        <f>CONCATENATE(Table9[[#This Row],[Match Number]],Table9[[#This Row],[Team]],Table9[[#This Row],[BOWL NUM]])</f>
        <v>15West Indies1</v>
      </c>
      <c r="BE234" t="str">
        <f>IFERROR(IF(AND(Table9[[#This Row],[Team]]=I_TEAM,IFERROR(IF(MATCH(Table9[[#This Row],[Bowler]],$AR$5:AR233,0)&gt;0,0),1)),1,0),"")</f>
        <v/>
      </c>
      <c r="BF23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3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234" t="e">
        <f>IF(Table9[[#This Row],[Team]]=I_TEAM,Table9[[#This Row],[Wickets]]*100-Table9[[#This Row],[Runs]],0)</f>
        <v>#REF!</v>
      </c>
      <c r="BI234">
        <f>Table9[[#This Row],[Wickets]]*100-Table9[[#This Row],[Runs]]</f>
        <v>262</v>
      </c>
      <c r="BJ234">
        <f ca="1">IFERROR(IF(MATCH(Table9[[#This Row],[Bowler]],OFFSET(AR235,0,0,BOWLROWS-ROW(AR234)-ROW(Table9[[#Headers],[BOWLER CUML WICKETS]])),0)&gt;0,0,SUMIF($AR$6:AR234,Table9[[#This Row],[Bowler]],$AV$6:AV234)),SUMIF($AR$6:AR234,Table9[[#This Row],[Bowler]],$AV$6:AV234))</f>
        <v>0</v>
      </c>
      <c r="BK234">
        <f ca="1">IFERROR(IF(MATCH(Table9[[#This Row],[Bowler]],OFFSET(AR235,0,0,BOWLROWS-ROW(AR234)-ROW(Table9[[#Headers],[BOWLER CUML WICKETS]])),0)&gt;0,0,SUMIF($AR$6:AR234,Table9[[#This Row],[Bowler]],$AU$6:AU234)),SUMIF($AR$6:AR234,Table9[[#This Row],[Bowler]],$AU$6:AU234))</f>
        <v>0</v>
      </c>
      <c r="BL234">
        <f ca="1">Table9[[#This Row],[BOWLER CUML WICKETS]]*100-Table9[[#This Row],[BOWLER CUML RUNS]]</f>
        <v>0</v>
      </c>
    </row>
    <row r="235" spans="1:64" x14ac:dyDescent="0.3">
      <c r="A235">
        <v>7</v>
      </c>
      <c r="B235" t="s">
        <v>185</v>
      </c>
      <c r="C235" t="s">
        <v>476</v>
      </c>
      <c r="D235" t="s">
        <v>477</v>
      </c>
      <c r="E235">
        <v>1</v>
      </c>
      <c r="F235">
        <v>7</v>
      </c>
      <c r="G235">
        <v>5</v>
      </c>
      <c r="H235">
        <v>0</v>
      </c>
      <c r="I235">
        <v>0</v>
      </c>
      <c r="J235">
        <v>20</v>
      </c>
      <c r="K235">
        <v>2</v>
      </c>
      <c r="L235" t="str">
        <f>CONCATENATE(T_BATTINGDATA[[#This Row],[Match]],T_BATTINGDATA[[#This Row],[Team]],T_BATTINGDATA[[#This Row],[Bat Number]])</f>
        <v>7Afghanistan2</v>
      </c>
      <c r="M235" t="str">
        <f>IFERROR(IF(AND(T_BATTINGDATA[[#This Row],[Team]]=I_TEAM,IFERROR(IF(MATCH(T_BATTINGDATA[[#This Row],[BATSMAN NAME]],$O$5:O234,0)&gt;0,0),1)),1,0),"")</f>
        <v/>
      </c>
      <c r="N235" t="e">
        <f>IF(T_BATTINGDATA[[#This Row],[Team]]=I_TEAM,T_BATTINGDATA[[#This Row],[R]],0)</f>
        <v>#REF!</v>
      </c>
      <c r="O235" t="str">
        <f>LEFT(T_BATTINGDATA[[#This Row],[Batsman]],IFERROR(FIND("*",T_BATTINGDATA[[#This Row],[Batsman]])-1,IFERROR(FIND("†",T_BATTINGDATA[[#This Row],[Batsman]])-1,LEN(T_BATTINGDATA[[#This Row],[Batsman]]))))</f>
        <v>Afsar Zazai</v>
      </c>
      <c r="P235">
        <f ca="1">IFERROR(IF(MATCH(T_BATTINGDATA[[#This Row],[BATSMAN NAME]],OFFSET(O236,0,0,BATROWS-ROW(O235)-ROW(T_BATTINGDATA[[#Headers],[BATSMAN NAME]])),0)&gt;0,0,SUMIF($O$6:O235,T_BATTINGDATA[[#This Row],[BATSMAN NAME]],$E$6:E235)),SUMIF($O$6:O235,T_BATTINGDATA[[#This Row],[BATSMAN NAME]],$E$6:E235))</f>
        <v>0</v>
      </c>
      <c r="AP235">
        <v>15</v>
      </c>
      <c r="AQ235" t="s">
        <v>170</v>
      </c>
      <c r="AR235" t="s">
        <v>260</v>
      </c>
      <c r="AS235">
        <v>7</v>
      </c>
      <c r="AT235">
        <v>0</v>
      </c>
      <c r="AU235">
        <v>48</v>
      </c>
      <c r="AV235">
        <v>3</v>
      </c>
      <c r="AW235">
        <v>6.85</v>
      </c>
      <c r="AX235">
        <v>20</v>
      </c>
      <c r="AY235">
        <v>6</v>
      </c>
      <c r="AZ235">
        <v>1</v>
      </c>
      <c r="BA235">
        <v>1</v>
      </c>
      <c r="BB235">
        <v>0</v>
      </c>
      <c r="BC235">
        <v>2</v>
      </c>
      <c r="BD235" t="str">
        <f>CONCATENATE(Table9[[#This Row],[Match Number]],Table9[[#This Row],[Team]],Table9[[#This Row],[BOWL NUM]])</f>
        <v>15West Indies2</v>
      </c>
      <c r="BE235" t="str">
        <f>IFERROR(IF(AND(Table9[[#This Row],[Team]]=I_TEAM,IFERROR(IF(MATCH(Table9[[#This Row],[Bowler]],$AR$5:AR234,0)&gt;0,0),1)),1,0),"")</f>
        <v/>
      </c>
      <c r="BF235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23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235" t="e">
        <f>IF(Table9[[#This Row],[Team]]=I_TEAM,Table9[[#This Row],[Wickets]]*100-Table9[[#This Row],[Runs]],0)</f>
        <v>#REF!</v>
      </c>
      <c r="BI235">
        <f>Table9[[#This Row],[Wickets]]*100-Table9[[#This Row],[Runs]]</f>
        <v>252</v>
      </c>
      <c r="BJ235">
        <f ca="1">IFERROR(IF(MATCH(Table9[[#This Row],[Bowler]],OFFSET(AR236,0,0,BOWLROWS-ROW(AR235)-ROW(Table9[[#Headers],[BOWLER CUML WICKETS]])),0)&gt;0,0,SUMIF($AR$6:AR235,Table9[[#This Row],[Bowler]],$AV$6:AV235)),SUMIF($AR$6:AR235,Table9[[#This Row],[Bowler]],$AV$6:AV235))</f>
        <v>0</v>
      </c>
      <c r="BK235">
        <f ca="1">IFERROR(IF(MATCH(Table9[[#This Row],[Bowler]],OFFSET(AR236,0,0,BOWLROWS-ROW(AR235)-ROW(Table9[[#Headers],[BOWLER CUML WICKETS]])),0)&gt;0,0,SUMIF($AR$6:AR235,Table9[[#This Row],[Bowler]],$AU$6:AU235)),SUMIF($AR$6:AR235,Table9[[#This Row],[Bowler]],$AU$6:AU235))</f>
        <v>0</v>
      </c>
      <c r="BL235">
        <f ca="1">Table9[[#This Row],[BOWLER CUML WICKETS]]*100-Table9[[#This Row],[BOWLER CUML RUNS]]</f>
        <v>0</v>
      </c>
    </row>
    <row r="236" spans="1:64" x14ac:dyDescent="0.3">
      <c r="A236">
        <v>7</v>
      </c>
      <c r="B236" t="s">
        <v>185</v>
      </c>
      <c r="C236" t="s">
        <v>478</v>
      </c>
      <c r="D236" t="s">
        <v>479</v>
      </c>
      <c r="E236">
        <v>27</v>
      </c>
      <c r="F236">
        <v>88</v>
      </c>
      <c r="G236">
        <v>57</v>
      </c>
      <c r="H236">
        <v>1</v>
      </c>
      <c r="I236">
        <v>0</v>
      </c>
      <c r="J236">
        <v>47.36</v>
      </c>
      <c r="K236">
        <v>3</v>
      </c>
      <c r="L236" t="str">
        <f>CONCATENATE(T_BATTINGDATA[[#This Row],[Match]],T_BATTINGDATA[[#This Row],[Team]],T_BATTINGDATA[[#This Row],[Bat Number]])</f>
        <v>7Afghanistan3</v>
      </c>
      <c r="M236" t="str">
        <f>IFERROR(IF(AND(T_BATTINGDATA[[#This Row],[Team]]=I_TEAM,IFERROR(IF(MATCH(T_BATTINGDATA[[#This Row],[BATSMAN NAME]],$O$5:O235,0)&gt;0,0),1)),1,0),"")</f>
        <v/>
      </c>
      <c r="N236" t="e">
        <f>IF(T_BATTINGDATA[[#This Row],[Team]]=I_TEAM,T_BATTINGDATA[[#This Row],[R]],0)</f>
        <v>#REF!</v>
      </c>
      <c r="O236" t="str">
        <f>LEFT(T_BATTINGDATA[[#This Row],[Batsman]],IFERROR(FIND("*",T_BATTINGDATA[[#This Row],[Batsman]])-1,IFERROR(FIND("†",T_BATTINGDATA[[#This Row],[Batsman]])-1,LEN(T_BATTINGDATA[[#This Row],[Batsman]]))))</f>
        <v>Nawroz Mangal</v>
      </c>
      <c r="P236">
        <f ca="1">IFERROR(IF(MATCH(T_BATTINGDATA[[#This Row],[BATSMAN NAME]],OFFSET(O237,0,0,BATROWS-ROW(O236)-ROW(T_BATTINGDATA[[#Headers],[BATSMAN NAME]])),0)&gt;0,0,SUMIF($O$6:O236,T_BATTINGDATA[[#This Row],[BATSMAN NAME]],$E$6:E236)),SUMIF($O$6:O236,T_BATTINGDATA[[#This Row],[BATSMAN NAME]],$E$6:E236))</f>
        <v>0</v>
      </c>
      <c r="AP236">
        <v>15</v>
      </c>
      <c r="AQ236" t="s">
        <v>170</v>
      </c>
      <c r="AR236" t="s">
        <v>480</v>
      </c>
      <c r="AS236">
        <v>6.3</v>
      </c>
      <c r="AT236">
        <v>0</v>
      </c>
      <c r="AU236">
        <v>48</v>
      </c>
      <c r="AV236">
        <v>1</v>
      </c>
      <c r="AW236">
        <v>7.38</v>
      </c>
      <c r="AX236">
        <v>16</v>
      </c>
      <c r="AY236">
        <v>5</v>
      </c>
      <c r="AZ236">
        <v>1</v>
      </c>
      <c r="BA236">
        <v>2</v>
      </c>
      <c r="BB236">
        <v>0</v>
      </c>
      <c r="BC236">
        <v>3</v>
      </c>
      <c r="BD236" t="str">
        <f>CONCATENATE(Table9[[#This Row],[Match Number]],Table9[[#This Row],[Team]],Table9[[#This Row],[BOWL NUM]])</f>
        <v>15West Indies3</v>
      </c>
      <c r="BE236" t="str">
        <f>IFERROR(IF(AND(Table9[[#This Row],[Team]]=I_TEAM,IFERROR(IF(MATCH(Table9[[#This Row],[Bowler]],$AR$5:AR235,0)&gt;0,0),1)),1,0),"")</f>
        <v/>
      </c>
      <c r="BF236">
        <f>(LEFT(Table9[[#This Row],[Overs]],IFERROR(FIND(".",Table9[[#This Row],[Overs]])-1,LEN(Table9[[#This Row],[Overs]])))*6) + IFERROR(IF(FIND(".",Table9[[#This Row],[Overs]])+1&gt;0,RIGHT(Table9[[#This Row],[Overs]],1),0),0)</f>
        <v>39</v>
      </c>
      <c r="BG23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236" t="e">
        <f>IF(Table9[[#This Row],[Team]]=I_TEAM,Table9[[#This Row],[Wickets]]*100-Table9[[#This Row],[Runs]],0)</f>
        <v>#REF!</v>
      </c>
      <c r="BI236">
        <f>Table9[[#This Row],[Wickets]]*100-Table9[[#This Row],[Runs]]</f>
        <v>52</v>
      </c>
      <c r="BJ236">
        <f ca="1">IFERROR(IF(MATCH(Table9[[#This Row],[Bowler]],OFFSET(AR237,0,0,BOWLROWS-ROW(AR236)-ROW(Table9[[#Headers],[BOWLER CUML WICKETS]])),0)&gt;0,0,SUMIF($AR$6:AR236,Table9[[#This Row],[Bowler]],$AV$6:AV236)),SUMIF($AR$6:AR236,Table9[[#This Row],[Bowler]],$AV$6:AV236))</f>
        <v>1</v>
      </c>
      <c r="BK236">
        <f ca="1">IFERROR(IF(MATCH(Table9[[#This Row],[Bowler]],OFFSET(AR237,0,0,BOWLROWS-ROW(AR236)-ROW(Table9[[#Headers],[BOWLER CUML WICKETS]])),0)&gt;0,0,SUMIF($AR$6:AR236,Table9[[#This Row],[Bowler]],$AU$6:AU236)),SUMIF($AR$6:AR236,Table9[[#This Row],[Bowler]],$AU$6:AU236))</f>
        <v>48</v>
      </c>
      <c r="BL236">
        <f ca="1">Table9[[#This Row],[BOWLER CUML WICKETS]]*100-Table9[[#This Row],[BOWLER CUML RUNS]]</f>
        <v>52</v>
      </c>
    </row>
    <row r="237" spans="1:64" x14ac:dyDescent="0.3">
      <c r="A237">
        <v>7</v>
      </c>
      <c r="B237" t="s">
        <v>185</v>
      </c>
      <c r="C237" t="s">
        <v>457</v>
      </c>
      <c r="D237" t="s">
        <v>481</v>
      </c>
      <c r="E237">
        <v>1</v>
      </c>
      <c r="F237">
        <v>9</v>
      </c>
      <c r="G237">
        <v>7</v>
      </c>
      <c r="H237">
        <v>0</v>
      </c>
      <c r="I237">
        <v>0</v>
      </c>
      <c r="J237">
        <v>14.28</v>
      </c>
      <c r="K237">
        <v>4</v>
      </c>
      <c r="L237" t="str">
        <f>CONCATENATE(T_BATTINGDATA[[#This Row],[Match]],T_BATTINGDATA[[#This Row],[Team]],T_BATTINGDATA[[#This Row],[Bat Number]])</f>
        <v>7Afghanistan4</v>
      </c>
      <c r="M237" t="str">
        <f>IFERROR(IF(AND(T_BATTINGDATA[[#This Row],[Team]]=I_TEAM,IFERROR(IF(MATCH(T_BATTINGDATA[[#This Row],[BATSMAN NAME]],$O$5:O236,0)&gt;0,0),1)),1,0),"")</f>
        <v/>
      </c>
      <c r="N237" t="e">
        <f>IF(T_BATTINGDATA[[#This Row],[Team]]=I_TEAM,T_BATTINGDATA[[#This Row],[R]],0)</f>
        <v>#REF!</v>
      </c>
      <c r="O237" t="str">
        <f>LEFT(T_BATTINGDATA[[#This Row],[Batsman]],IFERROR(FIND("*",T_BATTINGDATA[[#This Row],[Batsman]])-1,IFERROR(FIND("†",T_BATTINGDATA[[#This Row],[Batsman]])-1,LEN(T_BATTINGDATA[[#This Row],[Batsman]]))))</f>
        <v>Asghar Stanikzai</v>
      </c>
      <c r="P237">
        <f ca="1">IFERROR(IF(MATCH(T_BATTINGDATA[[#This Row],[BATSMAN NAME]],OFFSET(O238,0,0,BATROWS-ROW(O237)-ROW(T_BATTINGDATA[[#Headers],[BATSMAN NAME]])),0)&gt;0,0,SUMIF($O$6:O237,T_BATTINGDATA[[#This Row],[BATSMAN NAME]],$E$6:E237)),SUMIF($O$6:O237,T_BATTINGDATA[[#This Row],[BATSMAN NAME]],$E$6:E237))</f>
        <v>0</v>
      </c>
      <c r="AP237">
        <v>15</v>
      </c>
      <c r="AQ237" t="s">
        <v>170</v>
      </c>
      <c r="AR237" t="s">
        <v>267</v>
      </c>
      <c r="AS237">
        <v>9</v>
      </c>
      <c r="AT237">
        <v>0</v>
      </c>
      <c r="AU237">
        <v>59</v>
      </c>
      <c r="AV237">
        <v>1</v>
      </c>
      <c r="AW237">
        <v>6.55</v>
      </c>
      <c r="AX237">
        <v>20</v>
      </c>
      <c r="AY237">
        <v>7</v>
      </c>
      <c r="AZ237">
        <v>0</v>
      </c>
      <c r="BA237">
        <v>0</v>
      </c>
      <c r="BB237">
        <v>0</v>
      </c>
      <c r="BC237">
        <v>4</v>
      </c>
      <c r="BD237" t="str">
        <f>CONCATENATE(Table9[[#This Row],[Match Number]],Table9[[#This Row],[Team]],Table9[[#This Row],[BOWL NUM]])</f>
        <v>15West Indies4</v>
      </c>
      <c r="BE237" t="str">
        <f>IFERROR(IF(AND(Table9[[#This Row],[Team]]=I_TEAM,IFERROR(IF(MATCH(Table9[[#This Row],[Bowler]],$AR$5:AR236,0)&gt;0,0),1)),1,0),"")</f>
        <v/>
      </c>
      <c r="BF237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3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237" t="e">
        <f>IF(Table9[[#This Row],[Team]]=I_TEAM,Table9[[#This Row],[Wickets]]*100-Table9[[#This Row],[Runs]],0)</f>
        <v>#REF!</v>
      </c>
      <c r="BI237">
        <f>Table9[[#This Row],[Wickets]]*100-Table9[[#This Row],[Runs]]</f>
        <v>41</v>
      </c>
      <c r="BJ237">
        <f ca="1">IFERROR(IF(MATCH(Table9[[#This Row],[Bowler]],OFFSET(AR238,0,0,BOWLROWS-ROW(AR237)-ROW(Table9[[#Headers],[BOWLER CUML WICKETS]])),0)&gt;0,0,SUMIF($AR$6:AR237,Table9[[#This Row],[Bowler]],$AV$6:AV237)),SUMIF($AR$6:AR237,Table9[[#This Row],[Bowler]],$AV$6:AV237))</f>
        <v>0</v>
      </c>
      <c r="BK237">
        <f ca="1">IFERROR(IF(MATCH(Table9[[#This Row],[Bowler]],OFFSET(AR238,0,0,BOWLROWS-ROW(AR237)-ROW(Table9[[#Headers],[BOWLER CUML WICKETS]])),0)&gt;0,0,SUMIF($AR$6:AR237,Table9[[#This Row],[Bowler]],$AU$6:AU237)),SUMIF($AR$6:AR237,Table9[[#This Row],[Bowler]],$AU$6:AU237))</f>
        <v>0</v>
      </c>
      <c r="BL237">
        <f ca="1">Table9[[#This Row],[BOWLER CUML WICKETS]]*100-Table9[[#This Row],[BOWLER CUML RUNS]]</f>
        <v>0</v>
      </c>
    </row>
    <row r="238" spans="1:64" x14ac:dyDescent="0.3">
      <c r="A238">
        <v>7</v>
      </c>
      <c r="B238" t="s">
        <v>185</v>
      </c>
      <c r="C238" t="s">
        <v>401</v>
      </c>
      <c r="D238" t="s">
        <v>482</v>
      </c>
      <c r="E238">
        <v>42</v>
      </c>
      <c r="F238">
        <v>92</v>
      </c>
      <c r="G238">
        <v>75</v>
      </c>
      <c r="H238">
        <v>2</v>
      </c>
      <c r="I238">
        <v>0</v>
      </c>
      <c r="J238">
        <v>56</v>
      </c>
      <c r="K238">
        <v>5</v>
      </c>
      <c r="L238" t="str">
        <f>CONCATENATE(T_BATTINGDATA[[#This Row],[Match]],T_BATTINGDATA[[#This Row],[Team]],T_BATTINGDATA[[#This Row],[Bat Number]])</f>
        <v>7Afghanistan5</v>
      </c>
      <c r="M238" t="str">
        <f>IFERROR(IF(AND(T_BATTINGDATA[[#This Row],[Team]]=I_TEAM,IFERROR(IF(MATCH(T_BATTINGDATA[[#This Row],[BATSMAN NAME]],$O$5:O237,0)&gt;0,0),1)),1,0),"")</f>
        <v/>
      </c>
      <c r="N238" t="e">
        <f>IF(T_BATTINGDATA[[#This Row],[Team]]=I_TEAM,T_BATTINGDATA[[#This Row],[R]],0)</f>
        <v>#REF!</v>
      </c>
      <c r="O238" t="str">
        <f>LEFT(T_BATTINGDATA[[#This Row],[Batsman]],IFERROR(FIND("*",T_BATTINGDATA[[#This Row],[Batsman]])-1,IFERROR(FIND("†",T_BATTINGDATA[[#This Row],[Batsman]])-1,LEN(T_BATTINGDATA[[#This Row],[Batsman]]))))</f>
        <v>Samiullah Shenwari</v>
      </c>
      <c r="P238">
        <f ca="1">IFERROR(IF(MATCH(T_BATTINGDATA[[#This Row],[BATSMAN NAME]],OFFSET(O239,0,0,BATROWS-ROW(O238)-ROW(T_BATTINGDATA[[#Headers],[BATSMAN NAME]])),0)&gt;0,0,SUMIF($O$6:O238,T_BATTINGDATA[[#This Row],[BATSMAN NAME]],$E$6:E238)),SUMIF($O$6:O238,T_BATTINGDATA[[#This Row],[BATSMAN NAME]],$E$6:E238))</f>
        <v>0</v>
      </c>
      <c r="AP238">
        <v>15</v>
      </c>
      <c r="AQ238" t="s">
        <v>170</v>
      </c>
      <c r="AR238" t="s">
        <v>264</v>
      </c>
      <c r="AS238">
        <v>5</v>
      </c>
      <c r="AT238">
        <v>0</v>
      </c>
      <c r="AU238">
        <v>44</v>
      </c>
      <c r="AV238">
        <v>0</v>
      </c>
      <c r="AW238">
        <v>8.8000000000000007</v>
      </c>
      <c r="AX238">
        <v>10</v>
      </c>
      <c r="AY238">
        <v>5</v>
      </c>
      <c r="AZ238">
        <v>0</v>
      </c>
      <c r="BA238">
        <v>2</v>
      </c>
      <c r="BB238">
        <v>2</v>
      </c>
      <c r="BC238">
        <v>5</v>
      </c>
      <c r="BD238" t="str">
        <f>CONCATENATE(Table9[[#This Row],[Match Number]],Table9[[#This Row],[Team]],Table9[[#This Row],[BOWL NUM]])</f>
        <v>15West Indies5</v>
      </c>
      <c r="BE238" t="str">
        <f>IFERROR(IF(AND(Table9[[#This Row],[Team]]=I_TEAM,IFERROR(IF(MATCH(Table9[[#This Row],[Bowler]],$AR$5:AR237,0)&gt;0,0),1)),1,0),"")</f>
        <v/>
      </c>
      <c r="BF238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23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238" t="e">
        <f>IF(Table9[[#This Row],[Team]]=I_TEAM,Table9[[#This Row],[Wickets]]*100-Table9[[#This Row],[Runs]],0)</f>
        <v>#REF!</v>
      </c>
      <c r="BI238">
        <f>Table9[[#This Row],[Wickets]]*100-Table9[[#This Row],[Runs]]</f>
        <v>-44</v>
      </c>
      <c r="BJ238">
        <f ca="1">IFERROR(IF(MATCH(Table9[[#This Row],[Bowler]],OFFSET(AR239,0,0,BOWLROWS-ROW(AR238)-ROW(Table9[[#Headers],[BOWLER CUML WICKETS]])),0)&gt;0,0,SUMIF($AR$6:AR238,Table9[[#This Row],[Bowler]],$AV$6:AV238)),SUMIF($AR$6:AR238,Table9[[#This Row],[Bowler]],$AV$6:AV238))</f>
        <v>0</v>
      </c>
      <c r="BK238">
        <f ca="1">IFERROR(IF(MATCH(Table9[[#This Row],[Bowler]],OFFSET(AR239,0,0,BOWLROWS-ROW(AR238)-ROW(Table9[[#Headers],[BOWLER CUML WICKETS]])),0)&gt;0,0,SUMIF($AR$6:AR238,Table9[[#This Row],[Bowler]],$AU$6:AU238)),SUMIF($AR$6:AR238,Table9[[#This Row],[Bowler]],$AU$6:AU238))</f>
        <v>0</v>
      </c>
      <c r="BL238">
        <f ca="1">Table9[[#This Row],[BOWLER CUML WICKETS]]*100-Table9[[#This Row],[BOWLER CUML RUNS]]</f>
        <v>0</v>
      </c>
    </row>
    <row r="239" spans="1:64" x14ac:dyDescent="0.3">
      <c r="A239">
        <v>7</v>
      </c>
      <c r="B239" t="s">
        <v>185</v>
      </c>
      <c r="C239" t="s">
        <v>483</v>
      </c>
      <c r="D239" t="s">
        <v>484</v>
      </c>
      <c r="E239">
        <v>44</v>
      </c>
      <c r="F239">
        <v>65</v>
      </c>
      <c r="G239">
        <v>43</v>
      </c>
      <c r="H239">
        <v>5</v>
      </c>
      <c r="I239">
        <v>0</v>
      </c>
      <c r="J239">
        <v>102.32</v>
      </c>
      <c r="K239">
        <v>6</v>
      </c>
      <c r="L239" t="str">
        <f>CONCATENATE(T_BATTINGDATA[[#This Row],[Match]],T_BATTINGDATA[[#This Row],[Team]],T_BATTINGDATA[[#This Row],[Bat Number]])</f>
        <v>7Afghanistan6</v>
      </c>
      <c r="M239" t="str">
        <f>IFERROR(IF(AND(T_BATTINGDATA[[#This Row],[Team]]=I_TEAM,IFERROR(IF(MATCH(T_BATTINGDATA[[#This Row],[BATSMAN NAME]],$O$5:O238,0)&gt;0,0),1)),1,0),"")</f>
        <v/>
      </c>
      <c r="N239" t="e">
        <f>IF(T_BATTINGDATA[[#This Row],[Team]]=I_TEAM,T_BATTINGDATA[[#This Row],[R]],0)</f>
        <v>#REF!</v>
      </c>
      <c r="O239" t="str">
        <f>LEFT(T_BATTINGDATA[[#This Row],[Batsman]],IFERROR(FIND("*",T_BATTINGDATA[[#This Row],[Batsman]])-1,IFERROR(FIND("†",T_BATTINGDATA[[#This Row],[Batsman]])-1,LEN(T_BATTINGDATA[[#This Row],[Batsman]]))))</f>
        <v>Mohammad Nabi</v>
      </c>
      <c r="P239">
        <f ca="1">IFERROR(IF(MATCH(T_BATTINGDATA[[#This Row],[BATSMAN NAME]],OFFSET(O240,0,0,BATROWS-ROW(O239)-ROW(T_BATTINGDATA[[#Headers],[BATSMAN NAME]])),0)&gt;0,0,SUMIF($O$6:O239,T_BATTINGDATA[[#This Row],[BATSMAN NAME]],$E$6:E239)),SUMIF($O$6:O239,T_BATTINGDATA[[#This Row],[BATSMAN NAME]],$E$6:E239))</f>
        <v>0</v>
      </c>
      <c r="AP239">
        <v>15</v>
      </c>
      <c r="AQ239" t="s">
        <v>170</v>
      </c>
      <c r="AR239" t="s">
        <v>302</v>
      </c>
      <c r="AS239">
        <v>1</v>
      </c>
      <c r="AT239">
        <v>0</v>
      </c>
      <c r="AU239">
        <v>8</v>
      </c>
      <c r="AV239">
        <v>0</v>
      </c>
      <c r="AW239">
        <v>8</v>
      </c>
      <c r="AX239">
        <v>2</v>
      </c>
      <c r="AY239">
        <v>1</v>
      </c>
      <c r="AZ239">
        <v>0</v>
      </c>
      <c r="BA239">
        <v>0</v>
      </c>
      <c r="BB239">
        <v>0</v>
      </c>
      <c r="BC239">
        <v>6</v>
      </c>
      <c r="BD239" t="str">
        <f>CONCATENATE(Table9[[#This Row],[Match Number]],Table9[[#This Row],[Team]],Table9[[#This Row],[BOWL NUM]])</f>
        <v>15West Indies6</v>
      </c>
      <c r="BE239" t="str">
        <f>IFERROR(IF(AND(Table9[[#This Row],[Team]]=I_TEAM,IFERROR(IF(MATCH(Table9[[#This Row],[Bowler]],$AR$5:AR238,0)&gt;0,0),1)),1,0),"")</f>
        <v/>
      </c>
      <c r="BF239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23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239" t="e">
        <f>IF(Table9[[#This Row],[Team]]=I_TEAM,Table9[[#This Row],[Wickets]]*100-Table9[[#This Row],[Runs]],0)</f>
        <v>#REF!</v>
      </c>
      <c r="BI239">
        <f>Table9[[#This Row],[Wickets]]*100-Table9[[#This Row],[Runs]]</f>
        <v>-8</v>
      </c>
      <c r="BJ239">
        <f ca="1">IFERROR(IF(MATCH(Table9[[#This Row],[Bowler]],OFFSET(AR240,0,0,BOWLROWS-ROW(AR239)-ROW(Table9[[#Headers],[BOWLER CUML WICKETS]])),0)&gt;0,0,SUMIF($AR$6:AR239,Table9[[#This Row],[Bowler]],$AV$6:AV239)),SUMIF($AR$6:AR239,Table9[[#This Row],[Bowler]],$AV$6:AV239))</f>
        <v>0</v>
      </c>
      <c r="BK239">
        <f ca="1">IFERROR(IF(MATCH(Table9[[#This Row],[Bowler]],OFFSET(AR240,0,0,BOWLROWS-ROW(AR239)-ROW(Table9[[#Headers],[BOWLER CUML WICKETS]])),0)&gt;0,0,SUMIF($AR$6:AR239,Table9[[#This Row],[Bowler]],$AU$6:AU239)),SUMIF($AR$6:AR239,Table9[[#This Row],[Bowler]],$AU$6:AU239))</f>
        <v>0</v>
      </c>
      <c r="BL239">
        <f ca="1">Table9[[#This Row],[BOWLER CUML WICKETS]]*100-Table9[[#This Row],[BOWLER CUML RUNS]]</f>
        <v>0</v>
      </c>
    </row>
    <row r="240" spans="1:64" x14ac:dyDescent="0.3">
      <c r="A240">
        <v>7</v>
      </c>
      <c r="B240" t="s">
        <v>185</v>
      </c>
      <c r="C240" t="s">
        <v>485</v>
      </c>
      <c r="D240" t="s">
        <v>486</v>
      </c>
      <c r="E240">
        <v>17</v>
      </c>
      <c r="F240">
        <v>49</v>
      </c>
      <c r="G240">
        <v>34</v>
      </c>
      <c r="H240">
        <v>1</v>
      </c>
      <c r="I240">
        <v>0</v>
      </c>
      <c r="J240">
        <v>50</v>
      </c>
      <c r="K240">
        <v>7</v>
      </c>
      <c r="L240" t="str">
        <f>CONCATENATE(T_BATTINGDATA[[#This Row],[Match]],T_BATTINGDATA[[#This Row],[Team]],T_BATTINGDATA[[#This Row],[Bat Number]])</f>
        <v>7Afghanistan7</v>
      </c>
      <c r="M240" t="str">
        <f>IFERROR(IF(AND(T_BATTINGDATA[[#This Row],[Team]]=I_TEAM,IFERROR(IF(MATCH(T_BATTINGDATA[[#This Row],[BATSMAN NAME]],$O$5:O239,0)&gt;0,0),1)),1,0),"")</f>
        <v/>
      </c>
      <c r="N240" t="e">
        <f>IF(T_BATTINGDATA[[#This Row],[Team]]=I_TEAM,T_BATTINGDATA[[#This Row],[R]],0)</f>
        <v>#REF!</v>
      </c>
      <c r="O240" t="str">
        <f>LEFT(T_BATTINGDATA[[#This Row],[Batsman]],IFERROR(FIND("*",T_BATTINGDATA[[#This Row],[Batsman]])-1,IFERROR(FIND("†",T_BATTINGDATA[[#This Row],[Batsman]])-1,LEN(T_BATTINGDATA[[#This Row],[Batsman]]))))</f>
        <v>Najibullah Zadran</v>
      </c>
      <c r="P240">
        <f ca="1">IFERROR(IF(MATCH(T_BATTINGDATA[[#This Row],[BATSMAN NAME]],OFFSET(O241,0,0,BATROWS-ROW(O240)-ROW(T_BATTINGDATA[[#Headers],[BATSMAN NAME]])),0)&gt;0,0,SUMIF($O$6:O240,T_BATTINGDATA[[#This Row],[BATSMAN NAME]],$E$6:E240)),SUMIF($O$6:O240,T_BATTINGDATA[[#This Row],[BATSMAN NAME]],$E$6:E240))</f>
        <v>0</v>
      </c>
      <c r="AP240">
        <v>15</v>
      </c>
      <c r="AQ240" t="s">
        <v>170</v>
      </c>
      <c r="AR240" t="s">
        <v>291</v>
      </c>
      <c r="AS240">
        <v>6</v>
      </c>
      <c r="AT240">
        <v>0</v>
      </c>
      <c r="AU240">
        <v>35</v>
      </c>
      <c r="AV240">
        <v>2</v>
      </c>
      <c r="AW240">
        <v>5.83</v>
      </c>
      <c r="AX240">
        <v>19</v>
      </c>
      <c r="AY240">
        <v>3</v>
      </c>
      <c r="AZ240">
        <v>1</v>
      </c>
      <c r="BA240">
        <v>2</v>
      </c>
      <c r="BB240">
        <v>0</v>
      </c>
      <c r="BC240">
        <v>7</v>
      </c>
      <c r="BD240" t="str">
        <f>CONCATENATE(Table9[[#This Row],[Match Number]],Table9[[#This Row],[Team]],Table9[[#This Row],[BOWL NUM]])</f>
        <v>15West Indies7</v>
      </c>
      <c r="BE240" t="str">
        <f>IFERROR(IF(AND(Table9[[#This Row],[Team]]=I_TEAM,IFERROR(IF(MATCH(Table9[[#This Row],[Bowler]],$AR$5:AR239,0)&gt;0,0),1)),1,0),"")</f>
        <v/>
      </c>
      <c r="BF240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24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240" t="e">
        <f>IF(Table9[[#This Row],[Team]]=I_TEAM,Table9[[#This Row],[Wickets]]*100-Table9[[#This Row],[Runs]],0)</f>
        <v>#REF!</v>
      </c>
      <c r="BI240">
        <f>Table9[[#This Row],[Wickets]]*100-Table9[[#This Row],[Runs]]</f>
        <v>165</v>
      </c>
      <c r="BJ240">
        <f ca="1">IFERROR(IF(MATCH(Table9[[#This Row],[Bowler]],OFFSET(AR241,0,0,BOWLROWS-ROW(AR240)-ROW(Table9[[#Headers],[BOWLER CUML WICKETS]])),0)&gt;0,0,SUMIF($AR$6:AR240,Table9[[#This Row],[Bowler]],$AV$6:AV240)),SUMIF($AR$6:AR240,Table9[[#This Row],[Bowler]],$AV$6:AV240))</f>
        <v>0</v>
      </c>
      <c r="BK240">
        <f ca="1">IFERROR(IF(MATCH(Table9[[#This Row],[Bowler]],OFFSET(AR241,0,0,BOWLROWS-ROW(AR240)-ROW(Table9[[#Headers],[BOWLER CUML WICKETS]])),0)&gt;0,0,SUMIF($AR$6:AR240,Table9[[#This Row],[Bowler]],$AU$6:AU240)),SUMIF($AR$6:AR240,Table9[[#This Row],[Bowler]],$AU$6:AU240))</f>
        <v>0</v>
      </c>
      <c r="BL240">
        <f ca="1">Table9[[#This Row],[BOWLER CUML WICKETS]]*100-Table9[[#This Row],[BOWLER CUML RUNS]]</f>
        <v>0</v>
      </c>
    </row>
    <row r="241" spans="1:64" x14ac:dyDescent="0.3">
      <c r="A241">
        <v>7</v>
      </c>
      <c r="B241" t="s">
        <v>185</v>
      </c>
      <c r="C241" t="s">
        <v>395</v>
      </c>
      <c r="D241" t="s">
        <v>487</v>
      </c>
      <c r="E241">
        <v>10</v>
      </c>
      <c r="F241">
        <v>17</v>
      </c>
      <c r="G241">
        <v>15</v>
      </c>
      <c r="H241">
        <v>0</v>
      </c>
      <c r="I241">
        <v>1</v>
      </c>
      <c r="J241">
        <v>66.66</v>
      </c>
      <c r="K241">
        <v>8</v>
      </c>
      <c r="L241" t="str">
        <f>CONCATENATE(T_BATTINGDATA[[#This Row],[Match]],T_BATTINGDATA[[#This Row],[Team]],T_BATTINGDATA[[#This Row],[Bat Number]])</f>
        <v>7Afghanistan8</v>
      </c>
      <c r="M241" t="str">
        <f>IFERROR(IF(AND(T_BATTINGDATA[[#This Row],[Team]]=I_TEAM,IFERROR(IF(MATCH(T_BATTINGDATA[[#This Row],[BATSMAN NAME]],$O$5:O240,0)&gt;0,0),1)),1,0),"")</f>
        <v/>
      </c>
      <c r="N241" t="e">
        <f>IF(T_BATTINGDATA[[#This Row],[Team]]=I_TEAM,T_BATTINGDATA[[#This Row],[R]],0)</f>
        <v>#REF!</v>
      </c>
      <c r="O241" t="str">
        <f>LEFT(T_BATTINGDATA[[#This Row],[Batsman]],IFERROR(FIND("*",T_BATTINGDATA[[#This Row],[Batsman]])-1,IFERROR(FIND("†",T_BATTINGDATA[[#This Row],[Batsman]])-1,LEN(T_BATTINGDATA[[#This Row],[Batsman]]))))</f>
        <v>Mirwais Ashraf</v>
      </c>
      <c r="P241">
        <f ca="1">IFERROR(IF(MATCH(T_BATTINGDATA[[#This Row],[BATSMAN NAME]],OFFSET(O242,0,0,BATROWS-ROW(O241)-ROW(T_BATTINGDATA[[#Headers],[BATSMAN NAME]])),0)&gt;0,0,SUMIF($O$6:O241,T_BATTINGDATA[[#This Row],[BATSMAN NAME]],$E$6:E241)),SUMIF($O$6:O241,T_BATTINGDATA[[#This Row],[BATSMAN NAME]],$E$6:E241))</f>
        <v>0</v>
      </c>
      <c r="AP241">
        <v>43</v>
      </c>
      <c r="AQ241" t="s">
        <v>141</v>
      </c>
      <c r="AR241" t="s">
        <v>142</v>
      </c>
      <c r="AS241">
        <v>7</v>
      </c>
      <c r="AT241">
        <v>2</v>
      </c>
      <c r="AU241">
        <v>18</v>
      </c>
      <c r="AV241">
        <v>1</v>
      </c>
      <c r="AW241">
        <v>2.57</v>
      </c>
      <c r="AX241">
        <v>30</v>
      </c>
      <c r="AY241">
        <v>1</v>
      </c>
      <c r="AZ241">
        <v>0</v>
      </c>
      <c r="BA241">
        <v>1</v>
      </c>
      <c r="BB241">
        <v>0</v>
      </c>
      <c r="BC241">
        <v>1</v>
      </c>
      <c r="BD241" t="str">
        <f>CONCATENATE(Table9[[#This Row],[Match Number]],Table9[[#This Row],[Team]],Table9[[#This Row],[BOWL NUM]])</f>
        <v>43South Africa1</v>
      </c>
      <c r="BE241" t="str">
        <f>IFERROR(IF(AND(Table9[[#This Row],[Team]]=I_TEAM,IFERROR(IF(MATCH(Table9[[#This Row],[Bowler]],$AR$5:AR240,0)&gt;0,0),1)),1,0),"")</f>
        <v/>
      </c>
      <c r="BF241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24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41" t="e">
        <f>IF(Table9[[#This Row],[Team]]=I_TEAM,Table9[[#This Row],[Wickets]]*100-Table9[[#This Row],[Runs]],0)</f>
        <v>#REF!</v>
      </c>
      <c r="BI241">
        <f>Table9[[#This Row],[Wickets]]*100-Table9[[#This Row],[Runs]]</f>
        <v>82</v>
      </c>
      <c r="BJ241">
        <f ca="1">IFERROR(IF(MATCH(Table9[[#This Row],[Bowler]],OFFSET(AR242,0,0,BOWLROWS-ROW(AR241)-ROW(Table9[[#Headers],[BOWLER CUML WICKETS]])),0)&gt;0,0,SUMIF($AR$6:AR241,Table9[[#This Row],[Bowler]],$AV$6:AV241)),SUMIF($AR$6:AR241,Table9[[#This Row],[Bowler]],$AV$6:AV241))</f>
        <v>0</v>
      </c>
      <c r="BK241">
        <f ca="1">IFERROR(IF(MATCH(Table9[[#This Row],[Bowler]],OFFSET(AR242,0,0,BOWLROWS-ROW(AR241)-ROW(Table9[[#Headers],[BOWLER CUML WICKETS]])),0)&gt;0,0,SUMIF($AR$6:AR241,Table9[[#This Row],[Bowler]],$AU$6:AU241)),SUMIF($AR$6:AR241,Table9[[#This Row],[Bowler]],$AU$6:AU241))</f>
        <v>0</v>
      </c>
      <c r="BL241">
        <f ca="1">Table9[[#This Row],[BOWLER CUML WICKETS]]*100-Table9[[#This Row],[BOWLER CUML RUNS]]</f>
        <v>0</v>
      </c>
    </row>
    <row r="242" spans="1:64" x14ac:dyDescent="0.3">
      <c r="A242">
        <v>7</v>
      </c>
      <c r="B242" t="s">
        <v>185</v>
      </c>
      <c r="C242" t="s">
        <v>393</v>
      </c>
      <c r="D242" t="s">
        <v>488</v>
      </c>
      <c r="E242">
        <v>14</v>
      </c>
      <c r="F242">
        <v>27</v>
      </c>
      <c r="G242">
        <v>12</v>
      </c>
      <c r="H242">
        <v>2</v>
      </c>
      <c r="I242">
        <v>1</v>
      </c>
      <c r="J242">
        <v>116.66</v>
      </c>
      <c r="K242">
        <v>9</v>
      </c>
      <c r="L242" t="str">
        <f>CONCATENATE(T_BATTINGDATA[[#This Row],[Match]],T_BATTINGDATA[[#This Row],[Team]],T_BATTINGDATA[[#This Row],[Bat Number]])</f>
        <v>7Afghanistan9</v>
      </c>
      <c r="M242" t="str">
        <f>IFERROR(IF(AND(T_BATTINGDATA[[#This Row],[Team]]=I_TEAM,IFERROR(IF(MATCH(T_BATTINGDATA[[#This Row],[BATSMAN NAME]],$O$5:O241,0)&gt;0,0),1)),1,0),"")</f>
        <v/>
      </c>
      <c r="N242" t="e">
        <f>IF(T_BATTINGDATA[[#This Row],[Team]]=I_TEAM,T_BATTINGDATA[[#This Row],[R]],0)</f>
        <v>#REF!</v>
      </c>
      <c r="O242" t="str">
        <f>LEFT(T_BATTINGDATA[[#This Row],[Batsman]],IFERROR(FIND("*",T_BATTINGDATA[[#This Row],[Batsman]])-1,IFERROR(FIND("†",T_BATTINGDATA[[#This Row],[Batsman]])-1,LEN(T_BATTINGDATA[[#This Row],[Batsman]]))))</f>
        <v>Aftab Alam</v>
      </c>
      <c r="P242">
        <f ca="1">IFERROR(IF(MATCH(T_BATTINGDATA[[#This Row],[BATSMAN NAME]],OFFSET(O243,0,0,BATROWS-ROW(O242)-ROW(T_BATTINGDATA[[#Headers],[BATSMAN NAME]])),0)&gt;0,0,SUMIF($O$6:O242,T_BATTINGDATA[[#This Row],[BATSMAN NAME]],$E$6:E242)),SUMIF($O$6:O242,T_BATTINGDATA[[#This Row],[BATSMAN NAME]],$E$6:E242))</f>
        <v>14</v>
      </c>
      <c r="AP242">
        <v>43</v>
      </c>
      <c r="AQ242" t="s">
        <v>141</v>
      </c>
      <c r="AR242" t="s">
        <v>489</v>
      </c>
      <c r="AS242">
        <v>6</v>
      </c>
      <c r="AT242">
        <v>1</v>
      </c>
      <c r="AU242">
        <v>27</v>
      </c>
      <c r="AV242">
        <v>1</v>
      </c>
      <c r="AW242">
        <v>4.5</v>
      </c>
      <c r="AX242">
        <v>26</v>
      </c>
      <c r="AY242">
        <v>4</v>
      </c>
      <c r="AZ242">
        <v>0</v>
      </c>
      <c r="BA242">
        <v>1</v>
      </c>
      <c r="BB242">
        <v>0</v>
      </c>
      <c r="BC242">
        <v>2</v>
      </c>
      <c r="BD242" t="str">
        <f>CONCATENATE(Table9[[#This Row],[Match Number]],Table9[[#This Row],[Team]],Table9[[#This Row],[BOWL NUM]])</f>
        <v>43South Africa2</v>
      </c>
      <c r="BE242" t="str">
        <f>IFERROR(IF(AND(Table9[[#This Row],[Team]]=I_TEAM,IFERROR(IF(MATCH(Table9[[#This Row],[Bowler]],$AR$5:AR241,0)&gt;0,0),1)),1,0),"")</f>
        <v/>
      </c>
      <c r="BF242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24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42" t="e">
        <f>IF(Table9[[#This Row],[Team]]=I_TEAM,Table9[[#This Row],[Wickets]]*100-Table9[[#This Row],[Runs]],0)</f>
        <v>#REF!</v>
      </c>
      <c r="BI242">
        <f>Table9[[#This Row],[Wickets]]*100-Table9[[#This Row],[Runs]]</f>
        <v>73</v>
      </c>
      <c r="BJ242">
        <f ca="1">IFERROR(IF(MATCH(Table9[[#This Row],[Bowler]],OFFSET(AR243,0,0,BOWLROWS-ROW(AR242)-ROW(Table9[[#Headers],[BOWLER CUML WICKETS]])),0)&gt;0,0,SUMIF($AR$6:AR242,Table9[[#This Row],[Bowler]],$AV$6:AV242)),SUMIF($AR$6:AR242,Table9[[#This Row],[Bowler]],$AV$6:AV242))</f>
        <v>0</v>
      </c>
      <c r="BK242">
        <f ca="1">IFERROR(IF(MATCH(Table9[[#This Row],[Bowler]],OFFSET(AR243,0,0,BOWLROWS-ROW(AR242)-ROW(Table9[[#Headers],[BOWLER CUML WICKETS]])),0)&gt;0,0,SUMIF($AR$6:AR242,Table9[[#This Row],[Bowler]],$AU$6:AU242)),SUMIF($AR$6:AR242,Table9[[#This Row],[Bowler]],$AU$6:AU242))</f>
        <v>0</v>
      </c>
      <c r="BL242">
        <f ca="1">Table9[[#This Row],[BOWLER CUML WICKETS]]*100-Table9[[#This Row],[BOWLER CUML RUNS]]</f>
        <v>0</v>
      </c>
    </row>
    <row r="243" spans="1:64" x14ac:dyDescent="0.3">
      <c r="A243">
        <v>7</v>
      </c>
      <c r="B243" t="s">
        <v>185</v>
      </c>
      <c r="C243" t="s">
        <v>389</v>
      </c>
      <c r="D243" t="s">
        <v>490</v>
      </c>
      <c r="E243">
        <v>0</v>
      </c>
      <c r="F243">
        <v>5</v>
      </c>
      <c r="G243">
        <v>5</v>
      </c>
      <c r="H243">
        <v>0</v>
      </c>
      <c r="I243">
        <v>0</v>
      </c>
      <c r="J243">
        <v>0</v>
      </c>
      <c r="K243">
        <v>10</v>
      </c>
      <c r="L243" t="str">
        <f>CONCATENATE(T_BATTINGDATA[[#This Row],[Match]],T_BATTINGDATA[[#This Row],[Team]],T_BATTINGDATA[[#This Row],[Bat Number]])</f>
        <v>7Afghanistan10</v>
      </c>
      <c r="M243" t="str">
        <f>IFERROR(IF(AND(T_BATTINGDATA[[#This Row],[Team]]=I_TEAM,IFERROR(IF(MATCH(T_BATTINGDATA[[#This Row],[BATSMAN NAME]],$O$5:O242,0)&gt;0,0),1)),1,0),"")</f>
        <v/>
      </c>
      <c r="N243" t="e">
        <f>IF(T_BATTINGDATA[[#This Row],[Team]]=I_TEAM,T_BATTINGDATA[[#This Row],[R]],0)</f>
        <v>#REF!</v>
      </c>
      <c r="O243" t="str">
        <f>LEFT(T_BATTINGDATA[[#This Row],[Batsman]],IFERROR(FIND("*",T_BATTINGDATA[[#This Row],[Batsman]])-1,IFERROR(FIND("†",T_BATTINGDATA[[#This Row],[Batsman]])-1,LEN(T_BATTINGDATA[[#This Row],[Batsman]]))))</f>
        <v>Hamid Hassan</v>
      </c>
      <c r="P243">
        <f ca="1">IFERROR(IF(MATCH(T_BATTINGDATA[[#This Row],[BATSMAN NAME]],OFFSET(O244,0,0,BATROWS-ROW(O243)-ROW(T_BATTINGDATA[[#Headers],[BATSMAN NAME]])),0)&gt;0,0,SUMIF($O$6:O243,T_BATTINGDATA[[#This Row],[BATSMAN NAME]],$E$6:E243)),SUMIF($O$6:O243,T_BATTINGDATA[[#This Row],[BATSMAN NAME]],$E$6:E243))</f>
        <v>0</v>
      </c>
      <c r="AP243">
        <v>43</v>
      </c>
      <c r="AQ243" t="s">
        <v>141</v>
      </c>
      <c r="AR243" t="s">
        <v>155</v>
      </c>
      <c r="AS243">
        <v>7</v>
      </c>
      <c r="AT243">
        <v>1</v>
      </c>
      <c r="AU243">
        <v>27</v>
      </c>
      <c r="AV243">
        <v>1</v>
      </c>
      <c r="AW243">
        <v>3.85</v>
      </c>
      <c r="AX243">
        <v>30</v>
      </c>
      <c r="AY243">
        <v>2</v>
      </c>
      <c r="AZ243">
        <v>0</v>
      </c>
      <c r="BA243">
        <v>1</v>
      </c>
      <c r="BB243">
        <v>2</v>
      </c>
      <c r="BC243">
        <v>3</v>
      </c>
      <c r="BD243" t="str">
        <f>CONCATENATE(Table9[[#This Row],[Match Number]],Table9[[#This Row],[Team]],Table9[[#This Row],[BOWL NUM]])</f>
        <v>43South Africa3</v>
      </c>
      <c r="BE243" t="str">
        <f>IFERROR(IF(AND(Table9[[#This Row],[Team]]=I_TEAM,IFERROR(IF(MATCH(Table9[[#This Row],[Bowler]],$AR$5:AR242,0)&gt;0,0),1)),1,0),"")</f>
        <v/>
      </c>
      <c r="BF243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24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43" t="e">
        <f>IF(Table9[[#This Row],[Team]]=I_TEAM,Table9[[#This Row],[Wickets]]*100-Table9[[#This Row],[Runs]],0)</f>
        <v>#REF!</v>
      </c>
      <c r="BI243">
        <f>Table9[[#This Row],[Wickets]]*100-Table9[[#This Row],[Runs]]</f>
        <v>73</v>
      </c>
      <c r="BJ243">
        <f ca="1">IFERROR(IF(MATCH(Table9[[#This Row],[Bowler]],OFFSET(AR244,0,0,BOWLROWS-ROW(AR243)-ROW(Table9[[#Headers],[BOWLER CUML WICKETS]])),0)&gt;0,0,SUMIF($AR$6:AR243,Table9[[#This Row],[Bowler]],$AV$6:AV243)),SUMIF($AR$6:AR243,Table9[[#This Row],[Bowler]],$AV$6:AV243))</f>
        <v>0</v>
      </c>
      <c r="BK243">
        <f ca="1">IFERROR(IF(MATCH(Table9[[#This Row],[Bowler]],OFFSET(AR244,0,0,BOWLROWS-ROW(AR243)-ROW(Table9[[#Headers],[BOWLER CUML WICKETS]])),0)&gt;0,0,SUMIF($AR$6:AR243,Table9[[#This Row],[Bowler]],$AU$6:AU243)),SUMIF($AR$6:AR243,Table9[[#This Row],[Bowler]],$AU$6:AU243))</f>
        <v>0</v>
      </c>
      <c r="BL243">
        <f ca="1">Table9[[#This Row],[BOWLER CUML WICKETS]]*100-Table9[[#This Row],[BOWLER CUML RUNS]]</f>
        <v>0</v>
      </c>
    </row>
    <row r="244" spans="1:64" x14ac:dyDescent="0.3">
      <c r="A244">
        <v>7</v>
      </c>
      <c r="B244" t="s">
        <v>185</v>
      </c>
      <c r="C244" t="s">
        <v>390</v>
      </c>
      <c r="D244" t="s">
        <v>167</v>
      </c>
      <c r="E244">
        <v>2</v>
      </c>
      <c r="F244">
        <v>7</v>
      </c>
      <c r="G244">
        <v>2</v>
      </c>
      <c r="H244">
        <v>0</v>
      </c>
      <c r="I244">
        <v>0</v>
      </c>
      <c r="J244">
        <v>100</v>
      </c>
      <c r="K244">
        <v>11</v>
      </c>
      <c r="L244" t="str">
        <f>CONCATENATE(T_BATTINGDATA[[#This Row],[Match]],T_BATTINGDATA[[#This Row],[Team]],T_BATTINGDATA[[#This Row],[Bat Number]])</f>
        <v>7Afghanistan11</v>
      </c>
      <c r="M244" t="str">
        <f>IFERROR(IF(AND(T_BATTINGDATA[[#This Row],[Team]]=I_TEAM,IFERROR(IF(MATCH(T_BATTINGDATA[[#This Row],[BATSMAN NAME]],$O$5:O243,0)&gt;0,0),1)),1,0),"")</f>
        <v/>
      </c>
      <c r="N244" t="e">
        <f>IF(T_BATTINGDATA[[#This Row],[Team]]=I_TEAM,T_BATTINGDATA[[#This Row],[R]],0)</f>
        <v>#REF!</v>
      </c>
      <c r="O244" t="str">
        <f>LEFT(T_BATTINGDATA[[#This Row],[Batsman]],IFERROR(FIND("*",T_BATTINGDATA[[#This Row],[Batsman]])-1,IFERROR(FIND("†",T_BATTINGDATA[[#This Row],[Batsman]])-1,LEN(T_BATTINGDATA[[#This Row],[Batsman]]))))</f>
        <v>Shapoor Zadran</v>
      </c>
      <c r="P244">
        <f ca="1">IFERROR(IF(MATCH(T_BATTINGDATA[[#This Row],[BATSMAN NAME]],OFFSET(O245,0,0,BATROWS-ROW(O244)-ROW(T_BATTINGDATA[[#Headers],[BATSMAN NAME]])),0)&gt;0,0,SUMIF($O$6:O244,T_BATTINGDATA[[#This Row],[BATSMAN NAME]],$E$6:E244)),SUMIF($O$6:O244,T_BATTINGDATA[[#This Row],[BATSMAN NAME]],$E$6:E244))</f>
        <v>0</v>
      </c>
      <c r="AP244">
        <v>43</v>
      </c>
      <c r="AQ244" t="s">
        <v>141</v>
      </c>
      <c r="AR244" t="s">
        <v>150</v>
      </c>
      <c r="AS244">
        <v>9</v>
      </c>
      <c r="AT244">
        <v>1</v>
      </c>
      <c r="AU244">
        <v>29</v>
      </c>
      <c r="AV244">
        <v>3</v>
      </c>
      <c r="AW244">
        <v>3.22</v>
      </c>
      <c r="AX244">
        <v>29</v>
      </c>
      <c r="AY244">
        <v>0</v>
      </c>
      <c r="AZ244">
        <v>0</v>
      </c>
      <c r="BA244">
        <v>2</v>
      </c>
      <c r="BB244">
        <v>0</v>
      </c>
      <c r="BC244">
        <v>4</v>
      </c>
      <c r="BD244" t="str">
        <f>CONCATENATE(Table9[[#This Row],[Match Number]],Table9[[#This Row],[Team]],Table9[[#This Row],[BOWL NUM]])</f>
        <v>43South Africa4</v>
      </c>
      <c r="BE244" t="str">
        <f>IFERROR(IF(AND(Table9[[#This Row],[Team]]=I_TEAM,IFERROR(IF(MATCH(Table9[[#This Row],[Bowler]],$AR$5:AR243,0)&gt;0,0),1)),1,0),"")</f>
        <v/>
      </c>
      <c r="BF244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4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44" t="e">
        <f>IF(Table9[[#This Row],[Team]]=I_TEAM,Table9[[#This Row],[Wickets]]*100-Table9[[#This Row],[Runs]],0)</f>
        <v>#REF!</v>
      </c>
      <c r="BI244">
        <f>Table9[[#This Row],[Wickets]]*100-Table9[[#This Row],[Runs]]</f>
        <v>271</v>
      </c>
      <c r="BJ244">
        <f ca="1">IFERROR(IF(MATCH(Table9[[#This Row],[Bowler]],OFFSET(AR245,0,0,BOWLROWS-ROW(AR244)-ROW(Table9[[#Headers],[BOWLER CUML WICKETS]])),0)&gt;0,0,SUMIF($AR$6:AR244,Table9[[#This Row],[Bowler]],$AV$6:AV244)),SUMIF($AR$6:AR244,Table9[[#This Row],[Bowler]],$AV$6:AV244))</f>
        <v>0</v>
      </c>
      <c r="BK244">
        <f ca="1">IFERROR(IF(MATCH(Table9[[#This Row],[Bowler]],OFFSET(AR245,0,0,BOWLROWS-ROW(AR244)-ROW(Table9[[#Headers],[BOWLER CUML WICKETS]])),0)&gt;0,0,SUMIF($AR$6:AR244,Table9[[#This Row],[Bowler]],$AU$6:AU244)),SUMIF($AR$6:AR244,Table9[[#This Row],[Bowler]],$AU$6:AU244))</f>
        <v>0</v>
      </c>
      <c r="BL244">
        <f ca="1">Table9[[#This Row],[BOWLER CUML WICKETS]]*100-Table9[[#This Row],[BOWLER CUML RUNS]]</f>
        <v>0</v>
      </c>
    </row>
    <row r="245" spans="1:64" x14ac:dyDescent="0.3">
      <c r="A245">
        <v>8</v>
      </c>
      <c r="B245" t="s">
        <v>164</v>
      </c>
      <c r="C245" t="s">
        <v>247</v>
      </c>
      <c r="D245" t="s">
        <v>413</v>
      </c>
      <c r="E245">
        <v>7</v>
      </c>
      <c r="F245">
        <v>23</v>
      </c>
      <c r="G245">
        <v>17</v>
      </c>
      <c r="H245">
        <v>1</v>
      </c>
      <c r="I245">
        <v>0</v>
      </c>
      <c r="J245">
        <v>41.17</v>
      </c>
      <c r="K245">
        <v>1</v>
      </c>
      <c r="L245" t="str">
        <f>CONCATENATE(T_BATTINGDATA[[#This Row],[Match]],T_BATTINGDATA[[#This Row],[Team]],T_BATTINGDATA[[#This Row],[Bat Number]])</f>
        <v>8UAE1</v>
      </c>
      <c r="M245" t="str">
        <f>IFERROR(IF(AND(T_BATTINGDATA[[#This Row],[Team]]=I_TEAM,IFERROR(IF(MATCH(T_BATTINGDATA[[#This Row],[BATSMAN NAME]],$O$5:O244,0)&gt;0,0),1)),1,0),"")</f>
        <v/>
      </c>
      <c r="N245" t="e">
        <f>IF(T_BATTINGDATA[[#This Row],[Team]]=I_TEAM,T_BATTINGDATA[[#This Row],[R]],0)</f>
        <v>#REF!</v>
      </c>
      <c r="O245" t="str">
        <f>LEFT(T_BATTINGDATA[[#This Row],[Batsman]],IFERROR(FIND("*",T_BATTINGDATA[[#This Row],[Batsman]])-1,IFERROR(FIND("†",T_BATTINGDATA[[#This Row],[Batsman]])-1,LEN(T_BATTINGDATA[[#This Row],[Batsman]]))))</f>
        <v>Amjad Ali</v>
      </c>
      <c r="P245">
        <f ca="1">IFERROR(IF(MATCH(T_BATTINGDATA[[#This Row],[BATSMAN NAME]],OFFSET(O246,0,0,BATROWS-ROW(O245)-ROW(T_BATTINGDATA[[#Headers],[BATSMAN NAME]])),0)&gt;0,0,SUMIF($O$6:O245,T_BATTINGDATA[[#This Row],[BATSMAN NAME]],$E$6:E245)),SUMIF($O$6:O245,T_BATTINGDATA[[#This Row],[BATSMAN NAME]],$E$6:E245))</f>
        <v>0</v>
      </c>
      <c r="AP245">
        <v>43</v>
      </c>
      <c r="AQ245" t="s">
        <v>141</v>
      </c>
      <c r="AR245" t="s">
        <v>159</v>
      </c>
      <c r="AS245">
        <v>8.1999999999999993</v>
      </c>
      <c r="AT245">
        <v>0</v>
      </c>
      <c r="AU245">
        <v>26</v>
      </c>
      <c r="AV245">
        <v>4</v>
      </c>
      <c r="AW245">
        <v>3.12</v>
      </c>
      <c r="AX245">
        <v>34</v>
      </c>
      <c r="AY245">
        <v>2</v>
      </c>
      <c r="AZ245">
        <v>0</v>
      </c>
      <c r="BA245">
        <v>1</v>
      </c>
      <c r="BB245">
        <v>0</v>
      </c>
      <c r="BC245">
        <v>5</v>
      </c>
      <c r="BD245" t="str">
        <f>CONCATENATE(Table9[[#This Row],[Match Number]],Table9[[#This Row],[Team]],Table9[[#This Row],[BOWL NUM]])</f>
        <v>43South Africa5</v>
      </c>
      <c r="BE245" t="str">
        <f>IFERROR(IF(AND(Table9[[#This Row],[Team]]=I_TEAM,IFERROR(IF(MATCH(Table9[[#This Row],[Bowler]],$AR$5:AR244,0)&gt;0,0),1)),1,0),"")</f>
        <v/>
      </c>
      <c r="BF245">
        <f>(LEFT(Table9[[#This Row],[Overs]],IFERROR(FIND(".",Table9[[#This Row],[Overs]])-1,LEN(Table9[[#This Row],[Overs]])))*6) + IFERROR(IF(FIND(".",Table9[[#This Row],[Overs]])+1&gt;0,RIGHT(Table9[[#This Row],[Overs]],1),0),0)</f>
        <v>50</v>
      </c>
      <c r="BG24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45" t="e">
        <f>IF(Table9[[#This Row],[Team]]=I_TEAM,Table9[[#This Row],[Wickets]]*100-Table9[[#This Row],[Runs]],0)</f>
        <v>#REF!</v>
      </c>
      <c r="BI245">
        <f>Table9[[#This Row],[Wickets]]*100-Table9[[#This Row],[Runs]]</f>
        <v>374</v>
      </c>
      <c r="BJ245">
        <f ca="1">IFERROR(IF(MATCH(Table9[[#This Row],[Bowler]],OFFSET(AR246,0,0,BOWLROWS-ROW(AR245)-ROW(Table9[[#Headers],[BOWLER CUML WICKETS]])),0)&gt;0,0,SUMIF($AR$6:AR245,Table9[[#This Row],[Bowler]],$AV$6:AV245)),SUMIF($AR$6:AR245,Table9[[#This Row],[Bowler]],$AV$6:AV245))</f>
        <v>0</v>
      </c>
      <c r="BK245">
        <f ca="1">IFERROR(IF(MATCH(Table9[[#This Row],[Bowler]],OFFSET(AR246,0,0,BOWLROWS-ROW(AR245)-ROW(Table9[[#Headers],[BOWLER CUML WICKETS]])),0)&gt;0,0,SUMIF($AR$6:AR245,Table9[[#This Row],[Bowler]],$AU$6:AU245)),SUMIF($AR$6:AR245,Table9[[#This Row],[Bowler]],$AU$6:AU245))</f>
        <v>0</v>
      </c>
      <c r="BL245">
        <f ca="1">Table9[[#This Row],[BOWLER CUML WICKETS]]*100-Table9[[#This Row],[BOWLER CUML RUNS]]</f>
        <v>0</v>
      </c>
    </row>
    <row r="246" spans="1:64" x14ac:dyDescent="0.3">
      <c r="A246">
        <v>8</v>
      </c>
      <c r="B246" t="s">
        <v>164</v>
      </c>
      <c r="C246" t="s">
        <v>250</v>
      </c>
      <c r="D246" t="s">
        <v>491</v>
      </c>
      <c r="E246">
        <v>22</v>
      </c>
      <c r="F246">
        <v>46</v>
      </c>
      <c r="G246">
        <v>36</v>
      </c>
      <c r="H246">
        <v>3</v>
      </c>
      <c r="I246">
        <v>0</v>
      </c>
      <c r="J246">
        <v>61.11</v>
      </c>
      <c r="K246">
        <v>2</v>
      </c>
      <c r="L246" t="str">
        <f>CONCATENATE(T_BATTINGDATA[[#This Row],[Match]],T_BATTINGDATA[[#This Row],[Team]],T_BATTINGDATA[[#This Row],[Bat Number]])</f>
        <v>8UAE2</v>
      </c>
      <c r="M246" t="str">
        <f>IFERROR(IF(AND(T_BATTINGDATA[[#This Row],[Team]]=I_TEAM,IFERROR(IF(MATCH(T_BATTINGDATA[[#This Row],[BATSMAN NAME]],$O$5:O245,0)&gt;0,0),1)),1,0),"")</f>
        <v/>
      </c>
      <c r="N246" t="e">
        <f>IF(T_BATTINGDATA[[#This Row],[Team]]=I_TEAM,T_BATTINGDATA[[#This Row],[R]],0)</f>
        <v>#REF!</v>
      </c>
      <c r="O246" t="str">
        <f>LEFT(T_BATTINGDATA[[#This Row],[Batsman]],IFERROR(FIND("*",T_BATTINGDATA[[#This Row],[Batsman]])-1,IFERROR(FIND("†",T_BATTINGDATA[[#This Row],[Batsman]])-1,LEN(T_BATTINGDATA[[#This Row],[Batsman]]))))</f>
        <v>AR Berenger</v>
      </c>
      <c r="P246">
        <f ca="1">IFERROR(IF(MATCH(T_BATTINGDATA[[#This Row],[BATSMAN NAME]],OFFSET(O247,0,0,BATROWS-ROW(O246)-ROW(T_BATTINGDATA[[#Headers],[BATSMAN NAME]])),0)&gt;0,0,SUMIF($O$6:O246,T_BATTINGDATA[[#This Row],[BATSMAN NAME]],$E$6:E246)),SUMIF($O$6:O246,T_BATTINGDATA[[#This Row],[BATSMAN NAME]],$E$6:E246))</f>
        <v>0</v>
      </c>
      <c r="AP246">
        <v>43</v>
      </c>
      <c r="AQ246" t="s">
        <v>145</v>
      </c>
      <c r="AR246" t="s">
        <v>287</v>
      </c>
      <c r="AS246">
        <v>6</v>
      </c>
      <c r="AT246">
        <v>0</v>
      </c>
      <c r="AU246">
        <v>43</v>
      </c>
      <c r="AV246">
        <v>1</v>
      </c>
      <c r="AW246">
        <v>7.16</v>
      </c>
      <c r="AX246">
        <v>21</v>
      </c>
      <c r="AY246">
        <v>4</v>
      </c>
      <c r="AZ246">
        <v>0</v>
      </c>
      <c r="BA246">
        <v>3</v>
      </c>
      <c r="BB246">
        <v>2</v>
      </c>
      <c r="BC246">
        <v>1</v>
      </c>
      <c r="BD246" t="str">
        <f>CONCATENATE(Table9[[#This Row],[Match Number]],Table9[[#This Row],[Team]],Table9[[#This Row],[BOWL NUM]])</f>
        <v>43Sri Lanka1</v>
      </c>
      <c r="BE246" t="str">
        <f>IFERROR(IF(AND(Table9[[#This Row],[Team]]=I_TEAM,IFERROR(IF(MATCH(Table9[[#This Row],[Bowler]],$AR$5:AR245,0)&gt;0,0),1)),1,0),"")</f>
        <v/>
      </c>
      <c r="BF246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24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46" t="e">
        <f>IF(Table9[[#This Row],[Team]]=I_TEAM,Table9[[#This Row],[Wickets]]*100-Table9[[#This Row],[Runs]],0)</f>
        <v>#REF!</v>
      </c>
      <c r="BI246">
        <f>Table9[[#This Row],[Wickets]]*100-Table9[[#This Row],[Runs]]</f>
        <v>57</v>
      </c>
      <c r="BJ246">
        <f ca="1">IFERROR(IF(MATCH(Table9[[#This Row],[Bowler]],OFFSET(AR247,0,0,BOWLROWS-ROW(AR246)-ROW(Table9[[#Headers],[BOWLER CUML WICKETS]])),0)&gt;0,0,SUMIF($AR$6:AR246,Table9[[#This Row],[Bowler]],$AV$6:AV246)),SUMIF($AR$6:AR246,Table9[[#This Row],[Bowler]],$AV$6:AV246))</f>
        <v>0</v>
      </c>
      <c r="BK246">
        <f ca="1">IFERROR(IF(MATCH(Table9[[#This Row],[Bowler]],OFFSET(AR247,0,0,BOWLROWS-ROW(AR246)-ROW(Table9[[#Headers],[BOWLER CUML WICKETS]])),0)&gt;0,0,SUMIF($AR$6:AR246,Table9[[#This Row],[Bowler]],$AU$6:AU246)),SUMIF($AR$6:AR246,Table9[[#This Row],[Bowler]],$AU$6:AU246))</f>
        <v>0</v>
      </c>
      <c r="BL246">
        <f ca="1">Table9[[#This Row],[BOWLER CUML WICKETS]]*100-Table9[[#This Row],[BOWLER CUML RUNS]]</f>
        <v>0</v>
      </c>
    </row>
    <row r="247" spans="1:64" x14ac:dyDescent="0.3">
      <c r="A247">
        <v>8</v>
      </c>
      <c r="B247" t="s">
        <v>164</v>
      </c>
      <c r="C247" t="s">
        <v>230</v>
      </c>
      <c r="D247" t="s">
        <v>492</v>
      </c>
      <c r="E247">
        <v>34</v>
      </c>
      <c r="F247">
        <v>86</v>
      </c>
      <c r="G247">
        <v>63</v>
      </c>
      <c r="H247">
        <v>3</v>
      </c>
      <c r="I247">
        <v>0</v>
      </c>
      <c r="J247">
        <v>53.96</v>
      </c>
      <c r="K247">
        <v>3</v>
      </c>
      <c r="L247" t="str">
        <f>CONCATENATE(T_BATTINGDATA[[#This Row],[Match]],T_BATTINGDATA[[#This Row],[Team]],T_BATTINGDATA[[#This Row],[Bat Number]])</f>
        <v>8UAE3</v>
      </c>
      <c r="M247" t="str">
        <f>IFERROR(IF(AND(T_BATTINGDATA[[#This Row],[Team]]=I_TEAM,IFERROR(IF(MATCH(T_BATTINGDATA[[#This Row],[BATSMAN NAME]],$O$5:O246,0)&gt;0,0),1)),1,0),"")</f>
        <v/>
      </c>
      <c r="N247" t="e">
        <f>IF(T_BATTINGDATA[[#This Row],[Team]]=I_TEAM,T_BATTINGDATA[[#This Row],[R]],0)</f>
        <v>#REF!</v>
      </c>
      <c r="O247" t="str">
        <f>LEFT(T_BATTINGDATA[[#This Row],[Batsman]],IFERROR(FIND("*",T_BATTINGDATA[[#This Row],[Batsman]])-1,IFERROR(FIND("†",T_BATTINGDATA[[#This Row],[Batsman]])-1,LEN(T_BATTINGDATA[[#This Row],[Batsman]]))))</f>
        <v>Krishna Chandran</v>
      </c>
      <c r="P247">
        <f ca="1">IFERROR(IF(MATCH(T_BATTINGDATA[[#This Row],[BATSMAN NAME]],OFFSET(O248,0,0,BATROWS-ROW(O247)-ROW(T_BATTINGDATA[[#Headers],[BATSMAN NAME]])),0)&gt;0,0,SUMIF($O$6:O247,T_BATTINGDATA[[#This Row],[BATSMAN NAME]],$E$6:E247)),SUMIF($O$6:O247,T_BATTINGDATA[[#This Row],[BATSMAN NAME]],$E$6:E247))</f>
        <v>0</v>
      </c>
      <c r="AP247">
        <v>43</v>
      </c>
      <c r="AQ247" t="s">
        <v>145</v>
      </c>
      <c r="AR247" t="s">
        <v>290</v>
      </c>
      <c r="AS247">
        <v>2</v>
      </c>
      <c r="AT247">
        <v>0</v>
      </c>
      <c r="AU247">
        <v>10</v>
      </c>
      <c r="AV247">
        <v>0</v>
      </c>
      <c r="AW247">
        <v>5</v>
      </c>
      <c r="AX247">
        <v>5</v>
      </c>
      <c r="AY247">
        <v>0</v>
      </c>
      <c r="AZ247">
        <v>0</v>
      </c>
      <c r="BA247">
        <v>0</v>
      </c>
      <c r="BB247">
        <v>0</v>
      </c>
      <c r="BC247">
        <v>2</v>
      </c>
      <c r="BD247" t="str">
        <f>CONCATENATE(Table9[[#This Row],[Match Number]],Table9[[#This Row],[Team]],Table9[[#This Row],[BOWL NUM]])</f>
        <v>43Sri Lanka2</v>
      </c>
      <c r="BE247" t="str">
        <f>IFERROR(IF(AND(Table9[[#This Row],[Team]]=I_TEAM,IFERROR(IF(MATCH(Table9[[#This Row],[Bowler]],$AR$5:AR246,0)&gt;0,0),1)),1,0),"")</f>
        <v/>
      </c>
      <c r="BF247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24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47" t="e">
        <f>IF(Table9[[#This Row],[Team]]=I_TEAM,Table9[[#This Row],[Wickets]]*100-Table9[[#This Row],[Runs]],0)</f>
        <v>#REF!</v>
      </c>
      <c r="BI247">
        <f>Table9[[#This Row],[Wickets]]*100-Table9[[#This Row],[Runs]]</f>
        <v>-10</v>
      </c>
      <c r="BJ247">
        <f ca="1">IFERROR(IF(MATCH(Table9[[#This Row],[Bowler]],OFFSET(AR248,0,0,BOWLROWS-ROW(AR247)-ROW(Table9[[#Headers],[BOWLER CUML WICKETS]])),0)&gt;0,0,SUMIF($AR$6:AR247,Table9[[#This Row],[Bowler]],$AV$6:AV247)),SUMIF($AR$6:AR247,Table9[[#This Row],[Bowler]],$AV$6:AV247))</f>
        <v>0</v>
      </c>
      <c r="BK247">
        <f ca="1">IFERROR(IF(MATCH(Table9[[#This Row],[Bowler]],OFFSET(AR248,0,0,BOWLROWS-ROW(AR247)-ROW(Table9[[#Headers],[BOWLER CUML WICKETS]])),0)&gt;0,0,SUMIF($AR$6:AR247,Table9[[#This Row],[Bowler]],$AU$6:AU247)),SUMIF($AR$6:AR247,Table9[[#This Row],[Bowler]],$AU$6:AU247))</f>
        <v>0</v>
      </c>
      <c r="BL247">
        <f ca="1">Table9[[#This Row],[BOWLER CUML WICKETS]]*100-Table9[[#This Row],[BOWLER CUML RUNS]]</f>
        <v>0</v>
      </c>
    </row>
    <row r="248" spans="1:64" x14ac:dyDescent="0.3">
      <c r="A248">
        <v>8</v>
      </c>
      <c r="B248" t="s">
        <v>164</v>
      </c>
      <c r="C248" t="s">
        <v>252</v>
      </c>
      <c r="D248" t="s">
        <v>493</v>
      </c>
      <c r="E248">
        <v>45</v>
      </c>
      <c r="F248">
        <v>77</v>
      </c>
      <c r="G248">
        <v>55</v>
      </c>
      <c r="H248">
        <v>6</v>
      </c>
      <c r="I248">
        <v>0</v>
      </c>
      <c r="J248">
        <v>81.81</v>
      </c>
      <c r="K248">
        <v>4</v>
      </c>
      <c r="L248" t="str">
        <f>CONCATENATE(T_BATTINGDATA[[#This Row],[Match]],T_BATTINGDATA[[#This Row],[Team]],T_BATTINGDATA[[#This Row],[Bat Number]])</f>
        <v>8UAE4</v>
      </c>
      <c r="M248" t="str">
        <f>IFERROR(IF(AND(T_BATTINGDATA[[#This Row],[Team]]=I_TEAM,IFERROR(IF(MATCH(T_BATTINGDATA[[#This Row],[BATSMAN NAME]],$O$5:O247,0)&gt;0,0),1)),1,0),"")</f>
        <v/>
      </c>
      <c r="N248" t="e">
        <f>IF(T_BATTINGDATA[[#This Row],[Team]]=I_TEAM,T_BATTINGDATA[[#This Row],[R]],0)</f>
        <v>#REF!</v>
      </c>
      <c r="O248" t="str">
        <f>LEFT(T_BATTINGDATA[[#This Row],[Batsman]],IFERROR(FIND("*",T_BATTINGDATA[[#This Row],[Batsman]])-1,IFERROR(FIND("†",T_BATTINGDATA[[#This Row],[Batsman]])-1,LEN(T_BATTINGDATA[[#This Row],[Batsman]]))))</f>
        <v>Khurram Khan</v>
      </c>
      <c r="P248">
        <f ca="1">IFERROR(IF(MATCH(T_BATTINGDATA[[#This Row],[BATSMAN NAME]],OFFSET(O249,0,0,BATROWS-ROW(O248)-ROW(T_BATTINGDATA[[#Headers],[BATSMAN NAME]])),0)&gt;0,0,SUMIF($O$6:O248,T_BATTINGDATA[[#This Row],[BATSMAN NAME]],$E$6:E248)),SUMIF($O$6:O248,T_BATTINGDATA[[#This Row],[BATSMAN NAME]],$E$6:E248))</f>
        <v>0</v>
      </c>
      <c r="AP248">
        <v>43</v>
      </c>
      <c r="AQ248" t="s">
        <v>145</v>
      </c>
      <c r="AR248" t="s">
        <v>285</v>
      </c>
      <c r="AS248">
        <v>1</v>
      </c>
      <c r="AT248">
        <v>0</v>
      </c>
      <c r="AU248">
        <v>13</v>
      </c>
      <c r="AV248">
        <v>0</v>
      </c>
      <c r="AW248">
        <v>13</v>
      </c>
      <c r="AX248">
        <v>2</v>
      </c>
      <c r="AY248">
        <v>3</v>
      </c>
      <c r="AZ248">
        <v>0</v>
      </c>
      <c r="BA248">
        <v>0</v>
      </c>
      <c r="BB248">
        <v>0</v>
      </c>
      <c r="BC248">
        <v>3</v>
      </c>
      <c r="BD248" t="str">
        <f>CONCATENATE(Table9[[#This Row],[Match Number]],Table9[[#This Row],[Team]],Table9[[#This Row],[BOWL NUM]])</f>
        <v>43Sri Lanka3</v>
      </c>
      <c r="BE248" t="str">
        <f>IFERROR(IF(AND(Table9[[#This Row],[Team]]=I_TEAM,IFERROR(IF(MATCH(Table9[[#This Row],[Bowler]],$AR$5:AR247,0)&gt;0,0),1)),1,0),"")</f>
        <v/>
      </c>
      <c r="BF248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24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48" t="e">
        <f>IF(Table9[[#This Row],[Team]]=I_TEAM,Table9[[#This Row],[Wickets]]*100-Table9[[#This Row],[Runs]],0)</f>
        <v>#REF!</v>
      </c>
      <c r="BI248">
        <f>Table9[[#This Row],[Wickets]]*100-Table9[[#This Row],[Runs]]</f>
        <v>-13</v>
      </c>
      <c r="BJ248">
        <f ca="1">IFERROR(IF(MATCH(Table9[[#This Row],[Bowler]],OFFSET(AR249,0,0,BOWLROWS-ROW(AR248)-ROW(Table9[[#Headers],[BOWLER CUML WICKETS]])),0)&gt;0,0,SUMIF($AR$6:AR248,Table9[[#This Row],[Bowler]],$AV$6:AV248)),SUMIF($AR$6:AR248,Table9[[#This Row],[Bowler]],$AV$6:AV248))</f>
        <v>0</v>
      </c>
      <c r="BK248">
        <f ca="1">IFERROR(IF(MATCH(Table9[[#This Row],[Bowler]],OFFSET(AR249,0,0,BOWLROWS-ROW(AR248)-ROW(Table9[[#Headers],[BOWLER CUML WICKETS]])),0)&gt;0,0,SUMIF($AR$6:AR248,Table9[[#This Row],[Bowler]],$AU$6:AU248)),SUMIF($AR$6:AR248,Table9[[#This Row],[Bowler]],$AU$6:AU248))</f>
        <v>0</v>
      </c>
      <c r="BL248">
        <f ca="1">Table9[[#This Row],[BOWLER CUML WICKETS]]*100-Table9[[#This Row],[BOWLER CUML RUNS]]</f>
        <v>0</v>
      </c>
    </row>
    <row r="249" spans="1:64" x14ac:dyDescent="0.3">
      <c r="A249">
        <v>8</v>
      </c>
      <c r="B249" t="s">
        <v>164</v>
      </c>
      <c r="C249" t="s">
        <v>253</v>
      </c>
      <c r="D249" t="s">
        <v>494</v>
      </c>
      <c r="E249">
        <v>32</v>
      </c>
      <c r="F249">
        <v>59</v>
      </c>
      <c r="G249">
        <v>38</v>
      </c>
      <c r="H249">
        <v>4</v>
      </c>
      <c r="I249">
        <v>0</v>
      </c>
      <c r="J249">
        <v>84.21</v>
      </c>
      <c r="K249">
        <v>5</v>
      </c>
      <c r="L249" t="str">
        <f>CONCATENATE(T_BATTINGDATA[[#This Row],[Match]],T_BATTINGDATA[[#This Row],[Team]],T_BATTINGDATA[[#This Row],[Bat Number]])</f>
        <v>8UAE5</v>
      </c>
      <c r="M249" t="str">
        <f>IFERROR(IF(AND(T_BATTINGDATA[[#This Row],[Team]]=I_TEAM,IFERROR(IF(MATCH(T_BATTINGDATA[[#This Row],[BATSMAN NAME]],$O$5:O248,0)&gt;0,0),1)),1,0),"")</f>
        <v/>
      </c>
      <c r="N249" t="e">
        <f>IF(T_BATTINGDATA[[#This Row],[Team]]=I_TEAM,T_BATTINGDATA[[#This Row],[R]],0)</f>
        <v>#REF!</v>
      </c>
      <c r="O249" t="str">
        <f>LEFT(T_BATTINGDATA[[#This Row],[Batsman]],IFERROR(FIND("*",T_BATTINGDATA[[#This Row],[Batsman]])-1,IFERROR(FIND("†",T_BATTINGDATA[[#This Row],[Batsman]])-1,LEN(T_BATTINGDATA[[#This Row],[Batsman]]))))</f>
        <v>SP Patil</v>
      </c>
      <c r="P249">
        <f ca="1">IFERROR(IF(MATCH(T_BATTINGDATA[[#This Row],[BATSMAN NAME]],OFFSET(O250,0,0,BATROWS-ROW(O249)-ROW(T_BATTINGDATA[[#Headers],[BATSMAN NAME]])),0)&gt;0,0,SUMIF($O$6:O249,T_BATTINGDATA[[#This Row],[BATSMAN NAME]],$E$6:E249)),SUMIF($O$6:O249,T_BATTINGDATA[[#This Row],[BATSMAN NAME]],$E$6:E249))</f>
        <v>0</v>
      </c>
      <c r="AP249">
        <v>43</v>
      </c>
      <c r="AQ249" t="s">
        <v>145</v>
      </c>
      <c r="AR249" t="s">
        <v>495</v>
      </c>
      <c r="AS249">
        <v>6</v>
      </c>
      <c r="AT249">
        <v>0</v>
      </c>
      <c r="AU249">
        <v>25</v>
      </c>
      <c r="AV249">
        <v>0</v>
      </c>
      <c r="AW249">
        <v>4.16</v>
      </c>
      <c r="AX249">
        <v>22</v>
      </c>
      <c r="AY249">
        <v>1</v>
      </c>
      <c r="AZ249">
        <v>0</v>
      </c>
      <c r="BA249">
        <v>0</v>
      </c>
      <c r="BB249">
        <v>0</v>
      </c>
      <c r="BC249">
        <v>4</v>
      </c>
      <c r="BD249" t="str">
        <f>CONCATENATE(Table9[[#This Row],[Match Number]],Table9[[#This Row],[Team]],Table9[[#This Row],[BOWL NUM]])</f>
        <v>43Sri Lanka4</v>
      </c>
      <c r="BE249" t="str">
        <f>IFERROR(IF(AND(Table9[[#This Row],[Team]]=I_TEAM,IFERROR(IF(MATCH(Table9[[#This Row],[Bowler]],$AR$5:AR248,0)&gt;0,0),1)),1,0),"")</f>
        <v/>
      </c>
      <c r="BF249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24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49" t="e">
        <f>IF(Table9[[#This Row],[Team]]=I_TEAM,Table9[[#This Row],[Wickets]]*100-Table9[[#This Row],[Runs]],0)</f>
        <v>#REF!</v>
      </c>
      <c r="BI249">
        <f>Table9[[#This Row],[Wickets]]*100-Table9[[#This Row],[Runs]]</f>
        <v>-25</v>
      </c>
      <c r="BJ249">
        <f ca="1">IFERROR(IF(MATCH(Table9[[#This Row],[Bowler]],OFFSET(AR250,0,0,BOWLROWS-ROW(AR249)-ROW(Table9[[#Headers],[BOWLER CUML WICKETS]])),0)&gt;0,0,SUMIF($AR$6:AR249,Table9[[#This Row],[Bowler]],$AV$6:AV249)),SUMIF($AR$6:AR249,Table9[[#This Row],[Bowler]],$AV$6:AV249))</f>
        <v>0</v>
      </c>
      <c r="BK249">
        <f ca="1">IFERROR(IF(MATCH(Table9[[#This Row],[Bowler]],OFFSET(AR250,0,0,BOWLROWS-ROW(AR249)-ROW(Table9[[#Headers],[BOWLER CUML WICKETS]])),0)&gt;0,0,SUMIF($AR$6:AR249,Table9[[#This Row],[Bowler]],$AU$6:AU249)),SUMIF($AR$6:AR249,Table9[[#This Row],[Bowler]],$AU$6:AU249))</f>
        <v>25</v>
      </c>
      <c r="BL249">
        <f ca="1">Table9[[#This Row],[BOWLER CUML WICKETS]]*100-Table9[[#This Row],[BOWLER CUML RUNS]]</f>
        <v>-25</v>
      </c>
    </row>
    <row r="250" spans="1:64" x14ac:dyDescent="0.3">
      <c r="A250">
        <v>8</v>
      </c>
      <c r="B250" t="s">
        <v>164</v>
      </c>
      <c r="C250" t="s">
        <v>255</v>
      </c>
      <c r="D250" t="s">
        <v>496</v>
      </c>
      <c r="E250">
        <v>67</v>
      </c>
      <c r="F250">
        <v>59</v>
      </c>
      <c r="G250">
        <v>50</v>
      </c>
      <c r="H250">
        <v>9</v>
      </c>
      <c r="I250">
        <v>1</v>
      </c>
      <c r="J250">
        <v>134</v>
      </c>
      <c r="K250">
        <v>6</v>
      </c>
      <c r="L250" t="str">
        <f>CONCATENATE(T_BATTINGDATA[[#This Row],[Match]],T_BATTINGDATA[[#This Row],[Team]],T_BATTINGDATA[[#This Row],[Bat Number]])</f>
        <v>8UAE6</v>
      </c>
      <c r="M250" t="str">
        <f>IFERROR(IF(AND(T_BATTINGDATA[[#This Row],[Team]]=I_TEAM,IFERROR(IF(MATCH(T_BATTINGDATA[[#This Row],[BATSMAN NAME]],$O$5:O249,0)&gt;0,0),1)),1,0),"")</f>
        <v/>
      </c>
      <c r="N250" t="e">
        <f>IF(T_BATTINGDATA[[#This Row],[Team]]=I_TEAM,T_BATTINGDATA[[#This Row],[R]],0)</f>
        <v>#REF!</v>
      </c>
      <c r="O250" t="str">
        <f>LEFT(T_BATTINGDATA[[#This Row],[Batsman]],IFERROR(FIND("*",T_BATTINGDATA[[#This Row],[Batsman]])-1,IFERROR(FIND("†",T_BATTINGDATA[[#This Row],[Batsman]])-1,LEN(T_BATTINGDATA[[#This Row],[Batsman]]))))</f>
        <v>Shaiman Anwar</v>
      </c>
      <c r="P250">
        <f ca="1">IFERROR(IF(MATCH(T_BATTINGDATA[[#This Row],[BATSMAN NAME]],OFFSET(O251,0,0,BATROWS-ROW(O250)-ROW(T_BATTINGDATA[[#Headers],[BATSMAN NAME]])),0)&gt;0,0,SUMIF($O$6:O250,T_BATTINGDATA[[#This Row],[BATSMAN NAME]],$E$6:E250)),SUMIF($O$6:O250,T_BATTINGDATA[[#This Row],[BATSMAN NAME]],$E$6:E250))</f>
        <v>0</v>
      </c>
      <c r="AP250">
        <v>43</v>
      </c>
      <c r="AQ250" t="s">
        <v>145</v>
      </c>
      <c r="AR250" t="s">
        <v>497</v>
      </c>
      <c r="AS250">
        <v>2</v>
      </c>
      <c r="AT250">
        <v>0</v>
      </c>
      <c r="AU250">
        <v>29</v>
      </c>
      <c r="AV250">
        <v>0</v>
      </c>
      <c r="AW250">
        <v>14.5</v>
      </c>
      <c r="AX250">
        <v>3</v>
      </c>
      <c r="AY250">
        <v>3</v>
      </c>
      <c r="AZ250">
        <v>0</v>
      </c>
      <c r="BA250">
        <v>4</v>
      </c>
      <c r="BB250">
        <v>1</v>
      </c>
      <c r="BC250">
        <v>5</v>
      </c>
      <c r="BD250" t="str">
        <f>CONCATENATE(Table9[[#This Row],[Match Number]],Table9[[#This Row],[Team]],Table9[[#This Row],[BOWL NUM]])</f>
        <v>43Sri Lanka5</v>
      </c>
      <c r="BE250" t="str">
        <f>IFERROR(IF(AND(Table9[[#This Row],[Team]]=I_TEAM,IFERROR(IF(MATCH(Table9[[#This Row],[Bowler]],$AR$5:AR249,0)&gt;0,0),1)),1,0),"")</f>
        <v/>
      </c>
      <c r="BF250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25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50" t="e">
        <f>IF(Table9[[#This Row],[Team]]=I_TEAM,Table9[[#This Row],[Wickets]]*100-Table9[[#This Row],[Runs]],0)</f>
        <v>#REF!</v>
      </c>
      <c r="BI250">
        <f>Table9[[#This Row],[Wickets]]*100-Table9[[#This Row],[Runs]]</f>
        <v>-29</v>
      </c>
      <c r="BJ250">
        <f ca="1">IFERROR(IF(MATCH(Table9[[#This Row],[Bowler]],OFFSET(AR251,0,0,BOWLROWS-ROW(AR250)-ROW(Table9[[#Headers],[BOWLER CUML WICKETS]])),0)&gt;0,0,SUMIF($AR$6:AR250,Table9[[#This Row],[Bowler]],$AV$6:AV250)),SUMIF($AR$6:AR250,Table9[[#This Row],[Bowler]],$AV$6:AV250))</f>
        <v>0</v>
      </c>
      <c r="BK250">
        <f ca="1">IFERROR(IF(MATCH(Table9[[#This Row],[Bowler]],OFFSET(AR251,0,0,BOWLROWS-ROW(AR250)-ROW(Table9[[#Headers],[BOWLER CUML WICKETS]])),0)&gt;0,0,SUMIF($AR$6:AR250,Table9[[#This Row],[Bowler]],$AU$6:AU250)),SUMIF($AR$6:AR250,Table9[[#This Row],[Bowler]],$AU$6:AU250))</f>
        <v>0</v>
      </c>
      <c r="BL250">
        <f ca="1">Table9[[#This Row],[BOWLER CUML WICKETS]]*100-Table9[[#This Row],[BOWLER CUML RUNS]]</f>
        <v>0</v>
      </c>
    </row>
    <row r="251" spans="1:64" x14ac:dyDescent="0.3">
      <c r="A251">
        <v>8</v>
      </c>
      <c r="B251" t="s">
        <v>164</v>
      </c>
      <c r="C251" t="s">
        <v>256</v>
      </c>
      <c r="D251" t="s">
        <v>498</v>
      </c>
      <c r="E251">
        <v>4</v>
      </c>
      <c r="F251">
        <v>10</v>
      </c>
      <c r="G251">
        <v>6</v>
      </c>
      <c r="H251">
        <v>0</v>
      </c>
      <c r="I251">
        <v>0</v>
      </c>
      <c r="J251">
        <v>66.66</v>
      </c>
      <c r="K251">
        <v>7</v>
      </c>
      <c r="L251" t="str">
        <f>CONCATENATE(T_BATTINGDATA[[#This Row],[Match]],T_BATTINGDATA[[#This Row],[Team]],T_BATTINGDATA[[#This Row],[Bat Number]])</f>
        <v>8UAE7</v>
      </c>
      <c r="M251" t="str">
        <f>IFERROR(IF(AND(T_BATTINGDATA[[#This Row],[Team]]=I_TEAM,IFERROR(IF(MATCH(T_BATTINGDATA[[#This Row],[BATSMAN NAME]],$O$5:O250,0)&gt;0,0),1)),1,0),"")</f>
        <v/>
      </c>
      <c r="N251" t="e">
        <f>IF(T_BATTINGDATA[[#This Row],[Team]]=I_TEAM,T_BATTINGDATA[[#This Row],[R]],0)</f>
        <v>#REF!</v>
      </c>
      <c r="O251" t="str">
        <f>LEFT(T_BATTINGDATA[[#This Row],[Batsman]],IFERROR(FIND("*",T_BATTINGDATA[[#This Row],[Batsman]])-1,IFERROR(FIND("†",T_BATTINGDATA[[#This Row],[Batsman]])-1,LEN(T_BATTINGDATA[[#This Row],[Batsman]]))))</f>
        <v>Rohan Mustafa</v>
      </c>
      <c r="P251">
        <f ca="1">IFERROR(IF(MATCH(T_BATTINGDATA[[#This Row],[BATSMAN NAME]],OFFSET(O252,0,0,BATROWS-ROW(O251)-ROW(T_BATTINGDATA[[#Headers],[BATSMAN NAME]])),0)&gt;0,0,SUMIF($O$6:O251,T_BATTINGDATA[[#This Row],[BATSMAN NAME]],$E$6:E251)),SUMIF($O$6:O251,T_BATTINGDATA[[#This Row],[BATSMAN NAME]],$E$6:E251))</f>
        <v>0</v>
      </c>
      <c r="AP251">
        <v>43</v>
      </c>
      <c r="AQ251" t="s">
        <v>145</v>
      </c>
      <c r="AR251" t="s">
        <v>445</v>
      </c>
      <c r="AS251">
        <v>1</v>
      </c>
      <c r="AT251">
        <v>0</v>
      </c>
      <c r="AU251">
        <v>10</v>
      </c>
      <c r="AV251">
        <v>0</v>
      </c>
      <c r="AW251">
        <v>10</v>
      </c>
      <c r="AX251">
        <v>3</v>
      </c>
      <c r="AY251">
        <v>2</v>
      </c>
      <c r="AZ251">
        <v>0</v>
      </c>
      <c r="BA251">
        <v>1</v>
      </c>
      <c r="BB251">
        <v>0</v>
      </c>
      <c r="BC251">
        <v>6</v>
      </c>
      <c r="BD251" t="str">
        <f>CONCATENATE(Table9[[#This Row],[Match Number]],Table9[[#This Row],[Team]],Table9[[#This Row],[BOWL NUM]])</f>
        <v>43Sri Lanka6</v>
      </c>
      <c r="BE251" t="str">
        <f>IFERROR(IF(AND(Table9[[#This Row],[Team]]=I_TEAM,IFERROR(IF(MATCH(Table9[[#This Row],[Bowler]],$AR$5:AR250,0)&gt;0,0),1)),1,0),"")</f>
        <v/>
      </c>
      <c r="BF251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25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51" t="e">
        <f>IF(Table9[[#This Row],[Team]]=I_TEAM,Table9[[#This Row],[Wickets]]*100-Table9[[#This Row],[Runs]],0)</f>
        <v>#REF!</v>
      </c>
      <c r="BI251">
        <f>Table9[[#This Row],[Wickets]]*100-Table9[[#This Row],[Runs]]</f>
        <v>-10</v>
      </c>
      <c r="BJ251">
        <f ca="1">IFERROR(IF(MATCH(Table9[[#This Row],[Bowler]],OFFSET(AR252,0,0,BOWLROWS-ROW(AR251)-ROW(Table9[[#Headers],[BOWLER CUML WICKETS]])),0)&gt;0,0,SUMIF($AR$6:AR251,Table9[[#This Row],[Bowler]],$AV$6:AV251)),SUMIF($AR$6:AR251,Table9[[#This Row],[Bowler]],$AV$6:AV251))</f>
        <v>0</v>
      </c>
      <c r="BK251">
        <f ca="1">IFERROR(IF(MATCH(Table9[[#This Row],[Bowler]],OFFSET(AR252,0,0,BOWLROWS-ROW(AR251)-ROW(Table9[[#Headers],[BOWLER CUML WICKETS]])),0)&gt;0,0,SUMIF($AR$6:AR251,Table9[[#This Row],[Bowler]],$AU$6:AU251)),SUMIF($AR$6:AR251,Table9[[#This Row],[Bowler]],$AU$6:AU251))</f>
        <v>0</v>
      </c>
      <c r="BL251">
        <f ca="1">Table9[[#This Row],[BOWLER CUML WICKETS]]*100-Table9[[#This Row],[BOWLER CUML RUNS]]</f>
        <v>0</v>
      </c>
    </row>
    <row r="252" spans="1:64" x14ac:dyDescent="0.3">
      <c r="A252">
        <v>8</v>
      </c>
      <c r="B252" t="s">
        <v>164</v>
      </c>
      <c r="C252" t="s">
        <v>228</v>
      </c>
      <c r="D252" t="s">
        <v>167</v>
      </c>
      <c r="E252">
        <v>25</v>
      </c>
      <c r="F252">
        <v>27</v>
      </c>
      <c r="G252">
        <v>19</v>
      </c>
      <c r="H252">
        <v>3</v>
      </c>
      <c r="I252">
        <v>1</v>
      </c>
      <c r="J252">
        <v>131.57</v>
      </c>
      <c r="K252">
        <v>8</v>
      </c>
      <c r="L252" t="str">
        <f>CONCATENATE(T_BATTINGDATA[[#This Row],[Match]],T_BATTINGDATA[[#This Row],[Team]],T_BATTINGDATA[[#This Row],[Bat Number]])</f>
        <v>8UAE8</v>
      </c>
      <c r="M252" t="str">
        <f>IFERROR(IF(AND(T_BATTINGDATA[[#This Row],[Team]]=I_TEAM,IFERROR(IF(MATCH(T_BATTINGDATA[[#This Row],[BATSMAN NAME]],$O$5:O251,0)&gt;0,0),1)),1,0),"")</f>
        <v/>
      </c>
      <c r="N252" t="e">
        <f>IF(T_BATTINGDATA[[#This Row],[Team]]=I_TEAM,T_BATTINGDATA[[#This Row],[R]],0)</f>
        <v>#REF!</v>
      </c>
      <c r="O252" t="str">
        <f>LEFT(T_BATTINGDATA[[#This Row],[Batsman]],IFERROR(FIND("*",T_BATTINGDATA[[#This Row],[Batsman]])-1,IFERROR(FIND("†",T_BATTINGDATA[[#This Row],[Batsman]])-1,LEN(T_BATTINGDATA[[#This Row],[Batsman]]))))</f>
        <v>Amjad Javed</v>
      </c>
      <c r="P252">
        <f ca="1">IFERROR(IF(MATCH(T_BATTINGDATA[[#This Row],[BATSMAN NAME]],OFFSET(O253,0,0,BATROWS-ROW(O252)-ROW(T_BATTINGDATA[[#Headers],[BATSMAN NAME]])),0)&gt;0,0,SUMIF($O$6:O252,T_BATTINGDATA[[#This Row],[BATSMAN NAME]],$E$6:E252)),SUMIF($O$6:O252,T_BATTINGDATA[[#This Row],[BATSMAN NAME]],$E$6:E252))</f>
        <v>0</v>
      </c>
      <c r="AP252">
        <v>48</v>
      </c>
      <c r="AQ252" t="s">
        <v>137</v>
      </c>
      <c r="AR252" t="s">
        <v>168</v>
      </c>
      <c r="AS252">
        <v>10</v>
      </c>
      <c r="AT252">
        <v>0</v>
      </c>
      <c r="AU252">
        <v>68</v>
      </c>
      <c r="AV252">
        <v>0</v>
      </c>
      <c r="AW252">
        <v>6.8</v>
      </c>
      <c r="AX252">
        <v>32</v>
      </c>
      <c r="AY252">
        <v>9</v>
      </c>
      <c r="AZ252">
        <v>1</v>
      </c>
      <c r="BA252">
        <v>2</v>
      </c>
      <c r="BB252">
        <v>0</v>
      </c>
      <c r="BC252">
        <v>1</v>
      </c>
      <c r="BD252" t="str">
        <f>CONCATENATE(Table9[[#This Row],[Match Number]],Table9[[#This Row],[Team]],Table9[[#This Row],[BOWL NUM]])</f>
        <v>48India1</v>
      </c>
      <c r="BE252" t="str">
        <f>IFERROR(IF(AND(Table9[[#This Row],[Team]]=I_TEAM,IFERROR(IF(MATCH(Table9[[#This Row],[Bowler]],$AR$5:AR251,0)&gt;0,0),1)),1,0),"")</f>
        <v/>
      </c>
      <c r="BF25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5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52" t="e">
        <f>IF(Table9[[#This Row],[Team]]=I_TEAM,Table9[[#This Row],[Wickets]]*100-Table9[[#This Row],[Runs]],0)</f>
        <v>#REF!</v>
      </c>
      <c r="BI252">
        <f>Table9[[#This Row],[Wickets]]*100-Table9[[#This Row],[Runs]]</f>
        <v>-68</v>
      </c>
      <c r="BJ252">
        <f ca="1">IFERROR(IF(MATCH(Table9[[#This Row],[Bowler]],OFFSET(AR253,0,0,BOWLROWS-ROW(AR252)-ROW(Table9[[#Headers],[BOWLER CUML WICKETS]])),0)&gt;0,0,SUMIF($AR$6:AR252,Table9[[#This Row],[Bowler]],$AV$6:AV252)),SUMIF($AR$6:AR252,Table9[[#This Row],[Bowler]],$AV$6:AV252))</f>
        <v>17</v>
      </c>
      <c r="BK252">
        <f ca="1">IFERROR(IF(MATCH(Table9[[#This Row],[Bowler]],OFFSET(AR253,0,0,BOWLROWS-ROW(AR252)-ROW(Table9[[#Headers],[BOWLER CUML WICKETS]])),0)&gt;0,0,SUMIF($AR$6:AR252,Table9[[#This Row],[Bowler]],$AU$6:AU252)),SUMIF($AR$6:AR252,Table9[[#This Row],[Bowler]],$AU$6:AU252))</f>
        <v>294</v>
      </c>
      <c r="BL252">
        <f ca="1">Table9[[#This Row],[BOWLER CUML WICKETS]]*100-Table9[[#This Row],[BOWLER CUML RUNS]]</f>
        <v>1406</v>
      </c>
    </row>
    <row r="253" spans="1:64" x14ac:dyDescent="0.3">
      <c r="A253">
        <v>8</v>
      </c>
      <c r="B253" t="s">
        <v>164</v>
      </c>
      <c r="C253" t="s">
        <v>223</v>
      </c>
      <c r="D253" t="s">
        <v>167</v>
      </c>
      <c r="E253">
        <v>23</v>
      </c>
      <c r="F253">
        <v>23</v>
      </c>
      <c r="G253">
        <v>17</v>
      </c>
      <c r="H253">
        <v>1</v>
      </c>
      <c r="I253">
        <v>2</v>
      </c>
      <c r="J253">
        <v>135.29</v>
      </c>
      <c r="K253">
        <v>9</v>
      </c>
      <c r="L253" t="str">
        <f>CONCATENATE(T_BATTINGDATA[[#This Row],[Match]],T_BATTINGDATA[[#This Row],[Team]],T_BATTINGDATA[[#This Row],[Bat Number]])</f>
        <v>8UAE9</v>
      </c>
      <c r="M253" t="str">
        <f>IFERROR(IF(AND(T_BATTINGDATA[[#This Row],[Team]]=I_TEAM,IFERROR(IF(MATCH(T_BATTINGDATA[[#This Row],[BATSMAN NAME]],$O$5:O252,0)&gt;0,0),1)),1,0),"")</f>
        <v/>
      </c>
      <c r="N253" t="e">
        <f>IF(T_BATTINGDATA[[#This Row],[Team]]=I_TEAM,T_BATTINGDATA[[#This Row],[R]],0)</f>
        <v>#REF!</v>
      </c>
      <c r="O253" t="str">
        <f>LEFT(T_BATTINGDATA[[#This Row],[Batsman]],IFERROR(FIND("*",T_BATTINGDATA[[#This Row],[Batsman]])-1,IFERROR(FIND("†",T_BATTINGDATA[[#This Row],[Batsman]])-1,LEN(T_BATTINGDATA[[#This Row],[Batsman]]))))</f>
        <v>Mohammad Naveed</v>
      </c>
      <c r="P253">
        <f ca="1">IFERROR(IF(MATCH(T_BATTINGDATA[[#This Row],[BATSMAN NAME]],OFFSET(O254,0,0,BATROWS-ROW(O253)-ROW(T_BATTINGDATA[[#Headers],[BATSMAN NAME]])),0)&gt;0,0,SUMIF($O$6:O253,T_BATTINGDATA[[#This Row],[BATSMAN NAME]],$E$6:E253)),SUMIF($O$6:O253,T_BATTINGDATA[[#This Row],[BATSMAN NAME]],$E$6:E253))</f>
        <v>0</v>
      </c>
      <c r="AP253">
        <v>48</v>
      </c>
      <c r="AQ253" t="s">
        <v>137</v>
      </c>
      <c r="AR253" t="s">
        <v>165</v>
      </c>
      <c r="AS253">
        <v>9</v>
      </c>
      <c r="AT253">
        <v>0</v>
      </c>
      <c r="AU253">
        <v>72</v>
      </c>
      <c r="AV253">
        <v>4</v>
      </c>
      <c r="AW253">
        <v>8</v>
      </c>
      <c r="AX253">
        <v>30</v>
      </c>
      <c r="AY253">
        <v>11</v>
      </c>
      <c r="AZ253">
        <v>2</v>
      </c>
      <c r="BA253">
        <v>4</v>
      </c>
      <c r="BB253">
        <v>0</v>
      </c>
      <c r="BC253">
        <v>2</v>
      </c>
      <c r="BD253" t="str">
        <f>CONCATENATE(Table9[[#This Row],[Match Number]],Table9[[#This Row],[Team]],Table9[[#This Row],[BOWL NUM]])</f>
        <v>48India2</v>
      </c>
      <c r="BE253" t="str">
        <f>IFERROR(IF(AND(Table9[[#This Row],[Team]]=I_TEAM,IFERROR(IF(MATCH(Table9[[#This Row],[Bowler]],$AR$5:AR252,0)&gt;0,0),1)),1,0),"")</f>
        <v/>
      </c>
      <c r="BF253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5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53" t="e">
        <f>IF(Table9[[#This Row],[Team]]=I_TEAM,Table9[[#This Row],[Wickets]]*100-Table9[[#This Row],[Runs]],0)</f>
        <v>#REF!</v>
      </c>
      <c r="BI253">
        <f>Table9[[#This Row],[Wickets]]*100-Table9[[#This Row],[Runs]]</f>
        <v>328</v>
      </c>
      <c r="BJ253">
        <f ca="1">IFERROR(IF(MATCH(Table9[[#This Row],[Bowler]],OFFSET(AR254,0,0,BOWLROWS-ROW(AR253)-ROW(Table9[[#Headers],[BOWLER CUML WICKETS]])),0)&gt;0,0,SUMIF($AR$6:AR253,Table9[[#This Row],[Bowler]],$AV$6:AV253)),SUMIF($AR$6:AR253,Table9[[#This Row],[Bowler]],$AV$6:AV253))</f>
        <v>18</v>
      </c>
      <c r="BK253">
        <f ca="1">IFERROR(IF(MATCH(Table9[[#This Row],[Bowler]],OFFSET(AR254,0,0,BOWLROWS-ROW(AR253)-ROW(Table9[[#Headers],[BOWLER CUML WICKETS]])),0)&gt;0,0,SUMIF($AR$6:AR253,Table9[[#This Row],[Bowler]],$AU$6:AU253)),SUMIF($AR$6:AR253,Table9[[#This Row],[Bowler]],$AU$6:AU253))</f>
        <v>321</v>
      </c>
      <c r="BL253">
        <f ca="1">Table9[[#This Row],[BOWLER CUML WICKETS]]*100-Table9[[#This Row],[BOWLER CUML RUNS]]</f>
        <v>1479</v>
      </c>
    </row>
    <row r="254" spans="1:64" x14ac:dyDescent="0.3">
      <c r="A254">
        <v>8</v>
      </c>
      <c r="B254" t="s">
        <v>158</v>
      </c>
      <c r="C254" t="s">
        <v>217</v>
      </c>
      <c r="D254" t="s">
        <v>499</v>
      </c>
      <c r="E254">
        <v>46</v>
      </c>
      <c r="F254">
        <v>54</v>
      </c>
      <c r="G254">
        <v>44</v>
      </c>
      <c r="H254">
        <v>6</v>
      </c>
      <c r="I254">
        <v>1</v>
      </c>
      <c r="J254">
        <v>104.54</v>
      </c>
      <c r="K254">
        <v>1</v>
      </c>
      <c r="L254" t="str">
        <f>CONCATENATE(T_BATTINGDATA[[#This Row],[Match]],T_BATTINGDATA[[#This Row],[Team]],T_BATTINGDATA[[#This Row],[Bat Number]])</f>
        <v>8Zimbabwe1</v>
      </c>
      <c r="M254" t="str">
        <f>IFERROR(IF(AND(T_BATTINGDATA[[#This Row],[Team]]=I_TEAM,IFERROR(IF(MATCH(T_BATTINGDATA[[#This Row],[BATSMAN NAME]],$O$5:O253,0)&gt;0,0),1)),1,0),"")</f>
        <v/>
      </c>
      <c r="N254" t="e">
        <f>IF(T_BATTINGDATA[[#This Row],[Team]]=I_TEAM,T_BATTINGDATA[[#This Row],[R]],0)</f>
        <v>#REF!</v>
      </c>
      <c r="O254" t="str">
        <f>LEFT(T_BATTINGDATA[[#This Row],[Batsman]],IFERROR(FIND("*",T_BATTINGDATA[[#This Row],[Batsman]])-1,IFERROR(FIND("†",T_BATTINGDATA[[#This Row],[Batsman]])-1,LEN(T_BATTINGDATA[[#This Row],[Batsman]]))))</f>
        <v>Sikandar Raza</v>
      </c>
      <c r="P254">
        <f ca="1">IFERROR(IF(MATCH(T_BATTINGDATA[[#This Row],[BATSMAN NAME]],OFFSET(O255,0,0,BATROWS-ROW(O254)-ROW(T_BATTINGDATA[[#Headers],[BATSMAN NAME]])),0)&gt;0,0,SUMIF($O$6:O254,T_BATTINGDATA[[#This Row],[BATSMAN NAME]],$E$6:E254)),SUMIF($O$6:O254,T_BATTINGDATA[[#This Row],[BATSMAN NAME]],$E$6:E254))</f>
        <v>0</v>
      </c>
      <c r="AP254">
        <v>48</v>
      </c>
      <c r="AQ254" t="s">
        <v>137</v>
      </c>
      <c r="AR254" t="s">
        <v>171</v>
      </c>
      <c r="AS254">
        <v>10</v>
      </c>
      <c r="AT254">
        <v>0</v>
      </c>
      <c r="AU254">
        <v>75</v>
      </c>
      <c r="AV254">
        <v>2</v>
      </c>
      <c r="AW254">
        <v>7.5</v>
      </c>
      <c r="AX254">
        <v>24</v>
      </c>
      <c r="AY254">
        <v>8</v>
      </c>
      <c r="AZ254">
        <v>2</v>
      </c>
      <c r="BA254">
        <v>0</v>
      </c>
      <c r="BB254">
        <v>0</v>
      </c>
      <c r="BC254">
        <v>3</v>
      </c>
      <c r="BD254" t="str">
        <f>CONCATENATE(Table9[[#This Row],[Match Number]],Table9[[#This Row],[Team]],Table9[[#This Row],[BOWL NUM]])</f>
        <v>48India3</v>
      </c>
      <c r="BE254" t="str">
        <f>IFERROR(IF(AND(Table9[[#This Row],[Team]]=I_TEAM,IFERROR(IF(MATCH(Table9[[#This Row],[Bowler]],$AR$5:AR253,0)&gt;0,0),1)),1,0),"")</f>
        <v/>
      </c>
      <c r="BF25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5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54" t="e">
        <f>IF(Table9[[#This Row],[Team]]=I_TEAM,Table9[[#This Row],[Wickets]]*100-Table9[[#This Row],[Runs]],0)</f>
        <v>#REF!</v>
      </c>
      <c r="BI254">
        <f>Table9[[#This Row],[Wickets]]*100-Table9[[#This Row],[Runs]]</f>
        <v>125</v>
      </c>
      <c r="BJ254">
        <f ca="1">IFERROR(IF(MATCH(Table9[[#This Row],[Bowler]],OFFSET(AR255,0,0,BOWLROWS-ROW(AR254)-ROW(Table9[[#Headers],[BOWLER CUML WICKETS]])),0)&gt;0,0,SUMIF($AR$6:AR254,Table9[[#This Row],[Bowler]],$AV$6:AV254)),SUMIF($AR$6:AR254,Table9[[#This Row],[Bowler]],$AV$6:AV254))</f>
        <v>13</v>
      </c>
      <c r="BK254">
        <f ca="1">IFERROR(IF(MATCH(Table9[[#This Row],[Bowler]],OFFSET(AR255,0,0,BOWLROWS-ROW(AR254)-ROW(Table9[[#Headers],[BOWLER CUML WICKETS]])),0)&gt;0,0,SUMIF($AR$6:AR254,Table9[[#This Row],[Bowler]],$AU$6:AU254)),SUMIF($AR$6:AR254,Table9[[#This Row],[Bowler]],$AU$6:AU254))</f>
        <v>314</v>
      </c>
      <c r="BL254">
        <f ca="1">Table9[[#This Row],[BOWLER CUML WICKETS]]*100-Table9[[#This Row],[BOWLER CUML RUNS]]</f>
        <v>986</v>
      </c>
    </row>
    <row r="255" spans="1:64" x14ac:dyDescent="0.3">
      <c r="A255">
        <v>8</v>
      </c>
      <c r="B255" t="s">
        <v>158</v>
      </c>
      <c r="C255" t="s">
        <v>235</v>
      </c>
      <c r="D255" t="s">
        <v>500</v>
      </c>
      <c r="E255">
        <v>35</v>
      </c>
      <c r="F255">
        <v>90</v>
      </c>
      <c r="G255">
        <v>62</v>
      </c>
      <c r="H255">
        <v>4</v>
      </c>
      <c r="I255">
        <v>0</v>
      </c>
      <c r="J255">
        <v>56.45</v>
      </c>
      <c r="K255">
        <v>2</v>
      </c>
      <c r="L255" t="str">
        <f>CONCATENATE(T_BATTINGDATA[[#This Row],[Match]],T_BATTINGDATA[[#This Row],[Team]],T_BATTINGDATA[[#This Row],[Bat Number]])</f>
        <v>8Zimbabwe2</v>
      </c>
      <c r="M255" t="str">
        <f>IFERROR(IF(AND(T_BATTINGDATA[[#This Row],[Team]]=I_TEAM,IFERROR(IF(MATCH(T_BATTINGDATA[[#This Row],[BATSMAN NAME]],$O$5:O254,0)&gt;0,0),1)),1,0),"")</f>
        <v/>
      </c>
      <c r="N255" t="e">
        <f>IF(T_BATTINGDATA[[#This Row],[Team]]=I_TEAM,T_BATTINGDATA[[#This Row],[R]],0)</f>
        <v>#REF!</v>
      </c>
      <c r="O255" t="str">
        <f>LEFT(T_BATTINGDATA[[#This Row],[Batsman]],IFERROR(FIND("*",T_BATTINGDATA[[#This Row],[Batsman]])-1,IFERROR(FIND("†",T_BATTINGDATA[[#This Row],[Batsman]])-1,LEN(T_BATTINGDATA[[#This Row],[Batsman]]))))</f>
        <v>RW Chakabva</v>
      </c>
      <c r="P255">
        <f ca="1">IFERROR(IF(MATCH(T_BATTINGDATA[[#This Row],[BATSMAN NAME]],OFFSET(O256,0,0,BATROWS-ROW(O255)-ROW(T_BATTINGDATA[[#Headers],[BATSMAN NAME]])),0)&gt;0,0,SUMIF($O$6:O255,T_BATTINGDATA[[#This Row],[BATSMAN NAME]],$E$6:E255)),SUMIF($O$6:O255,T_BATTINGDATA[[#This Row],[BATSMAN NAME]],$E$6:E255))</f>
        <v>0</v>
      </c>
      <c r="AP255">
        <v>48</v>
      </c>
      <c r="AQ255" t="s">
        <v>137</v>
      </c>
      <c r="AR255" t="s">
        <v>147</v>
      </c>
      <c r="AS255">
        <v>1</v>
      </c>
      <c r="AT255">
        <v>0</v>
      </c>
      <c r="AU255">
        <v>7</v>
      </c>
      <c r="AV255">
        <v>0</v>
      </c>
      <c r="AW255">
        <v>7</v>
      </c>
      <c r="AX255">
        <v>2</v>
      </c>
      <c r="AY255">
        <v>1</v>
      </c>
      <c r="AZ255">
        <v>0</v>
      </c>
      <c r="BA255">
        <v>0</v>
      </c>
      <c r="BB255">
        <v>0</v>
      </c>
      <c r="BC255">
        <v>4</v>
      </c>
      <c r="BD255" t="str">
        <f>CONCATENATE(Table9[[#This Row],[Match Number]],Table9[[#This Row],[Team]],Table9[[#This Row],[BOWL NUM]])</f>
        <v>48India4</v>
      </c>
      <c r="BE255" t="str">
        <f>IFERROR(IF(AND(Table9[[#This Row],[Team]]=I_TEAM,IFERROR(IF(MATCH(Table9[[#This Row],[Bowler]],$AR$5:AR254,0)&gt;0,0),1)),1,0),"")</f>
        <v/>
      </c>
      <c r="BF255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25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55" t="e">
        <f>IF(Table9[[#This Row],[Team]]=I_TEAM,Table9[[#This Row],[Wickets]]*100-Table9[[#This Row],[Runs]],0)</f>
        <v>#REF!</v>
      </c>
      <c r="BI255">
        <f>Table9[[#This Row],[Wickets]]*100-Table9[[#This Row],[Runs]]</f>
        <v>-7</v>
      </c>
      <c r="BJ255">
        <f ca="1">IFERROR(IF(MATCH(Table9[[#This Row],[Bowler]],OFFSET(AR256,0,0,BOWLROWS-ROW(AR255)-ROW(Table9[[#Headers],[BOWLER CUML WICKETS]])),0)&gt;0,0,SUMIF($AR$6:AR255,Table9[[#This Row],[Bowler]],$AV$6:AV255)),SUMIF($AR$6:AR255,Table9[[#This Row],[Bowler]],$AV$6:AV255))</f>
        <v>0</v>
      </c>
      <c r="BK255">
        <f ca="1">IFERROR(IF(MATCH(Table9[[#This Row],[Bowler]],OFFSET(AR256,0,0,BOWLROWS-ROW(AR255)-ROW(Table9[[#Headers],[BOWLER CUML WICKETS]])),0)&gt;0,0,SUMIF($AR$6:AR255,Table9[[#This Row],[Bowler]],$AU$6:AU255)),SUMIF($AR$6:AR255,Table9[[#This Row],[Bowler]],$AU$6:AU255))</f>
        <v>7</v>
      </c>
      <c r="BL255">
        <f ca="1">Table9[[#This Row],[BOWLER CUML WICKETS]]*100-Table9[[#This Row],[BOWLER CUML RUNS]]</f>
        <v>-7</v>
      </c>
    </row>
    <row r="256" spans="1:64" x14ac:dyDescent="0.3">
      <c r="A256">
        <v>8</v>
      </c>
      <c r="B256" t="s">
        <v>158</v>
      </c>
      <c r="C256" t="s">
        <v>218</v>
      </c>
      <c r="D256" t="s">
        <v>501</v>
      </c>
      <c r="E256">
        <v>1</v>
      </c>
      <c r="F256">
        <v>9</v>
      </c>
      <c r="G256">
        <v>4</v>
      </c>
      <c r="H256">
        <v>0</v>
      </c>
      <c r="I256">
        <v>0</v>
      </c>
      <c r="J256">
        <v>25</v>
      </c>
      <c r="K256">
        <v>3</v>
      </c>
      <c r="L256" t="str">
        <f>CONCATENATE(T_BATTINGDATA[[#This Row],[Match]],T_BATTINGDATA[[#This Row],[Team]],T_BATTINGDATA[[#This Row],[Bat Number]])</f>
        <v>8Zimbabwe3</v>
      </c>
      <c r="M256" t="str">
        <f>IFERROR(IF(AND(T_BATTINGDATA[[#This Row],[Team]]=I_TEAM,IFERROR(IF(MATCH(T_BATTINGDATA[[#This Row],[BATSMAN NAME]],$O$5:O255,0)&gt;0,0),1)),1,0),"")</f>
        <v/>
      </c>
      <c r="N256" t="e">
        <f>IF(T_BATTINGDATA[[#This Row],[Team]]=I_TEAM,T_BATTINGDATA[[#This Row],[R]],0)</f>
        <v>#REF!</v>
      </c>
      <c r="O256" t="str">
        <f>LEFT(T_BATTINGDATA[[#This Row],[Batsman]],IFERROR(FIND("*",T_BATTINGDATA[[#This Row],[Batsman]])-1,IFERROR(FIND("†",T_BATTINGDATA[[#This Row],[Batsman]])-1,LEN(T_BATTINGDATA[[#This Row],[Batsman]]))))</f>
        <v>H Masakadza</v>
      </c>
      <c r="P256">
        <f ca="1">IFERROR(IF(MATCH(T_BATTINGDATA[[#This Row],[BATSMAN NAME]],OFFSET(O257,0,0,BATROWS-ROW(O256)-ROW(T_BATTINGDATA[[#Headers],[BATSMAN NAME]])),0)&gt;0,0,SUMIF($O$6:O256,T_BATTINGDATA[[#This Row],[BATSMAN NAME]],$E$6:E256)),SUMIF($O$6:O256,T_BATTINGDATA[[#This Row],[BATSMAN NAME]],$E$6:E256))</f>
        <v>0</v>
      </c>
      <c r="AP256">
        <v>48</v>
      </c>
      <c r="AQ256" t="s">
        <v>137</v>
      </c>
      <c r="AR256" t="s">
        <v>163</v>
      </c>
      <c r="AS256">
        <v>10</v>
      </c>
      <c r="AT256">
        <v>0</v>
      </c>
      <c r="AU256">
        <v>56</v>
      </c>
      <c r="AV256">
        <v>0</v>
      </c>
      <c r="AW256">
        <v>5.6</v>
      </c>
      <c r="AX256">
        <v>25</v>
      </c>
      <c r="AY256">
        <v>3</v>
      </c>
      <c r="AZ256">
        <v>2</v>
      </c>
      <c r="BA256">
        <v>0</v>
      </c>
      <c r="BB256">
        <v>0</v>
      </c>
      <c r="BC256">
        <v>5</v>
      </c>
      <c r="BD256" t="str">
        <f>CONCATENATE(Table9[[#This Row],[Match Number]],Table9[[#This Row],[Team]],Table9[[#This Row],[BOWL NUM]])</f>
        <v>48India5</v>
      </c>
      <c r="BE256" t="str">
        <f>IFERROR(IF(AND(Table9[[#This Row],[Team]]=I_TEAM,IFERROR(IF(MATCH(Table9[[#This Row],[Bowler]],$AR$5:AR255,0)&gt;0,0),1)),1,0),"")</f>
        <v/>
      </c>
      <c r="BF25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5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56" t="e">
        <f>IF(Table9[[#This Row],[Team]]=I_TEAM,Table9[[#This Row],[Wickets]]*100-Table9[[#This Row],[Runs]],0)</f>
        <v>#REF!</v>
      </c>
      <c r="BI256">
        <f>Table9[[#This Row],[Wickets]]*100-Table9[[#This Row],[Runs]]</f>
        <v>-56</v>
      </c>
      <c r="BJ256">
        <f ca="1">IFERROR(IF(MATCH(Table9[[#This Row],[Bowler]],OFFSET(AR257,0,0,BOWLROWS-ROW(AR256)-ROW(Table9[[#Headers],[BOWLER CUML WICKETS]])),0)&gt;0,0,SUMIF($AR$6:AR256,Table9[[#This Row],[Bowler]],$AV$6:AV256)),SUMIF($AR$6:AR256,Table9[[#This Row],[Bowler]],$AV$6:AV256))</f>
        <v>9</v>
      </c>
      <c r="BK256">
        <f ca="1">IFERROR(IF(MATCH(Table9[[#This Row],[Bowler]],OFFSET(AR257,0,0,BOWLROWS-ROW(AR256)-ROW(Table9[[#Headers],[BOWLER CUML WICKETS]])),0)&gt;0,0,SUMIF($AR$6:AR256,Table9[[#This Row],[Bowler]],$AU$6:AU256)),SUMIF($AR$6:AR256,Table9[[#This Row],[Bowler]],$AU$6:AU256))</f>
        <v>357</v>
      </c>
      <c r="BL256">
        <f ca="1">Table9[[#This Row],[BOWLER CUML WICKETS]]*100-Table9[[#This Row],[BOWLER CUML RUNS]]</f>
        <v>543</v>
      </c>
    </row>
    <row r="257" spans="1:64" x14ac:dyDescent="0.3">
      <c r="A257">
        <v>8</v>
      </c>
      <c r="B257" t="s">
        <v>158</v>
      </c>
      <c r="C257" t="s">
        <v>420</v>
      </c>
      <c r="D257" t="s">
        <v>502</v>
      </c>
      <c r="E257">
        <v>47</v>
      </c>
      <c r="F257">
        <v>47</v>
      </c>
      <c r="G257">
        <v>44</v>
      </c>
      <c r="H257">
        <v>5</v>
      </c>
      <c r="I257">
        <v>1</v>
      </c>
      <c r="J257">
        <v>106.81</v>
      </c>
      <c r="K257">
        <v>4</v>
      </c>
      <c r="L257" t="str">
        <f>CONCATENATE(T_BATTINGDATA[[#This Row],[Match]],T_BATTINGDATA[[#This Row],[Team]],T_BATTINGDATA[[#This Row],[Bat Number]])</f>
        <v>8Zimbabwe4</v>
      </c>
      <c r="M257" t="str">
        <f>IFERROR(IF(AND(T_BATTINGDATA[[#This Row],[Team]]=I_TEAM,IFERROR(IF(MATCH(T_BATTINGDATA[[#This Row],[BATSMAN NAME]],$O$5:O256,0)&gt;0,0),1)),1,0),"")</f>
        <v/>
      </c>
      <c r="N257" t="e">
        <f>IF(T_BATTINGDATA[[#This Row],[Team]]=I_TEAM,T_BATTINGDATA[[#This Row],[R]],0)</f>
        <v>#REF!</v>
      </c>
      <c r="O257" t="str">
        <f>LEFT(T_BATTINGDATA[[#This Row],[Batsman]],IFERROR(FIND("*",T_BATTINGDATA[[#This Row],[Batsman]])-1,IFERROR(FIND("†",T_BATTINGDATA[[#This Row],[Batsman]])-1,LEN(T_BATTINGDATA[[#This Row],[Batsman]]))))</f>
        <v>BRM Taylor</v>
      </c>
      <c r="P257">
        <f ca="1">IFERROR(IF(MATCH(T_BATTINGDATA[[#This Row],[BATSMAN NAME]],OFFSET(O258,0,0,BATROWS-ROW(O257)-ROW(T_BATTINGDATA[[#Headers],[BATSMAN NAME]])),0)&gt;0,0,SUMIF($O$6:O257,T_BATTINGDATA[[#This Row],[BATSMAN NAME]],$E$6:E257)),SUMIF($O$6:O257,T_BATTINGDATA[[#This Row],[BATSMAN NAME]],$E$6:E257))</f>
        <v>0</v>
      </c>
      <c r="AP257">
        <v>48</v>
      </c>
      <c r="AQ257" t="s">
        <v>137</v>
      </c>
      <c r="AR257" t="s">
        <v>166</v>
      </c>
      <c r="AS257">
        <v>10</v>
      </c>
      <c r="AT257">
        <v>0</v>
      </c>
      <c r="AU257">
        <v>42</v>
      </c>
      <c r="AV257">
        <v>1</v>
      </c>
      <c r="AW257">
        <v>4.2</v>
      </c>
      <c r="AX257">
        <v>34</v>
      </c>
      <c r="AY257">
        <v>1</v>
      </c>
      <c r="AZ257">
        <v>1</v>
      </c>
      <c r="BA257">
        <v>0</v>
      </c>
      <c r="BB257">
        <v>0</v>
      </c>
      <c r="BC257">
        <v>6</v>
      </c>
      <c r="BD257" t="str">
        <f>CONCATENATE(Table9[[#This Row],[Match Number]],Table9[[#This Row],[Team]],Table9[[#This Row],[BOWL NUM]])</f>
        <v>48India6</v>
      </c>
      <c r="BE257" t="str">
        <f>IFERROR(IF(AND(Table9[[#This Row],[Team]]=I_TEAM,IFERROR(IF(MATCH(Table9[[#This Row],[Bowler]],$AR$5:AR256,0)&gt;0,0),1)),1,0),"")</f>
        <v/>
      </c>
      <c r="BF25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5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57" t="e">
        <f>IF(Table9[[#This Row],[Team]]=I_TEAM,Table9[[#This Row],[Wickets]]*100-Table9[[#This Row],[Runs]],0)</f>
        <v>#REF!</v>
      </c>
      <c r="BI257">
        <f>Table9[[#This Row],[Wickets]]*100-Table9[[#This Row],[Runs]]</f>
        <v>58</v>
      </c>
      <c r="BJ257">
        <f ca="1">IFERROR(IF(MATCH(Table9[[#This Row],[Bowler]],OFFSET(AR258,0,0,BOWLROWS-ROW(AR257)-ROW(Table9[[#Headers],[BOWLER CUML WICKETS]])),0)&gt;0,0,SUMIF($AR$6:AR257,Table9[[#This Row],[Bowler]],$AV$6:AV257)),SUMIF($AR$6:AR257,Table9[[#This Row],[Bowler]],$AV$6:AV257))</f>
        <v>13</v>
      </c>
      <c r="BK257">
        <f ca="1">IFERROR(IF(MATCH(Table9[[#This Row],[Bowler]],OFFSET(AR258,0,0,BOWLROWS-ROW(AR257)-ROW(Table9[[#Headers],[BOWLER CUML WICKETS]])),0)&gt;0,0,SUMIF($AR$6:AR257,Table9[[#This Row],[Bowler]],$AU$6:AU257)),SUMIF($AR$6:AR257,Table9[[#This Row],[Bowler]],$AU$6:AU257))</f>
        <v>330</v>
      </c>
      <c r="BL257">
        <f ca="1">Table9[[#This Row],[BOWLER CUML WICKETS]]*100-Table9[[#This Row],[BOWLER CUML RUNS]]</f>
        <v>970</v>
      </c>
    </row>
    <row r="258" spans="1:64" x14ac:dyDescent="0.3">
      <c r="A258">
        <v>8</v>
      </c>
      <c r="B258" t="s">
        <v>158</v>
      </c>
      <c r="C258" t="s">
        <v>214</v>
      </c>
      <c r="D258" t="s">
        <v>167</v>
      </c>
      <c r="E258">
        <v>76</v>
      </c>
      <c r="F258">
        <v>110</v>
      </c>
      <c r="G258">
        <v>65</v>
      </c>
      <c r="H258">
        <v>7</v>
      </c>
      <c r="I258">
        <v>1</v>
      </c>
      <c r="J258">
        <v>116.92</v>
      </c>
      <c r="K258">
        <v>5</v>
      </c>
      <c r="L258" t="str">
        <f>CONCATENATE(T_BATTINGDATA[[#This Row],[Match]],T_BATTINGDATA[[#This Row],[Team]],T_BATTINGDATA[[#This Row],[Bat Number]])</f>
        <v>8Zimbabwe5</v>
      </c>
      <c r="M258" t="str">
        <f>IFERROR(IF(AND(T_BATTINGDATA[[#This Row],[Team]]=I_TEAM,IFERROR(IF(MATCH(T_BATTINGDATA[[#This Row],[BATSMAN NAME]],$O$5:O257,0)&gt;0,0),1)),1,0),"")</f>
        <v/>
      </c>
      <c r="N258" t="e">
        <f>IF(T_BATTINGDATA[[#This Row],[Team]]=I_TEAM,T_BATTINGDATA[[#This Row],[R]],0)</f>
        <v>#REF!</v>
      </c>
      <c r="O258" t="str">
        <f>LEFT(T_BATTINGDATA[[#This Row],[Batsman]],IFERROR(FIND("*",T_BATTINGDATA[[#This Row],[Batsman]])-1,IFERROR(FIND("†",T_BATTINGDATA[[#This Row],[Batsman]])-1,LEN(T_BATTINGDATA[[#This Row],[Batsman]]))))</f>
        <v>SC Williams</v>
      </c>
      <c r="P258">
        <f ca="1">IFERROR(IF(MATCH(T_BATTINGDATA[[#This Row],[BATSMAN NAME]],OFFSET(O259,0,0,BATROWS-ROW(O258)-ROW(T_BATTINGDATA[[#Headers],[BATSMAN NAME]])),0)&gt;0,0,SUMIF($O$6:O258,T_BATTINGDATA[[#This Row],[BATSMAN NAME]],$E$6:E258)),SUMIF($O$6:O258,T_BATTINGDATA[[#This Row],[BATSMAN NAME]],$E$6:E258))</f>
        <v>0</v>
      </c>
      <c r="AP258">
        <v>48</v>
      </c>
      <c r="AQ258" t="s">
        <v>149</v>
      </c>
      <c r="AR258" t="s">
        <v>321</v>
      </c>
      <c r="AS258">
        <v>8.5</v>
      </c>
      <c r="AT258">
        <v>0</v>
      </c>
      <c r="AU258">
        <v>28</v>
      </c>
      <c r="AV258">
        <v>2</v>
      </c>
      <c r="AW258">
        <v>3.16</v>
      </c>
      <c r="AX258">
        <v>38</v>
      </c>
      <c r="AY258">
        <v>2</v>
      </c>
      <c r="AZ258">
        <v>0</v>
      </c>
      <c r="BA258">
        <v>2</v>
      </c>
      <c r="BB258">
        <v>1</v>
      </c>
      <c r="BC258">
        <v>1</v>
      </c>
      <c r="BD258" t="str">
        <f>CONCATENATE(Table9[[#This Row],[Match Number]],Table9[[#This Row],[Team]],Table9[[#This Row],[BOWL NUM]])</f>
        <v>48Australia1</v>
      </c>
      <c r="BE258" t="str">
        <f>IFERROR(IF(AND(Table9[[#This Row],[Team]]=I_TEAM,IFERROR(IF(MATCH(Table9[[#This Row],[Bowler]],$AR$5:AR257,0)&gt;0,0),1)),1,0),"")</f>
        <v/>
      </c>
      <c r="BF258">
        <f>(LEFT(Table9[[#This Row],[Overs]],IFERROR(FIND(".",Table9[[#This Row],[Overs]])-1,LEN(Table9[[#This Row],[Overs]])))*6) + IFERROR(IF(FIND(".",Table9[[#This Row],[Overs]])+1&gt;0,RIGHT(Table9[[#This Row],[Overs]],1),0),0)</f>
        <v>53</v>
      </c>
      <c r="BG25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258" t="e">
        <f>IF(Table9[[#This Row],[Team]]=I_TEAM,Table9[[#This Row],[Wickets]]*100-Table9[[#This Row],[Runs]],0)</f>
        <v>#REF!</v>
      </c>
      <c r="BI258">
        <f>Table9[[#This Row],[Wickets]]*100-Table9[[#This Row],[Runs]]</f>
        <v>172</v>
      </c>
      <c r="BJ258">
        <f ca="1">IFERROR(IF(MATCH(Table9[[#This Row],[Bowler]],OFFSET(AR259,0,0,BOWLROWS-ROW(AR258)-ROW(Table9[[#Headers],[BOWLER CUML WICKETS]])),0)&gt;0,0,SUMIF($AR$6:AR258,Table9[[#This Row],[Bowler]],$AV$6:AV258)),SUMIF($AR$6:AR258,Table9[[#This Row],[Bowler]],$AV$6:AV258))</f>
        <v>0</v>
      </c>
      <c r="BK258">
        <f ca="1">IFERROR(IF(MATCH(Table9[[#This Row],[Bowler]],OFFSET(AR259,0,0,BOWLROWS-ROW(AR258)-ROW(Table9[[#Headers],[BOWLER CUML WICKETS]])),0)&gt;0,0,SUMIF($AR$6:AR258,Table9[[#This Row],[Bowler]],$AU$6:AU258)),SUMIF($AR$6:AR258,Table9[[#This Row],[Bowler]],$AU$6:AU258))</f>
        <v>0</v>
      </c>
      <c r="BL258">
        <f ca="1">Table9[[#This Row],[BOWLER CUML WICKETS]]*100-Table9[[#This Row],[BOWLER CUML RUNS]]</f>
        <v>0</v>
      </c>
    </row>
    <row r="259" spans="1:64" x14ac:dyDescent="0.3">
      <c r="A259">
        <v>8</v>
      </c>
      <c r="B259" t="s">
        <v>158</v>
      </c>
      <c r="C259" t="s">
        <v>211</v>
      </c>
      <c r="D259" t="s">
        <v>503</v>
      </c>
      <c r="E259">
        <v>9</v>
      </c>
      <c r="F259">
        <v>21</v>
      </c>
      <c r="G259">
        <v>22</v>
      </c>
      <c r="H259">
        <v>0</v>
      </c>
      <c r="I259">
        <v>0</v>
      </c>
      <c r="J259">
        <v>40.9</v>
      </c>
      <c r="K259">
        <v>6</v>
      </c>
      <c r="L259" t="str">
        <f>CONCATENATE(T_BATTINGDATA[[#This Row],[Match]],T_BATTINGDATA[[#This Row],[Team]],T_BATTINGDATA[[#This Row],[Bat Number]])</f>
        <v>8Zimbabwe6</v>
      </c>
      <c r="M259" t="str">
        <f>IFERROR(IF(AND(T_BATTINGDATA[[#This Row],[Team]]=I_TEAM,IFERROR(IF(MATCH(T_BATTINGDATA[[#This Row],[BATSMAN NAME]],$O$5:O258,0)&gt;0,0),1)),1,0),"")</f>
        <v/>
      </c>
      <c r="N259" t="e">
        <f>IF(T_BATTINGDATA[[#This Row],[Team]]=I_TEAM,T_BATTINGDATA[[#This Row],[R]],0)</f>
        <v>#REF!</v>
      </c>
      <c r="O259" t="str">
        <f>LEFT(T_BATTINGDATA[[#This Row],[Batsman]],IFERROR(FIND("*",T_BATTINGDATA[[#This Row],[Batsman]])-1,IFERROR(FIND("†",T_BATTINGDATA[[#This Row],[Batsman]])-1,LEN(T_BATTINGDATA[[#This Row],[Batsman]]))))</f>
        <v>SF Mire</v>
      </c>
      <c r="P259">
        <f ca="1">IFERROR(IF(MATCH(T_BATTINGDATA[[#This Row],[BATSMAN NAME]],OFFSET(O260,0,0,BATROWS-ROW(O259)-ROW(T_BATTINGDATA[[#Headers],[BATSMAN NAME]])),0)&gt;0,0,SUMIF($O$6:O259,T_BATTINGDATA[[#This Row],[BATSMAN NAME]],$E$6:E259)),SUMIF($O$6:O259,T_BATTINGDATA[[#This Row],[BATSMAN NAME]],$E$6:E259))</f>
        <v>0</v>
      </c>
      <c r="AP259">
        <v>48</v>
      </c>
      <c r="AQ259" t="s">
        <v>149</v>
      </c>
      <c r="AR259" t="s">
        <v>322</v>
      </c>
      <c r="AS259">
        <v>10</v>
      </c>
      <c r="AT259">
        <v>1</v>
      </c>
      <c r="AU259">
        <v>41</v>
      </c>
      <c r="AV259">
        <v>1</v>
      </c>
      <c r="AW259">
        <v>4.0999999999999996</v>
      </c>
      <c r="AX259">
        <v>36</v>
      </c>
      <c r="AY259">
        <v>4</v>
      </c>
      <c r="AZ259">
        <v>0</v>
      </c>
      <c r="BA259">
        <v>0</v>
      </c>
      <c r="BB259">
        <v>0</v>
      </c>
      <c r="BC259">
        <v>2</v>
      </c>
      <c r="BD259" t="str">
        <f>CONCATENATE(Table9[[#This Row],[Match Number]],Table9[[#This Row],[Team]],Table9[[#This Row],[BOWL NUM]])</f>
        <v>48Australia2</v>
      </c>
      <c r="BE259" t="str">
        <f>IFERROR(IF(AND(Table9[[#This Row],[Team]]=I_TEAM,IFERROR(IF(MATCH(Table9[[#This Row],[Bowler]],$AR$5:AR258,0)&gt;0,0),1)),1,0),"")</f>
        <v/>
      </c>
      <c r="BF25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5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259" t="e">
        <f>IF(Table9[[#This Row],[Team]]=I_TEAM,Table9[[#This Row],[Wickets]]*100-Table9[[#This Row],[Runs]],0)</f>
        <v>#REF!</v>
      </c>
      <c r="BI259">
        <f>Table9[[#This Row],[Wickets]]*100-Table9[[#This Row],[Runs]]</f>
        <v>59</v>
      </c>
      <c r="BJ259">
        <f ca="1">IFERROR(IF(MATCH(Table9[[#This Row],[Bowler]],OFFSET(AR260,0,0,BOWLROWS-ROW(AR259)-ROW(Table9[[#Headers],[BOWLER CUML WICKETS]])),0)&gt;0,0,SUMIF($AR$6:AR259,Table9[[#This Row],[Bowler]],$AV$6:AV259)),SUMIF($AR$6:AR259,Table9[[#This Row],[Bowler]],$AV$6:AV259))</f>
        <v>0</v>
      </c>
      <c r="BK259">
        <f ca="1">IFERROR(IF(MATCH(Table9[[#This Row],[Bowler]],OFFSET(AR260,0,0,BOWLROWS-ROW(AR259)-ROW(Table9[[#Headers],[BOWLER CUML WICKETS]])),0)&gt;0,0,SUMIF($AR$6:AR259,Table9[[#This Row],[Bowler]],$AU$6:AU259)),SUMIF($AR$6:AR259,Table9[[#This Row],[Bowler]],$AU$6:AU259))</f>
        <v>0</v>
      </c>
      <c r="BL259">
        <f ca="1">Table9[[#This Row],[BOWLER CUML WICKETS]]*100-Table9[[#This Row],[BOWLER CUML RUNS]]</f>
        <v>0</v>
      </c>
    </row>
    <row r="260" spans="1:64" x14ac:dyDescent="0.3">
      <c r="A260">
        <v>8</v>
      </c>
      <c r="B260" t="s">
        <v>158</v>
      </c>
      <c r="C260" t="s">
        <v>231</v>
      </c>
      <c r="D260" t="s">
        <v>504</v>
      </c>
      <c r="E260">
        <v>42</v>
      </c>
      <c r="F260">
        <v>46</v>
      </c>
      <c r="G260">
        <v>32</v>
      </c>
      <c r="H260">
        <v>2</v>
      </c>
      <c r="I260">
        <v>2</v>
      </c>
      <c r="J260">
        <v>131.25</v>
      </c>
      <c r="K260">
        <v>7</v>
      </c>
      <c r="L260" t="str">
        <f>CONCATENATE(T_BATTINGDATA[[#This Row],[Match]],T_BATTINGDATA[[#This Row],[Team]],T_BATTINGDATA[[#This Row],[Bat Number]])</f>
        <v>8Zimbabwe7</v>
      </c>
      <c r="M260" t="str">
        <f>IFERROR(IF(AND(T_BATTINGDATA[[#This Row],[Team]]=I_TEAM,IFERROR(IF(MATCH(T_BATTINGDATA[[#This Row],[BATSMAN NAME]],$O$5:O259,0)&gt;0,0),1)),1,0),"")</f>
        <v/>
      </c>
      <c r="N260" t="e">
        <f>IF(T_BATTINGDATA[[#This Row],[Team]]=I_TEAM,T_BATTINGDATA[[#This Row],[R]],0)</f>
        <v>#REF!</v>
      </c>
      <c r="O260" t="str">
        <f>LEFT(T_BATTINGDATA[[#This Row],[Batsman]],IFERROR(FIND("*",T_BATTINGDATA[[#This Row],[Batsman]])-1,IFERROR(FIND("†",T_BATTINGDATA[[#This Row],[Batsman]])-1,LEN(T_BATTINGDATA[[#This Row],[Batsman]]))))</f>
        <v>CR Ervine</v>
      </c>
      <c r="P260">
        <f ca="1">IFERROR(IF(MATCH(T_BATTINGDATA[[#This Row],[BATSMAN NAME]],OFFSET(O261,0,0,BATROWS-ROW(O260)-ROW(T_BATTINGDATA[[#Headers],[BATSMAN NAME]])),0)&gt;0,0,SUMIF($O$6:O260,T_BATTINGDATA[[#This Row],[BATSMAN NAME]],$E$6:E260)),SUMIF($O$6:O260,T_BATTINGDATA[[#This Row],[BATSMAN NAME]],$E$6:E260))</f>
        <v>0</v>
      </c>
      <c r="AP260">
        <v>48</v>
      </c>
      <c r="AQ260" t="s">
        <v>149</v>
      </c>
      <c r="AR260" t="s">
        <v>323</v>
      </c>
      <c r="AS260">
        <v>10</v>
      </c>
      <c r="AT260">
        <v>0</v>
      </c>
      <c r="AU260">
        <v>50</v>
      </c>
      <c r="AV260">
        <v>2</v>
      </c>
      <c r="AW260">
        <v>5</v>
      </c>
      <c r="AX260">
        <v>31</v>
      </c>
      <c r="AY260">
        <v>2</v>
      </c>
      <c r="AZ260">
        <v>2</v>
      </c>
      <c r="BA260">
        <v>2</v>
      </c>
      <c r="BB260">
        <v>0</v>
      </c>
      <c r="BC260">
        <v>3</v>
      </c>
      <c r="BD260" t="str">
        <f>CONCATENATE(Table9[[#This Row],[Match Number]],Table9[[#This Row],[Team]],Table9[[#This Row],[BOWL NUM]])</f>
        <v>48Australia3</v>
      </c>
      <c r="BE260" t="str">
        <f>IFERROR(IF(AND(Table9[[#This Row],[Team]]=I_TEAM,IFERROR(IF(MATCH(Table9[[#This Row],[Bowler]],$AR$5:AR259,0)&gt;0,0),1)),1,0),"")</f>
        <v/>
      </c>
      <c r="BF26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6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260" t="e">
        <f>IF(Table9[[#This Row],[Team]]=I_TEAM,Table9[[#This Row],[Wickets]]*100-Table9[[#This Row],[Runs]],0)</f>
        <v>#REF!</v>
      </c>
      <c r="BI260">
        <f>Table9[[#This Row],[Wickets]]*100-Table9[[#This Row],[Runs]]</f>
        <v>150</v>
      </c>
      <c r="BJ260">
        <f ca="1">IFERROR(IF(MATCH(Table9[[#This Row],[Bowler]],OFFSET(AR261,0,0,BOWLROWS-ROW(AR260)-ROW(Table9[[#Headers],[BOWLER CUML WICKETS]])),0)&gt;0,0,SUMIF($AR$6:AR260,Table9[[#This Row],[Bowler]],$AV$6:AV260)),SUMIF($AR$6:AR260,Table9[[#This Row],[Bowler]],$AV$6:AV260))</f>
        <v>0</v>
      </c>
      <c r="BK260">
        <f ca="1">IFERROR(IF(MATCH(Table9[[#This Row],[Bowler]],OFFSET(AR261,0,0,BOWLROWS-ROW(AR260)-ROW(Table9[[#Headers],[BOWLER CUML WICKETS]])),0)&gt;0,0,SUMIF($AR$6:AR260,Table9[[#This Row],[Bowler]],$AU$6:AU260)),SUMIF($AR$6:AR260,Table9[[#This Row],[Bowler]],$AU$6:AU260))</f>
        <v>0</v>
      </c>
      <c r="BL260">
        <f ca="1">Table9[[#This Row],[BOWLER CUML WICKETS]]*100-Table9[[#This Row],[BOWLER CUML RUNS]]</f>
        <v>0</v>
      </c>
    </row>
    <row r="261" spans="1:64" x14ac:dyDescent="0.3">
      <c r="A261">
        <v>8</v>
      </c>
      <c r="B261" t="s">
        <v>158</v>
      </c>
      <c r="C261" t="s">
        <v>424</v>
      </c>
      <c r="D261" t="s">
        <v>167</v>
      </c>
      <c r="E261">
        <v>14</v>
      </c>
      <c r="F261">
        <v>23</v>
      </c>
      <c r="G261">
        <v>15</v>
      </c>
      <c r="H261">
        <v>2</v>
      </c>
      <c r="I261">
        <v>0</v>
      </c>
      <c r="J261">
        <v>93.33</v>
      </c>
      <c r="K261">
        <v>8</v>
      </c>
      <c r="L261" t="str">
        <f>CONCATENATE(T_BATTINGDATA[[#This Row],[Match]],T_BATTINGDATA[[#This Row],[Team]],T_BATTINGDATA[[#This Row],[Bat Number]])</f>
        <v>8Zimbabwe8</v>
      </c>
      <c r="M261" t="str">
        <f>IFERROR(IF(AND(T_BATTINGDATA[[#This Row],[Team]]=I_TEAM,IFERROR(IF(MATCH(T_BATTINGDATA[[#This Row],[BATSMAN NAME]],$O$5:O260,0)&gt;0,0),1)),1,0),"")</f>
        <v/>
      </c>
      <c r="N261" t="e">
        <f>IF(T_BATTINGDATA[[#This Row],[Team]]=I_TEAM,T_BATTINGDATA[[#This Row],[R]],0)</f>
        <v>#REF!</v>
      </c>
      <c r="O261" t="str">
        <f>LEFT(T_BATTINGDATA[[#This Row],[Batsman]],IFERROR(FIND("*",T_BATTINGDATA[[#This Row],[Batsman]])-1,IFERROR(FIND("†",T_BATTINGDATA[[#This Row],[Batsman]])-1,LEN(T_BATTINGDATA[[#This Row],[Batsman]]))))</f>
        <v>E Chigumbura</v>
      </c>
      <c r="P261">
        <f ca="1">IFERROR(IF(MATCH(T_BATTINGDATA[[#This Row],[BATSMAN NAME]],OFFSET(O262,0,0,BATROWS-ROW(O261)-ROW(T_BATTINGDATA[[#Headers],[BATSMAN NAME]])),0)&gt;0,0,SUMIF($O$6:O261,T_BATTINGDATA[[#This Row],[BATSMAN NAME]],$E$6:E261)),SUMIF($O$6:O261,T_BATTINGDATA[[#This Row],[BATSMAN NAME]],$E$6:E261))</f>
        <v>0</v>
      </c>
      <c r="AP261">
        <v>48</v>
      </c>
      <c r="AQ261" t="s">
        <v>149</v>
      </c>
      <c r="AR261" t="s">
        <v>505</v>
      </c>
      <c r="AS261">
        <v>9</v>
      </c>
      <c r="AT261">
        <v>1</v>
      </c>
      <c r="AU261">
        <v>59</v>
      </c>
      <c r="AV261">
        <v>3</v>
      </c>
      <c r="AW261">
        <v>6.55</v>
      </c>
      <c r="AX261">
        <v>23</v>
      </c>
      <c r="AY261">
        <v>6</v>
      </c>
      <c r="AZ261">
        <v>1</v>
      </c>
      <c r="BA261">
        <v>1</v>
      </c>
      <c r="BB261">
        <v>1</v>
      </c>
      <c r="BC261">
        <v>4</v>
      </c>
      <c r="BD261" t="str">
        <f>CONCATENATE(Table9[[#This Row],[Match Number]],Table9[[#This Row],[Team]],Table9[[#This Row],[BOWL NUM]])</f>
        <v>48Australia4</v>
      </c>
      <c r="BE261" t="str">
        <f>IFERROR(IF(AND(Table9[[#This Row],[Team]]=I_TEAM,IFERROR(IF(MATCH(Table9[[#This Row],[Bowler]],$AR$5:AR260,0)&gt;0,0),1)),1,0),"")</f>
        <v/>
      </c>
      <c r="BF261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6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261" t="e">
        <f>IF(Table9[[#This Row],[Team]]=I_TEAM,Table9[[#This Row],[Wickets]]*100-Table9[[#This Row],[Runs]],0)</f>
        <v>#REF!</v>
      </c>
      <c r="BI261">
        <f>Table9[[#This Row],[Wickets]]*100-Table9[[#This Row],[Runs]]</f>
        <v>241</v>
      </c>
      <c r="BJ261">
        <f ca="1">IFERROR(IF(MATCH(Table9[[#This Row],[Bowler]],OFFSET(AR262,0,0,BOWLROWS-ROW(AR261)-ROW(Table9[[#Headers],[BOWLER CUML WICKETS]])),0)&gt;0,0,SUMIF($AR$6:AR261,Table9[[#This Row],[Bowler]],$AV$6:AV261)),SUMIF($AR$6:AR261,Table9[[#This Row],[Bowler]],$AV$6:AV261))</f>
        <v>0</v>
      </c>
      <c r="BK261">
        <f ca="1">IFERROR(IF(MATCH(Table9[[#This Row],[Bowler]],OFFSET(AR262,0,0,BOWLROWS-ROW(AR261)-ROW(Table9[[#Headers],[BOWLER CUML WICKETS]])),0)&gt;0,0,SUMIF($AR$6:AR261,Table9[[#This Row],[Bowler]],$AU$6:AU261)),SUMIF($AR$6:AR261,Table9[[#This Row],[Bowler]],$AU$6:AU261))</f>
        <v>0</v>
      </c>
      <c r="BL261">
        <f ca="1">Table9[[#This Row],[BOWLER CUML WICKETS]]*100-Table9[[#This Row],[BOWLER CUML RUNS]]</f>
        <v>0</v>
      </c>
    </row>
    <row r="262" spans="1:64" x14ac:dyDescent="0.3">
      <c r="A262">
        <v>9</v>
      </c>
      <c r="B262" t="s">
        <v>154</v>
      </c>
      <c r="C262" t="s">
        <v>399</v>
      </c>
      <c r="D262" t="s">
        <v>506</v>
      </c>
      <c r="E262">
        <v>8</v>
      </c>
      <c r="F262">
        <v>18</v>
      </c>
      <c r="G262">
        <v>17</v>
      </c>
      <c r="H262">
        <v>1</v>
      </c>
      <c r="I262">
        <v>0</v>
      </c>
      <c r="J262">
        <v>47.05</v>
      </c>
      <c r="K262">
        <v>1</v>
      </c>
      <c r="L262" t="str">
        <f>CONCATENATE(T_BATTINGDATA[[#This Row],[Match]],T_BATTINGDATA[[#This Row],[Team]],T_BATTINGDATA[[#This Row],[Bat Number]])</f>
        <v>9England1</v>
      </c>
      <c r="M262" t="str">
        <f>IFERROR(IF(AND(T_BATTINGDATA[[#This Row],[Team]]=I_TEAM,IFERROR(IF(MATCH(T_BATTINGDATA[[#This Row],[BATSMAN NAME]],$O$5:O261,0)&gt;0,0),1)),1,0),"")</f>
        <v/>
      </c>
      <c r="N262" t="e">
        <f>IF(T_BATTINGDATA[[#This Row],[Team]]=I_TEAM,T_BATTINGDATA[[#This Row],[R]],0)</f>
        <v>#REF!</v>
      </c>
      <c r="O262" t="str">
        <f>LEFT(T_BATTINGDATA[[#This Row],[Batsman]],IFERROR(FIND("*",T_BATTINGDATA[[#This Row],[Batsman]])-1,IFERROR(FIND("†",T_BATTINGDATA[[#This Row],[Batsman]])-1,LEN(T_BATTINGDATA[[#This Row],[Batsman]]))))</f>
        <v>IR Bell</v>
      </c>
      <c r="P262">
        <f ca="1">IFERROR(IF(MATCH(T_BATTINGDATA[[#This Row],[BATSMAN NAME]],OFFSET(O263,0,0,BATROWS-ROW(O262)-ROW(T_BATTINGDATA[[#Headers],[BATSMAN NAME]])),0)&gt;0,0,SUMIF($O$6:O262,T_BATTINGDATA[[#This Row],[BATSMAN NAME]],$E$6:E262)),SUMIF($O$6:O262,T_BATTINGDATA[[#This Row],[BATSMAN NAME]],$E$6:E262))</f>
        <v>0</v>
      </c>
      <c r="AP262">
        <v>48</v>
      </c>
      <c r="AQ262" t="s">
        <v>149</v>
      </c>
      <c r="AR262" t="s">
        <v>329</v>
      </c>
      <c r="AS262">
        <v>5</v>
      </c>
      <c r="AT262">
        <v>0</v>
      </c>
      <c r="AU262">
        <v>18</v>
      </c>
      <c r="AV262">
        <v>0</v>
      </c>
      <c r="AW262">
        <v>3.6</v>
      </c>
      <c r="AX262">
        <v>13</v>
      </c>
      <c r="AY262">
        <v>0</v>
      </c>
      <c r="AZ262">
        <v>0</v>
      </c>
      <c r="BA262">
        <v>0</v>
      </c>
      <c r="BB262">
        <v>0</v>
      </c>
      <c r="BC262">
        <v>5</v>
      </c>
      <c r="BD262" t="str">
        <f>CONCATENATE(Table9[[#This Row],[Match Number]],Table9[[#This Row],[Team]],Table9[[#This Row],[BOWL NUM]])</f>
        <v>48Australia5</v>
      </c>
      <c r="BE262" t="str">
        <f>IFERROR(IF(AND(Table9[[#This Row],[Team]]=I_TEAM,IFERROR(IF(MATCH(Table9[[#This Row],[Bowler]],$AR$5:AR261,0)&gt;0,0),1)),1,0),"")</f>
        <v/>
      </c>
      <c r="BF262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26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262" t="e">
        <f>IF(Table9[[#This Row],[Team]]=I_TEAM,Table9[[#This Row],[Wickets]]*100-Table9[[#This Row],[Runs]],0)</f>
        <v>#REF!</v>
      </c>
      <c r="BI262">
        <f>Table9[[#This Row],[Wickets]]*100-Table9[[#This Row],[Runs]]</f>
        <v>-18</v>
      </c>
      <c r="BJ262">
        <f ca="1">IFERROR(IF(MATCH(Table9[[#This Row],[Bowler]],OFFSET(AR263,0,0,BOWLROWS-ROW(AR262)-ROW(Table9[[#Headers],[BOWLER CUML WICKETS]])),0)&gt;0,0,SUMIF($AR$6:AR262,Table9[[#This Row],[Bowler]],$AV$6:AV262)),SUMIF($AR$6:AR262,Table9[[#This Row],[Bowler]],$AV$6:AV262))</f>
        <v>0</v>
      </c>
      <c r="BK262">
        <f ca="1">IFERROR(IF(MATCH(Table9[[#This Row],[Bowler]],OFFSET(AR263,0,0,BOWLROWS-ROW(AR262)-ROW(Table9[[#Headers],[BOWLER CUML WICKETS]])),0)&gt;0,0,SUMIF($AR$6:AR262,Table9[[#This Row],[Bowler]],$AU$6:AU262)),SUMIF($AR$6:AR262,Table9[[#This Row],[Bowler]],$AU$6:AU262))</f>
        <v>0</v>
      </c>
      <c r="BL262">
        <f ca="1">Table9[[#This Row],[BOWLER CUML WICKETS]]*100-Table9[[#This Row],[BOWLER CUML RUNS]]</f>
        <v>0</v>
      </c>
    </row>
    <row r="263" spans="1:64" x14ac:dyDescent="0.3">
      <c r="A263">
        <v>9</v>
      </c>
      <c r="B263" t="s">
        <v>154</v>
      </c>
      <c r="C263" t="s">
        <v>318</v>
      </c>
      <c r="D263" t="s">
        <v>506</v>
      </c>
      <c r="E263">
        <v>20</v>
      </c>
      <c r="F263">
        <v>31</v>
      </c>
      <c r="G263">
        <v>15</v>
      </c>
      <c r="H263">
        <v>4</v>
      </c>
      <c r="I263">
        <v>0</v>
      </c>
      <c r="J263">
        <v>133.33000000000001</v>
      </c>
      <c r="K263">
        <v>2</v>
      </c>
      <c r="L263" t="str">
        <f>CONCATENATE(T_BATTINGDATA[[#This Row],[Match]],T_BATTINGDATA[[#This Row],[Team]],T_BATTINGDATA[[#This Row],[Bat Number]])</f>
        <v>9England2</v>
      </c>
      <c r="M263" t="str">
        <f>IFERROR(IF(AND(T_BATTINGDATA[[#This Row],[Team]]=I_TEAM,IFERROR(IF(MATCH(T_BATTINGDATA[[#This Row],[BATSMAN NAME]],$O$5:O262,0)&gt;0,0),1)),1,0),"")</f>
        <v/>
      </c>
      <c r="N263" t="e">
        <f>IF(T_BATTINGDATA[[#This Row],[Team]]=I_TEAM,T_BATTINGDATA[[#This Row],[R]],0)</f>
        <v>#REF!</v>
      </c>
      <c r="O263" t="str">
        <f>LEFT(T_BATTINGDATA[[#This Row],[Batsman]],IFERROR(FIND("*",T_BATTINGDATA[[#This Row],[Batsman]])-1,IFERROR(FIND("†",T_BATTINGDATA[[#This Row],[Batsman]])-1,LEN(T_BATTINGDATA[[#This Row],[Batsman]]))))</f>
        <v>MM Ali</v>
      </c>
      <c r="P263">
        <f ca="1">IFERROR(IF(MATCH(T_BATTINGDATA[[#This Row],[BATSMAN NAME]],OFFSET(O264,0,0,BATROWS-ROW(O263)-ROW(T_BATTINGDATA[[#Headers],[BATSMAN NAME]])),0)&gt;0,0,SUMIF($O$6:O263,T_BATTINGDATA[[#This Row],[BATSMAN NAME]],$E$6:E263)),SUMIF($O$6:O263,T_BATTINGDATA[[#This Row],[BATSMAN NAME]],$E$6:E263))</f>
        <v>0</v>
      </c>
      <c r="AP263">
        <v>48</v>
      </c>
      <c r="AQ263" t="s">
        <v>149</v>
      </c>
      <c r="AR263" t="s">
        <v>327</v>
      </c>
      <c r="AS263">
        <v>4</v>
      </c>
      <c r="AT263">
        <v>0</v>
      </c>
      <c r="AU263">
        <v>29</v>
      </c>
      <c r="AV263">
        <v>0</v>
      </c>
      <c r="AW263">
        <v>7.25</v>
      </c>
      <c r="AX263">
        <v>10</v>
      </c>
      <c r="AY263">
        <v>1</v>
      </c>
      <c r="AZ263">
        <v>2</v>
      </c>
      <c r="BA263">
        <v>0</v>
      </c>
      <c r="BB263">
        <v>0</v>
      </c>
      <c r="BC263">
        <v>6</v>
      </c>
      <c r="BD263" t="str">
        <f>CONCATENATE(Table9[[#This Row],[Match Number]],Table9[[#This Row],[Team]],Table9[[#This Row],[BOWL NUM]])</f>
        <v>48Australia6</v>
      </c>
      <c r="BE263" t="str">
        <f>IFERROR(IF(AND(Table9[[#This Row],[Team]]=I_TEAM,IFERROR(IF(MATCH(Table9[[#This Row],[Bowler]],$AR$5:AR262,0)&gt;0,0),1)),1,0),"")</f>
        <v/>
      </c>
      <c r="BF263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26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263" t="e">
        <f>IF(Table9[[#This Row],[Team]]=I_TEAM,Table9[[#This Row],[Wickets]]*100-Table9[[#This Row],[Runs]],0)</f>
        <v>#REF!</v>
      </c>
      <c r="BI263">
        <f>Table9[[#This Row],[Wickets]]*100-Table9[[#This Row],[Runs]]</f>
        <v>-29</v>
      </c>
      <c r="BJ263">
        <f ca="1">IFERROR(IF(MATCH(Table9[[#This Row],[Bowler]],OFFSET(AR264,0,0,BOWLROWS-ROW(AR263)-ROW(Table9[[#Headers],[BOWLER CUML WICKETS]])),0)&gt;0,0,SUMIF($AR$6:AR263,Table9[[#This Row],[Bowler]],$AV$6:AV263)),SUMIF($AR$6:AR263,Table9[[#This Row],[Bowler]],$AV$6:AV263))</f>
        <v>0</v>
      </c>
      <c r="BK263">
        <f ca="1">IFERROR(IF(MATCH(Table9[[#This Row],[Bowler]],OFFSET(AR264,0,0,BOWLROWS-ROW(AR263)-ROW(Table9[[#Headers],[BOWLER CUML WICKETS]])),0)&gt;0,0,SUMIF($AR$6:AR263,Table9[[#This Row],[Bowler]],$AU$6:AU263)),SUMIF($AR$6:AR263,Table9[[#This Row],[Bowler]],$AU$6:AU263))</f>
        <v>0</v>
      </c>
      <c r="BL263">
        <f ca="1">Table9[[#This Row],[BOWLER CUML WICKETS]]*100-Table9[[#This Row],[BOWLER CUML RUNS]]</f>
        <v>0</v>
      </c>
    </row>
    <row r="264" spans="1:64" x14ac:dyDescent="0.3">
      <c r="A264">
        <v>9</v>
      </c>
      <c r="B264" t="s">
        <v>154</v>
      </c>
      <c r="C264" t="s">
        <v>402</v>
      </c>
      <c r="D264" t="s">
        <v>507</v>
      </c>
      <c r="E264">
        <v>10</v>
      </c>
      <c r="F264">
        <v>46</v>
      </c>
      <c r="G264">
        <v>26</v>
      </c>
      <c r="H264">
        <v>0</v>
      </c>
      <c r="I264">
        <v>0</v>
      </c>
      <c r="J264">
        <v>38.46</v>
      </c>
      <c r="K264">
        <v>3</v>
      </c>
      <c r="L264" t="str">
        <f>CONCATENATE(T_BATTINGDATA[[#This Row],[Match]],T_BATTINGDATA[[#This Row],[Team]],T_BATTINGDATA[[#This Row],[Bat Number]])</f>
        <v>9England3</v>
      </c>
      <c r="M264" t="str">
        <f>IFERROR(IF(AND(T_BATTINGDATA[[#This Row],[Team]]=I_TEAM,IFERROR(IF(MATCH(T_BATTINGDATA[[#This Row],[BATSMAN NAME]],$O$5:O263,0)&gt;0,0),1)),1,0),"")</f>
        <v/>
      </c>
      <c r="N264" t="e">
        <f>IF(T_BATTINGDATA[[#This Row],[Team]]=I_TEAM,T_BATTINGDATA[[#This Row],[R]],0)</f>
        <v>#REF!</v>
      </c>
      <c r="O264" t="str">
        <f>LEFT(T_BATTINGDATA[[#This Row],[Batsman]],IFERROR(FIND("*",T_BATTINGDATA[[#This Row],[Batsman]])-1,IFERROR(FIND("†",T_BATTINGDATA[[#This Row],[Batsman]])-1,LEN(T_BATTINGDATA[[#This Row],[Batsman]]))))</f>
        <v>GS Ballance</v>
      </c>
      <c r="P264">
        <f ca="1">IFERROR(IF(MATCH(T_BATTINGDATA[[#This Row],[BATSMAN NAME]],OFFSET(O265,0,0,BATROWS-ROW(O264)-ROW(T_BATTINGDATA[[#Headers],[BATSMAN NAME]])),0)&gt;0,0,SUMIF($O$6:O264,T_BATTINGDATA[[#This Row],[BATSMAN NAME]],$E$6:E264)),SUMIF($O$6:O264,T_BATTINGDATA[[#This Row],[BATSMAN NAME]],$E$6:E264))</f>
        <v>0</v>
      </c>
      <c r="AP264">
        <v>45</v>
      </c>
      <c r="AQ264" t="s">
        <v>149</v>
      </c>
      <c r="AR264" t="s">
        <v>321</v>
      </c>
      <c r="AS264">
        <v>10</v>
      </c>
      <c r="AT264">
        <v>1</v>
      </c>
      <c r="AU264">
        <v>40</v>
      </c>
      <c r="AV264">
        <v>2</v>
      </c>
      <c r="AW264">
        <v>4</v>
      </c>
      <c r="AX264">
        <v>38</v>
      </c>
      <c r="AY264">
        <v>3</v>
      </c>
      <c r="AZ264">
        <v>0</v>
      </c>
      <c r="BA264">
        <v>2</v>
      </c>
      <c r="BB264">
        <v>0</v>
      </c>
      <c r="BC264">
        <v>1</v>
      </c>
      <c r="BD264" t="str">
        <f>CONCATENATE(Table9[[#This Row],[Match Number]],Table9[[#This Row],[Team]],Table9[[#This Row],[BOWL NUM]])</f>
        <v>45Australia1</v>
      </c>
      <c r="BE264" t="str">
        <f>IFERROR(IF(AND(Table9[[#This Row],[Team]]=I_TEAM,IFERROR(IF(MATCH(Table9[[#This Row],[Bowler]],$AR$5:AR263,0)&gt;0,0),1)),1,0),"")</f>
        <v/>
      </c>
      <c r="BF26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6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64" t="e">
        <f>IF(Table9[[#This Row],[Team]]=I_TEAM,Table9[[#This Row],[Wickets]]*100-Table9[[#This Row],[Runs]],0)</f>
        <v>#REF!</v>
      </c>
      <c r="BI264">
        <f>Table9[[#This Row],[Wickets]]*100-Table9[[#This Row],[Runs]]</f>
        <v>160</v>
      </c>
      <c r="BJ264">
        <f ca="1">IFERROR(IF(MATCH(Table9[[#This Row],[Bowler]],OFFSET(AR265,0,0,BOWLROWS-ROW(AR264)-ROW(Table9[[#Headers],[BOWLER CUML WICKETS]])),0)&gt;0,0,SUMIF($AR$6:AR264,Table9[[#This Row],[Bowler]],$AV$6:AV264)),SUMIF($AR$6:AR264,Table9[[#This Row],[Bowler]],$AV$6:AV264))</f>
        <v>0</v>
      </c>
      <c r="BK264">
        <f ca="1">IFERROR(IF(MATCH(Table9[[#This Row],[Bowler]],OFFSET(AR265,0,0,BOWLROWS-ROW(AR264)-ROW(Table9[[#Headers],[BOWLER CUML WICKETS]])),0)&gt;0,0,SUMIF($AR$6:AR264,Table9[[#This Row],[Bowler]],$AU$6:AU264)),SUMIF($AR$6:AR264,Table9[[#This Row],[Bowler]],$AU$6:AU264))</f>
        <v>0</v>
      </c>
      <c r="BL264">
        <f ca="1">Table9[[#This Row],[BOWLER CUML WICKETS]]*100-Table9[[#This Row],[BOWLER CUML RUNS]]</f>
        <v>0</v>
      </c>
    </row>
    <row r="265" spans="1:64" x14ac:dyDescent="0.3">
      <c r="A265">
        <v>9</v>
      </c>
      <c r="B265" t="s">
        <v>154</v>
      </c>
      <c r="C265" t="s">
        <v>320</v>
      </c>
      <c r="D265" t="s">
        <v>508</v>
      </c>
      <c r="E265">
        <v>46</v>
      </c>
      <c r="F265">
        <v>123</v>
      </c>
      <c r="G265">
        <v>70</v>
      </c>
      <c r="H265">
        <v>3</v>
      </c>
      <c r="I265">
        <v>0</v>
      </c>
      <c r="J265">
        <v>65.709999999999994</v>
      </c>
      <c r="K265">
        <v>4</v>
      </c>
      <c r="L265" t="str">
        <f>CONCATENATE(T_BATTINGDATA[[#This Row],[Match]],T_BATTINGDATA[[#This Row],[Team]],T_BATTINGDATA[[#This Row],[Bat Number]])</f>
        <v>9England4</v>
      </c>
      <c r="M265" t="str">
        <f>IFERROR(IF(AND(T_BATTINGDATA[[#This Row],[Team]]=I_TEAM,IFERROR(IF(MATCH(T_BATTINGDATA[[#This Row],[BATSMAN NAME]],$O$5:O264,0)&gt;0,0),1)),1,0),"")</f>
        <v/>
      </c>
      <c r="N265" t="e">
        <f>IF(T_BATTINGDATA[[#This Row],[Team]]=I_TEAM,T_BATTINGDATA[[#This Row],[R]],0)</f>
        <v>#REF!</v>
      </c>
      <c r="O265" t="str">
        <f>LEFT(T_BATTINGDATA[[#This Row],[Batsman]],IFERROR(FIND("*",T_BATTINGDATA[[#This Row],[Batsman]])-1,IFERROR(FIND("†",T_BATTINGDATA[[#This Row],[Batsman]])-1,LEN(T_BATTINGDATA[[#This Row],[Batsman]]))))</f>
        <v>JE Root</v>
      </c>
      <c r="P265">
        <f ca="1">IFERROR(IF(MATCH(T_BATTINGDATA[[#This Row],[BATSMAN NAME]],OFFSET(O266,0,0,BATROWS-ROW(O265)-ROW(T_BATTINGDATA[[#Headers],[BATSMAN NAME]])),0)&gt;0,0,SUMIF($O$6:O265,T_BATTINGDATA[[#This Row],[BATSMAN NAME]],$E$6:E265)),SUMIF($O$6:O265,T_BATTINGDATA[[#This Row],[BATSMAN NAME]],$E$6:E265))</f>
        <v>0</v>
      </c>
      <c r="AP265">
        <v>45</v>
      </c>
      <c r="AQ265" t="s">
        <v>149</v>
      </c>
      <c r="AR265" t="s">
        <v>322</v>
      </c>
      <c r="AS265">
        <v>10</v>
      </c>
      <c r="AT265">
        <v>1</v>
      </c>
      <c r="AU265">
        <v>35</v>
      </c>
      <c r="AV265">
        <v>4</v>
      </c>
      <c r="AW265">
        <v>3.5</v>
      </c>
      <c r="AX265">
        <v>41</v>
      </c>
      <c r="AY265">
        <v>4</v>
      </c>
      <c r="AZ265">
        <v>0</v>
      </c>
      <c r="BA265">
        <v>1</v>
      </c>
      <c r="BB265">
        <v>0</v>
      </c>
      <c r="BC265">
        <v>2</v>
      </c>
      <c r="BD265" t="str">
        <f>CONCATENATE(Table9[[#This Row],[Match Number]],Table9[[#This Row],[Team]],Table9[[#This Row],[BOWL NUM]])</f>
        <v>45Australia2</v>
      </c>
      <c r="BE265" t="str">
        <f>IFERROR(IF(AND(Table9[[#This Row],[Team]]=I_TEAM,IFERROR(IF(MATCH(Table9[[#This Row],[Bowler]],$AR$5:AR264,0)&gt;0,0),1)),1,0),"")</f>
        <v/>
      </c>
      <c r="BF26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6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65" t="e">
        <f>IF(Table9[[#This Row],[Team]]=I_TEAM,Table9[[#This Row],[Wickets]]*100-Table9[[#This Row],[Runs]],0)</f>
        <v>#REF!</v>
      </c>
      <c r="BI265">
        <f>Table9[[#This Row],[Wickets]]*100-Table9[[#This Row],[Runs]]</f>
        <v>365</v>
      </c>
      <c r="BJ265">
        <f ca="1">IFERROR(IF(MATCH(Table9[[#This Row],[Bowler]],OFFSET(AR266,0,0,BOWLROWS-ROW(AR265)-ROW(Table9[[#Headers],[BOWLER CUML WICKETS]])),0)&gt;0,0,SUMIF($AR$6:AR265,Table9[[#This Row],[Bowler]],$AV$6:AV265)),SUMIF($AR$6:AR265,Table9[[#This Row],[Bowler]],$AV$6:AV265))</f>
        <v>0</v>
      </c>
      <c r="BK265">
        <f ca="1">IFERROR(IF(MATCH(Table9[[#This Row],[Bowler]],OFFSET(AR266,0,0,BOWLROWS-ROW(AR265)-ROW(Table9[[#Headers],[BOWLER CUML WICKETS]])),0)&gt;0,0,SUMIF($AR$6:AR265,Table9[[#This Row],[Bowler]],$AU$6:AU265)),SUMIF($AR$6:AR265,Table9[[#This Row],[Bowler]],$AU$6:AU265))</f>
        <v>0</v>
      </c>
      <c r="BL265">
        <f ca="1">Table9[[#This Row],[BOWLER CUML WICKETS]]*100-Table9[[#This Row],[BOWLER CUML RUNS]]</f>
        <v>0</v>
      </c>
    </row>
    <row r="266" spans="1:64" x14ac:dyDescent="0.3">
      <c r="A266">
        <v>9</v>
      </c>
      <c r="B266" t="s">
        <v>154</v>
      </c>
      <c r="C266" t="s">
        <v>405</v>
      </c>
      <c r="D266" t="s">
        <v>509</v>
      </c>
      <c r="E266">
        <v>17</v>
      </c>
      <c r="F266">
        <v>51</v>
      </c>
      <c r="G266">
        <v>41</v>
      </c>
      <c r="H266">
        <v>1</v>
      </c>
      <c r="I266">
        <v>0</v>
      </c>
      <c r="J266">
        <v>41.46</v>
      </c>
      <c r="K266">
        <v>5</v>
      </c>
      <c r="L266" t="str">
        <f>CONCATENATE(T_BATTINGDATA[[#This Row],[Match]],T_BATTINGDATA[[#This Row],[Team]],T_BATTINGDATA[[#This Row],[Bat Number]])</f>
        <v>9England5</v>
      </c>
      <c r="M266" t="str">
        <f>IFERROR(IF(AND(T_BATTINGDATA[[#This Row],[Team]]=I_TEAM,IFERROR(IF(MATCH(T_BATTINGDATA[[#This Row],[BATSMAN NAME]],$O$5:O265,0)&gt;0,0),1)),1,0),"")</f>
        <v/>
      </c>
      <c r="N266" t="e">
        <f>IF(T_BATTINGDATA[[#This Row],[Team]]=I_TEAM,T_BATTINGDATA[[#This Row],[R]],0)</f>
        <v>#REF!</v>
      </c>
      <c r="O266" t="str">
        <f>LEFT(T_BATTINGDATA[[#This Row],[Batsman]],IFERROR(FIND("*",T_BATTINGDATA[[#This Row],[Batsman]])-1,IFERROR(FIND("†",T_BATTINGDATA[[#This Row],[Batsman]])-1,LEN(T_BATTINGDATA[[#This Row],[Batsman]]))))</f>
        <v>EJG Morgan</v>
      </c>
      <c r="P266">
        <f ca="1">IFERROR(IF(MATCH(T_BATTINGDATA[[#This Row],[BATSMAN NAME]],OFFSET(O267,0,0,BATROWS-ROW(O266)-ROW(T_BATTINGDATA[[#Headers],[BATSMAN NAME]])),0)&gt;0,0,SUMIF($O$6:O266,T_BATTINGDATA[[#This Row],[BATSMAN NAME]],$E$6:E266)),SUMIF($O$6:O266,T_BATTINGDATA[[#This Row],[BATSMAN NAME]],$E$6:E266))</f>
        <v>0</v>
      </c>
      <c r="AP266">
        <v>45</v>
      </c>
      <c r="AQ266" t="s">
        <v>149</v>
      </c>
      <c r="AR266" t="s">
        <v>323</v>
      </c>
      <c r="AS266">
        <v>10</v>
      </c>
      <c r="AT266">
        <v>0</v>
      </c>
      <c r="AU266">
        <v>42</v>
      </c>
      <c r="AV266">
        <v>1</v>
      </c>
      <c r="AW266">
        <v>4.2</v>
      </c>
      <c r="AX266">
        <v>38</v>
      </c>
      <c r="AY266">
        <v>2</v>
      </c>
      <c r="AZ266">
        <v>1</v>
      </c>
      <c r="BA266">
        <v>2</v>
      </c>
      <c r="BB266">
        <v>0</v>
      </c>
      <c r="BC266">
        <v>3</v>
      </c>
      <c r="BD266" t="str">
        <f>CONCATENATE(Table9[[#This Row],[Match Number]],Table9[[#This Row],[Team]],Table9[[#This Row],[BOWL NUM]])</f>
        <v>45Australia3</v>
      </c>
      <c r="BE266" t="str">
        <f>IFERROR(IF(AND(Table9[[#This Row],[Team]]=I_TEAM,IFERROR(IF(MATCH(Table9[[#This Row],[Bowler]],$AR$5:AR265,0)&gt;0,0),1)),1,0),"")</f>
        <v/>
      </c>
      <c r="BF26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6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66" t="e">
        <f>IF(Table9[[#This Row],[Team]]=I_TEAM,Table9[[#This Row],[Wickets]]*100-Table9[[#This Row],[Runs]],0)</f>
        <v>#REF!</v>
      </c>
      <c r="BI266">
        <f>Table9[[#This Row],[Wickets]]*100-Table9[[#This Row],[Runs]]</f>
        <v>58</v>
      </c>
      <c r="BJ266">
        <f ca="1">IFERROR(IF(MATCH(Table9[[#This Row],[Bowler]],OFFSET(AR267,0,0,BOWLROWS-ROW(AR266)-ROW(Table9[[#Headers],[BOWLER CUML WICKETS]])),0)&gt;0,0,SUMIF($AR$6:AR266,Table9[[#This Row],[Bowler]],$AV$6:AV266)),SUMIF($AR$6:AR266,Table9[[#This Row],[Bowler]],$AV$6:AV266))</f>
        <v>0</v>
      </c>
      <c r="BK266">
        <f ca="1">IFERROR(IF(MATCH(Table9[[#This Row],[Bowler]],OFFSET(AR267,0,0,BOWLROWS-ROW(AR266)-ROW(Table9[[#Headers],[BOWLER CUML WICKETS]])),0)&gt;0,0,SUMIF($AR$6:AR266,Table9[[#This Row],[Bowler]],$AU$6:AU266)),SUMIF($AR$6:AR266,Table9[[#This Row],[Bowler]],$AU$6:AU266))</f>
        <v>0</v>
      </c>
      <c r="BL266">
        <f ca="1">Table9[[#This Row],[BOWLER CUML WICKETS]]*100-Table9[[#This Row],[BOWLER CUML RUNS]]</f>
        <v>0</v>
      </c>
    </row>
    <row r="267" spans="1:64" x14ac:dyDescent="0.3">
      <c r="A267">
        <v>9</v>
      </c>
      <c r="B267" t="s">
        <v>154</v>
      </c>
      <c r="C267" t="s">
        <v>406</v>
      </c>
      <c r="D267" t="s">
        <v>506</v>
      </c>
      <c r="E267">
        <v>0</v>
      </c>
      <c r="F267">
        <v>3</v>
      </c>
      <c r="G267">
        <v>2</v>
      </c>
      <c r="H267">
        <v>0</v>
      </c>
      <c r="I267">
        <v>0</v>
      </c>
      <c r="J267">
        <v>0</v>
      </c>
      <c r="K267">
        <v>6</v>
      </c>
      <c r="L267" t="str">
        <f>CONCATENATE(T_BATTINGDATA[[#This Row],[Match]],T_BATTINGDATA[[#This Row],[Team]],T_BATTINGDATA[[#This Row],[Bat Number]])</f>
        <v>9England6</v>
      </c>
      <c r="M267" t="str">
        <f>IFERROR(IF(AND(T_BATTINGDATA[[#This Row],[Team]]=I_TEAM,IFERROR(IF(MATCH(T_BATTINGDATA[[#This Row],[BATSMAN NAME]],$O$5:O266,0)&gt;0,0),1)),1,0),"")</f>
        <v/>
      </c>
      <c r="N267" t="e">
        <f>IF(T_BATTINGDATA[[#This Row],[Team]]=I_TEAM,T_BATTINGDATA[[#This Row],[R]],0)</f>
        <v>#REF!</v>
      </c>
      <c r="O267" t="str">
        <f>LEFT(T_BATTINGDATA[[#This Row],[Batsman]],IFERROR(FIND("*",T_BATTINGDATA[[#This Row],[Batsman]])-1,IFERROR(FIND("†",T_BATTINGDATA[[#This Row],[Batsman]])-1,LEN(T_BATTINGDATA[[#This Row],[Batsman]]))))</f>
        <v>JWA Taylor</v>
      </c>
      <c r="P267">
        <f ca="1">IFERROR(IF(MATCH(T_BATTINGDATA[[#This Row],[BATSMAN NAME]],OFFSET(O268,0,0,BATROWS-ROW(O267)-ROW(T_BATTINGDATA[[#Headers],[BATSMAN NAME]])),0)&gt;0,0,SUMIF($O$6:O267,T_BATTINGDATA[[#This Row],[BATSMAN NAME]],$E$6:E267)),SUMIF($O$6:O267,T_BATTINGDATA[[#This Row],[BATSMAN NAME]],$E$6:E267))</f>
        <v>0</v>
      </c>
      <c r="AP267">
        <v>45</v>
      </c>
      <c r="AQ267" t="s">
        <v>149</v>
      </c>
      <c r="AR267" t="s">
        <v>329</v>
      </c>
      <c r="AS267">
        <v>7</v>
      </c>
      <c r="AT267">
        <v>0</v>
      </c>
      <c r="AU267">
        <v>43</v>
      </c>
      <c r="AV267">
        <v>2</v>
      </c>
      <c r="AW267">
        <v>6.14</v>
      </c>
      <c r="AX267">
        <v>21</v>
      </c>
      <c r="AY267">
        <v>3</v>
      </c>
      <c r="AZ267">
        <v>2</v>
      </c>
      <c r="BA267">
        <v>0</v>
      </c>
      <c r="BB267">
        <v>0</v>
      </c>
      <c r="BC267">
        <v>4</v>
      </c>
      <c r="BD267" t="str">
        <f>CONCATENATE(Table9[[#This Row],[Match Number]],Table9[[#This Row],[Team]],Table9[[#This Row],[BOWL NUM]])</f>
        <v>45Australia4</v>
      </c>
      <c r="BE267" t="str">
        <f>IFERROR(IF(AND(Table9[[#This Row],[Team]]=I_TEAM,IFERROR(IF(MATCH(Table9[[#This Row],[Bowler]],$AR$5:AR266,0)&gt;0,0),1)),1,0),"")</f>
        <v/>
      </c>
      <c r="BF267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26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67" t="e">
        <f>IF(Table9[[#This Row],[Team]]=I_TEAM,Table9[[#This Row],[Wickets]]*100-Table9[[#This Row],[Runs]],0)</f>
        <v>#REF!</v>
      </c>
      <c r="BI267">
        <f>Table9[[#This Row],[Wickets]]*100-Table9[[#This Row],[Runs]]</f>
        <v>157</v>
      </c>
      <c r="BJ267">
        <f ca="1">IFERROR(IF(MATCH(Table9[[#This Row],[Bowler]],OFFSET(AR268,0,0,BOWLROWS-ROW(AR267)-ROW(Table9[[#Headers],[BOWLER CUML WICKETS]])),0)&gt;0,0,SUMIF($AR$6:AR267,Table9[[#This Row],[Bowler]],$AV$6:AV267)),SUMIF($AR$6:AR267,Table9[[#This Row],[Bowler]],$AV$6:AV267))</f>
        <v>0</v>
      </c>
      <c r="BK267">
        <f ca="1">IFERROR(IF(MATCH(Table9[[#This Row],[Bowler]],OFFSET(AR268,0,0,BOWLROWS-ROW(AR267)-ROW(Table9[[#Headers],[BOWLER CUML WICKETS]])),0)&gt;0,0,SUMIF($AR$6:AR267,Table9[[#This Row],[Bowler]],$AU$6:AU267)),SUMIF($AR$6:AR267,Table9[[#This Row],[Bowler]],$AU$6:AU267))</f>
        <v>0</v>
      </c>
      <c r="BL267">
        <f ca="1">Table9[[#This Row],[BOWLER CUML WICKETS]]*100-Table9[[#This Row],[BOWLER CUML RUNS]]</f>
        <v>0</v>
      </c>
    </row>
    <row r="268" spans="1:64" x14ac:dyDescent="0.3">
      <c r="A268">
        <v>9</v>
      </c>
      <c r="B268" t="s">
        <v>154</v>
      </c>
      <c r="C268" t="s">
        <v>407</v>
      </c>
      <c r="D268" t="s">
        <v>375</v>
      </c>
      <c r="E268">
        <v>3</v>
      </c>
      <c r="F268">
        <v>8</v>
      </c>
      <c r="G268">
        <v>7</v>
      </c>
      <c r="H268">
        <v>0</v>
      </c>
      <c r="I268">
        <v>0</v>
      </c>
      <c r="J268">
        <v>42.85</v>
      </c>
      <c r="K268">
        <v>7</v>
      </c>
      <c r="L268" t="str">
        <f>CONCATENATE(T_BATTINGDATA[[#This Row],[Match]],T_BATTINGDATA[[#This Row],[Team]],T_BATTINGDATA[[#This Row],[Bat Number]])</f>
        <v>9England7</v>
      </c>
      <c r="M268" t="str">
        <f>IFERROR(IF(AND(T_BATTINGDATA[[#This Row],[Team]]=I_TEAM,IFERROR(IF(MATCH(T_BATTINGDATA[[#This Row],[BATSMAN NAME]],$O$5:O267,0)&gt;0,0),1)),1,0),"")</f>
        <v/>
      </c>
      <c r="N268" t="e">
        <f>IF(T_BATTINGDATA[[#This Row],[Team]]=I_TEAM,T_BATTINGDATA[[#This Row],[R]],0)</f>
        <v>#REF!</v>
      </c>
      <c r="O268" t="str">
        <f>LEFT(T_BATTINGDATA[[#This Row],[Batsman]],IFERROR(FIND("*",T_BATTINGDATA[[#This Row],[Batsman]])-1,IFERROR(FIND("†",T_BATTINGDATA[[#This Row],[Batsman]])-1,LEN(T_BATTINGDATA[[#This Row],[Batsman]]))))</f>
        <v>JC Buttler</v>
      </c>
      <c r="P268">
        <f ca="1">IFERROR(IF(MATCH(T_BATTINGDATA[[#This Row],[BATSMAN NAME]],OFFSET(O269,0,0,BATROWS-ROW(O268)-ROW(T_BATTINGDATA[[#Headers],[BATSMAN NAME]])),0)&gt;0,0,SUMIF($O$6:O268,T_BATTINGDATA[[#This Row],[BATSMAN NAME]],$E$6:E268)),SUMIF($O$6:O268,T_BATTINGDATA[[#This Row],[BATSMAN NAME]],$E$6:E268))</f>
        <v>0</v>
      </c>
      <c r="AP268">
        <v>45</v>
      </c>
      <c r="AQ268" t="s">
        <v>149</v>
      </c>
      <c r="AR268" t="s">
        <v>327</v>
      </c>
      <c r="AS268">
        <v>5</v>
      </c>
      <c r="AT268">
        <v>0</v>
      </c>
      <c r="AU268">
        <v>17</v>
      </c>
      <c r="AV268">
        <v>0</v>
      </c>
      <c r="AW268">
        <v>3.4</v>
      </c>
      <c r="AX268">
        <v>17</v>
      </c>
      <c r="AY268">
        <v>1</v>
      </c>
      <c r="AZ268">
        <v>0</v>
      </c>
      <c r="BA268">
        <v>0</v>
      </c>
      <c r="BB268">
        <v>0</v>
      </c>
      <c r="BC268">
        <v>5</v>
      </c>
      <c r="BD268" t="str">
        <f>CONCATENATE(Table9[[#This Row],[Match Number]],Table9[[#This Row],[Team]],Table9[[#This Row],[BOWL NUM]])</f>
        <v>45Australia5</v>
      </c>
      <c r="BE268" t="str">
        <f>IFERROR(IF(AND(Table9[[#This Row],[Team]]=I_TEAM,IFERROR(IF(MATCH(Table9[[#This Row],[Bowler]],$AR$5:AR267,0)&gt;0,0),1)),1,0),"")</f>
        <v/>
      </c>
      <c r="BF268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26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68" t="e">
        <f>IF(Table9[[#This Row],[Team]]=I_TEAM,Table9[[#This Row],[Wickets]]*100-Table9[[#This Row],[Runs]],0)</f>
        <v>#REF!</v>
      </c>
      <c r="BI268">
        <f>Table9[[#This Row],[Wickets]]*100-Table9[[#This Row],[Runs]]</f>
        <v>-17</v>
      </c>
      <c r="BJ268">
        <f ca="1">IFERROR(IF(MATCH(Table9[[#This Row],[Bowler]],OFFSET(AR269,0,0,BOWLROWS-ROW(AR268)-ROW(Table9[[#Headers],[BOWLER CUML WICKETS]])),0)&gt;0,0,SUMIF($AR$6:AR268,Table9[[#This Row],[Bowler]],$AV$6:AV268)),SUMIF($AR$6:AR268,Table9[[#This Row],[Bowler]],$AV$6:AV268))</f>
        <v>0</v>
      </c>
      <c r="BK268">
        <f ca="1">IFERROR(IF(MATCH(Table9[[#This Row],[Bowler]],OFFSET(AR269,0,0,BOWLROWS-ROW(AR268)-ROW(Table9[[#Headers],[BOWLER CUML WICKETS]])),0)&gt;0,0,SUMIF($AR$6:AR268,Table9[[#This Row],[Bowler]],$AU$6:AU268)),SUMIF($AR$6:AR268,Table9[[#This Row],[Bowler]],$AU$6:AU268))</f>
        <v>0</v>
      </c>
      <c r="BL268">
        <f ca="1">Table9[[#This Row],[BOWLER CUML WICKETS]]*100-Table9[[#This Row],[BOWLER CUML RUNS]]</f>
        <v>0</v>
      </c>
    </row>
    <row r="269" spans="1:64" x14ac:dyDescent="0.3">
      <c r="A269">
        <v>9</v>
      </c>
      <c r="B269" t="s">
        <v>154</v>
      </c>
      <c r="C269" t="s">
        <v>314</v>
      </c>
      <c r="D269" t="s">
        <v>506</v>
      </c>
      <c r="E269">
        <v>1</v>
      </c>
      <c r="F269">
        <v>3</v>
      </c>
      <c r="G269">
        <v>2</v>
      </c>
      <c r="H269">
        <v>0</v>
      </c>
      <c r="I269">
        <v>0</v>
      </c>
      <c r="J269">
        <v>50</v>
      </c>
      <c r="K269">
        <v>8</v>
      </c>
      <c r="L269" t="str">
        <f>CONCATENATE(T_BATTINGDATA[[#This Row],[Match]],T_BATTINGDATA[[#This Row],[Team]],T_BATTINGDATA[[#This Row],[Bat Number]])</f>
        <v>9England8</v>
      </c>
      <c r="M269" t="str">
        <f>IFERROR(IF(AND(T_BATTINGDATA[[#This Row],[Team]]=I_TEAM,IFERROR(IF(MATCH(T_BATTINGDATA[[#This Row],[BATSMAN NAME]],$O$5:O268,0)&gt;0,0),1)),1,0),"")</f>
        <v/>
      </c>
      <c r="N269" t="e">
        <f>IF(T_BATTINGDATA[[#This Row],[Team]]=I_TEAM,T_BATTINGDATA[[#This Row],[R]],0)</f>
        <v>#REF!</v>
      </c>
      <c r="O269" t="str">
        <f>LEFT(T_BATTINGDATA[[#This Row],[Batsman]],IFERROR(FIND("*",T_BATTINGDATA[[#This Row],[Batsman]])-1,IFERROR(FIND("†",T_BATTINGDATA[[#This Row],[Batsman]])-1,LEN(T_BATTINGDATA[[#This Row],[Batsman]]))))</f>
        <v>CR Woakes</v>
      </c>
      <c r="P269">
        <f ca="1">IFERROR(IF(MATCH(T_BATTINGDATA[[#This Row],[BATSMAN NAME]],OFFSET(O270,0,0,BATROWS-ROW(O269)-ROW(T_BATTINGDATA[[#Headers],[BATSMAN NAME]])),0)&gt;0,0,SUMIF($O$6:O269,T_BATTINGDATA[[#This Row],[BATSMAN NAME]],$E$6:E269)),SUMIF($O$6:O269,T_BATTINGDATA[[#This Row],[BATSMAN NAME]],$E$6:E269))</f>
        <v>0</v>
      </c>
      <c r="AP269">
        <v>45</v>
      </c>
      <c r="AQ269" t="s">
        <v>149</v>
      </c>
      <c r="AR269" t="s">
        <v>505</v>
      </c>
      <c r="AS269">
        <v>7.5</v>
      </c>
      <c r="AT269">
        <v>0</v>
      </c>
      <c r="AU269">
        <v>31</v>
      </c>
      <c r="AV269">
        <v>1</v>
      </c>
      <c r="AW269">
        <v>3.95</v>
      </c>
      <c r="AX269">
        <v>29</v>
      </c>
      <c r="AY269">
        <v>2</v>
      </c>
      <c r="AZ269">
        <v>0</v>
      </c>
      <c r="BA269">
        <v>0</v>
      </c>
      <c r="BB269">
        <v>0</v>
      </c>
      <c r="BC269">
        <v>6</v>
      </c>
      <c r="BD269" t="str">
        <f>CONCATENATE(Table9[[#This Row],[Match Number]],Table9[[#This Row],[Team]],Table9[[#This Row],[BOWL NUM]])</f>
        <v>45Australia6</v>
      </c>
      <c r="BE269" t="str">
        <f>IFERROR(IF(AND(Table9[[#This Row],[Team]]=I_TEAM,IFERROR(IF(MATCH(Table9[[#This Row],[Bowler]],$AR$5:AR268,0)&gt;0,0),1)),1,0),"")</f>
        <v/>
      </c>
      <c r="BF269">
        <f>(LEFT(Table9[[#This Row],[Overs]],IFERROR(FIND(".",Table9[[#This Row],[Overs]])-1,LEN(Table9[[#This Row],[Overs]])))*6) + IFERROR(IF(FIND(".",Table9[[#This Row],[Overs]])+1&gt;0,RIGHT(Table9[[#This Row],[Overs]],1),0),0)</f>
        <v>47</v>
      </c>
      <c r="BG26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69" t="e">
        <f>IF(Table9[[#This Row],[Team]]=I_TEAM,Table9[[#This Row],[Wickets]]*100-Table9[[#This Row],[Runs]],0)</f>
        <v>#REF!</v>
      </c>
      <c r="BI269">
        <f>Table9[[#This Row],[Wickets]]*100-Table9[[#This Row],[Runs]]</f>
        <v>69</v>
      </c>
      <c r="BJ269">
        <f ca="1">IFERROR(IF(MATCH(Table9[[#This Row],[Bowler]],OFFSET(AR270,0,0,BOWLROWS-ROW(AR269)-ROW(Table9[[#Headers],[BOWLER CUML WICKETS]])),0)&gt;0,0,SUMIF($AR$6:AR269,Table9[[#This Row],[Bowler]],$AV$6:AV269)),SUMIF($AR$6:AR269,Table9[[#This Row],[Bowler]],$AV$6:AV269))</f>
        <v>0</v>
      </c>
      <c r="BK269">
        <f ca="1">IFERROR(IF(MATCH(Table9[[#This Row],[Bowler]],OFFSET(AR270,0,0,BOWLROWS-ROW(AR269)-ROW(Table9[[#Headers],[BOWLER CUML WICKETS]])),0)&gt;0,0,SUMIF($AR$6:AR269,Table9[[#This Row],[Bowler]],$AU$6:AU269)),SUMIF($AR$6:AR269,Table9[[#This Row],[Bowler]],$AU$6:AU269))</f>
        <v>0</v>
      </c>
      <c r="BL269">
        <f ca="1">Table9[[#This Row],[BOWLER CUML WICKETS]]*100-Table9[[#This Row],[BOWLER CUML RUNS]]</f>
        <v>0</v>
      </c>
    </row>
    <row r="270" spans="1:64" x14ac:dyDescent="0.3">
      <c r="A270">
        <v>9</v>
      </c>
      <c r="B270" t="s">
        <v>154</v>
      </c>
      <c r="C270" t="s">
        <v>312</v>
      </c>
      <c r="D270" t="s">
        <v>371</v>
      </c>
      <c r="E270">
        <v>4</v>
      </c>
      <c r="F270">
        <v>10</v>
      </c>
      <c r="G270">
        <v>10</v>
      </c>
      <c r="H270">
        <v>0</v>
      </c>
      <c r="I270">
        <v>0</v>
      </c>
      <c r="J270">
        <v>40</v>
      </c>
      <c r="K270">
        <v>9</v>
      </c>
      <c r="L270" t="str">
        <f>CONCATENATE(T_BATTINGDATA[[#This Row],[Match]],T_BATTINGDATA[[#This Row],[Team]],T_BATTINGDATA[[#This Row],[Bat Number]])</f>
        <v>9England9</v>
      </c>
      <c r="M270" t="str">
        <f>IFERROR(IF(AND(T_BATTINGDATA[[#This Row],[Team]]=I_TEAM,IFERROR(IF(MATCH(T_BATTINGDATA[[#This Row],[BATSMAN NAME]],$O$5:O269,0)&gt;0,0),1)),1,0),"")</f>
        <v/>
      </c>
      <c r="N270" t="e">
        <f>IF(T_BATTINGDATA[[#This Row],[Team]]=I_TEAM,T_BATTINGDATA[[#This Row],[R]],0)</f>
        <v>#REF!</v>
      </c>
      <c r="O270" t="str">
        <f>LEFT(T_BATTINGDATA[[#This Row],[Batsman]],IFERROR(FIND("*",T_BATTINGDATA[[#This Row],[Batsman]])-1,IFERROR(FIND("†",T_BATTINGDATA[[#This Row],[Batsman]])-1,LEN(T_BATTINGDATA[[#This Row],[Batsman]]))))</f>
        <v>SCJ Broad</v>
      </c>
      <c r="P270">
        <f ca="1">IFERROR(IF(MATCH(T_BATTINGDATA[[#This Row],[BATSMAN NAME]],OFFSET(O271,0,0,BATROWS-ROW(O270)-ROW(T_BATTINGDATA[[#Headers],[BATSMAN NAME]])),0)&gt;0,0,SUMIF($O$6:O270,T_BATTINGDATA[[#This Row],[BATSMAN NAME]],$E$6:E270)),SUMIF($O$6:O270,T_BATTINGDATA[[#This Row],[BATSMAN NAME]],$E$6:E270))</f>
        <v>0</v>
      </c>
      <c r="AP270">
        <v>45</v>
      </c>
      <c r="AQ270" t="s">
        <v>153</v>
      </c>
      <c r="AR270" t="s">
        <v>186</v>
      </c>
      <c r="AS270">
        <v>7.5</v>
      </c>
      <c r="AT270">
        <v>0</v>
      </c>
      <c r="AU270">
        <v>57</v>
      </c>
      <c r="AV270">
        <v>1</v>
      </c>
      <c r="AW270">
        <v>7.27</v>
      </c>
      <c r="AX270">
        <v>26</v>
      </c>
      <c r="AY270">
        <v>8</v>
      </c>
      <c r="AZ270">
        <v>1</v>
      </c>
      <c r="BA270">
        <v>2</v>
      </c>
      <c r="BB270">
        <v>0</v>
      </c>
      <c r="BC270">
        <v>1</v>
      </c>
      <c r="BD270" t="str">
        <f>CONCATENATE(Table9[[#This Row],[Match Number]],Table9[[#This Row],[Team]],Table9[[#This Row],[BOWL NUM]])</f>
        <v>45Pakistan1</v>
      </c>
      <c r="BE270" t="str">
        <f>IFERROR(IF(AND(Table9[[#This Row],[Team]]=I_TEAM,IFERROR(IF(MATCH(Table9[[#This Row],[Bowler]],$AR$5:AR269,0)&gt;0,0),1)),1,0),"")</f>
        <v/>
      </c>
      <c r="BF270">
        <f>(LEFT(Table9[[#This Row],[Overs]],IFERROR(FIND(".",Table9[[#This Row],[Overs]])-1,LEN(Table9[[#This Row],[Overs]])))*6) + IFERROR(IF(FIND(".",Table9[[#This Row],[Overs]])+1&gt;0,RIGHT(Table9[[#This Row],[Overs]],1),0),0)</f>
        <v>47</v>
      </c>
      <c r="BG27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70" t="e">
        <f>IF(Table9[[#This Row],[Team]]=I_TEAM,Table9[[#This Row],[Wickets]]*100-Table9[[#This Row],[Runs]],0)</f>
        <v>#REF!</v>
      </c>
      <c r="BI270">
        <f>Table9[[#This Row],[Wickets]]*100-Table9[[#This Row],[Runs]]</f>
        <v>43</v>
      </c>
      <c r="BJ270">
        <f ca="1">IFERROR(IF(MATCH(Table9[[#This Row],[Bowler]],OFFSET(AR271,0,0,BOWLROWS-ROW(AR270)-ROW(Table9[[#Headers],[BOWLER CUML WICKETS]])),0)&gt;0,0,SUMIF($AR$6:AR270,Table9[[#This Row],[Bowler]],$AV$6:AV270)),SUMIF($AR$6:AR270,Table9[[#This Row],[Bowler]],$AV$6:AV270))</f>
        <v>0</v>
      </c>
      <c r="BK270">
        <f ca="1">IFERROR(IF(MATCH(Table9[[#This Row],[Bowler]],OFFSET(AR271,0,0,BOWLROWS-ROW(AR270)-ROW(Table9[[#Headers],[BOWLER CUML WICKETS]])),0)&gt;0,0,SUMIF($AR$6:AR270,Table9[[#This Row],[Bowler]],$AU$6:AU270)),SUMIF($AR$6:AR270,Table9[[#This Row],[Bowler]],$AU$6:AU270))</f>
        <v>0</v>
      </c>
      <c r="BL270">
        <f ca="1">Table9[[#This Row],[BOWLER CUML WICKETS]]*100-Table9[[#This Row],[BOWLER CUML RUNS]]</f>
        <v>0</v>
      </c>
    </row>
    <row r="271" spans="1:64" x14ac:dyDescent="0.3">
      <c r="A271">
        <v>9</v>
      </c>
      <c r="B271" t="s">
        <v>154</v>
      </c>
      <c r="C271" t="s">
        <v>316</v>
      </c>
      <c r="D271" t="s">
        <v>510</v>
      </c>
      <c r="E271">
        <v>0</v>
      </c>
      <c r="F271">
        <v>10</v>
      </c>
      <c r="G271">
        <v>8</v>
      </c>
      <c r="H271">
        <v>0</v>
      </c>
      <c r="I271">
        <v>0</v>
      </c>
      <c r="J271">
        <v>0</v>
      </c>
      <c r="K271">
        <v>10</v>
      </c>
      <c r="L271" t="str">
        <f>CONCATENATE(T_BATTINGDATA[[#This Row],[Match]],T_BATTINGDATA[[#This Row],[Team]],T_BATTINGDATA[[#This Row],[Bat Number]])</f>
        <v>9England10</v>
      </c>
      <c r="M271" t="str">
        <f>IFERROR(IF(AND(T_BATTINGDATA[[#This Row],[Team]]=I_TEAM,IFERROR(IF(MATCH(T_BATTINGDATA[[#This Row],[BATSMAN NAME]],$O$5:O270,0)&gt;0,0),1)),1,0),"")</f>
        <v/>
      </c>
      <c r="N271" t="e">
        <f>IF(T_BATTINGDATA[[#This Row],[Team]]=I_TEAM,T_BATTINGDATA[[#This Row],[R]],0)</f>
        <v>#REF!</v>
      </c>
      <c r="O271" t="str">
        <f>LEFT(T_BATTINGDATA[[#This Row],[Batsman]],IFERROR(FIND("*",T_BATTINGDATA[[#This Row],[Batsman]])-1,IFERROR(FIND("†",T_BATTINGDATA[[#This Row],[Batsman]])-1,LEN(T_BATTINGDATA[[#This Row],[Batsman]]))))</f>
        <v>ST Finn</v>
      </c>
      <c r="P271">
        <f ca="1">IFERROR(IF(MATCH(T_BATTINGDATA[[#This Row],[BATSMAN NAME]],OFFSET(O272,0,0,BATROWS-ROW(O271)-ROW(T_BATTINGDATA[[#Headers],[BATSMAN NAME]])),0)&gt;0,0,SUMIF($O$6:O271,T_BATTINGDATA[[#This Row],[BATSMAN NAME]],$E$6:E271)),SUMIF($O$6:O271,T_BATTINGDATA[[#This Row],[BATSMAN NAME]],$E$6:E271))</f>
        <v>0</v>
      </c>
      <c r="AP271">
        <v>45</v>
      </c>
      <c r="AQ271" t="s">
        <v>153</v>
      </c>
      <c r="AR271" t="s">
        <v>511</v>
      </c>
      <c r="AS271">
        <v>5</v>
      </c>
      <c r="AT271">
        <v>0</v>
      </c>
      <c r="AU271">
        <v>31</v>
      </c>
      <c r="AV271">
        <v>1</v>
      </c>
      <c r="AW271">
        <v>6.2</v>
      </c>
      <c r="AX271">
        <v>18</v>
      </c>
      <c r="AY271">
        <v>4</v>
      </c>
      <c r="AZ271">
        <v>1</v>
      </c>
      <c r="BA271">
        <v>0</v>
      </c>
      <c r="BB271">
        <v>0</v>
      </c>
      <c r="BC271">
        <v>2</v>
      </c>
      <c r="BD271" t="str">
        <f>CONCATENATE(Table9[[#This Row],[Match Number]],Table9[[#This Row],[Team]],Table9[[#This Row],[BOWL NUM]])</f>
        <v>45Pakistan2</v>
      </c>
      <c r="BE271" t="str">
        <f>IFERROR(IF(AND(Table9[[#This Row],[Team]]=I_TEAM,IFERROR(IF(MATCH(Table9[[#This Row],[Bowler]],$AR$5:AR270,0)&gt;0,0),1)),1,0),"")</f>
        <v/>
      </c>
      <c r="BF271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27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71" t="e">
        <f>IF(Table9[[#This Row],[Team]]=I_TEAM,Table9[[#This Row],[Wickets]]*100-Table9[[#This Row],[Runs]],0)</f>
        <v>#REF!</v>
      </c>
      <c r="BI271">
        <f>Table9[[#This Row],[Wickets]]*100-Table9[[#This Row],[Runs]]</f>
        <v>69</v>
      </c>
      <c r="BJ271">
        <f ca="1">IFERROR(IF(MATCH(Table9[[#This Row],[Bowler]],OFFSET(AR272,0,0,BOWLROWS-ROW(AR271)-ROW(Table9[[#Headers],[BOWLER CUML WICKETS]])),0)&gt;0,0,SUMIF($AR$6:AR271,Table9[[#This Row],[Bowler]],$AV$6:AV271)),SUMIF($AR$6:AR271,Table9[[#This Row],[Bowler]],$AV$6:AV271))</f>
        <v>0</v>
      </c>
      <c r="BK271">
        <f ca="1">IFERROR(IF(MATCH(Table9[[#This Row],[Bowler]],OFFSET(AR272,0,0,BOWLROWS-ROW(AR271)-ROW(Table9[[#Headers],[BOWLER CUML WICKETS]])),0)&gt;0,0,SUMIF($AR$6:AR271,Table9[[#This Row],[Bowler]],$AU$6:AU271)),SUMIF($AR$6:AR271,Table9[[#This Row],[Bowler]],$AU$6:AU271))</f>
        <v>0</v>
      </c>
      <c r="BL271">
        <f ca="1">Table9[[#This Row],[BOWLER CUML WICKETS]]*100-Table9[[#This Row],[BOWLER CUML RUNS]]</f>
        <v>0</v>
      </c>
    </row>
    <row r="272" spans="1:64" x14ac:dyDescent="0.3">
      <c r="A272">
        <v>9</v>
      </c>
      <c r="B272" t="s">
        <v>154</v>
      </c>
      <c r="C272" t="s">
        <v>310</v>
      </c>
      <c r="D272" t="s">
        <v>167</v>
      </c>
      <c r="E272">
        <v>1</v>
      </c>
      <c r="F272">
        <v>5</v>
      </c>
      <c r="G272">
        <v>2</v>
      </c>
      <c r="H272">
        <v>0</v>
      </c>
      <c r="I272">
        <v>0</v>
      </c>
      <c r="J272">
        <v>50</v>
      </c>
      <c r="K272">
        <v>11</v>
      </c>
      <c r="L272" t="str">
        <f>CONCATENATE(T_BATTINGDATA[[#This Row],[Match]],T_BATTINGDATA[[#This Row],[Team]],T_BATTINGDATA[[#This Row],[Bat Number]])</f>
        <v>9England11</v>
      </c>
      <c r="M272" t="str">
        <f>IFERROR(IF(AND(T_BATTINGDATA[[#This Row],[Team]]=I_TEAM,IFERROR(IF(MATCH(T_BATTINGDATA[[#This Row],[BATSMAN NAME]],$O$5:O271,0)&gt;0,0),1)),1,0),"")</f>
        <v/>
      </c>
      <c r="N272" t="e">
        <f>IF(T_BATTINGDATA[[#This Row],[Team]]=I_TEAM,T_BATTINGDATA[[#This Row],[R]],0)</f>
        <v>#REF!</v>
      </c>
      <c r="O272" t="str">
        <f>LEFT(T_BATTINGDATA[[#This Row],[Batsman]],IFERROR(FIND("*",T_BATTINGDATA[[#This Row],[Batsman]])-1,IFERROR(FIND("†",T_BATTINGDATA[[#This Row],[Batsman]])-1,LEN(T_BATTINGDATA[[#This Row],[Batsman]]))))</f>
        <v>JM Anderson</v>
      </c>
      <c r="P272">
        <f ca="1">IFERROR(IF(MATCH(T_BATTINGDATA[[#This Row],[BATSMAN NAME]],OFFSET(O273,0,0,BATROWS-ROW(O272)-ROW(T_BATTINGDATA[[#Headers],[BATSMAN NAME]])),0)&gt;0,0,SUMIF($O$6:O272,T_BATTINGDATA[[#This Row],[BATSMAN NAME]],$E$6:E272)),SUMIF($O$6:O272,T_BATTINGDATA[[#This Row],[BATSMAN NAME]],$E$6:E272))</f>
        <v>0</v>
      </c>
      <c r="AP272">
        <v>45</v>
      </c>
      <c r="AQ272" t="s">
        <v>153</v>
      </c>
      <c r="AR272" t="s">
        <v>512</v>
      </c>
      <c r="AS272">
        <v>6</v>
      </c>
      <c r="AT272">
        <v>0</v>
      </c>
      <c r="AU272">
        <v>37</v>
      </c>
      <c r="AV272">
        <v>0</v>
      </c>
      <c r="AW272">
        <v>6.16</v>
      </c>
      <c r="AX272">
        <v>21</v>
      </c>
      <c r="AY272">
        <v>5</v>
      </c>
      <c r="AZ272">
        <v>0</v>
      </c>
      <c r="BA272">
        <v>1</v>
      </c>
      <c r="BB272">
        <v>0</v>
      </c>
      <c r="BC272">
        <v>3</v>
      </c>
      <c r="BD272" t="str">
        <f>CONCATENATE(Table9[[#This Row],[Match Number]],Table9[[#This Row],[Team]],Table9[[#This Row],[BOWL NUM]])</f>
        <v>45Pakistan3</v>
      </c>
      <c r="BE272" t="str">
        <f>IFERROR(IF(AND(Table9[[#This Row],[Team]]=I_TEAM,IFERROR(IF(MATCH(Table9[[#This Row],[Bowler]],$AR$5:AR271,0)&gt;0,0),1)),1,0),"")</f>
        <v/>
      </c>
      <c r="BF272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27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72" t="e">
        <f>IF(Table9[[#This Row],[Team]]=I_TEAM,Table9[[#This Row],[Wickets]]*100-Table9[[#This Row],[Runs]],0)</f>
        <v>#REF!</v>
      </c>
      <c r="BI272">
        <f>Table9[[#This Row],[Wickets]]*100-Table9[[#This Row],[Runs]]</f>
        <v>-37</v>
      </c>
      <c r="BJ272">
        <f ca="1">IFERROR(IF(MATCH(Table9[[#This Row],[Bowler]],OFFSET(AR273,0,0,BOWLROWS-ROW(AR272)-ROW(Table9[[#Headers],[BOWLER CUML WICKETS]])),0)&gt;0,0,SUMIF($AR$6:AR272,Table9[[#This Row],[Bowler]],$AV$6:AV272)),SUMIF($AR$6:AR272,Table9[[#This Row],[Bowler]],$AV$6:AV272))</f>
        <v>0</v>
      </c>
      <c r="BK272">
        <f ca="1">IFERROR(IF(MATCH(Table9[[#This Row],[Bowler]],OFFSET(AR273,0,0,BOWLROWS-ROW(AR272)-ROW(Table9[[#Headers],[BOWLER CUML WICKETS]])),0)&gt;0,0,SUMIF($AR$6:AR272,Table9[[#This Row],[Bowler]],$AU$6:AU272)),SUMIF($AR$6:AR272,Table9[[#This Row],[Bowler]],$AU$6:AU272))</f>
        <v>0</v>
      </c>
      <c r="BL272">
        <f ca="1">Table9[[#This Row],[BOWLER CUML WICKETS]]*100-Table9[[#This Row],[BOWLER CUML RUNS]]</f>
        <v>0</v>
      </c>
    </row>
    <row r="273" spans="1:64" x14ac:dyDescent="0.3">
      <c r="A273">
        <v>9</v>
      </c>
      <c r="B273" t="s">
        <v>140</v>
      </c>
      <c r="C273" t="s">
        <v>349</v>
      </c>
      <c r="D273" t="s">
        <v>383</v>
      </c>
      <c r="E273">
        <v>22</v>
      </c>
      <c r="F273">
        <v>48</v>
      </c>
      <c r="G273">
        <v>22</v>
      </c>
      <c r="H273">
        <v>3</v>
      </c>
      <c r="I273">
        <v>0</v>
      </c>
      <c r="J273">
        <v>100</v>
      </c>
      <c r="K273">
        <v>1</v>
      </c>
      <c r="L273" t="str">
        <f>CONCATENATE(T_BATTINGDATA[[#This Row],[Match]],T_BATTINGDATA[[#This Row],[Team]],T_BATTINGDATA[[#This Row],[Bat Number]])</f>
        <v>9New Zealand1</v>
      </c>
      <c r="M273" t="str">
        <f>IFERROR(IF(AND(T_BATTINGDATA[[#This Row],[Team]]=I_TEAM,IFERROR(IF(MATCH(T_BATTINGDATA[[#This Row],[BATSMAN NAME]],$O$5:O272,0)&gt;0,0),1)),1,0),"")</f>
        <v/>
      </c>
      <c r="N273" t="e">
        <f>IF(T_BATTINGDATA[[#This Row],[Team]]=I_TEAM,T_BATTINGDATA[[#This Row],[R]],0)</f>
        <v>#REF!</v>
      </c>
      <c r="O273" t="str">
        <f>LEFT(T_BATTINGDATA[[#This Row],[Batsman]],IFERROR(FIND("*",T_BATTINGDATA[[#This Row],[Batsman]])-1,IFERROR(FIND("†",T_BATTINGDATA[[#This Row],[Batsman]])-1,LEN(T_BATTINGDATA[[#This Row],[Batsman]]))))</f>
        <v>MJ Guptill</v>
      </c>
      <c r="P273">
        <f ca="1">IFERROR(IF(MATCH(T_BATTINGDATA[[#This Row],[BATSMAN NAME]],OFFSET(O274,0,0,BATROWS-ROW(O273)-ROW(T_BATTINGDATA[[#Headers],[BATSMAN NAME]])),0)&gt;0,0,SUMIF($O$6:O273,T_BATTINGDATA[[#This Row],[BATSMAN NAME]],$E$6:E273)),SUMIF($O$6:O273,T_BATTINGDATA[[#This Row],[BATSMAN NAME]],$E$6:E273))</f>
        <v>0</v>
      </c>
      <c r="AP273">
        <v>45</v>
      </c>
      <c r="AQ273" t="s">
        <v>153</v>
      </c>
      <c r="AR273" t="s">
        <v>189</v>
      </c>
      <c r="AS273">
        <v>9</v>
      </c>
      <c r="AT273">
        <v>0</v>
      </c>
      <c r="AU273">
        <v>54</v>
      </c>
      <c r="AV273">
        <v>2</v>
      </c>
      <c r="AW273">
        <v>6</v>
      </c>
      <c r="AX273">
        <v>27</v>
      </c>
      <c r="AY273">
        <v>3</v>
      </c>
      <c r="AZ273">
        <v>1</v>
      </c>
      <c r="BA273">
        <v>6</v>
      </c>
      <c r="BB273">
        <v>0</v>
      </c>
      <c r="BC273">
        <v>4</v>
      </c>
      <c r="BD273" t="str">
        <f>CONCATENATE(Table9[[#This Row],[Match Number]],Table9[[#This Row],[Team]],Table9[[#This Row],[BOWL NUM]])</f>
        <v>45Pakistan4</v>
      </c>
      <c r="BE273" t="str">
        <f>IFERROR(IF(AND(Table9[[#This Row],[Team]]=I_TEAM,IFERROR(IF(MATCH(Table9[[#This Row],[Bowler]],$AR$5:AR272,0)&gt;0,0),1)),1,0),"")</f>
        <v/>
      </c>
      <c r="BF273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7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73" t="e">
        <f>IF(Table9[[#This Row],[Team]]=I_TEAM,Table9[[#This Row],[Wickets]]*100-Table9[[#This Row],[Runs]],0)</f>
        <v>#REF!</v>
      </c>
      <c r="BI273">
        <f>Table9[[#This Row],[Wickets]]*100-Table9[[#This Row],[Runs]]</f>
        <v>146</v>
      </c>
      <c r="BJ273">
        <f ca="1">IFERROR(IF(MATCH(Table9[[#This Row],[Bowler]],OFFSET(AR274,0,0,BOWLROWS-ROW(AR273)-ROW(Table9[[#Headers],[BOWLER CUML WICKETS]])),0)&gt;0,0,SUMIF($AR$6:AR273,Table9[[#This Row],[Bowler]],$AV$6:AV273)),SUMIF($AR$6:AR273,Table9[[#This Row],[Bowler]],$AV$6:AV273))</f>
        <v>0</v>
      </c>
      <c r="BK273">
        <f ca="1">IFERROR(IF(MATCH(Table9[[#This Row],[Bowler]],OFFSET(AR274,0,0,BOWLROWS-ROW(AR273)-ROW(Table9[[#Headers],[BOWLER CUML WICKETS]])),0)&gt;0,0,SUMIF($AR$6:AR273,Table9[[#This Row],[Bowler]],$AU$6:AU273)),SUMIF($AR$6:AR273,Table9[[#This Row],[Bowler]],$AU$6:AU273))</f>
        <v>0</v>
      </c>
      <c r="BL273">
        <f ca="1">Table9[[#This Row],[BOWLER CUML WICKETS]]*100-Table9[[#This Row],[BOWLER CUML RUNS]]</f>
        <v>0</v>
      </c>
    </row>
    <row r="274" spans="1:64" x14ac:dyDescent="0.3">
      <c r="A274">
        <v>9</v>
      </c>
      <c r="B274" t="s">
        <v>140</v>
      </c>
      <c r="C274" t="s">
        <v>352</v>
      </c>
      <c r="D274" t="s">
        <v>383</v>
      </c>
      <c r="E274">
        <v>77</v>
      </c>
      <c r="F274">
        <v>39</v>
      </c>
      <c r="G274">
        <v>25</v>
      </c>
      <c r="H274">
        <v>8</v>
      </c>
      <c r="I274">
        <v>7</v>
      </c>
      <c r="J274">
        <v>308</v>
      </c>
      <c r="K274">
        <v>2</v>
      </c>
      <c r="L274" t="str">
        <f>CONCATENATE(T_BATTINGDATA[[#This Row],[Match]],T_BATTINGDATA[[#This Row],[Team]],T_BATTINGDATA[[#This Row],[Bat Number]])</f>
        <v>9New Zealand2</v>
      </c>
      <c r="M274" t="str">
        <f>IFERROR(IF(AND(T_BATTINGDATA[[#This Row],[Team]]=I_TEAM,IFERROR(IF(MATCH(T_BATTINGDATA[[#This Row],[BATSMAN NAME]],$O$5:O273,0)&gt;0,0),1)),1,0),"")</f>
        <v/>
      </c>
      <c r="N274" t="e">
        <f>IF(T_BATTINGDATA[[#This Row],[Team]]=I_TEAM,T_BATTINGDATA[[#This Row],[R]],0)</f>
        <v>#REF!</v>
      </c>
      <c r="O274" t="str">
        <f>LEFT(T_BATTINGDATA[[#This Row],[Batsman]],IFERROR(FIND("*",T_BATTINGDATA[[#This Row],[Batsman]])-1,IFERROR(FIND("†",T_BATTINGDATA[[#This Row],[Batsman]])-1,LEN(T_BATTINGDATA[[#This Row],[Batsman]]))))</f>
        <v>BB McCullum</v>
      </c>
      <c r="P274">
        <f ca="1">IFERROR(IF(MATCH(T_BATTINGDATA[[#This Row],[BATSMAN NAME]],OFFSET(O275,0,0,BATROWS-ROW(O274)-ROW(T_BATTINGDATA[[#Headers],[BATSMAN NAME]])),0)&gt;0,0,SUMIF($O$6:O274,T_BATTINGDATA[[#This Row],[BATSMAN NAME]],$E$6:E274)),SUMIF($O$6:O274,T_BATTINGDATA[[#This Row],[BATSMAN NAME]],$E$6:E274))</f>
        <v>0</v>
      </c>
      <c r="AP274">
        <v>45</v>
      </c>
      <c r="AQ274" t="s">
        <v>153</v>
      </c>
      <c r="AR274" t="s">
        <v>188</v>
      </c>
      <c r="AS274">
        <v>4</v>
      </c>
      <c r="AT274">
        <v>0</v>
      </c>
      <c r="AU274">
        <v>30</v>
      </c>
      <c r="AV274">
        <v>0</v>
      </c>
      <c r="AW274">
        <v>7.5</v>
      </c>
      <c r="AX274">
        <v>7</v>
      </c>
      <c r="AY274">
        <v>2</v>
      </c>
      <c r="AZ274">
        <v>0</v>
      </c>
      <c r="BA274">
        <v>0</v>
      </c>
      <c r="BB274">
        <v>0</v>
      </c>
      <c r="BC274">
        <v>5</v>
      </c>
      <c r="BD274" t="str">
        <f>CONCATENATE(Table9[[#This Row],[Match Number]],Table9[[#This Row],[Team]],Table9[[#This Row],[BOWL NUM]])</f>
        <v>45Pakistan5</v>
      </c>
      <c r="BE274" t="str">
        <f>IFERROR(IF(AND(Table9[[#This Row],[Team]]=I_TEAM,IFERROR(IF(MATCH(Table9[[#This Row],[Bowler]],$AR$5:AR273,0)&gt;0,0),1)),1,0),"")</f>
        <v/>
      </c>
      <c r="BF274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27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74" t="e">
        <f>IF(Table9[[#This Row],[Team]]=I_TEAM,Table9[[#This Row],[Wickets]]*100-Table9[[#This Row],[Runs]],0)</f>
        <v>#REF!</v>
      </c>
      <c r="BI274">
        <f>Table9[[#This Row],[Wickets]]*100-Table9[[#This Row],[Runs]]</f>
        <v>-30</v>
      </c>
      <c r="BJ274">
        <f ca="1">IFERROR(IF(MATCH(Table9[[#This Row],[Bowler]],OFFSET(AR275,0,0,BOWLROWS-ROW(AR274)-ROW(Table9[[#Headers],[BOWLER CUML WICKETS]])),0)&gt;0,0,SUMIF($AR$6:AR274,Table9[[#This Row],[Bowler]],$AV$6:AV274)),SUMIF($AR$6:AR274,Table9[[#This Row],[Bowler]],$AV$6:AV274))</f>
        <v>0</v>
      </c>
      <c r="BK274">
        <f ca="1">IFERROR(IF(MATCH(Table9[[#This Row],[Bowler]],OFFSET(AR275,0,0,BOWLROWS-ROW(AR274)-ROW(Table9[[#Headers],[BOWLER CUML WICKETS]])),0)&gt;0,0,SUMIF($AR$6:AR274,Table9[[#This Row],[Bowler]],$AU$6:AU274)),SUMIF($AR$6:AR274,Table9[[#This Row],[Bowler]],$AU$6:AU274))</f>
        <v>0</v>
      </c>
      <c r="BL274">
        <f ca="1">Table9[[#This Row],[BOWLER CUML WICKETS]]*100-Table9[[#This Row],[BOWLER CUML RUNS]]</f>
        <v>0</v>
      </c>
    </row>
    <row r="275" spans="1:64" x14ac:dyDescent="0.3">
      <c r="A275">
        <v>9</v>
      </c>
      <c r="B275" t="s">
        <v>140</v>
      </c>
      <c r="C275" t="s">
        <v>307</v>
      </c>
      <c r="D275" t="s">
        <v>167</v>
      </c>
      <c r="E275">
        <v>9</v>
      </c>
      <c r="F275">
        <v>23</v>
      </c>
      <c r="G275">
        <v>22</v>
      </c>
      <c r="H275">
        <v>1</v>
      </c>
      <c r="I275">
        <v>0</v>
      </c>
      <c r="J275">
        <v>40.9</v>
      </c>
      <c r="K275">
        <v>3</v>
      </c>
      <c r="L275" t="str">
        <f>CONCATENATE(T_BATTINGDATA[[#This Row],[Match]],T_BATTINGDATA[[#This Row],[Team]],T_BATTINGDATA[[#This Row],[Bat Number]])</f>
        <v>9New Zealand3</v>
      </c>
      <c r="M275" t="str">
        <f>IFERROR(IF(AND(T_BATTINGDATA[[#This Row],[Team]]=I_TEAM,IFERROR(IF(MATCH(T_BATTINGDATA[[#This Row],[BATSMAN NAME]],$O$5:O274,0)&gt;0,0),1)),1,0),"")</f>
        <v/>
      </c>
      <c r="N275" t="e">
        <f>IF(T_BATTINGDATA[[#This Row],[Team]]=I_TEAM,T_BATTINGDATA[[#This Row],[R]],0)</f>
        <v>#REF!</v>
      </c>
      <c r="O275" t="str">
        <f>LEFT(T_BATTINGDATA[[#This Row],[Batsman]],IFERROR(FIND("*",T_BATTINGDATA[[#This Row],[Batsman]])-1,IFERROR(FIND("†",T_BATTINGDATA[[#This Row],[Batsman]])-1,LEN(T_BATTINGDATA[[#This Row],[Batsman]]))))</f>
        <v>KS Williamson</v>
      </c>
      <c r="P275">
        <f ca="1">IFERROR(IF(MATCH(T_BATTINGDATA[[#This Row],[BATSMAN NAME]],OFFSET(O276,0,0,BATROWS-ROW(O275)-ROW(T_BATTINGDATA[[#Headers],[BATSMAN NAME]])),0)&gt;0,0,SUMIF($O$6:O275,T_BATTINGDATA[[#This Row],[BATSMAN NAME]],$E$6:E275)),SUMIF($O$6:O275,T_BATTINGDATA[[#This Row],[BATSMAN NAME]],$E$6:E275))</f>
        <v>0</v>
      </c>
      <c r="AP275">
        <v>45</v>
      </c>
      <c r="AQ275" t="s">
        <v>153</v>
      </c>
      <c r="AR275" t="s">
        <v>193</v>
      </c>
      <c r="AS275">
        <v>2</v>
      </c>
      <c r="AT275">
        <v>0</v>
      </c>
      <c r="AU275">
        <v>7</v>
      </c>
      <c r="AV275">
        <v>0</v>
      </c>
      <c r="AW275">
        <v>3.5</v>
      </c>
      <c r="AX275">
        <v>5</v>
      </c>
      <c r="AY275">
        <v>0</v>
      </c>
      <c r="AZ275">
        <v>0</v>
      </c>
      <c r="BA275">
        <v>0</v>
      </c>
      <c r="BB275">
        <v>0</v>
      </c>
      <c r="BC275">
        <v>6</v>
      </c>
      <c r="BD275" t="str">
        <f>CONCATENATE(Table9[[#This Row],[Match Number]],Table9[[#This Row],[Team]],Table9[[#This Row],[BOWL NUM]])</f>
        <v>45Pakistan6</v>
      </c>
      <c r="BE275" t="str">
        <f>IFERROR(IF(AND(Table9[[#This Row],[Team]]=I_TEAM,IFERROR(IF(MATCH(Table9[[#This Row],[Bowler]],$AR$5:AR274,0)&gt;0,0),1)),1,0),"")</f>
        <v/>
      </c>
      <c r="BF275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27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75" t="e">
        <f>IF(Table9[[#This Row],[Team]]=I_TEAM,Table9[[#This Row],[Wickets]]*100-Table9[[#This Row],[Runs]],0)</f>
        <v>#REF!</v>
      </c>
      <c r="BI275">
        <f>Table9[[#This Row],[Wickets]]*100-Table9[[#This Row],[Runs]]</f>
        <v>-7</v>
      </c>
      <c r="BJ275">
        <f ca="1">IFERROR(IF(MATCH(Table9[[#This Row],[Bowler]],OFFSET(AR276,0,0,BOWLROWS-ROW(AR275)-ROW(Table9[[#Headers],[BOWLER CUML WICKETS]])),0)&gt;0,0,SUMIF($AR$6:AR275,Table9[[#This Row],[Bowler]],$AV$6:AV275)),SUMIF($AR$6:AR275,Table9[[#This Row],[Bowler]],$AV$6:AV275))</f>
        <v>0</v>
      </c>
      <c r="BK275">
        <f ca="1">IFERROR(IF(MATCH(Table9[[#This Row],[Bowler]],OFFSET(AR276,0,0,BOWLROWS-ROW(AR275)-ROW(Table9[[#Headers],[BOWLER CUML WICKETS]])),0)&gt;0,0,SUMIF($AR$6:AR275,Table9[[#This Row],[Bowler]],$AU$6:AU275)),SUMIF($AR$6:AR275,Table9[[#This Row],[Bowler]],$AU$6:AU275))</f>
        <v>0</v>
      </c>
      <c r="BL275">
        <f ca="1">Table9[[#This Row],[BOWLER CUML WICKETS]]*100-Table9[[#This Row],[BOWLER CUML RUNS]]</f>
        <v>0</v>
      </c>
    </row>
    <row r="276" spans="1:64" x14ac:dyDescent="0.3">
      <c r="A276">
        <v>9</v>
      </c>
      <c r="B276" t="s">
        <v>140</v>
      </c>
      <c r="C276" t="s">
        <v>356</v>
      </c>
      <c r="D276" t="s">
        <v>167</v>
      </c>
      <c r="E276">
        <v>5</v>
      </c>
      <c r="F276">
        <v>14</v>
      </c>
      <c r="G276">
        <v>5</v>
      </c>
      <c r="H276">
        <v>1</v>
      </c>
      <c r="I276">
        <v>0</v>
      </c>
      <c r="J276">
        <v>100</v>
      </c>
      <c r="K276">
        <v>4</v>
      </c>
      <c r="L276" t="str">
        <f>CONCATENATE(T_BATTINGDATA[[#This Row],[Match]],T_BATTINGDATA[[#This Row],[Team]],T_BATTINGDATA[[#This Row],[Bat Number]])</f>
        <v>9New Zealand4</v>
      </c>
      <c r="M276" t="str">
        <f>IFERROR(IF(AND(T_BATTINGDATA[[#This Row],[Team]]=I_TEAM,IFERROR(IF(MATCH(T_BATTINGDATA[[#This Row],[BATSMAN NAME]],$O$5:O275,0)&gt;0,0),1)),1,0),"")</f>
        <v/>
      </c>
      <c r="N276" t="e">
        <f>IF(T_BATTINGDATA[[#This Row],[Team]]=I_TEAM,T_BATTINGDATA[[#This Row],[R]],0)</f>
        <v>#REF!</v>
      </c>
      <c r="O276" t="str">
        <f>LEFT(T_BATTINGDATA[[#This Row],[Batsman]],IFERROR(FIND("*",T_BATTINGDATA[[#This Row],[Batsman]])-1,IFERROR(FIND("†",T_BATTINGDATA[[#This Row],[Batsman]])-1,LEN(T_BATTINGDATA[[#This Row],[Batsman]]))))</f>
        <v>LRPL Taylor</v>
      </c>
      <c r="P276">
        <f ca="1">IFERROR(IF(MATCH(T_BATTINGDATA[[#This Row],[BATSMAN NAME]],OFFSET(O277,0,0,BATROWS-ROW(O276)-ROW(T_BATTINGDATA[[#Headers],[BATSMAN NAME]])),0)&gt;0,0,SUMIF($O$6:O276,T_BATTINGDATA[[#This Row],[BATSMAN NAME]],$E$6:E276)),SUMIF($O$6:O276,T_BATTINGDATA[[#This Row],[BATSMAN NAME]],$E$6:E276))</f>
        <v>0</v>
      </c>
      <c r="AP276">
        <v>46</v>
      </c>
      <c r="AQ276" t="s">
        <v>170</v>
      </c>
      <c r="AR276" t="s">
        <v>259</v>
      </c>
      <c r="AS276">
        <v>7</v>
      </c>
      <c r="AT276">
        <v>0</v>
      </c>
      <c r="AU276">
        <v>71</v>
      </c>
      <c r="AV276">
        <v>3</v>
      </c>
      <c r="AW276">
        <v>10.14</v>
      </c>
      <c r="AX276">
        <v>22</v>
      </c>
      <c r="AY276">
        <v>15</v>
      </c>
      <c r="AZ276">
        <v>1</v>
      </c>
      <c r="BA276">
        <v>0</v>
      </c>
      <c r="BB276">
        <v>0</v>
      </c>
      <c r="BC276">
        <v>1</v>
      </c>
      <c r="BD276" t="str">
        <f>CONCATENATE(Table9[[#This Row],[Match Number]],Table9[[#This Row],[Team]],Table9[[#This Row],[BOWL NUM]])</f>
        <v>46West Indies1</v>
      </c>
      <c r="BE276" t="str">
        <f>IFERROR(IF(AND(Table9[[#This Row],[Team]]=I_TEAM,IFERROR(IF(MATCH(Table9[[#This Row],[Bowler]],$AR$5:AR275,0)&gt;0,0),1)),1,0),"")</f>
        <v/>
      </c>
      <c r="BF276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27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76" t="e">
        <f>IF(Table9[[#This Row],[Team]]=I_TEAM,Table9[[#This Row],[Wickets]]*100-Table9[[#This Row],[Runs]],0)</f>
        <v>#REF!</v>
      </c>
      <c r="BI276">
        <f>Table9[[#This Row],[Wickets]]*100-Table9[[#This Row],[Runs]]</f>
        <v>229</v>
      </c>
      <c r="BJ276">
        <f ca="1">IFERROR(IF(MATCH(Table9[[#This Row],[Bowler]],OFFSET(AR277,0,0,BOWLROWS-ROW(AR276)-ROW(Table9[[#Headers],[BOWLER CUML WICKETS]])),0)&gt;0,0,SUMIF($AR$6:AR276,Table9[[#This Row],[Bowler]],$AV$6:AV276)),SUMIF($AR$6:AR276,Table9[[#This Row],[Bowler]],$AV$6:AV276))</f>
        <v>0</v>
      </c>
      <c r="BK276">
        <f ca="1">IFERROR(IF(MATCH(Table9[[#This Row],[Bowler]],OFFSET(AR277,0,0,BOWLROWS-ROW(AR276)-ROW(Table9[[#Headers],[BOWLER CUML WICKETS]])),0)&gt;0,0,SUMIF($AR$6:AR276,Table9[[#This Row],[Bowler]],$AU$6:AU276)),SUMIF($AR$6:AR276,Table9[[#This Row],[Bowler]],$AU$6:AU276))</f>
        <v>0</v>
      </c>
      <c r="BL276">
        <f ca="1">Table9[[#This Row],[BOWLER CUML WICKETS]]*100-Table9[[#This Row],[BOWLER CUML RUNS]]</f>
        <v>0</v>
      </c>
    </row>
    <row r="277" spans="1:64" x14ac:dyDescent="0.3">
      <c r="A277">
        <v>10</v>
      </c>
      <c r="B277" t="s">
        <v>170</v>
      </c>
      <c r="C277" t="s">
        <v>265</v>
      </c>
      <c r="D277" t="s">
        <v>199</v>
      </c>
      <c r="E277">
        <v>23</v>
      </c>
      <c r="F277">
        <v>34</v>
      </c>
      <c r="G277">
        <v>27</v>
      </c>
      <c r="H277">
        <v>4</v>
      </c>
      <c r="I277">
        <v>0</v>
      </c>
      <c r="J277">
        <v>85.18</v>
      </c>
      <c r="K277">
        <v>1</v>
      </c>
      <c r="L277" t="str">
        <f>CONCATENATE(T_BATTINGDATA[[#This Row],[Match]],T_BATTINGDATA[[#This Row],[Team]],T_BATTINGDATA[[#This Row],[Bat Number]])</f>
        <v>10West Indies1</v>
      </c>
      <c r="M277" t="str">
        <f>IFERROR(IF(AND(T_BATTINGDATA[[#This Row],[Team]]=I_TEAM,IFERROR(IF(MATCH(T_BATTINGDATA[[#This Row],[BATSMAN NAME]],$O$5:O276,0)&gt;0,0),1)),1,0),"")</f>
        <v/>
      </c>
      <c r="N277" t="e">
        <f>IF(T_BATTINGDATA[[#This Row],[Team]]=I_TEAM,T_BATTINGDATA[[#This Row],[R]],0)</f>
        <v>#REF!</v>
      </c>
      <c r="O277" t="str">
        <f>LEFT(T_BATTINGDATA[[#This Row],[Batsman]],IFERROR(FIND("*",T_BATTINGDATA[[#This Row],[Batsman]])-1,IFERROR(FIND("†",T_BATTINGDATA[[#This Row],[Batsman]])-1,LEN(T_BATTINGDATA[[#This Row],[Batsman]]))))</f>
        <v>DR Smith</v>
      </c>
      <c r="P277">
        <f ca="1">IFERROR(IF(MATCH(T_BATTINGDATA[[#This Row],[BATSMAN NAME]],OFFSET(O278,0,0,BATROWS-ROW(O277)-ROW(T_BATTINGDATA[[#Headers],[BATSMAN NAME]])),0)&gt;0,0,SUMIF($O$6:O277,T_BATTINGDATA[[#This Row],[BATSMAN NAME]],$E$6:E277)),SUMIF($O$6:O277,T_BATTINGDATA[[#This Row],[BATSMAN NAME]],$E$6:E277))</f>
        <v>0</v>
      </c>
      <c r="AP277">
        <v>46</v>
      </c>
      <c r="AQ277" t="s">
        <v>170</v>
      </c>
      <c r="AR277" t="s">
        <v>260</v>
      </c>
      <c r="AS277">
        <v>8</v>
      </c>
      <c r="AT277">
        <v>0</v>
      </c>
      <c r="AU277">
        <v>76</v>
      </c>
      <c r="AV277">
        <v>0</v>
      </c>
      <c r="AW277">
        <v>9.5</v>
      </c>
      <c r="AX277">
        <v>21</v>
      </c>
      <c r="AY277">
        <v>4</v>
      </c>
      <c r="AZ277">
        <v>6</v>
      </c>
      <c r="BA277">
        <v>1</v>
      </c>
      <c r="BB277">
        <v>0</v>
      </c>
      <c r="BC277">
        <v>2</v>
      </c>
      <c r="BD277" t="str">
        <f>CONCATENATE(Table9[[#This Row],[Match Number]],Table9[[#This Row],[Team]],Table9[[#This Row],[BOWL NUM]])</f>
        <v>46West Indies2</v>
      </c>
      <c r="BE277" t="str">
        <f>IFERROR(IF(AND(Table9[[#This Row],[Team]]=I_TEAM,IFERROR(IF(MATCH(Table9[[#This Row],[Bowler]],$AR$5:AR276,0)&gt;0,0),1)),1,0),"")</f>
        <v/>
      </c>
      <c r="BF277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27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77" t="e">
        <f>IF(Table9[[#This Row],[Team]]=I_TEAM,Table9[[#This Row],[Wickets]]*100-Table9[[#This Row],[Runs]],0)</f>
        <v>#REF!</v>
      </c>
      <c r="BI277">
        <f>Table9[[#This Row],[Wickets]]*100-Table9[[#This Row],[Runs]]</f>
        <v>-76</v>
      </c>
      <c r="BJ277">
        <f ca="1">IFERROR(IF(MATCH(Table9[[#This Row],[Bowler]],OFFSET(AR278,0,0,BOWLROWS-ROW(AR277)-ROW(Table9[[#Headers],[BOWLER CUML WICKETS]])),0)&gt;0,0,SUMIF($AR$6:AR277,Table9[[#This Row],[Bowler]],$AV$6:AV277)),SUMIF($AR$6:AR277,Table9[[#This Row],[Bowler]],$AV$6:AV277))</f>
        <v>0</v>
      </c>
      <c r="BK277">
        <f ca="1">IFERROR(IF(MATCH(Table9[[#This Row],[Bowler]],OFFSET(AR278,0,0,BOWLROWS-ROW(AR277)-ROW(Table9[[#Headers],[BOWLER CUML WICKETS]])),0)&gt;0,0,SUMIF($AR$6:AR277,Table9[[#This Row],[Bowler]],$AU$6:AU277)),SUMIF($AR$6:AR277,Table9[[#This Row],[Bowler]],$AU$6:AU277))</f>
        <v>0</v>
      </c>
      <c r="BL277">
        <f ca="1">Table9[[#This Row],[BOWLER CUML WICKETS]]*100-Table9[[#This Row],[BOWLER CUML RUNS]]</f>
        <v>0</v>
      </c>
    </row>
    <row r="278" spans="1:64" x14ac:dyDescent="0.3">
      <c r="A278">
        <v>10</v>
      </c>
      <c r="B278" t="s">
        <v>170</v>
      </c>
      <c r="C278" t="s">
        <v>291</v>
      </c>
      <c r="D278" t="s">
        <v>513</v>
      </c>
      <c r="E278">
        <v>4</v>
      </c>
      <c r="F278">
        <v>21</v>
      </c>
      <c r="G278">
        <v>14</v>
      </c>
      <c r="H278">
        <v>0</v>
      </c>
      <c r="I278">
        <v>0</v>
      </c>
      <c r="J278">
        <v>28.57</v>
      </c>
      <c r="K278">
        <v>2</v>
      </c>
      <c r="L278" t="str">
        <f>CONCATENATE(T_BATTINGDATA[[#This Row],[Match]],T_BATTINGDATA[[#This Row],[Team]],T_BATTINGDATA[[#This Row],[Bat Number]])</f>
        <v>10West Indies2</v>
      </c>
      <c r="M278" t="str">
        <f>IFERROR(IF(AND(T_BATTINGDATA[[#This Row],[Team]]=I_TEAM,IFERROR(IF(MATCH(T_BATTINGDATA[[#This Row],[BATSMAN NAME]],$O$5:O277,0)&gt;0,0),1)),1,0),"")</f>
        <v/>
      </c>
      <c r="N278" t="e">
        <f>IF(T_BATTINGDATA[[#This Row],[Team]]=I_TEAM,T_BATTINGDATA[[#This Row],[R]],0)</f>
        <v>#REF!</v>
      </c>
      <c r="O278" t="str">
        <f>LEFT(T_BATTINGDATA[[#This Row],[Batsman]],IFERROR(FIND("*",T_BATTINGDATA[[#This Row],[Batsman]])-1,IFERROR(FIND("†",T_BATTINGDATA[[#This Row],[Batsman]])-1,LEN(T_BATTINGDATA[[#This Row],[Batsman]]))))</f>
        <v>CH Gayle</v>
      </c>
      <c r="P278">
        <f ca="1">IFERROR(IF(MATCH(T_BATTINGDATA[[#This Row],[BATSMAN NAME]],OFFSET(O279,0,0,BATROWS-ROW(O278)-ROW(T_BATTINGDATA[[#Headers],[BATSMAN NAME]])),0)&gt;0,0,SUMIF($O$6:O278,T_BATTINGDATA[[#This Row],[BATSMAN NAME]],$E$6:E278)),SUMIF($O$6:O278,T_BATTINGDATA[[#This Row],[BATSMAN NAME]],$E$6:E278))</f>
        <v>0</v>
      </c>
      <c r="AP278">
        <v>46</v>
      </c>
      <c r="AQ278" t="s">
        <v>170</v>
      </c>
      <c r="AR278" t="s">
        <v>440</v>
      </c>
      <c r="AS278">
        <v>10</v>
      </c>
      <c r="AT278">
        <v>1</v>
      </c>
      <c r="AU278">
        <v>66</v>
      </c>
      <c r="AV278">
        <v>0</v>
      </c>
      <c r="AW278">
        <v>6.6</v>
      </c>
      <c r="AX278">
        <v>28</v>
      </c>
      <c r="AY278">
        <v>8</v>
      </c>
      <c r="AZ278">
        <v>1</v>
      </c>
      <c r="BA278">
        <v>2</v>
      </c>
      <c r="BB278">
        <v>0</v>
      </c>
      <c r="BC278">
        <v>3</v>
      </c>
      <c r="BD278" t="str">
        <f>CONCATENATE(Table9[[#This Row],[Match Number]],Table9[[#This Row],[Team]],Table9[[#This Row],[BOWL NUM]])</f>
        <v>46West Indies3</v>
      </c>
      <c r="BE278" t="str">
        <f>IFERROR(IF(AND(Table9[[#This Row],[Team]]=I_TEAM,IFERROR(IF(MATCH(Table9[[#This Row],[Bowler]],$AR$5:AR277,0)&gt;0,0),1)),1,0),"")</f>
        <v/>
      </c>
      <c r="BF27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7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78" t="e">
        <f>IF(Table9[[#This Row],[Team]]=I_TEAM,Table9[[#This Row],[Wickets]]*100-Table9[[#This Row],[Runs]],0)</f>
        <v>#REF!</v>
      </c>
      <c r="BI278">
        <f>Table9[[#This Row],[Wickets]]*100-Table9[[#This Row],[Runs]]</f>
        <v>-66</v>
      </c>
      <c r="BJ278">
        <f ca="1">IFERROR(IF(MATCH(Table9[[#This Row],[Bowler]],OFFSET(AR279,0,0,BOWLROWS-ROW(AR278)-ROW(Table9[[#Headers],[BOWLER CUML WICKETS]])),0)&gt;0,0,SUMIF($AR$6:AR278,Table9[[#This Row],[Bowler]],$AV$6:AV278)),SUMIF($AR$6:AR278,Table9[[#This Row],[Bowler]],$AV$6:AV278))</f>
        <v>0</v>
      </c>
      <c r="BK278">
        <f ca="1">IFERROR(IF(MATCH(Table9[[#This Row],[Bowler]],OFFSET(AR279,0,0,BOWLROWS-ROW(AR278)-ROW(Table9[[#Headers],[BOWLER CUML WICKETS]])),0)&gt;0,0,SUMIF($AR$6:AR278,Table9[[#This Row],[Bowler]],$AU$6:AU278)),SUMIF($AR$6:AR278,Table9[[#This Row],[Bowler]],$AU$6:AU278))</f>
        <v>0</v>
      </c>
      <c r="BL278">
        <f ca="1">Table9[[#This Row],[BOWLER CUML WICKETS]]*100-Table9[[#This Row],[BOWLER CUML RUNS]]</f>
        <v>0</v>
      </c>
    </row>
    <row r="279" spans="1:64" x14ac:dyDescent="0.3">
      <c r="A279">
        <v>10</v>
      </c>
      <c r="B279" t="s">
        <v>170</v>
      </c>
      <c r="C279" t="s">
        <v>430</v>
      </c>
      <c r="D279" t="s">
        <v>514</v>
      </c>
      <c r="E279">
        <v>49</v>
      </c>
      <c r="F279">
        <v>115</v>
      </c>
      <c r="G279">
        <v>78</v>
      </c>
      <c r="H279">
        <v>3</v>
      </c>
      <c r="I279">
        <v>0</v>
      </c>
      <c r="J279">
        <v>62.82</v>
      </c>
      <c r="K279">
        <v>3</v>
      </c>
      <c r="L279" t="str">
        <f>CONCATENATE(T_BATTINGDATA[[#This Row],[Match]],T_BATTINGDATA[[#This Row],[Team]],T_BATTINGDATA[[#This Row],[Bat Number]])</f>
        <v>10West Indies3</v>
      </c>
      <c r="M279" t="str">
        <f>IFERROR(IF(AND(T_BATTINGDATA[[#This Row],[Team]]=I_TEAM,IFERROR(IF(MATCH(T_BATTINGDATA[[#This Row],[BATSMAN NAME]],$O$5:O278,0)&gt;0,0),1)),1,0),"")</f>
        <v/>
      </c>
      <c r="N279" t="e">
        <f>IF(T_BATTINGDATA[[#This Row],[Team]]=I_TEAM,T_BATTINGDATA[[#This Row],[R]],0)</f>
        <v>#REF!</v>
      </c>
      <c r="O279" t="str">
        <f>LEFT(T_BATTINGDATA[[#This Row],[Batsman]],IFERROR(FIND("*",T_BATTINGDATA[[#This Row],[Batsman]])-1,IFERROR(FIND("†",T_BATTINGDATA[[#This Row],[Batsman]])-1,LEN(T_BATTINGDATA[[#This Row],[Batsman]]))))</f>
        <v>DM Bravo</v>
      </c>
      <c r="P279">
        <f ca="1">IFERROR(IF(MATCH(T_BATTINGDATA[[#This Row],[BATSMAN NAME]],OFFSET(O280,0,0,BATROWS-ROW(O279)-ROW(T_BATTINGDATA[[#Headers],[BATSMAN NAME]])),0)&gt;0,0,SUMIF($O$6:O279,T_BATTINGDATA[[#This Row],[BATSMAN NAME]],$E$6:E279)),SUMIF($O$6:O279,T_BATTINGDATA[[#This Row],[BATSMAN NAME]],$E$6:E279))</f>
        <v>49</v>
      </c>
      <c r="AP279">
        <v>46</v>
      </c>
      <c r="AQ279" t="s">
        <v>170</v>
      </c>
      <c r="AR279" t="s">
        <v>264</v>
      </c>
      <c r="AS279">
        <v>10</v>
      </c>
      <c r="AT279">
        <v>0</v>
      </c>
      <c r="AU279">
        <v>96</v>
      </c>
      <c r="AV279">
        <v>2</v>
      </c>
      <c r="AW279">
        <v>9.6</v>
      </c>
      <c r="AX279">
        <v>23</v>
      </c>
      <c r="AY279">
        <v>7</v>
      </c>
      <c r="AZ279">
        <v>6</v>
      </c>
      <c r="BA279">
        <v>2</v>
      </c>
      <c r="BB279">
        <v>1</v>
      </c>
      <c r="BC279">
        <v>4</v>
      </c>
      <c r="BD279" t="str">
        <f>CONCATENATE(Table9[[#This Row],[Match Number]],Table9[[#This Row],[Team]],Table9[[#This Row],[BOWL NUM]])</f>
        <v>46West Indies4</v>
      </c>
      <c r="BE279" t="str">
        <f>IFERROR(IF(AND(Table9[[#This Row],[Team]]=I_TEAM,IFERROR(IF(MATCH(Table9[[#This Row],[Bowler]],$AR$5:AR278,0)&gt;0,0),1)),1,0),"")</f>
        <v/>
      </c>
      <c r="BF27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7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79" t="e">
        <f>IF(Table9[[#This Row],[Team]]=I_TEAM,Table9[[#This Row],[Wickets]]*100-Table9[[#This Row],[Runs]],0)</f>
        <v>#REF!</v>
      </c>
      <c r="BI279">
        <f>Table9[[#This Row],[Wickets]]*100-Table9[[#This Row],[Runs]]</f>
        <v>104</v>
      </c>
      <c r="BJ279">
        <f ca="1">IFERROR(IF(MATCH(Table9[[#This Row],[Bowler]],OFFSET(AR280,0,0,BOWLROWS-ROW(AR279)-ROW(Table9[[#Headers],[BOWLER CUML WICKETS]])),0)&gt;0,0,SUMIF($AR$6:AR279,Table9[[#This Row],[Bowler]],$AV$6:AV279)),SUMIF($AR$6:AR279,Table9[[#This Row],[Bowler]],$AV$6:AV279))</f>
        <v>0</v>
      </c>
      <c r="BK279">
        <f ca="1">IFERROR(IF(MATCH(Table9[[#This Row],[Bowler]],OFFSET(AR280,0,0,BOWLROWS-ROW(AR279)-ROW(Table9[[#Headers],[BOWLER CUML WICKETS]])),0)&gt;0,0,SUMIF($AR$6:AR279,Table9[[#This Row],[Bowler]],$AU$6:AU279)),SUMIF($AR$6:AR279,Table9[[#This Row],[Bowler]],$AU$6:AU279))</f>
        <v>0</v>
      </c>
      <c r="BL279">
        <f ca="1">Table9[[#This Row],[BOWLER CUML WICKETS]]*100-Table9[[#This Row],[BOWLER CUML RUNS]]</f>
        <v>0</v>
      </c>
    </row>
    <row r="280" spans="1:64" x14ac:dyDescent="0.3">
      <c r="A280">
        <v>10</v>
      </c>
      <c r="B280" t="s">
        <v>170</v>
      </c>
      <c r="C280" t="s">
        <v>267</v>
      </c>
      <c r="D280" t="s">
        <v>515</v>
      </c>
      <c r="E280">
        <v>38</v>
      </c>
      <c r="F280">
        <v>69</v>
      </c>
      <c r="G280">
        <v>52</v>
      </c>
      <c r="H280">
        <v>4</v>
      </c>
      <c r="I280">
        <v>0</v>
      </c>
      <c r="J280">
        <v>73.069999999999993</v>
      </c>
      <c r="K280">
        <v>4</v>
      </c>
      <c r="L280" t="str">
        <f>CONCATENATE(T_BATTINGDATA[[#This Row],[Match]],T_BATTINGDATA[[#This Row],[Team]],T_BATTINGDATA[[#This Row],[Bat Number]])</f>
        <v>10West Indies4</v>
      </c>
      <c r="M280" t="str">
        <f>IFERROR(IF(AND(T_BATTINGDATA[[#This Row],[Team]]=I_TEAM,IFERROR(IF(MATCH(T_BATTINGDATA[[#This Row],[BATSMAN NAME]],$O$5:O279,0)&gt;0,0),1)),1,0),"")</f>
        <v/>
      </c>
      <c r="N280" t="e">
        <f>IF(T_BATTINGDATA[[#This Row],[Team]]=I_TEAM,T_BATTINGDATA[[#This Row],[R]],0)</f>
        <v>#REF!</v>
      </c>
      <c r="O280" t="str">
        <f>LEFT(T_BATTINGDATA[[#This Row],[Batsman]],IFERROR(FIND("*",T_BATTINGDATA[[#This Row],[Batsman]])-1,IFERROR(FIND("†",T_BATTINGDATA[[#This Row],[Batsman]])-1,LEN(T_BATTINGDATA[[#This Row],[Batsman]]))))</f>
        <v>MN Samuels</v>
      </c>
      <c r="P280">
        <f ca="1">IFERROR(IF(MATCH(T_BATTINGDATA[[#This Row],[BATSMAN NAME]],OFFSET(O281,0,0,BATROWS-ROW(O280)-ROW(T_BATTINGDATA[[#Headers],[BATSMAN NAME]])),0)&gt;0,0,SUMIF($O$6:O280,T_BATTINGDATA[[#This Row],[BATSMAN NAME]],$E$6:E280)),SUMIF($O$6:O280,T_BATTINGDATA[[#This Row],[BATSMAN NAME]],$E$6:E280))</f>
        <v>0</v>
      </c>
      <c r="AP280">
        <v>46</v>
      </c>
      <c r="AQ280" t="s">
        <v>170</v>
      </c>
      <c r="AR280" t="s">
        <v>302</v>
      </c>
      <c r="AS280">
        <v>8</v>
      </c>
      <c r="AT280">
        <v>0</v>
      </c>
      <c r="AU280">
        <v>38</v>
      </c>
      <c r="AV280">
        <v>0</v>
      </c>
      <c r="AW280">
        <v>4.75</v>
      </c>
      <c r="AX280">
        <v>23</v>
      </c>
      <c r="AY280">
        <v>2</v>
      </c>
      <c r="AZ280">
        <v>1</v>
      </c>
      <c r="BA280">
        <v>1</v>
      </c>
      <c r="BB280">
        <v>0</v>
      </c>
      <c r="BC280">
        <v>5</v>
      </c>
      <c r="BD280" t="str">
        <f>CONCATENATE(Table9[[#This Row],[Match Number]],Table9[[#This Row],[Team]],Table9[[#This Row],[BOWL NUM]])</f>
        <v>46West Indies5</v>
      </c>
      <c r="BE280" t="str">
        <f>IFERROR(IF(AND(Table9[[#This Row],[Team]]=I_TEAM,IFERROR(IF(MATCH(Table9[[#This Row],[Bowler]],$AR$5:AR279,0)&gt;0,0),1)),1,0),"")</f>
        <v/>
      </c>
      <c r="BF28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28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80" t="e">
        <f>IF(Table9[[#This Row],[Team]]=I_TEAM,Table9[[#This Row],[Wickets]]*100-Table9[[#This Row],[Runs]],0)</f>
        <v>#REF!</v>
      </c>
      <c r="BI280">
        <f>Table9[[#This Row],[Wickets]]*100-Table9[[#This Row],[Runs]]</f>
        <v>-38</v>
      </c>
      <c r="BJ280">
        <f ca="1">IFERROR(IF(MATCH(Table9[[#This Row],[Bowler]],OFFSET(AR281,0,0,BOWLROWS-ROW(AR280)-ROW(Table9[[#Headers],[BOWLER CUML WICKETS]])),0)&gt;0,0,SUMIF($AR$6:AR280,Table9[[#This Row],[Bowler]],$AV$6:AV280)),SUMIF($AR$6:AR280,Table9[[#This Row],[Bowler]],$AV$6:AV280))</f>
        <v>0</v>
      </c>
      <c r="BK280">
        <f ca="1">IFERROR(IF(MATCH(Table9[[#This Row],[Bowler]],OFFSET(AR281,0,0,BOWLROWS-ROW(AR280)-ROW(Table9[[#Headers],[BOWLER CUML WICKETS]])),0)&gt;0,0,SUMIF($AR$6:AR280,Table9[[#This Row],[Bowler]],$AU$6:AU280)),SUMIF($AR$6:AR280,Table9[[#This Row],[Bowler]],$AU$6:AU280))</f>
        <v>0</v>
      </c>
      <c r="BL280">
        <f ca="1">Table9[[#This Row],[BOWLER CUML WICKETS]]*100-Table9[[#This Row],[BOWLER CUML RUNS]]</f>
        <v>0</v>
      </c>
    </row>
    <row r="281" spans="1:64" x14ac:dyDescent="0.3">
      <c r="A281">
        <v>10</v>
      </c>
      <c r="B281" t="s">
        <v>170</v>
      </c>
      <c r="C281" t="s">
        <v>298</v>
      </c>
      <c r="D281" t="s">
        <v>515</v>
      </c>
      <c r="E281">
        <v>51</v>
      </c>
      <c r="F281">
        <v>65</v>
      </c>
      <c r="G281">
        <v>43</v>
      </c>
      <c r="H281">
        <v>7</v>
      </c>
      <c r="I281">
        <v>0</v>
      </c>
      <c r="J281">
        <v>118.6</v>
      </c>
      <c r="K281">
        <v>5</v>
      </c>
      <c r="L281" t="str">
        <f>CONCATENATE(T_BATTINGDATA[[#This Row],[Match]],T_BATTINGDATA[[#This Row],[Team]],T_BATTINGDATA[[#This Row],[Bat Number]])</f>
        <v>10West Indies5</v>
      </c>
      <c r="M281" t="str">
        <f>IFERROR(IF(AND(T_BATTINGDATA[[#This Row],[Team]]=I_TEAM,IFERROR(IF(MATCH(T_BATTINGDATA[[#This Row],[BATSMAN NAME]],$O$5:O280,0)&gt;0,0),1)),1,0),"")</f>
        <v/>
      </c>
      <c r="N281" t="e">
        <f>IF(T_BATTINGDATA[[#This Row],[Team]]=I_TEAM,T_BATTINGDATA[[#This Row],[R]],0)</f>
        <v>#REF!</v>
      </c>
      <c r="O281" t="str">
        <f>LEFT(T_BATTINGDATA[[#This Row],[Batsman]],IFERROR(FIND("*",T_BATTINGDATA[[#This Row],[Batsman]])-1,IFERROR(FIND("†",T_BATTINGDATA[[#This Row],[Batsman]])-1,LEN(T_BATTINGDATA[[#This Row],[Batsman]]))))</f>
        <v>D Ramdin</v>
      </c>
      <c r="P281">
        <f ca="1">IFERROR(IF(MATCH(T_BATTINGDATA[[#This Row],[BATSMAN NAME]],OFFSET(O282,0,0,BATROWS-ROW(O281)-ROW(T_BATTINGDATA[[#Headers],[BATSMAN NAME]])),0)&gt;0,0,SUMIF($O$6:O281,T_BATTINGDATA[[#This Row],[BATSMAN NAME]],$E$6:E281)),SUMIF($O$6:O281,T_BATTINGDATA[[#This Row],[BATSMAN NAME]],$E$6:E281))</f>
        <v>0</v>
      </c>
      <c r="AP281">
        <v>46</v>
      </c>
      <c r="AQ281" t="s">
        <v>170</v>
      </c>
      <c r="AR281" t="s">
        <v>267</v>
      </c>
      <c r="AS281">
        <v>7</v>
      </c>
      <c r="AT281">
        <v>0</v>
      </c>
      <c r="AU281">
        <v>44</v>
      </c>
      <c r="AV281">
        <v>0</v>
      </c>
      <c r="AW281">
        <v>6.28</v>
      </c>
      <c r="AX281">
        <v>14</v>
      </c>
      <c r="AY281">
        <v>3</v>
      </c>
      <c r="AZ281">
        <v>0</v>
      </c>
      <c r="BA281">
        <v>0</v>
      </c>
      <c r="BB281">
        <v>0</v>
      </c>
      <c r="BC281">
        <v>6</v>
      </c>
      <c r="BD281" t="str">
        <f>CONCATENATE(Table9[[#This Row],[Match Number]],Table9[[#This Row],[Team]],Table9[[#This Row],[BOWL NUM]])</f>
        <v>46West Indies6</v>
      </c>
      <c r="BE281" t="str">
        <f>IFERROR(IF(AND(Table9[[#This Row],[Team]]=I_TEAM,IFERROR(IF(MATCH(Table9[[#This Row],[Bowler]],$AR$5:AR280,0)&gt;0,0),1)),1,0),"")</f>
        <v/>
      </c>
      <c r="BF281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28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81" t="e">
        <f>IF(Table9[[#This Row],[Team]]=I_TEAM,Table9[[#This Row],[Wickets]]*100-Table9[[#This Row],[Runs]],0)</f>
        <v>#REF!</v>
      </c>
      <c r="BI281">
        <f>Table9[[#This Row],[Wickets]]*100-Table9[[#This Row],[Runs]]</f>
        <v>-44</v>
      </c>
      <c r="BJ281">
        <f ca="1">IFERROR(IF(MATCH(Table9[[#This Row],[Bowler]],OFFSET(AR282,0,0,BOWLROWS-ROW(AR281)-ROW(Table9[[#Headers],[BOWLER CUML WICKETS]])),0)&gt;0,0,SUMIF($AR$6:AR281,Table9[[#This Row],[Bowler]],$AV$6:AV281)),SUMIF($AR$6:AR281,Table9[[#This Row],[Bowler]],$AV$6:AV281))</f>
        <v>0</v>
      </c>
      <c r="BK281">
        <f ca="1">IFERROR(IF(MATCH(Table9[[#This Row],[Bowler]],OFFSET(AR282,0,0,BOWLROWS-ROW(AR281)-ROW(Table9[[#Headers],[BOWLER CUML WICKETS]])),0)&gt;0,0,SUMIF($AR$6:AR281,Table9[[#This Row],[Bowler]],$AU$6:AU281)),SUMIF($AR$6:AR281,Table9[[#This Row],[Bowler]],$AU$6:AU281))</f>
        <v>0</v>
      </c>
      <c r="BL281">
        <f ca="1">Table9[[#This Row],[BOWLER CUML WICKETS]]*100-Table9[[#This Row],[BOWLER CUML RUNS]]</f>
        <v>0</v>
      </c>
    </row>
    <row r="282" spans="1:64" x14ac:dyDescent="0.3">
      <c r="A282">
        <v>10</v>
      </c>
      <c r="B282" t="s">
        <v>170</v>
      </c>
      <c r="C282" t="s">
        <v>300</v>
      </c>
      <c r="D282" t="s">
        <v>516</v>
      </c>
      <c r="E282">
        <v>50</v>
      </c>
      <c r="F282">
        <v>91</v>
      </c>
      <c r="G282">
        <v>46</v>
      </c>
      <c r="H282">
        <v>4</v>
      </c>
      <c r="I282">
        <v>2</v>
      </c>
      <c r="J282">
        <v>108.69</v>
      </c>
      <c r="K282">
        <v>6</v>
      </c>
      <c r="L282" t="str">
        <f>CONCATENATE(T_BATTINGDATA[[#This Row],[Match]],T_BATTINGDATA[[#This Row],[Team]],T_BATTINGDATA[[#This Row],[Bat Number]])</f>
        <v>10West Indies6</v>
      </c>
      <c r="M282" t="str">
        <f>IFERROR(IF(AND(T_BATTINGDATA[[#This Row],[Team]]=I_TEAM,IFERROR(IF(MATCH(T_BATTINGDATA[[#This Row],[BATSMAN NAME]],$O$5:O281,0)&gt;0,0),1)),1,0),"")</f>
        <v/>
      </c>
      <c r="N282" t="e">
        <f>IF(T_BATTINGDATA[[#This Row],[Team]]=I_TEAM,T_BATTINGDATA[[#This Row],[R]],0)</f>
        <v>#REF!</v>
      </c>
      <c r="O282" t="str">
        <f>LEFT(T_BATTINGDATA[[#This Row],[Batsman]],IFERROR(FIND("*",T_BATTINGDATA[[#This Row],[Batsman]])-1,IFERROR(FIND("†",T_BATTINGDATA[[#This Row],[Batsman]])-1,LEN(T_BATTINGDATA[[#This Row],[Batsman]]))))</f>
        <v>LMP Simmons</v>
      </c>
      <c r="P282">
        <f ca="1">IFERROR(IF(MATCH(T_BATTINGDATA[[#This Row],[BATSMAN NAME]],OFFSET(O283,0,0,BATROWS-ROW(O282)-ROW(T_BATTINGDATA[[#Headers],[BATSMAN NAME]])),0)&gt;0,0,SUMIF($O$6:O282,T_BATTINGDATA[[#This Row],[BATSMAN NAME]],$E$6:E282)),SUMIF($O$6:O282,T_BATTINGDATA[[#This Row],[BATSMAN NAME]],$E$6:E282))</f>
        <v>0</v>
      </c>
      <c r="AP282">
        <v>46</v>
      </c>
      <c r="AQ282" t="s">
        <v>140</v>
      </c>
      <c r="AR282" t="s">
        <v>297</v>
      </c>
      <c r="AS282">
        <v>8</v>
      </c>
      <c r="AT282">
        <v>1</v>
      </c>
      <c r="AU282">
        <v>82</v>
      </c>
      <c r="AV282">
        <v>2</v>
      </c>
      <c r="AW282">
        <v>10.25</v>
      </c>
      <c r="AX282">
        <v>24</v>
      </c>
      <c r="AY282">
        <v>10</v>
      </c>
      <c r="AZ282">
        <v>5</v>
      </c>
      <c r="BA282">
        <v>1</v>
      </c>
      <c r="BB282">
        <v>0</v>
      </c>
      <c r="BC282">
        <v>1</v>
      </c>
      <c r="BD282" t="str">
        <f>CONCATENATE(Table9[[#This Row],[Match Number]],Table9[[#This Row],[Team]],Table9[[#This Row],[BOWL NUM]])</f>
        <v>46New Zealand1</v>
      </c>
      <c r="BE282" t="str">
        <f>IFERROR(IF(AND(Table9[[#This Row],[Team]]=I_TEAM,IFERROR(IF(MATCH(Table9[[#This Row],[Bowler]],$AR$5:AR281,0)&gt;0,0),1)),1,0),"")</f>
        <v/>
      </c>
      <c r="BF282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28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82" t="e">
        <f>IF(Table9[[#This Row],[Team]]=I_TEAM,Table9[[#This Row],[Wickets]]*100-Table9[[#This Row],[Runs]],0)</f>
        <v>#REF!</v>
      </c>
      <c r="BI282">
        <f>Table9[[#This Row],[Wickets]]*100-Table9[[#This Row],[Runs]]</f>
        <v>118</v>
      </c>
      <c r="BJ282">
        <f ca="1">IFERROR(IF(MATCH(Table9[[#This Row],[Bowler]],OFFSET(AR283,0,0,BOWLROWS-ROW(AR282)-ROW(Table9[[#Headers],[BOWLER CUML WICKETS]])),0)&gt;0,0,SUMIF($AR$6:AR282,Table9[[#This Row],[Bowler]],$AV$6:AV282)),SUMIF($AR$6:AR282,Table9[[#This Row],[Bowler]],$AV$6:AV282))</f>
        <v>0</v>
      </c>
      <c r="BK282">
        <f ca="1">IFERROR(IF(MATCH(Table9[[#This Row],[Bowler]],OFFSET(AR283,0,0,BOWLROWS-ROW(AR282)-ROW(Table9[[#Headers],[BOWLER CUML WICKETS]])),0)&gt;0,0,SUMIF($AR$6:AR282,Table9[[#This Row],[Bowler]],$AU$6:AU282)),SUMIF($AR$6:AR282,Table9[[#This Row],[Bowler]],$AU$6:AU282))</f>
        <v>0</v>
      </c>
      <c r="BL282">
        <f ca="1">Table9[[#This Row],[BOWLER CUML WICKETS]]*100-Table9[[#This Row],[BOWLER CUML RUNS]]</f>
        <v>0</v>
      </c>
    </row>
    <row r="283" spans="1:64" x14ac:dyDescent="0.3">
      <c r="A283">
        <v>10</v>
      </c>
      <c r="B283" t="s">
        <v>170</v>
      </c>
      <c r="C283" t="s">
        <v>302</v>
      </c>
      <c r="D283" t="s">
        <v>517</v>
      </c>
      <c r="E283">
        <v>30</v>
      </c>
      <c r="F283">
        <v>37</v>
      </c>
      <c r="G283">
        <v>28</v>
      </c>
      <c r="H283">
        <v>3</v>
      </c>
      <c r="I283">
        <v>1</v>
      </c>
      <c r="J283">
        <v>107.14</v>
      </c>
      <c r="K283">
        <v>7</v>
      </c>
      <c r="L283" t="str">
        <f>CONCATENATE(T_BATTINGDATA[[#This Row],[Match]],T_BATTINGDATA[[#This Row],[Team]],T_BATTINGDATA[[#This Row],[Bat Number]])</f>
        <v>10West Indies7</v>
      </c>
      <c r="M283" t="str">
        <f>IFERROR(IF(AND(T_BATTINGDATA[[#This Row],[Team]]=I_TEAM,IFERROR(IF(MATCH(T_BATTINGDATA[[#This Row],[BATSMAN NAME]],$O$5:O282,0)&gt;0,0),1)),1,0),"")</f>
        <v/>
      </c>
      <c r="N283" t="e">
        <f>IF(T_BATTINGDATA[[#This Row],[Team]]=I_TEAM,T_BATTINGDATA[[#This Row],[R]],0)</f>
        <v>#REF!</v>
      </c>
      <c r="O283" t="str">
        <f>LEFT(T_BATTINGDATA[[#This Row],[Batsman]],IFERROR(FIND("*",T_BATTINGDATA[[#This Row],[Batsman]])-1,IFERROR(FIND("†",T_BATTINGDATA[[#This Row],[Batsman]])-1,LEN(T_BATTINGDATA[[#This Row],[Batsman]]))))</f>
        <v>DJG Sammy</v>
      </c>
      <c r="P283">
        <f ca="1">IFERROR(IF(MATCH(T_BATTINGDATA[[#This Row],[BATSMAN NAME]],OFFSET(O284,0,0,BATROWS-ROW(O283)-ROW(T_BATTINGDATA[[#Headers],[BATSMAN NAME]])),0)&gt;0,0,SUMIF($O$6:O283,T_BATTINGDATA[[#This Row],[BATSMAN NAME]],$E$6:E283)),SUMIF($O$6:O283,T_BATTINGDATA[[#This Row],[BATSMAN NAME]],$E$6:E283))</f>
        <v>0</v>
      </c>
      <c r="AP283">
        <v>46</v>
      </c>
      <c r="AQ283" t="s">
        <v>140</v>
      </c>
      <c r="AR283" t="s">
        <v>299</v>
      </c>
      <c r="AS283">
        <v>10</v>
      </c>
      <c r="AT283">
        <v>3</v>
      </c>
      <c r="AU283">
        <v>44</v>
      </c>
      <c r="AV283">
        <v>4</v>
      </c>
      <c r="AW283">
        <v>4.4000000000000004</v>
      </c>
      <c r="AX283">
        <v>44</v>
      </c>
      <c r="AY283">
        <v>3</v>
      </c>
      <c r="AZ283">
        <v>3</v>
      </c>
      <c r="BA283">
        <v>2</v>
      </c>
      <c r="BB283">
        <v>0</v>
      </c>
      <c r="BC283">
        <v>2</v>
      </c>
      <c r="BD283" t="str">
        <f>CONCATENATE(Table9[[#This Row],[Match Number]],Table9[[#This Row],[Team]],Table9[[#This Row],[BOWL NUM]])</f>
        <v>46New Zealand2</v>
      </c>
      <c r="BE283" t="str">
        <f>IFERROR(IF(AND(Table9[[#This Row],[Team]]=I_TEAM,IFERROR(IF(MATCH(Table9[[#This Row],[Bowler]],$AR$5:AR282,0)&gt;0,0),1)),1,0),"")</f>
        <v/>
      </c>
      <c r="BF28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8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83" t="e">
        <f>IF(Table9[[#This Row],[Team]]=I_TEAM,Table9[[#This Row],[Wickets]]*100-Table9[[#This Row],[Runs]],0)</f>
        <v>#REF!</v>
      </c>
      <c r="BI283">
        <f>Table9[[#This Row],[Wickets]]*100-Table9[[#This Row],[Runs]]</f>
        <v>356</v>
      </c>
      <c r="BJ283">
        <f ca="1">IFERROR(IF(MATCH(Table9[[#This Row],[Bowler]],OFFSET(AR284,0,0,BOWLROWS-ROW(AR283)-ROW(Table9[[#Headers],[BOWLER CUML WICKETS]])),0)&gt;0,0,SUMIF($AR$6:AR283,Table9[[#This Row],[Bowler]],$AV$6:AV283)),SUMIF($AR$6:AR283,Table9[[#This Row],[Bowler]],$AV$6:AV283))</f>
        <v>0</v>
      </c>
      <c r="BK283">
        <f ca="1">IFERROR(IF(MATCH(Table9[[#This Row],[Bowler]],OFFSET(AR284,0,0,BOWLROWS-ROW(AR283)-ROW(Table9[[#Headers],[BOWLER CUML WICKETS]])),0)&gt;0,0,SUMIF($AR$6:AR283,Table9[[#This Row],[Bowler]],$AU$6:AU283)),SUMIF($AR$6:AR283,Table9[[#This Row],[Bowler]],$AU$6:AU283))</f>
        <v>0</v>
      </c>
      <c r="BL283">
        <f ca="1">Table9[[#This Row],[BOWLER CUML WICKETS]]*100-Table9[[#This Row],[BOWLER CUML RUNS]]</f>
        <v>0</v>
      </c>
    </row>
    <row r="284" spans="1:64" x14ac:dyDescent="0.3">
      <c r="A284">
        <v>10</v>
      </c>
      <c r="B284" t="s">
        <v>170</v>
      </c>
      <c r="C284" t="s">
        <v>264</v>
      </c>
      <c r="D284" t="s">
        <v>167</v>
      </c>
      <c r="E284">
        <v>42</v>
      </c>
      <c r="F284">
        <v>17</v>
      </c>
      <c r="G284">
        <v>13</v>
      </c>
      <c r="H284">
        <v>3</v>
      </c>
      <c r="I284">
        <v>4</v>
      </c>
      <c r="J284">
        <v>323.07</v>
      </c>
      <c r="K284">
        <v>8</v>
      </c>
      <c r="L284" t="str">
        <f>CONCATENATE(T_BATTINGDATA[[#This Row],[Match]],T_BATTINGDATA[[#This Row],[Team]],T_BATTINGDATA[[#This Row],[Bat Number]])</f>
        <v>10West Indies8</v>
      </c>
      <c r="M284" t="str">
        <f>IFERROR(IF(AND(T_BATTINGDATA[[#This Row],[Team]]=I_TEAM,IFERROR(IF(MATCH(T_BATTINGDATA[[#This Row],[BATSMAN NAME]],$O$5:O283,0)&gt;0,0),1)),1,0),"")</f>
        <v/>
      </c>
      <c r="N284" t="e">
        <f>IF(T_BATTINGDATA[[#This Row],[Team]]=I_TEAM,T_BATTINGDATA[[#This Row],[R]],0)</f>
        <v>#REF!</v>
      </c>
      <c r="O284" t="str">
        <f>LEFT(T_BATTINGDATA[[#This Row],[Batsman]],IFERROR(FIND("*",T_BATTINGDATA[[#This Row],[Batsman]])-1,IFERROR(FIND("†",T_BATTINGDATA[[#This Row],[Batsman]])-1,LEN(T_BATTINGDATA[[#This Row],[Batsman]]))))</f>
        <v>AD Russell</v>
      </c>
      <c r="P284">
        <f ca="1">IFERROR(IF(MATCH(T_BATTINGDATA[[#This Row],[BATSMAN NAME]],OFFSET(O285,0,0,BATROWS-ROW(O284)-ROW(T_BATTINGDATA[[#Headers],[BATSMAN NAME]])),0)&gt;0,0,SUMIF($O$6:O284,T_BATTINGDATA[[#This Row],[BATSMAN NAME]],$E$6:E284)),SUMIF($O$6:O284,T_BATTINGDATA[[#This Row],[BATSMAN NAME]],$E$6:E284))</f>
        <v>0</v>
      </c>
      <c r="AP284">
        <v>46</v>
      </c>
      <c r="AQ284" t="s">
        <v>140</v>
      </c>
      <c r="AR284" t="s">
        <v>303</v>
      </c>
      <c r="AS284">
        <v>6.3</v>
      </c>
      <c r="AT284">
        <v>0</v>
      </c>
      <c r="AU284">
        <v>58</v>
      </c>
      <c r="AV284">
        <v>2</v>
      </c>
      <c r="AW284">
        <v>8.92</v>
      </c>
      <c r="AX284">
        <v>12</v>
      </c>
      <c r="AY284">
        <v>2</v>
      </c>
      <c r="AZ284">
        <v>5</v>
      </c>
      <c r="BA284">
        <v>0</v>
      </c>
      <c r="BB284">
        <v>0</v>
      </c>
      <c r="BC284">
        <v>3</v>
      </c>
      <c r="BD284" t="str">
        <f>CONCATENATE(Table9[[#This Row],[Match Number]],Table9[[#This Row],[Team]],Table9[[#This Row],[BOWL NUM]])</f>
        <v>46New Zealand3</v>
      </c>
      <c r="BE284" t="str">
        <f>IFERROR(IF(AND(Table9[[#This Row],[Team]]=I_TEAM,IFERROR(IF(MATCH(Table9[[#This Row],[Bowler]],$AR$5:AR283,0)&gt;0,0),1)),1,0),"")</f>
        <v/>
      </c>
      <c r="BF284">
        <f>(LEFT(Table9[[#This Row],[Overs]],IFERROR(FIND(".",Table9[[#This Row],[Overs]])-1,LEN(Table9[[#This Row],[Overs]])))*6) + IFERROR(IF(FIND(".",Table9[[#This Row],[Overs]])+1&gt;0,RIGHT(Table9[[#This Row],[Overs]],1),0),0)</f>
        <v>39</v>
      </c>
      <c r="BG28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84" t="e">
        <f>IF(Table9[[#This Row],[Team]]=I_TEAM,Table9[[#This Row],[Wickets]]*100-Table9[[#This Row],[Runs]],0)</f>
        <v>#REF!</v>
      </c>
      <c r="BI284">
        <f>Table9[[#This Row],[Wickets]]*100-Table9[[#This Row],[Runs]]</f>
        <v>142</v>
      </c>
      <c r="BJ284">
        <f ca="1">IFERROR(IF(MATCH(Table9[[#This Row],[Bowler]],OFFSET(AR285,0,0,BOWLROWS-ROW(AR284)-ROW(Table9[[#Headers],[BOWLER CUML WICKETS]])),0)&gt;0,0,SUMIF($AR$6:AR284,Table9[[#This Row],[Bowler]],$AV$6:AV284)),SUMIF($AR$6:AR284,Table9[[#This Row],[Bowler]],$AV$6:AV284))</f>
        <v>0</v>
      </c>
      <c r="BK284">
        <f ca="1">IFERROR(IF(MATCH(Table9[[#This Row],[Bowler]],OFFSET(AR285,0,0,BOWLROWS-ROW(AR284)-ROW(Table9[[#Headers],[BOWLER CUML WICKETS]])),0)&gt;0,0,SUMIF($AR$6:AR284,Table9[[#This Row],[Bowler]],$AU$6:AU284)),SUMIF($AR$6:AR284,Table9[[#This Row],[Bowler]],$AU$6:AU284))</f>
        <v>0</v>
      </c>
      <c r="BL284">
        <f ca="1">Table9[[#This Row],[BOWLER CUML WICKETS]]*100-Table9[[#This Row],[BOWLER CUML RUNS]]</f>
        <v>0</v>
      </c>
    </row>
    <row r="285" spans="1:64" x14ac:dyDescent="0.3">
      <c r="A285">
        <v>10</v>
      </c>
      <c r="B285" t="s">
        <v>153</v>
      </c>
      <c r="C285" t="s">
        <v>518</v>
      </c>
      <c r="D285" t="s">
        <v>519</v>
      </c>
      <c r="E285">
        <v>0</v>
      </c>
      <c r="F285">
        <v>1</v>
      </c>
      <c r="G285">
        <v>2</v>
      </c>
      <c r="H285">
        <v>0</v>
      </c>
      <c r="I285">
        <v>0</v>
      </c>
      <c r="J285">
        <v>0</v>
      </c>
      <c r="K285">
        <v>1</v>
      </c>
      <c r="L285" t="str">
        <f>CONCATENATE(T_BATTINGDATA[[#This Row],[Match]],T_BATTINGDATA[[#This Row],[Team]],T_BATTINGDATA[[#This Row],[Bat Number]])</f>
        <v>10Pakistan1</v>
      </c>
      <c r="M285" t="str">
        <f>IFERROR(IF(AND(T_BATTINGDATA[[#This Row],[Team]]=I_TEAM,IFERROR(IF(MATCH(T_BATTINGDATA[[#This Row],[BATSMAN NAME]],$O$5:O284,0)&gt;0,0),1)),1,0),"")</f>
        <v/>
      </c>
      <c r="N285" t="e">
        <f>IF(T_BATTINGDATA[[#This Row],[Team]]=I_TEAM,T_BATTINGDATA[[#This Row],[R]],0)</f>
        <v>#REF!</v>
      </c>
      <c r="O285" t="str">
        <f>LEFT(T_BATTINGDATA[[#This Row],[Batsman]],IFERROR(FIND("*",T_BATTINGDATA[[#This Row],[Batsman]])-1,IFERROR(FIND("†",T_BATTINGDATA[[#This Row],[Batsman]])-1,LEN(T_BATTINGDATA[[#This Row],[Batsman]]))))</f>
        <v>Nasir Jamshed</v>
      </c>
      <c r="P285">
        <f ca="1">IFERROR(IF(MATCH(T_BATTINGDATA[[#This Row],[BATSMAN NAME]],OFFSET(O286,0,0,BATROWS-ROW(O285)-ROW(T_BATTINGDATA[[#Headers],[BATSMAN NAME]])),0)&gt;0,0,SUMIF($O$6:O285,T_BATTINGDATA[[#This Row],[BATSMAN NAME]],$E$6:E285)),SUMIF($O$6:O285,T_BATTINGDATA[[#This Row],[BATSMAN NAME]],$E$6:E285))</f>
        <v>0</v>
      </c>
      <c r="AP285">
        <v>46</v>
      </c>
      <c r="AQ285" t="s">
        <v>140</v>
      </c>
      <c r="AR285" t="s">
        <v>301</v>
      </c>
      <c r="AS285">
        <v>4</v>
      </c>
      <c r="AT285">
        <v>0</v>
      </c>
      <c r="AU285">
        <v>42</v>
      </c>
      <c r="AV285">
        <v>1</v>
      </c>
      <c r="AW285">
        <v>10.5</v>
      </c>
      <c r="AX285">
        <v>8</v>
      </c>
      <c r="AY285">
        <v>6</v>
      </c>
      <c r="AZ285">
        <v>1</v>
      </c>
      <c r="BA285">
        <v>2</v>
      </c>
      <c r="BB285">
        <v>0</v>
      </c>
      <c r="BC285">
        <v>4</v>
      </c>
      <c r="BD285" t="str">
        <f>CONCATENATE(Table9[[#This Row],[Match Number]],Table9[[#This Row],[Team]],Table9[[#This Row],[BOWL NUM]])</f>
        <v>46New Zealand4</v>
      </c>
      <c r="BE285" t="str">
        <f>IFERROR(IF(AND(Table9[[#This Row],[Team]]=I_TEAM,IFERROR(IF(MATCH(Table9[[#This Row],[Bowler]],$AR$5:AR284,0)&gt;0,0),1)),1,0),"")</f>
        <v/>
      </c>
      <c r="BF285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28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85" t="e">
        <f>IF(Table9[[#This Row],[Team]]=I_TEAM,Table9[[#This Row],[Wickets]]*100-Table9[[#This Row],[Runs]],0)</f>
        <v>#REF!</v>
      </c>
      <c r="BI285">
        <f>Table9[[#This Row],[Wickets]]*100-Table9[[#This Row],[Runs]]</f>
        <v>58</v>
      </c>
      <c r="BJ285">
        <f ca="1">IFERROR(IF(MATCH(Table9[[#This Row],[Bowler]],OFFSET(AR286,0,0,BOWLROWS-ROW(AR285)-ROW(Table9[[#Headers],[BOWLER CUML WICKETS]])),0)&gt;0,0,SUMIF($AR$6:AR285,Table9[[#This Row],[Bowler]],$AV$6:AV285)),SUMIF($AR$6:AR285,Table9[[#This Row],[Bowler]],$AV$6:AV285))</f>
        <v>0</v>
      </c>
      <c r="BK285">
        <f ca="1">IFERROR(IF(MATCH(Table9[[#This Row],[Bowler]],OFFSET(AR286,0,0,BOWLROWS-ROW(AR285)-ROW(Table9[[#Headers],[BOWLER CUML WICKETS]])),0)&gt;0,0,SUMIF($AR$6:AR285,Table9[[#This Row],[Bowler]],$AU$6:AU285)),SUMIF($AR$6:AR285,Table9[[#This Row],[Bowler]],$AU$6:AU285))</f>
        <v>0</v>
      </c>
      <c r="BL285">
        <f ca="1">Table9[[#This Row],[BOWLER CUML WICKETS]]*100-Table9[[#This Row],[BOWLER CUML RUNS]]</f>
        <v>0</v>
      </c>
    </row>
    <row r="286" spans="1:64" x14ac:dyDescent="0.3">
      <c r="A286">
        <v>10</v>
      </c>
      <c r="B286" t="s">
        <v>153</v>
      </c>
      <c r="C286" t="s">
        <v>202</v>
      </c>
      <c r="D286" t="s">
        <v>520</v>
      </c>
      <c r="E286">
        <v>1</v>
      </c>
      <c r="F286">
        <v>16</v>
      </c>
      <c r="G286">
        <v>10</v>
      </c>
      <c r="H286">
        <v>0</v>
      </c>
      <c r="I286">
        <v>0</v>
      </c>
      <c r="J286">
        <v>10</v>
      </c>
      <c r="K286">
        <v>2</v>
      </c>
      <c r="L286" t="str">
        <f>CONCATENATE(T_BATTINGDATA[[#This Row],[Match]],T_BATTINGDATA[[#This Row],[Team]],T_BATTINGDATA[[#This Row],[Bat Number]])</f>
        <v>10Pakistan2</v>
      </c>
      <c r="M286" t="str">
        <f>IFERROR(IF(AND(T_BATTINGDATA[[#This Row],[Team]]=I_TEAM,IFERROR(IF(MATCH(T_BATTINGDATA[[#This Row],[BATSMAN NAME]],$O$5:O285,0)&gt;0,0),1)),1,0),"")</f>
        <v/>
      </c>
      <c r="N286" t="e">
        <f>IF(T_BATTINGDATA[[#This Row],[Team]]=I_TEAM,T_BATTINGDATA[[#This Row],[R]],0)</f>
        <v>#REF!</v>
      </c>
      <c r="O286" t="str">
        <f>LEFT(T_BATTINGDATA[[#This Row],[Batsman]],IFERROR(FIND("*",T_BATTINGDATA[[#This Row],[Batsman]])-1,IFERROR(FIND("†",T_BATTINGDATA[[#This Row],[Batsman]])-1,LEN(T_BATTINGDATA[[#This Row],[Batsman]]))))</f>
        <v>Ahmed Shehzad</v>
      </c>
      <c r="P286">
        <f ca="1">IFERROR(IF(MATCH(T_BATTINGDATA[[#This Row],[BATSMAN NAME]],OFFSET(O287,0,0,BATROWS-ROW(O286)-ROW(T_BATTINGDATA[[#Headers],[BATSMAN NAME]])),0)&gt;0,0,SUMIF($O$6:O286,T_BATTINGDATA[[#This Row],[BATSMAN NAME]],$E$6:E286)),SUMIF($O$6:O286,T_BATTINGDATA[[#This Row],[BATSMAN NAME]],$E$6:E286))</f>
        <v>0</v>
      </c>
      <c r="AP286">
        <v>46</v>
      </c>
      <c r="AQ286" t="s">
        <v>140</v>
      </c>
      <c r="AR286" t="s">
        <v>309</v>
      </c>
      <c r="AS286">
        <v>2</v>
      </c>
      <c r="AT286">
        <v>0</v>
      </c>
      <c r="AU286">
        <v>24</v>
      </c>
      <c r="AV286">
        <v>1</v>
      </c>
      <c r="AW286">
        <v>12</v>
      </c>
      <c r="AX286">
        <v>5</v>
      </c>
      <c r="AY286">
        <v>2</v>
      </c>
      <c r="AZ286">
        <v>2</v>
      </c>
      <c r="BA286">
        <v>1</v>
      </c>
      <c r="BB286">
        <v>0</v>
      </c>
      <c r="BC286">
        <v>5</v>
      </c>
      <c r="BD286" t="str">
        <f>CONCATENATE(Table9[[#This Row],[Match Number]],Table9[[#This Row],[Team]],Table9[[#This Row],[BOWL NUM]])</f>
        <v>46New Zealand5</v>
      </c>
      <c r="BE286" t="str">
        <f>IFERROR(IF(AND(Table9[[#This Row],[Team]]=I_TEAM,IFERROR(IF(MATCH(Table9[[#This Row],[Bowler]],$AR$5:AR285,0)&gt;0,0),1)),1,0),"")</f>
        <v/>
      </c>
      <c r="BF286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28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86" t="e">
        <f>IF(Table9[[#This Row],[Team]]=I_TEAM,Table9[[#This Row],[Wickets]]*100-Table9[[#This Row],[Runs]],0)</f>
        <v>#REF!</v>
      </c>
      <c r="BI286">
        <f>Table9[[#This Row],[Wickets]]*100-Table9[[#This Row],[Runs]]</f>
        <v>76</v>
      </c>
      <c r="BJ286">
        <f ca="1">IFERROR(IF(MATCH(Table9[[#This Row],[Bowler]],OFFSET(AR287,0,0,BOWLROWS-ROW(AR286)-ROW(Table9[[#Headers],[BOWLER CUML WICKETS]])),0)&gt;0,0,SUMIF($AR$6:AR286,Table9[[#This Row],[Bowler]],$AV$6:AV286)),SUMIF($AR$6:AR286,Table9[[#This Row],[Bowler]],$AV$6:AV286))</f>
        <v>0</v>
      </c>
      <c r="BK286">
        <f ca="1">IFERROR(IF(MATCH(Table9[[#This Row],[Bowler]],OFFSET(AR287,0,0,BOWLROWS-ROW(AR286)-ROW(Table9[[#Headers],[BOWLER CUML WICKETS]])),0)&gt;0,0,SUMIF($AR$6:AR286,Table9[[#This Row],[Bowler]],$AU$6:AU286)),SUMIF($AR$6:AR286,Table9[[#This Row],[Bowler]],$AU$6:AU286))</f>
        <v>0</v>
      </c>
      <c r="BL286">
        <f ca="1">Table9[[#This Row],[BOWLER CUML WICKETS]]*100-Table9[[#This Row],[BOWLER CUML RUNS]]</f>
        <v>0</v>
      </c>
    </row>
    <row r="287" spans="1:64" x14ac:dyDescent="0.3">
      <c r="A287">
        <v>10</v>
      </c>
      <c r="B287" t="s">
        <v>153</v>
      </c>
      <c r="C287" t="s">
        <v>205</v>
      </c>
      <c r="D287" t="s">
        <v>311</v>
      </c>
      <c r="E287">
        <v>0</v>
      </c>
      <c r="F287">
        <v>3</v>
      </c>
      <c r="G287">
        <v>1</v>
      </c>
      <c r="H287">
        <v>0</v>
      </c>
      <c r="I287">
        <v>0</v>
      </c>
      <c r="J287">
        <v>0</v>
      </c>
      <c r="K287">
        <v>3</v>
      </c>
      <c r="L287" t="str">
        <f>CONCATENATE(T_BATTINGDATA[[#This Row],[Match]],T_BATTINGDATA[[#This Row],[Team]],T_BATTINGDATA[[#This Row],[Bat Number]])</f>
        <v>10Pakistan3</v>
      </c>
      <c r="M287" t="str">
        <f>IFERROR(IF(AND(T_BATTINGDATA[[#This Row],[Team]]=I_TEAM,IFERROR(IF(MATCH(T_BATTINGDATA[[#This Row],[BATSMAN NAME]],$O$5:O286,0)&gt;0,0),1)),1,0),"")</f>
        <v/>
      </c>
      <c r="N287" t="e">
        <f>IF(T_BATTINGDATA[[#This Row],[Team]]=I_TEAM,T_BATTINGDATA[[#This Row],[R]],0)</f>
        <v>#REF!</v>
      </c>
      <c r="O287" t="str">
        <f>LEFT(T_BATTINGDATA[[#This Row],[Batsman]],IFERROR(FIND("*",T_BATTINGDATA[[#This Row],[Batsman]])-1,IFERROR(FIND("†",T_BATTINGDATA[[#This Row],[Batsman]])-1,LEN(T_BATTINGDATA[[#This Row],[Batsman]]))))</f>
        <v>Younis Khan</v>
      </c>
      <c r="P287">
        <f ca="1">IFERROR(IF(MATCH(T_BATTINGDATA[[#This Row],[BATSMAN NAME]],OFFSET(O288,0,0,BATROWS-ROW(O287)-ROW(T_BATTINGDATA[[#Headers],[BATSMAN NAME]])),0)&gt;0,0,SUMIF($O$6:O287,T_BATTINGDATA[[#This Row],[BATSMAN NAME]],$E$6:E287)),SUMIF($O$6:O287,T_BATTINGDATA[[#This Row],[BATSMAN NAME]],$E$6:E287))</f>
        <v>0</v>
      </c>
      <c r="AP287">
        <v>47</v>
      </c>
      <c r="AQ287" t="s">
        <v>140</v>
      </c>
      <c r="AR287" t="s">
        <v>297</v>
      </c>
      <c r="AS287">
        <v>9</v>
      </c>
      <c r="AT287">
        <v>1</v>
      </c>
      <c r="AU287">
        <v>55</v>
      </c>
      <c r="AV287">
        <v>0</v>
      </c>
      <c r="AW287">
        <v>6.11</v>
      </c>
      <c r="AX287">
        <v>31</v>
      </c>
      <c r="AY287">
        <v>10</v>
      </c>
      <c r="AZ287">
        <v>0</v>
      </c>
      <c r="BA287">
        <v>1</v>
      </c>
      <c r="BB287">
        <v>0</v>
      </c>
      <c r="BC287">
        <v>1</v>
      </c>
      <c r="BD287" t="str">
        <f>CONCATENATE(Table9[[#This Row],[Match Number]],Table9[[#This Row],[Team]],Table9[[#This Row],[BOWL NUM]])</f>
        <v>47New Zealand1</v>
      </c>
      <c r="BE287" t="str">
        <f>IFERROR(IF(AND(Table9[[#This Row],[Team]]=I_TEAM,IFERROR(IF(MATCH(Table9[[#This Row],[Bowler]],$AR$5:AR286,0)&gt;0,0),1)),1,0),"")</f>
        <v/>
      </c>
      <c r="BF287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8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87" t="e">
        <f>IF(Table9[[#This Row],[Team]]=I_TEAM,Table9[[#This Row],[Wickets]]*100-Table9[[#This Row],[Runs]],0)</f>
        <v>#REF!</v>
      </c>
      <c r="BI287">
        <f>Table9[[#This Row],[Wickets]]*100-Table9[[#This Row],[Runs]]</f>
        <v>-55</v>
      </c>
      <c r="BJ287">
        <f ca="1">IFERROR(IF(MATCH(Table9[[#This Row],[Bowler]],OFFSET(AR288,0,0,BOWLROWS-ROW(AR287)-ROW(Table9[[#Headers],[BOWLER CUML WICKETS]])),0)&gt;0,0,SUMIF($AR$6:AR287,Table9[[#This Row],[Bowler]],$AV$6:AV287)),SUMIF($AR$6:AR287,Table9[[#This Row],[Bowler]],$AV$6:AV287))</f>
        <v>0</v>
      </c>
      <c r="BK287">
        <f ca="1">IFERROR(IF(MATCH(Table9[[#This Row],[Bowler]],OFFSET(AR288,0,0,BOWLROWS-ROW(AR287)-ROW(Table9[[#Headers],[BOWLER CUML WICKETS]])),0)&gt;0,0,SUMIF($AR$6:AR287,Table9[[#This Row],[Bowler]],$AU$6:AU287)),SUMIF($AR$6:AR287,Table9[[#This Row],[Bowler]],$AU$6:AU287))</f>
        <v>0</v>
      </c>
      <c r="BL287">
        <f ca="1">Table9[[#This Row],[BOWLER CUML WICKETS]]*100-Table9[[#This Row],[BOWLER CUML RUNS]]</f>
        <v>0</v>
      </c>
    </row>
    <row r="288" spans="1:64" x14ac:dyDescent="0.3">
      <c r="A288">
        <v>10</v>
      </c>
      <c r="B288" t="s">
        <v>153</v>
      </c>
      <c r="C288" t="s">
        <v>193</v>
      </c>
      <c r="D288" t="s">
        <v>521</v>
      </c>
      <c r="E288">
        <v>0</v>
      </c>
      <c r="F288">
        <v>8</v>
      </c>
      <c r="G288">
        <v>6</v>
      </c>
      <c r="H288">
        <v>0</v>
      </c>
      <c r="I288">
        <v>0</v>
      </c>
      <c r="J288">
        <v>0</v>
      </c>
      <c r="K288">
        <v>4</v>
      </c>
      <c r="L288" t="str">
        <f>CONCATENATE(T_BATTINGDATA[[#This Row],[Match]],T_BATTINGDATA[[#This Row],[Team]],T_BATTINGDATA[[#This Row],[Bat Number]])</f>
        <v>10Pakistan4</v>
      </c>
      <c r="M288" t="str">
        <f>IFERROR(IF(AND(T_BATTINGDATA[[#This Row],[Team]]=I_TEAM,IFERROR(IF(MATCH(T_BATTINGDATA[[#This Row],[BATSMAN NAME]],$O$5:O287,0)&gt;0,0),1)),1,0),"")</f>
        <v/>
      </c>
      <c r="N288" t="e">
        <f>IF(T_BATTINGDATA[[#This Row],[Team]]=I_TEAM,T_BATTINGDATA[[#This Row],[R]],0)</f>
        <v>#REF!</v>
      </c>
      <c r="O288" t="str">
        <f>LEFT(T_BATTINGDATA[[#This Row],[Batsman]],IFERROR(FIND("*",T_BATTINGDATA[[#This Row],[Batsman]])-1,IFERROR(FIND("†",T_BATTINGDATA[[#This Row],[Batsman]])-1,LEN(T_BATTINGDATA[[#This Row],[Batsman]]))))</f>
        <v>Haris Sohail</v>
      </c>
      <c r="P288">
        <f ca="1">IFERROR(IF(MATCH(T_BATTINGDATA[[#This Row],[BATSMAN NAME]],OFFSET(O289,0,0,BATROWS-ROW(O288)-ROW(T_BATTINGDATA[[#Headers],[BATSMAN NAME]])),0)&gt;0,0,SUMIF($O$6:O288,T_BATTINGDATA[[#This Row],[BATSMAN NAME]],$E$6:E288)),SUMIF($O$6:O288,T_BATTINGDATA[[#This Row],[BATSMAN NAME]],$E$6:E288))</f>
        <v>0</v>
      </c>
      <c r="AP288">
        <v>47</v>
      </c>
      <c r="AQ288" t="s">
        <v>140</v>
      </c>
      <c r="AR288" t="s">
        <v>299</v>
      </c>
      <c r="AS288">
        <v>9</v>
      </c>
      <c r="AT288">
        <v>0</v>
      </c>
      <c r="AU288">
        <v>53</v>
      </c>
      <c r="AV288">
        <v>2</v>
      </c>
      <c r="AW288">
        <v>5.88</v>
      </c>
      <c r="AX288">
        <v>29</v>
      </c>
      <c r="AY288">
        <v>7</v>
      </c>
      <c r="AZ288">
        <v>0</v>
      </c>
      <c r="BA288">
        <v>0</v>
      </c>
      <c r="BB288">
        <v>0</v>
      </c>
      <c r="BC288">
        <v>2</v>
      </c>
      <c r="BD288" t="str">
        <f>CONCATENATE(Table9[[#This Row],[Match Number]],Table9[[#This Row],[Team]],Table9[[#This Row],[BOWL NUM]])</f>
        <v>47New Zealand2</v>
      </c>
      <c r="BE288" t="str">
        <f>IFERROR(IF(AND(Table9[[#This Row],[Team]]=I_TEAM,IFERROR(IF(MATCH(Table9[[#This Row],[Bowler]],$AR$5:AR287,0)&gt;0,0),1)),1,0),"")</f>
        <v/>
      </c>
      <c r="BF288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8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88" t="e">
        <f>IF(Table9[[#This Row],[Team]]=I_TEAM,Table9[[#This Row],[Wickets]]*100-Table9[[#This Row],[Runs]],0)</f>
        <v>#REF!</v>
      </c>
      <c r="BI288">
        <f>Table9[[#This Row],[Wickets]]*100-Table9[[#This Row],[Runs]]</f>
        <v>147</v>
      </c>
      <c r="BJ288">
        <f ca="1">IFERROR(IF(MATCH(Table9[[#This Row],[Bowler]],OFFSET(AR289,0,0,BOWLROWS-ROW(AR288)-ROW(Table9[[#Headers],[BOWLER CUML WICKETS]])),0)&gt;0,0,SUMIF($AR$6:AR288,Table9[[#This Row],[Bowler]],$AV$6:AV288)),SUMIF($AR$6:AR288,Table9[[#This Row],[Bowler]],$AV$6:AV288))</f>
        <v>0</v>
      </c>
      <c r="BK288">
        <f ca="1">IFERROR(IF(MATCH(Table9[[#This Row],[Bowler]],OFFSET(AR289,0,0,BOWLROWS-ROW(AR288)-ROW(Table9[[#Headers],[BOWLER CUML WICKETS]])),0)&gt;0,0,SUMIF($AR$6:AR288,Table9[[#This Row],[Bowler]],$AU$6:AU288)),SUMIF($AR$6:AR288,Table9[[#This Row],[Bowler]],$AU$6:AU288))</f>
        <v>0</v>
      </c>
      <c r="BL288">
        <f ca="1">Table9[[#This Row],[BOWLER CUML WICKETS]]*100-Table9[[#This Row],[BOWLER CUML RUNS]]</f>
        <v>0</v>
      </c>
    </row>
    <row r="289" spans="1:64" x14ac:dyDescent="0.3">
      <c r="A289">
        <v>10</v>
      </c>
      <c r="B289" t="s">
        <v>153</v>
      </c>
      <c r="C289" t="s">
        <v>209</v>
      </c>
      <c r="D289" t="s">
        <v>522</v>
      </c>
      <c r="E289">
        <v>7</v>
      </c>
      <c r="F289">
        <v>34</v>
      </c>
      <c r="G289">
        <v>21</v>
      </c>
      <c r="H289">
        <v>1</v>
      </c>
      <c r="I289">
        <v>0</v>
      </c>
      <c r="J289">
        <v>33.33</v>
      </c>
      <c r="K289">
        <v>5</v>
      </c>
      <c r="L289" t="str">
        <f>CONCATENATE(T_BATTINGDATA[[#This Row],[Match]],T_BATTINGDATA[[#This Row],[Team]],T_BATTINGDATA[[#This Row],[Bat Number]])</f>
        <v>10Pakistan5</v>
      </c>
      <c r="M289" t="str">
        <f>IFERROR(IF(AND(T_BATTINGDATA[[#This Row],[Team]]=I_TEAM,IFERROR(IF(MATCH(T_BATTINGDATA[[#This Row],[BATSMAN NAME]],$O$5:O288,0)&gt;0,0),1)),1,0),"")</f>
        <v/>
      </c>
      <c r="N289" t="e">
        <f>IF(T_BATTINGDATA[[#This Row],[Team]]=I_TEAM,T_BATTINGDATA[[#This Row],[R]],0)</f>
        <v>#REF!</v>
      </c>
      <c r="O289" t="str">
        <f>LEFT(T_BATTINGDATA[[#This Row],[Batsman]],IFERROR(FIND("*",T_BATTINGDATA[[#This Row],[Batsman]])-1,IFERROR(FIND("†",T_BATTINGDATA[[#This Row],[Batsman]])-1,LEN(T_BATTINGDATA[[#This Row],[Batsman]]))))</f>
        <v>Misbah-ul-Haq</v>
      </c>
      <c r="P289">
        <f ca="1">IFERROR(IF(MATCH(T_BATTINGDATA[[#This Row],[BATSMAN NAME]],OFFSET(O290,0,0,BATROWS-ROW(O289)-ROW(T_BATTINGDATA[[#Headers],[BATSMAN NAME]])),0)&gt;0,0,SUMIF($O$6:O289,T_BATTINGDATA[[#This Row],[BATSMAN NAME]],$E$6:E289)),SUMIF($O$6:O289,T_BATTINGDATA[[#This Row],[BATSMAN NAME]],$E$6:E289))</f>
        <v>0</v>
      </c>
      <c r="AP289">
        <v>47</v>
      </c>
      <c r="AQ289" t="s">
        <v>140</v>
      </c>
      <c r="AR289" t="s">
        <v>523</v>
      </c>
      <c r="AS289">
        <v>8</v>
      </c>
      <c r="AT289">
        <v>2</v>
      </c>
      <c r="AU289">
        <v>40</v>
      </c>
      <c r="AV289">
        <v>0</v>
      </c>
      <c r="AW289">
        <v>5</v>
      </c>
      <c r="AX289">
        <v>27</v>
      </c>
      <c r="AY289">
        <v>3</v>
      </c>
      <c r="AZ289">
        <v>1</v>
      </c>
      <c r="BA289">
        <v>1</v>
      </c>
      <c r="BB289">
        <v>0</v>
      </c>
      <c r="BC289">
        <v>3</v>
      </c>
      <c r="BD289" t="str">
        <f>CONCATENATE(Table9[[#This Row],[Match Number]],Table9[[#This Row],[Team]],Table9[[#This Row],[BOWL NUM]])</f>
        <v>47New Zealand3</v>
      </c>
      <c r="BE289" t="str">
        <f>IFERROR(IF(AND(Table9[[#This Row],[Team]]=I_TEAM,IFERROR(IF(MATCH(Table9[[#This Row],[Bowler]],$AR$5:AR288,0)&gt;0,0),1)),1,0),"")</f>
        <v/>
      </c>
      <c r="BF289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28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89" t="e">
        <f>IF(Table9[[#This Row],[Team]]=I_TEAM,Table9[[#This Row],[Wickets]]*100-Table9[[#This Row],[Runs]],0)</f>
        <v>#REF!</v>
      </c>
      <c r="BI289">
        <f>Table9[[#This Row],[Wickets]]*100-Table9[[#This Row],[Runs]]</f>
        <v>-40</v>
      </c>
      <c r="BJ289">
        <f ca="1">IFERROR(IF(MATCH(Table9[[#This Row],[Bowler]],OFFSET(AR290,0,0,BOWLROWS-ROW(AR289)-ROW(Table9[[#Headers],[BOWLER CUML WICKETS]])),0)&gt;0,0,SUMIF($AR$6:AR289,Table9[[#This Row],[Bowler]],$AV$6:AV289)),SUMIF($AR$6:AR289,Table9[[#This Row],[Bowler]],$AV$6:AV289))</f>
        <v>0</v>
      </c>
      <c r="BK289">
        <f ca="1">IFERROR(IF(MATCH(Table9[[#This Row],[Bowler]],OFFSET(AR290,0,0,BOWLROWS-ROW(AR289)-ROW(Table9[[#Headers],[BOWLER CUML WICKETS]])),0)&gt;0,0,SUMIF($AR$6:AR289,Table9[[#This Row],[Bowler]],$AU$6:AU289)),SUMIF($AR$6:AR289,Table9[[#This Row],[Bowler]],$AU$6:AU289))</f>
        <v>0</v>
      </c>
      <c r="BL289">
        <f ca="1">Table9[[#This Row],[BOWLER CUML WICKETS]]*100-Table9[[#This Row],[BOWLER CUML RUNS]]</f>
        <v>0</v>
      </c>
    </row>
    <row r="290" spans="1:64" x14ac:dyDescent="0.3">
      <c r="A290">
        <v>10</v>
      </c>
      <c r="B290" t="s">
        <v>153</v>
      </c>
      <c r="C290" t="s">
        <v>212</v>
      </c>
      <c r="D290" t="s">
        <v>524</v>
      </c>
      <c r="E290">
        <v>50</v>
      </c>
      <c r="F290">
        <v>92</v>
      </c>
      <c r="G290">
        <v>66</v>
      </c>
      <c r="H290">
        <v>4</v>
      </c>
      <c r="I290">
        <v>1</v>
      </c>
      <c r="J290">
        <v>75.75</v>
      </c>
      <c r="K290">
        <v>6</v>
      </c>
      <c r="L290" t="str">
        <f>CONCATENATE(T_BATTINGDATA[[#This Row],[Match]],T_BATTINGDATA[[#This Row],[Team]],T_BATTINGDATA[[#This Row],[Bat Number]])</f>
        <v>10Pakistan6</v>
      </c>
      <c r="M290" t="str">
        <f>IFERROR(IF(AND(T_BATTINGDATA[[#This Row],[Team]]=I_TEAM,IFERROR(IF(MATCH(T_BATTINGDATA[[#This Row],[BATSMAN NAME]],$O$5:O289,0)&gt;0,0),1)),1,0),"")</f>
        <v/>
      </c>
      <c r="N290" t="e">
        <f>IF(T_BATTINGDATA[[#This Row],[Team]]=I_TEAM,T_BATTINGDATA[[#This Row],[R]],0)</f>
        <v>#REF!</v>
      </c>
      <c r="O290" t="str">
        <f>LEFT(T_BATTINGDATA[[#This Row],[Batsman]],IFERROR(FIND("*",T_BATTINGDATA[[#This Row],[Batsman]])-1,IFERROR(FIND("†",T_BATTINGDATA[[#This Row],[Batsman]])-1,LEN(T_BATTINGDATA[[#This Row],[Batsman]]))))</f>
        <v>Sohaib Maqsood</v>
      </c>
      <c r="P290">
        <f ca="1">IFERROR(IF(MATCH(T_BATTINGDATA[[#This Row],[BATSMAN NAME]],OFFSET(O291,0,0,BATROWS-ROW(O290)-ROW(T_BATTINGDATA[[#Headers],[BATSMAN NAME]])),0)&gt;0,0,SUMIF($O$6:O290,T_BATTINGDATA[[#This Row],[BATSMAN NAME]],$E$6:E290)),SUMIF($O$6:O290,T_BATTINGDATA[[#This Row],[BATSMAN NAME]],$E$6:E290))</f>
        <v>0</v>
      </c>
      <c r="AP290">
        <v>47</v>
      </c>
      <c r="AQ290" t="s">
        <v>140</v>
      </c>
      <c r="AR290" t="s">
        <v>303</v>
      </c>
      <c r="AS290">
        <v>9</v>
      </c>
      <c r="AT290">
        <v>0</v>
      </c>
      <c r="AU290">
        <v>46</v>
      </c>
      <c r="AV290">
        <v>0</v>
      </c>
      <c r="AW290">
        <v>5.1100000000000003</v>
      </c>
      <c r="AX290">
        <v>21</v>
      </c>
      <c r="AY290">
        <v>2</v>
      </c>
      <c r="AZ290">
        <v>0</v>
      </c>
      <c r="BA290">
        <v>2</v>
      </c>
      <c r="BB290">
        <v>0</v>
      </c>
      <c r="BC290">
        <v>4</v>
      </c>
      <c r="BD290" t="str">
        <f>CONCATENATE(Table9[[#This Row],[Match Number]],Table9[[#This Row],[Team]],Table9[[#This Row],[BOWL NUM]])</f>
        <v>47New Zealand4</v>
      </c>
      <c r="BE290" t="str">
        <f>IFERROR(IF(AND(Table9[[#This Row],[Team]]=I_TEAM,IFERROR(IF(MATCH(Table9[[#This Row],[Bowler]],$AR$5:AR289,0)&gt;0,0),1)),1,0),"")</f>
        <v/>
      </c>
      <c r="BF290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9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90" t="e">
        <f>IF(Table9[[#This Row],[Team]]=I_TEAM,Table9[[#This Row],[Wickets]]*100-Table9[[#This Row],[Runs]],0)</f>
        <v>#REF!</v>
      </c>
      <c r="BI290">
        <f>Table9[[#This Row],[Wickets]]*100-Table9[[#This Row],[Runs]]</f>
        <v>-46</v>
      </c>
      <c r="BJ290">
        <f ca="1">IFERROR(IF(MATCH(Table9[[#This Row],[Bowler]],OFFSET(AR291,0,0,BOWLROWS-ROW(AR290)-ROW(Table9[[#Headers],[BOWLER CUML WICKETS]])),0)&gt;0,0,SUMIF($AR$6:AR290,Table9[[#This Row],[Bowler]],$AV$6:AV290)),SUMIF($AR$6:AR290,Table9[[#This Row],[Bowler]],$AV$6:AV290))</f>
        <v>0</v>
      </c>
      <c r="BK290">
        <f ca="1">IFERROR(IF(MATCH(Table9[[#This Row],[Bowler]],OFFSET(AR291,0,0,BOWLROWS-ROW(AR290)-ROW(Table9[[#Headers],[BOWLER CUML WICKETS]])),0)&gt;0,0,SUMIF($AR$6:AR290,Table9[[#This Row],[Bowler]],$AU$6:AU290)),SUMIF($AR$6:AR290,Table9[[#This Row],[Bowler]],$AU$6:AU290))</f>
        <v>0</v>
      </c>
      <c r="BL290">
        <f ca="1">Table9[[#This Row],[BOWLER CUML WICKETS]]*100-Table9[[#This Row],[BOWLER CUML RUNS]]</f>
        <v>0</v>
      </c>
    </row>
    <row r="291" spans="1:64" x14ac:dyDescent="0.3">
      <c r="A291">
        <v>10</v>
      </c>
      <c r="B291" t="s">
        <v>153</v>
      </c>
      <c r="C291" t="s">
        <v>215</v>
      </c>
      <c r="D291" t="s">
        <v>525</v>
      </c>
      <c r="E291">
        <v>59</v>
      </c>
      <c r="F291">
        <v>88</v>
      </c>
      <c r="G291">
        <v>71</v>
      </c>
      <c r="H291">
        <v>5</v>
      </c>
      <c r="I291">
        <v>1</v>
      </c>
      <c r="J291">
        <v>83.09</v>
      </c>
      <c r="K291">
        <v>7</v>
      </c>
      <c r="L291" t="str">
        <f>CONCATENATE(T_BATTINGDATA[[#This Row],[Match]],T_BATTINGDATA[[#This Row],[Team]],T_BATTINGDATA[[#This Row],[Bat Number]])</f>
        <v>10Pakistan7</v>
      </c>
      <c r="M291" t="str">
        <f>IFERROR(IF(AND(T_BATTINGDATA[[#This Row],[Team]]=I_TEAM,IFERROR(IF(MATCH(T_BATTINGDATA[[#This Row],[BATSMAN NAME]],$O$5:O290,0)&gt;0,0),1)),1,0),"")</f>
        <v/>
      </c>
      <c r="N291" t="e">
        <f>IF(T_BATTINGDATA[[#This Row],[Team]]=I_TEAM,T_BATTINGDATA[[#This Row],[R]],0)</f>
        <v>#REF!</v>
      </c>
      <c r="O291" t="str">
        <f>LEFT(T_BATTINGDATA[[#This Row],[Batsman]],IFERROR(FIND("*",T_BATTINGDATA[[#This Row],[Batsman]])-1,IFERROR(FIND("†",T_BATTINGDATA[[#This Row],[Batsman]])-1,LEN(T_BATTINGDATA[[#This Row],[Batsman]]))))</f>
        <v>Umar Akmal</v>
      </c>
      <c r="P291">
        <f ca="1">IFERROR(IF(MATCH(T_BATTINGDATA[[#This Row],[BATSMAN NAME]],OFFSET(O292,0,0,BATROWS-ROW(O291)-ROW(T_BATTINGDATA[[#Headers],[BATSMAN NAME]])),0)&gt;0,0,SUMIF($O$6:O291,T_BATTINGDATA[[#This Row],[BATSMAN NAME]],$E$6:E291)),SUMIF($O$6:O291,T_BATTINGDATA[[#This Row],[BATSMAN NAME]],$E$6:E291))</f>
        <v>0</v>
      </c>
      <c r="AP291">
        <v>47</v>
      </c>
      <c r="AQ291" t="s">
        <v>140</v>
      </c>
      <c r="AR291" t="s">
        <v>307</v>
      </c>
      <c r="AS291">
        <v>1</v>
      </c>
      <c r="AT291">
        <v>0</v>
      </c>
      <c r="AU291">
        <v>5</v>
      </c>
      <c r="AV291">
        <v>0</v>
      </c>
      <c r="AW291">
        <v>5</v>
      </c>
      <c r="AX291">
        <v>1</v>
      </c>
      <c r="AY291">
        <v>0</v>
      </c>
      <c r="AZ291">
        <v>0</v>
      </c>
      <c r="BA291">
        <v>0</v>
      </c>
      <c r="BB291">
        <v>0</v>
      </c>
      <c r="BC291">
        <v>5</v>
      </c>
      <c r="BD291" t="str">
        <f>CONCATENATE(Table9[[#This Row],[Match Number]],Table9[[#This Row],[Team]],Table9[[#This Row],[BOWL NUM]])</f>
        <v>47New Zealand5</v>
      </c>
      <c r="BE291" t="str">
        <f>IFERROR(IF(AND(Table9[[#This Row],[Team]]=I_TEAM,IFERROR(IF(MATCH(Table9[[#This Row],[Bowler]],$AR$5:AR290,0)&gt;0,0),1)),1,0),"")</f>
        <v/>
      </c>
      <c r="BF291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29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91" t="e">
        <f>IF(Table9[[#This Row],[Team]]=I_TEAM,Table9[[#This Row],[Wickets]]*100-Table9[[#This Row],[Runs]],0)</f>
        <v>#REF!</v>
      </c>
      <c r="BI291">
        <f>Table9[[#This Row],[Wickets]]*100-Table9[[#This Row],[Runs]]</f>
        <v>-5</v>
      </c>
      <c r="BJ291">
        <f ca="1">IFERROR(IF(MATCH(Table9[[#This Row],[Bowler]],OFFSET(AR292,0,0,BOWLROWS-ROW(AR291)-ROW(Table9[[#Headers],[BOWLER CUML WICKETS]])),0)&gt;0,0,SUMIF($AR$6:AR291,Table9[[#This Row],[Bowler]],$AV$6:AV291)),SUMIF($AR$6:AR291,Table9[[#This Row],[Bowler]],$AV$6:AV291))</f>
        <v>0</v>
      </c>
      <c r="BK291">
        <f ca="1">IFERROR(IF(MATCH(Table9[[#This Row],[Bowler]],OFFSET(AR292,0,0,BOWLROWS-ROW(AR291)-ROW(Table9[[#Headers],[BOWLER CUML WICKETS]])),0)&gt;0,0,SUMIF($AR$6:AR291,Table9[[#This Row],[Bowler]],$AU$6:AU291)),SUMIF($AR$6:AR291,Table9[[#This Row],[Bowler]],$AU$6:AU291))</f>
        <v>12</v>
      </c>
      <c r="BL291">
        <f ca="1">Table9[[#This Row],[BOWLER CUML WICKETS]]*100-Table9[[#This Row],[BOWLER CUML RUNS]]</f>
        <v>-12</v>
      </c>
    </row>
    <row r="292" spans="1:64" x14ac:dyDescent="0.3">
      <c r="A292">
        <v>10</v>
      </c>
      <c r="B292" t="s">
        <v>153</v>
      </c>
      <c r="C292" t="s">
        <v>188</v>
      </c>
      <c r="D292" t="s">
        <v>526</v>
      </c>
      <c r="E292">
        <v>28</v>
      </c>
      <c r="F292">
        <v>50</v>
      </c>
      <c r="G292">
        <v>26</v>
      </c>
      <c r="H292">
        <v>4</v>
      </c>
      <c r="I292">
        <v>0</v>
      </c>
      <c r="J292">
        <v>107.69</v>
      </c>
      <c r="K292">
        <v>8</v>
      </c>
      <c r="L292" t="str">
        <f>CONCATENATE(T_BATTINGDATA[[#This Row],[Match]],T_BATTINGDATA[[#This Row],[Team]],T_BATTINGDATA[[#This Row],[Bat Number]])</f>
        <v>10Pakistan8</v>
      </c>
      <c r="M292" t="str">
        <f>IFERROR(IF(AND(T_BATTINGDATA[[#This Row],[Team]]=I_TEAM,IFERROR(IF(MATCH(T_BATTINGDATA[[#This Row],[BATSMAN NAME]],$O$5:O291,0)&gt;0,0),1)),1,0),"")</f>
        <v/>
      </c>
      <c r="N292" t="e">
        <f>IF(T_BATTINGDATA[[#This Row],[Team]]=I_TEAM,T_BATTINGDATA[[#This Row],[R]],0)</f>
        <v>#REF!</v>
      </c>
      <c r="O292" t="str">
        <f>LEFT(T_BATTINGDATA[[#This Row],[Batsman]],IFERROR(FIND("*",T_BATTINGDATA[[#This Row],[Batsman]])-1,IFERROR(FIND("†",T_BATTINGDATA[[#This Row],[Batsman]])-1,LEN(T_BATTINGDATA[[#This Row],[Batsman]]))))</f>
        <v>Shahid Afridi</v>
      </c>
      <c r="P292">
        <f ca="1">IFERROR(IF(MATCH(T_BATTINGDATA[[#This Row],[BATSMAN NAME]],OFFSET(O293,0,0,BATROWS-ROW(O292)-ROW(T_BATTINGDATA[[#Headers],[BATSMAN NAME]])),0)&gt;0,0,SUMIF($O$6:O292,T_BATTINGDATA[[#This Row],[BATSMAN NAME]],$E$6:E292)),SUMIF($O$6:O292,T_BATTINGDATA[[#This Row],[BATSMAN NAME]],$E$6:E292))</f>
        <v>0</v>
      </c>
      <c r="AP292">
        <v>47</v>
      </c>
      <c r="AQ292" t="s">
        <v>140</v>
      </c>
      <c r="AR292" t="s">
        <v>305</v>
      </c>
      <c r="AS292">
        <v>1</v>
      </c>
      <c r="AT292">
        <v>0</v>
      </c>
      <c r="AU292">
        <v>9</v>
      </c>
      <c r="AV292">
        <v>0</v>
      </c>
      <c r="AW292">
        <v>9</v>
      </c>
      <c r="AX292">
        <v>2</v>
      </c>
      <c r="AY292">
        <v>0</v>
      </c>
      <c r="AZ292">
        <v>1</v>
      </c>
      <c r="BA292">
        <v>0</v>
      </c>
      <c r="BB292">
        <v>0</v>
      </c>
      <c r="BC292">
        <v>6</v>
      </c>
      <c r="BD292" t="str">
        <f>CONCATENATE(Table9[[#This Row],[Match Number]],Table9[[#This Row],[Team]],Table9[[#This Row],[BOWL NUM]])</f>
        <v>47New Zealand6</v>
      </c>
      <c r="BE292" t="str">
        <f>IFERROR(IF(AND(Table9[[#This Row],[Team]]=I_TEAM,IFERROR(IF(MATCH(Table9[[#This Row],[Bowler]],$AR$5:AR291,0)&gt;0,0),1)),1,0),"")</f>
        <v/>
      </c>
      <c r="BF292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29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92" t="e">
        <f>IF(Table9[[#This Row],[Team]]=I_TEAM,Table9[[#This Row],[Wickets]]*100-Table9[[#This Row],[Runs]],0)</f>
        <v>#REF!</v>
      </c>
      <c r="BI292">
        <f>Table9[[#This Row],[Wickets]]*100-Table9[[#This Row],[Runs]]</f>
        <v>-9</v>
      </c>
      <c r="BJ292">
        <f ca="1">IFERROR(IF(MATCH(Table9[[#This Row],[Bowler]],OFFSET(AR293,0,0,BOWLROWS-ROW(AR292)-ROW(Table9[[#Headers],[BOWLER CUML WICKETS]])),0)&gt;0,0,SUMIF($AR$6:AR292,Table9[[#This Row],[Bowler]],$AV$6:AV292)),SUMIF($AR$6:AR292,Table9[[#This Row],[Bowler]],$AV$6:AV292))</f>
        <v>0</v>
      </c>
      <c r="BK292">
        <f ca="1">IFERROR(IF(MATCH(Table9[[#This Row],[Bowler]],OFFSET(AR293,0,0,BOWLROWS-ROW(AR292)-ROW(Table9[[#Headers],[BOWLER CUML WICKETS]])),0)&gt;0,0,SUMIF($AR$6:AR292,Table9[[#This Row],[Bowler]],$AU$6:AU292)),SUMIF($AR$6:AR292,Table9[[#This Row],[Bowler]],$AU$6:AU292))</f>
        <v>0</v>
      </c>
      <c r="BL292">
        <f ca="1">Table9[[#This Row],[BOWLER CUML WICKETS]]*100-Table9[[#This Row],[BOWLER CUML RUNS]]</f>
        <v>0</v>
      </c>
    </row>
    <row r="293" spans="1:64" x14ac:dyDescent="0.3">
      <c r="A293">
        <v>10</v>
      </c>
      <c r="B293" t="s">
        <v>153</v>
      </c>
      <c r="C293" t="s">
        <v>189</v>
      </c>
      <c r="D293" t="s">
        <v>527</v>
      </c>
      <c r="E293">
        <v>3</v>
      </c>
      <c r="F293">
        <v>17</v>
      </c>
      <c r="G293">
        <v>13</v>
      </c>
      <c r="H293">
        <v>0</v>
      </c>
      <c r="I293">
        <v>0</v>
      </c>
      <c r="J293">
        <v>23.07</v>
      </c>
      <c r="K293">
        <v>9</v>
      </c>
      <c r="L293" t="str">
        <f>CONCATENATE(T_BATTINGDATA[[#This Row],[Match]],T_BATTINGDATA[[#This Row],[Team]],T_BATTINGDATA[[#This Row],[Bat Number]])</f>
        <v>10Pakistan9</v>
      </c>
      <c r="M293" t="str">
        <f>IFERROR(IF(AND(T_BATTINGDATA[[#This Row],[Team]]=I_TEAM,IFERROR(IF(MATCH(T_BATTINGDATA[[#This Row],[BATSMAN NAME]],$O$5:O292,0)&gt;0,0),1)),1,0),"")</f>
        <v/>
      </c>
      <c r="N293" t="e">
        <f>IF(T_BATTINGDATA[[#This Row],[Team]]=I_TEAM,T_BATTINGDATA[[#This Row],[R]],0)</f>
        <v>#REF!</v>
      </c>
      <c r="O293" t="str">
        <f>LEFT(T_BATTINGDATA[[#This Row],[Batsman]],IFERROR(FIND("*",T_BATTINGDATA[[#This Row],[Batsman]])-1,IFERROR(FIND("†",T_BATTINGDATA[[#This Row],[Batsman]])-1,LEN(T_BATTINGDATA[[#This Row],[Batsman]]))))</f>
        <v>Wahab Riaz</v>
      </c>
      <c r="P293">
        <f ca="1">IFERROR(IF(MATCH(T_BATTINGDATA[[#This Row],[BATSMAN NAME]],OFFSET(O294,0,0,BATROWS-ROW(O293)-ROW(T_BATTINGDATA[[#Headers],[BATSMAN NAME]])),0)&gt;0,0,SUMIF($O$6:O293,T_BATTINGDATA[[#This Row],[BATSMAN NAME]],$E$6:E293)),SUMIF($O$6:O293,T_BATTINGDATA[[#This Row],[BATSMAN NAME]],$E$6:E293))</f>
        <v>0</v>
      </c>
      <c r="AP293">
        <v>47</v>
      </c>
      <c r="AQ293" t="s">
        <v>140</v>
      </c>
      <c r="AR293" t="s">
        <v>309</v>
      </c>
      <c r="AS293">
        <v>6</v>
      </c>
      <c r="AT293">
        <v>0</v>
      </c>
      <c r="AU293">
        <v>72</v>
      </c>
      <c r="AV293">
        <v>3</v>
      </c>
      <c r="AW293">
        <v>12</v>
      </c>
      <c r="AX293">
        <v>12</v>
      </c>
      <c r="AY293">
        <v>6</v>
      </c>
      <c r="AZ293">
        <v>4</v>
      </c>
      <c r="BA293">
        <v>5</v>
      </c>
      <c r="BB293">
        <v>0</v>
      </c>
      <c r="BC293">
        <v>7</v>
      </c>
      <c r="BD293" t="str">
        <f>CONCATENATE(Table9[[#This Row],[Match Number]],Table9[[#This Row],[Team]],Table9[[#This Row],[BOWL NUM]])</f>
        <v>47New Zealand7</v>
      </c>
      <c r="BE293" t="str">
        <f>IFERROR(IF(AND(Table9[[#This Row],[Team]]=I_TEAM,IFERROR(IF(MATCH(Table9[[#This Row],[Bowler]],$AR$5:AR292,0)&gt;0,0),1)),1,0),"")</f>
        <v/>
      </c>
      <c r="BF293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29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93" t="e">
        <f>IF(Table9[[#This Row],[Team]]=I_TEAM,Table9[[#This Row],[Wickets]]*100-Table9[[#This Row],[Runs]],0)</f>
        <v>#REF!</v>
      </c>
      <c r="BI293">
        <f>Table9[[#This Row],[Wickets]]*100-Table9[[#This Row],[Runs]]</f>
        <v>228</v>
      </c>
      <c r="BJ293">
        <f ca="1">IFERROR(IF(MATCH(Table9[[#This Row],[Bowler]],OFFSET(AR294,0,0,BOWLROWS-ROW(AR293)-ROW(Table9[[#Headers],[BOWLER CUML WICKETS]])),0)&gt;0,0,SUMIF($AR$6:AR293,Table9[[#This Row],[Bowler]],$AV$6:AV293)),SUMIF($AR$6:AR293,Table9[[#This Row],[Bowler]],$AV$6:AV293))</f>
        <v>0</v>
      </c>
      <c r="BK293">
        <f ca="1">IFERROR(IF(MATCH(Table9[[#This Row],[Bowler]],OFFSET(AR294,0,0,BOWLROWS-ROW(AR293)-ROW(Table9[[#Headers],[BOWLER CUML WICKETS]])),0)&gt;0,0,SUMIF($AR$6:AR293,Table9[[#This Row],[Bowler]],$AU$6:AU293)),SUMIF($AR$6:AR293,Table9[[#This Row],[Bowler]],$AU$6:AU293))</f>
        <v>0</v>
      </c>
      <c r="BL293">
        <f ca="1">Table9[[#This Row],[BOWLER CUML WICKETS]]*100-Table9[[#This Row],[BOWLER CUML RUNS]]</f>
        <v>0</v>
      </c>
    </row>
    <row r="294" spans="1:64" x14ac:dyDescent="0.3">
      <c r="A294">
        <v>10</v>
      </c>
      <c r="B294" t="s">
        <v>153</v>
      </c>
      <c r="C294" t="s">
        <v>186</v>
      </c>
      <c r="D294" t="s">
        <v>528</v>
      </c>
      <c r="E294">
        <v>1</v>
      </c>
      <c r="F294">
        <v>12</v>
      </c>
      <c r="G294">
        <v>8</v>
      </c>
      <c r="H294">
        <v>0</v>
      </c>
      <c r="I294">
        <v>0</v>
      </c>
      <c r="J294">
        <v>12.5</v>
      </c>
      <c r="K294">
        <v>10</v>
      </c>
      <c r="L294" t="str">
        <f>CONCATENATE(T_BATTINGDATA[[#This Row],[Match]],T_BATTINGDATA[[#This Row],[Team]],T_BATTINGDATA[[#This Row],[Bat Number]])</f>
        <v>10Pakistan10</v>
      </c>
      <c r="M294" t="str">
        <f>IFERROR(IF(AND(T_BATTINGDATA[[#This Row],[Team]]=I_TEAM,IFERROR(IF(MATCH(T_BATTINGDATA[[#This Row],[BATSMAN NAME]],$O$5:O293,0)&gt;0,0),1)),1,0),"")</f>
        <v/>
      </c>
      <c r="N294" t="e">
        <f>IF(T_BATTINGDATA[[#This Row],[Team]]=I_TEAM,T_BATTINGDATA[[#This Row],[R]],0)</f>
        <v>#REF!</v>
      </c>
      <c r="O294" t="str">
        <f>LEFT(T_BATTINGDATA[[#This Row],[Batsman]],IFERROR(FIND("*",T_BATTINGDATA[[#This Row],[Batsman]])-1,IFERROR(FIND("†",T_BATTINGDATA[[#This Row],[Batsman]])-1,LEN(T_BATTINGDATA[[#This Row],[Batsman]]))))</f>
        <v>Sohail Khan</v>
      </c>
      <c r="P294">
        <f ca="1">IFERROR(IF(MATCH(T_BATTINGDATA[[#This Row],[BATSMAN NAME]],OFFSET(O295,0,0,BATROWS-ROW(O294)-ROW(T_BATTINGDATA[[#Headers],[BATSMAN NAME]])),0)&gt;0,0,SUMIF($O$6:O294,T_BATTINGDATA[[#This Row],[BATSMAN NAME]],$E$6:E294)),SUMIF($O$6:O294,T_BATTINGDATA[[#This Row],[BATSMAN NAME]],$E$6:E294))</f>
        <v>0</v>
      </c>
      <c r="AP294">
        <v>47</v>
      </c>
      <c r="AQ294" t="s">
        <v>141</v>
      </c>
      <c r="AR294" t="s">
        <v>142</v>
      </c>
      <c r="AS294">
        <v>8.5</v>
      </c>
      <c r="AT294">
        <v>0</v>
      </c>
      <c r="AU294">
        <v>76</v>
      </c>
      <c r="AV294">
        <v>1</v>
      </c>
      <c r="AW294">
        <v>8.6</v>
      </c>
      <c r="AX294">
        <v>25</v>
      </c>
      <c r="AY294">
        <v>7</v>
      </c>
      <c r="AZ294">
        <v>4</v>
      </c>
      <c r="BA294">
        <v>1</v>
      </c>
      <c r="BB294">
        <v>0</v>
      </c>
      <c r="BC294">
        <v>1</v>
      </c>
      <c r="BD294" t="str">
        <f>CONCATENATE(Table9[[#This Row],[Match Number]],Table9[[#This Row],[Team]],Table9[[#This Row],[BOWL NUM]])</f>
        <v>47South Africa1</v>
      </c>
      <c r="BE294" t="str">
        <f>IFERROR(IF(AND(Table9[[#This Row],[Team]]=I_TEAM,IFERROR(IF(MATCH(Table9[[#This Row],[Bowler]],$AR$5:AR293,0)&gt;0,0),1)),1,0),"")</f>
        <v/>
      </c>
      <c r="BF294">
        <f>(LEFT(Table9[[#This Row],[Overs]],IFERROR(FIND(".",Table9[[#This Row],[Overs]])-1,LEN(Table9[[#This Row],[Overs]])))*6) + IFERROR(IF(FIND(".",Table9[[#This Row],[Overs]])+1&gt;0,RIGHT(Table9[[#This Row],[Overs]],1),0),0)</f>
        <v>53</v>
      </c>
      <c r="BG29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94" t="e">
        <f>IF(Table9[[#This Row],[Team]]=I_TEAM,Table9[[#This Row],[Wickets]]*100-Table9[[#This Row],[Runs]],0)</f>
        <v>#REF!</v>
      </c>
      <c r="BI294">
        <f>Table9[[#This Row],[Wickets]]*100-Table9[[#This Row],[Runs]]</f>
        <v>24</v>
      </c>
      <c r="BJ294">
        <f ca="1">IFERROR(IF(MATCH(Table9[[#This Row],[Bowler]],OFFSET(AR295,0,0,BOWLROWS-ROW(AR294)-ROW(Table9[[#Headers],[BOWLER CUML WICKETS]])),0)&gt;0,0,SUMIF($AR$6:AR294,Table9[[#This Row],[Bowler]],$AV$6:AV294)),SUMIF($AR$6:AR294,Table9[[#This Row],[Bowler]],$AV$6:AV294))</f>
        <v>0</v>
      </c>
      <c r="BK294">
        <f ca="1">IFERROR(IF(MATCH(Table9[[#This Row],[Bowler]],OFFSET(AR295,0,0,BOWLROWS-ROW(AR294)-ROW(Table9[[#Headers],[BOWLER CUML WICKETS]])),0)&gt;0,0,SUMIF($AR$6:AR294,Table9[[#This Row],[Bowler]],$AU$6:AU294)),SUMIF($AR$6:AR294,Table9[[#This Row],[Bowler]],$AU$6:AU294))</f>
        <v>0</v>
      </c>
      <c r="BL294">
        <f ca="1">Table9[[#This Row],[BOWLER CUML WICKETS]]*100-Table9[[#This Row],[BOWLER CUML RUNS]]</f>
        <v>0</v>
      </c>
    </row>
    <row r="295" spans="1:64" x14ac:dyDescent="0.3">
      <c r="A295">
        <v>10</v>
      </c>
      <c r="B295" t="s">
        <v>153</v>
      </c>
      <c r="C295" t="s">
        <v>182</v>
      </c>
      <c r="D295" t="s">
        <v>167</v>
      </c>
      <c r="E295">
        <v>2</v>
      </c>
      <c r="F295">
        <v>8</v>
      </c>
      <c r="G295">
        <v>11</v>
      </c>
      <c r="H295">
        <v>0</v>
      </c>
      <c r="I295">
        <v>0</v>
      </c>
      <c r="J295">
        <v>18.18</v>
      </c>
      <c r="K295">
        <v>11</v>
      </c>
      <c r="L295" t="str">
        <f>CONCATENATE(T_BATTINGDATA[[#This Row],[Match]],T_BATTINGDATA[[#This Row],[Team]],T_BATTINGDATA[[#This Row],[Bat Number]])</f>
        <v>10Pakistan11</v>
      </c>
      <c r="M295" t="str">
        <f>IFERROR(IF(AND(T_BATTINGDATA[[#This Row],[Team]]=I_TEAM,IFERROR(IF(MATCH(T_BATTINGDATA[[#This Row],[BATSMAN NAME]],$O$5:O294,0)&gt;0,0),1)),1,0),"")</f>
        <v/>
      </c>
      <c r="N295" t="e">
        <f>IF(T_BATTINGDATA[[#This Row],[Team]]=I_TEAM,T_BATTINGDATA[[#This Row],[R]],0)</f>
        <v>#REF!</v>
      </c>
      <c r="O295" t="str">
        <f>LEFT(T_BATTINGDATA[[#This Row],[Batsman]],IFERROR(FIND("*",T_BATTINGDATA[[#This Row],[Batsman]])-1,IFERROR(FIND("†",T_BATTINGDATA[[#This Row],[Batsman]])-1,LEN(T_BATTINGDATA[[#This Row],[Batsman]]))))</f>
        <v>Mohammad Irfan</v>
      </c>
      <c r="P295">
        <f ca="1">IFERROR(IF(MATCH(T_BATTINGDATA[[#This Row],[BATSMAN NAME]],OFFSET(O296,0,0,BATROWS-ROW(O295)-ROW(T_BATTINGDATA[[#Headers],[BATSMAN NAME]])),0)&gt;0,0,SUMIF($O$6:O295,T_BATTINGDATA[[#This Row],[BATSMAN NAME]],$E$6:E295)),SUMIF($O$6:O295,T_BATTINGDATA[[#This Row],[BATSMAN NAME]],$E$6:E295))</f>
        <v>0</v>
      </c>
      <c r="AP295">
        <v>47</v>
      </c>
      <c r="AQ295" t="s">
        <v>141</v>
      </c>
      <c r="AR295" t="s">
        <v>146</v>
      </c>
      <c r="AS295">
        <v>8</v>
      </c>
      <c r="AT295">
        <v>0</v>
      </c>
      <c r="AU295">
        <v>52</v>
      </c>
      <c r="AV295">
        <v>0</v>
      </c>
      <c r="AW295">
        <v>6.5</v>
      </c>
      <c r="AX295">
        <v>28</v>
      </c>
      <c r="AY295">
        <v>7</v>
      </c>
      <c r="AZ295">
        <v>2</v>
      </c>
      <c r="BA295">
        <v>0</v>
      </c>
      <c r="BB295">
        <v>0</v>
      </c>
      <c r="BC295">
        <v>2</v>
      </c>
      <c r="BD295" t="str">
        <f>CONCATENATE(Table9[[#This Row],[Match Number]],Table9[[#This Row],[Team]],Table9[[#This Row],[BOWL NUM]])</f>
        <v>47South Africa2</v>
      </c>
      <c r="BE295" t="str">
        <f>IFERROR(IF(AND(Table9[[#This Row],[Team]]=I_TEAM,IFERROR(IF(MATCH(Table9[[#This Row],[Bowler]],$AR$5:AR294,0)&gt;0,0),1)),1,0),"")</f>
        <v/>
      </c>
      <c r="BF295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29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95" t="e">
        <f>IF(Table9[[#This Row],[Team]]=I_TEAM,Table9[[#This Row],[Wickets]]*100-Table9[[#This Row],[Runs]],0)</f>
        <v>#REF!</v>
      </c>
      <c r="BI295">
        <f>Table9[[#This Row],[Wickets]]*100-Table9[[#This Row],[Runs]]</f>
        <v>-52</v>
      </c>
      <c r="BJ295">
        <f ca="1">IFERROR(IF(MATCH(Table9[[#This Row],[Bowler]],OFFSET(AR296,0,0,BOWLROWS-ROW(AR295)-ROW(Table9[[#Headers],[BOWLER CUML WICKETS]])),0)&gt;0,0,SUMIF($AR$6:AR295,Table9[[#This Row],[Bowler]],$AV$6:AV295)),SUMIF($AR$6:AR295,Table9[[#This Row],[Bowler]],$AV$6:AV295))</f>
        <v>0</v>
      </c>
      <c r="BK295">
        <f ca="1">IFERROR(IF(MATCH(Table9[[#This Row],[Bowler]],OFFSET(AR296,0,0,BOWLROWS-ROW(AR295)-ROW(Table9[[#Headers],[BOWLER CUML WICKETS]])),0)&gt;0,0,SUMIF($AR$6:AR295,Table9[[#This Row],[Bowler]],$AU$6:AU295)),SUMIF($AR$6:AR295,Table9[[#This Row],[Bowler]],$AU$6:AU295))</f>
        <v>0</v>
      </c>
      <c r="BL295">
        <f ca="1">Table9[[#This Row],[BOWLER CUML WICKETS]]*100-Table9[[#This Row],[BOWLER CUML RUNS]]</f>
        <v>0</v>
      </c>
    </row>
    <row r="296" spans="1:64" x14ac:dyDescent="0.3">
      <c r="A296">
        <v>12</v>
      </c>
      <c r="B296" t="s">
        <v>185</v>
      </c>
      <c r="C296" t="s">
        <v>398</v>
      </c>
      <c r="D296" t="s">
        <v>529</v>
      </c>
      <c r="E296">
        <v>24</v>
      </c>
      <c r="F296">
        <v>41</v>
      </c>
      <c r="G296">
        <v>23</v>
      </c>
      <c r="H296">
        <v>4</v>
      </c>
      <c r="I296">
        <v>0</v>
      </c>
      <c r="J296">
        <v>104.34</v>
      </c>
      <c r="K296">
        <v>1</v>
      </c>
      <c r="L296" t="str">
        <f>CONCATENATE(T_BATTINGDATA[[#This Row],[Match]],T_BATTINGDATA[[#This Row],[Team]],T_BATTINGDATA[[#This Row],[Bat Number]])</f>
        <v>12Afghanistan1</v>
      </c>
      <c r="M296" t="str">
        <f>IFERROR(IF(AND(T_BATTINGDATA[[#This Row],[Team]]=I_TEAM,IFERROR(IF(MATCH(T_BATTINGDATA[[#This Row],[BATSMAN NAME]],$O$5:O295,0)&gt;0,0),1)),1,0),"")</f>
        <v/>
      </c>
      <c r="N296" t="e">
        <f>IF(T_BATTINGDATA[[#This Row],[Team]]=I_TEAM,T_BATTINGDATA[[#This Row],[R]],0)</f>
        <v>#REF!</v>
      </c>
      <c r="O296" t="str">
        <f>LEFT(T_BATTINGDATA[[#This Row],[Batsman]],IFERROR(FIND("*",T_BATTINGDATA[[#This Row],[Batsman]])-1,IFERROR(FIND("†",T_BATTINGDATA[[#This Row],[Batsman]])-1,LEN(T_BATTINGDATA[[#This Row],[Batsman]]))))</f>
        <v>Javed Ahmadi</v>
      </c>
      <c r="P296">
        <f ca="1">IFERROR(IF(MATCH(T_BATTINGDATA[[#This Row],[BATSMAN NAME]],OFFSET(O297,0,0,BATROWS-ROW(O296)-ROW(T_BATTINGDATA[[#Headers],[BATSMAN NAME]])),0)&gt;0,0,SUMIF($O$6:O296,T_BATTINGDATA[[#This Row],[BATSMAN NAME]],$E$6:E296)),SUMIF($O$6:O296,T_BATTINGDATA[[#This Row],[BATSMAN NAME]],$E$6:E296))</f>
        <v>0</v>
      </c>
      <c r="AP296">
        <v>47</v>
      </c>
      <c r="AQ296" t="s">
        <v>141</v>
      </c>
      <c r="AR296" t="s">
        <v>155</v>
      </c>
      <c r="AS296">
        <v>9</v>
      </c>
      <c r="AT296">
        <v>0</v>
      </c>
      <c r="AU296">
        <v>59</v>
      </c>
      <c r="AV296">
        <v>3</v>
      </c>
      <c r="AW296">
        <v>6.55</v>
      </c>
      <c r="AX296">
        <v>30</v>
      </c>
      <c r="AY296">
        <v>9</v>
      </c>
      <c r="AZ296">
        <v>1</v>
      </c>
      <c r="BA296">
        <v>1</v>
      </c>
      <c r="BB296">
        <v>0</v>
      </c>
      <c r="BC296">
        <v>3</v>
      </c>
      <c r="BD296" t="str">
        <f>CONCATENATE(Table9[[#This Row],[Match Number]],Table9[[#This Row],[Team]],Table9[[#This Row],[BOWL NUM]])</f>
        <v>47South Africa3</v>
      </c>
      <c r="BE296" t="str">
        <f>IFERROR(IF(AND(Table9[[#This Row],[Team]]=I_TEAM,IFERROR(IF(MATCH(Table9[[#This Row],[Bowler]],$AR$5:AR295,0)&gt;0,0),1)),1,0),"")</f>
        <v/>
      </c>
      <c r="BF296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9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96" t="e">
        <f>IF(Table9[[#This Row],[Team]]=I_TEAM,Table9[[#This Row],[Wickets]]*100-Table9[[#This Row],[Runs]],0)</f>
        <v>#REF!</v>
      </c>
      <c r="BI296">
        <f>Table9[[#This Row],[Wickets]]*100-Table9[[#This Row],[Runs]]</f>
        <v>241</v>
      </c>
      <c r="BJ296">
        <f ca="1">IFERROR(IF(MATCH(Table9[[#This Row],[Bowler]],OFFSET(AR297,0,0,BOWLROWS-ROW(AR296)-ROW(Table9[[#Headers],[BOWLER CUML WICKETS]])),0)&gt;0,0,SUMIF($AR$6:AR296,Table9[[#This Row],[Bowler]],$AV$6:AV296)),SUMIF($AR$6:AR296,Table9[[#This Row],[Bowler]],$AV$6:AV296))</f>
        <v>0</v>
      </c>
      <c r="BK296">
        <f ca="1">IFERROR(IF(MATCH(Table9[[#This Row],[Bowler]],OFFSET(AR297,0,0,BOWLROWS-ROW(AR296)-ROW(Table9[[#Headers],[BOWLER CUML WICKETS]])),0)&gt;0,0,SUMIF($AR$6:AR296,Table9[[#This Row],[Bowler]],$AU$6:AU296)),SUMIF($AR$6:AR296,Table9[[#This Row],[Bowler]],$AU$6:AU296))</f>
        <v>0</v>
      </c>
      <c r="BL296">
        <f ca="1">Table9[[#This Row],[BOWLER CUML WICKETS]]*100-Table9[[#This Row],[BOWLER CUML RUNS]]</f>
        <v>0</v>
      </c>
    </row>
    <row r="297" spans="1:64" x14ac:dyDescent="0.3">
      <c r="A297">
        <v>12</v>
      </c>
      <c r="B297" t="s">
        <v>185</v>
      </c>
      <c r="C297" t="s">
        <v>478</v>
      </c>
      <c r="D297" t="s">
        <v>530</v>
      </c>
      <c r="E297">
        <v>10</v>
      </c>
      <c r="F297">
        <v>34</v>
      </c>
      <c r="G297">
        <v>30</v>
      </c>
      <c r="H297">
        <v>1</v>
      </c>
      <c r="I297">
        <v>0</v>
      </c>
      <c r="J297">
        <v>33.33</v>
      </c>
      <c r="K297">
        <v>2</v>
      </c>
      <c r="L297" t="str">
        <f>CONCATENATE(T_BATTINGDATA[[#This Row],[Match]],T_BATTINGDATA[[#This Row],[Team]],T_BATTINGDATA[[#This Row],[Bat Number]])</f>
        <v>12Afghanistan2</v>
      </c>
      <c r="M297" t="str">
        <f>IFERROR(IF(AND(T_BATTINGDATA[[#This Row],[Team]]=I_TEAM,IFERROR(IF(MATCH(T_BATTINGDATA[[#This Row],[BATSMAN NAME]],$O$5:O296,0)&gt;0,0),1)),1,0),"")</f>
        <v/>
      </c>
      <c r="N297" t="e">
        <f>IF(T_BATTINGDATA[[#This Row],[Team]]=I_TEAM,T_BATTINGDATA[[#This Row],[R]],0)</f>
        <v>#REF!</v>
      </c>
      <c r="O297" t="str">
        <f>LEFT(T_BATTINGDATA[[#This Row],[Batsman]],IFERROR(FIND("*",T_BATTINGDATA[[#This Row],[Batsman]])-1,IFERROR(FIND("†",T_BATTINGDATA[[#This Row],[Batsman]])-1,LEN(T_BATTINGDATA[[#This Row],[Batsman]]))))</f>
        <v>Nawroz Mangal</v>
      </c>
      <c r="P297">
        <f ca="1">IFERROR(IF(MATCH(T_BATTINGDATA[[#This Row],[BATSMAN NAME]],OFFSET(O298,0,0,BATROWS-ROW(O297)-ROW(T_BATTINGDATA[[#Headers],[BATSMAN NAME]])),0)&gt;0,0,SUMIF($O$6:O297,T_BATTINGDATA[[#This Row],[BATSMAN NAME]],$E$6:E297)),SUMIF($O$6:O297,T_BATTINGDATA[[#This Row],[BATSMAN NAME]],$E$6:E297))</f>
        <v>0</v>
      </c>
      <c r="AP297">
        <v>47</v>
      </c>
      <c r="AQ297" t="s">
        <v>141</v>
      </c>
      <c r="AR297" t="s">
        <v>159</v>
      </c>
      <c r="AS297">
        <v>9</v>
      </c>
      <c r="AT297">
        <v>1</v>
      </c>
      <c r="AU297">
        <v>40</v>
      </c>
      <c r="AV297">
        <v>0</v>
      </c>
      <c r="AW297">
        <v>4.4400000000000004</v>
      </c>
      <c r="AX297">
        <v>28</v>
      </c>
      <c r="AY297">
        <v>4</v>
      </c>
      <c r="AZ297">
        <v>0</v>
      </c>
      <c r="BA297">
        <v>1</v>
      </c>
      <c r="BB297">
        <v>0</v>
      </c>
      <c r="BC297">
        <v>4</v>
      </c>
      <c r="BD297" t="str">
        <f>CONCATENATE(Table9[[#This Row],[Match Number]],Table9[[#This Row],[Team]],Table9[[#This Row],[BOWL NUM]])</f>
        <v>47South Africa4</v>
      </c>
      <c r="BE297" t="str">
        <f>IFERROR(IF(AND(Table9[[#This Row],[Team]]=I_TEAM,IFERROR(IF(MATCH(Table9[[#This Row],[Bowler]],$AR$5:AR296,0)&gt;0,0),1)),1,0),"")</f>
        <v/>
      </c>
      <c r="BF297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9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97" t="e">
        <f>IF(Table9[[#This Row],[Team]]=I_TEAM,Table9[[#This Row],[Wickets]]*100-Table9[[#This Row],[Runs]],0)</f>
        <v>#REF!</v>
      </c>
      <c r="BI297">
        <f>Table9[[#This Row],[Wickets]]*100-Table9[[#This Row],[Runs]]</f>
        <v>-40</v>
      </c>
      <c r="BJ297">
        <f ca="1">IFERROR(IF(MATCH(Table9[[#This Row],[Bowler]],OFFSET(AR298,0,0,BOWLROWS-ROW(AR297)-ROW(Table9[[#Headers],[BOWLER CUML WICKETS]])),0)&gt;0,0,SUMIF($AR$6:AR297,Table9[[#This Row],[Bowler]],$AV$6:AV297)),SUMIF($AR$6:AR297,Table9[[#This Row],[Bowler]],$AV$6:AV297))</f>
        <v>0</v>
      </c>
      <c r="BK297">
        <f ca="1">IFERROR(IF(MATCH(Table9[[#This Row],[Bowler]],OFFSET(AR298,0,0,BOWLROWS-ROW(AR297)-ROW(Table9[[#Headers],[BOWLER CUML WICKETS]])),0)&gt;0,0,SUMIF($AR$6:AR297,Table9[[#This Row],[Bowler]],$AU$6:AU297)),SUMIF($AR$6:AR297,Table9[[#This Row],[Bowler]],$AU$6:AU297))</f>
        <v>0</v>
      </c>
      <c r="BL297">
        <f ca="1">Table9[[#This Row],[BOWLER CUML WICKETS]]*100-Table9[[#This Row],[BOWLER CUML RUNS]]</f>
        <v>0</v>
      </c>
    </row>
    <row r="298" spans="1:64" x14ac:dyDescent="0.3">
      <c r="A298">
        <v>12</v>
      </c>
      <c r="B298" t="s">
        <v>185</v>
      </c>
      <c r="C298" t="s">
        <v>457</v>
      </c>
      <c r="D298" t="s">
        <v>353</v>
      </c>
      <c r="E298">
        <v>54</v>
      </c>
      <c r="F298">
        <v>80</v>
      </c>
      <c r="G298">
        <v>57</v>
      </c>
      <c r="H298">
        <v>5</v>
      </c>
      <c r="I298">
        <v>1</v>
      </c>
      <c r="J298">
        <v>94.73</v>
      </c>
      <c r="K298">
        <v>3</v>
      </c>
      <c r="L298" t="str">
        <f>CONCATENATE(T_BATTINGDATA[[#This Row],[Match]],T_BATTINGDATA[[#This Row],[Team]],T_BATTINGDATA[[#This Row],[Bat Number]])</f>
        <v>12Afghanistan3</v>
      </c>
      <c r="M298" t="str">
        <f>IFERROR(IF(AND(T_BATTINGDATA[[#This Row],[Team]]=I_TEAM,IFERROR(IF(MATCH(T_BATTINGDATA[[#This Row],[BATSMAN NAME]],$O$5:O297,0)&gt;0,0),1)),1,0),"")</f>
        <v/>
      </c>
      <c r="N298" t="e">
        <f>IF(T_BATTINGDATA[[#This Row],[Team]]=I_TEAM,T_BATTINGDATA[[#This Row],[R]],0)</f>
        <v>#REF!</v>
      </c>
      <c r="O298" t="str">
        <f>LEFT(T_BATTINGDATA[[#This Row],[Batsman]],IFERROR(FIND("*",T_BATTINGDATA[[#This Row],[Batsman]])-1,IFERROR(FIND("†",T_BATTINGDATA[[#This Row],[Batsman]])-1,LEN(T_BATTINGDATA[[#This Row],[Batsman]]))))</f>
        <v>Asghar Stanikzai</v>
      </c>
      <c r="P298">
        <f ca="1">IFERROR(IF(MATCH(T_BATTINGDATA[[#This Row],[BATSMAN NAME]],OFFSET(O299,0,0,BATROWS-ROW(O298)-ROW(T_BATTINGDATA[[#Headers],[BATSMAN NAME]])),0)&gt;0,0,SUMIF($O$6:O298,T_BATTINGDATA[[#This Row],[BATSMAN NAME]],$E$6:E298)),SUMIF($O$6:O298,T_BATTINGDATA[[#This Row],[BATSMAN NAME]],$E$6:E298))</f>
        <v>0</v>
      </c>
      <c r="AP298">
        <v>47</v>
      </c>
      <c r="AQ298" t="s">
        <v>141</v>
      </c>
      <c r="AR298" t="s">
        <v>150</v>
      </c>
      <c r="AS298">
        <v>5</v>
      </c>
      <c r="AT298">
        <v>0</v>
      </c>
      <c r="AU298">
        <v>43</v>
      </c>
      <c r="AV298">
        <v>1</v>
      </c>
      <c r="AW298">
        <v>8.6</v>
      </c>
      <c r="AX298">
        <v>9</v>
      </c>
      <c r="AY298">
        <v>3</v>
      </c>
      <c r="AZ298">
        <v>2</v>
      </c>
      <c r="BA298">
        <v>2</v>
      </c>
      <c r="BB298">
        <v>0</v>
      </c>
      <c r="BC298">
        <v>5</v>
      </c>
      <c r="BD298" t="str">
        <f>CONCATENATE(Table9[[#This Row],[Match Number]],Table9[[#This Row],[Team]],Table9[[#This Row],[BOWL NUM]])</f>
        <v>47South Africa5</v>
      </c>
      <c r="BE298" t="str">
        <f>IFERROR(IF(AND(Table9[[#This Row],[Team]]=I_TEAM,IFERROR(IF(MATCH(Table9[[#This Row],[Bowler]],$AR$5:AR297,0)&gt;0,0),1)),1,0),"")</f>
        <v/>
      </c>
      <c r="BF298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29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98" t="e">
        <f>IF(Table9[[#This Row],[Team]]=I_TEAM,Table9[[#This Row],[Wickets]]*100-Table9[[#This Row],[Runs]],0)</f>
        <v>#REF!</v>
      </c>
      <c r="BI298">
        <f>Table9[[#This Row],[Wickets]]*100-Table9[[#This Row],[Runs]]</f>
        <v>57</v>
      </c>
      <c r="BJ298">
        <f ca="1">IFERROR(IF(MATCH(Table9[[#This Row],[Bowler]],OFFSET(AR299,0,0,BOWLROWS-ROW(AR298)-ROW(Table9[[#Headers],[BOWLER CUML WICKETS]])),0)&gt;0,0,SUMIF($AR$6:AR298,Table9[[#This Row],[Bowler]],$AV$6:AV298)),SUMIF($AR$6:AR298,Table9[[#This Row],[Bowler]],$AV$6:AV298))</f>
        <v>0</v>
      </c>
      <c r="BK298">
        <f ca="1">IFERROR(IF(MATCH(Table9[[#This Row],[Bowler]],OFFSET(AR299,0,0,BOWLROWS-ROW(AR298)-ROW(Table9[[#Headers],[BOWLER CUML WICKETS]])),0)&gt;0,0,SUMIF($AR$6:AR298,Table9[[#This Row],[Bowler]],$AU$6:AU298)),SUMIF($AR$6:AR298,Table9[[#This Row],[Bowler]],$AU$6:AU298))</f>
        <v>0</v>
      </c>
      <c r="BL298">
        <f ca="1">Table9[[#This Row],[BOWLER CUML WICKETS]]*100-Table9[[#This Row],[BOWLER CUML RUNS]]</f>
        <v>0</v>
      </c>
    </row>
    <row r="299" spans="1:64" x14ac:dyDescent="0.3">
      <c r="A299">
        <v>12</v>
      </c>
      <c r="B299" t="s">
        <v>185</v>
      </c>
      <c r="C299" t="s">
        <v>401</v>
      </c>
      <c r="D299" t="s">
        <v>531</v>
      </c>
      <c r="E299">
        <v>38</v>
      </c>
      <c r="F299">
        <v>93</v>
      </c>
      <c r="G299">
        <v>70</v>
      </c>
      <c r="H299">
        <v>5</v>
      </c>
      <c r="I299">
        <v>0</v>
      </c>
      <c r="J299">
        <v>54.28</v>
      </c>
      <c r="K299">
        <v>4</v>
      </c>
      <c r="L299" t="str">
        <f>CONCATENATE(T_BATTINGDATA[[#This Row],[Match]],T_BATTINGDATA[[#This Row],[Team]],T_BATTINGDATA[[#This Row],[Bat Number]])</f>
        <v>12Afghanistan4</v>
      </c>
      <c r="M299" t="str">
        <f>IFERROR(IF(AND(T_BATTINGDATA[[#This Row],[Team]]=I_TEAM,IFERROR(IF(MATCH(T_BATTINGDATA[[#This Row],[BATSMAN NAME]],$O$5:O298,0)&gt;0,0),1)),1,0),"")</f>
        <v/>
      </c>
      <c r="N299" t="e">
        <f>IF(T_BATTINGDATA[[#This Row],[Team]]=I_TEAM,T_BATTINGDATA[[#This Row],[R]],0)</f>
        <v>#REF!</v>
      </c>
      <c r="O299" t="str">
        <f>LEFT(T_BATTINGDATA[[#This Row],[Batsman]],IFERROR(FIND("*",T_BATTINGDATA[[#This Row],[Batsman]])-1,IFERROR(FIND("†",T_BATTINGDATA[[#This Row],[Batsman]])-1,LEN(T_BATTINGDATA[[#This Row],[Batsman]]))))</f>
        <v>Samiullah Shenwari</v>
      </c>
      <c r="P299">
        <f ca="1">IFERROR(IF(MATCH(T_BATTINGDATA[[#This Row],[BATSMAN NAME]],OFFSET(O300,0,0,BATROWS-ROW(O299)-ROW(T_BATTINGDATA[[#Headers],[BATSMAN NAME]])),0)&gt;0,0,SUMIF($O$6:O299,T_BATTINGDATA[[#This Row],[BATSMAN NAME]],$E$6:E299)),SUMIF($O$6:O299,T_BATTINGDATA[[#This Row],[BATSMAN NAME]],$E$6:E299))</f>
        <v>0</v>
      </c>
      <c r="AP299">
        <v>47</v>
      </c>
      <c r="AQ299" t="s">
        <v>141</v>
      </c>
      <c r="AR299" t="s">
        <v>532</v>
      </c>
      <c r="AS299">
        <v>3</v>
      </c>
      <c r="AT299">
        <v>0</v>
      </c>
      <c r="AU299">
        <v>21</v>
      </c>
      <c r="AV299">
        <v>0</v>
      </c>
      <c r="AW299">
        <v>7</v>
      </c>
      <c r="AX299">
        <v>6</v>
      </c>
      <c r="AY299">
        <v>1</v>
      </c>
      <c r="AZ299">
        <v>1</v>
      </c>
      <c r="BA299">
        <v>0</v>
      </c>
      <c r="BB299">
        <v>0</v>
      </c>
      <c r="BC299">
        <v>6</v>
      </c>
      <c r="BD299" t="str">
        <f>CONCATENATE(Table9[[#This Row],[Match Number]],Table9[[#This Row],[Team]],Table9[[#This Row],[BOWL NUM]])</f>
        <v>47South Africa6</v>
      </c>
      <c r="BE299" t="str">
        <f>IFERROR(IF(AND(Table9[[#This Row],[Team]]=I_TEAM,IFERROR(IF(MATCH(Table9[[#This Row],[Bowler]],$AR$5:AR298,0)&gt;0,0),1)),1,0),"")</f>
        <v/>
      </c>
      <c r="BF299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29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99" t="e">
        <f>IF(Table9[[#This Row],[Team]]=I_TEAM,Table9[[#This Row],[Wickets]]*100-Table9[[#This Row],[Runs]],0)</f>
        <v>#REF!</v>
      </c>
      <c r="BI299">
        <f>Table9[[#This Row],[Wickets]]*100-Table9[[#This Row],[Runs]]</f>
        <v>-21</v>
      </c>
      <c r="BJ299">
        <f ca="1">IFERROR(IF(MATCH(Table9[[#This Row],[Bowler]],OFFSET(AR300,0,0,BOWLROWS-ROW(AR299)-ROW(Table9[[#Headers],[BOWLER CUML WICKETS]])),0)&gt;0,0,SUMIF($AR$6:AR299,Table9[[#This Row],[Bowler]],$AV$6:AV299)),SUMIF($AR$6:AR299,Table9[[#This Row],[Bowler]],$AV$6:AV299))</f>
        <v>0</v>
      </c>
      <c r="BK299">
        <f ca="1">IFERROR(IF(MATCH(Table9[[#This Row],[Bowler]],OFFSET(AR300,0,0,BOWLROWS-ROW(AR299)-ROW(Table9[[#Headers],[BOWLER CUML WICKETS]])),0)&gt;0,0,SUMIF($AR$6:AR299,Table9[[#This Row],[Bowler]],$AU$6:AU299)),SUMIF($AR$6:AR299,Table9[[#This Row],[Bowler]],$AU$6:AU299))</f>
        <v>0</v>
      </c>
      <c r="BL299">
        <f ca="1">Table9[[#This Row],[BOWLER CUML WICKETS]]*100-Table9[[#This Row],[BOWLER CUML RUNS]]</f>
        <v>0</v>
      </c>
    </row>
    <row r="300" spans="1:64" x14ac:dyDescent="0.3">
      <c r="A300">
        <v>12</v>
      </c>
      <c r="B300" t="s">
        <v>185</v>
      </c>
      <c r="C300" t="s">
        <v>483</v>
      </c>
      <c r="D300" t="s">
        <v>533</v>
      </c>
      <c r="E300">
        <v>21</v>
      </c>
      <c r="F300">
        <v>34</v>
      </c>
      <c r="G300">
        <v>27</v>
      </c>
      <c r="H300">
        <v>2</v>
      </c>
      <c r="I300">
        <v>1</v>
      </c>
      <c r="J300">
        <v>77.77</v>
      </c>
      <c r="K300">
        <v>5</v>
      </c>
      <c r="L300" t="str">
        <f>CONCATENATE(T_BATTINGDATA[[#This Row],[Match]],T_BATTINGDATA[[#This Row],[Team]],T_BATTINGDATA[[#This Row],[Bat Number]])</f>
        <v>12Afghanistan5</v>
      </c>
      <c r="M300" t="str">
        <f>IFERROR(IF(AND(T_BATTINGDATA[[#This Row],[Team]]=I_TEAM,IFERROR(IF(MATCH(T_BATTINGDATA[[#This Row],[BATSMAN NAME]],$O$5:O299,0)&gt;0,0),1)),1,0),"")</f>
        <v/>
      </c>
      <c r="N300" t="e">
        <f>IF(T_BATTINGDATA[[#This Row],[Team]]=I_TEAM,T_BATTINGDATA[[#This Row],[R]],0)</f>
        <v>#REF!</v>
      </c>
      <c r="O300" t="str">
        <f>LEFT(T_BATTINGDATA[[#This Row],[Batsman]],IFERROR(FIND("*",T_BATTINGDATA[[#This Row],[Batsman]])-1,IFERROR(FIND("†",T_BATTINGDATA[[#This Row],[Batsman]])-1,LEN(T_BATTINGDATA[[#This Row],[Batsman]]))))</f>
        <v>Mohammad Nabi</v>
      </c>
      <c r="P300">
        <f ca="1">IFERROR(IF(MATCH(T_BATTINGDATA[[#This Row],[BATSMAN NAME]],OFFSET(O301,0,0,BATROWS-ROW(O300)-ROW(T_BATTINGDATA[[#Headers],[BATSMAN NAME]])),0)&gt;0,0,SUMIF($O$6:O300,T_BATTINGDATA[[#This Row],[BATSMAN NAME]],$E$6:E300)),SUMIF($O$6:O300,T_BATTINGDATA[[#This Row],[BATSMAN NAME]],$E$6:E300))</f>
        <v>0</v>
      </c>
      <c r="AP300">
        <v>49</v>
      </c>
      <c r="AQ300" t="s">
        <v>149</v>
      </c>
      <c r="AR300" t="s">
        <v>321</v>
      </c>
      <c r="AS300">
        <v>8</v>
      </c>
      <c r="AT300">
        <v>0</v>
      </c>
      <c r="AU300">
        <v>20</v>
      </c>
      <c r="AV300">
        <v>2</v>
      </c>
      <c r="AW300">
        <v>2.5</v>
      </c>
      <c r="AX300">
        <v>40</v>
      </c>
      <c r="AY300">
        <v>1</v>
      </c>
      <c r="AZ300">
        <v>1</v>
      </c>
      <c r="BA300">
        <v>1</v>
      </c>
      <c r="BB300">
        <v>0</v>
      </c>
      <c r="BC300">
        <v>1</v>
      </c>
      <c r="BD300" t="str">
        <f>CONCATENATE(Table9[[#This Row],[Match Number]],Table9[[#This Row],[Team]],Table9[[#This Row],[BOWL NUM]])</f>
        <v>49Australia1</v>
      </c>
      <c r="BE300" t="str">
        <f>IFERROR(IF(AND(Table9[[#This Row],[Team]]=I_TEAM,IFERROR(IF(MATCH(Table9[[#This Row],[Bowler]],$AR$5:AR299,0)&gt;0,0),1)),1,0),"")</f>
        <v/>
      </c>
      <c r="BF30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0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00" t="e">
        <f>IF(Table9[[#This Row],[Team]]=I_TEAM,Table9[[#This Row],[Wickets]]*100-Table9[[#This Row],[Runs]],0)</f>
        <v>#REF!</v>
      </c>
      <c r="BI300">
        <f>Table9[[#This Row],[Wickets]]*100-Table9[[#This Row],[Runs]]</f>
        <v>180</v>
      </c>
      <c r="BJ300">
        <f ca="1">IFERROR(IF(MATCH(Table9[[#This Row],[Bowler]],OFFSET(AR301,0,0,BOWLROWS-ROW(AR300)-ROW(Table9[[#Headers],[BOWLER CUML WICKETS]])),0)&gt;0,0,SUMIF($AR$6:AR300,Table9[[#This Row],[Bowler]],$AV$6:AV300)),SUMIF($AR$6:AR300,Table9[[#This Row],[Bowler]],$AV$6:AV300))</f>
        <v>0</v>
      </c>
      <c r="BK300">
        <f ca="1">IFERROR(IF(MATCH(Table9[[#This Row],[Bowler]],OFFSET(AR301,0,0,BOWLROWS-ROW(AR300)-ROW(Table9[[#Headers],[BOWLER CUML WICKETS]])),0)&gt;0,0,SUMIF($AR$6:AR300,Table9[[#This Row],[Bowler]],$AU$6:AU300)),SUMIF($AR$6:AR300,Table9[[#This Row],[Bowler]],$AU$6:AU300))</f>
        <v>0</v>
      </c>
      <c r="BL300">
        <f ca="1">Table9[[#This Row],[BOWLER CUML WICKETS]]*100-Table9[[#This Row],[BOWLER CUML RUNS]]</f>
        <v>0</v>
      </c>
    </row>
    <row r="301" spans="1:64" x14ac:dyDescent="0.3">
      <c r="A301">
        <v>12</v>
      </c>
      <c r="B301" t="s">
        <v>185</v>
      </c>
      <c r="C301" t="s">
        <v>485</v>
      </c>
      <c r="D301" t="s">
        <v>534</v>
      </c>
      <c r="E301">
        <v>10</v>
      </c>
      <c r="F301">
        <v>28</v>
      </c>
      <c r="G301">
        <v>15</v>
      </c>
      <c r="H301">
        <v>0</v>
      </c>
      <c r="I301">
        <v>1</v>
      </c>
      <c r="J301">
        <v>66.66</v>
      </c>
      <c r="K301">
        <v>6</v>
      </c>
      <c r="L301" t="str">
        <f>CONCATENATE(T_BATTINGDATA[[#This Row],[Match]],T_BATTINGDATA[[#This Row],[Team]],T_BATTINGDATA[[#This Row],[Bat Number]])</f>
        <v>12Afghanistan6</v>
      </c>
      <c r="M301" t="str">
        <f>IFERROR(IF(AND(T_BATTINGDATA[[#This Row],[Team]]=I_TEAM,IFERROR(IF(MATCH(T_BATTINGDATA[[#This Row],[BATSMAN NAME]],$O$5:O300,0)&gt;0,0),1)),1,0),"")</f>
        <v/>
      </c>
      <c r="N301" t="e">
        <f>IF(T_BATTINGDATA[[#This Row],[Team]]=I_TEAM,T_BATTINGDATA[[#This Row],[R]],0)</f>
        <v>#REF!</v>
      </c>
      <c r="O301" t="str">
        <f>LEFT(T_BATTINGDATA[[#This Row],[Batsman]],IFERROR(FIND("*",T_BATTINGDATA[[#This Row],[Batsman]])-1,IFERROR(FIND("†",T_BATTINGDATA[[#This Row],[Batsman]])-1,LEN(T_BATTINGDATA[[#This Row],[Batsman]]))))</f>
        <v>Najibullah Zadran</v>
      </c>
      <c r="P301">
        <f ca="1">IFERROR(IF(MATCH(T_BATTINGDATA[[#This Row],[BATSMAN NAME]],OFFSET(O302,0,0,BATROWS-ROW(O301)-ROW(T_BATTINGDATA[[#Headers],[BATSMAN NAME]])),0)&gt;0,0,SUMIF($O$6:O301,T_BATTINGDATA[[#This Row],[BATSMAN NAME]],$E$6:E301)),SUMIF($O$6:O301,T_BATTINGDATA[[#This Row],[BATSMAN NAME]],$E$6:E301))</f>
        <v>0</v>
      </c>
      <c r="AP301">
        <v>49</v>
      </c>
      <c r="AQ301" t="s">
        <v>149</v>
      </c>
      <c r="AR301" t="s">
        <v>322</v>
      </c>
      <c r="AS301">
        <v>8</v>
      </c>
      <c r="AT301">
        <v>2</v>
      </c>
      <c r="AU301">
        <v>30</v>
      </c>
      <c r="AV301">
        <v>0</v>
      </c>
      <c r="AW301">
        <v>3.75</v>
      </c>
      <c r="AX301">
        <v>33</v>
      </c>
      <c r="AY301">
        <v>2</v>
      </c>
      <c r="AZ301">
        <v>1</v>
      </c>
      <c r="BA301">
        <v>0</v>
      </c>
      <c r="BB301">
        <v>0</v>
      </c>
      <c r="BC301">
        <v>2</v>
      </c>
      <c r="BD301" t="str">
        <f>CONCATENATE(Table9[[#This Row],[Match Number]],Table9[[#This Row],[Team]],Table9[[#This Row],[BOWL NUM]])</f>
        <v>49Australia2</v>
      </c>
      <c r="BE301" t="str">
        <f>IFERROR(IF(AND(Table9[[#This Row],[Team]]=I_TEAM,IFERROR(IF(MATCH(Table9[[#This Row],[Bowler]],$AR$5:AR300,0)&gt;0,0),1)),1,0),"")</f>
        <v/>
      </c>
      <c r="BF301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0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01" t="e">
        <f>IF(Table9[[#This Row],[Team]]=I_TEAM,Table9[[#This Row],[Wickets]]*100-Table9[[#This Row],[Runs]],0)</f>
        <v>#REF!</v>
      </c>
      <c r="BI301">
        <f>Table9[[#This Row],[Wickets]]*100-Table9[[#This Row],[Runs]]</f>
        <v>-30</v>
      </c>
      <c r="BJ301">
        <f ca="1">IFERROR(IF(MATCH(Table9[[#This Row],[Bowler]],OFFSET(AR302,0,0,BOWLROWS-ROW(AR301)-ROW(Table9[[#Headers],[BOWLER CUML WICKETS]])),0)&gt;0,0,SUMIF($AR$6:AR301,Table9[[#This Row],[Bowler]],$AV$6:AV301)),SUMIF($AR$6:AR301,Table9[[#This Row],[Bowler]],$AV$6:AV301))</f>
        <v>0</v>
      </c>
      <c r="BK301">
        <f ca="1">IFERROR(IF(MATCH(Table9[[#This Row],[Bowler]],OFFSET(AR302,0,0,BOWLROWS-ROW(AR301)-ROW(Table9[[#Headers],[BOWLER CUML WICKETS]])),0)&gt;0,0,SUMIF($AR$6:AR301,Table9[[#This Row],[Bowler]],$AU$6:AU301)),SUMIF($AR$6:AR301,Table9[[#This Row],[Bowler]],$AU$6:AU301))</f>
        <v>0</v>
      </c>
      <c r="BL301">
        <f ca="1">Table9[[#This Row],[BOWLER CUML WICKETS]]*100-Table9[[#This Row],[BOWLER CUML RUNS]]</f>
        <v>0</v>
      </c>
    </row>
    <row r="302" spans="1:64" x14ac:dyDescent="0.3">
      <c r="A302">
        <v>12</v>
      </c>
      <c r="B302" t="s">
        <v>185</v>
      </c>
      <c r="C302" t="s">
        <v>476</v>
      </c>
      <c r="D302" t="s">
        <v>535</v>
      </c>
      <c r="E302">
        <v>19</v>
      </c>
      <c r="F302">
        <v>65</v>
      </c>
      <c r="G302">
        <v>38</v>
      </c>
      <c r="H302">
        <v>1</v>
      </c>
      <c r="I302">
        <v>0</v>
      </c>
      <c r="J302">
        <v>50</v>
      </c>
      <c r="K302">
        <v>7</v>
      </c>
      <c r="L302" t="str">
        <f>CONCATENATE(T_BATTINGDATA[[#This Row],[Match]],T_BATTINGDATA[[#This Row],[Team]],T_BATTINGDATA[[#This Row],[Bat Number]])</f>
        <v>12Afghanistan7</v>
      </c>
      <c r="M302" t="str">
        <f>IFERROR(IF(AND(T_BATTINGDATA[[#This Row],[Team]]=I_TEAM,IFERROR(IF(MATCH(T_BATTINGDATA[[#This Row],[BATSMAN NAME]],$O$5:O301,0)&gt;0,0),1)),1,0),"")</f>
        <v/>
      </c>
      <c r="N302" t="e">
        <f>IF(T_BATTINGDATA[[#This Row],[Team]]=I_TEAM,T_BATTINGDATA[[#This Row],[R]],0)</f>
        <v>#REF!</v>
      </c>
      <c r="O302" t="str">
        <f>LEFT(T_BATTINGDATA[[#This Row],[Batsman]],IFERROR(FIND("*",T_BATTINGDATA[[#This Row],[Batsman]])-1,IFERROR(FIND("†",T_BATTINGDATA[[#This Row],[Batsman]])-1,LEN(T_BATTINGDATA[[#This Row],[Batsman]]))))</f>
        <v>Afsar Zazai</v>
      </c>
      <c r="P302">
        <f ca="1">IFERROR(IF(MATCH(T_BATTINGDATA[[#This Row],[BATSMAN NAME]],OFFSET(O303,0,0,BATROWS-ROW(O302)-ROW(T_BATTINGDATA[[#Headers],[BATSMAN NAME]])),0)&gt;0,0,SUMIF($O$6:O302,T_BATTINGDATA[[#This Row],[BATSMAN NAME]],$E$6:E302)),SUMIF($O$6:O302,T_BATTINGDATA[[#This Row],[BATSMAN NAME]],$E$6:E302))</f>
        <v>0</v>
      </c>
      <c r="AP302">
        <v>49</v>
      </c>
      <c r="AQ302" t="s">
        <v>149</v>
      </c>
      <c r="AR302" t="s">
        <v>323</v>
      </c>
      <c r="AS302">
        <v>9</v>
      </c>
      <c r="AT302">
        <v>0</v>
      </c>
      <c r="AU302">
        <v>30</v>
      </c>
      <c r="AV302">
        <v>3</v>
      </c>
      <c r="AW302">
        <v>3.33</v>
      </c>
      <c r="AX302">
        <v>34</v>
      </c>
      <c r="AY302">
        <v>0</v>
      </c>
      <c r="AZ302">
        <v>1</v>
      </c>
      <c r="BA302">
        <v>2</v>
      </c>
      <c r="BB302">
        <v>0</v>
      </c>
      <c r="BC302">
        <v>3</v>
      </c>
      <c r="BD302" t="str">
        <f>CONCATENATE(Table9[[#This Row],[Match Number]],Table9[[#This Row],[Team]],Table9[[#This Row],[BOWL NUM]])</f>
        <v>49Australia3</v>
      </c>
      <c r="BE302" t="str">
        <f>IFERROR(IF(AND(Table9[[#This Row],[Team]]=I_TEAM,IFERROR(IF(MATCH(Table9[[#This Row],[Bowler]],$AR$5:AR301,0)&gt;0,0),1)),1,0),"")</f>
        <v/>
      </c>
      <c r="BF302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0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02" t="e">
        <f>IF(Table9[[#This Row],[Team]]=I_TEAM,Table9[[#This Row],[Wickets]]*100-Table9[[#This Row],[Runs]],0)</f>
        <v>#REF!</v>
      </c>
      <c r="BI302">
        <f>Table9[[#This Row],[Wickets]]*100-Table9[[#This Row],[Runs]]</f>
        <v>270</v>
      </c>
      <c r="BJ302">
        <f ca="1">IFERROR(IF(MATCH(Table9[[#This Row],[Bowler]],OFFSET(AR303,0,0,BOWLROWS-ROW(AR302)-ROW(Table9[[#Headers],[BOWLER CUML WICKETS]])),0)&gt;0,0,SUMIF($AR$6:AR302,Table9[[#This Row],[Bowler]],$AV$6:AV302)),SUMIF($AR$6:AR302,Table9[[#This Row],[Bowler]],$AV$6:AV302))</f>
        <v>0</v>
      </c>
      <c r="BK302">
        <f ca="1">IFERROR(IF(MATCH(Table9[[#This Row],[Bowler]],OFFSET(AR303,0,0,BOWLROWS-ROW(AR302)-ROW(Table9[[#Headers],[BOWLER CUML WICKETS]])),0)&gt;0,0,SUMIF($AR$6:AR302,Table9[[#This Row],[Bowler]],$AU$6:AU302)),SUMIF($AR$6:AR302,Table9[[#This Row],[Bowler]],$AU$6:AU302))</f>
        <v>0</v>
      </c>
      <c r="BL302">
        <f ca="1">Table9[[#This Row],[BOWLER CUML WICKETS]]*100-Table9[[#This Row],[BOWLER CUML RUNS]]</f>
        <v>0</v>
      </c>
    </row>
    <row r="303" spans="1:64" x14ac:dyDescent="0.3">
      <c r="A303">
        <v>12</v>
      </c>
      <c r="B303" t="s">
        <v>185</v>
      </c>
      <c r="C303" t="s">
        <v>395</v>
      </c>
      <c r="D303" t="s">
        <v>536</v>
      </c>
      <c r="E303">
        <v>28</v>
      </c>
      <c r="F303">
        <v>39</v>
      </c>
      <c r="G303">
        <v>32</v>
      </c>
      <c r="H303">
        <v>1</v>
      </c>
      <c r="I303">
        <v>2</v>
      </c>
      <c r="J303">
        <v>87.5</v>
      </c>
      <c r="K303">
        <v>8</v>
      </c>
      <c r="L303" t="str">
        <f>CONCATENATE(T_BATTINGDATA[[#This Row],[Match]],T_BATTINGDATA[[#This Row],[Team]],T_BATTINGDATA[[#This Row],[Bat Number]])</f>
        <v>12Afghanistan8</v>
      </c>
      <c r="M303" t="str">
        <f>IFERROR(IF(AND(T_BATTINGDATA[[#This Row],[Team]]=I_TEAM,IFERROR(IF(MATCH(T_BATTINGDATA[[#This Row],[BATSMAN NAME]],$O$5:O302,0)&gt;0,0),1)),1,0),"")</f>
        <v/>
      </c>
      <c r="N303" t="e">
        <f>IF(T_BATTINGDATA[[#This Row],[Team]]=I_TEAM,T_BATTINGDATA[[#This Row],[R]],0)</f>
        <v>#REF!</v>
      </c>
      <c r="O303" t="str">
        <f>LEFT(T_BATTINGDATA[[#This Row],[Batsman]],IFERROR(FIND("*",T_BATTINGDATA[[#This Row],[Batsman]])-1,IFERROR(FIND("†",T_BATTINGDATA[[#This Row],[Batsman]])-1,LEN(T_BATTINGDATA[[#This Row],[Batsman]]))))</f>
        <v>Mirwais Ashraf</v>
      </c>
      <c r="P303">
        <f ca="1">IFERROR(IF(MATCH(T_BATTINGDATA[[#This Row],[BATSMAN NAME]],OFFSET(O304,0,0,BATROWS-ROW(O303)-ROW(T_BATTINGDATA[[#Headers],[BATSMAN NAME]])),0)&gt;0,0,SUMIF($O$6:O303,T_BATTINGDATA[[#This Row],[BATSMAN NAME]],$E$6:E303)),SUMIF($O$6:O303,T_BATTINGDATA[[#This Row],[BATSMAN NAME]],$E$6:E303))</f>
        <v>38</v>
      </c>
      <c r="AP303">
        <v>49</v>
      </c>
      <c r="AQ303" t="s">
        <v>149</v>
      </c>
      <c r="AR303" t="s">
        <v>329</v>
      </c>
      <c r="AS303">
        <v>7</v>
      </c>
      <c r="AT303">
        <v>0</v>
      </c>
      <c r="AU303">
        <v>37</v>
      </c>
      <c r="AV303">
        <v>1</v>
      </c>
      <c r="AW303">
        <v>5.28</v>
      </c>
      <c r="AX303">
        <v>16</v>
      </c>
      <c r="AY303">
        <v>2</v>
      </c>
      <c r="AZ303">
        <v>0</v>
      </c>
      <c r="BA303">
        <v>1</v>
      </c>
      <c r="BB303">
        <v>0</v>
      </c>
      <c r="BC303">
        <v>4</v>
      </c>
      <c r="BD303" t="str">
        <f>CONCATENATE(Table9[[#This Row],[Match Number]],Table9[[#This Row],[Team]],Table9[[#This Row],[BOWL NUM]])</f>
        <v>49Australia4</v>
      </c>
      <c r="BE303" t="str">
        <f>IFERROR(IF(AND(Table9[[#This Row],[Team]]=I_TEAM,IFERROR(IF(MATCH(Table9[[#This Row],[Bowler]],$AR$5:AR302,0)&gt;0,0),1)),1,0),"")</f>
        <v/>
      </c>
      <c r="BF303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30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03" t="e">
        <f>IF(Table9[[#This Row],[Team]]=I_TEAM,Table9[[#This Row],[Wickets]]*100-Table9[[#This Row],[Runs]],0)</f>
        <v>#REF!</v>
      </c>
      <c r="BI303">
        <f>Table9[[#This Row],[Wickets]]*100-Table9[[#This Row],[Runs]]</f>
        <v>63</v>
      </c>
      <c r="BJ303">
        <f ca="1">IFERROR(IF(MATCH(Table9[[#This Row],[Bowler]],OFFSET(AR304,0,0,BOWLROWS-ROW(AR303)-ROW(Table9[[#Headers],[BOWLER CUML WICKETS]])),0)&gt;0,0,SUMIF($AR$6:AR303,Table9[[#This Row],[Bowler]],$AV$6:AV303)),SUMIF($AR$6:AR303,Table9[[#This Row],[Bowler]],$AV$6:AV303))</f>
        <v>0</v>
      </c>
      <c r="BK303">
        <f ca="1">IFERROR(IF(MATCH(Table9[[#This Row],[Bowler]],OFFSET(AR304,0,0,BOWLROWS-ROW(AR303)-ROW(Table9[[#Headers],[BOWLER CUML WICKETS]])),0)&gt;0,0,SUMIF($AR$6:AR303,Table9[[#This Row],[Bowler]],$AU$6:AU303)),SUMIF($AR$6:AR303,Table9[[#This Row],[Bowler]],$AU$6:AU303))</f>
        <v>0</v>
      </c>
      <c r="BL303">
        <f ca="1">Table9[[#This Row],[BOWLER CUML WICKETS]]*100-Table9[[#This Row],[BOWLER CUML RUNS]]</f>
        <v>0</v>
      </c>
    </row>
    <row r="304" spans="1:64" x14ac:dyDescent="0.3">
      <c r="A304">
        <v>12</v>
      </c>
      <c r="B304" t="s">
        <v>185</v>
      </c>
      <c r="C304" t="s">
        <v>451</v>
      </c>
      <c r="D304" t="s">
        <v>537</v>
      </c>
      <c r="E304">
        <v>4</v>
      </c>
      <c r="F304">
        <v>5</v>
      </c>
      <c r="G304">
        <v>5</v>
      </c>
      <c r="H304">
        <v>1</v>
      </c>
      <c r="I304">
        <v>0</v>
      </c>
      <c r="J304">
        <v>80</v>
      </c>
      <c r="K304">
        <v>9</v>
      </c>
      <c r="L304" t="str">
        <f>CONCATENATE(T_BATTINGDATA[[#This Row],[Match]],T_BATTINGDATA[[#This Row],[Team]],T_BATTINGDATA[[#This Row],[Bat Number]])</f>
        <v>12Afghanistan9</v>
      </c>
      <c r="M304" t="str">
        <f>IFERROR(IF(AND(T_BATTINGDATA[[#This Row],[Team]]=I_TEAM,IFERROR(IF(MATCH(T_BATTINGDATA[[#This Row],[BATSMAN NAME]],$O$5:O303,0)&gt;0,0),1)),1,0),"")</f>
        <v/>
      </c>
      <c r="N304" t="e">
        <f>IF(T_BATTINGDATA[[#This Row],[Team]]=I_TEAM,T_BATTINGDATA[[#This Row],[R]],0)</f>
        <v>#REF!</v>
      </c>
      <c r="O304" t="str">
        <f>LEFT(T_BATTINGDATA[[#This Row],[Batsman]],IFERROR(FIND("*",T_BATTINGDATA[[#This Row],[Batsman]])-1,IFERROR(FIND("†",T_BATTINGDATA[[#This Row],[Batsman]])-1,LEN(T_BATTINGDATA[[#This Row],[Batsman]]))))</f>
        <v>Dawlat Zadran</v>
      </c>
      <c r="P304">
        <f ca="1">IFERROR(IF(MATCH(T_BATTINGDATA[[#This Row],[BATSMAN NAME]],OFFSET(O305,0,0,BATROWS-ROW(O304)-ROW(T_BATTINGDATA[[#Headers],[BATSMAN NAME]])),0)&gt;0,0,SUMIF($O$6:O304,T_BATTINGDATA[[#This Row],[BATSMAN NAME]],$E$6:E304)),SUMIF($O$6:O304,T_BATTINGDATA[[#This Row],[BATSMAN NAME]],$E$6:E304))</f>
        <v>0</v>
      </c>
      <c r="AP304">
        <v>49</v>
      </c>
      <c r="AQ304" t="s">
        <v>149</v>
      </c>
      <c r="AR304" t="s">
        <v>505</v>
      </c>
      <c r="AS304">
        <v>9</v>
      </c>
      <c r="AT304">
        <v>1</v>
      </c>
      <c r="AU304">
        <v>36</v>
      </c>
      <c r="AV304">
        <v>3</v>
      </c>
      <c r="AW304">
        <v>4</v>
      </c>
      <c r="AX304">
        <v>36</v>
      </c>
      <c r="AY304">
        <v>5</v>
      </c>
      <c r="AZ304">
        <v>0</v>
      </c>
      <c r="BA304">
        <v>0</v>
      </c>
      <c r="BB304">
        <v>0</v>
      </c>
      <c r="BC304">
        <v>5</v>
      </c>
      <c r="BD304" t="str">
        <f>CONCATENATE(Table9[[#This Row],[Match Number]],Table9[[#This Row],[Team]],Table9[[#This Row],[BOWL NUM]])</f>
        <v>49Australia5</v>
      </c>
      <c r="BE304" t="str">
        <f>IFERROR(IF(AND(Table9[[#This Row],[Team]]=I_TEAM,IFERROR(IF(MATCH(Table9[[#This Row],[Bowler]],$AR$5:AR303,0)&gt;0,0),1)),1,0),"")</f>
        <v/>
      </c>
      <c r="BF304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0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04" t="e">
        <f>IF(Table9[[#This Row],[Team]]=I_TEAM,Table9[[#This Row],[Wickets]]*100-Table9[[#This Row],[Runs]],0)</f>
        <v>#REF!</v>
      </c>
      <c r="BI304">
        <f>Table9[[#This Row],[Wickets]]*100-Table9[[#This Row],[Runs]]</f>
        <v>264</v>
      </c>
      <c r="BJ304">
        <f ca="1">IFERROR(IF(MATCH(Table9[[#This Row],[Bowler]],OFFSET(AR305,0,0,BOWLROWS-ROW(AR304)-ROW(Table9[[#Headers],[BOWLER CUML WICKETS]])),0)&gt;0,0,SUMIF($AR$6:AR304,Table9[[#This Row],[Bowler]],$AV$6:AV304)),SUMIF($AR$6:AR304,Table9[[#This Row],[Bowler]],$AV$6:AV304))</f>
        <v>0</v>
      </c>
      <c r="BK304">
        <f ca="1">IFERROR(IF(MATCH(Table9[[#This Row],[Bowler]],OFFSET(AR305,0,0,BOWLROWS-ROW(AR304)-ROW(Table9[[#Headers],[BOWLER CUML WICKETS]])),0)&gt;0,0,SUMIF($AR$6:AR304,Table9[[#This Row],[Bowler]],$AU$6:AU304)),SUMIF($AR$6:AR304,Table9[[#This Row],[Bowler]],$AU$6:AU304))</f>
        <v>0</v>
      </c>
      <c r="BL304">
        <f ca="1">Table9[[#This Row],[BOWLER CUML WICKETS]]*100-Table9[[#This Row],[BOWLER CUML RUNS]]</f>
        <v>0</v>
      </c>
    </row>
    <row r="305" spans="1:64" x14ac:dyDescent="0.3">
      <c r="A305">
        <v>12</v>
      </c>
      <c r="B305" t="s">
        <v>185</v>
      </c>
      <c r="C305" t="s">
        <v>389</v>
      </c>
      <c r="D305" t="s">
        <v>538</v>
      </c>
      <c r="E305">
        <v>0</v>
      </c>
      <c r="F305">
        <v>2</v>
      </c>
      <c r="G305">
        <v>1</v>
      </c>
      <c r="H305">
        <v>0</v>
      </c>
      <c r="I305">
        <v>0</v>
      </c>
      <c r="J305">
        <v>0</v>
      </c>
      <c r="K305">
        <v>10</v>
      </c>
      <c r="L305" t="str">
        <f>CONCATENATE(T_BATTINGDATA[[#This Row],[Match]],T_BATTINGDATA[[#This Row],[Team]],T_BATTINGDATA[[#This Row],[Bat Number]])</f>
        <v>12Afghanistan10</v>
      </c>
      <c r="M305" t="str">
        <f>IFERROR(IF(AND(T_BATTINGDATA[[#This Row],[Team]]=I_TEAM,IFERROR(IF(MATCH(T_BATTINGDATA[[#This Row],[BATSMAN NAME]],$O$5:O304,0)&gt;0,0),1)),1,0),"")</f>
        <v/>
      </c>
      <c r="N305" t="e">
        <f>IF(T_BATTINGDATA[[#This Row],[Team]]=I_TEAM,T_BATTINGDATA[[#This Row],[R]],0)</f>
        <v>#REF!</v>
      </c>
      <c r="O305" t="str">
        <f>LEFT(T_BATTINGDATA[[#This Row],[Batsman]],IFERROR(FIND("*",T_BATTINGDATA[[#This Row],[Batsman]])-1,IFERROR(FIND("†",T_BATTINGDATA[[#This Row],[Batsman]])-1,LEN(T_BATTINGDATA[[#This Row],[Batsman]]))))</f>
        <v>Hamid Hassan</v>
      </c>
      <c r="P305">
        <f ca="1">IFERROR(IF(MATCH(T_BATTINGDATA[[#This Row],[BATSMAN NAME]],OFFSET(O306,0,0,BATROWS-ROW(O305)-ROW(T_BATTINGDATA[[#Headers],[BATSMAN NAME]])),0)&gt;0,0,SUMIF($O$6:O305,T_BATTINGDATA[[#This Row],[BATSMAN NAME]],$E$6:E305)),SUMIF($O$6:O305,T_BATTINGDATA[[#This Row],[BATSMAN NAME]],$E$6:E305))</f>
        <v>0</v>
      </c>
      <c r="AP305">
        <v>49</v>
      </c>
      <c r="AQ305" t="s">
        <v>149</v>
      </c>
      <c r="AR305" t="s">
        <v>327</v>
      </c>
      <c r="AS305">
        <v>4</v>
      </c>
      <c r="AT305">
        <v>0</v>
      </c>
      <c r="AU305">
        <v>23</v>
      </c>
      <c r="AV305">
        <v>0</v>
      </c>
      <c r="AW305">
        <v>5.75</v>
      </c>
      <c r="AX305">
        <v>13</v>
      </c>
      <c r="AY305">
        <v>2</v>
      </c>
      <c r="AZ305">
        <v>0</v>
      </c>
      <c r="BA305">
        <v>2</v>
      </c>
      <c r="BB305">
        <v>0</v>
      </c>
      <c r="BC305">
        <v>6</v>
      </c>
      <c r="BD305" t="str">
        <f>CONCATENATE(Table9[[#This Row],[Match Number]],Table9[[#This Row],[Team]],Table9[[#This Row],[BOWL NUM]])</f>
        <v>49Australia6</v>
      </c>
      <c r="BE305" t="str">
        <f>IFERROR(IF(AND(Table9[[#This Row],[Team]]=I_TEAM,IFERROR(IF(MATCH(Table9[[#This Row],[Bowler]],$AR$5:AR304,0)&gt;0,0),1)),1,0),"")</f>
        <v/>
      </c>
      <c r="BF305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30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05" t="e">
        <f>IF(Table9[[#This Row],[Team]]=I_TEAM,Table9[[#This Row],[Wickets]]*100-Table9[[#This Row],[Runs]],0)</f>
        <v>#REF!</v>
      </c>
      <c r="BI305">
        <f>Table9[[#This Row],[Wickets]]*100-Table9[[#This Row],[Runs]]</f>
        <v>-23</v>
      </c>
      <c r="BJ305">
        <f ca="1">IFERROR(IF(MATCH(Table9[[#This Row],[Bowler]],OFFSET(AR306,0,0,BOWLROWS-ROW(AR305)-ROW(Table9[[#Headers],[BOWLER CUML WICKETS]])),0)&gt;0,0,SUMIF($AR$6:AR305,Table9[[#This Row],[Bowler]],$AV$6:AV305)),SUMIF($AR$6:AR305,Table9[[#This Row],[Bowler]],$AV$6:AV305))</f>
        <v>0</v>
      </c>
      <c r="BK305">
        <f ca="1">IFERROR(IF(MATCH(Table9[[#This Row],[Bowler]],OFFSET(AR306,0,0,BOWLROWS-ROW(AR305)-ROW(Table9[[#Headers],[BOWLER CUML WICKETS]])),0)&gt;0,0,SUMIF($AR$6:AR305,Table9[[#This Row],[Bowler]],$AU$6:AU305)),SUMIF($AR$6:AR305,Table9[[#This Row],[Bowler]],$AU$6:AU305))</f>
        <v>0</v>
      </c>
      <c r="BL305">
        <f ca="1">Table9[[#This Row],[BOWLER CUML WICKETS]]*100-Table9[[#This Row],[BOWLER CUML RUNS]]</f>
        <v>0</v>
      </c>
    </row>
    <row r="306" spans="1:64" x14ac:dyDescent="0.3">
      <c r="A306">
        <v>12</v>
      </c>
      <c r="B306" t="s">
        <v>185</v>
      </c>
      <c r="C306" t="s">
        <v>390</v>
      </c>
      <c r="D306" t="s">
        <v>167</v>
      </c>
      <c r="E306">
        <v>1</v>
      </c>
      <c r="F306">
        <v>5</v>
      </c>
      <c r="G306">
        <v>1</v>
      </c>
      <c r="H306">
        <v>0</v>
      </c>
      <c r="I306">
        <v>0</v>
      </c>
      <c r="J306">
        <v>100</v>
      </c>
      <c r="K306">
        <v>11</v>
      </c>
      <c r="L306" t="str">
        <f>CONCATENATE(T_BATTINGDATA[[#This Row],[Match]],T_BATTINGDATA[[#This Row],[Team]],T_BATTINGDATA[[#This Row],[Bat Number]])</f>
        <v>12Afghanistan11</v>
      </c>
      <c r="M306" t="str">
        <f>IFERROR(IF(AND(T_BATTINGDATA[[#This Row],[Team]]=I_TEAM,IFERROR(IF(MATCH(T_BATTINGDATA[[#This Row],[BATSMAN NAME]],$O$5:O305,0)&gt;0,0),1)),1,0),"")</f>
        <v/>
      </c>
      <c r="N306" t="e">
        <f>IF(T_BATTINGDATA[[#This Row],[Team]]=I_TEAM,T_BATTINGDATA[[#This Row],[R]],0)</f>
        <v>#REF!</v>
      </c>
      <c r="O306" t="str">
        <f>LEFT(T_BATTINGDATA[[#This Row],[Batsman]],IFERROR(FIND("*",T_BATTINGDATA[[#This Row],[Batsman]])-1,IFERROR(FIND("†",T_BATTINGDATA[[#This Row],[Batsman]])-1,LEN(T_BATTINGDATA[[#This Row],[Batsman]]))))</f>
        <v>Shapoor Zadran</v>
      </c>
      <c r="P306">
        <f ca="1">IFERROR(IF(MATCH(T_BATTINGDATA[[#This Row],[BATSMAN NAME]],OFFSET(O307,0,0,BATROWS-ROW(O306)-ROW(T_BATTINGDATA[[#Headers],[BATSMAN NAME]])),0)&gt;0,0,SUMIF($O$6:O306,T_BATTINGDATA[[#This Row],[BATSMAN NAME]],$E$6:E306)),SUMIF($O$6:O306,T_BATTINGDATA[[#This Row],[BATSMAN NAME]],$E$6:E306))</f>
        <v>0</v>
      </c>
      <c r="AP306">
        <v>49</v>
      </c>
      <c r="AQ306" t="s">
        <v>140</v>
      </c>
      <c r="AR306" t="s">
        <v>297</v>
      </c>
      <c r="AS306">
        <v>8</v>
      </c>
      <c r="AT306">
        <v>0</v>
      </c>
      <c r="AU306">
        <v>65</v>
      </c>
      <c r="AV306">
        <v>0</v>
      </c>
      <c r="AW306">
        <v>8.1199999999999992</v>
      </c>
      <c r="AX306">
        <v>20</v>
      </c>
      <c r="AY306">
        <v>9</v>
      </c>
      <c r="AZ306">
        <v>0</v>
      </c>
      <c r="BA306">
        <v>3</v>
      </c>
      <c r="BB306">
        <v>0</v>
      </c>
      <c r="BC306">
        <v>1</v>
      </c>
      <c r="BD306" t="str">
        <f>CONCATENATE(Table9[[#This Row],[Match Number]],Table9[[#This Row],[Team]],Table9[[#This Row],[BOWL NUM]])</f>
        <v>49New Zealand1</v>
      </c>
      <c r="BE306" t="str">
        <f>IFERROR(IF(AND(Table9[[#This Row],[Team]]=I_TEAM,IFERROR(IF(MATCH(Table9[[#This Row],[Bowler]],$AR$5:AR305,0)&gt;0,0),1)),1,0),"")</f>
        <v/>
      </c>
      <c r="BF306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0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306" t="e">
        <f>IF(Table9[[#This Row],[Team]]=I_TEAM,Table9[[#This Row],[Wickets]]*100-Table9[[#This Row],[Runs]],0)</f>
        <v>#REF!</v>
      </c>
      <c r="BI306">
        <f>Table9[[#This Row],[Wickets]]*100-Table9[[#This Row],[Runs]]</f>
        <v>-65</v>
      </c>
      <c r="BJ306">
        <f ca="1">IFERROR(IF(MATCH(Table9[[#This Row],[Bowler]],OFFSET(AR307,0,0,BOWLROWS-ROW(AR306)-ROW(Table9[[#Headers],[BOWLER CUML WICKETS]])),0)&gt;0,0,SUMIF($AR$6:AR306,Table9[[#This Row],[Bowler]],$AV$6:AV306)),SUMIF($AR$6:AR306,Table9[[#This Row],[Bowler]],$AV$6:AV306))</f>
        <v>0</v>
      </c>
      <c r="BK306">
        <f ca="1">IFERROR(IF(MATCH(Table9[[#This Row],[Bowler]],OFFSET(AR307,0,0,BOWLROWS-ROW(AR306)-ROW(Table9[[#Headers],[BOWLER CUML WICKETS]])),0)&gt;0,0,SUMIF($AR$6:AR306,Table9[[#This Row],[Bowler]],$AU$6:AU306)),SUMIF($AR$6:AR306,Table9[[#This Row],[Bowler]],$AU$6:AU306))</f>
        <v>0</v>
      </c>
      <c r="BL306">
        <f ca="1">Table9[[#This Row],[BOWLER CUML WICKETS]]*100-Table9[[#This Row],[BOWLER CUML RUNS]]</f>
        <v>0</v>
      </c>
    </row>
    <row r="307" spans="1:64" x14ac:dyDescent="0.3">
      <c r="A307">
        <v>12</v>
      </c>
      <c r="B307" t="s">
        <v>145</v>
      </c>
      <c r="C307" t="s">
        <v>361</v>
      </c>
      <c r="D307" t="s">
        <v>539</v>
      </c>
      <c r="E307">
        <v>0</v>
      </c>
      <c r="F307">
        <v>1</v>
      </c>
      <c r="G307">
        <v>1</v>
      </c>
      <c r="H307">
        <v>0</v>
      </c>
      <c r="I307">
        <v>0</v>
      </c>
      <c r="J307">
        <v>0</v>
      </c>
      <c r="K307">
        <v>1</v>
      </c>
      <c r="L307" t="str">
        <f>CONCATENATE(T_BATTINGDATA[[#This Row],[Match]],T_BATTINGDATA[[#This Row],[Team]],T_BATTINGDATA[[#This Row],[Bat Number]])</f>
        <v>12Sri Lanka1</v>
      </c>
      <c r="M307" t="str">
        <f>IFERROR(IF(AND(T_BATTINGDATA[[#This Row],[Team]]=I_TEAM,IFERROR(IF(MATCH(T_BATTINGDATA[[#This Row],[BATSMAN NAME]],$O$5:O306,0)&gt;0,0),1)),1,0),"")</f>
        <v/>
      </c>
      <c r="N307" t="e">
        <f>IF(T_BATTINGDATA[[#This Row],[Team]]=I_TEAM,T_BATTINGDATA[[#This Row],[R]],0)</f>
        <v>#REF!</v>
      </c>
      <c r="O307" t="str">
        <f>LEFT(T_BATTINGDATA[[#This Row],[Batsman]],IFERROR(FIND("*",T_BATTINGDATA[[#This Row],[Batsman]])-1,IFERROR(FIND("†",T_BATTINGDATA[[#This Row],[Batsman]])-1,LEN(T_BATTINGDATA[[#This Row],[Batsman]]))))</f>
        <v>HDRL Thirimanne</v>
      </c>
      <c r="P307">
        <f ca="1">IFERROR(IF(MATCH(T_BATTINGDATA[[#This Row],[BATSMAN NAME]],OFFSET(O308,0,0,BATROWS-ROW(O307)-ROW(T_BATTINGDATA[[#Headers],[BATSMAN NAME]])),0)&gt;0,0,SUMIF($O$6:O307,T_BATTINGDATA[[#This Row],[BATSMAN NAME]],$E$6:E307)),SUMIF($O$6:O307,T_BATTINGDATA[[#This Row],[BATSMAN NAME]],$E$6:E307))</f>
        <v>0</v>
      </c>
      <c r="AP307">
        <v>49</v>
      </c>
      <c r="AQ307" t="s">
        <v>140</v>
      </c>
      <c r="AR307" t="s">
        <v>299</v>
      </c>
      <c r="AS307">
        <v>10</v>
      </c>
      <c r="AT307">
        <v>0</v>
      </c>
      <c r="AU307">
        <v>40</v>
      </c>
      <c r="AV307">
        <v>1</v>
      </c>
      <c r="AW307">
        <v>4</v>
      </c>
      <c r="AX307">
        <v>40</v>
      </c>
      <c r="AY307">
        <v>5</v>
      </c>
      <c r="AZ307">
        <v>0</v>
      </c>
      <c r="BA307">
        <v>0</v>
      </c>
      <c r="BB307">
        <v>0</v>
      </c>
      <c r="BC307">
        <v>2</v>
      </c>
      <c r="BD307" t="str">
        <f>CONCATENATE(Table9[[#This Row],[Match Number]],Table9[[#This Row],[Team]],Table9[[#This Row],[BOWL NUM]])</f>
        <v>49New Zealand2</v>
      </c>
      <c r="BE307" t="str">
        <f>IFERROR(IF(AND(Table9[[#This Row],[Team]]=I_TEAM,IFERROR(IF(MATCH(Table9[[#This Row],[Bowler]],$AR$5:AR306,0)&gt;0,0),1)),1,0),"")</f>
        <v/>
      </c>
      <c r="BF30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0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307" t="e">
        <f>IF(Table9[[#This Row],[Team]]=I_TEAM,Table9[[#This Row],[Wickets]]*100-Table9[[#This Row],[Runs]],0)</f>
        <v>#REF!</v>
      </c>
      <c r="BI307">
        <f>Table9[[#This Row],[Wickets]]*100-Table9[[#This Row],[Runs]]</f>
        <v>60</v>
      </c>
      <c r="BJ307">
        <f ca="1">IFERROR(IF(MATCH(Table9[[#This Row],[Bowler]],OFFSET(AR308,0,0,BOWLROWS-ROW(AR307)-ROW(Table9[[#Headers],[BOWLER CUML WICKETS]])),0)&gt;0,0,SUMIF($AR$6:AR307,Table9[[#This Row],[Bowler]],$AV$6:AV307)),SUMIF($AR$6:AR307,Table9[[#This Row],[Bowler]],$AV$6:AV307))</f>
        <v>0</v>
      </c>
      <c r="BK307">
        <f ca="1">IFERROR(IF(MATCH(Table9[[#This Row],[Bowler]],OFFSET(AR308,0,0,BOWLROWS-ROW(AR307)-ROW(Table9[[#Headers],[BOWLER CUML WICKETS]])),0)&gt;0,0,SUMIF($AR$6:AR307,Table9[[#This Row],[Bowler]],$AU$6:AU307)),SUMIF($AR$6:AR307,Table9[[#This Row],[Bowler]],$AU$6:AU307))</f>
        <v>0</v>
      </c>
      <c r="BL307">
        <f ca="1">Table9[[#This Row],[BOWLER CUML WICKETS]]*100-Table9[[#This Row],[BOWLER CUML RUNS]]</f>
        <v>0</v>
      </c>
    </row>
    <row r="308" spans="1:64" x14ac:dyDescent="0.3">
      <c r="A308">
        <v>12</v>
      </c>
      <c r="B308" t="s">
        <v>145</v>
      </c>
      <c r="C308" t="s">
        <v>290</v>
      </c>
      <c r="D308" t="s">
        <v>469</v>
      </c>
      <c r="E308">
        <v>0</v>
      </c>
      <c r="F308">
        <v>7</v>
      </c>
      <c r="G308">
        <v>1</v>
      </c>
      <c r="H308">
        <v>0</v>
      </c>
      <c r="I308">
        <v>0</v>
      </c>
      <c r="J308">
        <v>0</v>
      </c>
      <c r="K308">
        <v>2</v>
      </c>
      <c r="L308" t="str">
        <f>CONCATENATE(T_BATTINGDATA[[#This Row],[Match]],T_BATTINGDATA[[#This Row],[Team]],T_BATTINGDATA[[#This Row],[Bat Number]])</f>
        <v>12Sri Lanka2</v>
      </c>
      <c r="M308" t="str">
        <f>IFERROR(IF(AND(T_BATTINGDATA[[#This Row],[Team]]=I_TEAM,IFERROR(IF(MATCH(T_BATTINGDATA[[#This Row],[BATSMAN NAME]],$O$5:O307,0)&gt;0,0),1)),1,0),"")</f>
        <v/>
      </c>
      <c r="N308" t="e">
        <f>IF(T_BATTINGDATA[[#This Row],[Team]]=I_TEAM,T_BATTINGDATA[[#This Row],[R]],0)</f>
        <v>#REF!</v>
      </c>
      <c r="O308" t="str">
        <f>LEFT(T_BATTINGDATA[[#This Row],[Batsman]],IFERROR(FIND("*",T_BATTINGDATA[[#This Row],[Batsman]])-1,IFERROR(FIND("†",T_BATTINGDATA[[#This Row],[Batsman]])-1,LEN(T_BATTINGDATA[[#This Row],[Batsman]]))))</f>
        <v>TM Dilshan</v>
      </c>
      <c r="P308">
        <f ca="1">IFERROR(IF(MATCH(T_BATTINGDATA[[#This Row],[BATSMAN NAME]],OFFSET(O309,0,0,BATROWS-ROW(O308)-ROW(T_BATTINGDATA[[#Headers],[BATSMAN NAME]])),0)&gt;0,0,SUMIF($O$6:O308,T_BATTINGDATA[[#This Row],[BATSMAN NAME]],$E$6:E308)),SUMIF($O$6:O308,T_BATTINGDATA[[#This Row],[BATSMAN NAME]],$E$6:E308))</f>
        <v>0</v>
      </c>
      <c r="AP308">
        <v>49</v>
      </c>
      <c r="AQ308" t="s">
        <v>140</v>
      </c>
      <c r="AR308" t="s">
        <v>303</v>
      </c>
      <c r="AS308">
        <v>5</v>
      </c>
      <c r="AT308">
        <v>0</v>
      </c>
      <c r="AU308">
        <v>25</v>
      </c>
      <c r="AV308">
        <v>0</v>
      </c>
      <c r="AW308">
        <v>5</v>
      </c>
      <c r="AX308">
        <v>14</v>
      </c>
      <c r="AY308">
        <v>0</v>
      </c>
      <c r="AZ308">
        <v>1</v>
      </c>
      <c r="BA308">
        <v>0</v>
      </c>
      <c r="BB308">
        <v>0</v>
      </c>
      <c r="BC308">
        <v>3</v>
      </c>
      <c r="BD308" t="str">
        <f>CONCATENATE(Table9[[#This Row],[Match Number]],Table9[[#This Row],[Team]],Table9[[#This Row],[BOWL NUM]])</f>
        <v>49New Zealand3</v>
      </c>
      <c r="BE308" t="str">
        <f>IFERROR(IF(AND(Table9[[#This Row],[Team]]=I_TEAM,IFERROR(IF(MATCH(Table9[[#This Row],[Bowler]],$AR$5:AR307,0)&gt;0,0),1)),1,0),"")</f>
        <v/>
      </c>
      <c r="BF308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30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308" t="e">
        <f>IF(Table9[[#This Row],[Team]]=I_TEAM,Table9[[#This Row],[Wickets]]*100-Table9[[#This Row],[Runs]],0)</f>
        <v>#REF!</v>
      </c>
      <c r="BI308">
        <f>Table9[[#This Row],[Wickets]]*100-Table9[[#This Row],[Runs]]</f>
        <v>-25</v>
      </c>
      <c r="BJ308">
        <f ca="1">IFERROR(IF(MATCH(Table9[[#This Row],[Bowler]],OFFSET(AR309,0,0,BOWLROWS-ROW(AR308)-ROW(Table9[[#Headers],[BOWLER CUML WICKETS]])),0)&gt;0,0,SUMIF($AR$6:AR308,Table9[[#This Row],[Bowler]],$AV$6:AV308)),SUMIF($AR$6:AR308,Table9[[#This Row],[Bowler]],$AV$6:AV308))</f>
        <v>0</v>
      </c>
      <c r="BK308">
        <f ca="1">IFERROR(IF(MATCH(Table9[[#This Row],[Bowler]],OFFSET(AR309,0,0,BOWLROWS-ROW(AR308)-ROW(Table9[[#Headers],[BOWLER CUML WICKETS]])),0)&gt;0,0,SUMIF($AR$6:AR308,Table9[[#This Row],[Bowler]],$AU$6:AU308)),SUMIF($AR$6:AR308,Table9[[#This Row],[Bowler]],$AU$6:AU308))</f>
        <v>0</v>
      </c>
      <c r="BL308">
        <f ca="1">Table9[[#This Row],[BOWLER CUML WICKETS]]*100-Table9[[#This Row],[BOWLER CUML RUNS]]</f>
        <v>0</v>
      </c>
    </row>
    <row r="309" spans="1:64" x14ac:dyDescent="0.3">
      <c r="A309">
        <v>12</v>
      </c>
      <c r="B309" t="s">
        <v>145</v>
      </c>
      <c r="C309" t="s">
        <v>364</v>
      </c>
      <c r="D309" t="s">
        <v>470</v>
      </c>
      <c r="E309">
        <v>7</v>
      </c>
      <c r="F309">
        <v>28</v>
      </c>
      <c r="G309">
        <v>13</v>
      </c>
      <c r="H309">
        <v>1</v>
      </c>
      <c r="I309">
        <v>0</v>
      </c>
      <c r="J309">
        <v>53.84</v>
      </c>
      <c r="K309">
        <v>3</v>
      </c>
      <c r="L309" t="str">
        <f>CONCATENATE(T_BATTINGDATA[[#This Row],[Match]],T_BATTINGDATA[[#This Row],[Team]],T_BATTINGDATA[[#This Row],[Bat Number]])</f>
        <v>12Sri Lanka3</v>
      </c>
      <c r="M309" t="str">
        <f>IFERROR(IF(AND(T_BATTINGDATA[[#This Row],[Team]]=I_TEAM,IFERROR(IF(MATCH(T_BATTINGDATA[[#This Row],[BATSMAN NAME]],$O$5:O308,0)&gt;0,0),1)),1,0),"")</f>
        <v/>
      </c>
      <c r="N309" t="e">
        <f>IF(T_BATTINGDATA[[#This Row],[Team]]=I_TEAM,T_BATTINGDATA[[#This Row],[R]],0)</f>
        <v>#REF!</v>
      </c>
      <c r="O309" t="str">
        <f>LEFT(T_BATTINGDATA[[#This Row],[Batsman]],IFERROR(FIND("*",T_BATTINGDATA[[#This Row],[Batsman]])-1,IFERROR(FIND("†",T_BATTINGDATA[[#This Row],[Batsman]])-1,LEN(T_BATTINGDATA[[#This Row],[Batsman]]))))</f>
        <v>KC Sangakkara</v>
      </c>
      <c r="P309">
        <f ca="1">IFERROR(IF(MATCH(T_BATTINGDATA[[#This Row],[BATSMAN NAME]],OFFSET(O310,0,0,BATROWS-ROW(O309)-ROW(T_BATTINGDATA[[#Headers],[BATSMAN NAME]])),0)&gt;0,0,SUMIF($O$6:O309,T_BATTINGDATA[[#This Row],[BATSMAN NAME]],$E$6:E309)),SUMIF($O$6:O309,T_BATTINGDATA[[#This Row],[BATSMAN NAME]],$E$6:E309))</f>
        <v>0</v>
      </c>
      <c r="AP309">
        <v>49</v>
      </c>
      <c r="AQ309" t="s">
        <v>140</v>
      </c>
      <c r="AR309" t="s">
        <v>523</v>
      </c>
      <c r="AS309">
        <v>9.1</v>
      </c>
      <c r="AT309">
        <v>0</v>
      </c>
      <c r="AU309">
        <v>46</v>
      </c>
      <c r="AV309">
        <v>2</v>
      </c>
      <c r="AW309">
        <v>5.01</v>
      </c>
      <c r="AX309">
        <v>35</v>
      </c>
      <c r="AY309">
        <v>6</v>
      </c>
      <c r="AZ309">
        <v>0</v>
      </c>
      <c r="BA309">
        <v>2</v>
      </c>
      <c r="BB309">
        <v>0</v>
      </c>
      <c r="BC309">
        <v>4</v>
      </c>
      <c r="BD309" t="str">
        <f>CONCATENATE(Table9[[#This Row],[Match Number]],Table9[[#This Row],[Team]],Table9[[#This Row],[BOWL NUM]])</f>
        <v>49New Zealand4</v>
      </c>
      <c r="BE309" t="str">
        <f>IFERROR(IF(AND(Table9[[#This Row],[Team]]=I_TEAM,IFERROR(IF(MATCH(Table9[[#This Row],[Bowler]],$AR$5:AR308,0)&gt;0,0),1)),1,0),"")</f>
        <v/>
      </c>
      <c r="BF309">
        <f>(LEFT(Table9[[#This Row],[Overs]],IFERROR(FIND(".",Table9[[#This Row],[Overs]])-1,LEN(Table9[[#This Row],[Overs]])))*6) + IFERROR(IF(FIND(".",Table9[[#This Row],[Overs]])+1&gt;0,RIGHT(Table9[[#This Row],[Overs]],1),0),0)</f>
        <v>55</v>
      </c>
      <c r="BG30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309" t="e">
        <f>IF(Table9[[#This Row],[Team]]=I_TEAM,Table9[[#This Row],[Wickets]]*100-Table9[[#This Row],[Runs]],0)</f>
        <v>#REF!</v>
      </c>
      <c r="BI309">
        <f>Table9[[#This Row],[Wickets]]*100-Table9[[#This Row],[Runs]]</f>
        <v>154</v>
      </c>
      <c r="BJ309">
        <f ca="1">IFERROR(IF(MATCH(Table9[[#This Row],[Bowler]],OFFSET(AR310,0,0,BOWLROWS-ROW(AR309)-ROW(Table9[[#Headers],[BOWLER CUML WICKETS]])),0)&gt;0,0,SUMIF($AR$6:AR309,Table9[[#This Row],[Bowler]],$AV$6:AV309)),SUMIF($AR$6:AR309,Table9[[#This Row],[Bowler]],$AV$6:AV309))</f>
        <v>2</v>
      </c>
      <c r="BK309">
        <f ca="1">IFERROR(IF(MATCH(Table9[[#This Row],[Bowler]],OFFSET(AR310,0,0,BOWLROWS-ROW(AR309)-ROW(Table9[[#Headers],[BOWLER CUML WICKETS]])),0)&gt;0,0,SUMIF($AR$6:AR309,Table9[[#This Row],[Bowler]],$AU$6:AU309)),SUMIF($AR$6:AR309,Table9[[#This Row],[Bowler]],$AU$6:AU309))</f>
        <v>86</v>
      </c>
      <c r="BL309">
        <f ca="1">Table9[[#This Row],[BOWLER CUML WICKETS]]*100-Table9[[#This Row],[BOWLER CUML RUNS]]</f>
        <v>114</v>
      </c>
    </row>
    <row r="310" spans="1:64" x14ac:dyDescent="0.3">
      <c r="A310">
        <v>12</v>
      </c>
      <c r="B310" t="s">
        <v>145</v>
      </c>
      <c r="C310" t="s">
        <v>368</v>
      </c>
      <c r="D310" t="s">
        <v>540</v>
      </c>
      <c r="E310">
        <v>23</v>
      </c>
      <c r="F310">
        <v>47</v>
      </c>
      <c r="G310">
        <v>32</v>
      </c>
      <c r="H310">
        <v>3</v>
      </c>
      <c r="I310">
        <v>0</v>
      </c>
      <c r="J310">
        <v>71.87</v>
      </c>
      <c r="K310">
        <v>4</v>
      </c>
      <c r="L310" t="str">
        <f>CONCATENATE(T_BATTINGDATA[[#This Row],[Match]],T_BATTINGDATA[[#This Row],[Team]],T_BATTINGDATA[[#This Row],[Bat Number]])</f>
        <v>12Sri Lanka4</v>
      </c>
      <c r="M310" t="str">
        <f>IFERROR(IF(AND(T_BATTINGDATA[[#This Row],[Team]]=I_TEAM,IFERROR(IF(MATCH(T_BATTINGDATA[[#This Row],[BATSMAN NAME]],$O$5:O309,0)&gt;0,0),1)),1,0),"")</f>
        <v/>
      </c>
      <c r="N310" t="e">
        <f>IF(T_BATTINGDATA[[#This Row],[Team]]=I_TEAM,T_BATTINGDATA[[#This Row],[R]],0)</f>
        <v>#REF!</v>
      </c>
      <c r="O310" t="str">
        <f>LEFT(T_BATTINGDATA[[#This Row],[Batsman]],IFERROR(FIND("*",T_BATTINGDATA[[#This Row],[Batsman]])-1,IFERROR(FIND("†",T_BATTINGDATA[[#This Row],[Batsman]])-1,LEN(T_BATTINGDATA[[#This Row],[Batsman]]))))</f>
        <v>FDM Karunaratne</v>
      </c>
      <c r="P310">
        <f ca="1">IFERROR(IF(MATCH(T_BATTINGDATA[[#This Row],[BATSMAN NAME]],OFFSET(O311,0,0,BATROWS-ROW(O310)-ROW(T_BATTINGDATA[[#Headers],[BATSMAN NAME]])),0)&gt;0,0,SUMIF($O$6:O310,T_BATTINGDATA[[#This Row],[BATSMAN NAME]],$E$6:E310)),SUMIF($O$6:O310,T_BATTINGDATA[[#This Row],[BATSMAN NAME]],$E$6:E310))</f>
        <v>37</v>
      </c>
      <c r="AP310">
        <v>49</v>
      </c>
      <c r="AQ310" t="s">
        <v>140</v>
      </c>
      <c r="AR310" t="s">
        <v>309</v>
      </c>
      <c r="AS310">
        <v>1</v>
      </c>
      <c r="AT310">
        <v>0</v>
      </c>
      <c r="AU310">
        <v>7</v>
      </c>
      <c r="AV310">
        <v>0</v>
      </c>
      <c r="AW310">
        <v>7</v>
      </c>
      <c r="AX310">
        <v>3</v>
      </c>
      <c r="AY310">
        <v>0</v>
      </c>
      <c r="AZ310">
        <v>0</v>
      </c>
      <c r="BA310">
        <v>1</v>
      </c>
      <c r="BB310">
        <v>0</v>
      </c>
      <c r="BC310">
        <v>5</v>
      </c>
      <c r="BD310" t="str">
        <f>CONCATENATE(Table9[[#This Row],[Match Number]],Table9[[#This Row],[Team]],Table9[[#This Row],[BOWL NUM]])</f>
        <v>49New Zealand5</v>
      </c>
      <c r="BE310" t="str">
        <f>IFERROR(IF(AND(Table9[[#This Row],[Team]]=I_TEAM,IFERROR(IF(MATCH(Table9[[#This Row],[Bowler]],$AR$5:AR309,0)&gt;0,0),1)),1,0),"")</f>
        <v/>
      </c>
      <c r="BF310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31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310" t="e">
        <f>IF(Table9[[#This Row],[Team]]=I_TEAM,Table9[[#This Row],[Wickets]]*100-Table9[[#This Row],[Runs]],0)</f>
        <v>#REF!</v>
      </c>
      <c r="BI310">
        <f>Table9[[#This Row],[Wickets]]*100-Table9[[#This Row],[Runs]]</f>
        <v>-7</v>
      </c>
      <c r="BJ310">
        <f ca="1">IFERROR(IF(MATCH(Table9[[#This Row],[Bowler]],OFFSET(AR311,0,0,BOWLROWS-ROW(AR310)-ROW(Table9[[#Headers],[BOWLER CUML WICKETS]])),0)&gt;0,0,SUMIF($AR$6:AR590,Table9[[#This Row],[Bowler]],$AV$6:AV590)),SUMIF($AR$6:AR590,Table9[[#This Row],[Bowler]],$AV$6:AV590))</f>
        <v>0</v>
      </c>
      <c r="BK310">
        <f ca="1">IFERROR(IF(MATCH(Table9[[#This Row],[Bowler]],OFFSET(AR311,0,0,BOWLROWS-ROW(AR310)-ROW(Table9[[#Headers],[BOWLER CUML WICKETS]])),0)&gt;0,0,SUMIF($AR$6:AR333,Table9[[#This Row],[Bowler]],$AU$6:AU333)),SUMIF($AR$6:AR333,Table9[[#This Row],[Bowler]],$AU$6:AU333))</f>
        <v>0</v>
      </c>
      <c r="BL310">
        <f ca="1">Table9[[#This Row],[BOWLER CUML WICKETS]]*100-Table9[[#This Row],[BOWLER CUML RUNS]]</f>
        <v>0</v>
      </c>
    </row>
    <row r="311" spans="1:64" x14ac:dyDescent="0.3">
      <c r="A311">
        <v>12</v>
      </c>
      <c r="B311" t="s">
        <v>145</v>
      </c>
      <c r="C311" t="s">
        <v>366</v>
      </c>
      <c r="D311" t="s">
        <v>540</v>
      </c>
      <c r="E311">
        <v>100</v>
      </c>
      <c r="F311">
        <v>148</v>
      </c>
      <c r="G311">
        <v>120</v>
      </c>
      <c r="H311">
        <v>8</v>
      </c>
      <c r="I311">
        <v>1</v>
      </c>
      <c r="J311">
        <v>83.33</v>
      </c>
      <c r="K311">
        <v>5</v>
      </c>
      <c r="L311" t="str">
        <f>CONCATENATE(T_BATTINGDATA[[#This Row],[Match]],T_BATTINGDATA[[#This Row],[Team]],T_BATTINGDATA[[#This Row],[Bat Number]])</f>
        <v>12Sri Lanka5</v>
      </c>
      <c r="M311" t="str">
        <f>IFERROR(IF(AND(T_BATTINGDATA[[#This Row],[Team]]=I_TEAM,IFERROR(IF(MATCH(T_BATTINGDATA[[#This Row],[BATSMAN NAME]],$O$5:O310,0)&gt;0,0),1)),1,0),"")</f>
        <v/>
      </c>
      <c r="N311" t="e">
        <f>IF(T_BATTINGDATA[[#This Row],[Team]]=I_TEAM,T_BATTINGDATA[[#This Row],[R]],0)</f>
        <v>#REF!</v>
      </c>
      <c r="O311" t="str">
        <f>LEFT(T_BATTINGDATA[[#This Row],[Batsman]],IFERROR(FIND("*",T_BATTINGDATA[[#This Row],[Batsman]])-1,IFERROR(FIND("†",T_BATTINGDATA[[#This Row],[Batsman]])-1,LEN(T_BATTINGDATA[[#This Row],[Batsman]]))))</f>
        <v>DPMD Jayawardene</v>
      </c>
      <c r="P311">
        <f ca="1">IFERROR(IF(MATCH(T_BATTINGDATA[[#This Row],[BATSMAN NAME]],OFFSET(O312,0,0,BATROWS-ROW(O311)-ROW(T_BATTINGDATA[[#Headers],[BATSMAN NAME]])),0)&gt;0,0,SUMIF($O$6:O311,T_BATTINGDATA[[#This Row],[BATSMAN NAME]],$E$6:E311)),SUMIF($O$6:O311,T_BATTINGDATA[[#This Row],[BATSMAN NAME]],$E$6:E311))</f>
        <v>0</v>
      </c>
      <c r="AP311">
        <v>16</v>
      </c>
      <c r="AQ311" t="s">
        <v>169</v>
      </c>
      <c r="AR311" t="s">
        <v>242</v>
      </c>
      <c r="AS311">
        <v>6</v>
      </c>
      <c r="AT311">
        <v>0</v>
      </c>
      <c r="AU311">
        <v>32</v>
      </c>
      <c r="AV311">
        <v>0</v>
      </c>
      <c r="AW311">
        <v>5.33</v>
      </c>
      <c r="AX311">
        <v>22</v>
      </c>
      <c r="AY311">
        <v>2</v>
      </c>
      <c r="AZ311">
        <v>0</v>
      </c>
      <c r="BA311">
        <v>2</v>
      </c>
      <c r="BB311">
        <v>1</v>
      </c>
      <c r="BC311">
        <v>1</v>
      </c>
      <c r="BD311" t="str">
        <f>CONCATENATE(Table9[[#This Row],[Match Number]],Table9[[#This Row],[Team]],Table9[[#This Row],[BOWL NUM]])</f>
        <v>16Ireland1</v>
      </c>
      <c r="BE311" t="str">
        <f>IFERROR(IF(AND(Table9[[#This Row],[Team]]=I_TEAM,IFERROR(IF(MATCH(Table9[[#This Row],[Bowler]],$AR$5:AR310,0)&gt;0,0),1)),1,0),"")</f>
        <v/>
      </c>
      <c r="BF311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31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311" t="e">
        <f>IF(Table9[[#This Row],[Team]]=I_TEAM,Table9[[#This Row],[Wickets]]*100-Table9[[#This Row],[Runs]],0)</f>
        <v>#REF!</v>
      </c>
      <c r="BI311">
        <f>Table9[[#This Row],[Wickets]]*100-Table9[[#This Row],[Runs]]</f>
        <v>-32</v>
      </c>
      <c r="BJ311">
        <f ca="1">IFERROR(IF(MATCH(Table9[[#This Row],[Bowler]],OFFSET(AR312,0,0,BOWLROWS-ROW(AR311)-ROW(Table9[[#Headers],[BOWLER CUML WICKETS]])),0)&gt;0,0,SUMIF($AR$6:AR311,Table9[[#This Row],[Bowler]],$AV$6:AV311)),SUMIF($AR$6:AR311,Table9[[#This Row],[Bowler]],$AV$6:AV311))</f>
        <v>0</v>
      </c>
      <c r="BK311">
        <f ca="1">IFERROR(IF(MATCH(Table9[[#This Row],[Bowler]],OFFSET(AR312,0,0,BOWLROWS-ROW(AR311)-ROW(Table9[[#Headers],[BOWLER CUML WICKETS]])),0)&gt;0,0,SUMIF($AR$6:AR311,Table9[[#This Row],[Bowler]],$AU$6:AU311)),SUMIF($AR$6:AR311,Table9[[#This Row],[Bowler]],$AU$6:AU311))</f>
        <v>0</v>
      </c>
      <c r="BL311">
        <f ca="1">Table9[[#This Row],[BOWLER CUML WICKETS]]*100-Table9[[#This Row],[BOWLER CUML RUNS]]</f>
        <v>0</v>
      </c>
    </row>
    <row r="312" spans="1:64" x14ac:dyDescent="0.3">
      <c r="A312">
        <v>12</v>
      </c>
      <c r="B312" t="s">
        <v>145</v>
      </c>
      <c r="C312" t="s">
        <v>370</v>
      </c>
      <c r="D312" t="s">
        <v>541</v>
      </c>
      <c r="E312">
        <v>44</v>
      </c>
      <c r="F312">
        <v>115</v>
      </c>
      <c r="G312">
        <v>81</v>
      </c>
      <c r="H312">
        <v>2</v>
      </c>
      <c r="I312">
        <v>0</v>
      </c>
      <c r="J312">
        <v>54.32</v>
      </c>
      <c r="K312">
        <v>6</v>
      </c>
      <c r="L312" t="str">
        <f>CONCATENATE(T_BATTINGDATA[[#This Row],[Match]],T_BATTINGDATA[[#This Row],[Team]],T_BATTINGDATA[[#This Row],[Bat Number]])</f>
        <v>12Sri Lanka6</v>
      </c>
      <c r="M312" t="str">
        <f>IFERROR(IF(AND(T_BATTINGDATA[[#This Row],[Team]]=I_TEAM,IFERROR(IF(MATCH(T_BATTINGDATA[[#This Row],[BATSMAN NAME]],$O$5:O311,0)&gt;0,0),1)),1,0),"")</f>
        <v/>
      </c>
      <c r="N312" t="e">
        <f>IF(T_BATTINGDATA[[#This Row],[Team]]=I_TEAM,T_BATTINGDATA[[#This Row],[R]],0)</f>
        <v>#REF!</v>
      </c>
      <c r="O312" t="str">
        <f>LEFT(T_BATTINGDATA[[#This Row],[Batsman]],IFERROR(FIND("*",T_BATTINGDATA[[#This Row],[Batsman]])-1,IFERROR(FIND("†",T_BATTINGDATA[[#This Row],[Batsman]])-1,LEN(T_BATTINGDATA[[#This Row],[Batsman]]))))</f>
        <v>AD Mathews</v>
      </c>
      <c r="P312">
        <f ca="1">IFERROR(IF(MATCH(T_BATTINGDATA[[#This Row],[BATSMAN NAME]],OFFSET(O313,0,0,BATROWS-ROW(O312)-ROW(T_BATTINGDATA[[#Headers],[BATSMAN NAME]])),0)&gt;0,0,SUMIF($O$6:O312,T_BATTINGDATA[[#This Row],[BATSMAN NAME]],$E$6:E312)),SUMIF($O$6:O312,T_BATTINGDATA[[#This Row],[BATSMAN NAME]],$E$6:E312))</f>
        <v>0</v>
      </c>
      <c r="AP312">
        <v>16</v>
      </c>
      <c r="AQ312" t="s">
        <v>169</v>
      </c>
      <c r="AR312" t="s">
        <v>351</v>
      </c>
      <c r="AS312">
        <v>10</v>
      </c>
      <c r="AT312">
        <v>0</v>
      </c>
      <c r="AU312">
        <v>60</v>
      </c>
      <c r="AV312">
        <v>2</v>
      </c>
      <c r="AW312">
        <v>6</v>
      </c>
      <c r="AX312">
        <v>26</v>
      </c>
      <c r="AY312">
        <v>6</v>
      </c>
      <c r="AZ312">
        <v>0</v>
      </c>
      <c r="BA312">
        <v>0</v>
      </c>
      <c r="BB312">
        <v>0</v>
      </c>
      <c r="BC312">
        <v>2</v>
      </c>
      <c r="BD312" t="str">
        <f>CONCATENATE(Table9[[#This Row],[Match Number]],Table9[[#This Row],[Team]],Table9[[#This Row],[BOWL NUM]])</f>
        <v>16Ireland2</v>
      </c>
      <c r="BE312" t="str">
        <f>IFERROR(IF(AND(Table9[[#This Row],[Team]]=I_TEAM,IFERROR(IF(MATCH(Table9[[#This Row],[Bowler]],$AR$5:AR311,0)&gt;0,0),1)),1,0),"")</f>
        <v/>
      </c>
      <c r="BF31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1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312" t="e">
        <f>IF(Table9[[#This Row],[Team]]=I_TEAM,Table9[[#This Row],[Wickets]]*100-Table9[[#This Row],[Runs]],0)</f>
        <v>#REF!</v>
      </c>
      <c r="BI312">
        <f>Table9[[#This Row],[Wickets]]*100-Table9[[#This Row],[Runs]]</f>
        <v>140</v>
      </c>
      <c r="BJ312">
        <f ca="1">IFERROR(IF(MATCH(Table9[[#This Row],[Bowler]],OFFSET(AR313,0,0,BOWLROWS-ROW(AR312)-ROW(Table9[[#Headers],[BOWLER CUML WICKETS]])),0)&gt;0,0,SUMIF($AR$6:AR312,Table9[[#This Row],[Bowler]],$AV$6:AV312)),SUMIF($AR$6:AR312,Table9[[#This Row],[Bowler]],$AV$6:AV312))</f>
        <v>0</v>
      </c>
      <c r="BK312">
        <f ca="1">IFERROR(IF(MATCH(Table9[[#This Row],[Bowler]],OFFSET(AR313,0,0,BOWLROWS-ROW(AR312)-ROW(Table9[[#Headers],[BOWLER CUML WICKETS]])),0)&gt;0,0,SUMIF($AR$6:AR312,Table9[[#This Row],[Bowler]],$AU$6:AU312)),SUMIF($AR$6:AR312,Table9[[#This Row],[Bowler]],$AU$6:AU312))</f>
        <v>0</v>
      </c>
      <c r="BL312">
        <f ca="1">Table9[[#This Row],[BOWLER CUML WICKETS]]*100-Table9[[#This Row],[BOWLER CUML RUNS]]</f>
        <v>0</v>
      </c>
    </row>
    <row r="313" spans="1:64" x14ac:dyDescent="0.3">
      <c r="A313">
        <v>12</v>
      </c>
      <c r="B313" t="s">
        <v>145</v>
      </c>
      <c r="C313" t="s">
        <v>295</v>
      </c>
      <c r="D313" t="s">
        <v>167</v>
      </c>
      <c r="E313">
        <v>9</v>
      </c>
      <c r="F313">
        <v>39</v>
      </c>
      <c r="G313">
        <v>17</v>
      </c>
      <c r="H313">
        <v>0</v>
      </c>
      <c r="I313">
        <v>0</v>
      </c>
      <c r="J313">
        <v>52.94</v>
      </c>
      <c r="K313">
        <v>7</v>
      </c>
      <c r="L313" t="str">
        <f>CONCATENATE(T_BATTINGDATA[[#This Row],[Match]],T_BATTINGDATA[[#This Row],[Team]],T_BATTINGDATA[[#This Row],[Bat Number]])</f>
        <v>12Sri Lanka7</v>
      </c>
      <c r="M313" t="str">
        <f>IFERROR(IF(AND(T_BATTINGDATA[[#This Row],[Team]]=I_TEAM,IFERROR(IF(MATCH(T_BATTINGDATA[[#This Row],[BATSMAN NAME]],$O$5:O312,0)&gt;0,0),1)),1,0),"")</f>
        <v/>
      </c>
      <c r="N313" t="e">
        <f>IF(T_BATTINGDATA[[#This Row],[Team]]=I_TEAM,T_BATTINGDATA[[#This Row],[R]],0)</f>
        <v>#REF!</v>
      </c>
      <c r="O313" t="str">
        <f>LEFT(T_BATTINGDATA[[#This Row],[Batsman]],IFERROR(FIND("*",T_BATTINGDATA[[#This Row],[Batsman]])-1,IFERROR(FIND("†",T_BATTINGDATA[[#This Row],[Batsman]])-1,LEN(T_BATTINGDATA[[#This Row],[Batsman]]))))</f>
        <v>BMAJ Mendis</v>
      </c>
      <c r="P313">
        <f ca="1">IFERROR(IF(MATCH(T_BATTINGDATA[[#This Row],[BATSMAN NAME]],OFFSET(O314,0,0,BATROWS-ROW(O313)-ROW(T_BATTINGDATA[[#Headers],[BATSMAN NAME]])),0)&gt;0,0,SUMIF($O$6:O313,T_BATTINGDATA[[#This Row],[BATSMAN NAME]],$E$6:E313)),SUMIF($O$6:O313,T_BATTINGDATA[[#This Row],[BATSMAN NAME]],$E$6:E313))</f>
        <v>13</v>
      </c>
      <c r="AP313">
        <v>16</v>
      </c>
      <c r="AQ313" t="s">
        <v>169</v>
      </c>
      <c r="AR313" t="s">
        <v>244</v>
      </c>
      <c r="AS313">
        <v>10</v>
      </c>
      <c r="AT313">
        <v>0</v>
      </c>
      <c r="AU313">
        <v>54</v>
      </c>
      <c r="AV313">
        <v>2</v>
      </c>
      <c r="AW313">
        <v>5.4</v>
      </c>
      <c r="AX313">
        <v>36</v>
      </c>
      <c r="AY313">
        <v>6</v>
      </c>
      <c r="AZ313">
        <v>0</v>
      </c>
      <c r="BA313">
        <v>3</v>
      </c>
      <c r="BB313">
        <v>0</v>
      </c>
      <c r="BC313">
        <v>3</v>
      </c>
      <c r="BD313" t="str">
        <f>CONCATENATE(Table9[[#This Row],[Match Number]],Table9[[#This Row],[Team]],Table9[[#This Row],[BOWL NUM]])</f>
        <v>16Ireland3</v>
      </c>
      <c r="BE313" t="str">
        <f>IFERROR(IF(AND(Table9[[#This Row],[Team]]=I_TEAM,IFERROR(IF(MATCH(Table9[[#This Row],[Bowler]],$AR$5:AR312,0)&gt;0,0),1)),1,0),"")</f>
        <v/>
      </c>
      <c r="BF31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1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313" t="e">
        <f>IF(Table9[[#This Row],[Team]]=I_TEAM,Table9[[#This Row],[Wickets]]*100-Table9[[#This Row],[Runs]],0)</f>
        <v>#REF!</v>
      </c>
      <c r="BI313">
        <f>Table9[[#This Row],[Wickets]]*100-Table9[[#This Row],[Runs]]</f>
        <v>146</v>
      </c>
      <c r="BJ313">
        <f ca="1">IFERROR(IF(MATCH(Table9[[#This Row],[Bowler]],OFFSET(AR314,0,0,BOWLROWS-ROW(AR313)-ROW(Table9[[#Headers],[BOWLER CUML WICKETS]])),0)&gt;0,0,SUMIF($AR$6:AR313,Table9[[#This Row],[Bowler]],$AV$6:AV313)),SUMIF($AR$6:AR313,Table9[[#This Row],[Bowler]],$AV$6:AV313))</f>
        <v>0</v>
      </c>
      <c r="BK313">
        <f ca="1">IFERROR(IF(MATCH(Table9[[#This Row],[Bowler]],OFFSET(AR314,0,0,BOWLROWS-ROW(AR313)-ROW(Table9[[#Headers],[BOWLER CUML WICKETS]])),0)&gt;0,0,SUMIF($AR$6:AR313,Table9[[#This Row],[Bowler]],$AU$6:AU313)),SUMIF($AR$6:AR313,Table9[[#This Row],[Bowler]],$AU$6:AU313))</f>
        <v>0</v>
      </c>
      <c r="BL313">
        <f ca="1">Table9[[#This Row],[BOWLER CUML WICKETS]]*100-Table9[[#This Row],[BOWLER CUML RUNS]]</f>
        <v>0</v>
      </c>
    </row>
    <row r="314" spans="1:64" x14ac:dyDescent="0.3">
      <c r="A314">
        <v>12</v>
      </c>
      <c r="B314" t="s">
        <v>145</v>
      </c>
      <c r="C314" t="s">
        <v>445</v>
      </c>
      <c r="D314" t="s">
        <v>167</v>
      </c>
      <c r="E314">
        <v>47</v>
      </c>
      <c r="F314">
        <v>32</v>
      </c>
      <c r="G314">
        <v>26</v>
      </c>
      <c r="H314">
        <v>6</v>
      </c>
      <c r="I314">
        <v>1</v>
      </c>
      <c r="J314">
        <v>180.76</v>
      </c>
      <c r="K314">
        <v>8</v>
      </c>
      <c r="L314" t="str">
        <f>CONCATENATE(T_BATTINGDATA[[#This Row],[Match]],T_BATTINGDATA[[#This Row],[Team]],T_BATTINGDATA[[#This Row],[Bat Number]])</f>
        <v>12Sri Lanka8</v>
      </c>
      <c r="M314" t="str">
        <f>IFERROR(IF(AND(T_BATTINGDATA[[#This Row],[Team]]=I_TEAM,IFERROR(IF(MATCH(T_BATTINGDATA[[#This Row],[BATSMAN NAME]],$O$5:O313,0)&gt;0,0),1)),1,0),"")</f>
        <v/>
      </c>
      <c r="N314" t="e">
        <f>IF(T_BATTINGDATA[[#This Row],[Team]]=I_TEAM,T_BATTINGDATA[[#This Row],[R]],0)</f>
        <v>#REF!</v>
      </c>
      <c r="O314" t="str">
        <f>LEFT(T_BATTINGDATA[[#This Row],[Batsman]],IFERROR(FIND("*",T_BATTINGDATA[[#This Row],[Batsman]])-1,IFERROR(FIND("†",T_BATTINGDATA[[#This Row],[Batsman]])-1,LEN(T_BATTINGDATA[[#This Row],[Batsman]]))))</f>
        <v>NLTC Perera</v>
      </c>
      <c r="P314">
        <f ca="1">IFERROR(IF(MATCH(T_BATTINGDATA[[#This Row],[BATSMAN NAME]],OFFSET(O315,0,0,BATROWS-ROW(O314)-ROW(T_BATTINGDATA[[#Headers],[BATSMAN NAME]])),0)&gt;0,0,SUMIF($O$6:O314,T_BATTINGDATA[[#This Row],[BATSMAN NAME]],$E$6:E314)),SUMIF($O$6:O314,T_BATTINGDATA[[#This Row],[BATSMAN NAME]],$E$6:E314))</f>
        <v>0</v>
      </c>
      <c r="AP314">
        <v>16</v>
      </c>
      <c r="AQ314" t="s">
        <v>169</v>
      </c>
      <c r="AR314" t="s">
        <v>249</v>
      </c>
      <c r="AS314">
        <v>10</v>
      </c>
      <c r="AT314">
        <v>0</v>
      </c>
      <c r="AU314">
        <v>27</v>
      </c>
      <c r="AV314">
        <v>2</v>
      </c>
      <c r="AW314">
        <v>2.7</v>
      </c>
      <c r="AX314">
        <v>41</v>
      </c>
      <c r="AY314">
        <v>1</v>
      </c>
      <c r="AZ314">
        <v>0</v>
      </c>
      <c r="BA314">
        <v>1</v>
      </c>
      <c r="BB314">
        <v>0</v>
      </c>
      <c r="BC314">
        <v>4</v>
      </c>
      <c r="BD314" t="str">
        <f>CONCATENATE(Table9[[#This Row],[Match Number]],Table9[[#This Row],[Team]],Table9[[#This Row],[BOWL NUM]])</f>
        <v>16Ireland4</v>
      </c>
      <c r="BE314" t="str">
        <f>IFERROR(IF(AND(Table9[[#This Row],[Team]]=I_TEAM,IFERROR(IF(MATCH(Table9[[#This Row],[Bowler]],$AR$5:AR313,0)&gt;0,0),1)),1,0),"")</f>
        <v/>
      </c>
      <c r="BF31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1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314" t="e">
        <f>IF(Table9[[#This Row],[Team]]=I_TEAM,Table9[[#This Row],[Wickets]]*100-Table9[[#This Row],[Runs]],0)</f>
        <v>#REF!</v>
      </c>
      <c r="BI314">
        <f>Table9[[#This Row],[Wickets]]*100-Table9[[#This Row],[Runs]]</f>
        <v>173</v>
      </c>
      <c r="BJ314">
        <f ca="1">IFERROR(IF(MATCH(Table9[[#This Row],[Bowler]],OFFSET(AR315,0,0,BOWLROWS-ROW(AR314)-ROW(Table9[[#Headers],[BOWLER CUML WICKETS]])),0)&gt;0,0,SUMIF($AR$6:AR314,Table9[[#This Row],[Bowler]],$AV$6:AV314)),SUMIF($AR$6:AR314,Table9[[#This Row],[Bowler]],$AV$6:AV314))</f>
        <v>0</v>
      </c>
      <c r="BK314">
        <f ca="1">IFERROR(IF(MATCH(Table9[[#This Row],[Bowler]],OFFSET(AR315,0,0,BOWLROWS-ROW(AR314)-ROW(Table9[[#Headers],[BOWLER CUML WICKETS]])),0)&gt;0,0,SUMIF($AR$6:AR314,Table9[[#This Row],[Bowler]],$AU$6:AU314)),SUMIF($AR$6:AR314,Table9[[#This Row],[Bowler]],$AU$6:AU314))</f>
        <v>0</v>
      </c>
      <c r="BL314">
        <f ca="1">Table9[[#This Row],[BOWLER CUML WICKETS]]*100-Table9[[#This Row],[BOWLER CUML RUNS]]</f>
        <v>0</v>
      </c>
    </row>
    <row r="315" spans="1:64" x14ac:dyDescent="0.3">
      <c r="A315">
        <v>14</v>
      </c>
      <c r="B315" t="s">
        <v>154</v>
      </c>
      <c r="C315" t="s">
        <v>318</v>
      </c>
      <c r="D315" t="s">
        <v>542</v>
      </c>
      <c r="E315">
        <v>128</v>
      </c>
      <c r="F315">
        <v>142</v>
      </c>
      <c r="G315">
        <v>107</v>
      </c>
      <c r="H315">
        <v>12</v>
      </c>
      <c r="I315">
        <v>5</v>
      </c>
      <c r="J315">
        <v>119.62</v>
      </c>
      <c r="K315">
        <v>1</v>
      </c>
      <c r="L315" t="str">
        <f>CONCATENATE(T_BATTINGDATA[[#This Row],[Match]],T_BATTINGDATA[[#This Row],[Team]],T_BATTINGDATA[[#This Row],[Bat Number]])</f>
        <v>14England1</v>
      </c>
      <c r="M315" t="str">
        <f>IFERROR(IF(AND(T_BATTINGDATA[[#This Row],[Team]]=I_TEAM,IFERROR(IF(MATCH(T_BATTINGDATA[[#This Row],[BATSMAN NAME]],$O$5:O314,0)&gt;0,0),1)),1,0),"")</f>
        <v/>
      </c>
      <c r="N315" t="e">
        <f>IF(T_BATTINGDATA[[#This Row],[Team]]=I_TEAM,T_BATTINGDATA[[#This Row],[R]],0)</f>
        <v>#REF!</v>
      </c>
      <c r="O315" t="str">
        <f>LEFT(T_BATTINGDATA[[#This Row],[Batsman]],IFERROR(FIND("*",T_BATTINGDATA[[#This Row],[Batsman]])-1,IFERROR(FIND("†",T_BATTINGDATA[[#This Row],[Batsman]])-1,LEN(T_BATTINGDATA[[#This Row],[Batsman]]))))</f>
        <v>MM Ali</v>
      </c>
      <c r="P315">
        <f ca="1">IFERROR(IF(MATCH(T_BATTINGDATA[[#This Row],[BATSMAN NAME]],OFFSET(O316,0,0,BATROWS-ROW(O315)-ROW(T_BATTINGDATA[[#Headers],[BATSMAN NAME]])),0)&gt;0,0,SUMIF($O$6:O315,T_BATTINGDATA[[#This Row],[BATSMAN NAME]],$E$6:E315)),SUMIF($O$6:O315,T_BATTINGDATA[[#This Row],[BATSMAN NAME]],$E$6:E315))</f>
        <v>0</v>
      </c>
      <c r="AP315">
        <v>16</v>
      </c>
      <c r="AQ315" t="s">
        <v>169</v>
      </c>
      <c r="AR315" t="s">
        <v>251</v>
      </c>
      <c r="AS315">
        <v>7</v>
      </c>
      <c r="AT315">
        <v>0</v>
      </c>
      <c r="AU315">
        <v>61</v>
      </c>
      <c r="AV315">
        <v>2</v>
      </c>
      <c r="AW315">
        <v>8.7100000000000009</v>
      </c>
      <c r="AX315">
        <v>16</v>
      </c>
      <c r="AY315">
        <v>7</v>
      </c>
      <c r="AZ315">
        <v>0</v>
      </c>
      <c r="BA315">
        <v>4</v>
      </c>
      <c r="BB315">
        <v>0</v>
      </c>
      <c r="BC315">
        <v>5</v>
      </c>
      <c r="BD315" t="str">
        <f>CONCATENATE(Table9[[#This Row],[Match Number]],Table9[[#This Row],[Team]],Table9[[#This Row],[BOWL NUM]])</f>
        <v>16Ireland5</v>
      </c>
      <c r="BE315" t="str">
        <f>IFERROR(IF(AND(Table9[[#This Row],[Team]]=I_TEAM,IFERROR(IF(MATCH(Table9[[#This Row],[Bowler]],$AR$5:AR314,0)&gt;0,0),1)),1,0),"")</f>
        <v/>
      </c>
      <c r="BF315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31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315" t="e">
        <f>IF(Table9[[#This Row],[Team]]=I_TEAM,Table9[[#This Row],[Wickets]]*100-Table9[[#This Row],[Runs]],0)</f>
        <v>#REF!</v>
      </c>
      <c r="BI315">
        <f>Table9[[#This Row],[Wickets]]*100-Table9[[#This Row],[Runs]]</f>
        <v>139</v>
      </c>
      <c r="BJ315">
        <f ca="1">IFERROR(IF(MATCH(Table9[[#This Row],[Bowler]],OFFSET(AR316,0,0,BOWLROWS-ROW(AR315)-ROW(Table9[[#Headers],[BOWLER CUML WICKETS]])),0)&gt;0,0,SUMIF($AR$6:AR315,Table9[[#This Row],[Bowler]],$AV$6:AV315)),SUMIF($AR$6:AR315,Table9[[#This Row],[Bowler]],$AV$6:AV315))</f>
        <v>0</v>
      </c>
      <c r="BK315">
        <f ca="1">IFERROR(IF(MATCH(Table9[[#This Row],[Bowler]],OFFSET(AR316,0,0,BOWLROWS-ROW(AR315)-ROW(Table9[[#Headers],[BOWLER CUML WICKETS]])),0)&gt;0,0,SUMIF($AR$6:AR315,Table9[[#This Row],[Bowler]],$AU$6:AU315)),SUMIF($AR$6:AR315,Table9[[#This Row],[Bowler]],$AU$6:AU315))</f>
        <v>0</v>
      </c>
      <c r="BL315">
        <f ca="1">Table9[[#This Row],[BOWLER CUML WICKETS]]*100-Table9[[#This Row],[BOWLER CUML RUNS]]</f>
        <v>0</v>
      </c>
    </row>
    <row r="316" spans="1:64" x14ac:dyDescent="0.3">
      <c r="A316">
        <v>14</v>
      </c>
      <c r="B316" t="s">
        <v>154</v>
      </c>
      <c r="C316" t="s">
        <v>399</v>
      </c>
      <c r="D316" t="s">
        <v>543</v>
      </c>
      <c r="E316">
        <v>54</v>
      </c>
      <c r="F316">
        <v>123</v>
      </c>
      <c r="G316">
        <v>85</v>
      </c>
      <c r="H316">
        <v>2</v>
      </c>
      <c r="I316">
        <v>0</v>
      </c>
      <c r="J316">
        <v>63.52</v>
      </c>
      <c r="K316">
        <v>2</v>
      </c>
      <c r="L316" t="str">
        <f>CONCATENATE(T_BATTINGDATA[[#This Row],[Match]],T_BATTINGDATA[[#This Row],[Team]],T_BATTINGDATA[[#This Row],[Bat Number]])</f>
        <v>14England2</v>
      </c>
      <c r="M316" t="str">
        <f>IFERROR(IF(AND(T_BATTINGDATA[[#This Row],[Team]]=I_TEAM,IFERROR(IF(MATCH(T_BATTINGDATA[[#This Row],[BATSMAN NAME]],$O$5:O315,0)&gt;0,0),1)),1,0),"")</f>
        <v/>
      </c>
      <c r="N316" t="e">
        <f>IF(T_BATTINGDATA[[#This Row],[Team]]=I_TEAM,T_BATTINGDATA[[#This Row],[R]],0)</f>
        <v>#REF!</v>
      </c>
      <c r="O316" t="str">
        <f>LEFT(T_BATTINGDATA[[#This Row],[Batsman]],IFERROR(FIND("*",T_BATTINGDATA[[#This Row],[Batsman]])-1,IFERROR(FIND("†",T_BATTINGDATA[[#This Row],[Batsman]])-1,LEN(T_BATTINGDATA[[#This Row],[Batsman]]))))</f>
        <v>IR Bell</v>
      </c>
      <c r="P316">
        <f ca="1">IFERROR(IF(MATCH(T_BATTINGDATA[[#This Row],[BATSMAN NAME]],OFFSET(O317,0,0,BATROWS-ROW(O316)-ROW(T_BATTINGDATA[[#Headers],[BATSMAN NAME]])),0)&gt;0,0,SUMIF($O$6:O316,T_BATTINGDATA[[#This Row],[BATSMAN NAME]],$E$6:E316)),SUMIF($O$6:O316,T_BATTINGDATA[[#This Row],[BATSMAN NAME]],$E$6:E316))</f>
        <v>0</v>
      </c>
      <c r="AP316">
        <v>16</v>
      </c>
      <c r="AQ316" t="s">
        <v>169</v>
      </c>
      <c r="AR316" t="s">
        <v>246</v>
      </c>
      <c r="AS316">
        <v>7</v>
      </c>
      <c r="AT316">
        <v>0</v>
      </c>
      <c r="AU316">
        <v>39</v>
      </c>
      <c r="AV316">
        <v>1</v>
      </c>
      <c r="AW316">
        <v>5.57</v>
      </c>
      <c r="AX316">
        <v>22</v>
      </c>
      <c r="AY316">
        <v>3</v>
      </c>
      <c r="AZ316">
        <v>1</v>
      </c>
      <c r="BA316">
        <v>1</v>
      </c>
      <c r="BB316">
        <v>0</v>
      </c>
      <c r="BC316">
        <v>6</v>
      </c>
      <c r="BD316" t="str">
        <f>CONCATENATE(Table9[[#This Row],[Match Number]],Table9[[#This Row],[Team]],Table9[[#This Row],[BOWL NUM]])</f>
        <v>16Ireland6</v>
      </c>
      <c r="BE316" t="str">
        <f>IFERROR(IF(AND(Table9[[#This Row],[Team]]=I_TEAM,IFERROR(IF(MATCH(Table9[[#This Row],[Bowler]],$AR$5:AR315,0)&gt;0,0),1)),1,0),"")</f>
        <v/>
      </c>
      <c r="BF316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31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316" t="e">
        <f>IF(Table9[[#This Row],[Team]]=I_TEAM,Table9[[#This Row],[Wickets]]*100-Table9[[#This Row],[Runs]],0)</f>
        <v>#REF!</v>
      </c>
      <c r="BI316">
        <f>Table9[[#This Row],[Wickets]]*100-Table9[[#This Row],[Runs]]</f>
        <v>61</v>
      </c>
      <c r="BJ316">
        <f ca="1">IFERROR(IF(MATCH(Table9[[#This Row],[Bowler]],OFFSET(AR317,0,0,BOWLROWS-ROW(AR316)-ROW(Table9[[#Headers],[BOWLER CUML WICKETS]])),0)&gt;0,0,SUMIF($AR$6:AR333,Table9[[#This Row],[Bowler]],$AV$6:AV333)),SUMIF($AR$6:AR333,Table9[[#This Row],[Bowler]],$AV$6:AV333))</f>
        <v>0</v>
      </c>
      <c r="BK316">
        <f ca="1">IFERROR(IF(MATCH(Table9[[#This Row],[Bowler]],OFFSET(AR317,0,0,BOWLROWS-ROW(AR316)-ROW(Table9[[#Headers],[BOWLER CUML WICKETS]])),0)&gt;0,0,SUMIF($AR$6:AR333,Table9[[#This Row],[Bowler]],$AU$6:AU333)),SUMIF($AR$6:AR333,Table9[[#This Row],[Bowler]],$AU$6:AU333))</f>
        <v>0</v>
      </c>
      <c r="BL316">
        <f ca="1">Table9[[#This Row],[BOWLER CUML WICKETS]]*100-Table9[[#This Row],[BOWLER CUML RUNS]]</f>
        <v>0</v>
      </c>
    </row>
    <row r="317" spans="1:64" x14ac:dyDescent="0.3">
      <c r="A317">
        <v>14</v>
      </c>
      <c r="B317" t="s">
        <v>154</v>
      </c>
      <c r="C317" t="s">
        <v>402</v>
      </c>
      <c r="D317" t="s">
        <v>544</v>
      </c>
      <c r="E317">
        <v>10</v>
      </c>
      <c r="F317">
        <v>23</v>
      </c>
      <c r="G317">
        <v>18</v>
      </c>
      <c r="H317">
        <v>0</v>
      </c>
      <c r="I317">
        <v>0</v>
      </c>
      <c r="J317">
        <v>55.55</v>
      </c>
      <c r="K317">
        <v>3</v>
      </c>
      <c r="L317" t="str">
        <f>CONCATENATE(T_BATTINGDATA[[#This Row],[Match]],T_BATTINGDATA[[#This Row],[Team]],T_BATTINGDATA[[#This Row],[Bat Number]])</f>
        <v>14England3</v>
      </c>
      <c r="M317" t="str">
        <f>IFERROR(IF(AND(T_BATTINGDATA[[#This Row],[Team]]=I_TEAM,IFERROR(IF(MATCH(T_BATTINGDATA[[#This Row],[BATSMAN NAME]],$O$5:O316,0)&gt;0,0),1)),1,0),"")</f>
        <v/>
      </c>
      <c r="N317" t="e">
        <f>IF(T_BATTINGDATA[[#This Row],[Team]]=I_TEAM,T_BATTINGDATA[[#This Row],[R]],0)</f>
        <v>#REF!</v>
      </c>
      <c r="O317" t="str">
        <f>LEFT(T_BATTINGDATA[[#This Row],[Batsman]],IFERROR(FIND("*",T_BATTINGDATA[[#This Row],[Batsman]])-1,IFERROR(FIND("†",T_BATTINGDATA[[#This Row],[Batsman]])-1,LEN(T_BATTINGDATA[[#This Row],[Batsman]]))))</f>
        <v>GS Ballance</v>
      </c>
      <c r="P317">
        <f ca="1">IFERROR(IF(MATCH(T_BATTINGDATA[[#This Row],[BATSMAN NAME]],OFFSET(O318,0,0,BATROWS-ROW(O317)-ROW(T_BATTINGDATA[[#Headers],[BATSMAN NAME]])),0)&gt;0,0,SUMIF($O$6:O317,T_BATTINGDATA[[#This Row],[BATSMAN NAME]],$E$6:E317)),SUMIF($O$6:O317,T_BATTINGDATA[[#This Row],[BATSMAN NAME]],$E$6:E317))</f>
        <v>0</v>
      </c>
      <c r="AP317">
        <v>16</v>
      </c>
      <c r="AQ317" t="s">
        <v>164</v>
      </c>
      <c r="AR317" t="s">
        <v>223</v>
      </c>
      <c r="AS317">
        <v>9.1999999999999993</v>
      </c>
      <c r="AT317">
        <v>1</v>
      </c>
      <c r="AU317">
        <v>65</v>
      </c>
      <c r="AV317">
        <v>2</v>
      </c>
      <c r="AW317">
        <v>6.96</v>
      </c>
      <c r="AX317">
        <v>27</v>
      </c>
      <c r="AY317">
        <v>9</v>
      </c>
      <c r="AZ317">
        <v>0</v>
      </c>
      <c r="BA317">
        <v>0</v>
      </c>
      <c r="BB317">
        <v>1</v>
      </c>
      <c r="BC317">
        <v>1</v>
      </c>
      <c r="BD317" t="str">
        <f>CONCATENATE(Table9[[#This Row],[Match Number]],Table9[[#This Row],[Team]],Table9[[#This Row],[BOWL NUM]])</f>
        <v>16UAE1</v>
      </c>
      <c r="BE317" t="str">
        <f>IFERROR(IF(AND(Table9[[#This Row],[Team]]=I_TEAM,IFERROR(IF(MATCH(Table9[[#This Row],[Bowler]],$AR$5:AR316,0)&gt;0,0),1)),1,0),"")</f>
        <v/>
      </c>
      <c r="BF317">
        <f>(LEFT(Table9[[#This Row],[Overs]],IFERROR(FIND(".",Table9[[#This Row],[Overs]])-1,LEN(Table9[[#This Row],[Overs]])))*6) + IFERROR(IF(FIND(".",Table9[[#This Row],[Overs]])+1&gt;0,RIGHT(Table9[[#This Row],[Overs]],1),0),0)</f>
        <v>56</v>
      </c>
      <c r="BG31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317" t="e">
        <f>IF(Table9[[#This Row],[Team]]=I_TEAM,Table9[[#This Row],[Wickets]]*100-Table9[[#This Row],[Runs]],0)</f>
        <v>#REF!</v>
      </c>
      <c r="BI317">
        <f>Table9[[#This Row],[Wickets]]*100-Table9[[#This Row],[Runs]]</f>
        <v>135</v>
      </c>
      <c r="BJ317">
        <f ca="1">IFERROR(IF(MATCH(Table9[[#This Row],[Bowler]],OFFSET(AR318,0,0,BOWLROWS-ROW(AR317)-ROW(Table9[[#Headers],[BOWLER CUML WICKETS]])),0)&gt;0,0,SUMIF($AR$6:AR317,Table9[[#This Row],[Bowler]],$AV$6:AV317)),SUMIF($AR$6:AR317,Table9[[#This Row],[Bowler]],$AV$6:AV317))</f>
        <v>0</v>
      </c>
      <c r="BK317">
        <f ca="1">IFERROR(IF(MATCH(Table9[[#This Row],[Bowler]],OFFSET(AR318,0,0,BOWLROWS-ROW(AR317)-ROW(Table9[[#Headers],[BOWLER CUML WICKETS]])),0)&gt;0,0,SUMIF($AR$6:AR317,Table9[[#This Row],[Bowler]],$AU$6:AU317)),SUMIF($AR$6:AR317,Table9[[#This Row],[Bowler]],$AU$6:AU317))</f>
        <v>0</v>
      </c>
      <c r="BL317">
        <f ca="1">Table9[[#This Row],[BOWLER CUML WICKETS]]*100-Table9[[#This Row],[BOWLER CUML RUNS]]</f>
        <v>0</v>
      </c>
    </row>
    <row r="318" spans="1:64" x14ac:dyDescent="0.3">
      <c r="A318">
        <v>14</v>
      </c>
      <c r="B318" t="s">
        <v>154</v>
      </c>
      <c r="C318" t="s">
        <v>320</v>
      </c>
      <c r="D318" t="s">
        <v>460</v>
      </c>
      <c r="E318">
        <v>1</v>
      </c>
      <c r="F318">
        <v>8</v>
      </c>
      <c r="G318">
        <v>3</v>
      </c>
      <c r="H318">
        <v>0</v>
      </c>
      <c r="I318">
        <v>0</v>
      </c>
      <c r="J318">
        <v>33.33</v>
      </c>
      <c r="K318">
        <v>4</v>
      </c>
      <c r="L318" t="str">
        <f>CONCATENATE(T_BATTINGDATA[[#This Row],[Match]],T_BATTINGDATA[[#This Row],[Team]],T_BATTINGDATA[[#This Row],[Bat Number]])</f>
        <v>14England4</v>
      </c>
      <c r="M318" t="str">
        <f>IFERROR(IF(AND(T_BATTINGDATA[[#This Row],[Team]]=I_TEAM,IFERROR(IF(MATCH(T_BATTINGDATA[[#This Row],[BATSMAN NAME]],$O$5:O317,0)&gt;0,0),1)),1,0),"")</f>
        <v/>
      </c>
      <c r="N318" t="e">
        <f>IF(T_BATTINGDATA[[#This Row],[Team]]=I_TEAM,T_BATTINGDATA[[#This Row],[R]],0)</f>
        <v>#REF!</v>
      </c>
      <c r="O318" t="str">
        <f>LEFT(T_BATTINGDATA[[#This Row],[Batsman]],IFERROR(FIND("*",T_BATTINGDATA[[#This Row],[Batsman]])-1,IFERROR(FIND("†",T_BATTINGDATA[[#This Row],[Batsman]])-1,LEN(T_BATTINGDATA[[#This Row],[Batsman]]))))</f>
        <v>JE Root</v>
      </c>
      <c r="P318">
        <f ca="1">IFERROR(IF(MATCH(T_BATTINGDATA[[#This Row],[BATSMAN NAME]],OFFSET(O319,0,0,BATROWS-ROW(O318)-ROW(T_BATTINGDATA[[#Headers],[BATSMAN NAME]])),0)&gt;0,0,SUMIF($O$6:O318,T_BATTINGDATA[[#This Row],[BATSMAN NAME]],$E$6:E318)),SUMIF($O$6:O318,T_BATTINGDATA[[#This Row],[BATSMAN NAME]],$E$6:E318))</f>
        <v>0</v>
      </c>
      <c r="AP318">
        <v>16</v>
      </c>
      <c r="AQ318" t="s">
        <v>164</v>
      </c>
      <c r="AR318" t="s">
        <v>225</v>
      </c>
      <c r="AS318">
        <v>7</v>
      </c>
      <c r="AT318">
        <v>0</v>
      </c>
      <c r="AU318">
        <v>21</v>
      </c>
      <c r="AV318">
        <v>1</v>
      </c>
      <c r="AW318">
        <v>3</v>
      </c>
      <c r="AX318">
        <v>29</v>
      </c>
      <c r="AY318">
        <v>0</v>
      </c>
      <c r="AZ318">
        <v>0</v>
      </c>
      <c r="BA318">
        <v>1</v>
      </c>
      <c r="BB318">
        <v>0</v>
      </c>
      <c r="BC318">
        <v>2</v>
      </c>
      <c r="BD318" t="str">
        <f>CONCATENATE(Table9[[#This Row],[Match Number]],Table9[[#This Row],[Team]],Table9[[#This Row],[BOWL NUM]])</f>
        <v>16UAE2</v>
      </c>
      <c r="BE318" t="str">
        <f>IFERROR(IF(AND(Table9[[#This Row],[Team]]=I_TEAM,IFERROR(IF(MATCH(Table9[[#This Row],[Bowler]],$AR$5:AR317,0)&gt;0,0),1)),1,0),"")</f>
        <v/>
      </c>
      <c r="BF318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31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318" t="e">
        <f>IF(Table9[[#This Row],[Team]]=I_TEAM,Table9[[#This Row],[Wickets]]*100-Table9[[#This Row],[Runs]],0)</f>
        <v>#REF!</v>
      </c>
      <c r="BI318">
        <f>Table9[[#This Row],[Wickets]]*100-Table9[[#This Row],[Runs]]</f>
        <v>79</v>
      </c>
      <c r="BJ318">
        <f ca="1">IFERROR(IF(MATCH(Table9[[#This Row],[Bowler]],OFFSET(AR319,0,0,BOWLROWS-ROW(AR318)-ROW(Table9[[#Headers],[BOWLER CUML WICKETS]])),0)&gt;0,0,SUMIF($AR$6:AR318,Table9[[#This Row],[Bowler]],$AV$6:AV318)),SUMIF($AR$6:AR318,Table9[[#This Row],[Bowler]],$AV$6:AV318))</f>
        <v>0</v>
      </c>
      <c r="BK318">
        <f ca="1">IFERROR(IF(MATCH(Table9[[#This Row],[Bowler]],OFFSET(AR319,0,0,BOWLROWS-ROW(AR318)-ROW(Table9[[#Headers],[BOWLER CUML WICKETS]])),0)&gt;0,0,SUMIF($AR$6:AR318,Table9[[#This Row],[Bowler]],$AU$6:AU318)),SUMIF($AR$6:AR318,Table9[[#This Row],[Bowler]],$AU$6:AU318))</f>
        <v>0</v>
      </c>
      <c r="BL318">
        <f ca="1">Table9[[#This Row],[BOWLER CUML WICKETS]]*100-Table9[[#This Row],[BOWLER CUML RUNS]]</f>
        <v>0</v>
      </c>
    </row>
    <row r="319" spans="1:64" x14ac:dyDescent="0.3">
      <c r="A319">
        <v>14</v>
      </c>
      <c r="B319" t="s">
        <v>154</v>
      </c>
      <c r="C319" t="s">
        <v>405</v>
      </c>
      <c r="D319" t="s">
        <v>545</v>
      </c>
      <c r="E319">
        <v>46</v>
      </c>
      <c r="F319">
        <v>68</v>
      </c>
      <c r="G319">
        <v>42</v>
      </c>
      <c r="H319">
        <v>4</v>
      </c>
      <c r="I319">
        <v>2</v>
      </c>
      <c r="J319">
        <v>109.52</v>
      </c>
      <c r="K319">
        <v>5</v>
      </c>
      <c r="L319" t="str">
        <f>CONCATENATE(T_BATTINGDATA[[#This Row],[Match]],T_BATTINGDATA[[#This Row],[Team]],T_BATTINGDATA[[#This Row],[Bat Number]])</f>
        <v>14England5</v>
      </c>
      <c r="M319" t="str">
        <f>IFERROR(IF(AND(T_BATTINGDATA[[#This Row],[Team]]=I_TEAM,IFERROR(IF(MATCH(T_BATTINGDATA[[#This Row],[BATSMAN NAME]],$O$5:O318,0)&gt;0,0),1)),1,0),"")</f>
        <v/>
      </c>
      <c r="N319" t="e">
        <f>IF(T_BATTINGDATA[[#This Row],[Team]]=I_TEAM,T_BATTINGDATA[[#This Row],[R]],0)</f>
        <v>#REF!</v>
      </c>
      <c r="O319" t="str">
        <f>LEFT(T_BATTINGDATA[[#This Row],[Batsman]],IFERROR(FIND("*",T_BATTINGDATA[[#This Row],[Batsman]])-1,IFERROR(FIND("†",T_BATTINGDATA[[#This Row],[Batsman]])-1,LEN(T_BATTINGDATA[[#This Row],[Batsman]]))))</f>
        <v>EJG Morgan</v>
      </c>
      <c r="P319">
        <f ca="1">IFERROR(IF(MATCH(T_BATTINGDATA[[#This Row],[BATSMAN NAME]],OFFSET(O320,0,0,BATROWS-ROW(O319)-ROW(T_BATTINGDATA[[#Headers],[BATSMAN NAME]])),0)&gt;0,0,SUMIF($O$6:O319,T_BATTINGDATA[[#This Row],[BATSMAN NAME]],$E$6:E319)),SUMIF($O$6:O319,T_BATTINGDATA[[#This Row],[BATSMAN NAME]],$E$6:E319))</f>
        <v>0</v>
      </c>
      <c r="AP319">
        <v>16</v>
      </c>
      <c r="AQ319" t="s">
        <v>164</v>
      </c>
      <c r="AR319" t="s">
        <v>228</v>
      </c>
      <c r="AS319">
        <v>10</v>
      </c>
      <c r="AT319">
        <v>0</v>
      </c>
      <c r="AU319">
        <v>60</v>
      </c>
      <c r="AV319">
        <v>3</v>
      </c>
      <c r="AW319">
        <v>6</v>
      </c>
      <c r="AX319">
        <v>32</v>
      </c>
      <c r="AY319">
        <v>6</v>
      </c>
      <c r="AZ319">
        <v>2</v>
      </c>
      <c r="BA319">
        <v>0</v>
      </c>
      <c r="BB319">
        <v>0</v>
      </c>
      <c r="BC319">
        <v>3</v>
      </c>
      <c r="BD319" t="str">
        <f>CONCATENATE(Table9[[#This Row],[Match Number]],Table9[[#This Row],[Team]],Table9[[#This Row],[BOWL NUM]])</f>
        <v>16UAE3</v>
      </c>
      <c r="BE319" t="str">
        <f>IFERROR(IF(AND(Table9[[#This Row],[Team]]=I_TEAM,IFERROR(IF(MATCH(Table9[[#This Row],[Bowler]],$AR$5:AR318,0)&gt;0,0),1)),1,0),"")</f>
        <v/>
      </c>
      <c r="BF31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1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319" t="e">
        <f>IF(Table9[[#This Row],[Team]]=I_TEAM,Table9[[#This Row],[Wickets]]*100-Table9[[#This Row],[Runs]],0)</f>
        <v>#REF!</v>
      </c>
      <c r="BI319">
        <f>Table9[[#This Row],[Wickets]]*100-Table9[[#This Row],[Runs]]</f>
        <v>240</v>
      </c>
      <c r="BJ319">
        <f ca="1">IFERROR(IF(MATCH(Table9[[#This Row],[Bowler]],OFFSET(AR320,0,0,BOWLROWS-ROW(AR319)-ROW(Table9[[#Headers],[BOWLER CUML WICKETS]])),0)&gt;0,0,SUMIF($AR$6:AR319,Table9[[#This Row],[Bowler]],$AV$6:AV319)),SUMIF($AR$6:AR319,Table9[[#This Row],[Bowler]],$AV$6:AV319))</f>
        <v>0</v>
      </c>
      <c r="BK319">
        <f ca="1">IFERROR(IF(MATCH(Table9[[#This Row],[Bowler]],OFFSET(AR320,0,0,BOWLROWS-ROW(AR319)-ROW(Table9[[#Headers],[BOWLER CUML WICKETS]])),0)&gt;0,0,SUMIF($AR$6:AR319,Table9[[#This Row],[Bowler]],$AU$6:AU319)),SUMIF($AR$6:AR319,Table9[[#This Row],[Bowler]],$AU$6:AU319))</f>
        <v>0</v>
      </c>
      <c r="BL319">
        <f ca="1">Table9[[#This Row],[BOWLER CUML WICKETS]]*100-Table9[[#This Row],[BOWLER CUML RUNS]]</f>
        <v>0</v>
      </c>
    </row>
    <row r="320" spans="1:64" x14ac:dyDescent="0.3">
      <c r="A320">
        <v>14</v>
      </c>
      <c r="B320" t="s">
        <v>154</v>
      </c>
      <c r="C320" t="s">
        <v>406</v>
      </c>
      <c r="D320" t="s">
        <v>546</v>
      </c>
      <c r="E320">
        <v>17</v>
      </c>
      <c r="F320">
        <v>38</v>
      </c>
      <c r="G320">
        <v>26</v>
      </c>
      <c r="H320">
        <v>0</v>
      </c>
      <c r="I320">
        <v>0</v>
      </c>
      <c r="J320">
        <v>65.38</v>
      </c>
      <c r="K320">
        <v>6</v>
      </c>
      <c r="L320" t="str">
        <f>CONCATENATE(T_BATTINGDATA[[#This Row],[Match]],T_BATTINGDATA[[#This Row],[Team]],T_BATTINGDATA[[#This Row],[Bat Number]])</f>
        <v>14England6</v>
      </c>
      <c r="M320" t="str">
        <f>IFERROR(IF(AND(T_BATTINGDATA[[#This Row],[Team]]=I_TEAM,IFERROR(IF(MATCH(T_BATTINGDATA[[#This Row],[BATSMAN NAME]],$O$5:O319,0)&gt;0,0),1)),1,0),"")</f>
        <v/>
      </c>
      <c r="N320" t="e">
        <f>IF(T_BATTINGDATA[[#This Row],[Team]]=I_TEAM,T_BATTINGDATA[[#This Row],[R]],0)</f>
        <v>#REF!</v>
      </c>
      <c r="O320" t="str">
        <f>LEFT(T_BATTINGDATA[[#This Row],[Batsman]],IFERROR(FIND("*",T_BATTINGDATA[[#This Row],[Batsman]])-1,IFERROR(FIND("†",T_BATTINGDATA[[#This Row],[Batsman]])-1,LEN(T_BATTINGDATA[[#This Row],[Batsman]]))))</f>
        <v>JWA Taylor</v>
      </c>
      <c r="P320">
        <f ca="1">IFERROR(IF(MATCH(T_BATTINGDATA[[#This Row],[BATSMAN NAME]],OFFSET(O321,0,0,BATROWS-ROW(O320)-ROW(T_BATTINGDATA[[#Headers],[BATSMAN NAME]])),0)&gt;0,0,SUMIF($O$6:O320,T_BATTINGDATA[[#This Row],[BATSMAN NAME]],$E$6:E320)),SUMIF($O$6:O320,T_BATTINGDATA[[#This Row],[BATSMAN NAME]],$E$6:E320))</f>
        <v>0</v>
      </c>
      <c r="AP320">
        <v>16</v>
      </c>
      <c r="AQ320" t="s">
        <v>164</v>
      </c>
      <c r="AR320" t="s">
        <v>233</v>
      </c>
      <c r="AS320">
        <v>9</v>
      </c>
      <c r="AT320">
        <v>0</v>
      </c>
      <c r="AU320">
        <v>38</v>
      </c>
      <c r="AV320">
        <v>2</v>
      </c>
      <c r="AW320">
        <v>4.22</v>
      </c>
      <c r="AX320">
        <v>31</v>
      </c>
      <c r="AY320">
        <v>3</v>
      </c>
      <c r="AZ320">
        <v>0</v>
      </c>
      <c r="BA320">
        <v>0</v>
      </c>
      <c r="BB320">
        <v>1</v>
      </c>
      <c r="BC320">
        <v>4</v>
      </c>
      <c r="BD320" t="str">
        <f>CONCATENATE(Table9[[#This Row],[Match Number]],Table9[[#This Row],[Team]],Table9[[#This Row],[BOWL NUM]])</f>
        <v>16UAE4</v>
      </c>
      <c r="BE320" t="str">
        <f>IFERROR(IF(AND(Table9[[#This Row],[Team]]=I_TEAM,IFERROR(IF(MATCH(Table9[[#This Row],[Bowler]],$AR$5:AR319,0)&gt;0,0),1)),1,0),"")</f>
        <v/>
      </c>
      <c r="BF320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2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320" t="e">
        <f>IF(Table9[[#This Row],[Team]]=I_TEAM,Table9[[#This Row],[Wickets]]*100-Table9[[#This Row],[Runs]],0)</f>
        <v>#REF!</v>
      </c>
      <c r="BI320">
        <f>Table9[[#This Row],[Wickets]]*100-Table9[[#This Row],[Runs]]</f>
        <v>162</v>
      </c>
      <c r="BJ320">
        <f ca="1">IFERROR(IF(MATCH(Table9[[#This Row],[Bowler]],OFFSET(AR321,0,0,BOWLROWS-ROW(AR320)-ROW(Table9[[#Headers],[BOWLER CUML WICKETS]])),0)&gt;0,0,SUMIF($AR$6:AR320,Table9[[#This Row],[Bowler]],$AV$6:AV320)),SUMIF($AR$6:AR320,Table9[[#This Row],[Bowler]],$AV$6:AV320))</f>
        <v>0</v>
      </c>
      <c r="BK320">
        <f ca="1">IFERROR(IF(MATCH(Table9[[#This Row],[Bowler]],OFFSET(AR321,0,0,BOWLROWS-ROW(AR320)-ROW(Table9[[#Headers],[BOWLER CUML WICKETS]])),0)&gt;0,0,SUMIF($AR$6:AR320,Table9[[#This Row],[Bowler]],$AU$6:AU320)),SUMIF($AR$6:AR320,Table9[[#This Row],[Bowler]],$AU$6:AU320))</f>
        <v>0</v>
      </c>
      <c r="BL320">
        <f ca="1">Table9[[#This Row],[BOWLER CUML WICKETS]]*100-Table9[[#This Row],[BOWLER CUML RUNS]]</f>
        <v>0</v>
      </c>
    </row>
    <row r="321" spans="1:64" x14ac:dyDescent="0.3">
      <c r="A321">
        <v>14</v>
      </c>
      <c r="B321" t="s">
        <v>154</v>
      </c>
      <c r="C321" t="s">
        <v>407</v>
      </c>
      <c r="D321" t="s">
        <v>547</v>
      </c>
      <c r="E321">
        <v>24</v>
      </c>
      <c r="F321">
        <v>19</v>
      </c>
      <c r="G321">
        <v>14</v>
      </c>
      <c r="H321">
        <v>4</v>
      </c>
      <c r="I321">
        <v>0</v>
      </c>
      <c r="J321">
        <v>171.42</v>
      </c>
      <c r="K321">
        <v>7</v>
      </c>
      <c r="L321" t="str">
        <f>CONCATENATE(T_BATTINGDATA[[#This Row],[Match]],T_BATTINGDATA[[#This Row],[Team]],T_BATTINGDATA[[#This Row],[Bat Number]])</f>
        <v>14England7</v>
      </c>
      <c r="M321" t="str">
        <f>IFERROR(IF(AND(T_BATTINGDATA[[#This Row],[Team]]=I_TEAM,IFERROR(IF(MATCH(T_BATTINGDATA[[#This Row],[BATSMAN NAME]],$O$5:O320,0)&gt;0,0),1)),1,0),"")</f>
        <v/>
      </c>
      <c r="N321" t="e">
        <f>IF(T_BATTINGDATA[[#This Row],[Team]]=I_TEAM,T_BATTINGDATA[[#This Row],[R]],0)</f>
        <v>#REF!</v>
      </c>
      <c r="O321" t="str">
        <f>LEFT(T_BATTINGDATA[[#This Row],[Batsman]],IFERROR(FIND("*",T_BATTINGDATA[[#This Row],[Batsman]])-1,IFERROR(FIND("†",T_BATTINGDATA[[#This Row],[Batsman]])-1,LEN(T_BATTINGDATA[[#This Row],[Batsman]]))))</f>
        <v>JC Buttler</v>
      </c>
      <c r="P321">
        <f ca="1">IFERROR(IF(MATCH(T_BATTINGDATA[[#This Row],[BATSMAN NAME]],OFFSET(O322,0,0,BATROWS-ROW(O321)-ROW(T_BATTINGDATA[[#Headers],[BATSMAN NAME]])),0)&gt;0,0,SUMIF($O$6:O321,T_BATTINGDATA[[#This Row],[BATSMAN NAME]],$E$6:E321)),SUMIF($O$6:O321,T_BATTINGDATA[[#This Row],[BATSMAN NAME]],$E$6:E321))</f>
        <v>0</v>
      </c>
      <c r="AP321">
        <v>16</v>
      </c>
      <c r="AQ321" t="s">
        <v>164</v>
      </c>
      <c r="AR321" t="s">
        <v>256</v>
      </c>
      <c r="AS321">
        <v>9</v>
      </c>
      <c r="AT321">
        <v>0</v>
      </c>
      <c r="AU321">
        <v>45</v>
      </c>
      <c r="AV321">
        <v>0</v>
      </c>
      <c r="AW321">
        <v>5</v>
      </c>
      <c r="AX321">
        <v>21</v>
      </c>
      <c r="AY321">
        <v>2</v>
      </c>
      <c r="AZ321">
        <v>0</v>
      </c>
      <c r="BA321">
        <v>0</v>
      </c>
      <c r="BB321">
        <v>0</v>
      </c>
      <c r="BC321">
        <v>5</v>
      </c>
      <c r="BD321" t="str">
        <f>CONCATENATE(Table9[[#This Row],[Match Number]],Table9[[#This Row],[Team]],Table9[[#This Row],[BOWL NUM]])</f>
        <v>16UAE5</v>
      </c>
      <c r="BE321" t="str">
        <f>IFERROR(IF(AND(Table9[[#This Row],[Team]]=I_TEAM,IFERROR(IF(MATCH(Table9[[#This Row],[Bowler]],$AR$5:AR320,0)&gt;0,0),1)),1,0),"")</f>
        <v/>
      </c>
      <c r="BF321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2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321" t="e">
        <f>IF(Table9[[#This Row],[Team]]=I_TEAM,Table9[[#This Row],[Wickets]]*100-Table9[[#This Row],[Runs]],0)</f>
        <v>#REF!</v>
      </c>
      <c r="BI321">
        <f>Table9[[#This Row],[Wickets]]*100-Table9[[#This Row],[Runs]]</f>
        <v>-45</v>
      </c>
      <c r="BJ321">
        <f ca="1">IFERROR(IF(MATCH(Table9[[#This Row],[Bowler]],OFFSET(AR322,0,0,BOWLROWS-ROW(AR321)-ROW(Table9[[#Headers],[BOWLER CUML WICKETS]])),0)&gt;0,0,SUMIF($AR$6:AR321,Table9[[#This Row],[Bowler]],$AV$6:AV321)),SUMIF($AR$6:AR321,Table9[[#This Row],[Bowler]],$AV$6:AV321))</f>
        <v>0</v>
      </c>
      <c r="BK321">
        <f ca="1">IFERROR(IF(MATCH(Table9[[#This Row],[Bowler]],OFFSET(AR322,0,0,BOWLROWS-ROW(AR321)-ROW(Table9[[#Headers],[BOWLER CUML WICKETS]])),0)&gt;0,0,SUMIF($AR$6:AR321,Table9[[#This Row],[Bowler]],$AU$6:AU321)),SUMIF($AR$6:AR321,Table9[[#This Row],[Bowler]],$AU$6:AU321))</f>
        <v>0</v>
      </c>
      <c r="BL321">
        <f ca="1">Table9[[#This Row],[BOWLER CUML WICKETS]]*100-Table9[[#This Row],[BOWLER CUML RUNS]]</f>
        <v>0</v>
      </c>
    </row>
    <row r="322" spans="1:64" x14ac:dyDescent="0.3">
      <c r="A322">
        <v>14</v>
      </c>
      <c r="B322" t="s">
        <v>154</v>
      </c>
      <c r="C322" t="s">
        <v>314</v>
      </c>
      <c r="D322" t="s">
        <v>545</v>
      </c>
      <c r="E322">
        <v>1</v>
      </c>
      <c r="F322">
        <v>4</v>
      </c>
      <c r="G322">
        <v>2</v>
      </c>
      <c r="H322">
        <v>0</v>
      </c>
      <c r="I322">
        <v>0</v>
      </c>
      <c r="J322">
        <v>50</v>
      </c>
      <c r="K322">
        <v>8</v>
      </c>
      <c r="L322" t="str">
        <f>CONCATENATE(T_BATTINGDATA[[#This Row],[Match]],T_BATTINGDATA[[#This Row],[Team]],T_BATTINGDATA[[#This Row],[Bat Number]])</f>
        <v>14England8</v>
      </c>
      <c r="M322" t="str">
        <f>IFERROR(IF(AND(T_BATTINGDATA[[#This Row],[Team]]=I_TEAM,IFERROR(IF(MATCH(T_BATTINGDATA[[#This Row],[BATSMAN NAME]],$O$5:O321,0)&gt;0,0),1)),1,0),"")</f>
        <v/>
      </c>
      <c r="N322" t="e">
        <f>IF(T_BATTINGDATA[[#This Row],[Team]]=I_TEAM,T_BATTINGDATA[[#This Row],[R]],0)</f>
        <v>#REF!</v>
      </c>
      <c r="O322" t="str">
        <f>LEFT(T_BATTINGDATA[[#This Row],[Batsman]],IFERROR(FIND("*",T_BATTINGDATA[[#This Row],[Batsman]])-1,IFERROR(FIND("†",T_BATTINGDATA[[#This Row],[Batsman]])-1,LEN(T_BATTINGDATA[[#This Row],[Batsman]]))))</f>
        <v>CR Woakes</v>
      </c>
      <c r="P322">
        <f ca="1">IFERROR(IF(MATCH(T_BATTINGDATA[[#This Row],[BATSMAN NAME]],OFFSET(O323,0,0,BATROWS-ROW(O322)-ROW(T_BATTINGDATA[[#Headers],[BATSMAN NAME]])),0)&gt;0,0,SUMIF($O$6:O322,T_BATTINGDATA[[#This Row],[BATSMAN NAME]],$E$6:E322)),SUMIF($O$6:O322,T_BATTINGDATA[[#This Row],[BATSMAN NAME]],$E$6:E322))</f>
        <v>0</v>
      </c>
      <c r="AP322">
        <v>16</v>
      </c>
      <c r="AQ322" t="s">
        <v>164</v>
      </c>
      <c r="AR322" t="s">
        <v>230</v>
      </c>
      <c r="AS322">
        <v>5</v>
      </c>
      <c r="AT322">
        <v>0</v>
      </c>
      <c r="AU322">
        <v>43</v>
      </c>
      <c r="AV322">
        <v>0</v>
      </c>
      <c r="AW322">
        <v>8.6</v>
      </c>
      <c r="AX322">
        <v>7</v>
      </c>
      <c r="AY322">
        <v>5</v>
      </c>
      <c r="AZ322">
        <v>0</v>
      </c>
      <c r="BA322">
        <v>1</v>
      </c>
      <c r="BB322">
        <v>0</v>
      </c>
      <c r="BC322">
        <v>6</v>
      </c>
      <c r="BD322" t="str">
        <f>CONCATENATE(Table9[[#This Row],[Match Number]],Table9[[#This Row],[Team]],Table9[[#This Row],[BOWL NUM]])</f>
        <v>16UAE6</v>
      </c>
      <c r="BE322" t="str">
        <f>IFERROR(IF(AND(Table9[[#This Row],[Team]]=I_TEAM,IFERROR(IF(MATCH(Table9[[#This Row],[Bowler]],$AR$5:AR321,0)&gt;0,0),1)),1,0),"")</f>
        <v/>
      </c>
      <c r="BF322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32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322" t="e">
        <f>IF(Table9[[#This Row],[Team]]=I_TEAM,Table9[[#This Row],[Wickets]]*100-Table9[[#This Row],[Runs]],0)</f>
        <v>#REF!</v>
      </c>
      <c r="BI322">
        <f>Table9[[#This Row],[Wickets]]*100-Table9[[#This Row],[Runs]]</f>
        <v>-43</v>
      </c>
      <c r="BJ322">
        <f ca="1">IFERROR(IF(MATCH(Table9[[#This Row],[Bowler]],OFFSET(AR323,0,0,BOWLROWS-ROW(AR322)-ROW(Table9[[#Headers],[BOWLER CUML WICKETS]])),0)&gt;0,0,SUMIF($AR$6:AR333,Table9[[#This Row],[Bowler]],$AV$6:AV333)),SUMIF($AR$6:AR333,Table9[[#This Row],[Bowler]],$AV$6:AV333))</f>
        <v>0</v>
      </c>
      <c r="BK322">
        <f ca="1">IFERROR(IF(MATCH(Table9[[#This Row],[Bowler]],OFFSET(AR323,0,0,BOWLROWS-ROW(AR322)-ROW(Table9[[#Headers],[BOWLER CUML WICKETS]])),0)&gt;0,0,SUMIF($AR$6:AR333,Table9[[#This Row],[Bowler]],$AU$6:AU333)),SUMIF($AR$6:AR333,Table9[[#This Row],[Bowler]],$AU$6:AU333))</f>
        <v>0</v>
      </c>
      <c r="BL322">
        <f ca="1">Table9[[#This Row],[BOWLER CUML WICKETS]]*100-Table9[[#This Row],[BOWLER CUML RUNS]]</f>
        <v>0</v>
      </c>
    </row>
    <row r="323" spans="1:64" x14ac:dyDescent="0.3">
      <c r="A323">
        <v>14</v>
      </c>
      <c r="B323" t="s">
        <v>154</v>
      </c>
      <c r="C323" t="s">
        <v>312</v>
      </c>
      <c r="D323" t="s">
        <v>167</v>
      </c>
      <c r="E323">
        <v>0</v>
      </c>
      <c r="F323">
        <v>5</v>
      </c>
      <c r="G323">
        <v>3</v>
      </c>
      <c r="H323">
        <v>0</v>
      </c>
      <c r="I323">
        <v>0</v>
      </c>
      <c r="J323">
        <v>0</v>
      </c>
      <c r="K323">
        <v>9</v>
      </c>
      <c r="L323" t="str">
        <f>CONCATENATE(T_BATTINGDATA[[#This Row],[Match]],T_BATTINGDATA[[#This Row],[Team]],T_BATTINGDATA[[#This Row],[Bat Number]])</f>
        <v>14England9</v>
      </c>
      <c r="M323" t="str">
        <f>IFERROR(IF(AND(T_BATTINGDATA[[#This Row],[Team]]=I_TEAM,IFERROR(IF(MATCH(T_BATTINGDATA[[#This Row],[BATSMAN NAME]],$O$5:O322,0)&gt;0,0),1)),1,0),"")</f>
        <v/>
      </c>
      <c r="N323" t="e">
        <f>IF(T_BATTINGDATA[[#This Row],[Team]]=I_TEAM,T_BATTINGDATA[[#This Row],[R]],0)</f>
        <v>#REF!</v>
      </c>
      <c r="O323" t="str">
        <f>LEFT(T_BATTINGDATA[[#This Row],[Batsman]],IFERROR(FIND("*",T_BATTINGDATA[[#This Row],[Batsman]])-1,IFERROR(FIND("†",T_BATTINGDATA[[#This Row],[Batsman]])-1,LEN(T_BATTINGDATA[[#This Row],[Batsman]]))))</f>
        <v>SCJ Broad</v>
      </c>
      <c r="P323">
        <f ca="1">IFERROR(IF(MATCH(T_BATTINGDATA[[#This Row],[BATSMAN NAME]],OFFSET(O324,0,0,BATROWS-ROW(O323)-ROW(T_BATTINGDATA[[#Headers],[BATSMAN NAME]])),0)&gt;0,0,SUMIF($O$6:O323,T_BATTINGDATA[[#This Row],[BATSMAN NAME]],$E$6:E323)),SUMIF($O$6:O323,T_BATTINGDATA[[#This Row],[BATSMAN NAME]],$E$6:E323))</f>
        <v>0</v>
      </c>
      <c r="AP323">
        <v>17</v>
      </c>
      <c r="AQ323" t="s">
        <v>185</v>
      </c>
      <c r="AR323" t="s">
        <v>390</v>
      </c>
      <c r="AS323">
        <v>10</v>
      </c>
      <c r="AT323">
        <v>1</v>
      </c>
      <c r="AU323">
        <v>38</v>
      </c>
      <c r="AV323">
        <v>4</v>
      </c>
      <c r="AW323">
        <v>3.8</v>
      </c>
      <c r="AX323">
        <v>41</v>
      </c>
      <c r="AY323">
        <v>4</v>
      </c>
      <c r="AZ323">
        <v>0</v>
      </c>
      <c r="BA323">
        <v>2</v>
      </c>
      <c r="BB323">
        <v>1</v>
      </c>
      <c r="BC323">
        <v>1</v>
      </c>
      <c r="BD323" t="str">
        <f>CONCATENATE(Table9[[#This Row],[Match Number]],Table9[[#This Row],[Team]],Table9[[#This Row],[BOWL NUM]])</f>
        <v>17Afghanistan1</v>
      </c>
      <c r="BE323" t="str">
        <f>IFERROR(IF(AND(Table9[[#This Row],[Team]]=I_TEAM,IFERROR(IF(MATCH(Table9[[#This Row],[Bowler]],$AR$5:AR322,0)&gt;0,0),1)),1,0),"")</f>
        <v/>
      </c>
      <c r="BF32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2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323" t="e">
        <f>IF(Table9[[#This Row],[Team]]=I_TEAM,Table9[[#This Row],[Wickets]]*100-Table9[[#This Row],[Runs]],0)</f>
        <v>#REF!</v>
      </c>
      <c r="BI323">
        <f>Table9[[#This Row],[Wickets]]*100-Table9[[#This Row],[Runs]]</f>
        <v>362</v>
      </c>
      <c r="BJ323">
        <f ca="1">IFERROR(IF(MATCH(Table9[[#This Row],[Bowler]],OFFSET(AR324,0,0,BOWLROWS-ROW(AR323)-ROW(Table9[[#Headers],[BOWLER CUML WICKETS]])),0)&gt;0,0,SUMIF($AR$6:AR323,Table9[[#This Row],[Bowler]],$AV$6:AV323)),SUMIF($AR$6:AR323,Table9[[#This Row],[Bowler]],$AV$6:AV323))</f>
        <v>0</v>
      </c>
      <c r="BK323">
        <f ca="1">IFERROR(IF(MATCH(Table9[[#This Row],[Bowler]],OFFSET(AR324,0,0,BOWLROWS-ROW(AR323)-ROW(Table9[[#Headers],[BOWLER CUML WICKETS]])),0)&gt;0,0,SUMIF($AR$6:AR323,Table9[[#This Row],[Bowler]],$AU$6:AU323)),SUMIF($AR$6:AR323,Table9[[#This Row],[Bowler]],$AU$6:AU323))</f>
        <v>0</v>
      </c>
      <c r="BL323">
        <f ca="1">Table9[[#This Row],[BOWLER CUML WICKETS]]*100-Table9[[#This Row],[BOWLER CUML RUNS]]</f>
        <v>0</v>
      </c>
    </row>
    <row r="324" spans="1:64" x14ac:dyDescent="0.3">
      <c r="A324">
        <v>14</v>
      </c>
      <c r="B324" t="s">
        <v>154</v>
      </c>
      <c r="C324" t="s">
        <v>316</v>
      </c>
      <c r="D324" t="s">
        <v>167</v>
      </c>
      <c r="E324">
        <v>1</v>
      </c>
      <c r="F324">
        <v>3</v>
      </c>
      <c r="G324">
        <v>1</v>
      </c>
      <c r="H324">
        <v>0</v>
      </c>
      <c r="I324">
        <v>0</v>
      </c>
      <c r="J324">
        <v>100</v>
      </c>
      <c r="K324">
        <v>10</v>
      </c>
      <c r="L324" t="str">
        <f>CONCATENATE(T_BATTINGDATA[[#This Row],[Match]],T_BATTINGDATA[[#This Row],[Team]],T_BATTINGDATA[[#This Row],[Bat Number]])</f>
        <v>14England10</v>
      </c>
      <c r="M324" t="str">
        <f>IFERROR(IF(AND(T_BATTINGDATA[[#This Row],[Team]]=I_TEAM,IFERROR(IF(MATCH(T_BATTINGDATA[[#This Row],[BATSMAN NAME]],$O$5:O323,0)&gt;0,0),1)),1,0),"")</f>
        <v/>
      </c>
      <c r="N324" t="e">
        <f>IF(T_BATTINGDATA[[#This Row],[Team]]=I_TEAM,T_BATTINGDATA[[#This Row],[R]],0)</f>
        <v>#REF!</v>
      </c>
      <c r="O324" t="str">
        <f>LEFT(T_BATTINGDATA[[#This Row],[Batsman]],IFERROR(FIND("*",T_BATTINGDATA[[#This Row],[Batsman]])-1,IFERROR(FIND("†",T_BATTINGDATA[[#This Row],[Batsman]])-1,LEN(T_BATTINGDATA[[#This Row],[Batsman]]))))</f>
        <v>ST Finn</v>
      </c>
      <c r="P324">
        <f ca="1">IFERROR(IF(MATCH(T_BATTINGDATA[[#This Row],[BATSMAN NAME]],OFFSET(O325,0,0,BATROWS-ROW(O324)-ROW(T_BATTINGDATA[[#Headers],[BATSMAN NAME]])),0)&gt;0,0,SUMIF($O$6:O324,T_BATTINGDATA[[#This Row],[BATSMAN NAME]],$E$6:E324)),SUMIF($O$6:O324,T_BATTINGDATA[[#This Row],[BATSMAN NAME]],$E$6:E324))</f>
        <v>2</v>
      </c>
      <c r="AP324">
        <v>17</v>
      </c>
      <c r="AQ324" t="s">
        <v>185</v>
      </c>
      <c r="AR324" t="s">
        <v>451</v>
      </c>
      <c r="AS324">
        <v>10</v>
      </c>
      <c r="AT324">
        <v>1</v>
      </c>
      <c r="AU324">
        <v>29</v>
      </c>
      <c r="AV324">
        <v>3</v>
      </c>
      <c r="AW324">
        <v>2.9</v>
      </c>
      <c r="AX324">
        <v>48</v>
      </c>
      <c r="AY324">
        <v>4</v>
      </c>
      <c r="AZ324">
        <v>0</v>
      </c>
      <c r="BA324">
        <v>2</v>
      </c>
      <c r="BB324">
        <v>0</v>
      </c>
      <c r="BC324">
        <v>2</v>
      </c>
      <c r="BD324" t="str">
        <f>CONCATENATE(Table9[[#This Row],[Match Number]],Table9[[#This Row],[Team]],Table9[[#This Row],[BOWL NUM]])</f>
        <v>17Afghanistan2</v>
      </c>
      <c r="BE324" t="str">
        <f>IFERROR(IF(AND(Table9[[#This Row],[Team]]=I_TEAM,IFERROR(IF(MATCH(Table9[[#This Row],[Bowler]],$AR$5:AR323,0)&gt;0,0),1)),1,0),"")</f>
        <v/>
      </c>
      <c r="BF32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2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324" t="e">
        <f>IF(Table9[[#This Row],[Team]]=I_TEAM,Table9[[#This Row],[Wickets]]*100-Table9[[#This Row],[Runs]],0)</f>
        <v>#REF!</v>
      </c>
      <c r="BI324">
        <f>Table9[[#This Row],[Wickets]]*100-Table9[[#This Row],[Runs]]</f>
        <v>271</v>
      </c>
      <c r="BJ324">
        <f ca="1">IFERROR(IF(MATCH(Table9[[#This Row],[Bowler]],OFFSET(AR325,0,0,BOWLROWS-ROW(AR324)-ROW(Table9[[#Headers],[BOWLER CUML WICKETS]])),0)&gt;0,0,SUMIF($AR$6:AR324,Table9[[#This Row],[Bowler]],$AV$6:AV324)),SUMIF($AR$6:AR324,Table9[[#This Row],[Bowler]],$AV$6:AV324))</f>
        <v>0</v>
      </c>
      <c r="BK324">
        <f ca="1">IFERROR(IF(MATCH(Table9[[#This Row],[Bowler]],OFFSET(AR325,0,0,BOWLROWS-ROW(AR324)-ROW(Table9[[#Headers],[BOWLER CUML WICKETS]])),0)&gt;0,0,SUMIF($AR$6:AR324,Table9[[#This Row],[Bowler]],$AU$6:AU324)),SUMIF($AR$6:AR324,Table9[[#This Row],[Bowler]],$AU$6:AU324))</f>
        <v>0</v>
      </c>
      <c r="BL324">
        <f ca="1">Table9[[#This Row],[BOWLER CUML WICKETS]]*100-Table9[[#This Row],[BOWLER CUML RUNS]]</f>
        <v>0</v>
      </c>
    </row>
    <row r="325" spans="1:64" x14ac:dyDescent="0.3">
      <c r="A325">
        <v>14</v>
      </c>
      <c r="B325" t="s">
        <v>176</v>
      </c>
      <c r="C325" t="s">
        <v>442</v>
      </c>
      <c r="D325" t="s">
        <v>548</v>
      </c>
      <c r="E325">
        <v>71</v>
      </c>
      <c r="F325">
        <v>110</v>
      </c>
      <c r="G325">
        <v>84</v>
      </c>
      <c r="H325">
        <v>11</v>
      </c>
      <c r="I325">
        <v>0</v>
      </c>
      <c r="J325">
        <v>84.52</v>
      </c>
      <c r="K325">
        <v>1</v>
      </c>
      <c r="L325" t="str">
        <f>CONCATENATE(T_BATTINGDATA[[#This Row],[Match]],T_BATTINGDATA[[#This Row],[Team]],T_BATTINGDATA[[#This Row],[Bat Number]])</f>
        <v>14Scotland1</v>
      </c>
      <c r="M325" t="str">
        <f>IFERROR(IF(AND(T_BATTINGDATA[[#This Row],[Team]]=I_TEAM,IFERROR(IF(MATCH(T_BATTINGDATA[[#This Row],[BATSMAN NAME]],$O$5:O324,0)&gt;0,0),1)),1,0),"")</f>
        <v/>
      </c>
      <c r="N325" t="e">
        <f>IF(T_BATTINGDATA[[#This Row],[Team]]=I_TEAM,T_BATTINGDATA[[#This Row],[R]],0)</f>
        <v>#REF!</v>
      </c>
      <c r="O325" t="str">
        <f>LEFT(T_BATTINGDATA[[#This Row],[Batsman]],IFERROR(FIND("*",T_BATTINGDATA[[#This Row],[Batsman]])-1,IFERROR(FIND("†",T_BATTINGDATA[[#This Row],[Batsman]])-1,LEN(T_BATTINGDATA[[#This Row],[Batsman]]))))</f>
        <v>KJ Coetzer</v>
      </c>
      <c r="P325">
        <f ca="1">IFERROR(IF(MATCH(T_BATTINGDATA[[#This Row],[BATSMAN NAME]],OFFSET(O326,0,0,BATROWS-ROW(O325)-ROW(T_BATTINGDATA[[#Headers],[BATSMAN NAME]])),0)&gt;0,0,SUMIF($O$6:O325,T_BATTINGDATA[[#This Row],[BATSMAN NAME]],$E$6:E325)),SUMIF($O$6:O325,T_BATTINGDATA[[#This Row],[BATSMAN NAME]],$E$6:E325))</f>
        <v>0</v>
      </c>
      <c r="AP325">
        <v>17</v>
      </c>
      <c r="AQ325" t="s">
        <v>185</v>
      </c>
      <c r="AR325" t="s">
        <v>389</v>
      </c>
      <c r="AS325">
        <v>10</v>
      </c>
      <c r="AT325">
        <v>1</v>
      </c>
      <c r="AU325">
        <v>32</v>
      </c>
      <c r="AV325">
        <v>1</v>
      </c>
      <c r="AW325">
        <v>3.2</v>
      </c>
      <c r="AX325">
        <v>45</v>
      </c>
      <c r="AY325">
        <v>5</v>
      </c>
      <c r="AZ325">
        <v>0</v>
      </c>
      <c r="BA325">
        <v>0</v>
      </c>
      <c r="BB325">
        <v>0</v>
      </c>
      <c r="BC325">
        <v>3</v>
      </c>
      <c r="BD325" t="str">
        <f>CONCATENATE(Table9[[#This Row],[Match Number]],Table9[[#This Row],[Team]],Table9[[#This Row],[BOWL NUM]])</f>
        <v>17Afghanistan3</v>
      </c>
      <c r="BE325" t="str">
        <f>IFERROR(IF(AND(Table9[[#This Row],[Team]]=I_TEAM,IFERROR(IF(MATCH(Table9[[#This Row],[Bowler]],$AR$5:AR324,0)&gt;0,0),1)),1,0),"")</f>
        <v/>
      </c>
      <c r="BF32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2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325" t="e">
        <f>IF(Table9[[#This Row],[Team]]=I_TEAM,Table9[[#This Row],[Wickets]]*100-Table9[[#This Row],[Runs]],0)</f>
        <v>#REF!</v>
      </c>
      <c r="BI325">
        <f>Table9[[#This Row],[Wickets]]*100-Table9[[#This Row],[Runs]]</f>
        <v>68</v>
      </c>
      <c r="BJ325">
        <f ca="1">IFERROR(IF(MATCH(Table9[[#This Row],[Bowler]],OFFSET(AR326,0,0,BOWLROWS-ROW(AR325)-ROW(Table9[[#Headers],[BOWLER CUML WICKETS]])),0)&gt;0,0,SUMIF($AR$6:AR325,Table9[[#This Row],[Bowler]],$AV$6:AV325)),SUMIF($AR$6:AR325,Table9[[#This Row],[Bowler]],$AV$6:AV325))</f>
        <v>0</v>
      </c>
      <c r="BK325">
        <f ca="1">IFERROR(IF(MATCH(Table9[[#This Row],[Bowler]],OFFSET(AR326,0,0,BOWLROWS-ROW(AR325)-ROW(Table9[[#Headers],[BOWLER CUML WICKETS]])),0)&gt;0,0,SUMIF($AR$6:AR325,Table9[[#This Row],[Bowler]],$AU$6:AU325)),SUMIF($AR$6:AR325,Table9[[#This Row],[Bowler]],$AU$6:AU325))</f>
        <v>0</v>
      </c>
      <c r="BL325">
        <f ca="1">Table9[[#This Row],[BOWLER CUML WICKETS]]*100-Table9[[#This Row],[BOWLER CUML RUNS]]</f>
        <v>0</v>
      </c>
    </row>
    <row r="326" spans="1:64" x14ac:dyDescent="0.3">
      <c r="A326">
        <v>14</v>
      </c>
      <c r="B326" t="s">
        <v>176</v>
      </c>
      <c r="C326" t="s">
        <v>444</v>
      </c>
      <c r="D326" t="s">
        <v>549</v>
      </c>
      <c r="E326">
        <v>4</v>
      </c>
      <c r="F326">
        <v>11</v>
      </c>
      <c r="G326">
        <v>6</v>
      </c>
      <c r="H326">
        <v>1</v>
      </c>
      <c r="I326">
        <v>0</v>
      </c>
      <c r="J326">
        <v>66.66</v>
      </c>
      <c r="K326">
        <v>2</v>
      </c>
      <c r="L326" t="str">
        <f>CONCATENATE(T_BATTINGDATA[[#This Row],[Match]],T_BATTINGDATA[[#This Row],[Team]],T_BATTINGDATA[[#This Row],[Bat Number]])</f>
        <v>14Scotland2</v>
      </c>
      <c r="M326" t="str">
        <f>IFERROR(IF(AND(T_BATTINGDATA[[#This Row],[Team]]=I_TEAM,IFERROR(IF(MATCH(T_BATTINGDATA[[#This Row],[BATSMAN NAME]],$O$5:O325,0)&gt;0,0),1)),1,0),"")</f>
        <v/>
      </c>
      <c r="N326" t="e">
        <f>IF(T_BATTINGDATA[[#This Row],[Team]]=I_TEAM,T_BATTINGDATA[[#This Row],[R]],0)</f>
        <v>#REF!</v>
      </c>
      <c r="O326" t="str">
        <f>LEFT(T_BATTINGDATA[[#This Row],[Batsman]],IFERROR(FIND("*",T_BATTINGDATA[[#This Row],[Batsman]])-1,IFERROR(FIND("†",T_BATTINGDATA[[#This Row],[Batsman]])-1,LEN(T_BATTINGDATA[[#This Row],[Batsman]]))))</f>
        <v>CS MacLeod</v>
      </c>
      <c r="P326">
        <f ca="1">IFERROR(IF(MATCH(T_BATTINGDATA[[#This Row],[BATSMAN NAME]],OFFSET(O327,0,0,BATROWS-ROW(O326)-ROW(T_BATTINGDATA[[#Headers],[BATSMAN NAME]])),0)&gt;0,0,SUMIF($O$6:O326,T_BATTINGDATA[[#This Row],[BATSMAN NAME]],$E$6:E326)),SUMIF($O$6:O326,T_BATTINGDATA[[#This Row],[BATSMAN NAME]],$E$6:E326))</f>
        <v>0</v>
      </c>
      <c r="AP326">
        <v>17</v>
      </c>
      <c r="AQ326" t="s">
        <v>185</v>
      </c>
      <c r="AR326" t="s">
        <v>550</v>
      </c>
      <c r="AS326">
        <v>9</v>
      </c>
      <c r="AT326">
        <v>0</v>
      </c>
      <c r="AU326">
        <v>53</v>
      </c>
      <c r="AV326">
        <v>1</v>
      </c>
      <c r="AW326">
        <v>5.88</v>
      </c>
      <c r="AX326">
        <v>31</v>
      </c>
      <c r="AY326">
        <v>8</v>
      </c>
      <c r="AZ326">
        <v>0</v>
      </c>
      <c r="BA326">
        <v>2</v>
      </c>
      <c r="BB326">
        <v>0</v>
      </c>
      <c r="BC326">
        <v>4</v>
      </c>
      <c r="BD326" t="str">
        <f>CONCATENATE(Table9[[#This Row],[Match Number]],Table9[[#This Row],[Team]],Table9[[#This Row],[BOWL NUM]])</f>
        <v>17Afghanistan4</v>
      </c>
      <c r="BE326" t="str">
        <f>IFERROR(IF(AND(Table9[[#This Row],[Team]]=I_TEAM,IFERROR(IF(MATCH(Table9[[#This Row],[Bowler]],$AR$5:AR325,0)&gt;0,0),1)),1,0),"")</f>
        <v/>
      </c>
      <c r="BF326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2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326" t="e">
        <f>IF(Table9[[#This Row],[Team]]=I_TEAM,Table9[[#This Row],[Wickets]]*100-Table9[[#This Row],[Runs]],0)</f>
        <v>#REF!</v>
      </c>
      <c r="BI326">
        <f>Table9[[#This Row],[Wickets]]*100-Table9[[#This Row],[Runs]]</f>
        <v>47</v>
      </c>
      <c r="BJ326">
        <f ca="1">IFERROR(IF(MATCH(Table9[[#This Row],[Bowler]],OFFSET(AR327,0,0,BOWLROWS-ROW(AR326)-ROW(Table9[[#Headers],[BOWLER CUML WICKETS]])),0)&gt;0,0,SUMIF($AR$6:AR326,Table9[[#This Row],[Bowler]],$AV$6:AV326)),SUMIF($AR$6:AR326,Table9[[#This Row],[Bowler]],$AV$6:AV326))</f>
        <v>1</v>
      </c>
      <c r="BK326">
        <f ca="1">IFERROR(IF(MATCH(Table9[[#This Row],[Bowler]],OFFSET(AR327,0,0,BOWLROWS-ROW(AR326)-ROW(Table9[[#Headers],[BOWLER CUML WICKETS]])),0)&gt;0,0,SUMIF($AR$6:AR326,Table9[[#This Row],[Bowler]],$AU$6:AU326)),SUMIF($AR$6:AR326,Table9[[#This Row],[Bowler]],$AU$6:AU326))</f>
        <v>53</v>
      </c>
      <c r="BL326">
        <f ca="1">Table9[[#This Row],[BOWLER CUML WICKETS]]*100-Table9[[#This Row],[BOWLER CUML RUNS]]</f>
        <v>47</v>
      </c>
    </row>
    <row r="327" spans="1:64" x14ac:dyDescent="0.3">
      <c r="A327">
        <v>14</v>
      </c>
      <c r="B327" t="s">
        <v>176</v>
      </c>
      <c r="C327" t="s">
        <v>551</v>
      </c>
      <c r="D327" t="s">
        <v>552</v>
      </c>
      <c r="E327">
        <v>7</v>
      </c>
      <c r="F327">
        <v>30</v>
      </c>
      <c r="G327">
        <v>16</v>
      </c>
      <c r="H327">
        <v>0</v>
      </c>
      <c r="I327">
        <v>0</v>
      </c>
      <c r="J327">
        <v>43.75</v>
      </c>
      <c r="K327">
        <v>3</v>
      </c>
      <c r="L327" t="str">
        <f>CONCATENATE(T_BATTINGDATA[[#This Row],[Match]],T_BATTINGDATA[[#This Row],[Team]],T_BATTINGDATA[[#This Row],[Bat Number]])</f>
        <v>14Scotland3</v>
      </c>
      <c r="M327" t="str">
        <f>IFERROR(IF(AND(T_BATTINGDATA[[#This Row],[Team]]=I_TEAM,IFERROR(IF(MATCH(T_BATTINGDATA[[#This Row],[BATSMAN NAME]],$O$5:O326,0)&gt;0,0),1)),1,0),"")</f>
        <v/>
      </c>
      <c r="N327" t="e">
        <f>IF(T_BATTINGDATA[[#This Row],[Team]]=I_TEAM,T_BATTINGDATA[[#This Row],[R]],0)</f>
        <v>#REF!</v>
      </c>
      <c r="O327" t="str">
        <f>LEFT(T_BATTINGDATA[[#This Row],[Batsman]],IFERROR(FIND("*",T_BATTINGDATA[[#This Row],[Batsman]])-1,IFERROR(FIND("†",T_BATTINGDATA[[#This Row],[Batsman]])-1,LEN(T_BATTINGDATA[[#This Row],[Batsman]]))))</f>
        <v>FRJ Coleman</v>
      </c>
      <c r="P327">
        <f ca="1">IFERROR(IF(MATCH(T_BATTINGDATA[[#This Row],[BATSMAN NAME]],OFFSET(O328,0,0,BATROWS-ROW(O327)-ROW(T_BATTINGDATA[[#Headers],[BATSMAN NAME]])),0)&gt;0,0,SUMIF($O$6:O327,T_BATTINGDATA[[#This Row],[BATSMAN NAME]],$E$6:E327)),SUMIF($O$6:O327,T_BATTINGDATA[[#This Row],[BATSMAN NAME]],$E$6:E327))</f>
        <v>0</v>
      </c>
      <c r="AP327">
        <v>17</v>
      </c>
      <c r="AQ327" t="s">
        <v>185</v>
      </c>
      <c r="AR327" t="s">
        <v>396</v>
      </c>
      <c r="AS327">
        <v>10</v>
      </c>
      <c r="AT327">
        <v>0</v>
      </c>
      <c r="AU327">
        <v>38</v>
      </c>
      <c r="AV327">
        <v>1</v>
      </c>
      <c r="AW327">
        <v>3.8</v>
      </c>
      <c r="AX327">
        <v>34</v>
      </c>
      <c r="AY327">
        <v>1</v>
      </c>
      <c r="AZ327">
        <v>0</v>
      </c>
      <c r="BA327">
        <v>2</v>
      </c>
      <c r="BB327">
        <v>0</v>
      </c>
      <c r="BC327">
        <v>5</v>
      </c>
      <c r="BD327" t="str">
        <f>CONCATENATE(Table9[[#This Row],[Match Number]],Table9[[#This Row],[Team]],Table9[[#This Row],[BOWL NUM]])</f>
        <v>17Afghanistan5</v>
      </c>
      <c r="BE327" t="str">
        <f>IFERROR(IF(AND(Table9[[#This Row],[Team]]=I_TEAM,IFERROR(IF(MATCH(Table9[[#This Row],[Bowler]],$AR$5:AR326,0)&gt;0,0),1)),1,0),"")</f>
        <v/>
      </c>
      <c r="BF32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2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327" t="e">
        <f>IF(Table9[[#This Row],[Team]]=I_TEAM,Table9[[#This Row],[Wickets]]*100-Table9[[#This Row],[Runs]],0)</f>
        <v>#REF!</v>
      </c>
      <c r="BI327">
        <f>Table9[[#This Row],[Wickets]]*100-Table9[[#This Row],[Runs]]</f>
        <v>62</v>
      </c>
      <c r="BJ327">
        <f ca="1">IFERROR(IF(MATCH(Table9[[#This Row],[Bowler]],OFFSET(AR328,0,0,BOWLROWS-ROW(AR327)-ROW(Table9[[#Headers],[BOWLER CUML WICKETS]])),0)&gt;0,0,SUMIF($AR$6:AR327,Table9[[#This Row],[Bowler]],$AV$6:AV327)),SUMIF($AR$6:AR327,Table9[[#This Row],[Bowler]],$AV$6:AV327))</f>
        <v>0</v>
      </c>
      <c r="BK327">
        <f ca="1">IFERROR(IF(MATCH(Table9[[#This Row],[Bowler]],OFFSET(AR328,0,0,BOWLROWS-ROW(AR327)-ROW(Table9[[#Headers],[BOWLER CUML WICKETS]])),0)&gt;0,0,SUMIF($AR$6:AR327,Table9[[#This Row],[Bowler]],$AU$6:AU327)),SUMIF($AR$6:AR327,Table9[[#This Row],[Bowler]],$AU$6:AU327))</f>
        <v>0</v>
      </c>
      <c r="BL327">
        <f ca="1">Table9[[#This Row],[BOWLER CUML WICKETS]]*100-Table9[[#This Row],[BOWLER CUML RUNS]]</f>
        <v>0</v>
      </c>
    </row>
    <row r="328" spans="1:64" x14ac:dyDescent="0.3">
      <c r="A328">
        <v>14</v>
      </c>
      <c r="B328" t="s">
        <v>176</v>
      </c>
      <c r="C328" t="s">
        <v>447</v>
      </c>
      <c r="D328" t="s">
        <v>553</v>
      </c>
      <c r="E328">
        <v>5</v>
      </c>
      <c r="F328">
        <v>7</v>
      </c>
      <c r="G328">
        <v>7</v>
      </c>
      <c r="H328">
        <v>1</v>
      </c>
      <c r="I328">
        <v>0</v>
      </c>
      <c r="J328">
        <v>71.42</v>
      </c>
      <c r="K328">
        <v>4</v>
      </c>
      <c r="L328" t="str">
        <f>CONCATENATE(T_BATTINGDATA[[#This Row],[Match]],T_BATTINGDATA[[#This Row],[Team]],T_BATTINGDATA[[#This Row],[Bat Number]])</f>
        <v>14Scotland4</v>
      </c>
      <c r="M328" t="str">
        <f>IFERROR(IF(AND(T_BATTINGDATA[[#This Row],[Team]]=I_TEAM,IFERROR(IF(MATCH(T_BATTINGDATA[[#This Row],[BATSMAN NAME]],$O$5:O327,0)&gt;0,0),1)),1,0),"")</f>
        <v/>
      </c>
      <c r="N328" t="e">
        <f>IF(T_BATTINGDATA[[#This Row],[Team]]=I_TEAM,T_BATTINGDATA[[#This Row],[R]],0)</f>
        <v>#REF!</v>
      </c>
      <c r="O328" t="str">
        <f>LEFT(T_BATTINGDATA[[#This Row],[Batsman]],IFERROR(FIND("*",T_BATTINGDATA[[#This Row],[Batsman]])-1,IFERROR(FIND("†",T_BATTINGDATA[[#This Row],[Batsman]])-1,LEN(T_BATTINGDATA[[#This Row],[Batsman]]))))</f>
        <v>MW Machan</v>
      </c>
      <c r="P328">
        <f ca="1">IFERROR(IF(MATCH(T_BATTINGDATA[[#This Row],[BATSMAN NAME]],OFFSET(O329,0,0,BATROWS-ROW(O328)-ROW(T_BATTINGDATA[[#Headers],[BATSMAN NAME]])),0)&gt;0,0,SUMIF($O$6:O328,T_BATTINGDATA[[#This Row],[BATSMAN NAME]],$E$6:E328)),SUMIF($O$6:O328,T_BATTINGDATA[[#This Row],[BATSMAN NAME]],$E$6:E328))</f>
        <v>0</v>
      </c>
      <c r="AP328">
        <v>17</v>
      </c>
      <c r="AQ328" t="s">
        <v>185</v>
      </c>
      <c r="AR328" t="s">
        <v>398</v>
      </c>
      <c r="AS328">
        <v>1</v>
      </c>
      <c r="AT328">
        <v>0</v>
      </c>
      <c r="AU328">
        <v>8</v>
      </c>
      <c r="AV328">
        <v>0</v>
      </c>
      <c r="AW328">
        <v>8</v>
      </c>
      <c r="AX328">
        <v>2</v>
      </c>
      <c r="AY328">
        <v>0</v>
      </c>
      <c r="AZ328">
        <v>0</v>
      </c>
      <c r="BA328">
        <v>0</v>
      </c>
      <c r="BB328">
        <v>0</v>
      </c>
      <c r="BC328">
        <v>6</v>
      </c>
      <c r="BD328" t="str">
        <f>CONCATENATE(Table9[[#This Row],[Match Number]],Table9[[#This Row],[Team]],Table9[[#This Row],[BOWL NUM]])</f>
        <v>17Afghanistan6</v>
      </c>
      <c r="BE328" t="str">
        <f>IFERROR(IF(AND(Table9[[#This Row],[Team]]=I_TEAM,IFERROR(IF(MATCH(Table9[[#This Row],[Bowler]],$AR$5:AR327,0)&gt;0,0),1)),1,0),"")</f>
        <v/>
      </c>
      <c r="BF328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32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328" t="e">
        <f>IF(Table9[[#This Row],[Team]]=I_TEAM,Table9[[#This Row],[Wickets]]*100-Table9[[#This Row],[Runs]],0)</f>
        <v>#REF!</v>
      </c>
      <c r="BI328">
        <f>Table9[[#This Row],[Wickets]]*100-Table9[[#This Row],[Runs]]</f>
        <v>-8</v>
      </c>
      <c r="BJ328">
        <f ca="1">IFERROR(IF(MATCH(Table9[[#This Row],[Bowler]],OFFSET(AR329,0,0,BOWLROWS-ROW(AR328)-ROW(Table9[[#Headers],[BOWLER CUML WICKETS]])),0)&gt;0,0,SUMIF($AR$6:AR333,Table9[[#This Row],[Bowler]],$AV$6:AV333)),SUMIF($AR$6:AR333,Table9[[#This Row],[Bowler]],$AV$6:AV333))</f>
        <v>0</v>
      </c>
      <c r="BK328">
        <f ca="1">IFERROR(IF(MATCH(Table9[[#This Row],[Bowler]],OFFSET(AR329,0,0,BOWLROWS-ROW(AR328)-ROW(Table9[[#Headers],[BOWLER CUML WICKETS]])),0)&gt;0,0,SUMIF($AR$6:AR333,Table9[[#This Row],[Bowler]],$AU$6:AU333)),SUMIF($AR$6:AR333,Table9[[#This Row],[Bowler]],$AU$6:AU333))</f>
        <v>0</v>
      </c>
      <c r="BL328">
        <f ca="1">Table9[[#This Row],[BOWLER CUML WICKETS]]*100-Table9[[#This Row],[BOWLER CUML RUNS]]</f>
        <v>0</v>
      </c>
    </row>
    <row r="329" spans="1:64" x14ac:dyDescent="0.3">
      <c r="A329">
        <v>14</v>
      </c>
      <c r="B329" t="s">
        <v>176</v>
      </c>
      <c r="C329" t="s">
        <v>449</v>
      </c>
      <c r="D329" t="s">
        <v>554</v>
      </c>
      <c r="E329">
        <v>26</v>
      </c>
      <c r="F329">
        <v>52</v>
      </c>
      <c r="G329">
        <v>42</v>
      </c>
      <c r="H329">
        <v>3</v>
      </c>
      <c r="I329">
        <v>0</v>
      </c>
      <c r="J329">
        <v>61.9</v>
      </c>
      <c r="K329">
        <v>5</v>
      </c>
      <c r="L329" t="str">
        <f>CONCATENATE(T_BATTINGDATA[[#This Row],[Match]],T_BATTINGDATA[[#This Row],[Team]],T_BATTINGDATA[[#This Row],[Bat Number]])</f>
        <v>14Scotland5</v>
      </c>
      <c r="M329" t="str">
        <f>IFERROR(IF(AND(T_BATTINGDATA[[#This Row],[Team]]=I_TEAM,IFERROR(IF(MATCH(T_BATTINGDATA[[#This Row],[BATSMAN NAME]],$O$5:O328,0)&gt;0,0),1)),1,0),"")</f>
        <v/>
      </c>
      <c r="N329" t="e">
        <f>IF(T_BATTINGDATA[[#This Row],[Team]]=I_TEAM,T_BATTINGDATA[[#This Row],[R]],0)</f>
        <v>#REF!</v>
      </c>
      <c r="O329" t="str">
        <f>LEFT(T_BATTINGDATA[[#This Row],[Batsman]],IFERROR(FIND("*",T_BATTINGDATA[[#This Row],[Batsman]])-1,IFERROR(FIND("†",T_BATTINGDATA[[#This Row],[Batsman]])-1,LEN(T_BATTINGDATA[[#This Row],[Batsman]]))))</f>
        <v>PL Mommsen</v>
      </c>
      <c r="P329">
        <f ca="1">IFERROR(IF(MATCH(T_BATTINGDATA[[#This Row],[BATSMAN NAME]],OFFSET(O330,0,0,BATROWS-ROW(O329)-ROW(T_BATTINGDATA[[#Headers],[BATSMAN NAME]])),0)&gt;0,0,SUMIF($O$6:O329,T_BATTINGDATA[[#This Row],[BATSMAN NAME]],$E$6:E329)),SUMIF($O$6:O329,T_BATTINGDATA[[#This Row],[BATSMAN NAME]],$E$6:E329))</f>
        <v>0</v>
      </c>
      <c r="AP329">
        <v>17</v>
      </c>
      <c r="AQ329" t="s">
        <v>176</v>
      </c>
      <c r="AR329" t="s">
        <v>380</v>
      </c>
      <c r="AS329">
        <v>9.3000000000000007</v>
      </c>
      <c r="AT329">
        <v>0</v>
      </c>
      <c r="AU329">
        <v>61</v>
      </c>
      <c r="AV329">
        <v>0</v>
      </c>
      <c r="AW329">
        <v>6.42</v>
      </c>
      <c r="AX329">
        <v>29</v>
      </c>
      <c r="AY329">
        <v>9</v>
      </c>
      <c r="AZ329">
        <v>0</v>
      </c>
      <c r="BA329">
        <v>2</v>
      </c>
      <c r="BB329">
        <v>1</v>
      </c>
      <c r="BC329">
        <v>1</v>
      </c>
      <c r="BD329" t="str">
        <f>CONCATENATE(Table9[[#This Row],[Match Number]],Table9[[#This Row],[Team]],Table9[[#This Row],[BOWL NUM]])</f>
        <v>17Scotland1</v>
      </c>
      <c r="BE329" t="str">
        <f>IFERROR(IF(AND(Table9[[#This Row],[Team]]=I_TEAM,IFERROR(IF(MATCH(Table9[[#This Row],[Bowler]],$AR$5:AR328,0)&gt;0,0),1)),1,0),"")</f>
        <v/>
      </c>
      <c r="BF329">
        <f>(LEFT(Table9[[#This Row],[Overs]],IFERROR(FIND(".",Table9[[#This Row],[Overs]])-1,LEN(Table9[[#This Row],[Overs]])))*6) + IFERROR(IF(FIND(".",Table9[[#This Row],[Overs]])+1&gt;0,RIGHT(Table9[[#This Row],[Overs]],1),0),0)</f>
        <v>57</v>
      </c>
      <c r="BG32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329" t="e">
        <f>IF(Table9[[#This Row],[Team]]=I_TEAM,Table9[[#This Row],[Wickets]]*100-Table9[[#This Row],[Runs]],0)</f>
        <v>#REF!</v>
      </c>
      <c r="BI329">
        <f>Table9[[#This Row],[Wickets]]*100-Table9[[#This Row],[Runs]]</f>
        <v>-61</v>
      </c>
      <c r="BJ329">
        <f ca="1">IFERROR(IF(MATCH(Table9[[#This Row],[Bowler]],OFFSET(AR330,0,0,BOWLROWS-ROW(AR329)-ROW(Table9[[#Headers],[BOWLER CUML WICKETS]])),0)&gt;0,0,SUMIF($AR$6:AR329,Table9[[#This Row],[Bowler]],$AV$6:AV329)),SUMIF($AR$6:AR329,Table9[[#This Row],[Bowler]],$AV$6:AV329))</f>
        <v>0</v>
      </c>
      <c r="BK329">
        <f ca="1">IFERROR(IF(MATCH(Table9[[#This Row],[Bowler]],OFFSET(AR330,0,0,BOWLROWS-ROW(AR329)-ROW(Table9[[#Headers],[BOWLER CUML WICKETS]])),0)&gt;0,0,SUMIF($AR$6:AR329,Table9[[#This Row],[Bowler]],$AU$6:AU329)),SUMIF($AR$6:AR329,Table9[[#This Row],[Bowler]],$AU$6:AU329))</f>
        <v>0</v>
      </c>
      <c r="BL329">
        <f ca="1">Table9[[#This Row],[BOWLER CUML WICKETS]]*100-Table9[[#This Row],[BOWLER CUML RUNS]]</f>
        <v>0</v>
      </c>
    </row>
    <row r="330" spans="1:64" x14ac:dyDescent="0.3">
      <c r="A330">
        <v>14</v>
      </c>
      <c r="B330" t="s">
        <v>176</v>
      </c>
      <c r="C330" t="s">
        <v>452</v>
      </c>
      <c r="D330" t="s">
        <v>555</v>
      </c>
      <c r="E330">
        <v>8</v>
      </c>
      <c r="F330">
        <v>12</v>
      </c>
      <c r="G330">
        <v>13</v>
      </c>
      <c r="H330">
        <v>0</v>
      </c>
      <c r="I330">
        <v>0</v>
      </c>
      <c r="J330">
        <v>61.53</v>
      </c>
      <c r="K330">
        <v>6</v>
      </c>
      <c r="L330" t="str">
        <f>CONCATENATE(T_BATTINGDATA[[#This Row],[Match]],T_BATTINGDATA[[#This Row],[Team]],T_BATTINGDATA[[#This Row],[Bat Number]])</f>
        <v>14Scotland6</v>
      </c>
      <c r="M330" t="str">
        <f>IFERROR(IF(AND(T_BATTINGDATA[[#This Row],[Team]]=I_TEAM,IFERROR(IF(MATCH(T_BATTINGDATA[[#This Row],[BATSMAN NAME]],$O$5:O329,0)&gt;0,0),1)),1,0),"")</f>
        <v/>
      </c>
      <c r="N330" t="e">
        <f>IF(T_BATTINGDATA[[#This Row],[Team]]=I_TEAM,T_BATTINGDATA[[#This Row],[R]],0)</f>
        <v>#REF!</v>
      </c>
      <c r="O330" t="str">
        <f>LEFT(T_BATTINGDATA[[#This Row],[Batsman]],IFERROR(FIND("*",T_BATTINGDATA[[#This Row],[Batsman]])-1,IFERROR(FIND("†",T_BATTINGDATA[[#This Row],[Batsman]])-1,LEN(T_BATTINGDATA[[#This Row],[Batsman]]))))</f>
        <v>RD Berrington</v>
      </c>
      <c r="P330">
        <f ca="1">IFERROR(IF(MATCH(T_BATTINGDATA[[#This Row],[BATSMAN NAME]],OFFSET(O331,0,0,BATROWS-ROW(O330)-ROW(T_BATTINGDATA[[#Headers],[BATSMAN NAME]])),0)&gt;0,0,SUMIF($O$6:O330,T_BATTINGDATA[[#This Row],[BATSMAN NAME]],$E$6:E330)),SUMIF($O$6:O330,T_BATTINGDATA[[#This Row],[BATSMAN NAME]],$E$6:E330))</f>
        <v>0</v>
      </c>
      <c r="AP330">
        <v>17</v>
      </c>
      <c r="AQ330" t="s">
        <v>176</v>
      </c>
      <c r="AR330" t="s">
        <v>384</v>
      </c>
      <c r="AS330">
        <v>10</v>
      </c>
      <c r="AT330">
        <v>1</v>
      </c>
      <c r="AU330">
        <v>34</v>
      </c>
      <c r="AV330">
        <v>2</v>
      </c>
      <c r="AW330">
        <v>3.4</v>
      </c>
      <c r="AX330">
        <v>45</v>
      </c>
      <c r="AY330">
        <v>4</v>
      </c>
      <c r="AZ330">
        <v>1</v>
      </c>
      <c r="BA330">
        <v>1</v>
      </c>
      <c r="BB330">
        <v>0</v>
      </c>
      <c r="BC330">
        <v>2</v>
      </c>
      <c r="BD330" t="str">
        <f>CONCATENATE(Table9[[#This Row],[Match Number]],Table9[[#This Row],[Team]],Table9[[#This Row],[BOWL NUM]])</f>
        <v>17Scotland2</v>
      </c>
      <c r="BE330" t="str">
        <f>IFERROR(IF(AND(Table9[[#This Row],[Team]]=I_TEAM,IFERROR(IF(MATCH(Table9[[#This Row],[Bowler]],$AR$5:AR329,0)&gt;0,0),1)),1,0),"")</f>
        <v/>
      </c>
      <c r="BF33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3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330" t="e">
        <f>IF(Table9[[#This Row],[Team]]=I_TEAM,Table9[[#This Row],[Wickets]]*100-Table9[[#This Row],[Runs]],0)</f>
        <v>#REF!</v>
      </c>
      <c r="BI330">
        <f>Table9[[#This Row],[Wickets]]*100-Table9[[#This Row],[Runs]]</f>
        <v>166</v>
      </c>
      <c r="BJ330">
        <f ca="1">IFERROR(IF(MATCH(Table9[[#This Row],[Bowler]],OFFSET(AR331,0,0,BOWLROWS-ROW(AR330)-ROW(Table9[[#Headers],[BOWLER CUML WICKETS]])),0)&gt;0,0,SUMIF($AR$6:AR330,Table9[[#This Row],[Bowler]],$AV$6:AV330)),SUMIF($AR$6:AR330,Table9[[#This Row],[Bowler]],$AV$6:AV330))</f>
        <v>0</v>
      </c>
      <c r="BK330">
        <f ca="1">IFERROR(IF(MATCH(Table9[[#This Row],[Bowler]],OFFSET(AR331,0,0,BOWLROWS-ROW(AR330)-ROW(Table9[[#Headers],[BOWLER CUML WICKETS]])),0)&gt;0,0,SUMIF($AR$6:AR330,Table9[[#This Row],[Bowler]],$AU$6:AU330)),SUMIF($AR$6:AR330,Table9[[#This Row],[Bowler]],$AU$6:AU330))</f>
        <v>0</v>
      </c>
      <c r="BL330">
        <f ca="1">Table9[[#This Row],[BOWLER CUML WICKETS]]*100-Table9[[#This Row],[BOWLER CUML RUNS]]</f>
        <v>0</v>
      </c>
    </row>
    <row r="331" spans="1:64" x14ac:dyDescent="0.3">
      <c r="A331">
        <v>14</v>
      </c>
      <c r="B331" t="s">
        <v>176</v>
      </c>
      <c r="C331" t="s">
        <v>453</v>
      </c>
      <c r="D331" t="s">
        <v>388</v>
      </c>
      <c r="E331">
        <v>23</v>
      </c>
      <c r="F331">
        <v>40</v>
      </c>
      <c r="G331">
        <v>32</v>
      </c>
      <c r="H331">
        <v>1</v>
      </c>
      <c r="I331">
        <v>0</v>
      </c>
      <c r="J331">
        <v>71.87</v>
      </c>
      <c r="K331">
        <v>7</v>
      </c>
      <c r="L331" t="str">
        <f>CONCATENATE(T_BATTINGDATA[[#This Row],[Match]],T_BATTINGDATA[[#This Row],[Team]],T_BATTINGDATA[[#This Row],[Bat Number]])</f>
        <v>14Scotland7</v>
      </c>
      <c r="M331" t="str">
        <f>IFERROR(IF(AND(T_BATTINGDATA[[#This Row],[Team]]=I_TEAM,IFERROR(IF(MATCH(T_BATTINGDATA[[#This Row],[BATSMAN NAME]],$O$5:O330,0)&gt;0,0),1)),1,0),"")</f>
        <v/>
      </c>
      <c r="N331" t="e">
        <f>IF(T_BATTINGDATA[[#This Row],[Team]]=I_TEAM,T_BATTINGDATA[[#This Row],[R]],0)</f>
        <v>#REF!</v>
      </c>
      <c r="O331" t="str">
        <f>LEFT(T_BATTINGDATA[[#This Row],[Batsman]],IFERROR(FIND("*",T_BATTINGDATA[[#This Row],[Batsman]])-1,IFERROR(FIND("†",T_BATTINGDATA[[#This Row],[Batsman]])-1,LEN(T_BATTINGDATA[[#This Row],[Batsman]]))))</f>
        <v>MH Cross</v>
      </c>
      <c r="P331">
        <f ca="1">IFERROR(IF(MATCH(T_BATTINGDATA[[#This Row],[BATSMAN NAME]],OFFSET(O332,0,0,BATROWS-ROW(O331)-ROW(T_BATTINGDATA[[#Headers],[BATSMAN NAME]])),0)&gt;0,0,SUMIF($O$6:O331,T_BATTINGDATA[[#This Row],[BATSMAN NAME]],$E$6:E331)),SUMIF($O$6:O331,T_BATTINGDATA[[#This Row],[BATSMAN NAME]],$E$6:E331))</f>
        <v>0</v>
      </c>
      <c r="AP331">
        <v>17</v>
      </c>
      <c r="AQ331" t="s">
        <v>176</v>
      </c>
      <c r="AR331" t="s">
        <v>461</v>
      </c>
      <c r="AS331">
        <v>10</v>
      </c>
      <c r="AT331">
        <v>1</v>
      </c>
      <c r="AU331">
        <v>30</v>
      </c>
      <c r="AV331">
        <v>2</v>
      </c>
      <c r="AW331">
        <v>3</v>
      </c>
      <c r="AX331">
        <v>45</v>
      </c>
      <c r="AY331">
        <v>3</v>
      </c>
      <c r="AZ331">
        <v>0</v>
      </c>
      <c r="BA331">
        <v>4</v>
      </c>
      <c r="BB331">
        <v>0</v>
      </c>
      <c r="BC331">
        <v>3</v>
      </c>
      <c r="BD331" t="str">
        <f>CONCATENATE(Table9[[#This Row],[Match Number]],Table9[[#This Row],[Team]],Table9[[#This Row],[BOWL NUM]])</f>
        <v>17Scotland3</v>
      </c>
      <c r="BE331" t="str">
        <f>IFERROR(IF(AND(Table9[[#This Row],[Team]]=I_TEAM,IFERROR(IF(MATCH(Table9[[#This Row],[Bowler]],$AR$5:AR330,0)&gt;0,0),1)),1,0),"")</f>
        <v/>
      </c>
      <c r="BF33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3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331" t="e">
        <f>IF(Table9[[#This Row],[Team]]=I_TEAM,Table9[[#This Row],[Wickets]]*100-Table9[[#This Row],[Runs]],0)</f>
        <v>#REF!</v>
      </c>
      <c r="BI331">
        <f>Table9[[#This Row],[Wickets]]*100-Table9[[#This Row],[Runs]]</f>
        <v>170</v>
      </c>
      <c r="BJ331">
        <f ca="1">IFERROR(IF(MATCH(Table9[[#This Row],[Bowler]],OFFSET(AR332,0,0,BOWLROWS-ROW(AR331)-ROW(Table9[[#Headers],[BOWLER CUML WICKETS]])),0)&gt;0,0,SUMIF($AR$6:AR331,Table9[[#This Row],[Bowler]],$AV$6:AV331)),SUMIF($AR$6:AR331,Table9[[#This Row],[Bowler]],$AV$6:AV331))</f>
        <v>0</v>
      </c>
      <c r="BK331">
        <f ca="1">IFERROR(IF(MATCH(Table9[[#This Row],[Bowler]],OFFSET(AR332,0,0,BOWLROWS-ROW(AR331)-ROW(Table9[[#Headers],[BOWLER CUML WICKETS]])),0)&gt;0,0,SUMIF($AR$6:AR331,Table9[[#This Row],[Bowler]],$AU$6:AU331)),SUMIF($AR$6:AR331,Table9[[#This Row],[Bowler]],$AU$6:AU331))</f>
        <v>0</v>
      </c>
      <c r="BL331">
        <f ca="1">Table9[[#This Row],[BOWLER CUML WICKETS]]*100-Table9[[#This Row],[BOWLER CUML RUNS]]</f>
        <v>0</v>
      </c>
    </row>
    <row r="332" spans="1:64" x14ac:dyDescent="0.3">
      <c r="A332">
        <v>14</v>
      </c>
      <c r="B332" t="s">
        <v>176</v>
      </c>
      <c r="C332" t="s">
        <v>384</v>
      </c>
      <c r="D332" t="s">
        <v>553</v>
      </c>
      <c r="E332">
        <v>9</v>
      </c>
      <c r="F332">
        <v>17</v>
      </c>
      <c r="G332">
        <v>15</v>
      </c>
      <c r="H332">
        <v>0</v>
      </c>
      <c r="I332">
        <v>0</v>
      </c>
      <c r="J332">
        <v>60</v>
      </c>
      <c r="K332">
        <v>8</v>
      </c>
      <c r="L332" t="str">
        <f>CONCATENATE(T_BATTINGDATA[[#This Row],[Match]],T_BATTINGDATA[[#This Row],[Team]],T_BATTINGDATA[[#This Row],[Bat Number]])</f>
        <v>14Scotland8</v>
      </c>
      <c r="M332" t="str">
        <f>IFERROR(IF(AND(T_BATTINGDATA[[#This Row],[Team]]=I_TEAM,IFERROR(IF(MATCH(T_BATTINGDATA[[#This Row],[BATSMAN NAME]],$O$5:O331,0)&gt;0,0),1)),1,0),"")</f>
        <v/>
      </c>
      <c r="N332" t="e">
        <f>IF(T_BATTINGDATA[[#This Row],[Team]]=I_TEAM,T_BATTINGDATA[[#This Row],[R]],0)</f>
        <v>#REF!</v>
      </c>
      <c r="O332" t="str">
        <f>LEFT(T_BATTINGDATA[[#This Row],[Batsman]],IFERROR(FIND("*",T_BATTINGDATA[[#This Row],[Batsman]])-1,IFERROR(FIND("†",T_BATTINGDATA[[#This Row],[Batsman]])-1,LEN(T_BATTINGDATA[[#This Row],[Batsman]]))))</f>
        <v>JH Davey</v>
      </c>
      <c r="P332">
        <f ca="1">IFERROR(IF(MATCH(T_BATTINGDATA[[#This Row],[BATSMAN NAME]],OFFSET(O333,0,0,BATROWS-ROW(O332)-ROW(T_BATTINGDATA[[#Headers],[BATSMAN NAME]])),0)&gt;0,0,SUMIF($O$6:O332,T_BATTINGDATA[[#This Row],[BATSMAN NAME]],$E$6:E332)),SUMIF($O$6:O332,T_BATTINGDATA[[#This Row],[BATSMAN NAME]],$E$6:E332))</f>
        <v>0</v>
      </c>
      <c r="AP332">
        <v>17</v>
      </c>
      <c r="AQ332" t="s">
        <v>176</v>
      </c>
      <c r="AR332" t="s">
        <v>387</v>
      </c>
      <c r="AS332">
        <v>10</v>
      </c>
      <c r="AT332">
        <v>0</v>
      </c>
      <c r="AU332">
        <v>45</v>
      </c>
      <c r="AV332">
        <v>1</v>
      </c>
      <c r="AW332">
        <v>4.5</v>
      </c>
      <c r="AX332">
        <v>41</v>
      </c>
      <c r="AY332">
        <v>1</v>
      </c>
      <c r="AZ332">
        <v>4</v>
      </c>
      <c r="BA332">
        <v>1</v>
      </c>
      <c r="BB332">
        <v>0</v>
      </c>
      <c r="BC332">
        <v>4</v>
      </c>
      <c r="BD332" t="str">
        <f>CONCATENATE(Table9[[#This Row],[Match Number]],Table9[[#This Row],[Team]],Table9[[#This Row],[BOWL NUM]])</f>
        <v>17Scotland4</v>
      </c>
      <c r="BE332" t="str">
        <f>IFERROR(IF(AND(Table9[[#This Row],[Team]]=I_TEAM,IFERROR(IF(MATCH(Table9[[#This Row],[Bowler]],$AR$5:AR331,0)&gt;0,0),1)),1,0),"")</f>
        <v/>
      </c>
      <c r="BF33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3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332" t="e">
        <f>IF(Table9[[#This Row],[Team]]=I_TEAM,Table9[[#This Row],[Wickets]]*100-Table9[[#This Row],[Runs]],0)</f>
        <v>#REF!</v>
      </c>
      <c r="BI332">
        <f>Table9[[#This Row],[Wickets]]*100-Table9[[#This Row],[Runs]]</f>
        <v>55</v>
      </c>
      <c r="BJ332">
        <f ca="1">IFERROR(IF(MATCH(Table9[[#This Row],[Bowler]],OFFSET(AR333,0,0,BOWLROWS-ROW(AR332)-ROW(Table9[[#Headers],[BOWLER CUML WICKETS]])),0)&gt;0,0,SUMIF($AR$6:AR332,Table9[[#This Row],[Bowler]],$AV$6:AV332)),SUMIF($AR$6:AR332,Table9[[#This Row],[Bowler]],$AV$6:AV332))</f>
        <v>0</v>
      </c>
      <c r="BK332">
        <f ca="1">IFERROR(IF(MATCH(Table9[[#This Row],[Bowler]],OFFSET(AR333,0,0,BOWLROWS-ROW(AR332)-ROW(Table9[[#Headers],[BOWLER CUML WICKETS]])),0)&gt;0,0,SUMIF($AR$6:AR332,Table9[[#This Row],[Bowler]],$AU$6:AU332)),SUMIF($AR$6:AR332,Table9[[#This Row],[Bowler]],$AU$6:AU332))</f>
        <v>0</v>
      </c>
      <c r="BL332">
        <f ca="1">Table9[[#This Row],[BOWLER CUML WICKETS]]*100-Table9[[#This Row],[BOWLER CUML RUNS]]</f>
        <v>0</v>
      </c>
    </row>
    <row r="333" spans="1:64" x14ac:dyDescent="0.3">
      <c r="A333">
        <v>14</v>
      </c>
      <c r="B333" t="s">
        <v>176</v>
      </c>
      <c r="C333" t="s">
        <v>387</v>
      </c>
      <c r="D333" t="s">
        <v>556</v>
      </c>
      <c r="E333">
        <v>15</v>
      </c>
      <c r="F333">
        <v>42</v>
      </c>
      <c r="G333">
        <v>24</v>
      </c>
      <c r="H333">
        <v>3</v>
      </c>
      <c r="I333">
        <v>0</v>
      </c>
      <c r="J333">
        <v>62.5</v>
      </c>
      <c r="K333">
        <v>9</v>
      </c>
      <c r="L333" t="str">
        <f>CONCATENATE(T_BATTINGDATA[[#This Row],[Match]],T_BATTINGDATA[[#This Row],[Team]],T_BATTINGDATA[[#This Row],[Bat Number]])</f>
        <v>14Scotland9</v>
      </c>
      <c r="M333" t="str">
        <f>IFERROR(IF(AND(T_BATTINGDATA[[#This Row],[Team]]=I_TEAM,IFERROR(IF(MATCH(T_BATTINGDATA[[#This Row],[BATSMAN NAME]],$O$5:O332,0)&gt;0,0),1)),1,0),"")</f>
        <v/>
      </c>
      <c r="N333" t="e">
        <f>IF(T_BATTINGDATA[[#This Row],[Team]]=I_TEAM,T_BATTINGDATA[[#This Row],[R]],0)</f>
        <v>#REF!</v>
      </c>
      <c r="O333" t="str">
        <f>LEFT(T_BATTINGDATA[[#This Row],[Batsman]],IFERROR(FIND("*",T_BATTINGDATA[[#This Row],[Batsman]])-1,IFERROR(FIND("†",T_BATTINGDATA[[#This Row],[Batsman]])-1,LEN(T_BATTINGDATA[[#This Row],[Batsman]]))))</f>
        <v>RM Haq</v>
      </c>
      <c r="P333">
        <f ca="1">IFERROR(IF(MATCH(T_BATTINGDATA[[#This Row],[BATSMAN NAME]],OFFSET(O334,0,0,BATROWS-ROW(O333)-ROW(T_BATTINGDATA[[#Headers],[BATSMAN NAME]])),0)&gt;0,0,SUMIF($O$6:O333,T_BATTINGDATA[[#This Row],[BATSMAN NAME]],$E$6:E333)),SUMIF($O$6:O333,T_BATTINGDATA[[#This Row],[BATSMAN NAME]],$E$6:E333))</f>
        <v>0</v>
      </c>
      <c r="AP333">
        <v>17</v>
      </c>
      <c r="AQ333" t="s">
        <v>176</v>
      </c>
      <c r="AR333" t="s">
        <v>452</v>
      </c>
      <c r="AS333">
        <v>10</v>
      </c>
      <c r="AT333">
        <v>0</v>
      </c>
      <c r="AU333">
        <v>40</v>
      </c>
      <c r="AV333">
        <v>4</v>
      </c>
      <c r="AW333">
        <v>4</v>
      </c>
      <c r="AX333">
        <v>37</v>
      </c>
      <c r="AY333">
        <v>4</v>
      </c>
      <c r="AZ333">
        <v>0</v>
      </c>
      <c r="BA333">
        <v>2</v>
      </c>
      <c r="BB333">
        <v>0</v>
      </c>
      <c r="BC333">
        <v>5</v>
      </c>
      <c r="BD333" t="str">
        <f>CONCATENATE(Table9[[#This Row],[Match Number]],Table9[[#This Row],[Team]],Table9[[#This Row],[BOWL NUM]])</f>
        <v>17Scotland5</v>
      </c>
      <c r="BE333" t="str">
        <f>IFERROR(IF(AND(Table9[[#This Row],[Team]]=I_TEAM,IFERROR(IF(MATCH(Table9[[#This Row],[Bowler]],$AR$5:AR332,0)&gt;0,0),1)),1,0),"")</f>
        <v/>
      </c>
      <c r="BF33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3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333" t="e">
        <f>IF(Table9[[#This Row],[Team]]=I_TEAM,Table9[[#This Row],[Wickets]]*100-Table9[[#This Row],[Runs]],0)</f>
        <v>#REF!</v>
      </c>
      <c r="BI333">
        <f>Table9[[#This Row],[Wickets]]*100-Table9[[#This Row],[Runs]]</f>
        <v>360</v>
      </c>
      <c r="BJ333">
        <f ca="1">IFERROR(IF(MATCH(Table9[[#This Row],[Bowler]],OFFSET(AR334,0,0,BOWLROWS-ROW(AR333)-ROW(Table9[[#Headers],[BOWLER CUML WICKETS]])),0)&gt;0,0,SUMIF($AR$6:AR392,Table9[[#This Row],[Bowler]],$AV$6:AV392)),SUMIF($AR$6:AR392,Table9[[#This Row],[Bowler]],$AV$6:AV392))</f>
        <v>0</v>
      </c>
      <c r="BK333">
        <f ca="1">IFERROR(IF(MATCH(Table9[[#This Row],[Bowler]],OFFSET(AR334,0,0,BOWLROWS-ROW(AR333)-ROW(Table9[[#Headers],[BOWLER CUML WICKETS]])),0)&gt;0,0,SUMIF($AR$6:AR453,Table9[[#This Row],[Bowler]],$AU$6:AU453)),SUMIF($AR$6:AR453,Table9[[#This Row],[Bowler]],$AU$6:AU453))</f>
        <v>0</v>
      </c>
      <c r="BL333">
        <f ca="1">Table9[[#This Row],[BOWLER CUML WICKETS]]*100-Table9[[#This Row],[BOWLER CUML RUNS]]</f>
        <v>0</v>
      </c>
    </row>
    <row r="334" spans="1:64" x14ac:dyDescent="0.3">
      <c r="A334">
        <v>14</v>
      </c>
      <c r="B334" t="s">
        <v>176</v>
      </c>
      <c r="C334" t="s">
        <v>461</v>
      </c>
      <c r="D334" t="s">
        <v>549</v>
      </c>
      <c r="E334">
        <v>9</v>
      </c>
      <c r="F334">
        <v>15</v>
      </c>
      <c r="G334">
        <v>15</v>
      </c>
      <c r="H334">
        <v>2</v>
      </c>
      <c r="I334">
        <v>0</v>
      </c>
      <c r="J334">
        <v>60</v>
      </c>
      <c r="K334">
        <v>10</v>
      </c>
      <c r="L334" t="str">
        <f>CONCATENATE(T_BATTINGDATA[[#This Row],[Match]],T_BATTINGDATA[[#This Row],[Team]],T_BATTINGDATA[[#This Row],[Bat Number]])</f>
        <v>14Scotland10</v>
      </c>
      <c r="M334" t="str">
        <f>IFERROR(IF(AND(T_BATTINGDATA[[#This Row],[Team]]=I_TEAM,IFERROR(IF(MATCH(T_BATTINGDATA[[#This Row],[BATSMAN NAME]],$O$5:O333,0)&gt;0,0),1)),1,0),"")</f>
        <v/>
      </c>
      <c r="N334" t="e">
        <f>IF(T_BATTINGDATA[[#This Row],[Team]]=I_TEAM,T_BATTINGDATA[[#This Row],[R]],0)</f>
        <v>#REF!</v>
      </c>
      <c r="O334" t="str">
        <f>LEFT(T_BATTINGDATA[[#This Row],[Batsman]],IFERROR(FIND("*",T_BATTINGDATA[[#This Row],[Batsman]])-1,IFERROR(FIND("†",T_BATTINGDATA[[#This Row],[Batsman]])-1,LEN(T_BATTINGDATA[[#This Row],[Batsman]]))))</f>
        <v>AC Evans</v>
      </c>
      <c r="P334">
        <f ca="1">IFERROR(IF(MATCH(T_BATTINGDATA[[#This Row],[BATSMAN NAME]],OFFSET(O335,0,0,BATROWS-ROW(O334)-ROW(T_BATTINGDATA[[#Headers],[BATSMAN NAME]])),0)&gt;0,0,SUMIF($O$6:O334,T_BATTINGDATA[[#This Row],[BATSMAN NAME]],$E$6:E334)),SUMIF($O$6:O334,T_BATTINGDATA[[#This Row],[BATSMAN NAME]],$E$6:E334))</f>
        <v>0</v>
      </c>
      <c r="AP334">
        <v>18</v>
      </c>
      <c r="AQ334" t="s">
        <v>181</v>
      </c>
      <c r="AR334" t="s">
        <v>268</v>
      </c>
      <c r="AS334">
        <v>10</v>
      </c>
      <c r="AT334">
        <v>0</v>
      </c>
      <c r="AU334">
        <v>53</v>
      </c>
      <c r="AV334">
        <v>0</v>
      </c>
      <c r="AW334">
        <v>5.3</v>
      </c>
      <c r="AX334">
        <v>34</v>
      </c>
      <c r="AY334">
        <v>6</v>
      </c>
      <c r="AZ334">
        <v>0</v>
      </c>
      <c r="BA334">
        <v>0</v>
      </c>
      <c r="BB334">
        <v>0</v>
      </c>
      <c r="BC334">
        <v>1</v>
      </c>
      <c r="BD334" t="str">
        <f>CONCATENATE(Table9[[#This Row],[Match Number]],Table9[[#This Row],[Team]],Table9[[#This Row],[BOWL NUM]])</f>
        <v>18Bangladesh1</v>
      </c>
      <c r="BE334" t="str">
        <f>IFERROR(IF(AND(Table9[[#This Row],[Team]]=I_TEAM,IFERROR(IF(MATCH(Table9[[#This Row],[Bowler]],$AR$5:AR333,0)&gt;0,0),1)),1,0),"")</f>
        <v/>
      </c>
      <c r="BF33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3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34" t="e">
        <f>IF(Table9[[#This Row],[Team]]=I_TEAM,Table9[[#This Row],[Wickets]]*100-Table9[[#This Row],[Runs]],0)</f>
        <v>#REF!</v>
      </c>
      <c r="BI334">
        <f>Table9[[#This Row],[Wickets]]*100-Table9[[#This Row],[Runs]]</f>
        <v>-53</v>
      </c>
      <c r="BJ334">
        <f ca="1">IFERROR(IF(MATCH(Table9[[#This Row],[Bowler]],OFFSET(AR335,0,0,BOWLROWS-ROW(AR334)-ROW(Table9[[#Headers],[BOWLER CUML WICKETS]])),0)&gt;0,0,SUMIF($AR$6:AR334,Table9[[#This Row],[Bowler]],$AV$6:AV334)),SUMIF($AR$6:AR334,Table9[[#This Row],[Bowler]],$AV$6:AV334))</f>
        <v>0</v>
      </c>
      <c r="BK334">
        <f ca="1">IFERROR(IF(MATCH(Table9[[#This Row],[Bowler]],OFFSET(AR335,0,0,BOWLROWS-ROW(AR334)-ROW(Table9[[#Headers],[BOWLER CUML WICKETS]])),0)&gt;0,0,SUMIF($AR$6:AR334,Table9[[#This Row],[Bowler]],$AU$6:AU334)),SUMIF($AR$6:AR334,Table9[[#This Row],[Bowler]],$AU$6:AU334))</f>
        <v>0</v>
      </c>
      <c r="BL334">
        <f ca="1">Table9[[#This Row],[BOWLER CUML WICKETS]]*100-Table9[[#This Row],[BOWLER CUML RUNS]]</f>
        <v>0</v>
      </c>
    </row>
    <row r="335" spans="1:64" x14ac:dyDescent="0.3">
      <c r="A335">
        <v>14</v>
      </c>
      <c r="B335" t="s">
        <v>176</v>
      </c>
      <c r="C335" t="s">
        <v>380</v>
      </c>
      <c r="D335" t="s">
        <v>167</v>
      </c>
      <c r="E335">
        <v>0</v>
      </c>
      <c r="F335">
        <v>2</v>
      </c>
      <c r="G335">
        <v>0</v>
      </c>
      <c r="H335">
        <v>0</v>
      </c>
      <c r="I335">
        <v>0</v>
      </c>
      <c r="J335" t="s">
        <v>348</v>
      </c>
      <c r="K335">
        <v>11</v>
      </c>
      <c r="L335" t="str">
        <f>CONCATENATE(T_BATTINGDATA[[#This Row],[Match]],T_BATTINGDATA[[#This Row],[Team]],T_BATTINGDATA[[#This Row],[Bat Number]])</f>
        <v>14Scotland11</v>
      </c>
      <c r="M335" t="str">
        <f>IFERROR(IF(AND(T_BATTINGDATA[[#This Row],[Team]]=I_TEAM,IFERROR(IF(MATCH(T_BATTINGDATA[[#This Row],[BATSMAN NAME]],$O$5:O334,0)&gt;0,0),1)),1,0),"")</f>
        <v/>
      </c>
      <c r="N335" t="e">
        <f>IF(T_BATTINGDATA[[#This Row],[Team]]=I_TEAM,T_BATTINGDATA[[#This Row],[R]],0)</f>
        <v>#REF!</v>
      </c>
      <c r="O335" t="str">
        <f>LEFT(T_BATTINGDATA[[#This Row],[Batsman]],IFERROR(FIND("*",T_BATTINGDATA[[#This Row],[Batsman]])-1,IFERROR(FIND("†",T_BATTINGDATA[[#This Row],[Batsman]])-1,LEN(T_BATTINGDATA[[#This Row],[Batsman]]))))</f>
        <v>I Wardlaw</v>
      </c>
      <c r="P335">
        <f ca="1">IFERROR(IF(MATCH(T_BATTINGDATA[[#This Row],[BATSMAN NAME]],OFFSET(O336,0,0,BATROWS-ROW(O335)-ROW(T_BATTINGDATA[[#Headers],[BATSMAN NAME]])),0)&gt;0,0,SUMIF($O$6:O335,T_BATTINGDATA[[#This Row],[BATSMAN NAME]],$E$6:E335)),SUMIF($O$6:O335,T_BATTINGDATA[[#This Row],[BATSMAN NAME]],$E$6:E335))</f>
        <v>0</v>
      </c>
      <c r="AP335">
        <v>18</v>
      </c>
      <c r="AQ335" t="s">
        <v>181</v>
      </c>
      <c r="AR335" t="s">
        <v>277</v>
      </c>
      <c r="AS335">
        <v>9</v>
      </c>
      <c r="AT335">
        <v>0</v>
      </c>
      <c r="AU335">
        <v>62</v>
      </c>
      <c r="AV335">
        <v>1</v>
      </c>
      <c r="AW335">
        <v>6.88</v>
      </c>
      <c r="AX335">
        <v>23</v>
      </c>
      <c r="AY335">
        <v>4</v>
      </c>
      <c r="AZ335">
        <v>1</v>
      </c>
      <c r="BA335">
        <v>5</v>
      </c>
      <c r="BB335">
        <v>0</v>
      </c>
      <c r="BC335">
        <v>2</v>
      </c>
      <c r="BD335" t="str">
        <f>CONCATENATE(Table9[[#This Row],[Match Number]],Table9[[#This Row],[Team]],Table9[[#This Row],[BOWL NUM]])</f>
        <v>18Bangladesh2</v>
      </c>
      <c r="BE335" t="str">
        <f>IFERROR(IF(AND(Table9[[#This Row],[Team]]=I_TEAM,IFERROR(IF(MATCH(Table9[[#This Row],[Bowler]],$AR$5:AR334,0)&gt;0,0),1)),1,0),"")</f>
        <v/>
      </c>
      <c r="BF335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3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35" t="e">
        <f>IF(Table9[[#This Row],[Team]]=I_TEAM,Table9[[#This Row],[Wickets]]*100-Table9[[#This Row],[Runs]],0)</f>
        <v>#REF!</v>
      </c>
      <c r="BI335">
        <f>Table9[[#This Row],[Wickets]]*100-Table9[[#This Row],[Runs]]</f>
        <v>38</v>
      </c>
      <c r="BJ335">
        <f ca="1">IFERROR(IF(MATCH(Table9[[#This Row],[Bowler]],OFFSET(AR336,0,0,BOWLROWS-ROW(AR335)-ROW(Table9[[#Headers],[BOWLER CUML WICKETS]])),0)&gt;0,0,SUMIF($AR$6:AR335,Table9[[#This Row],[Bowler]],$AV$6:AV335)),SUMIF($AR$6:AR335,Table9[[#This Row],[Bowler]],$AV$6:AV335))</f>
        <v>0</v>
      </c>
      <c r="BK335">
        <f ca="1">IFERROR(IF(MATCH(Table9[[#This Row],[Bowler]],OFFSET(AR336,0,0,BOWLROWS-ROW(AR335)-ROW(Table9[[#Headers],[BOWLER CUML WICKETS]])),0)&gt;0,0,SUMIF($AR$6:AR335,Table9[[#This Row],[Bowler]],$AU$6:AU335)),SUMIF($AR$6:AR335,Table9[[#This Row],[Bowler]],$AU$6:AU335))</f>
        <v>0</v>
      </c>
      <c r="BL335">
        <f ca="1">Table9[[#This Row],[BOWLER CUML WICKETS]]*100-Table9[[#This Row],[BOWLER CUML RUNS]]</f>
        <v>0</v>
      </c>
    </row>
    <row r="336" spans="1:64" x14ac:dyDescent="0.3">
      <c r="A336">
        <v>15</v>
      </c>
      <c r="B336" t="s">
        <v>170</v>
      </c>
      <c r="C336" t="s">
        <v>265</v>
      </c>
      <c r="D336" t="s">
        <v>240</v>
      </c>
      <c r="E336">
        <v>0</v>
      </c>
      <c r="F336">
        <v>1</v>
      </c>
      <c r="G336">
        <v>2</v>
      </c>
      <c r="H336">
        <v>0</v>
      </c>
      <c r="I336">
        <v>0</v>
      </c>
      <c r="J336">
        <v>0</v>
      </c>
      <c r="K336">
        <v>1</v>
      </c>
      <c r="L336" t="str">
        <f>CONCATENATE(T_BATTINGDATA[[#This Row],[Match]],T_BATTINGDATA[[#This Row],[Team]],T_BATTINGDATA[[#This Row],[Bat Number]])</f>
        <v>15West Indies1</v>
      </c>
      <c r="M336" t="str">
        <f>IFERROR(IF(AND(T_BATTINGDATA[[#This Row],[Team]]=I_TEAM,IFERROR(IF(MATCH(T_BATTINGDATA[[#This Row],[BATSMAN NAME]],$O$5:O335,0)&gt;0,0),1)),1,0),"")</f>
        <v/>
      </c>
      <c r="N336" t="e">
        <f>IF(T_BATTINGDATA[[#This Row],[Team]]=I_TEAM,T_BATTINGDATA[[#This Row],[R]],0)</f>
        <v>#REF!</v>
      </c>
      <c r="O336" t="str">
        <f>LEFT(T_BATTINGDATA[[#This Row],[Batsman]],IFERROR(FIND("*",T_BATTINGDATA[[#This Row],[Batsman]])-1,IFERROR(FIND("†",T_BATTINGDATA[[#This Row],[Batsman]])-1,LEN(T_BATTINGDATA[[#This Row],[Batsman]]))))</f>
        <v>DR Smith</v>
      </c>
      <c r="P336">
        <f ca="1">IFERROR(IF(MATCH(T_BATTINGDATA[[#This Row],[BATSMAN NAME]],OFFSET(O337,0,0,BATROWS-ROW(O336)-ROW(T_BATTINGDATA[[#Headers],[BATSMAN NAME]])),0)&gt;0,0,SUMIF($O$6:O336,T_BATTINGDATA[[#This Row],[BATSMAN NAME]],$E$6:E336)),SUMIF($O$6:O336,T_BATTINGDATA[[#This Row],[BATSMAN NAME]],$E$6:E336))</f>
        <v>0</v>
      </c>
      <c r="AP336">
        <v>18</v>
      </c>
      <c r="AQ336" t="s">
        <v>181</v>
      </c>
      <c r="AR336" t="s">
        <v>270</v>
      </c>
      <c r="AS336">
        <v>10</v>
      </c>
      <c r="AT336">
        <v>1</v>
      </c>
      <c r="AU336">
        <v>82</v>
      </c>
      <c r="AV336">
        <v>0</v>
      </c>
      <c r="AW336">
        <v>8.1999999999999993</v>
      </c>
      <c r="AX336">
        <v>24</v>
      </c>
      <c r="AY336">
        <v>13</v>
      </c>
      <c r="AZ336">
        <v>0</v>
      </c>
      <c r="BA336">
        <v>2</v>
      </c>
      <c r="BB336">
        <v>0</v>
      </c>
      <c r="BC336">
        <v>3</v>
      </c>
      <c r="BD336" t="str">
        <f>CONCATENATE(Table9[[#This Row],[Match Number]],Table9[[#This Row],[Team]],Table9[[#This Row],[BOWL NUM]])</f>
        <v>18Bangladesh3</v>
      </c>
      <c r="BE336" t="str">
        <f>IFERROR(IF(AND(Table9[[#This Row],[Team]]=I_TEAM,IFERROR(IF(MATCH(Table9[[#This Row],[Bowler]],$AR$5:AR335,0)&gt;0,0),1)),1,0),"")</f>
        <v/>
      </c>
      <c r="BF33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3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36" t="e">
        <f>IF(Table9[[#This Row],[Team]]=I_TEAM,Table9[[#This Row],[Wickets]]*100-Table9[[#This Row],[Runs]],0)</f>
        <v>#REF!</v>
      </c>
      <c r="BI336">
        <f>Table9[[#This Row],[Wickets]]*100-Table9[[#This Row],[Runs]]</f>
        <v>-82</v>
      </c>
      <c r="BJ336">
        <f ca="1">IFERROR(IF(MATCH(Table9[[#This Row],[Bowler]],OFFSET(AR337,0,0,BOWLROWS-ROW(AR336)-ROW(Table9[[#Headers],[BOWLER CUML WICKETS]])),0)&gt;0,0,SUMIF($AR$6:AR336,Table9[[#This Row],[Bowler]],$AV$6:AV336)),SUMIF($AR$6:AR336,Table9[[#This Row],[Bowler]],$AV$6:AV336))</f>
        <v>0</v>
      </c>
      <c r="BK336">
        <f ca="1">IFERROR(IF(MATCH(Table9[[#This Row],[Bowler]],OFFSET(AR337,0,0,BOWLROWS-ROW(AR336)-ROW(Table9[[#Headers],[BOWLER CUML WICKETS]])),0)&gt;0,0,SUMIF($AR$6:AR336,Table9[[#This Row],[Bowler]],$AU$6:AU336)),SUMIF($AR$6:AR336,Table9[[#This Row],[Bowler]],$AU$6:AU336))</f>
        <v>0</v>
      </c>
      <c r="BL336">
        <f ca="1">Table9[[#This Row],[BOWLER CUML WICKETS]]*100-Table9[[#This Row],[BOWLER CUML RUNS]]</f>
        <v>0</v>
      </c>
    </row>
    <row r="337" spans="1:64" x14ac:dyDescent="0.3">
      <c r="A337">
        <v>15</v>
      </c>
      <c r="B337" t="s">
        <v>170</v>
      </c>
      <c r="C337" t="s">
        <v>291</v>
      </c>
      <c r="D337" t="s">
        <v>557</v>
      </c>
      <c r="E337">
        <v>215</v>
      </c>
      <c r="F337">
        <v>212</v>
      </c>
      <c r="G337">
        <v>147</v>
      </c>
      <c r="H337">
        <v>10</v>
      </c>
      <c r="I337">
        <v>16</v>
      </c>
      <c r="J337">
        <v>146.25</v>
      </c>
      <c r="K337">
        <v>2</v>
      </c>
      <c r="L337" t="str">
        <f>CONCATENATE(T_BATTINGDATA[[#This Row],[Match]],T_BATTINGDATA[[#This Row],[Team]],T_BATTINGDATA[[#This Row],[Bat Number]])</f>
        <v>15West Indies2</v>
      </c>
      <c r="M337" t="str">
        <f>IFERROR(IF(AND(T_BATTINGDATA[[#This Row],[Team]]=I_TEAM,IFERROR(IF(MATCH(T_BATTINGDATA[[#This Row],[BATSMAN NAME]],$O$5:O336,0)&gt;0,0),1)),1,0),"")</f>
        <v/>
      </c>
      <c r="N337" t="e">
        <f>IF(T_BATTINGDATA[[#This Row],[Team]]=I_TEAM,T_BATTINGDATA[[#This Row],[R]],0)</f>
        <v>#REF!</v>
      </c>
      <c r="O337" t="str">
        <f>LEFT(T_BATTINGDATA[[#This Row],[Batsman]],IFERROR(FIND("*",T_BATTINGDATA[[#This Row],[Batsman]])-1,IFERROR(FIND("†",T_BATTINGDATA[[#This Row],[Batsman]])-1,LEN(T_BATTINGDATA[[#This Row],[Batsman]]))))</f>
        <v>CH Gayle</v>
      </c>
      <c r="P337">
        <f ca="1">IFERROR(IF(MATCH(T_BATTINGDATA[[#This Row],[BATSMAN NAME]],OFFSET(O338,0,0,BATROWS-ROW(O337)-ROW(T_BATTINGDATA[[#Headers],[BATSMAN NAME]])),0)&gt;0,0,SUMIF($O$6:O337,T_BATTINGDATA[[#This Row],[BATSMAN NAME]],$E$6:E337)),SUMIF($O$6:O337,T_BATTINGDATA[[#This Row],[BATSMAN NAME]],$E$6:E337))</f>
        <v>0</v>
      </c>
      <c r="AP337">
        <v>18</v>
      </c>
      <c r="AQ337" t="s">
        <v>181</v>
      </c>
      <c r="AR337" t="s">
        <v>280</v>
      </c>
      <c r="AS337">
        <v>10</v>
      </c>
      <c r="AT337">
        <v>0</v>
      </c>
      <c r="AU337">
        <v>55</v>
      </c>
      <c r="AV337">
        <v>0</v>
      </c>
      <c r="AW337">
        <v>5.5</v>
      </c>
      <c r="AX337">
        <v>30</v>
      </c>
      <c r="AY337">
        <v>6</v>
      </c>
      <c r="AZ337">
        <v>0</v>
      </c>
      <c r="BA337">
        <v>0</v>
      </c>
      <c r="BB337">
        <v>0</v>
      </c>
      <c r="BC337">
        <v>4</v>
      </c>
      <c r="BD337" t="str">
        <f>CONCATENATE(Table9[[#This Row],[Match Number]],Table9[[#This Row],[Team]],Table9[[#This Row],[BOWL NUM]])</f>
        <v>18Bangladesh4</v>
      </c>
      <c r="BE337" t="str">
        <f>IFERROR(IF(AND(Table9[[#This Row],[Team]]=I_TEAM,IFERROR(IF(MATCH(Table9[[#This Row],[Bowler]],$AR$5:AR336,0)&gt;0,0),1)),1,0),"")</f>
        <v/>
      </c>
      <c r="BF33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3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37" t="e">
        <f>IF(Table9[[#This Row],[Team]]=I_TEAM,Table9[[#This Row],[Wickets]]*100-Table9[[#This Row],[Runs]],0)</f>
        <v>#REF!</v>
      </c>
      <c r="BI337">
        <f>Table9[[#This Row],[Wickets]]*100-Table9[[#This Row],[Runs]]</f>
        <v>-55</v>
      </c>
      <c r="BJ337">
        <f ca="1">IFERROR(IF(MATCH(Table9[[#This Row],[Bowler]],OFFSET(AR338,0,0,BOWLROWS-ROW(AR337)-ROW(Table9[[#Headers],[BOWLER CUML WICKETS]])),0)&gt;0,0,SUMIF($AR$6:AR337,Table9[[#This Row],[Bowler]],$AV$6:AV337)),SUMIF($AR$6:AR337,Table9[[#This Row],[Bowler]],$AV$6:AV337))</f>
        <v>0</v>
      </c>
      <c r="BK337">
        <f ca="1">IFERROR(IF(MATCH(Table9[[#This Row],[Bowler]],OFFSET(AR338,0,0,BOWLROWS-ROW(AR337)-ROW(Table9[[#Headers],[BOWLER CUML WICKETS]])),0)&gt;0,0,SUMIF($AR$6:AR337,Table9[[#This Row],[Bowler]],$AU$6:AU337)),SUMIF($AR$6:AR337,Table9[[#This Row],[Bowler]],$AU$6:AU337))</f>
        <v>0</v>
      </c>
      <c r="BL337">
        <f ca="1">Table9[[#This Row],[BOWLER CUML WICKETS]]*100-Table9[[#This Row],[BOWLER CUML RUNS]]</f>
        <v>0</v>
      </c>
    </row>
    <row r="338" spans="1:64" x14ac:dyDescent="0.3">
      <c r="A338">
        <v>15</v>
      </c>
      <c r="B338" t="s">
        <v>170</v>
      </c>
      <c r="C338" t="s">
        <v>267</v>
      </c>
      <c r="D338" t="s">
        <v>167</v>
      </c>
      <c r="E338">
        <v>133</v>
      </c>
      <c r="F338">
        <v>209</v>
      </c>
      <c r="G338">
        <v>156</v>
      </c>
      <c r="H338">
        <v>11</v>
      </c>
      <c r="I338">
        <v>3</v>
      </c>
      <c r="J338">
        <v>85.25</v>
      </c>
      <c r="K338">
        <v>3</v>
      </c>
      <c r="L338" t="str">
        <f>CONCATENATE(T_BATTINGDATA[[#This Row],[Match]],T_BATTINGDATA[[#This Row],[Team]],T_BATTINGDATA[[#This Row],[Bat Number]])</f>
        <v>15West Indies3</v>
      </c>
      <c r="M338" t="str">
        <f>IFERROR(IF(AND(T_BATTINGDATA[[#This Row],[Team]]=I_TEAM,IFERROR(IF(MATCH(T_BATTINGDATA[[#This Row],[BATSMAN NAME]],$O$5:O337,0)&gt;0,0),1)),1,0),"")</f>
        <v/>
      </c>
      <c r="N338" t="e">
        <f>IF(T_BATTINGDATA[[#This Row],[Team]]=I_TEAM,T_BATTINGDATA[[#This Row],[R]],0)</f>
        <v>#REF!</v>
      </c>
      <c r="O338" t="str">
        <f>LEFT(T_BATTINGDATA[[#This Row],[Batsman]],IFERROR(FIND("*",T_BATTINGDATA[[#This Row],[Batsman]])-1,IFERROR(FIND("†",T_BATTINGDATA[[#This Row],[Batsman]])-1,LEN(T_BATTINGDATA[[#This Row],[Batsman]]))))</f>
        <v>MN Samuels</v>
      </c>
      <c r="P338">
        <f ca="1">IFERROR(IF(MATCH(T_BATTINGDATA[[#This Row],[BATSMAN NAME]],OFFSET(O339,0,0,BATROWS-ROW(O338)-ROW(T_BATTINGDATA[[#Headers],[BATSMAN NAME]])),0)&gt;0,0,SUMIF($O$6:O338,T_BATTINGDATA[[#This Row],[BATSMAN NAME]],$E$6:E338)),SUMIF($O$6:O338,T_BATTINGDATA[[#This Row],[BATSMAN NAME]],$E$6:E338))</f>
        <v>0</v>
      </c>
      <c r="AP338">
        <v>18</v>
      </c>
      <c r="AQ338" t="s">
        <v>181</v>
      </c>
      <c r="AR338" t="s">
        <v>275</v>
      </c>
      <c r="AS338">
        <v>7</v>
      </c>
      <c r="AT338">
        <v>0</v>
      </c>
      <c r="AU338">
        <v>49</v>
      </c>
      <c r="AV338">
        <v>0</v>
      </c>
      <c r="AW338">
        <v>7</v>
      </c>
      <c r="AX338">
        <v>15</v>
      </c>
      <c r="AY338">
        <v>7</v>
      </c>
      <c r="AZ338">
        <v>0</v>
      </c>
      <c r="BA338">
        <v>0</v>
      </c>
      <c r="BB338">
        <v>0</v>
      </c>
      <c r="BC338">
        <v>5</v>
      </c>
      <c r="BD338" t="str">
        <f>CONCATENATE(Table9[[#This Row],[Match Number]],Table9[[#This Row],[Team]],Table9[[#This Row],[BOWL NUM]])</f>
        <v>18Bangladesh5</v>
      </c>
      <c r="BE338" t="str">
        <f>IFERROR(IF(AND(Table9[[#This Row],[Team]]=I_TEAM,IFERROR(IF(MATCH(Table9[[#This Row],[Bowler]],$AR$5:AR337,0)&gt;0,0),1)),1,0),"")</f>
        <v/>
      </c>
      <c r="BF338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33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38" t="e">
        <f>IF(Table9[[#This Row],[Team]]=I_TEAM,Table9[[#This Row],[Wickets]]*100-Table9[[#This Row],[Runs]],0)</f>
        <v>#REF!</v>
      </c>
      <c r="BI338">
        <f>Table9[[#This Row],[Wickets]]*100-Table9[[#This Row],[Runs]]</f>
        <v>-49</v>
      </c>
      <c r="BJ338">
        <f ca="1">IFERROR(IF(MATCH(Table9[[#This Row],[Bowler]],OFFSET(AR339,0,0,BOWLROWS-ROW(AR338)-ROW(Table9[[#Headers],[BOWLER CUML WICKETS]])),0)&gt;0,0,SUMIF($AR$6:AR338,Table9[[#This Row],[Bowler]],$AV$6:AV338)),SUMIF($AR$6:AR338,Table9[[#This Row],[Bowler]],$AV$6:AV338))</f>
        <v>0</v>
      </c>
      <c r="BK338">
        <f ca="1">IFERROR(IF(MATCH(Table9[[#This Row],[Bowler]],OFFSET(AR339,0,0,BOWLROWS-ROW(AR338)-ROW(Table9[[#Headers],[BOWLER CUML WICKETS]])),0)&gt;0,0,SUMIF($AR$6:AR338,Table9[[#This Row],[Bowler]],$AU$6:AU338)),SUMIF($AR$6:AR338,Table9[[#This Row],[Bowler]],$AU$6:AU338))</f>
        <v>0</v>
      </c>
      <c r="BL338">
        <f ca="1">Table9[[#This Row],[BOWLER CUML WICKETS]]*100-Table9[[#This Row],[BOWLER CUML RUNS]]</f>
        <v>0</v>
      </c>
    </row>
    <row r="339" spans="1:64" x14ac:dyDescent="0.3">
      <c r="A339">
        <v>15</v>
      </c>
      <c r="B339" t="s">
        <v>158</v>
      </c>
      <c r="C339" t="s">
        <v>217</v>
      </c>
      <c r="D339" t="s">
        <v>520</v>
      </c>
      <c r="E339">
        <v>26</v>
      </c>
      <c r="F339">
        <v>36</v>
      </c>
      <c r="G339">
        <v>20</v>
      </c>
      <c r="H339">
        <v>5</v>
      </c>
      <c r="I339">
        <v>0</v>
      </c>
      <c r="J339">
        <v>130</v>
      </c>
      <c r="K339">
        <v>1</v>
      </c>
      <c r="L339" t="str">
        <f>CONCATENATE(T_BATTINGDATA[[#This Row],[Match]],T_BATTINGDATA[[#This Row],[Team]],T_BATTINGDATA[[#This Row],[Bat Number]])</f>
        <v>15Zimbabwe1</v>
      </c>
      <c r="M339" t="str">
        <f>IFERROR(IF(AND(T_BATTINGDATA[[#This Row],[Team]]=I_TEAM,IFERROR(IF(MATCH(T_BATTINGDATA[[#This Row],[BATSMAN NAME]],$O$5:O338,0)&gt;0,0),1)),1,0),"")</f>
        <v/>
      </c>
      <c r="N339" t="e">
        <f>IF(T_BATTINGDATA[[#This Row],[Team]]=I_TEAM,T_BATTINGDATA[[#This Row],[R]],0)</f>
        <v>#REF!</v>
      </c>
      <c r="O339" t="str">
        <f>LEFT(T_BATTINGDATA[[#This Row],[Batsman]],IFERROR(FIND("*",T_BATTINGDATA[[#This Row],[Batsman]])-1,IFERROR(FIND("†",T_BATTINGDATA[[#This Row],[Batsman]])-1,LEN(T_BATTINGDATA[[#This Row],[Batsman]]))))</f>
        <v>Sikandar Raza</v>
      </c>
      <c r="P339">
        <f ca="1">IFERROR(IF(MATCH(T_BATTINGDATA[[#This Row],[BATSMAN NAME]],OFFSET(O340,0,0,BATROWS-ROW(O339)-ROW(T_BATTINGDATA[[#Headers],[BATSMAN NAME]])),0)&gt;0,0,SUMIF($O$6:O339,T_BATTINGDATA[[#This Row],[BATSMAN NAME]],$E$6:E339)),SUMIF($O$6:O339,T_BATTINGDATA[[#This Row],[BATSMAN NAME]],$E$6:E339))</f>
        <v>0</v>
      </c>
      <c r="AP339">
        <v>18</v>
      </c>
      <c r="AQ339" t="s">
        <v>181</v>
      </c>
      <c r="AR339" t="s">
        <v>342</v>
      </c>
      <c r="AS339">
        <v>4</v>
      </c>
      <c r="AT339">
        <v>0</v>
      </c>
      <c r="AU339">
        <v>26</v>
      </c>
      <c r="AV339">
        <v>0</v>
      </c>
      <c r="AW339">
        <v>6.5</v>
      </c>
      <c r="AX339">
        <v>8</v>
      </c>
      <c r="AY339">
        <v>2</v>
      </c>
      <c r="AZ339">
        <v>0</v>
      </c>
      <c r="BA339">
        <v>1</v>
      </c>
      <c r="BB339">
        <v>0</v>
      </c>
      <c r="BC339">
        <v>6</v>
      </c>
      <c r="BD339" t="str">
        <f>CONCATENATE(Table9[[#This Row],[Match Number]],Table9[[#This Row],[Team]],Table9[[#This Row],[BOWL NUM]])</f>
        <v>18Bangladesh6</v>
      </c>
      <c r="BE339" t="str">
        <f>IFERROR(IF(AND(Table9[[#This Row],[Team]]=I_TEAM,IFERROR(IF(MATCH(Table9[[#This Row],[Bowler]],$AR$5:AR338,0)&gt;0,0),1)),1,0),"")</f>
        <v/>
      </c>
      <c r="BF339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33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39" t="e">
        <f>IF(Table9[[#This Row],[Team]]=I_TEAM,Table9[[#This Row],[Wickets]]*100-Table9[[#This Row],[Runs]],0)</f>
        <v>#REF!</v>
      </c>
      <c r="BI339">
        <f>Table9[[#This Row],[Wickets]]*100-Table9[[#This Row],[Runs]]</f>
        <v>-26</v>
      </c>
      <c r="BJ339">
        <f ca="1">IFERROR(IF(MATCH(Table9[[#This Row],[Bowler]],OFFSET(AR340,0,0,BOWLROWS-ROW(AR339)-ROW(Table9[[#Headers],[BOWLER CUML WICKETS]])),0)&gt;0,0,SUMIF($AR$6:AR392,Table9[[#This Row],[Bowler]],$AV$6:AV392)),SUMIF($AR$6:AR392,Table9[[#This Row],[Bowler]],$AV$6:AV392))</f>
        <v>0</v>
      </c>
      <c r="BK339">
        <f ca="1">IFERROR(IF(MATCH(Table9[[#This Row],[Bowler]],OFFSET(AR340,0,0,BOWLROWS-ROW(AR339)-ROW(Table9[[#Headers],[BOWLER CUML WICKETS]])),0)&gt;0,0,SUMIF($AR$6:AR487,Table9[[#This Row],[Bowler]],$AU$6:AU487)),SUMIF($AR$6:AR487,Table9[[#This Row],[Bowler]],$AU$6:AU487))</f>
        <v>0</v>
      </c>
      <c r="BL339">
        <f ca="1">Table9[[#This Row],[BOWLER CUML WICKETS]]*100-Table9[[#This Row],[BOWLER CUML RUNS]]</f>
        <v>0</v>
      </c>
    </row>
    <row r="340" spans="1:64" x14ac:dyDescent="0.3">
      <c r="A340">
        <v>15</v>
      </c>
      <c r="B340" t="s">
        <v>158</v>
      </c>
      <c r="C340" t="s">
        <v>235</v>
      </c>
      <c r="D340" t="s">
        <v>558</v>
      </c>
      <c r="E340">
        <v>2</v>
      </c>
      <c r="F340">
        <v>10</v>
      </c>
      <c r="G340">
        <v>5</v>
      </c>
      <c r="H340">
        <v>0</v>
      </c>
      <c r="I340">
        <v>0</v>
      </c>
      <c r="J340">
        <v>40</v>
      </c>
      <c r="K340">
        <v>2</v>
      </c>
      <c r="L340" t="str">
        <f>CONCATENATE(T_BATTINGDATA[[#This Row],[Match]],T_BATTINGDATA[[#This Row],[Team]],T_BATTINGDATA[[#This Row],[Bat Number]])</f>
        <v>15Zimbabwe2</v>
      </c>
      <c r="M340" t="str">
        <f>IFERROR(IF(AND(T_BATTINGDATA[[#This Row],[Team]]=I_TEAM,IFERROR(IF(MATCH(T_BATTINGDATA[[#This Row],[BATSMAN NAME]],$O$5:O339,0)&gt;0,0),1)),1,0),"")</f>
        <v/>
      </c>
      <c r="N340" t="e">
        <f>IF(T_BATTINGDATA[[#This Row],[Team]]=I_TEAM,T_BATTINGDATA[[#This Row],[R]],0)</f>
        <v>#REF!</v>
      </c>
      <c r="O340" t="str">
        <f>LEFT(T_BATTINGDATA[[#This Row],[Batsman]],IFERROR(FIND("*",T_BATTINGDATA[[#This Row],[Batsman]])-1,IFERROR(FIND("†",T_BATTINGDATA[[#This Row],[Batsman]])-1,LEN(T_BATTINGDATA[[#This Row],[Batsman]]))))</f>
        <v>RW Chakabva</v>
      </c>
      <c r="P340">
        <f ca="1">IFERROR(IF(MATCH(T_BATTINGDATA[[#This Row],[BATSMAN NAME]],OFFSET(O341,0,0,BATROWS-ROW(O340)-ROW(T_BATTINGDATA[[#Headers],[BATSMAN NAME]])),0)&gt;0,0,SUMIF($O$6:O340,T_BATTINGDATA[[#This Row],[BATSMAN NAME]],$E$6:E340)),SUMIF($O$6:O340,T_BATTINGDATA[[#This Row],[BATSMAN NAME]],$E$6:E340))</f>
        <v>0</v>
      </c>
      <c r="AP340">
        <v>18</v>
      </c>
      <c r="AQ340" t="s">
        <v>145</v>
      </c>
      <c r="AR340" t="s">
        <v>287</v>
      </c>
      <c r="AS340">
        <v>9</v>
      </c>
      <c r="AT340">
        <v>0</v>
      </c>
      <c r="AU340">
        <v>35</v>
      </c>
      <c r="AV340">
        <v>3</v>
      </c>
      <c r="AW340">
        <v>3.88</v>
      </c>
      <c r="AX340">
        <v>34</v>
      </c>
      <c r="AY340">
        <v>4</v>
      </c>
      <c r="AZ340">
        <v>0</v>
      </c>
      <c r="BA340">
        <v>0</v>
      </c>
      <c r="BB340">
        <v>0</v>
      </c>
      <c r="BC340">
        <v>1</v>
      </c>
      <c r="BD340" t="str">
        <f>CONCATENATE(Table9[[#This Row],[Match Number]],Table9[[#This Row],[Team]],Table9[[#This Row],[BOWL NUM]])</f>
        <v>18Sri Lanka1</v>
      </c>
      <c r="BE340" t="str">
        <f>IFERROR(IF(AND(Table9[[#This Row],[Team]]=I_TEAM,IFERROR(IF(MATCH(Table9[[#This Row],[Bowler]],$AR$5:AR339,0)&gt;0,0),1)),1,0),"")</f>
        <v/>
      </c>
      <c r="BF340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4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340" t="e">
        <f>IF(Table9[[#This Row],[Team]]=I_TEAM,Table9[[#This Row],[Wickets]]*100-Table9[[#This Row],[Runs]],0)</f>
        <v>#REF!</v>
      </c>
      <c r="BI340">
        <f>Table9[[#This Row],[Wickets]]*100-Table9[[#This Row],[Runs]]</f>
        <v>265</v>
      </c>
      <c r="BJ340">
        <f ca="1">IFERROR(IF(MATCH(Table9[[#This Row],[Bowler]],OFFSET(AR341,0,0,BOWLROWS-ROW(AR340)-ROW(Table9[[#Headers],[BOWLER CUML WICKETS]])),0)&gt;0,0,SUMIF($AR$6:AR340,Table9[[#This Row],[Bowler]],$AV$6:AV340)),SUMIF($AR$6:AR340,Table9[[#This Row],[Bowler]],$AV$6:AV340))</f>
        <v>0</v>
      </c>
      <c r="BK340">
        <f ca="1">IFERROR(IF(MATCH(Table9[[#This Row],[Bowler]],OFFSET(AR341,0,0,BOWLROWS-ROW(AR340)-ROW(Table9[[#Headers],[BOWLER CUML WICKETS]])),0)&gt;0,0,SUMIF($AR$6:AR340,Table9[[#This Row],[Bowler]],$AU$6:AU340)),SUMIF($AR$6:AR340,Table9[[#This Row],[Bowler]],$AU$6:AU340))</f>
        <v>0</v>
      </c>
      <c r="BL340">
        <f ca="1">Table9[[#This Row],[BOWLER CUML WICKETS]]*100-Table9[[#This Row],[BOWLER CUML RUNS]]</f>
        <v>0</v>
      </c>
    </row>
    <row r="341" spans="1:64" x14ac:dyDescent="0.3">
      <c r="A341">
        <v>15</v>
      </c>
      <c r="B341" t="s">
        <v>158</v>
      </c>
      <c r="C341" t="s">
        <v>218</v>
      </c>
      <c r="D341" t="s">
        <v>559</v>
      </c>
      <c r="E341">
        <v>5</v>
      </c>
      <c r="F341">
        <v>12</v>
      </c>
      <c r="G341">
        <v>14</v>
      </c>
      <c r="H341">
        <v>0</v>
      </c>
      <c r="I341">
        <v>0</v>
      </c>
      <c r="J341">
        <v>35.71</v>
      </c>
      <c r="K341">
        <v>3</v>
      </c>
      <c r="L341" t="str">
        <f>CONCATENATE(T_BATTINGDATA[[#This Row],[Match]],T_BATTINGDATA[[#This Row],[Team]],T_BATTINGDATA[[#This Row],[Bat Number]])</f>
        <v>15Zimbabwe3</v>
      </c>
      <c r="M341" t="str">
        <f>IFERROR(IF(AND(T_BATTINGDATA[[#This Row],[Team]]=I_TEAM,IFERROR(IF(MATCH(T_BATTINGDATA[[#This Row],[BATSMAN NAME]],$O$5:O340,0)&gt;0,0),1)),1,0),"")</f>
        <v/>
      </c>
      <c r="N341" t="e">
        <f>IF(T_BATTINGDATA[[#This Row],[Team]]=I_TEAM,T_BATTINGDATA[[#This Row],[R]],0)</f>
        <v>#REF!</v>
      </c>
      <c r="O341" t="str">
        <f>LEFT(T_BATTINGDATA[[#This Row],[Batsman]],IFERROR(FIND("*",T_BATTINGDATA[[#This Row],[Batsman]])-1,IFERROR(FIND("†",T_BATTINGDATA[[#This Row],[Batsman]])-1,LEN(T_BATTINGDATA[[#This Row],[Batsman]]))))</f>
        <v>H Masakadza</v>
      </c>
      <c r="P341">
        <f ca="1">IFERROR(IF(MATCH(T_BATTINGDATA[[#This Row],[BATSMAN NAME]],OFFSET(O342,0,0,BATROWS-ROW(O341)-ROW(T_BATTINGDATA[[#Headers],[BATSMAN NAME]])),0)&gt;0,0,SUMIF($O$6:O341,T_BATTINGDATA[[#This Row],[BATSMAN NAME]],$E$6:E341)),SUMIF($O$6:O341,T_BATTINGDATA[[#This Row],[BATSMAN NAME]],$E$6:E341))</f>
        <v>0</v>
      </c>
      <c r="AP341">
        <v>18</v>
      </c>
      <c r="AQ341" t="s">
        <v>145</v>
      </c>
      <c r="AR341" t="s">
        <v>293</v>
      </c>
      <c r="AS341">
        <v>8</v>
      </c>
      <c r="AT341">
        <v>0</v>
      </c>
      <c r="AU341">
        <v>49</v>
      </c>
      <c r="AV341">
        <v>2</v>
      </c>
      <c r="AW341">
        <v>6.12</v>
      </c>
      <c r="AX341">
        <v>24</v>
      </c>
      <c r="AY341">
        <v>6</v>
      </c>
      <c r="AZ341">
        <v>0</v>
      </c>
      <c r="BA341">
        <v>2</v>
      </c>
      <c r="BB341">
        <v>0</v>
      </c>
      <c r="BC341">
        <v>2</v>
      </c>
      <c r="BD341" t="str">
        <f>CONCATENATE(Table9[[#This Row],[Match Number]],Table9[[#This Row],[Team]],Table9[[#This Row],[BOWL NUM]])</f>
        <v>18Sri Lanka2</v>
      </c>
      <c r="BE341" t="str">
        <f>IFERROR(IF(AND(Table9[[#This Row],[Team]]=I_TEAM,IFERROR(IF(MATCH(Table9[[#This Row],[Bowler]],$AR$5:AR340,0)&gt;0,0),1)),1,0),"")</f>
        <v/>
      </c>
      <c r="BF341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4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341" t="e">
        <f>IF(Table9[[#This Row],[Team]]=I_TEAM,Table9[[#This Row],[Wickets]]*100-Table9[[#This Row],[Runs]],0)</f>
        <v>#REF!</v>
      </c>
      <c r="BI341">
        <f>Table9[[#This Row],[Wickets]]*100-Table9[[#This Row],[Runs]]</f>
        <v>151</v>
      </c>
      <c r="BJ341">
        <f ca="1">IFERROR(IF(MATCH(Table9[[#This Row],[Bowler]],OFFSET(AR342,0,0,BOWLROWS-ROW(AR341)-ROW(Table9[[#Headers],[BOWLER CUML WICKETS]])),0)&gt;0,0,SUMIF($AR$6:AR341,Table9[[#This Row],[Bowler]],$AV$6:AV341)),SUMIF($AR$6:AR341,Table9[[#This Row],[Bowler]],$AV$6:AV341))</f>
        <v>0</v>
      </c>
      <c r="BK341">
        <f ca="1">IFERROR(IF(MATCH(Table9[[#This Row],[Bowler]],OFFSET(AR342,0,0,BOWLROWS-ROW(AR341)-ROW(Table9[[#Headers],[BOWLER CUML WICKETS]])),0)&gt;0,0,SUMIF($AR$6:AR341,Table9[[#This Row],[Bowler]],$AU$6:AU341)),SUMIF($AR$6:AR341,Table9[[#This Row],[Bowler]],$AU$6:AU341))</f>
        <v>0</v>
      </c>
      <c r="BL341">
        <f ca="1">Table9[[#This Row],[BOWLER CUML WICKETS]]*100-Table9[[#This Row],[BOWLER CUML RUNS]]</f>
        <v>0</v>
      </c>
    </row>
    <row r="342" spans="1:64" x14ac:dyDescent="0.3">
      <c r="A342">
        <v>15</v>
      </c>
      <c r="B342" t="s">
        <v>158</v>
      </c>
      <c r="C342" t="s">
        <v>420</v>
      </c>
      <c r="D342" t="s">
        <v>437</v>
      </c>
      <c r="E342">
        <v>37</v>
      </c>
      <c r="F342">
        <v>61</v>
      </c>
      <c r="G342">
        <v>48</v>
      </c>
      <c r="H342">
        <v>2</v>
      </c>
      <c r="I342">
        <v>1</v>
      </c>
      <c r="J342">
        <v>77.08</v>
      </c>
      <c r="K342">
        <v>4</v>
      </c>
      <c r="L342" t="str">
        <f>CONCATENATE(T_BATTINGDATA[[#This Row],[Match]],T_BATTINGDATA[[#This Row],[Team]],T_BATTINGDATA[[#This Row],[Bat Number]])</f>
        <v>15Zimbabwe4</v>
      </c>
      <c r="M342" t="str">
        <f>IFERROR(IF(AND(T_BATTINGDATA[[#This Row],[Team]]=I_TEAM,IFERROR(IF(MATCH(T_BATTINGDATA[[#This Row],[BATSMAN NAME]],$O$5:O341,0)&gt;0,0),1)),1,0),"")</f>
        <v/>
      </c>
      <c r="N342" t="e">
        <f>IF(T_BATTINGDATA[[#This Row],[Team]]=I_TEAM,T_BATTINGDATA[[#This Row],[R]],0)</f>
        <v>#REF!</v>
      </c>
      <c r="O342" t="str">
        <f>LEFT(T_BATTINGDATA[[#This Row],[Batsman]],IFERROR(FIND("*",T_BATTINGDATA[[#This Row],[Batsman]])-1,IFERROR(FIND("†",T_BATTINGDATA[[#This Row],[Batsman]])-1,LEN(T_BATTINGDATA[[#This Row],[Batsman]]))))</f>
        <v>BRM Taylor</v>
      </c>
      <c r="P342">
        <f ca="1">IFERROR(IF(MATCH(T_BATTINGDATA[[#This Row],[BATSMAN NAME]],OFFSET(O343,0,0,BATROWS-ROW(O342)-ROW(T_BATTINGDATA[[#Headers],[BATSMAN NAME]])),0)&gt;0,0,SUMIF($O$6:O342,T_BATTINGDATA[[#This Row],[BATSMAN NAME]],$E$6:E342)),SUMIF($O$6:O342,T_BATTINGDATA[[#This Row],[BATSMAN NAME]],$E$6:E342))</f>
        <v>0</v>
      </c>
      <c r="AP342">
        <v>18</v>
      </c>
      <c r="AQ342" t="s">
        <v>145</v>
      </c>
      <c r="AR342" t="s">
        <v>288</v>
      </c>
      <c r="AS342">
        <v>5.4</v>
      </c>
      <c r="AT342">
        <v>0</v>
      </c>
      <c r="AU342">
        <v>36</v>
      </c>
      <c r="AV342">
        <v>1</v>
      </c>
      <c r="AW342">
        <v>6.35</v>
      </c>
      <c r="AX342">
        <v>18</v>
      </c>
      <c r="AY342">
        <v>4</v>
      </c>
      <c r="AZ342">
        <v>1</v>
      </c>
      <c r="BA342">
        <v>0</v>
      </c>
      <c r="BB342">
        <v>0</v>
      </c>
      <c r="BC342">
        <v>3</v>
      </c>
      <c r="BD342" t="str">
        <f>CONCATENATE(Table9[[#This Row],[Match Number]],Table9[[#This Row],[Team]],Table9[[#This Row],[BOWL NUM]])</f>
        <v>18Sri Lanka3</v>
      </c>
      <c r="BE342" t="str">
        <f>IFERROR(IF(AND(Table9[[#This Row],[Team]]=I_TEAM,IFERROR(IF(MATCH(Table9[[#This Row],[Bowler]],$AR$5:AR341,0)&gt;0,0),1)),1,0),"")</f>
        <v/>
      </c>
      <c r="BF342">
        <f>(LEFT(Table9[[#This Row],[Overs]],IFERROR(FIND(".",Table9[[#This Row],[Overs]])-1,LEN(Table9[[#This Row],[Overs]])))*6) + IFERROR(IF(FIND(".",Table9[[#This Row],[Overs]])+1&gt;0,RIGHT(Table9[[#This Row],[Overs]],1),0),0)</f>
        <v>34</v>
      </c>
      <c r="BG34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342" t="e">
        <f>IF(Table9[[#This Row],[Team]]=I_TEAM,Table9[[#This Row],[Wickets]]*100-Table9[[#This Row],[Runs]],0)</f>
        <v>#REF!</v>
      </c>
      <c r="BI342">
        <f>Table9[[#This Row],[Wickets]]*100-Table9[[#This Row],[Runs]]</f>
        <v>64</v>
      </c>
      <c r="BJ342">
        <f ca="1">IFERROR(IF(MATCH(Table9[[#This Row],[Bowler]],OFFSET(AR343,0,0,BOWLROWS-ROW(AR342)-ROW(Table9[[#Headers],[BOWLER CUML WICKETS]])),0)&gt;0,0,SUMIF($AR$6:AR342,Table9[[#This Row],[Bowler]],$AV$6:AV342)),SUMIF($AR$6:AR342,Table9[[#This Row],[Bowler]],$AV$6:AV342))</f>
        <v>0</v>
      </c>
      <c r="BK342">
        <f ca="1">IFERROR(IF(MATCH(Table9[[#This Row],[Bowler]],OFFSET(AR343,0,0,BOWLROWS-ROW(AR342)-ROW(Table9[[#Headers],[BOWLER CUML WICKETS]])),0)&gt;0,0,SUMIF($AR$6:AR342,Table9[[#This Row],[Bowler]],$AU$6:AU342)),SUMIF($AR$6:AR342,Table9[[#This Row],[Bowler]],$AU$6:AU342))</f>
        <v>0</v>
      </c>
      <c r="BL342">
        <f ca="1">Table9[[#This Row],[BOWLER CUML WICKETS]]*100-Table9[[#This Row],[BOWLER CUML RUNS]]</f>
        <v>0</v>
      </c>
    </row>
    <row r="343" spans="1:64" x14ac:dyDescent="0.3">
      <c r="A343">
        <v>15</v>
      </c>
      <c r="B343" t="s">
        <v>158</v>
      </c>
      <c r="C343" t="s">
        <v>214</v>
      </c>
      <c r="D343" t="s">
        <v>560</v>
      </c>
      <c r="E343">
        <v>76</v>
      </c>
      <c r="F343">
        <v>78</v>
      </c>
      <c r="G343">
        <v>61</v>
      </c>
      <c r="H343">
        <v>9</v>
      </c>
      <c r="I343">
        <v>0</v>
      </c>
      <c r="J343">
        <v>124.59</v>
      </c>
      <c r="K343">
        <v>5</v>
      </c>
      <c r="L343" t="str">
        <f>CONCATENATE(T_BATTINGDATA[[#This Row],[Match]],T_BATTINGDATA[[#This Row],[Team]],T_BATTINGDATA[[#This Row],[Bat Number]])</f>
        <v>15Zimbabwe5</v>
      </c>
      <c r="M343" t="str">
        <f>IFERROR(IF(AND(T_BATTINGDATA[[#This Row],[Team]]=I_TEAM,IFERROR(IF(MATCH(T_BATTINGDATA[[#This Row],[BATSMAN NAME]],$O$5:O342,0)&gt;0,0),1)),1,0),"")</f>
        <v/>
      </c>
      <c r="N343" t="e">
        <f>IF(T_BATTINGDATA[[#This Row],[Team]]=I_TEAM,T_BATTINGDATA[[#This Row],[R]],0)</f>
        <v>#REF!</v>
      </c>
      <c r="O343" t="str">
        <f>LEFT(T_BATTINGDATA[[#This Row],[Batsman]],IFERROR(FIND("*",T_BATTINGDATA[[#This Row],[Batsman]])-1,IFERROR(FIND("†",T_BATTINGDATA[[#This Row],[Batsman]])-1,LEN(T_BATTINGDATA[[#This Row],[Batsman]]))))</f>
        <v>SC Williams</v>
      </c>
      <c r="P343">
        <f ca="1">IFERROR(IF(MATCH(T_BATTINGDATA[[#This Row],[BATSMAN NAME]],OFFSET(O344,0,0,BATROWS-ROW(O343)-ROW(T_BATTINGDATA[[#Headers],[BATSMAN NAME]])),0)&gt;0,0,SUMIF($O$6:O343,T_BATTINGDATA[[#This Row],[BATSMAN NAME]],$E$6:E343)),SUMIF($O$6:O343,T_BATTINGDATA[[#This Row],[BATSMAN NAME]],$E$6:E343))</f>
        <v>0</v>
      </c>
      <c r="AP343">
        <v>18</v>
      </c>
      <c r="AQ343" t="s">
        <v>145</v>
      </c>
      <c r="AR343" t="s">
        <v>289</v>
      </c>
      <c r="AS343">
        <v>10</v>
      </c>
      <c r="AT343">
        <v>0</v>
      </c>
      <c r="AU343">
        <v>43</v>
      </c>
      <c r="AV343">
        <v>0</v>
      </c>
      <c r="AW343">
        <v>4.3</v>
      </c>
      <c r="AX343">
        <v>37</v>
      </c>
      <c r="AY343">
        <v>4</v>
      </c>
      <c r="AZ343">
        <v>1</v>
      </c>
      <c r="BA343">
        <v>0</v>
      </c>
      <c r="BB343">
        <v>0</v>
      </c>
      <c r="BC343">
        <v>4</v>
      </c>
      <c r="BD343" t="str">
        <f>CONCATENATE(Table9[[#This Row],[Match Number]],Table9[[#This Row],[Team]],Table9[[#This Row],[BOWL NUM]])</f>
        <v>18Sri Lanka4</v>
      </c>
      <c r="BE343" t="str">
        <f>IFERROR(IF(AND(Table9[[#This Row],[Team]]=I_TEAM,IFERROR(IF(MATCH(Table9[[#This Row],[Bowler]],$AR$5:AR342,0)&gt;0,0),1)),1,0),"")</f>
        <v/>
      </c>
      <c r="BF34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4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343" t="e">
        <f>IF(Table9[[#This Row],[Team]]=I_TEAM,Table9[[#This Row],[Wickets]]*100-Table9[[#This Row],[Runs]],0)</f>
        <v>#REF!</v>
      </c>
      <c r="BI343">
        <f>Table9[[#This Row],[Wickets]]*100-Table9[[#This Row],[Runs]]</f>
        <v>-43</v>
      </c>
      <c r="BJ343">
        <f ca="1">IFERROR(IF(MATCH(Table9[[#This Row],[Bowler]],OFFSET(AR344,0,0,BOWLROWS-ROW(AR343)-ROW(Table9[[#Headers],[BOWLER CUML WICKETS]])),0)&gt;0,0,SUMIF($AR$6:AR343,Table9[[#This Row],[Bowler]],$AV$6:AV343)),SUMIF($AR$6:AR343,Table9[[#This Row],[Bowler]],$AV$6:AV343))</f>
        <v>0</v>
      </c>
      <c r="BK343">
        <f ca="1">IFERROR(IF(MATCH(Table9[[#This Row],[Bowler]],OFFSET(AR344,0,0,BOWLROWS-ROW(AR343)-ROW(Table9[[#Headers],[BOWLER CUML WICKETS]])),0)&gt;0,0,SUMIF($AR$6:AR343,Table9[[#This Row],[Bowler]],$AU$6:AU343)),SUMIF($AR$6:AR343,Table9[[#This Row],[Bowler]],$AU$6:AU343))</f>
        <v>0</v>
      </c>
      <c r="BL343">
        <f ca="1">Table9[[#This Row],[BOWLER CUML WICKETS]]*100-Table9[[#This Row],[BOWLER CUML RUNS]]</f>
        <v>0</v>
      </c>
    </row>
    <row r="344" spans="1:64" x14ac:dyDescent="0.3">
      <c r="A344">
        <v>15</v>
      </c>
      <c r="B344" t="s">
        <v>158</v>
      </c>
      <c r="C344" t="s">
        <v>231</v>
      </c>
      <c r="D344" t="s">
        <v>561</v>
      </c>
      <c r="E344">
        <v>52</v>
      </c>
      <c r="F344">
        <v>61</v>
      </c>
      <c r="G344">
        <v>41</v>
      </c>
      <c r="H344">
        <v>7</v>
      </c>
      <c r="I344">
        <v>1</v>
      </c>
      <c r="J344">
        <v>126.82</v>
      </c>
      <c r="K344">
        <v>6</v>
      </c>
      <c r="L344" t="str">
        <f>CONCATENATE(T_BATTINGDATA[[#This Row],[Match]],T_BATTINGDATA[[#This Row],[Team]],T_BATTINGDATA[[#This Row],[Bat Number]])</f>
        <v>15Zimbabwe6</v>
      </c>
      <c r="M344" t="str">
        <f>IFERROR(IF(AND(T_BATTINGDATA[[#This Row],[Team]]=I_TEAM,IFERROR(IF(MATCH(T_BATTINGDATA[[#This Row],[BATSMAN NAME]],$O$5:O343,0)&gt;0,0),1)),1,0),"")</f>
        <v/>
      </c>
      <c r="N344" t="e">
        <f>IF(T_BATTINGDATA[[#This Row],[Team]]=I_TEAM,T_BATTINGDATA[[#This Row],[R]],0)</f>
        <v>#REF!</v>
      </c>
      <c r="O344" t="str">
        <f>LEFT(T_BATTINGDATA[[#This Row],[Batsman]],IFERROR(FIND("*",T_BATTINGDATA[[#This Row],[Batsman]])-1,IFERROR(FIND("†",T_BATTINGDATA[[#This Row],[Batsman]])-1,LEN(T_BATTINGDATA[[#This Row],[Batsman]]))))</f>
        <v>CR Ervine</v>
      </c>
      <c r="P344">
        <f ca="1">IFERROR(IF(MATCH(T_BATTINGDATA[[#This Row],[BATSMAN NAME]],OFFSET(O345,0,0,BATROWS-ROW(O344)-ROW(T_BATTINGDATA[[#Headers],[BATSMAN NAME]])),0)&gt;0,0,SUMIF($O$6:O344,T_BATTINGDATA[[#This Row],[BATSMAN NAME]],$E$6:E344)),SUMIF($O$6:O344,T_BATTINGDATA[[#This Row],[BATSMAN NAME]],$E$6:E344))</f>
        <v>0</v>
      </c>
      <c r="AP344">
        <v>18</v>
      </c>
      <c r="AQ344" t="s">
        <v>145</v>
      </c>
      <c r="AR344" t="s">
        <v>445</v>
      </c>
      <c r="AS344">
        <v>6.2</v>
      </c>
      <c r="AT344">
        <v>0</v>
      </c>
      <c r="AU344">
        <v>33</v>
      </c>
      <c r="AV344">
        <v>1</v>
      </c>
      <c r="AW344">
        <v>5.21</v>
      </c>
      <c r="AX344">
        <v>18</v>
      </c>
      <c r="AY344">
        <v>3</v>
      </c>
      <c r="AZ344">
        <v>0</v>
      </c>
      <c r="BA344">
        <v>1</v>
      </c>
      <c r="BB344">
        <v>0</v>
      </c>
      <c r="BC344">
        <v>5</v>
      </c>
      <c r="BD344" t="str">
        <f>CONCATENATE(Table9[[#This Row],[Match Number]],Table9[[#This Row],[Team]],Table9[[#This Row],[BOWL NUM]])</f>
        <v>18Sri Lanka5</v>
      </c>
      <c r="BE344" t="str">
        <f>IFERROR(IF(AND(Table9[[#This Row],[Team]]=I_TEAM,IFERROR(IF(MATCH(Table9[[#This Row],[Bowler]],$AR$5:AR343,0)&gt;0,0),1)),1,0),"")</f>
        <v/>
      </c>
      <c r="BF344">
        <f>(LEFT(Table9[[#This Row],[Overs]],IFERROR(FIND(".",Table9[[#This Row],[Overs]])-1,LEN(Table9[[#This Row],[Overs]])))*6) + IFERROR(IF(FIND(".",Table9[[#This Row],[Overs]])+1&gt;0,RIGHT(Table9[[#This Row],[Overs]],1),0),0)</f>
        <v>38</v>
      </c>
      <c r="BG34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344" t="e">
        <f>IF(Table9[[#This Row],[Team]]=I_TEAM,Table9[[#This Row],[Wickets]]*100-Table9[[#This Row],[Runs]],0)</f>
        <v>#REF!</v>
      </c>
      <c r="BI344">
        <f>Table9[[#This Row],[Wickets]]*100-Table9[[#This Row],[Runs]]</f>
        <v>67</v>
      </c>
      <c r="BJ344">
        <f ca="1">IFERROR(IF(MATCH(Table9[[#This Row],[Bowler]],OFFSET(AR345,0,0,BOWLROWS-ROW(AR344)-ROW(Table9[[#Headers],[BOWLER CUML WICKETS]])),0)&gt;0,0,SUMIF($AR$6:AR344,Table9[[#This Row],[Bowler]],$AV$6:AV344)),SUMIF($AR$6:AR344,Table9[[#This Row],[Bowler]],$AV$6:AV344))</f>
        <v>0</v>
      </c>
      <c r="BK344">
        <f ca="1">IFERROR(IF(MATCH(Table9[[#This Row],[Bowler]],OFFSET(AR345,0,0,BOWLROWS-ROW(AR344)-ROW(Table9[[#Headers],[BOWLER CUML WICKETS]])),0)&gt;0,0,SUMIF($AR$6:AR344,Table9[[#This Row],[Bowler]],$AU$6:AU344)),SUMIF($AR$6:AR344,Table9[[#This Row],[Bowler]],$AU$6:AU344))</f>
        <v>0</v>
      </c>
      <c r="BL344">
        <f ca="1">Table9[[#This Row],[BOWLER CUML WICKETS]]*100-Table9[[#This Row],[BOWLER CUML RUNS]]</f>
        <v>0</v>
      </c>
    </row>
    <row r="345" spans="1:64" x14ac:dyDescent="0.3">
      <c r="A345">
        <v>15</v>
      </c>
      <c r="B345" t="s">
        <v>158</v>
      </c>
      <c r="C345" t="s">
        <v>562</v>
      </c>
      <c r="D345" t="s">
        <v>563</v>
      </c>
      <c r="E345">
        <v>19</v>
      </c>
      <c r="F345">
        <v>41</v>
      </c>
      <c r="G345">
        <v>23</v>
      </c>
      <c r="H345">
        <v>2</v>
      </c>
      <c r="I345">
        <v>0</v>
      </c>
      <c r="J345">
        <v>82.6</v>
      </c>
      <c r="K345">
        <v>7</v>
      </c>
      <c r="L345" t="str">
        <f>CONCATENATE(T_BATTINGDATA[[#This Row],[Match]],T_BATTINGDATA[[#This Row],[Team]],T_BATTINGDATA[[#This Row],[Bat Number]])</f>
        <v>15Zimbabwe7</v>
      </c>
      <c r="M345" t="str">
        <f>IFERROR(IF(AND(T_BATTINGDATA[[#This Row],[Team]]=I_TEAM,IFERROR(IF(MATCH(T_BATTINGDATA[[#This Row],[BATSMAN NAME]],$O$5:O344,0)&gt;0,0),1)),1,0),"")</f>
        <v/>
      </c>
      <c r="N345" t="e">
        <f>IF(T_BATTINGDATA[[#This Row],[Team]]=I_TEAM,T_BATTINGDATA[[#This Row],[R]],0)</f>
        <v>#REF!</v>
      </c>
      <c r="O345" t="str">
        <f>LEFT(T_BATTINGDATA[[#This Row],[Batsman]],IFERROR(FIND("*",T_BATTINGDATA[[#This Row],[Batsman]])-1,IFERROR(FIND("†",T_BATTINGDATA[[#This Row],[Batsman]])-1,LEN(T_BATTINGDATA[[#This Row],[Batsman]]))))</f>
        <v>S Matsikenyeri</v>
      </c>
      <c r="P345">
        <f ca="1">IFERROR(IF(MATCH(T_BATTINGDATA[[#This Row],[BATSMAN NAME]],OFFSET(O346,0,0,BATROWS-ROW(O345)-ROW(T_BATTINGDATA[[#Headers],[BATSMAN NAME]])),0)&gt;0,0,SUMIF($O$6:O345,T_BATTINGDATA[[#This Row],[BATSMAN NAME]],$E$6:E345)),SUMIF($O$6:O345,T_BATTINGDATA[[#This Row],[BATSMAN NAME]],$E$6:E345))</f>
        <v>19</v>
      </c>
      <c r="AP345">
        <v>18</v>
      </c>
      <c r="AQ345" t="s">
        <v>145</v>
      </c>
      <c r="AR345" t="s">
        <v>290</v>
      </c>
      <c r="AS345">
        <v>8</v>
      </c>
      <c r="AT345">
        <v>0</v>
      </c>
      <c r="AU345">
        <v>35</v>
      </c>
      <c r="AV345">
        <v>2</v>
      </c>
      <c r="AW345">
        <v>4.37</v>
      </c>
      <c r="AX345">
        <v>28</v>
      </c>
      <c r="AY345">
        <v>2</v>
      </c>
      <c r="AZ345">
        <v>1</v>
      </c>
      <c r="BA345">
        <v>3</v>
      </c>
      <c r="BB345">
        <v>0</v>
      </c>
      <c r="BC345">
        <v>6</v>
      </c>
      <c r="BD345" t="str">
        <f>CONCATENATE(Table9[[#This Row],[Match Number]],Table9[[#This Row],[Team]],Table9[[#This Row],[BOWL NUM]])</f>
        <v>18Sri Lanka6</v>
      </c>
      <c r="BE345" t="str">
        <f>IFERROR(IF(AND(Table9[[#This Row],[Team]]=I_TEAM,IFERROR(IF(MATCH(Table9[[#This Row],[Bowler]],$AR$5:AR344,0)&gt;0,0),1)),1,0),"")</f>
        <v/>
      </c>
      <c r="BF345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4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345" t="e">
        <f>IF(Table9[[#This Row],[Team]]=I_TEAM,Table9[[#This Row],[Wickets]]*100-Table9[[#This Row],[Runs]],0)</f>
        <v>#REF!</v>
      </c>
      <c r="BI345">
        <f>Table9[[#This Row],[Wickets]]*100-Table9[[#This Row],[Runs]]</f>
        <v>165</v>
      </c>
      <c r="BJ345">
        <f ca="1">IFERROR(IF(MATCH(Table9[[#This Row],[Bowler]],OFFSET(AR346,0,0,BOWLROWS-ROW(AR345)-ROW(Table9[[#Headers],[BOWLER CUML WICKETS]])),0)&gt;0,0,SUMIF($AR$6:AR392,Table9[[#This Row],[Bowler]],$AV$6:AV392)),SUMIF($AR$6:AR392,Table9[[#This Row],[Bowler]],$AV$6:AV392))</f>
        <v>0</v>
      </c>
      <c r="BK345">
        <f ca="1">IFERROR(IF(MATCH(Table9[[#This Row],[Bowler]],OFFSET(AR346,0,0,BOWLROWS-ROW(AR345)-ROW(Table9[[#Headers],[BOWLER CUML WICKETS]])),0)&gt;0,0,SUMIF($AR$6:AR392,Table9[[#This Row],[Bowler]],$AU$6:AU392)),SUMIF($AR$6:AR392,Table9[[#This Row],[Bowler]],$AU$6:AU392))</f>
        <v>0</v>
      </c>
      <c r="BL345">
        <f ca="1">Table9[[#This Row],[BOWLER CUML WICKETS]]*100-Table9[[#This Row],[BOWLER CUML RUNS]]</f>
        <v>0</v>
      </c>
    </row>
    <row r="346" spans="1:64" x14ac:dyDescent="0.3">
      <c r="A346">
        <v>15</v>
      </c>
      <c r="B346" t="s">
        <v>158</v>
      </c>
      <c r="C346" t="s">
        <v>424</v>
      </c>
      <c r="D346" t="s">
        <v>439</v>
      </c>
      <c r="E346">
        <v>21</v>
      </c>
      <c r="F346">
        <v>33</v>
      </c>
      <c r="G346">
        <v>20</v>
      </c>
      <c r="H346">
        <v>1</v>
      </c>
      <c r="I346">
        <v>1</v>
      </c>
      <c r="J346">
        <v>105</v>
      </c>
      <c r="K346">
        <v>8</v>
      </c>
      <c r="L346" t="str">
        <f>CONCATENATE(T_BATTINGDATA[[#This Row],[Match]],T_BATTINGDATA[[#This Row],[Team]],T_BATTINGDATA[[#This Row],[Bat Number]])</f>
        <v>15Zimbabwe8</v>
      </c>
      <c r="M346" t="str">
        <f>IFERROR(IF(AND(T_BATTINGDATA[[#This Row],[Team]]=I_TEAM,IFERROR(IF(MATCH(T_BATTINGDATA[[#This Row],[BATSMAN NAME]],$O$5:O345,0)&gt;0,0),1)),1,0),"")</f>
        <v/>
      </c>
      <c r="N346" t="e">
        <f>IF(T_BATTINGDATA[[#This Row],[Team]]=I_TEAM,T_BATTINGDATA[[#This Row],[R]],0)</f>
        <v>#REF!</v>
      </c>
      <c r="O346" t="str">
        <f>LEFT(T_BATTINGDATA[[#This Row],[Batsman]],IFERROR(FIND("*",T_BATTINGDATA[[#This Row],[Batsman]])-1,IFERROR(FIND("†",T_BATTINGDATA[[#This Row],[Batsman]])-1,LEN(T_BATTINGDATA[[#This Row],[Batsman]]))))</f>
        <v>E Chigumbura</v>
      </c>
      <c r="P346">
        <f ca="1">IFERROR(IF(MATCH(T_BATTINGDATA[[#This Row],[BATSMAN NAME]],OFFSET(O347,0,0,BATROWS-ROW(O346)-ROW(T_BATTINGDATA[[#Headers],[BATSMAN NAME]])),0)&gt;0,0,SUMIF($O$6:O346,T_BATTINGDATA[[#This Row],[BATSMAN NAME]],$E$6:E346)),SUMIF($O$6:O346,T_BATTINGDATA[[#This Row],[BATSMAN NAME]],$E$6:E346))</f>
        <v>0</v>
      </c>
      <c r="AP346">
        <v>19</v>
      </c>
      <c r="AQ346" t="s">
        <v>170</v>
      </c>
      <c r="AR346" t="s">
        <v>259</v>
      </c>
      <c r="AS346">
        <v>8</v>
      </c>
      <c r="AT346">
        <v>1</v>
      </c>
      <c r="AU346">
        <v>64</v>
      </c>
      <c r="AV346">
        <v>0</v>
      </c>
      <c r="AW346">
        <v>8</v>
      </c>
      <c r="AX346">
        <v>22</v>
      </c>
      <c r="AY346">
        <v>6</v>
      </c>
      <c r="AZ346">
        <v>1</v>
      </c>
      <c r="BA346">
        <v>2</v>
      </c>
      <c r="BB346">
        <v>1</v>
      </c>
      <c r="BC346">
        <v>1</v>
      </c>
      <c r="BD346" t="str">
        <f>CONCATENATE(Table9[[#This Row],[Match Number]],Table9[[#This Row],[Team]],Table9[[#This Row],[BOWL NUM]])</f>
        <v>19West Indies1</v>
      </c>
      <c r="BE346" t="str">
        <f>IFERROR(IF(AND(Table9[[#This Row],[Team]]=I_TEAM,IFERROR(IF(MATCH(Table9[[#This Row],[Bowler]],$AR$5:AR345,0)&gt;0,0),1)),1,0),"")</f>
        <v/>
      </c>
      <c r="BF346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4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46" t="e">
        <f>IF(Table9[[#This Row],[Team]]=I_TEAM,Table9[[#This Row],[Wickets]]*100-Table9[[#This Row],[Runs]],0)</f>
        <v>#REF!</v>
      </c>
      <c r="BI346">
        <f>Table9[[#This Row],[Wickets]]*100-Table9[[#This Row],[Runs]]</f>
        <v>-64</v>
      </c>
      <c r="BJ346">
        <f ca="1">IFERROR(IF(MATCH(Table9[[#This Row],[Bowler]],OFFSET(AR347,0,0,BOWLROWS-ROW(AR346)-ROW(Table9[[#Headers],[BOWLER CUML WICKETS]])),0)&gt;0,0,SUMIF($AR$6:AR346,Table9[[#This Row],[Bowler]],$AV$6:AV346)),SUMIF($AR$6:AR346,Table9[[#This Row],[Bowler]],$AV$6:AV346))</f>
        <v>0</v>
      </c>
      <c r="BK346">
        <f ca="1">IFERROR(IF(MATCH(Table9[[#This Row],[Bowler]],OFFSET(AR347,0,0,BOWLROWS-ROW(AR346)-ROW(Table9[[#Headers],[BOWLER CUML WICKETS]])),0)&gt;0,0,SUMIF($AR$6:AR346,Table9[[#This Row],[Bowler]],$AU$6:AU346)),SUMIF($AR$6:AR346,Table9[[#This Row],[Bowler]],$AU$6:AU346))</f>
        <v>0</v>
      </c>
      <c r="BL346">
        <f ca="1">Table9[[#This Row],[BOWLER CUML WICKETS]]*100-Table9[[#This Row],[BOWLER CUML RUNS]]</f>
        <v>0</v>
      </c>
    </row>
    <row r="347" spans="1:64" x14ac:dyDescent="0.3">
      <c r="A347">
        <v>15</v>
      </c>
      <c r="B347" t="s">
        <v>158</v>
      </c>
      <c r="C347" t="s">
        <v>204</v>
      </c>
      <c r="D347" t="s">
        <v>311</v>
      </c>
      <c r="E347">
        <v>4</v>
      </c>
      <c r="F347">
        <v>12</v>
      </c>
      <c r="G347">
        <v>8</v>
      </c>
      <c r="H347">
        <v>0</v>
      </c>
      <c r="I347">
        <v>0</v>
      </c>
      <c r="J347">
        <v>50</v>
      </c>
      <c r="K347">
        <v>9</v>
      </c>
      <c r="L347" t="str">
        <f>CONCATENATE(T_BATTINGDATA[[#This Row],[Match]],T_BATTINGDATA[[#This Row],[Team]],T_BATTINGDATA[[#This Row],[Bat Number]])</f>
        <v>15Zimbabwe9</v>
      </c>
      <c r="M347" t="str">
        <f>IFERROR(IF(AND(T_BATTINGDATA[[#This Row],[Team]]=I_TEAM,IFERROR(IF(MATCH(T_BATTINGDATA[[#This Row],[BATSMAN NAME]],$O$5:O346,0)&gt;0,0),1)),1,0),"")</f>
        <v/>
      </c>
      <c r="N347" t="e">
        <f>IF(T_BATTINGDATA[[#This Row],[Team]]=I_TEAM,T_BATTINGDATA[[#This Row],[R]],0)</f>
        <v>#REF!</v>
      </c>
      <c r="O347" t="str">
        <f>LEFT(T_BATTINGDATA[[#This Row],[Batsman]],IFERROR(FIND("*",T_BATTINGDATA[[#This Row],[Batsman]])-1,IFERROR(FIND("†",T_BATTINGDATA[[#This Row],[Batsman]])-1,LEN(T_BATTINGDATA[[#This Row],[Batsman]]))))</f>
        <v>T Panyangara</v>
      </c>
      <c r="P347">
        <f ca="1">IFERROR(IF(MATCH(T_BATTINGDATA[[#This Row],[BATSMAN NAME]],OFFSET(O348,0,0,BATROWS-ROW(O347)-ROW(T_BATTINGDATA[[#Headers],[BATSMAN NAME]])),0)&gt;0,0,SUMIF($O$6:O347,T_BATTINGDATA[[#This Row],[BATSMAN NAME]],$E$6:E347)),SUMIF($O$6:O347,T_BATTINGDATA[[#This Row],[BATSMAN NAME]],$E$6:E347))</f>
        <v>0</v>
      </c>
      <c r="AP347">
        <v>19</v>
      </c>
      <c r="AQ347" t="s">
        <v>170</v>
      </c>
      <c r="AR347" t="s">
        <v>260</v>
      </c>
      <c r="AS347">
        <v>10</v>
      </c>
      <c r="AT347">
        <v>2</v>
      </c>
      <c r="AU347">
        <v>104</v>
      </c>
      <c r="AV347">
        <v>1</v>
      </c>
      <c r="AW347">
        <v>10.4</v>
      </c>
      <c r="AX347">
        <v>27</v>
      </c>
      <c r="AY347">
        <v>8</v>
      </c>
      <c r="AZ347">
        <v>6</v>
      </c>
      <c r="BA347">
        <v>2</v>
      </c>
      <c r="BB347">
        <v>2</v>
      </c>
      <c r="BC347">
        <v>2</v>
      </c>
      <c r="BD347" t="str">
        <f>CONCATENATE(Table9[[#This Row],[Match Number]],Table9[[#This Row],[Team]],Table9[[#This Row],[BOWL NUM]])</f>
        <v>19West Indies2</v>
      </c>
      <c r="BE347" t="str">
        <f>IFERROR(IF(AND(Table9[[#This Row],[Team]]=I_TEAM,IFERROR(IF(MATCH(Table9[[#This Row],[Bowler]],$AR$5:AR346,0)&gt;0,0),1)),1,0),"")</f>
        <v/>
      </c>
      <c r="BF34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4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47" t="e">
        <f>IF(Table9[[#This Row],[Team]]=I_TEAM,Table9[[#This Row],[Wickets]]*100-Table9[[#This Row],[Runs]],0)</f>
        <v>#REF!</v>
      </c>
      <c r="BI347">
        <f>Table9[[#This Row],[Wickets]]*100-Table9[[#This Row],[Runs]]</f>
        <v>-4</v>
      </c>
      <c r="BJ347">
        <f ca="1">IFERROR(IF(MATCH(Table9[[#This Row],[Bowler]],OFFSET(AR348,0,0,BOWLROWS-ROW(AR347)-ROW(Table9[[#Headers],[BOWLER CUML WICKETS]])),0)&gt;0,0,SUMIF($AR$6:AR347,Table9[[#This Row],[Bowler]],$AV$6:AV347)),SUMIF($AR$6:AR347,Table9[[#This Row],[Bowler]],$AV$6:AV347))</f>
        <v>0</v>
      </c>
      <c r="BK347">
        <f ca="1">IFERROR(IF(MATCH(Table9[[#This Row],[Bowler]],OFFSET(AR348,0,0,BOWLROWS-ROW(AR347)-ROW(Table9[[#Headers],[BOWLER CUML WICKETS]])),0)&gt;0,0,SUMIF($AR$6:AR347,Table9[[#This Row],[Bowler]],$AU$6:AU347)),SUMIF($AR$6:AR347,Table9[[#This Row],[Bowler]],$AU$6:AU347))</f>
        <v>0</v>
      </c>
      <c r="BL347">
        <f ca="1">Table9[[#This Row],[BOWLER CUML WICKETS]]*100-Table9[[#This Row],[BOWLER CUML RUNS]]</f>
        <v>0</v>
      </c>
    </row>
    <row r="348" spans="1:64" x14ac:dyDescent="0.3">
      <c r="A348">
        <v>15</v>
      </c>
      <c r="B348" t="s">
        <v>158</v>
      </c>
      <c r="C348" t="s">
        <v>207</v>
      </c>
      <c r="D348" t="s">
        <v>564</v>
      </c>
      <c r="E348">
        <v>16</v>
      </c>
      <c r="F348">
        <v>25</v>
      </c>
      <c r="G348">
        <v>20</v>
      </c>
      <c r="H348">
        <v>1</v>
      </c>
      <c r="I348">
        <v>0</v>
      </c>
      <c r="J348">
        <v>80</v>
      </c>
      <c r="K348">
        <v>10</v>
      </c>
      <c r="L348" t="str">
        <f>CONCATENATE(T_BATTINGDATA[[#This Row],[Match]],T_BATTINGDATA[[#This Row],[Team]],T_BATTINGDATA[[#This Row],[Bat Number]])</f>
        <v>15Zimbabwe10</v>
      </c>
      <c r="M348" t="str">
        <f>IFERROR(IF(AND(T_BATTINGDATA[[#This Row],[Team]]=I_TEAM,IFERROR(IF(MATCH(T_BATTINGDATA[[#This Row],[BATSMAN NAME]],$O$5:O347,0)&gt;0,0),1)),1,0),"")</f>
        <v/>
      </c>
      <c r="N348" t="e">
        <f>IF(T_BATTINGDATA[[#This Row],[Team]]=I_TEAM,T_BATTINGDATA[[#This Row],[R]],0)</f>
        <v>#REF!</v>
      </c>
      <c r="O348" t="str">
        <f>LEFT(T_BATTINGDATA[[#This Row],[Batsman]],IFERROR(FIND("*",T_BATTINGDATA[[#This Row],[Batsman]])-1,IFERROR(FIND("†",T_BATTINGDATA[[#This Row],[Batsman]])-1,LEN(T_BATTINGDATA[[#This Row],[Batsman]]))))</f>
        <v>TL Chatara</v>
      </c>
      <c r="P348">
        <f ca="1">IFERROR(IF(MATCH(T_BATTINGDATA[[#This Row],[BATSMAN NAME]],OFFSET(O349,0,0,BATROWS-ROW(O348)-ROW(T_BATTINGDATA[[#Headers],[BATSMAN NAME]])),0)&gt;0,0,SUMIF($O$6:O348,T_BATTINGDATA[[#This Row],[BATSMAN NAME]],$E$6:E348)),SUMIF($O$6:O348,T_BATTINGDATA[[#This Row],[BATSMAN NAME]],$E$6:E348))</f>
        <v>0</v>
      </c>
      <c r="AP348">
        <v>19</v>
      </c>
      <c r="AQ348" t="s">
        <v>170</v>
      </c>
      <c r="AR348" t="s">
        <v>264</v>
      </c>
      <c r="AS348">
        <v>9</v>
      </c>
      <c r="AT348">
        <v>0</v>
      </c>
      <c r="AU348">
        <v>74</v>
      </c>
      <c r="AV348">
        <v>2</v>
      </c>
      <c r="AW348">
        <v>8.2200000000000006</v>
      </c>
      <c r="AX348">
        <v>19</v>
      </c>
      <c r="AY348">
        <v>5</v>
      </c>
      <c r="AZ348">
        <v>2</v>
      </c>
      <c r="BA348">
        <v>1</v>
      </c>
      <c r="BB348">
        <v>0</v>
      </c>
      <c r="BC348">
        <v>3</v>
      </c>
      <c r="BD348" t="str">
        <f>CONCATENATE(Table9[[#This Row],[Match Number]],Table9[[#This Row],[Team]],Table9[[#This Row],[BOWL NUM]])</f>
        <v>19West Indies3</v>
      </c>
      <c r="BE348" t="str">
        <f>IFERROR(IF(AND(Table9[[#This Row],[Team]]=I_TEAM,IFERROR(IF(MATCH(Table9[[#This Row],[Bowler]],$AR$5:AR347,0)&gt;0,0),1)),1,0),"")</f>
        <v/>
      </c>
      <c r="BF348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4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48" t="e">
        <f>IF(Table9[[#This Row],[Team]]=I_TEAM,Table9[[#This Row],[Wickets]]*100-Table9[[#This Row],[Runs]],0)</f>
        <v>#REF!</v>
      </c>
      <c r="BI348">
        <f>Table9[[#This Row],[Wickets]]*100-Table9[[#This Row],[Runs]]</f>
        <v>126</v>
      </c>
      <c r="BJ348">
        <f ca="1">IFERROR(IF(MATCH(Table9[[#This Row],[Bowler]],OFFSET(AR349,0,0,BOWLROWS-ROW(AR348)-ROW(Table9[[#Headers],[BOWLER CUML WICKETS]])),0)&gt;0,0,SUMIF($AR$6:AR348,Table9[[#This Row],[Bowler]],$AV$6:AV348)),SUMIF($AR$6:AR348,Table9[[#This Row],[Bowler]],$AV$6:AV348))</f>
        <v>0</v>
      </c>
      <c r="BK348">
        <f ca="1">IFERROR(IF(MATCH(Table9[[#This Row],[Bowler]],OFFSET(AR349,0,0,BOWLROWS-ROW(AR348)-ROW(Table9[[#Headers],[BOWLER CUML WICKETS]])),0)&gt;0,0,SUMIF($AR$6:AR348,Table9[[#This Row],[Bowler]],$AU$6:AU348)),SUMIF($AR$6:AR348,Table9[[#This Row],[Bowler]],$AU$6:AU348))</f>
        <v>0</v>
      </c>
      <c r="BL348">
        <f ca="1">Table9[[#This Row],[BOWLER CUML WICKETS]]*100-Table9[[#This Row],[BOWLER CUML RUNS]]</f>
        <v>0</v>
      </c>
    </row>
    <row r="349" spans="1:64" x14ac:dyDescent="0.3">
      <c r="A349">
        <v>15</v>
      </c>
      <c r="B349" t="s">
        <v>158</v>
      </c>
      <c r="C349" t="s">
        <v>338</v>
      </c>
      <c r="D349" t="s">
        <v>167</v>
      </c>
      <c r="E349">
        <v>6</v>
      </c>
      <c r="F349">
        <v>14</v>
      </c>
      <c r="G349">
        <v>9</v>
      </c>
      <c r="H349">
        <v>1</v>
      </c>
      <c r="I349">
        <v>0</v>
      </c>
      <c r="J349">
        <v>66.66</v>
      </c>
      <c r="K349">
        <v>11</v>
      </c>
      <c r="L349" t="str">
        <f>CONCATENATE(T_BATTINGDATA[[#This Row],[Match]],T_BATTINGDATA[[#This Row],[Team]],T_BATTINGDATA[[#This Row],[Bat Number]])</f>
        <v>15Zimbabwe11</v>
      </c>
      <c r="M349" t="str">
        <f>IFERROR(IF(AND(T_BATTINGDATA[[#This Row],[Team]]=I_TEAM,IFERROR(IF(MATCH(T_BATTINGDATA[[#This Row],[BATSMAN NAME]],$O$5:O348,0)&gt;0,0),1)),1,0),"")</f>
        <v/>
      </c>
      <c r="N349" t="e">
        <f>IF(T_BATTINGDATA[[#This Row],[Team]]=I_TEAM,T_BATTINGDATA[[#This Row],[R]],0)</f>
        <v>#REF!</v>
      </c>
      <c r="O349" t="str">
        <f>LEFT(T_BATTINGDATA[[#This Row],[Batsman]],IFERROR(FIND("*",T_BATTINGDATA[[#This Row],[Batsman]])-1,IFERROR(FIND("†",T_BATTINGDATA[[#This Row],[Batsman]])-1,LEN(T_BATTINGDATA[[#This Row],[Batsman]]))))</f>
        <v>T Kamungozi</v>
      </c>
      <c r="P349">
        <f ca="1">IFERROR(IF(MATCH(T_BATTINGDATA[[#This Row],[BATSMAN NAME]],OFFSET(O350,0,0,BATROWS-ROW(O349)-ROW(T_BATTINGDATA[[#Headers],[BATSMAN NAME]])),0)&gt;0,0,SUMIF($O$6:O349,T_BATTINGDATA[[#This Row],[BATSMAN NAME]],$E$6:E349)),SUMIF($O$6:O349,T_BATTINGDATA[[#This Row],[BATSMAN NAME]],$E$6:E349))</f>
        <v>6</v>
      </c>
      <c r="AP349">
        <v>19</v>
      </c>
      <c r="AQ349" t="s">
        <v>170</v>
      </c>
      <c r="AR349" t="s">
        <v>267</v>
      </c>
      <c r="AS349">
        <v>2</v>
      </c>
      <c r="AT349">
        <v>0</v>
      </c>
      <c r="AU349">
        <v>14</v>
      </c>
      <c r="AV349">
        <v>0</v>
      </c>
      <c r="AW349">
        <v>7</v>
      </c>
      <c r="AX349">
        <v>3</v>
      </c>
      <c r="AY349">
        <v>1</v>
      </c>
      <c r="AZ349">
        <v>0</v>
      </c>
      <c r="BA349">
        <v>0</v>
      </c>
      <c r="BB349">
        <v>0</v>
      </c>
      <c r="BC349">
        <v>4</v>
      </c>
      <c r="BD349" t="str">
        <f>CONCATENATE(Table9[[#This Row],[Match Number]],Table9[[#This Row],[Team]],Table9[[#This Row],[BOWL NUM]])</f>
        <v>19West Indies4</v>
      </c>
      <c r="BE349" t="str">
        <f>IFERROR(IF(AND(Table9[[#This Row],[Team]]=I_TEAM,IFERROR(IF(MATCH(Table9[[#This Row],[Bowler]],$AR$5:AR348,0)&gt;0,0),1)),1,0),"")</f>
        <v/>
      </c>
      <c r="BF349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34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49" t="e">
        <f>IF(Table9[[#This Row],[Team]]=I_TEAM,Table9[[#This Row],[Wickets]]*100-Table9[[#This Row],[Runs]],0)</f>
        <v>#REF!</v>
      </c>
      <c r="BI349">
        <f>Table9[[#This Row],[Wickets]]*100-Table9[[#This Row],[Runs]]</f>
        <v>-14</v>
      </c>
      <c r="BJ349">
        <f ca="1">IFERROR(IF(MATCH(Table9[[#This Row],[Bowler]],OFFSET(AR350,0,0,BOWLROWS-ROW(AR349)-ROW(Table9[[#Headers],[BOWLER CUML WICKETS]])),0)&gt;0,0,SUMIF($AR$6:AR349,Table9[[#This Row],[Bowler]],$AV$6:AV349)),SUMIF($AR$6:AR349,Table9[[#This Row],[Bowler]],$AV$6:AV349))</f>
        <v>0</v>
      </c>
      <c r="BK349">
        <f ca="1">IFERROR(IF(MATCH(Table9[[#This Row],[Bowler]],OFFSET(AR350,0,0,BOWLROWS-ROW(AR349)-ROW(Table9[[#Headers],[BOWLER CUML WICKETS]])),0)&gt;0,0,SUMIF($AR$6:AR349,Table9[[#This Row],[Bowler]],$AU$6:AU349)),SUMIF($AR$6:AR349,Table9[[#This Row],[Bowler]],$AU$6:AU349))</f>
        <v>0</v>
      </c>
      <c r="BL349">
        <f ca="1">Table9[[#This Row],[BOWLER CUML WICKETS]]*100-Table9[[#This Row],[BOWLER CUML RUNS]]</f>
        <v>0</v>
      </c>
    </row>
    <row r="350" spans="1:64" x14ac:dyDescent="0.3">
      <c r="A350">
        <v>43</v>
      </c>
      <c r="B350" t="s">
        <v>145</v>
      </c>
      <c r="C350" t="s">
        <v>565</v>
      </c>
      <c r="D350" t="s">
        <v>566</v>
      </c>
      <c r="E350">
        <v>3</v>
      </c>
      <c r="F350">
        <v>6</v>
      </c>
      <c r="G350">
        <v>10</v>
      </c>
      <c r="H350">
        <v>0</v>
      </c>
      <c r="I350">
        <v>0</v>
      </c>
      <c r="J350">
        <v>30</v>
      </c>
      <c r="K350">
        <v>1</v>
      </c>
      <c r="L350" t="str">
        <f>CONCATENATE(T_BATTINGDATA[[#This Row],[Match]],T_BATTINGDATA[[#This Row],[Team]],T_BATTINGDATA[[#This Row],[Bat Number]])</f>
        <v>43Sri Lanka1</v>
      </c>
      <c r="M350" t="str">
        <f>IFERROR(IF(AND(T_BATTINGDATA[[#This Row],[Team]]=I_TEAM,IFERROR(IF(MATCH(T_BATTINGDATA[[#This Row],[BATSMAN NAME]],$O$5:O349,0)&gt;0,0),1)),1,0),"")</f>
        <v/>
      </c>
      <c r="N350" t="e">
        <f>IF(T_BATTINGDATA[[#This Row],[Team]]=I_TEAM,T_BATTINGDATA[[#This Row],[R]],0)</f>
        <v>#REF!</v>
      </c>
      <c r="O350" t="str">
        <f>LEFT(T_BATTINGDATA[[#This Row],[Batsman]],IFERROR(FIND("*",T_BATTINGDATA[[#This Row],[Batsman]])-1,IFERROR(FIND("†",T_BATTINGDATA[[#This Row],[Batsman]])-1,LEN(T_BATTINGDATA[[#This Row],[Batsman]]))))</f>
        <v>MDKJ Perera</v>
      </c>
      <c r="P350">
        <f ca="1">IFERROR(IF(MATCH(T_BATTINGDATA[[#This Row],[BATSMAN NAME]],OFFSET(O351,0,0,BATROWS-ROW(O350)-ROW(T_BATTINGDATA[[#Headers],[BATSMAN NAME]])),0)&gt;0,0,SUMIF($O$6:O350,T_BATTINGDATA[[#This Row],[BATSMAN NAME]],$E$6:E350)),SUMIF($O$6:O350,T_BATTINGDATA[[#This Row],[BATSMAN NAME]],$E$6:E350))</f>
        <v>0</v>
      </c>
      <c r="AP350">
        <v>19</v>
      </c>
      <c r="AQ350" t="s">
        <v>170</v>
      </c>
      <c r="AR350" t="s">
        <v>440</v>
      </c>
      <c r="AS350">
        <v>10</v>
      </c>
      <c r="AT350">
        <v>0</v>
      </c>
      <c r="AU350">
        <v>79</v>
      </c>
      <c r="AV350">
        <v>0</v>
      </c>
      <c r="AW350">
        <v>7.9</v>
      </c>
      <c r="AX350">
        <v>15</v>
      </c>
      <c r="AY350">
        <v>7</v>
      </c>
      <c r="AZ350">
        <v>1</v>
      </c>
      <c r="BA350">
        <v>1</v>
      </c>
      <c r="BB350">
        <v>0</v>
      </c>
      <c r="BC350">
        <v>5</v>
      </c>
      <c r="BD350" t="str">
        <f>CONCATENATE(Table9[[#This Row],[Match Number]],Table9[[#This Row],[Team]],Table9[[#This Row],[BOWL NUM]])</f>
        <v>19West Indies5</v>
      </c>
      <c r="BE350" t="str">
        <f>IFERROR(IF(AND(Table9[[#This Row],[Team]]=I_TEAM,IFERROR(IF(MATCH(Table9[[#This Row],[Bowler]],$AR$5:AR349,0)&gt;0,0),1)),1,0),"")</f>
        <v/>
      </c>
      <c r="BF35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5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50" t="e">
        <f>IF(Table9[[#This Row],[Team]]=I_TEAM,Table9[[#This Row],[Wickets]]*100-Table9[[#This Row],[Runs]],0)</f>
        <v>#REF!</v>
      </c>
      <c r="BI350">
        <f>Table9[[#This Row],[Wickets]]*100-Table9[[#This Row],[Runs]]</f>
        <v>-79</v>
      </c>
      <c r="BJ350">
        <f ca="1">IFERROR(IF(MATCH(Table9[[#This Row],[Bowler]],OFFSET(AR351,0,0,BOWLROWS-ROW(AR350)-ROW(Table9[[#Headers],[BOWLER CUML WICKETS]])),0)&gt;0,0,SUMIF($AR$6:AR350,Table9[[#This Row],[Bowler]],$AV$6:AV350)),SUMIF($AR$6:AR350,Table9[[#This Row],[Bowler]],$AV$6:AV350))</f>
        <v>2</v>
      </c>
      <c r="BK350">
        <f ca="1">IFERROR(IF(MATCH(Table9[[#This Row],[Bowler]],OFFSET(AR351,0,0,BOWLROWS-ROW(AR350)-ROW(Table9[[#Headers],[BOWLER CUML WICKETS]])),0)&gt;0,0,SUMIF($AR$6:AR350,Table9[[#This Row],[Bowler]],$AU$6:AU350)),SUMIF($AR$6:AR350,Table9[[#This Row],[Bowler]],$AU$6:AU350))</f>
        <v>184</v>
      </c>
      <c r="BL350">
        <f ca="1">Table9[[#This Row],[BOWLER CUML WICKETS]]*100-Table9[[#This Row],[BOWLER CUML RUNS]]</f>
        <v>16</v>
      </c>
    </row>
    <row r="351" spans="1:64" x14ac:dyDescent="0.3">
      <c r="A351">
        <v>43</v>
      </c>
      <c r="B351" t="s">
        <v>145</v>
      </c>
      <c r="C351" t="s">
        <v>290</v>
      </c>
      <c r="D351" t="s">
        <v>567</v>
      </c>
      <c r="E351">
        <v>0</v>
      </c>
      <c r="F351">
        <v>19</v>
      </c>
      <c r="G351">
        <v>7</v>
      </c>
      <c r="H351">
        <v>0</v>
      </c>
      <c r="I351">
        <v>0</v>
      </c>
      <c r="J351">
        <v>0</v>
      </c>
      <c r="K351">
        <v>2</v>
      </c>
      <c r="L351" t="str">
        <f>CONCATENATE(T_BATTINGDATA[[#This Row],[Match]],T_BATTINGDATA[[#This Row],[Team]],T_BATTINGDATA[[#This Row],[Bat Number]])</f>
        <v>43Sri Lanka2</v>
      </c>
      <c r="M351" t="str">
        <f>IFERROR(IF(AND(T_BATTINGDATA[[#This Row],[Team]]=I_TEAM,IFERROR(IF(MATCH(T_BATTINGDATA[[#This Row],[BATSMAN NAME]],$O$5:O350,0)&gt;0,0),1)),1,0),"")</f>
        <v/>
      </c>
      <c r="N351" t="e">
        <f>IF(T_BATTINGDATA[[#This Row],[Team]]=I_TEAM,T_BATTINGDATA[[#This Row],[R]],0)</f>
        <v>#REF!</v>
      </c>
      <c r="O351" t="str">
        <f>LEFT(T_BATTINGDATA[[#This Row],[Batsman]],IFERROR(FIND("*",T_BATTINGDATA[[#This Row],[Batsman]])-1,IFERROR(FIND("†",T_BATTINGDATA[[#This Row],[Batsman]])-1,LEN(T_BATTINGDATA[[#This Row],[Batsman]]))))</f>
        <v>TM Dilshan</v>
      </c>
      <c r="P351">
        <f ca="1">IFERROR(IF(MATCH(T_BATTINGDATA[[#This Row],[BATSMAN NAME]],OFFSET(O352,0,0,BATROWS-ROW(O351)-ROW(T_BATTINGDATA[[#Headers],[BATSMAN NAME]])),0)&gt;0,0,SUMIF($O$6:O351,T_BATTINGDATA[[#This Row],[BATSMAN NAME]],$E$6:E351)),SUMIF($O$6:O351,T_BATTINGDATA[[#This Row],[BATSMAN NAME]],$E$6:E351))</f>
        <v>0</v>
      </c>
      <c r="AP351">
        <v>19</v>
      </c>
      <c r="AQ351" t="s">
        <v>170</v>
      </c>
      <c r="AR351" t="s">
        <v>302</v>
      </c>
      <c r="AS351">
        <v>7</v>
      </c>
      <c r="AT351">
        <v>0</v>
      </c>
      <c r="AU351">
        <v>50</v>
      </c>
      <c r="AV351">
        <v>0</v>
      </c>
      <c r="AW351">
        <v>7.14</v>
      </c>
      <c r="AX351">
        <v>12</v>
      </c>
      <c r="AY351">
        <v>3</v>
      </c>
      <c r="AZ351">
        <v>1</v>
      </c>
      <c r="BA351">
        <v>0</v>
      </c>
      <c r="BB351">
        <v>0</v>
      </c>
      <c r="BC351">
        <v>6</v>
      </c>
      <c r="BD351" t="str">
        <f>CONCATENATE(Table9[[#This Row],[Match Number]],Table9[[#This Row],[Team]],Table9[[#This Row],[BOWL NUM]])</f>
        <v>19West Indies6</v>
      </c>
      <c r="BE351" t="str">
        <f>IFERROR(IF(AND(Table9[[#This Row],[Team]]=I_TEAM,IFERROR(IF(MATCH(Table9[[#This Row],[Bowler]],$AR$5:AR350,0)&gt;0,0),1)),1,0),"")</f>
        <v/>
      </c>
      <c r="BF351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35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51" t="e">
        <f>IF(Table9[[#This Row],[Team]]=I_TEAM,Table9[[#This Row],[Wickets]]*100-Table9[[#This Row],[Runs]],0)</f>
        <v>#REF!</v>
      </c>
      <c r="BI351">
        <f>Table9[[#This Row],[Wickets]]*100-Table9[[#This Row],[Runs]]</f>
        <v>-50</v>
      </c>
      <c r="BJ351">
        <f ca="1">IFERROR(IF(MATCH(Table9[[#This Row],[Bowler]],OFFSET(AR352,0,0,BOWLROWS-ROW(AR351)-ROW(Table9[[#Headers],[BOWLER CUML WICKETS]])),0)&gt;0,0,SUMIF($AR$6:AR351,Table9[[#This Row],[Bowler]],$AV$6:AV351)),SUMIF($AR$6:AR351,Table9[[#This Row],[Bowler]],$AV$6:AV351))</f>
        <v>0</v>
      </c>
      <c r="BK351">
        <f ca="1">IFERROR(IF(MATCH(Table9[[#This Row],[Bowler]],OFFSET(AR352,0,0,BOWLROWS-ROW(AR351)-ROW(Table9[[#Headers],[BOWLER CUML WICKETS]])),0)&gt;0,0,SUMIF($AR$6:AR351,Table9[[#This Row],[Bowler]],$AU$6:AU351)),SUMIF($AR$6:AR351,Table9[[#This Row],[Bowler]],$AU$6:AU351))</f>
        <v>0</v>
      </c>
      <c r="BL351">
        <f ca="1">Table9[[#This Row],[BOWLER CUML WICKETS]]*100-Table9[[#This Row],[BOWLER CUML RUNS]]</f>
        <v>0</v>
      </c>
    </row>
    <row r="352" spans="1:64" x14ac:dyDescent="0.3">
      <c r="A352">
        <v>43</v>
      </c>
      <c r="B352" t="s">
        <v>145</v>
      </c>
      <c r="C352" t="s">
        <v>364</v>
      </c>
      <c r="D352" t="s">
        <v>568</v>
      </c>
      <c r="E352">
        <v>45</v>
      </c>
      <c r="F352">
        <v>151</v>
      </c>
      <c r="G352">
        <v>96</v>
      </c>
      <c r="H352">
        <v>3</v>
      </c>
      <c r="I352">
        <v>0</v>
      </c>
      <c r="J352">
        <v>46.87</v>
      </c>
      <c r="K352">
        <v>3</v>
      </c>
      <c r="L352" t="str">
        <f>CONCATENATE(T_BATTINGDATA[[#This Row],[Match]],T_BATTINGDATA[[#This Row],[Team]],T_BATTINGDATA[[#This Row],[Bat Number]])</f>
        <v>43Sri Lanka3</v>
      </c>
      <c r="M352" t="str">
        <f>IFERROR(IF(AND(T_BATTINGDATA[[#This Row],[Team]]=I_TEAM,IFERROR(IF(MATCH(T_BATTINGDATA[[#This Row],[BATSMAN NAME]],$O$5:O351,0)&gt;0,0),1)),1,0),"")</f>
        <v/>
      </c>
      <c r="N352" t="e">
        <f>IF(T_BATTINGDATA[[#This Row],[Team]]=I_TEAM,T_BATTINGDATA[[#This Row],[R]],0)</f>
        <v>#REF!</v>
      </c>
      <c r="O352" t="str">
        <f>LEFT(T_BATTINGDATA[[#This Row],[Batsman]],IFERROR(FIND("*",T_BATTINGDATA[[#This Row],[Batsman]])-1,IFERROR(FIND("†",T_BATTINGDATA[[#This Row],[Batsman]])-1,LEN(T_BATTINGDATA[[#This Row],[Batsman]]))))</f>
        <v>KC Sangakkara</v>
      </c>
      <c r="P352">
        <f ca="1">IFERROR(IF(MATCH(T_BATTINGDATA[[#This Row],[BATSMAN NAME]],OFFSET(O353,0,0,BATROWS-ROW(O352)-ROW(T_BATTINGDATA[[#Headers],[BATSMAN NAME]])),0)&gt;0,0,SUMIF($O$6:O352,T_BATTINGDATA[[#This Row],[BATSMAN NAME]],$E$6:E352)),SUMIF($O$6:O352,T_BATTINGDATA[[#This Row],[BATSMAN NAME]],$E$6:E352))</f>
        <v>0</v>
      </c>
      <c r="AP352">
        <v>19</v>
      </c>
      <c r="AQ352" t="s">
        <v>170</v>
      </c>
      <c r="AR352" t="s">
        <v>291</v>
      </c>
      <c r="AS352">
        <v>4</v>
      </c>
      <c r="AT352">
        <v>0</v>
      </c>
      <c r="AU352">
        <v>21</v>
      </c>
      <c r="AV352">
        <v>2</v>
      </c>
      <c r="AW352">
        <v>5.25</v>
      </c>
      <c r="AX352">
        <v>9</v>
      </c>
      <c r="AY352">
        <v>0</v>
      </c>
      <c r="AZ352">
        <v>0</v>
      </c>
      <c r="BA352">
        <v>3</v>
      </c>
      <c r="BB352">
        <v>0</v>
      </c>
      <c r="BC352">
        <v>7</v>
      </c>
      <c r="BD352" t="str">
        <f>CONCATENATE(Table9[[#This Row],[Match Number]],Table9[[#This Row],[Team]],Table9[[#This Row],[BOWL NUM]])</f>
        <v>19West Indies7</v>
      </c>
      <c r="BE352" t="str">
        <f>IFERROR(IF(AND(Table9[[#This Row],[Team]]=I_TEAM,IFERROR(IF(MATCH(Table9[[#This Row],[Bowler]],$AR$5:AR351,0)&gt;0,0),1)),1,0),"")</f>
        <v/>
      </c>
      <c r="BF352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35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52" t="e">
        <f>IF(Table9[[#This Row],[Team]]=I_TEAM,Table9[[#This Row],[Wickets]]*100-Table9[[#This Row],[Runs]],0)</f>
        <v>#REF!</v>
      </c>
      <c r="BI352">
        <f>Table9[[#This Row],[Wickets]]*100-Table9[[#This Row],[Runs]]</f>
        <v>179</v>
      </c>
      <c r="BJ352">
        <f ca="1">IFERROR(IF(MATCH(Table9[[#This Row],[Bowler]],OFFSET(AR353,0,0,BOWLROWS-ROW(AR352)-ROW(Table9[[#Headers],[BOWLER CUML WICKETS]])),0)&gt;0,0,SUMIF($AR$6:AR453,Table9[[#This Row],[Bowler]],$AV$6:AV453)),SUMIF($AR$6:AR453,Table9[[#This Row],[Bowler]],$AV$6:AV453))</f>
        <v>5</v>
      </c>
      <c r="BK352">
        <f ca="1">IFERROR(IF(MATCH(Table9[[#This Row],[Bowler]],OFFSET(AR353,0,0,BOWLROWS-ROW(AR352)-ROW(Table9[[#Headers],[BOWLER CUML WICKETS]])),0)&gt;0,0,SUMIF($AR$6:AR392,Table9[[#This Row],[Bowler]],$AU$6:AU392)),SUMIF($AR$6:AR392,Table9[[#This Row],[Bowler]],$AU$6:AU392))</f>
        <v>97</v>
      </c>
      <c r="BL352">
        <f ca="1">Table9[[#This Row],[BOWLER CUML WICKETS]]*100-Table9[[#This Row],[BOWLER CUML RUNS]]</f>
        <v>403</v>
      </c>
    </row>
    <row r="353" spans="1:64" x14ac:dyDescent="0.3">
      <c r="A353">
        <v>43</v>
      </c>
      <c r="B353" t="s">
        <v>145</v>
      </c>
      <c r="C353" t="s">
        <v>361</v>
      </c>
      <c r="D353" t="s">
        <v>569</v>
      </c>
      <c r="E353">
        <v>41</v>
      </c>
      <c r="F353">
        <v>63</v>
      </c>
      <c r="G353">
        <v>48</v>
      </c>
      <c r="H353">
        <v>5</v>
      </c>
      <c r="I353">
        <v>0</v>
      </c>
      <c r="J353">
        <v>85.41</v>
      </c>
      <c r="K353">
        <v>4</v>
      </c>
      <c r="L353" t="str">
        <f>CONCATENATE(T_BATTINGDATA[[#This Row],[Match]],T_BATTINGDATA[[#This Row],[Team]],T_BATTINGDATA[[#This Row],[Bat Number]])</f>
        <v>43Sri Lanka4</v>
      </c>
      <c r="M353" t="str">
        <f>IFERROR(IF(AND(T_BATTINGDATA[[#This Row],[Team]]=I_TEAM,IFERROR(IF(MATCH(T_BATTINGDATA[[#This Row],[BATSMAN NAME]],$O$5:O352,0)&gt;0,0),1)),1,0),"")</f>
        <v/>
      </c>
      <c r="N353" t="e">
        <f>IF(T_BATTINGDATA[[#This Row],[Team]]=I_TEAM,T_BATTINGDATA[[#This Row],[R]],0)</f>
        <v>#REF!</v>
      </c>
      <c r="O353" t="str">
        <f>LEFT(T_BATTINGDATA[[#This Row],[Batsman]],IFERROR(FIND("*",T_BATTINGDATA[[#This Row],[Batsman]])-1,IFERROR(FIND("†",T_BATTINGDATA[[#This Row],[Batsman]])-1,LEN(T_BATTINGDATA[[#This Row],[Batsman]]))))</f>
        <v>HDRL Thirimanne</v>
      </c>
      <c r="P353">
        <f ca="1">IFERROR(IF(MATCH(T_BATTINGDATA[[#This Row],[BATSMAN NAME]],OFFSET(O354,0,0,BATROWS-ROW(O353)-ROW(T_BATTINGDATA[[#Headers],[BATSMAN NAME]])),0)&gt;0,0,SUMIF($O$6:O353,T_BATTINGDATA[[#This Row],[BATSMAN NAME]],$E$6:E353)),SUMIF($O$6:O353,T_BATTINGDATA[[#This Row],[BATSMAN NAME]],$E$6:E353))</f>
        <v>0</v>
      </c>
      <c r="AP353">
        <v>19</v>
      </c>
      <c r="AQ353" t="s">
        <v>141</v>
      </c>
      <c r="AR353" t="s">
        <v>142</v>
      </c>
      <c r="AS353">
        <v>7</v>
      </c>
      <c r="AT353">
        <v>0</v>
      </c>
      <c r="AU353">
        <v>24</v>
      </c>
      <c r="AV353">
        <v>1</v>
      </c>
      <c r="AW353">
        <v>3.42</v>
      </c>
      <c r="AX353">
        <v>32</v>
      </c>
      <c r="AY353">
        <v>0</v>
      </c>
      <c r="AZ353">
        <v>2</v>
      </c>
      <c r="BA353">
        <v>2</v>
      </c>
      <c r="BB353">
        <v>0</v>
      </c>
      <c r="BC353">
        <v>1</v>
      </c>
      <c r="BD353" t="str">
        <f>CONCATENATE(Table9[[#This Row],[Match Number]],Table9[[#This Row],[Team]],Table9[[#This Row],[BOWL NUM]])</f>
        <v>19South Africa1</v>
      </c>
      <c r="BE353" t="str">
        <f>IFERROR(IF(AND(Table9[[#This Row],[Team]]=I_TEAM,IFERROR(IF(MATCH(Table9[[#This Row],[Bowler]],$AR$5:AR352,0)&gt;0,0),1)),1,0),"")</f>
        <v/>
      </c>
      <c r="BF353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35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353" t="e">
        <f>IF(Table9[[#This Row],[Team]]=I_TEAM,Table9[[#This Row],[Wickets]]*100-Table9[[#This Row],[Runs]],0)</f>
        <v>#REF!</v>
      </c>
      <c r="BI353">
        <f>Table9[[#This Row],[Wickets]]*100-Table9[[#This Row],[Runs]]</f>
        <v>76</v>
      </c>
      <c r="BJ353">
        <f ca="1">IFERROR(IF(MATCH(Table9[[#This Row],[Bowler]],OFFSET(AR354,0,0,BOWLROWS-ROW(AR353)-ROW(Table9[[#Headers],[BOWLER CUML WICKETS]])),0)&gt;0,0,SUMIF($AR$6:AR353,Table9[[#This Row],[Bowler]],$AV$6:AV353)),SUMIF($AR$6:AR353,Table9[[#This Row],[Bowler]],$AV$6:AV353))</f>
        <v>0</v>
      </c>
      <c r="BK353">
        <f ca="1">IFERROR(IF(MATCH(Table9[[#This Row],[Bowler]],OFFSET(AR354,0,0,BOWLROWS-ROW(AR353)-ROW(Table9[[#Headers],[BOWLER CUML WICKETS]])),0)&gt;0,0,SUMIF($AR$6:AR353,Table9[[#This Row],[Bowler]],$AU$6:AU353)),SUMIF($AR$6:AR353,Table9[[#This Row],[Bowler]],$AU$6:AU353))</f>
        <v>0</v>
      </c>
      <c r="BL353">
        <f ca="1">Table9[[#This Row],[BOWLER CUML WICKETS]]*100-Table9[[#This Row],[BOWLER CUML RUNS]]</f>
        <v>0</v>
      </c>
    </row>
    <row r="354" spans="1:64" x14ac:dyDescent="0.3">
      <c r="A354">
        <v>43</v>
      </c>
      <c r="B354" t="s">
        <v>145</v>
      </c>
      <c r="C354" t="s">
        <v>366</v>
      </c>
      <c r="D354" t="s">
        <v>148</v>
      </c>
      <c r="E354">
        <v>4</v>
      </c>
      <c r="F354">
        <v>13</v>
      </c>
      <c r="G354">
        <v>16</v>
      </c>
      <c r="H354">
        <v>0</v>
      </c>
      <c r="I354">
        <v>0</v>
      </c>
      <c r="J354">
        <v>25</v>
      </c>
      <c r="K354">
        <v>5</v>
      </c>
      <c r="L354" t="str">
        <f>CONCATENATE(T_BATTINGDATA[[#This Row],[Match]],T_BATTINGDATA[[#This Row],[Team]],T_BATTINGDATA[[#This Row],[Bat Number]])</f>
        <v>43Sri Lanka5</v>
      </c>
      <c r="M354" t="str">
        <f>IFERROR(IF(AND(T_BATTINGDATA[[#This Row],[Team]]=I_TEAM,IFERROR(IF(MATCH(T_BATTINGDATA[[#This Row],[BATSMAN NAME]],$O$5:O353,0)&gt;0,0),1)),1,0),"")</f>
        <v/>
      </c>
      <c r="N354" t="e">
        <f>IF(T_BATTINGDATA[[#This Row],[Team]]=I_TEAM,T_BATTINGDATA[[#This Row],[R]],0)</f>
        <v>#REF!</v>
      </c>
      <c r="O354" t="str">
        <f>LEFT(T_BATTINGDATA[[#This Row],[Batsman]],IFERROR(FIND("*",T_BATTINGDATA[[#This Row],[Batsman]])-1,IFERROR(FIND("†",T_BATTINGDATA[[#This Row],[Batsman]])-1,LEN(T_BATTINGDATA[[#This Row],[Batsman]]))))</f>
        <v>DPMD Jayawardene</v>
      </c>
      <c r="P354">
        <f ca="1">IFERROR(IF(MATCH(T_BATTINGDATA[[#This Row],[BATSMAN NAME]],OFFSET(O355,0,0,BATROWS-ROW(O354)-ROW(T_BATTINGDATA[[#Headers],[BATSMAN NAME]])),0)&gt;0,0,SUMIF($O$6:O354,T_BATTINGDATA[[#This Row],[BATSMAN NAME]],$E$6:E354)),SUMIF($O$6:O354,T_BATTINGDATA[[#This Row],[BATSMAN NAME]],$E$6:E354))</f>
        <v>0</v>
      </c>
      <c r="AP354">
        <v>19</v>
      </c>
      <c r="AQ354" t="s">
        <v>141</v>
      </c>
      <c r="AR354" t="s">
        <v>489</v>
      </c>
      <c r="AS354">
        <v>8</v>
      </c>
      <c r="AT354">
        <v>0</v>
      </c>
      <c r="AU354">
        <v>37</v>
      </c>
      <c r="AV354">
        <v>2</v>
      </c>
      <c r="AW354">
        <v>4.62</v>
      </c>
      <c r="AX354">
        <v>31</v>
      </c>
      <c r="AY354">
        <v>6</v>
      </c>
      <c r="AZ354">
        <v>0</v>
      </c>
      <c r="BA354">
        <v>1</v>
      </c>
      <c r="BB354">
        <v>0</v>
      </c>
      <c r="BC354">
        <v>2</v>
      </c>
      <c r="BD354" t="str">
        <f>CONCATENATE(Table9[[#This Row],[Match Number]],Table9[[#This Row],[Team]],Table9[[#This Row],[BOWL NUM]])</f>
        <v>19South Africa2</v>
      </c>
      <c r="BE354" t="str">
        <f>IFERROR(IF(AND(Table9[[#This Row],[Team]]=I_TEAM,IFERROR(IF(MATCH(Table9[[#This Row],[Bowler]],$AR$5:AR353,0)&gt;0,0),1)),1,0),"")</f>
        <v/>
      </c>
      <c r="BF354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5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354" t="e">
        <f>IF(Table9[[#This Row],[Team]]=I_TEAM,Table9[[#This Row],[Wickets]]*100-Table9[[#This Row],[Runs]],0)</f>
        <v>#REF!</v>
      </c>
      <c r="BI354">
        <f>Table9[[#This Row],[Wickets]]*100-Table9[[#This Row],[Runs]]</f>
        <v>163</v>
      </c>
      <c r="BJ354">
        <f ca="1">IFERROR(IF(MATCH(Table9[[#This Row],[Bowler]],OFFSET(AR355,0,0,BOWLROWS-ROW(AR354)-ROW(Table9[[#Headers],[BOWLER CUML WICKETS]])),0)&gt;0,0,SUMIF($AR$6:AR354,Table9[[#This Row],[Bowler]],$AV$6:AV354)),SUMIF($AR$6:AR354,Table9[[#This Row],[Bowler]],$AV$6:AV354))</f>
        <v>0</v>
      </c>
      <c r="BK354">
        <f ca="1">IFERROR(IF(MATCH(Table9[[#This Row],[Bowler]],OFFSET(AR355,0,0,BOWLROWS-ROW(AR354)-ROW(Table9[[#Headers],[BOWLER CUML WICKETS]])),0)&gt;0,0,SUMIF($AR$6:AR354,Table9[[#This Row],[Bowler]],$AU$6:AU354)),SUMIF($AR$6:AR354,Table9[[#This Row],[Bowler]],$AU$6:AU354))</f>
        <v>0</v>
      </c>
      <c r="BL354">
        <f ca="1">Table9[[#This Row],[BOWLER CUML WICKETS]]*100-Table9[[#This Row],[BOWLER CUML RUNS]]</f>
        <v>0</v>
      </c>
    </row>
    <row r="355" spans="1:64" x14ac:dyDescent="0.3">
      <c r="A355">
        <v>43</v>
      </c>
      <c r="B355" t="s">
        <v>145</v>
      </c>
      <c r="C355" t="s">
        <v>370</v>
      </c>
      <c r="D355" t="s">
        <v>570</v>
      </c>
      <c r="E355">
        <v>19</v>
      </c>
      <c r="F355">
        <v>37</v>
      </c>
      <c r="G355">
        <v>32</v>
      </c>
      <c r="H355">
        <v>1</v>
      </c>
      <c r="I355">
        <v>0</v>
      </c>
      <c r="J355">
        <v>59.37</v>
      </c>
      <c r="K355">
        <v>6</v>
      </c>
      <c r="L355" t="str">
        <f>CONCATENATE(T_BATTINGDATA[[#This Row],[Match]],T_BATTINGDATA[[#This Row],[Team]],T_BATTINGDATA[[#This Row],[Bat Number]])</f>
        <v>43Sri Lanka6</v>
      </c>
      <c r="M355" t="str">
        <f>IFERROR(IF(AND(T_BATTINGDATA[[#This Row],[Team]]=I_TEAM,IFERROR(IF(MATCH(T_BATTINGDATA[[#This Row],[BATSMAN NAME]],$O$5:O354,0)&gt;0,0),1)),1,0),"")</f>
        <v/>
      </c>
      <c r="N355" t="e">
        <f>IF(T_BATTINGDATA[[#This Row],[Team]]=I_TEAM,T_BATTINGDATA[[#This Row],[R]],0)</f>
        <v>#REF!</v>
      </c>
      <c r="O355" t="str">
        <f>LEFT(T_BATTINGDATA[[#This Row],[Batsman]],IFERROR(FIND("*",T_BATTINGDATA[[#This Row],[Batsman]])-1,IFERROR(FIND("†",T_BATTINGDATA[[#This Row],[Batsman]])-1,LEN(T_BATTINGDATA[[#This Row],[Batsman]]))))</f>
        <v>AD Mathews</v>
      </c>
      <c r="P355">
        <f ca="1">IFERROR(IF(MATCH(T_BATTINGDATA[[#This Row],[BATSMAN NAME]],OFFSET(O356,0,0,BATROWS-ROW(O355)-ROW(T_BATTINGDATA[[#Headers],[BATSMAN NAME]])),0)&gt;0,0,SUMIF($O$6:O355,T_BATTINGDATA[[#This Row],[BATSMAN NAME]],$E$6:E355)),SUMIF($O$6:O355,T_BATTINGDATA[[#This Row],[BATSMAN NAME]],$E$6:E355))</f>
        <v>0</v>
      </c>
      <c r="AP355">
        <v>19</v>
      </c>
      <c r="AQ355" t="s">
        <v>141</v>
      </c>
      <c r="AR355" t="s">
        <v>155</v>
      </c>
      <c r="AS355">
        <v>5.0999999999999996</v>
      </c>
      <c r="AT355">
        <v>0</v>
      </c>
      <c r="AU355">
        <v>23</v>
      </c>
      <c r="AV355">
        <v>2</v>
      </c>
      <c r="AW355">
        <v>4.45</v>
      </c>
      <c r="AX355">
        <v>20</v>
      </c>
      <c r="AY355">
        <v>3</v>
      </c>
      <c r="AZ355">
        <v>0</v>
      </c>
      <c r="BA355">
        <v>0</v>
      </c>
      <c r="BB355">
        <v>0</v>
      </c>
      <c r="BC355">
        <v>3</v>
      </c>
      <c r="BD355" t="str">
        <f>CONCATENATE(Table9[[#This Row],[Match Number]],Table9[[#This Row],[Team]],Table9[[#This Row],[BOWL NUM]])</f>
        <v>19South Africa3</v>
      </c>
      <c r="BE355" t="str">
        <f>IFERROR(IF(AND(Table9[[#This Row],[Team]]=I_TEAM,IFERROR(IF(MATCH(Table9[[#This Row],[Bowler]],$AR$5:AR354,0)&gt;0,0),1)),1,0),"")</f>
        <v/>
      </c>
      <c r="BF355">
        <f>(LEFT(Table9[[#This Row],[Overs]],IFERROR(FIND(".",Table9[[#This Row],[Overs]])-1,LEN(Table9[[#This Row],[Overs]])))*6) + IFERROR(IF(FIND(".",Table9[[#This Row],[Overs]])+1&gt;0,RIGHT(Table9[[#This Row],[Overs]],1),0),0)</f>
        <v>31</v>
      </c>
      <c r="BG35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355" t="e">
        <f>IF(Table9[[#This Row],[Team]]=I_TEAM,Table9[[#This Row],[Wickets]]*100-Table9[[#This Row],[Runs]],0)</f>
        <v>#REF!</v>
      </c>
      <c r="BI355">
        <f>Table9[[#This Row],[Wickets]]*100-Table9[[#This Row],[Runs]]</f>
        <v>177</v>
      </c>
      <c r="BJ355">
        <f ca="1">IFERROR(IF(MATCH(Table9[[#This Row],[Bowler]],OFFSET(AR356,0,0,BOWLROWS-ROW(AR355)-ROW(Table9[[#Headers],[BOWLER CUML WICKETS]])),0)&gt;0,0,SUMIF($AR$6:AR355,Table9[[#This Row],[Bowler]],$AV$6:AV355)),SUMIF($AR$6:AR355,Table9[[#This Row],[Bowler]],$AV$6:AV355))</f>
        <v>0</v>
      </c>
      <c r="BK355">
        <f ca="1">IFERROR(IF(MATCH(Table9[[#This Row],[Bowler]],OFFSET(AR356,0,0,BOWLROWS-ROW(AR355)-ROW(Table9[[#Headers],[BOWLER CUML WICKETS]])),0)&gt;0,0,SUMIF($AR$6:AR355,Table9[[#This Row],[Bowler]],$AU$6:AU355)),SUMIF($AR$6:AR355,Table9[[#This Row],[Bowler]],$AU$6:AU355))</f>
        <v>0</v>
      </c>
      <c r="BL355">
        <f ca="1">Table9[[#This Row],[BOWLER CUML WICKETS]]*100-Table9[[#This Row],[BOWLER CUML RUNS]]</f>
        <v>0</v>
      </c>
    </row>
    <row r="356" spans="1:64" x14ac:dyDescent="0.3">
      <c r="A356">
        <v>43</v>
      </c>
      <c r="B356" t="s">
        <v>145</v>
      </c>
      <c r="C356" t="s">
        <v>445</v>
      </c>
      <c r="D356" t="s">
        <v>571</v>
      </c>
      <c r="E356">
        <v>0</v>
      </c>
      <c r="F356">
        <v>4</v>
      </c>
      <c r="G356">
        <v>3</v>
      </c>
      <c r="H356">
        <v>0</v>
      </c>
      <c r="I356">
        <v>0</v>
      </c>
      <c r="J356">
        <v>0</v>
      </c>
      <c r="K356">
        <v>7</v>
      </c>
      <c r="L356" t="str">
        <f>CONCATENATE(T_BATTINGDATA[[#This Row],[Match]],T_BATTINGDATA[[#This Row],[Team]],T_BATTINGDATA[[#This Row],[Bat Number]])</f>
        <v>43Sri Lanka7</v>
      </c>
      <c r="M356" t="str">
        <f>IFERROR(IF(AND(T_BATTINGDATA[[#This Row],[Team]]=I_TEAM,IFERROR(IF(MATCH(T_BATTINGDATA[[#This Row],[BATSMAN NAME]],$O$5:O355,0)&gt;0,0),1)),1,0),"")</f>
        <v/>
      </c>
      <c r="N356" t="e">
        <f>IF(T_BATTINGDATA[[#This Row],[Team]]=I_TEAM,T_BATTINGDATA[[#This Row],[R]],0)</f>
        <v>#REF!</v>
      </c>
      <c r="O356" t="str">
        <f>LEFT(T_BATTINGDATA[[#This Row],[Batsman]],IFERROR(FIND("*",T_BATTINGDATA[[#This Row],[Batsman]])-1,IFERROR(FIND("†",T_BATTINGDATA[[#This Row],[Batsman]])-1,LEN(T_BATTINGDATA[[#This Row],[Batsman]]))))</f>
        <v>NLTC Perera</v>
      </c>
      <c r="P356">
        <f ca="1">IFERROR(IF(MATCH(T_BATTINGDATA[[#This Row],[BATSMAN NAME]],OFFSET(O357,0,0,BATROWS-ROW(O356)-ROW(T_BATTINGDATA[[#Headers],[BATSMAN NAME]])),0)&gt;0,0,SUMIF($O$6:O356,T_BATTINGDATA[[#This Row],[BATSMAN NAME]],$E$6:E356)),SUMIF($O$6:O356,T_BATTINGDATA[[#This Row],[BATSMAN NAME]],$E$6:E356))</f>
        <v>0</v>
      </c>
      <c r="AP356">
        <v>19</v>
      </c>
      <c r="AQ356" t="s">
        <v>141</v>
      </c>
      <c r="AR356" t="s">
        <v>159</v>
      </c>
      <c r="AS356">
        <v>10</v>
      </c>
      <c r="AT356">
        <v>2</v>
      </c>
      <c r="AU356">
        <v>45</v>
      </c>
      <c r="AV356">
        <v>5</v>
      </c>
      <c r="AW356">
        <v>4.5</v>
      </c>
      <c r="AX356">
        <v>37</v>
      </c>
      <c r="AY356">
        <v>2</v>
      </c>
      <c r="AZ356">
        <v>3</v>
      </c>
      <c r="BA356">
        <v>0</v>
      </c>
      <c r="BB356">
        <v>0</v>
      </c>
      <c r="BC356">
        <v>4</v>
      </c>
      <c r="BD356" t="str">
        <f>CONCATENATE(Table9[[#This Row],[Match Number]],Table9[[#This Row],[Team]],Table9[[#This Row],[BOWL NUM]])</f>
        <v>19South Africa4</v>
      </c>
      <c r="BE356" t="str">
        <f>IFERROR(IF(AND(Table9[[#This Row],[Team]]=I_TEAM,IFERROR(IF(MATCH(Table9[[#This Row],[Bowler]],$AR$5:AR355,0)&gt;0,0),1)),1,0),"")</f>
        <v/>
      </c>
      <c r="BF35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5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356" t="e">
        <f>IF(Table9[[#This Row],[Team]]=I_TEAM,Table9[[#This Row],[Wickets]]*100-Table9[[#This Row],[Runs]],0)</f>
        <v>#REF!</v>
      </c>
      <c r="BI356">
        <f>Table9[[#This Row],[Wickets]]*100-Table9[[#This Row],[Runs]]</f>
        <v>455</v>
      </c>
      <c r="BJ356">
        <f ca="1">IFERROR(IF(MATCH(Table9[[#This Row],[Bowler]],OFFSET(AR357,0,0,BOWLROWS-ROW(AR356)-ROW(Table9[[#Headers],[BOWLER CUML WICKETS]])),0)&gt;0,0,SUMIF($AR$6:AR356,Table9[[#This Row],[Bowler]],$AV$6:AV356)),SUMIF($AR$6:AR356,Table9[[#This Row],[Bowler]],$AV$6:AV356))</f>
        <v>0</v>
      </c>
      <c r="BK356">
        <f ca="1">IFERROR(IF(MATCH(Table9[[#This Row],[Bowler]],OFFSET(AR357,0,0,BOWLROWS-ROW(AR356)-ROW(Table9[[#Headers],[BOWLER CUML WICKETS]])),0)&gt;0,0,SUMIF($AR$6:AR356,Table9[[#This Row],[Bowler]],$AU$6:AU356)),SUMIF($AR$6:AR356,Table9[[#This Row],[Bowler]],$AU$6:AU356))</f>
        <v>0</v>
      </c>
      <c r="BL356">
        <f ca="1">Table9[[#This Row],[BOWLER CUML WICKETS]]*100-Table9[[#This Row],[BOWLER CUML RUNS]]</f>
        <v>0</v>
      </c>
    </row>
    <row r="357" spans="1:64" x14ac:dyDescent="0.3">
      <c r="A357">
        <v>43</v>
      </c>
      <c r="B357" t="s">
        <v>145</v>
      </c>
      <c r="C357" t="s">
        <v>285</v>
      </c>
      <c r="D357" t="s">
        <v>422</v>
      </c>
      <c r="E357">
        <v>1</v>
      </c>
      <c r="F357">
        <v>4</v>
      </c>
      <c r="G357">
        <v>2</v>
      </c>
      <c r="H357">
        <v>0</v>
      </c>
      <c r="I357">
        <v>0</v>
      </c>
      <c r="J357">
        <v>50</v>
      </c>
      <c r="K357">
        <v>8</v>
      </c>
      <c r="L357" t="str">
        <f>CONCATENATE(T_BATTINGDATA[[#This Row],[Match]],T_BATTINGDATA[[#This Row],[Team]],T_BATTINGDATA[[#This Row],[Bat Number]])</f>
        <v>43Sri Lanka8</v>
      </c>
      <c r="M357" t="str">
        <f>IFERROR(IF(AND(T_BATTINGDATA[[#This Row],[Team]]=I_TEAM,IFERROR(IF(MATCH(T_BATTINGDATA[[#This Row],[BATSMAN NAME]],$O$5:O356,0)&gt;0,0),1)),1,0),"")</f>
        <v/>
      </c>
      <c r="N357" t="e">
        <f>IF(T_BATTINGDATA[[#This Row],[Team]]=I_TEAM,T_BATTINGDATA[[#This Row],[R]],0)</f>
        <v>#REF!</v>
      </c>
      <c r="O357" t="str">
        <f>LEFT(T_BATTINGDATA[[#This Row],[Batsman]],IFERROR(FIND("*",T_BATTINGDATA[[#This Row],[Batsman]])-1,IFERROR(FIND("†",T_BATTINGDATA[[#This Row],[Batsman]])-1,LEN(T_BATTINGDATA[[#This Row],[Batsman]]))))</f>
        <v>KMDN Kulasekara</v>
      </c>
      <c r="P357">
        <f ca="1">IFERROR(IF(MATCH(T_BATTINGDATA[[#This Row],[BATSMAN NAME]],OFFSET(O358,0,0,BATROWS-ROW(O357)-ROW(T_BATTINGDATA[[#Headers],[BATSMAN NAME]])),0)&gt;0,0,SUMIF($O$6:O357,T_BATTINGDATA[[#This Row],[BATSMAN NAME]],$E$6:E357)),SUMIF($O$6:O357,T_BATTINGDATA[[#This Row],[BATSMAN NAME]],$E$6:E357))</f>
        <v>0</v>
      </c>
      <c r="AP357">
        <v>19</v>
      </c>
      <c r="AQ357" t="s">
        <v>141</v>
      </c>
      <c r="AR357" t="s">
        <v>177</v>
      </c>
      <c r="AS357">
        <v>3</v>
      </c>
      <c r="AT357">
        <v>0</v>
      </c>
      <c r="AU357">
        <v>17</v>
      </c>
      <c r="AV357">
        <v>0</v>
      </c>
      <c r="AW357">
        <v>5.66</v>
      </c>
      <c r="AX357">
        <v>7</v>
      </c>
      <c r="AY357">
        <v>1</v>
      </c>
      <c r="AZ357">
        <v>0</v>
      </c>
      <c r="BA357">
        <v>0</v>
      </c>
      <c r="BB357">
        <v>0</v>
      </c>
      <c r="BC357">
        <v>5</v>
      </c>
      <c r="BD357" t="str">
        <f>CONCATENATE(Table9[[#This Row],[Match Number]],Table9[[#This Row],[Team]],Table9[[#This Row],[BOWL NUM]])</f>
        <v>19South Africa5</v>
      </c>
      <c r="BE357" t="str">
        <f>IFERROR(IF(AND(Table9[[#This Row],[Team]]=I_TEAM,IFERROR(IF(MATCH(Table9[[#This Row],[Bowler]],$AR$5:AR356,0)&gt;0,0),1)),1,0),"")</f>
        <v/>
      </c>
      <c r="BF357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35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357" t="e">
        <f>IF(Table9[[#This Row],[Team]]=I_TEAM,Table9[[#This Row],[Wickets]]*100-Table9[[#This Row],[Runs]],0)</f>
        <v>#REF!</v>
      </c>
      <c r="BI357">
        <f>Table9[[#This Row],[Wickets]]*100-Table9[[#This Row],[Runs]]</f>
        <v>-17</v>
      </c>
      <c r="BJ357">
        <f ca="1">IFERROR(IF(MATCH(Table9[[#This Row],[Bowler]],OFFSET(AR358,0,0,BOWLROWS-ROW(AR357)-ROW(Table9[[#Headers],[BOWLER CUML WICKETS]])),0)&gt;0,0,SUMIF($AR$6:AR392,Table9[[#This Row],[Bowler]],$AV$6:AV392)),SUMIF($AR$6:AR392,Table9[[#This Row],[Bowler]],$AV$6:AV392))</f>
        <v>0</v>
      </c>
      <c r="BK357">
        <f ca="1">IFERROR(IF(MATCH(Table9[[#This Row],[Bowler]],OFFSET(AR358,0,0,BOWLROWS-ROW(AR357)-ROW(Table9[[#Headers],[BOWLER CUML WICKETS]])),0)&gt;0,0,SUMIF($AR$6:AR392,Table9[[#This Row],[Bowler]],$AU$6:AU392)),SUMIF($AR$6:AR392,Table9[[#This Row],[Bowler]],$AU$6:AU392))</f>
        <v>0</v>
      </c>
      <c r="BL357">
        <f ca="1">Table9[[#This Row],[BOWLER CUML WICKETS]]*100-Table9[[#This Row],[BOWLER CUML RUNS]]</f>
        <v>0</v>
      </c>
    </row>
    <row r="358" spans="1:64" x14ac:dyDescent="0.3">
      <c r="A358">
        <v>43</v>
      </c>
      <c r="B358" t="s">
        <v>145</v>
      </c>
      <c r="C358" t="s">
        <v>495</v>
      </c>
      <c r="D358" t="s">
        <v>572</v>
      </c>
      <c r="E358">
        <v>0</v>
      </c>
      <c r="F358">
        <v>1</v>
      </c>
      <c r="G358">
        <v>1</v>
      </c>
      <c r="H358">
        <v>0</v>
      </c>
      <c r="I358">
        <v>0</v>
      </c>
      <c r="J358">
        <v>0</v>
      </c>
      <c r="K358">
        <v>9</v>
      </c>
      <c r="L358" t="str">
        <f>CONCATENATE(T_BATTINGDATA[[#This Row],[Match]],T_BATTINGDATA[[#This Row],[Team]],T_BATTINGDATA[[#This Row],[Bat Number]])</f>
        <v>43Sri Lanka9</v>
      </c>
      <c r="M358" t="str">
        <f>IFERROR(IF(AND(T_BATTINGDATA[[#This Row],[Team]]=I_TEAM,IFERROR(IF(MATCH(T_BATTINGDATA[[#This Row],[BATSMAN NAME]],$O$5:O357,0)&gt;0,0),1)),1,0),"")</f>
        <v/>
      </c>
      <c r="N358" t="e">
        <f>IF(T_BATTINGDATA[[#This Row],[Team]]=I_TEAM,T_BATTINGDATA[[#This Row],[R]],0)</f>
        <v>#REF!</v>
      </c>
      <c r="O358" t="str">
        <f>LEFT(T_BATTINGDATA[[#This Row],[Batsman]],IFERROR(FIND("*",T_BATTINGDATA[[#This Row],[Batsman]])-1,IFERROR(FIND("†",T_BATTINGDATA[[#This Row],[Batsman]])-1,LEN(T_BATTINGDATA[[#This Row],[Batsman]]))))</f>
        <v>PHT Kaushal</v>
      </c>
      <c r="P358">
        <f ca="1">IFERROR(IF(MATCH(T_BATTINGDATA[[#This Row],[BATSMAN NAME]],OFFSET(O359,0,0,BATROWS-ROW(O358)-ROW(T_BATTINGDATA[[#Headers],[BATSMAN NAME]])),0)&gt;0,0,SUMIF($O$6:O358,T_BATTINGDATA[[#This Row],[BATSMAN NAME]],$E$6:E358)),SUMIF($O$6:O358,T_BATTINGDATA[[#This Row],[BATSMAN NAME]],$E$6:E358))</f>
        <v>0</v>
      </c>
      <c r="AP358">
        <v>20</v>
      </c>
      <c r="AQ358" t="s">
        <v>140</v>
      </c>
      <c r="AR358" t="s">
        <v>297</v>
      </c>
      <c r="AS358">
        <v>9</v>
      </c>
      <c r="AT358">
        <v>0</v>
      </c>
      <c r="AU358">
        <v>65</v>
      </c>
      <c r="AV358">
        <v>2</v>
      </c>
      <c r="AW358">
        <v>7.22</v>
      </c>
      <c r="AX358">
        <v>29</v>
      </c>
      <c r="AY358">
        <v>7</v>
      </c>
      <c r="AZ358">
        <v>1</v>
      </c>
      <c r="BA358">
        <v>4</v>
      </c>
      <c r="BB358">
        <v>0</v>
      </c>
      <c r="BC358">
        <v>1</v>
      </c>
      <c r="BD358" t="str">
        <f>CONCATENATE(Table9[[#This Row],[Match Number]],Table9[[#This Row],[Team]],Table9[[#This Row],[BOWL NUM]])</f>
        <v>20New Zealand1</v>
      </c>
      <c r="BE358" t="str">
        <f>IFERROR(IF(AND(Table9[[#This Row],[Team]]=I_TEAM,IFERROR(IF(MATCH(Table9[[#This Row],[Bowler]],$AR$5:AR357,0)&gt;0,0),1)),1,0),"")</f>
        <v/>
      </c>
      <c r="BF358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5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358" t="e">
        <f>IF(Table9[[#This Row],[Team]]=I_TEAM,Table9[[#This Row],[Wickets]]*100-Table9[[#This Row],[Runs]],0)</f>
        <v>#REF!</v>
      </c>
      <c r="BI358">
        <f>Table9[[#This Row],[Wickets]]*100-Table9[[#This Row],[Runs]]</f>
        <v>135</v>
      </c>
      <c r="BJ358">
        <f ca="1">IFERROR(IF(MATCH(Table9[[#This Row],[Bowler]],OFFSET(AR359,0,0,BOWLROWS-ROW(AR358)-ROW(Table9[[#Headers],[BOWLER CUML WICKETS]])),0)&gt;0,0,SUMIF($AR$6:AR358,Table9[[#This Row],[Bowler]],$AV$6:AV358)),SUMIF($AR$6:AR358,Table9[[#This Row],[Bowler]],$AV$6:AV358))</f>
        <v>0</v>
      </c>
      <c r="BK358">
        <f ca="1">IFERROR(IF(MATCH(Table9[[#This Row],[Bowler]],OFFSET(AR359,0,0,BOWLROWS-ROW(AR358)-ROW(Table9[[#Headers],[BOWLER CUML WICKETS]])),0)&gt;0,0,SUMIF($AR$6:AR358,Table9[[#This Row],[Bowler]],$AU$6:AU358)),SUMIF($AR$6:AR358,Table9[[#This Row],[Bowler]],$AU$6:AU358))</f>
        <v>0</v>
      </c>
      <c r="BL358">
        <f ca="1">Table9[[#This Row],[BOWLER CUML WICKETS]]*100-Table9[[#This Row],[BOWLER CUML RUNS]]</f>
        <v>0</v>
      </c>
    </row>
    <row r="359" spans="1:64" x14ac:dyDescent="0.3">
      <c r="A359">
        <v>43</v>
      </c>
      <c r="B359" t="s">
        <v>145</v>
      </c>
      <c r="C359" t="s">
        <v>497</v>
      </c>
      <c r="D359" t="s">
        <v>167</v>
      </c>
      <c r="E359">
        <v>2</v>
      </c>
      <c r="F359">
        <v>17</v>
      </c>
      <c r="G359">
        <v>5</v>
      </c>
      <c r="H359">
        <v>0</v>
      </c>
      <c r="I359">
        <v>0</v>
      </c>
      <c r="J359">
        <v>40</v>
      </c>
      <c r="K359">
        <v>10</v>
      </c>
      <c r="L359" t="str">
        <f>CONCATENATE(T_BATTINGDATA[[#This Row],[Match]],T_BATTINGDATA[[#This Row],[Team]],T_BATTINGDATA[[#This Row],[Bat Number]])</f>
        <v>43Sri Lanka10</v>
      </c>
      <c r="M359" t="str">
        <f>IFERROR(IF(AND(T_BATTINGDATA[[#This Row],[Team]]=I_TEAM,IFERROR(IF(MATCH(T_BATTINGDATA[[#This Row],[BATSMAN NAME]],$O$5:O358,0)&gt;0,0),1)),1,0),"")</f>
        <v/>
      </c>
      <c r="N359" t="e">
        <f>IF(T_BATTINGDATA[[#This Row],[Team]]=I_TEAM,T_BATTINGDATA[[#This Row],[R]],0)</f>
        <v>#REF!</v>
      </c>
      <c r="O359" t="str">
        <f>LEFT(T_BATTINGDATA[[#This Row],[Batsman]],IFERROR(FIND("*",T_BATTINGDATA[[#This Row],[Batsman]])-1,IFERROR(FIND("†",T_BATTINGDATA[[#This Row],[Batsman]])-1,LEN(T_BATTINGDATA[[#This Row],[Batsman]]))))</f>
        <v>PVD Chameera</v>
      </c>
      <c r="P359">
        <f ca="1">IFERROR(IF(MATCH(T_BATTINGDATA[[#This Row],[BATSMAN NAME]],OFFSET(O360,0,0,BATROWS-ROW(O359)-ROW(T_BATTINGDATA[[#Headers],[BATSMAN NAME]])),0)&gt;0,0,SUMIF($O$6:O359,T_BATTINGDATA[[#This Row],[BATSMAN NAME]],$E$6:E359)),SUMIF($O$6:O359,T_BATTINGDATA[[#This Row],[BATSMAN NAME]],$E$6:E359))</f>
        <v>0</v>
      </c>
      <c r="AP359">
        <v>20</v>
      </c>
      <c r="AQ359" t="s">
        <v>140</v>
      </c>
      <c r="AR359" t="s">
        <v>299</v>
      </c>
      <c r="AS359">
        <v>10</v>
      </c>
      <c r="AT359">
        <v>3</v>
      </c>
      <c r="AU359">
        <v>27</v>
      </c>
      <c r="AV359">
        <v>5</v>
      </c>
      <c r="AW359">
        <v>2.7</v>
      </c>
      <c r="AX359">
        <v>46</v>
      </c>
      <c r="AY359">
        <v>1</v>
      </c>
      <c r="AZ359">
        <v>1</v>
      </c>
      <c r="BA359">
        <v>2</v>
      </c>
      <c r="BB359">
        <v>0</v>
      </c>
      <c r="BC359">
        <v>2</v>
      </c>
      <c r="BD359" t="str">
        <f>CONCATENATE(Table9[[#This Row],[Match Number]],Table9[[#This Row],[Team]],Table9[[#This Row],[BOWL NUM]])</f>
        <v>20New Zealand2</v>
      </c>
      <c r="BE359" t="str">
        <f>IFERROR(IF(AND(Table9[[#This Row],[Team]]=I_TEAM,IFERROR(IF(MATCH(Table9[[#This Row],[Bowler]],$AR$5:AR358,0)&gt;0,0),1)),1,0),"")</f>
        <v/>
      </c>
      <c r="BF35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5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359" t="e">
        <f>IF(Table9[[#This Row],[Team]]=I_TEAM,Table9[[#This Row],[Wickets]]*100-Table9[[#This Row],[Runs]],0)</f>
        <v>#REF!</v>
      </c>
      <c r="BI359">
        <f>Table9[[#This Row],[Wickets]]*100-Table9[[#This Row],[Runs]]</f>
        <v>473</v>
      </c>
      <c r="BJ359">
        <f ca="1">IFERROR(IF(MATCH(Table9[[#This Row],[Bowler]],OFFSET(AR360,0,0,BOWLROWS-ROW(AR359)-ROW(Table9[[#Headers],[BOWLER CUML WICKETS]])),0)&gt;0,0,SUMIF($AR$6:AR359,Table9[[#This Row],[Bowler]],$AV$6:AV359)),SUMIF($AR$6:AR359,Table9[[#This Row],[Bowler]],$AV$6:AV359))</f>
        <v>0</v>
      </c>
      <c r="BK359">
        <f ca="1">IFERROR(IF(MATCH(Table9[[#This Row],[Bowler]],OFFSET(AR360,0,0,BOWLROWS-ROW(AR359)-ROW(Table9[[#Headers],[BOWLER CUML WICKETS]])),0)&gt;0,0,SUMIF($AR$6:AR359,Table9[[#This Row],[Bowler]],$AU$6:AU359)),SUMIF($AR$6:AR359,Table9[[#This Row],[Bowler]],$AU$6:AU359))</f>
        <v>0</v>
      </c>
      <c r="BL359">
        <f ca="1">Table9[[#This Row],[BOWLER CUML WICKETS]]*100-Table9[[#This Row],[BOWLER CUML RUNS]]</f>
        <v>0</v>
      </c>
    </row>
    <row r="360" spans="1:64" x14ac:dyDescent="0.3">
      <c r="A360">
        <v>43</v>
      </c>
      <c r="B360" t="s">
        <v>145</v>
      </c>
      <c r="C360" t="s">
        <v>287</v>
      </c>
      <c r="D360" t="s">
        <v>573</v>
      </c>
      <c r="E360">
        <v>3</v>
      </c>
      <c r="F360">
        <v>7</v>
      </c>
      <c r="G360">
        <v>6</v>
      </c>
      <c r="H360">
        <v>0</v>
      </c>
      <c r="I360">
        <v>0</v>
      </c>
      <c r="J360">
        <v>50</v>
      </c>
      <c r="K360">
        <v>11</v>
      </c>
      <c r="L360" t="str">
        <f>CONCATENATE(T_BATTINGDATA[[#This Row],[Match]],T_BATTINGDATA[[#This Row],[Team]],T_BATTINGDATA[[#This Row],[Bat Number]])</f>
        <v>43Sri Lanka11</v>
      </c>
      <c r="M360" t="str">
        <f>IFERROR(IF(AND(T_BATTINGDATA[[#This Row],[Team]]=I_TEAM,IFERROR(IF(MATCH(T_BATTINGDATA[[#This Row],[BATSMAN NAME]],$O$5:O359,0)&gt;0,0),1)),1,0),"")</f>
        <v/>
      </c>
      <c r="N360" t="e">
        <f>IF(T_BATTINGDATA[[#This Row],[Team]]=I_TEAM,T_BATTINGDATA[[#This Row],[R]],0)</f>
        <v>#REF!</v>
      </c>
      <c r="O360" t="str">
        <f>LEFT(T_BATTINGDATA[[#This Row],[Batsman]],IFERROR(FIND("*",T_BATTINGDATA[[#This Row],[Batsman]])-1,IFERROR(FIND("†",T_BATTINGDATA[[#This Row],[Batsman]])-1,LEN(T_BATTINGDATA[[#This Row],[Batsman]]))))</f>
        <v>SL Malinga</v>
      </c>
      <c r="P360">
        <f ca="1">IFERROR(IF(MATCH(T_BATTINGDATA[[#This Row],[BATSMAN NAME]],OFFSET(O361,0,0,BATROWS-ROW(O360)-ROW(T_BATTINGDATA[[#Headers],[BATSMAN NAME]])),0)&gt;0,0,SUMIF($O$6:O360,T_BATTINGDATA[[#This Row],[BATSMAN NAME]],$E$6:E360)),SUMIF($O$6:O360,T_BATTINGDATA[[#This Row],[BATSMAN NAME]],$E$6:E360))</f>
        <v>0</v>
      </c>
      <c r="AP360">
        <v>20</v>
      </c>
      <c r="AQ360" t="s">
        <v>140</v>
      </c>
      <c r="AR360" t="s">
        <v>303</v>
      </c>
      <c r="AS360">
        <v>10</v>
      </c>
      <c r="AT360">
        <v>0</v>
      </c>
      <c r="AU360">
        <v>41</v>
      </c>
      <c r="AV360">
        <v>2</v>
      </c>
      <c r="AW360">
        <v>4.0999999999999996</v>
      </c>
      <c r="AX360">
        <v>33</v>
      </c>
      <c r="AY360">
        <v>2</v>
      </c>
      <c r="AZ360">
        <v>1</v>
      </c>
      <c r="BA360">
        <v>0</v>
      </c>
      <c r="BB360">
        <v>0</v>
      </c>
      <c r="BC360">
        <v>3</v>
      </c>
      <c r="BD360" t="str">
        <f>CONCATENATE(Table9[[#This Row],[Match Number]],Table9[[#This Row],[Team]],Table9[[#This Row],[BOWL NUM]])</f>
        <v>20New Zealand3</v>
      </c>
      <c r="BE360" t="str">
        <f>IFERROR(IF(AND(Table9[[#This Row],[Team]]=I_TEAM,IFERROR(IF(MATCH(Table9[[#This Row],[Bowler]],$AR$5:AR359,0)&gt;0,0),1)),1,0),"")</f>
        <v/>
      </c>
      <c r="BF36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6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360" t="e">
        <f>IF(Table9[[#This Row],[Team]]=I_TEAM,Table9[[#This Row],[Wickets]]*100-Table9[[#This Row],[Runs]],0)</f>
        <v>#REF!</v>
      </c>
      <c r="BI360">
        <f>Table9[[#This Row],[Wickets]]*100-Table9[[#This Row],[Runs]]</f>
        <v>159</v>
      </c>
      <c r="BJ360">
        <f ca="1">IFERROR(IF(MATCH(Table9[[#This Row],[Bowler]],OFFSET(AR361,0,0,BOWLROWS-ROW(AR360)-ROW(Table9[[#Headers],[BOWLER CUML WICKETS]])),0)&gt;0,0,SUMIF($AR$6:AR360,Table9[[#This Row],[Bowler]],$AV$6:AV360)),SUMIF($AR$6:AR360,Table9[[#This Row],[Bowler]],$AV$6:AV360))</f>
        <v>0</v>
      </c>
      <c r="BK360">
        <f ca="1">IFERROR(IF(MATCH(Table9[[#This Row],[Bowler]],OFFSET(AR361,0,0,BOWLROWS-ROW(AR360)-ROW(Table9[[#Headers],[BOWLER CUML WICKETS]])),0)&gt;0,0,SUMIF($AR$6:AR360,Table9[[#This Row],[Bowler]],$AU$6:AU360)),SUMIF($AR$6:AR360,Table9[[#This Row],[Bowler]],$AU$6:AU360))</f>
        <v>0</v>
      </c>
      <c r="BL360">
        <f ca="1">Table9[[#This Row],[BOWLER CUML WICKETS]]*100-Table9[[#This Row],[BOWLER CUML RUNS]]</f>
        <v>0</v>
      </c>
    </row>
    <row r="361" spans="1:64" x14ac:dyDescent="0.3">
      <c r="A361">
        <v>43</v>
      </c>
      <c r="B361" t="s">
        <v>141</v>
      </c>
      <c r="C361" t="s">
        <v>172</v>
      </c>
      <c r="D361" t="s">
        <v>574</v>
      </c>
      <c r="E361">
        <v>16</v>
      </c>
      <c r="F361">
        <v>30</v>
      </c>
      <c r="G361">
        <v>23</v>
      </c>
      <c r="H361">
        <v>1</v>
      </c>
      <c r="I361">
        <v>0</v>
      </c>
      <c r="J361">
        <v>69.56</v>
      </c>
      <c r="K361">
        <v>1</v>
      </c>
      <c r="L361" t="str">
        <f>CONCATENATE(T_BATTINGDATA[[#This Row],[Match]],T_BATTINGDATA[[#This Row],[Team]],T_BATTINGDATA[[#This Row],[Bat Number]])</f>
        <v>43South Africa1</v>
      </c>
      <c r="M361" t="str">
        <f>IFERROR(IF(AND(T_BATTINGDATA[[#This Row],[Team]]=I_TEAM,IFERROR(IF(MATCH(T_BATTINGDATA[[#This Row],[BATSMAN NAME]],$O$5:O360,0)&gt;0,0),1)),1,0),"")</f>
        <v/>
      </c>
      <c r="N361" t="e">
        <f>IF(T_BATTINGDATA[[#This Row],[Team]]=I_TEAM,T_BATTINGDATA[[#This Row],[R]],0)</f>
        <v>#REF!</v>
      </c>
      <c r="O361" t="str">
        <f>LEFT(T_BATTINGDATA[[#This Row],[Batsman]],IFERROR(FIND("*",T_BATTINGDATA[[#This Row],[Batsman]])-1,IFERROR(FIND("†",T_BATTINGDATA[[#This Row],[Batsman]])-1,LEN(T_BATTINGDATA[[#This Row],[Batsman]]))))</f>
        <v>HM Amla</v>
      </c>
      <c r="P361">
        <f ca="1">IFERROR(IF(MATCH(T_BATTINGDATA[[#This Row],[BATSMAN NAME]],OFFSET(O362,0,0,BATROWS-ROW(O361)-ROW(T_BATTINGDATA[[#Headers],[BATSMAN NAME]])),0)&gt;0,0,SUMIF($O$6:O361,T_BATTINGDATA[[#This Row],[BATSMAN NAME]],$E$6:E361)),SUMIF($O$6:O361,T_BATTINGDATA[[#This Row],[BATSMAN NAME]],$E$6:E361))</f>
        <v>0</v>
      </c>
      <c r="AP361">
        <v>20</v>
      </c>
      <c r="AQ361" t="s">
        <v>140</v>
      </c>
      <c r="AR361" t="s">
        <v>301</v>
      </c>
      <c r="AS361">
        <v>3</v>
      </c>
      <c r="AT361">
        <v>0</v>
      </c>
      <c r="AU361">
        <v>6</v>
      </c>
      <c r="AV361">
        <v>0</v>
      </c>
      <c r="AW361">
        <v>2</v>
      </c>
      <c r="AX361">
        <v>15</v>
      </c>
      <c r="AY361">
        <v>1</v>
      </c>
      <c r="AZ361">
        <v>0</v>
      </c>
      <c r="BA361">
        <v>0</v>
      </c>
      <c r="BB361">
        <v>0</v>
      </c>
      <c r="BC361">
        <v>4</v>
      </c>
      <c r="BD361" t="str">
        <f>CONCATENATE(Table9[[#This Row],[Match Number]],Table9[[#This Row],[Team]],Table9[[#This Row],[BOWL NUM]])</f>
        <v>20New Zealand4</v>
      </c>
      <c r="BE361" t="str">
        <f>IFERROR(IF(AND(Table9[[#This Row],[Team]]=I_TEAM,IFERROR(IF(MATCH(Table9[[#This Row],[Bowler]],$AR$5:AR360,0)&gt;0,0),1)),1,0),"")</f>
        <v/>
      </c>
      <c r="BF361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36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361" t="e">
        <f>IF(Table9[[#This Row],[Team]]=I_TEAM,Table9[[#This Row],[Wickets]]*100-Table9[[#This Row],[Runs]],0)</f>
        <v>#REF!</v>
      </c>
      <c r="BI361">
        <f>Table9[[#This Row],[Wickets]]*100-Table9[[#This Row],[Runs]]</f>
        <v>-6</v>
      </c>
      <c r="BJ361">
        <f ca="1">IFERROR(IF(MATCH(Table9[[#This Row],[Bowler]],OFFSET(AR362,0,0,BOWLROWS-ROW(AR361)-ROW(Table9[[#Headers],[BOWLER CUML WICKETS]])),0)&gt;0,0,SUMIF($AR$6:AR361,Table9[[#This Row],[Bowler]],$AV$6:AV361)),SUMIF($AR$6:AR361,Table9[[#This Row],[Bowler]],$AV$6:AV361))</f>
        <v>0</v>
      </c>
      <c r="BK361">
        <f ca="1">IFERROR(IF(MATCH(Table9[[#This Row],[Bowler]],OFFSET(AR362,0,0,BOWLROWS-ROW(AR361)-ROW(Table9[[#Headers],[BOWLER CUML WICKETS]])),0)&gt;0,0,SUMIF($AR$6:AR361,Table9[[#This Row],[Bowler]],$AU$6:AU361)),SUMIF($AR$6:AR361,Table9[[#This Row],[Bowler]],$AU$6:AU361))</f>
        <v>0</v>
      </c>
      <c r="BL361">
        <f ca="1">Table9[[#This Row],[BOWLER CUML WICKETS]]*100-Table9[[#This Row],[BOWLER CUML RUNS]]</f>
        <v>0</v>
      </c>
    </row>
    <row r="362" spans="1:64" x14ac:dyDescent="0.3">
      <c r="A362">
        <v>43</v>
      </c>
      <c r="B362" t="s">
        <v>141</v>
      </c>
      <c r="C362" t="s">
        <v>174</v>
      </c>
      <c r="D362" t="s">
        <v>167</v>
      </c>
      <c r="E362">
        <v>78</v>
      </c>
      <c r="F362">
        <v>89</v>
      </c>
      <c r="G362">
        <v>57</v>
      </c>
      <c r="H362">
        <v>12</v>
      </c>
      <c r="I362">
        <v>0</v>
      </c>
      <c r="J362">
        <v>136.84</v>
      </c>
      <c r="K362">
        <v>2</v>
      </c>
      <c r="L362" t="str">
        <f>CONCATENATE(T_BATTINGDATA[[#This Row],[Match]],T_BATTINGDATA[[#This Row],[Team]],T_BATTINGDATA[[#This Row],[Bat Number]])</f>
        <v>43South Africa2</v>
      </c>
      <c r="M362" t="str">
        <f>IFERROR(IF(AND(T_BATTINGDATA[[#This Row],[Team]]=I_TEAM,IFERROR(IF(MATCH(T_BATTINGDATA[[#This Row],[BATSMAN NAME]],$O$5:O361,0)&gt;0,0),1)),1,0),"")</f>
        <v/>
      </c>
      <c r="N362" t="e">
        <f>IF(T_BATTINGDATA[[#This Row],[Team]]=I_TEAM,T_BATTINGDATA[[#This Row],[R]],0)</f>
        <v>#REF!</v>
      </c>
      <c r="O362" t="str">
        <f>LEFT(T_BATTINGDATA[[#This Row],[Batsman]],IFERROR(FIND("*",T_BATTINGDATA[[#This Row],[Batsman]])-1,IFERROR(FIND("†",T_BATTINGDATA[[#This Row],[Batsman]])-1,LEN(T_BATTINGDATA[[#This Row],[Batsman]]))))</f>
        <v>Q de Kock</v>
      </c>
      <c r="P362">
        <f ca="1">IFERROR(IF(MATCH(T_BATTINGDATA[[#This Row],[BATSMAN NAME]],OFFSET(O363,0,0,BATROWS-ROW(O362)-ROW(T_BATTINGDATA[[#Headers],[BATSMAN NAME]])),0)&gt;0,0,SUMIF($O$6:O362,T_BATTINGDATA[[#This Row],[BATSMAN NAME]],$E$6:E362)),SUMIF($O$6:O362,T_BATTINGDATA[[#This Row],[BATSMAN NAME]],$E$6:E362))</f>
        <v>0</v>
      </c>
      <c r="AP362">
        <v>20</v>
      </c>
      <c r="AQ362" t="s">
        <v>140</v>
      </c>
      <c r="AR362" t="s">
        <v>309</v>
      </c>
      <c r="AS362">
        <v>0.2</v>
      </c>
      <c r="AT362">
        <v>0</v>
      </c>
      <c r="AU362">
        <v>6</v>
      </c>
      <c r="AV362">
        <v>1</v>
      </c>
      <c r="AW362">
        <v>18</v>
      </c>
      <c r="AX362">
        <v>1</v>
      </c>
      <c r="AY362">
        <v>0</v>
      </c>
      <c r="AZ362">
        <v>1</v>
      </c>
      <c r="BA362">
        <v>0</v>
      </c>
      <c r="BB362">
        <v>0</v>
      </c>
      <c r="BC362">
        <v>5</v>
      </c>
      <c r="BD362" t="str">
        <f>CONCATENATE(Table9[[#This Row],[Match Number]],Table9[[#This Row],[Team]],Table9[[#This Row],[BOWL NUM]])</f>
        <v>20New Zealand5</v>
      </c>
      <c r="BE362" t="str">
        <f>IFERROR(IF(AND(Table9[[#This Row],[Team]]=I_TEAM,IFERROR(IF(MATCH(Table9[[#This Row],[Bowler]],$AR$5:AR361,0)&gt;0,0),1)),1,0),"")</f>
        <v/>
      </c>
      <c r="BF362">
        <f>(LEFT(Table9[[#This Row],[Overs]],IFERROR(FIND(".",Table9[[#This Row],[Overs]])-1,LEN(Table9[[#This Row],[Overs]])))*6) + IFERROR(IF(FIND(".",Table9[[#This Row],[Overs]])+1&gt;0,RIGHT(Table9[[#This Row],[Overs]],1),0),0)</f>
        <v>2</v>
      </c>
      <c r="BG36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362" t="e">
        <f>IF(Table9[[#This Row],[Team]]=I_TEAM,Table9[[#This Row],[Wickets]]*100-Table9[[#This Row],[Runs]],0)</f>
        <v>#REF!</v>
      </c>
      <c r="BI362">
        <f>Table9[[#This Row],[Wickets]]*100-Table9[[#This Row],[Runs]]</f>
        <v>94</v>
      </c>
      <c r="BJ362">
        <f ca="1">IFERROR(IF(MATCH(Table9[[#This Row],[Bowler]],OFFSET(AR363,0,0,BOWLROWS-ROW(AR362)-ROW(Table9[[#Headers],[BOWLER CUML WICKETS]])),0)&gt;0,0,SUMIF($AR$6:AR392,Table9[[#This Row],[Bowler]],$AV$6:AV392)),SUMIF($AR$6:AR392,Table9[[#This Row],[Bowler]],$AV$6:AV392))</f>
        <v>0</v>
      </c>
      <c r="BK362">
        <f ca="1">IFERROR(IF(MATCH(Table9[[#This Row],[Bowler]],OFFSET(AR363,0,0,BOWLROWS-ROW(AR362)-ROW(Table9[[#Headers],[BOWLER CUML WICKETS]])),0)&gt;0,0,SUMIF($AR$6:AR392,Table9[[#This Row],[Bowler]],$AU$6:AU392)),SUMIF($AR$6:AR392,Table9[[#This Row],[Bowler]],$AU$6:AU392))</f>
        <v>0</v>
      </c>
      <c r="BL362">
        <f ca="1">Table9[[#This Row],[BOWLER CUML WICKETS]]*100-Table9[[#This Row],[BOWLER CUML RUNS]]</f>
        <v>0</v>
      </c>
    </row>
    <row r="363" spans="1:64" x14ac:dyDescent="0.3">
      <c r="A363">
        <v>43</v>
      </c>
      <c r="B363" t="s">
        <v>141</v>
      </c>
      <c r="C363" t="s">
        <v>177</v>
      </c>
      <c r="D363" t="s">
        <v>167</v>
      </c>
      <c r="E363">
        <v>21</v>
      </c>
      <c r="F363">
        <v>55</v>
      </c>
      <c r="G363">
        <v>31</v>
      </c>
      <c r="H363">
        <v>0</v>
      </c>
      <c r="I363">
        <v>0</v>
      </c>
      <c r="J363">
        <v>67.739999999999995</v>
      </c>
      <c r="K363">
        <v>3</v>
      </c>
      <c r="L363" t="str">
        <f>CONCATENATE(T_BATTINGDATA[[#This Row],[Match]],T_BATTINGDATA[[#This Row],[Team]],T_BATTINGDATA[[#This Row],[Bat Number]])</f>
        <v>43South Africa3</v>
      </c>
      <c r="M363" t="str">
        <f>IFERROR(IF(AND(T_BATTINGDATA[[#This Row],[Team]]=I_TEAM,IFERROR(IF(MATCH(T_BATTINGDATA[[#This Row],[BATSMAN NAME]],$O$5:O362,0)&gt;0,0),1)),1,0),"")</f>
        <v/>
      </c>
      <c r="N363" t="e">
        <f>IF(T_BATTINGDATA[[#This Row],[Team]]=I_TEAM,T_BATTINGDATA[[#This Row],[R]],0)</f>
        <v>#REF!</v>
      </c>
      <c r="O363" t="str">
        <f>LEFT(T_BATTINGDATA[[#This Row],[Batsman]],IFERROR(FIND("*",T_BATTINGDATA[[#This Row],[Batsman]])-1,IFERROR(FIND("†",T_BATTINGDATA[[#This Row],[Batsman]])-1,LEN(T_BATTINGDATA[[#This Row],[Batsman]]))))</f>
        <v>F du Plessis</v>
      </c>
      <c r="P363">
        <f ca="1">IFERROR(IF(MATCH(T_BATTINGDATA[[#This Row],[BATSMAN NAME]],OFFSET(O364,0,0,BATROWS-ROW(O363)-ROW(T_BATTINGDATA[[#Headers],[BATSMAN NAME]])),0)&gt;0,0,SUMIF($O$6:O363,T_BATTINGDATA[[#This Row],[BATSMAN NAME]],$E$6:E363)),SUMIF($O$6:O363,T_BATTINGDATA[[#This Row],[BATSMAN NAME]],$E$6:E363))</f>
        <v>0</v>
      </c>
      <c r="AP363">
        <v>20</v>
      </c>
      <c r="AQ363" t="s">
        <v>149</v>
      </c>
      <c r="AR363" t="s">
        <v>323</v>
      </c>
      <c r="AS363">
        <v>6</v>
      </c>
      <c r="AT363">
        <v>1</v>
      </c>
      <c r="AU363">
        <v>68</v>
      </c>
      <c r="AV363">
        <v>0</v>
      </c>
      <c r="AW363">
        <v>11.33</v>
      </c>
      <c r="AX363">
        <v>18</v>
      </c>
      <c r="AY363">
        <v>9</v>
      </c>
      <c r="AZ363">
        <v>4</v>
      </c>
      <c r="BA363">
        <v>0</v>
      </c>
      <c r="BB363">
        <v>1</v>
      </c>
      <c r="BC363">
        <v>1</v>
      </c>
      <c r="BD363" t="str">
        <f>CONCATENATE(Table9[[#This Row],[Match Number]],Table9[[#This Row],[Team]],Table9[[#This Row],[BOWL NUM]])</f>
        <v>20Australia1</v>
      </c>
      <c r="BE363" t="str">
        <f>IFERROR(IF(AND(Table9[[#This Row],[Team]]=I_TEAM,IFERROR(IF(MATCH(Table9[[#This Row],[Bowler]],$AR$5:AR362,0)&gt;0,0),1)),1,0),"")</f>
        <v/>
      </c>
      <c r="BF363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36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63" t="e">
        <f>IF(Table9[[#This Row],[Team]]=I_TEAM,Table9[[#This Row],[Wickets]]*100-Table9[[#This Row],[Runs]],0)</f>
        <v>#REF!</v>
      </c>
      <c r="BI363">
        <f>Table9[[#This Row],[Wickets]]*100-Table9[[#This Row],[Runs]]</f>
        <v>-68</v>
      </c>
      <c r="BJ363">
        <f ca="1">IFERROR(IF(MATCH(Table9[[#This Row],[Bowler]],OFFSET(AR364,0,0,BOWLROWS-ROW(AR363)-ROW(Table9[[#Headers],[BOWLER CUML WICKETS]])),0)&gt;0,0,SUMIF($AR$6:AR363,Table9[[#This Row],[Bowler]],$AV$6:AV363)),SUMIF($AR$6:AR363,Table9[[#This Row],[Bowler]],$AV$6:AV363))</f>
        <v>0</v>
      </c>
      <c r="BK363">
        <f ca="1">IFERROR(IF(MATCH(Table9[[#This Row],[Bowler]],OFFSET(AR364,0,0,BOWLROWS-ROW(AR363)-ROW(Table9[[#Headers],[BOWLER CUML WICKETS]])),0)&gt;0,0,SUMIF($AR$6:AR363,Table9[[#This Row],[Bowler]],$AU$6:AU363)),SUMIF($AR$6:AR363,Table9[[#This Row],[Bowler]],$AU$6:AU363))</f>
        <v>0</v>
      </c>
      <c r="BL363">
        <f ca="1">Table9[[#This Row],[BOWLER CUML WICKETS]]*100-Table9[[#This Row],[BOWLER CUML RUNS]]</f>
        <v>0</v>
      </c>
    </row>
    <row r="364" spans="1:64" x14ac:dyDescent="0.3">
      <c r="A364">
        <v>48</v>
      </c>
      <c r="B364" t="s">
        <v>149</v>
      </c>
      <c r="C364" t="s">
        <v>378</v>
      </c>
      <c r="D364" t="s">
        <v>575</v>
      </c>
      <c r="E364">
        <v>81</v>
      </c>
      <c r="F364">
        <v>160</v>
      </c>
      <c r="G364">
        <v>116</v>
      </c>
      <c r="H364">
        <v>7</v>
      </c>
      <c r="I364">
        <v>1</v>
      </c>
      <c r="J364">
        <v>69.819999999999993</v>
      </c>
      <c r="K364">
        <v>1</v>
      </c>
      <c r="L364" t="str">
        <f>CONCATENATE(T_BATTINGDATA[[#This Row],[Match]],T_BATTINGDATA[[#This Row],[Team]],T_BATTINGDATA[[#This Row],[Bat Number]])</f>
        <v>48Australia1</v>
      </c>
      <c r="M364" t="str">
        <f>IFERROR(IF(AND(T_BATTINGDATA[[#This Row],[Team]]=I_TEAM,IFERROR(IF(MATCH(T_BATTINGDATA[[#This Row],[BATSMAN NAME]],$O$5:O363,0)&gt;0,0),1)),1,0),"")</f>
        <v/>
      </c>
      <c r="N364" t="e">
        <f>IF(T_BATTINGDATA[[#This Row],[Team]]=I_TEAM,T_BATTINGDATA[[#This Row],[R]],0)</f>
        <v>#REF!</v>
      </c>
      <c r="O364" t="str">
        <f>LEFT(T_BATTINGDATA[[#This Row],[Batsman]],IFERROR(FIND("*",T_BATTINGDATA[[#This Row],[Batsman]])-1,IFERROR(FIND("†",T_BATTINGDATA[[#This Row],[Batsman]])-1,LEN(T_BATTINGDATA[[#This Row],[Batsman]]))))</f>
        <v>AJ Finch</v>
      </c>
      <c r="P364">
        <f ca="1">IFERROR(IF(MATCH(T_BATTINGDATA[[#This Row],[BATSMAN NAME]],OFFSET(O365,0,0,BATROWS-ROW(O364)-ROW(T_BATTINGDATA[[#Headers],[BATSMAN NAME]])),0)&gt;0,0,SUMIF($O$6:O364,T_BATTINGDATA[[#This Row],[BATSMAN NAME]],$E$6:E364)),SUMIF($O$6:O364,T_BATTINGDATA[[#This Row],[BATSMAN NAME]],$E$6:E364))</f>
        <v>0</v>
      </c>
      <c r="AP364">
        <v>20</v>
      </c>
      <c r="AQ364" t="s">
        <v>149</v>
      </c>
      <c r="AR364" t="s">
        <v>321</v>
      </c>
      <c r="AS364">
        <v>9</v>
      </c>
      <c r="AT364">
        <v>0</v>
      </c>
      <c r="AU364">
        <v>28</v>
      </c>
      <c r="AV364">
        <v>6</v>
      </c>
      <c r="AW364">
        <v>3.11</v>
      </c>
      <c r="AX364">
        <v>42</v>
      </c>
      <c r="AY364">
        <v>2</v>
      </c>
      <c r="AZ364">
        <v>1</v>
      </c>
      <c r="BA364">
        <v>4</v>
      </c>
      <c r="BB364">
        <v>0</v>
      </c>
      <c r="BC364">
        <v>2</v>
      </c>
      <c r="BD364" t="str">
        <f>CONCATENATE(Table9[[#This Row],[Match Number]],Table9[[#This Row],[Team]],Table9[[#This Row],[BOWL NUM]])</f>
        <v>20Australia2</v>
      </c>
      <c r="BE364" t="str">
        <f>IFERROR(IF(AND(Table9[[#This Row],[Team]]=I_TEAM,IFERROR(IF(MATCH(Table9[[#This Row],[Bowler]],$AR$5:AR363,0)&gt;0,0),1)),1,0),"")</f>
        <v/>
      </c>
      <c r="BF364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6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64" t="e">
        <f>IF(Table9[[#This Row],[Team]]=I_TEAM,Table9[[#This Row],[Wickets]]*100-Table9[[#This Row],[Runs]],0)</f>
        <v>#REF!</v>
      </c>
      <c r="BI364">
        <f>Table9[[#This Row],[Wickets]]*100-Table9[[#This Row],[Runs]]</f>
        <v>572</v>
      </c>
      <c r="BJ364">
        <f ca="1">IFERROR(IF(MATCH(Table9[[#This Row],[Bowler]],OFFSET(AR365,0,0,BOWLROWS-ROW(AR364)-ROW(Table9[[#Headers],[BOWLER CUML WICKETS]])),0)&gt;0,0,SUMIF($AR$6:AR364,Table9[[#This Row],[Bowler]],$AV$6:AV364)),SUMIF($AR$6:AR364,Table9[[#This Row],[Bowler]],$AV$6:AV364))</f>
        <v>0</v>
      </c>
      <c r="BK364">
        <f ca="1">IFERROR(IF(MATCH(Table9[[#This Row],[Bowler]],OFFSET(AR365,0,0,BOWLROWS-ROW(AR364)-ROW(Table9[[#Headers],[BOWLER CUML WICKETS]])),0)&gt;0,0,SUMIF($AR$6:AR364,Table9[[#This Row],[Bowler]],$AU$6:AU364)),SUMIF($AR$6:AR364,Table9[[#This Row],[Bowler]],$AU$6:AU364))</f>
        <v>0</v>
      </c>
      <c r="BL364">
        <f ca="1">Table9[[#This Row],[BOWLER CUML WICKETS]]*100-Table9[[#This Row],[BOWLER CUML RUNS]]</f>
        <v>0</v>
      </c>
    </row>
    <row r="365" spans="1:64" x14ac:dyDescent="0.3">
      <c r="A365">
        <v>48</v>
      </c>
      <c r="B365" t="s">
        <v>149</v>
      </c>
      <c r="C365" t="s">
        <v>376</v>
      </c>
      <c r="D365" t="s">
        <v>576</v>
      </c>
      <c r="E365">
        <v>12</v>
      </c>
      <c r="F365">
        <v>14</v>
      </c>
      <c r="G365">
        <v>7</v>
      </c>
      <c r="H365">
        <v>1</v>
      </c>
      <c r="I365">
        <v>1</v>
      </c>
      <c r="J365">
        <v>171.42</v>
      </c>
      <c r="K365">
        <v>2</v>
      </c>
      <c r="L365" t="str">
        <f>CONCATENATE(T_BATTINGDATA[[#This Row],[Match]],T_BATTINGDATA[[#This Row],[Team]],T_BATTINGDATA[[#This Row],[Bat Number]])</f>
        <v>48Australia2</v>
      </c>
      <c r="M365" t="str">
        <f>IFERROR(IF(AND(T_BATTINGDATA[[#This Row],[Team]]=I_TEAM,IFERROR(IF(MATCH(T_BATTINGDATA[[#This Row],[BATSMAN NAME]],$O$5:O364,0)&gt;0,0),1)),1,0),"")</f>
        <v/>
      </c>
      <c r="N365" t="e">
        <f>IF(T_BATTINGDATA[[#This Row],[Team]]=I_TEAM,T_BATTINGDATA[[#This Row],[R]],0)</f>
        <v>#REF!</v>
      </c>
      <c r="O365" t="str">
        <f>LEFT(T_BATTINGDATA[[#This Row],[Batsman]],IFERROR(FIND("*",T_BATTINGDATA[[#This Row],[Batsman]])-1,IFERROR(FIND("†",T_BATTINGDATA[[#This Row],[Batsman]])-1,LEN(T_BATTINGDATA[[#This Row],[Batsman]]))))</f>
        <v>DA Warner</v>
      </c>
      <c r="P365">
        <f ca="1">IFERROR(IF(MATCH(T_BATTINGDATA[[#This Row],[BATSMAN NAME]],OFFSET(O366,0,0,BATROWS-ROW(O365)-ROW(T_BATTINGDATA[[#Headers],[BATSMAN NAME]])),0)&gt;0,0,SUMIF($O$6:O365,T_BATTINGDATA[[#This Row],[BATSMAN NAME]],$E$6:E365)),SUMIF($O$6:O365,T_BATTINGDATA[[#This Row],[BATSMAN NAME]],$E$6:E365))</f>
        <v>0</v>
      </c>
      <c r="AP365">
        <v>20</v>
      </c>
      <c r="AQ365" t="s">
        <v>149</v>
      </c>
      <c r="AR365" t="s">
        <v>577</v>
      </c>
      <c r="AS365">
        <v>6.1</v>
      </c>
      <c r="AT365">
        <v>0</v>
      </c>
      <c r="AU365">
        <v>38</v>
      </c>
      <c r="AV365">
        <v>2</v>
      </c>
      <c r="AW365">
        <v>6.16</v>
      </c>
      <c r="AX365">
        <v>22</v>
      </c>
      <c r="AY365">
        <v>2</v>
      </c>
      <c r="AZ365">
        <v>1</v>
      </c>
      <c r="BA365">
        <v>2</v>
      </c>
      <c r="BB365">
        <v>0</v>
      </c>
      <c r="BC365">
        <v>3</v>
      </c>
      <c r="BD365" t="str">
        <f>CONCATENATE(Table9[[#This Row],[Match Number]],Table9[[#This Row],[Team]],Table9[[#This Row],[BOWL NUM]])</f>
        <v>20Australia3</v>
      </c>
      <c r="BE365" t="str">
        <f>IFERROR(IF(AND(Table9[[#This Row],[Team]]=I_TEAM,IFERROR(IF(MATCH(Table9[[#This Row],[Bowler]],$AR$5:AR364,0)&gt;0,0),1)),1,0),"")</f>
        <v/>
      </c>
      <c r="BF365">
        <f>(LEFT(Table9[[#This Row],[Overs]],IFERROR(FIND(".",Table9[[#This Row],[Overs]])-1,LEN(Table9[[#This Row],[Overs]])))*6) + IFERROR(IF(FIND(".",Table9[[#This Row],[Overs]])+1&gt;0,RIGHT(Table9[[#This Row],[Overs]],1),0),0)</f>
        <v>37</v>
      </c>
      <c r="BG36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65" t="e">
        <f>IF(Table9[[#This Row],[Team]]=I_TEAM,Table9[[#This Row],[Wickets]]*100-Table9[[#This Row],[Runs]],0)</f>
        <v>#REF!</v>
      </c>
      <c r="BI365">
        <f>Table9[[#This Row],[Wickets]]*100-Table9[[#This Row],[Runs]]</f>
        <v>162</v>
      </c>
      <c r="BJ365">
        <f ca="1">IFERROR(IF(MATCH(Table9[[#This Row],[Bowler]],OFFSET(AR366,0,0,BOWLROWS-ROW(AR365)-ROW(Table9[[#Headers],[BOWLER CUML WICKETS]])),0)&gt;0,0,SUMIF($AR$6:AR365,Table9[[#This Row],[Bowler]],$AV$6:AV365)),SUMIF($AR$6:AR365,Table9[[#This Row],[Bowler]],$AV$6:AV365))</f>
        <v>0</v>
      </c>
      <c r="BK365">
        <f ca="1">IFERROR(IF(MATCH(Table9[[#This Row],[Bowler]],OFFSET(AR366,0,0,BOWLROWS-ROW(AR365)-ROW(Table9[[#Headers],[BOWLER CUML WICKETS]])),0)&gt;0,0,SUMIF($AR$6:AR365,Table9[[#This Row],[Bowler]],$AU$6:AU365)),SUMIF($AR$6:AR365,Table9[[#This Row],[Bowler]],$AU$6:AU365))</f>
        <v>0</v>
      </c>
      <c r="BL365">
        <f ca="1">Table9[[#This Row],[BOWLER CUML WICKETS]]*100-Table9[[#This Row],[BOWLER CUML RUNS]]</f>
        <v>0</v>
      </c>
    </row>
    <row r="366" spans="1:64" x14ac:dyDescent="0.3">
      <c r="A366">
        <v>48</v>
      </c>
      <c r="B366" t="s">
        <v>149</v>
      </c>
      <c r="C366" t="s">
        <v>331</v>
      </c>
      <c r="D366" t="s">
        <v>578</v>
      </c>
      <c r="E366">
        <v>105</v>
      </c>
      <c r="F366">
        <v>121</v>
      </c>
      <c r="G366">
        <v>93</v>
      </c>
      <c r="H366">
        <v>11</v>
      </c>
      <c r="I366">
        <v>2</v>
      </c>
      <c r="J366">
        <v>112.9</v>
      </c>
      <c r="K366">
        <v>3</v>
      </c>
      <c r="L366" t="str">
        <f>CONCATENATE(T_BATTINGDATA[[#This Row],[Match]],T_BATTINGDATA[[#This Row],[Team]],T_BATTINGDATA[[#This Row],[Bat Number]])</f>
        <v>48Australia3</v>
      </c>
      <c r="M366" t="str">
        <f>IFERROR(IF(AND(T_BATTINGDATA[[#This Row],[Team]]=I_TEAM,IFERROR(IF(MATCH(T_BATTINGDATA[[#This Row],[BATSMAN NAME]],$O$5:O365,0)&gt;0,0),1)),1,0),"")</f>
        <v/>
      </c>
      <c r="N366" t="e">
        <f>IF(T_BATTINGDATA[[#This Row],[Team]]=I_TEAM,T_BATTINGDATA[[#This Row],[R]],0)</f>
        <v>#REF!</v>
      </c>
      <c r="O366" t="str">
        <f>LEFT(T_BATTINGDATA[[#This Row],[Batsman]],IFERROR(FIND("*",T_BATTINGDATA[[#This Row],[Batsman]])-1,IFERROR(FIND("†",T_BATTINGDATA[[#This Row],[Batsman]])-1,LEN(T_BATTINGDATA[[#This Row],[Batsman]]))))</f>
        <v>SPD Smith</v>
      </c>
      <c r="P366">
        <f ca="1">IFERROR(IF(MATCH(T_BATTINGDATA[[#This Row],[BATSMAN NAME]],OFFSET(O367,0,0,BATROWS-ROW(O366)-ROW(T_BATTINGDATA[[#Headers],[BATSMAN NAME]])),0)&gt;0,0,SUMIF($O$6:O366,T_BATTINGDATA[[#This Row],[BATSMAN NAME]],$E$6:E366)),SUMIF($O$6:O366,T_BATTINGDATA[[#This Row],[BATSMAN NAME]],$E$6:E366))</f>
        <v>0</v>
      </c>
      <c r="AP366">
        <v>20</v>
      </c>
      <c r="AQ366" t="s">
        <v>149</v>
      </c>
      <c r="AR366" t="s">
        <v>325</v>
      </c>
      <c r="AS366">
        <v>1</v>
      </c>
      <c r="AT366">
        <v>0</v>
      </c>
      <c r="AU366">
        <v>11</v>
      </c>
      <c r="AV366">
        <v>0</v>
      </c>
      <c r="AW366">
        <v>11</v>
      </c>
      <c r="AX366">
        <v>2</v>
      </c>
      <c r="AY366">
        <v>2</v>
      </c>
      <c r="AZ366">
        <v>0</v>
      </c>
      <c r="BA366">
        <v>0</v>
      </c>
      <c r="BB366">
        <v>0</v>
      </c>
      <c r="BC366">
        <v>4</v>
      </c>
      <c r="BD366" t="str">
        <f>CONCATENATE(Table9[[#This Row],[Match Number]],Table9[[#This Row],[Team]],Table9[[#This Row],[BOWL NUM]])</f>
        <v>20Australia4</v>
      </c>
      <c r="BE366" t="str">
        <f>IFERROR(IF(AND(Table9[[#This Row],[Team]]=I_TEAM,IFERROR(IF(MATCH(Table9[[#This Row],[Bowler]],$AR$5:AR365,0)&gt;0,0),1)),1,0),"")</f>
        <v/>
      </c>
      <c r="BF366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36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66" t="e">
        <f>IF(Table9[[#This Row],[Team]]=I_TEAM,Table9[[#This Row],[Wickets]]*100-Table9[[#This Row],[Runs]],0)</f>
        <v>#REF!</v>
      </c>
      <c r="BI366">
        <f>Table9[[#This Row],[Wickets]]*100-Table9[[#This Row],[Runs]]</f>
        <v>-11</v>
      </c>
      <c r="BJ366">
        <f ca="1">IFERROR(IF(MATCH(Table9[[#This Row],[Bowler]],OFFSET(AR367,0,0,BOWLROWS-ROW(AR366)-ROW(Table9[[#Headers],[BOWLER CUML WICKETS]])),0)&gt;0,0,SUMIF($AR$6:AR366,Table9[[#This Row],[Bowler]],$AV$6:AV366)),SUMIF($AR$6:AR366,Table9[[#This Row],[Bowler]],$AV$6:AV366))</f>
        <v>0</v>
      </c>
      <c r="BK366">
        <f ca="1">IFERROR(IF(MATCH(Table9[[#This Row],[Bowler]],OFFSET(AR367,0,0,BOWLROWS-ROW(AR366)-ROW(Table9[[#Headers],[BOWLER CUML WICKETS]])),0)&gt;0,0,SUMIF($AR$6:AR366,Table9[[#This Row],[Bowler]],$AU$6:AU366)),SUMIF($AR$6:AR366,Table9[[#This Row],[Bowler]],$AU$6:AU366))</f>
        <v>0</v>
      </c>
      <c r="BL366">
        <f ca="1">Table9[[#This Row],[BOWLER CUML WICKETS]]*100-Table9[[#This Row],[BOWLER CUML RUNS]]</f>
        <v>0</v>
      </c>
    </row>
    <row r="367" spans="1:64" x14ac:dyDescent="0.3">
      <c r="A367">
        <v>48</v>
      </c>
      <c r="B367" t="s">
        <v>149</v>
      </c>
      <c r="C367" t="s">
        <v>329</v>
      </c>
      <c r="D367" t="s">
        <v>271</v>
      </c>
      <c r="E367">
        <v>23</v>
      </c>
      <c r="F367">
        <v>17</v>
      </c>
      <c r="G367">
        <v>14</v>
      </c>
      <c r="H367">
        <v>3</v>
      </c>
      <c r="I367">
        <v>1</v>
      </c>
      <c r="J367">
        <v>164.28</v>
      </c>
      <c r="K367">
        <v>4</v>
      </c>
      <c r="L367" t="str">
        <f>CONCATENATE(T_BATTINGDATA[[#This Row],[Match]],T_BATTINGDATA[[#This Row],[Team]],T_BATTINGDATA[[#This Row],[Bat Number]])</f>
        <v>48Australia4</v>
      </c>
      <c r="M367" t="str">
        <f>IFERROR(IF(AND(T_BATTINGDATA[[#This Row],[Team]]=I_TEAM,IFERROR(IF(MATCH(T_BATTINGDATA[[#This Row],[BATSMAN NAME]],$O$5:O366,0)&gt;0,0),1)),1,0),"")</f>
        <v/>
      </c>
      <c r="N367" t="e">
        <f>IF(T_BATTINGDATA[[#This Row],[Team]]=I_TEAM,T_BATTINGDATA[[#This Row],[R]],0)</f>
        <v>#REF!</v>
      </c>
      <c r="O367" t="str">
        <f>LEFT(T_BATTINGDATA[[#This Row],[Batsman]],IFERROR(FIND("*",T_BATTINGDATA[[#This Row],[Batsman]])-1,IFERROR(FIND("†",T_BATTINGDATA[[#This Row],[Batsman]])-1,LEN(T_BATTINGDATA[[#This Row],[Batsman]]))))</f>
        <v>GJ Maxwell</v>
      </c>
      <c r="P367">
        <f ca="1">IFERROR(IF(MATCH(T_BATTINGDATA[[#This Row],[BATSMAN NAME]],OFFSET(O368,0,0,BATROWS-ROW(O367)-ROW(T_BATTINGDATA[[#Headers],[BATSMAN NAME]])),0)&gt;0,0,SUMIF($O$6:O367,T_BATTINGDATA[[#This Row],[BATSMAN NAME]],$E$6:E367)),SUMIF($O$6:O367,T_BATTINGDATA[[#This Row],[BATSMAN NAME]],$E$6:E367))</f>
        <v>0</v>
      </c>
      <c r="AP367">
        <v>20</v>
      </c>
      <c r="AQ367" t="s">
        <v>149</v>
      </c>
      <c r="AR367" t="s">
        <v>329</v>
      </c>
      <c r="AS367">
        <v>1</v>
      </c>
      <c r="AT367">
        <v>0</v>
      </c>
      <c r="AU367">
        <v>7</v>
      </c>
      <c r="AV367">
        <v>1</v>
      </c>
      <c r="AW367">
        <v>7</v>
      </c>
      <c r="AX367">
        <v>4</v>
      </c>
      <c r="AY367">
        <v>0</v>
      </c>
      <c r="AZ367">
        <v>1</v>
      </c>
      <c r="BA367">
        <v>0</v>
      </c>
      <c r="BB367">
        <v>0</v>
      </c>
      <c r="BC367">
        <v>5</v>
      </c>
      <c r="BD367" t="str">
        <f>CONCATENATE(Table9[[#This Row],[Match Number]],Table9[[#This Row],[Team]],Table9[[#This Row],[BOWL NUM]])</f>
        <v>20Australia5</v>
      </c>
      <c r="BE367" t="str">
        <f>IFERROR(IF(AND(Table9[[#This Row],[Team]]=I_TEAM,IFERROR(IF(MATCH(Table9[[#This Row],[Bowler]],$AR$5:AR366,0)&gt;0,0),1)),1,0),"")</f>
        <v/>
      </c>
      <c r="BF367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36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67" t="e">
        <f>IF(Table9[[#This Row],[Team]]=I_TEAM,Table9[[#This Row],[Wickets]]*100-Table9[[#This Row],[Runs]],0)</f>
        <v>#REF!</v>
      </c>
      <c r="BI367">
        <f>Table9[[#This Row],[Wickets]]*100-Table9[[#This Row],[Runs]]</f>
        <v>93</v>
      </c>
      <c r="BJ367">
        <f ca="1">IFERROR(IF(MATCH(Table9[[#This Row],[Bowler]],OFFSET(AR368,0,0,BOWLROWS-ROW(AR367)-ROW(Table9[[#Headers],[BOWLER CUML WICKETS]])),0)&gt;0,0,SUMIF($AR$6:AR392,Table9[[#This Row],[Bowler]],$AV$6:AV392)),SUMIF($AR$6:AR392,Table9[[#This Row],[Bowler]],$AV$6:AV392))</f>
        <v>0</v>
      </c>
      <c r="BK367">
        <f ca="1">IFERROR(IF(MATCH(Table9[[#This Row],[Bowler]],OFFSET(AR368,0,0,BOWLROWS-ROW(AR367)-ROW(Table9[[#Headers],[BOWLER CUML WICKETS]])),0)&gt;0,0,SUMIF($AR$6:AR392,Table9[[#This Row],[Bowler]],$AU$6:AU392)),SUMIF($AR$6:AR392,Table9[[#This Row],[Bowler]],$AU$6:AU392))</f>
        <v>0</v>
      </c>
      <c r="BL367">
        <f ca="1">Table9[[#This Row],[BOWLER CUML WICKETS]]*100-Table9[[#This Row],[BOWLER CUML RUNS]]</f>
        <v>0</v>
      </c>
    </row>
    <row r="368" spans="1:64" x14ac:dyDescent="0.3">
      <c r="A368">
        <v>48</v>
      </c>
      <c r="B368" t="s">
        <v>149</v>
      </c>
      <c r="C368" t="s">
        <v>327</v>
      </c>
      <c r="D368" t="s">
        <v>579</v>
      </c>
      <c r="E368">
        <v>28</v>
      </c>
      <c r="F368">
        <v>51</v>
      </c>
      <c r="G368">
        <v>30</v>
      </c>
      <c r="H368">
        <v>2</v>
      </c>
      <c r="I368">
        <v>1</v>
      </c>
      <c r="J368">
        <v>93.33</v>
      </c>
      <c r="K368">
        <v>5</v>
      </c>
      <c r="L368" t="str">
        <f>CONCATENATE(T_BATTINGDATA[[#This Row],[Match]],T_BATTINGDATA[[#This Row],[Team]],T_BATTINGDATA[[#This Row],[Bat Number]])</f>
        <v>48Australia5</v>
      </c>
      <c r="M368" t="str">
        <f>IFERROR(IF(AND(T_BATTINGDATA[[#This Row],[Team]]=I_TEAM,IFERROR(IF(MATCH(T_BATTINGDATA[[#This Row],[BATSMAN NAME]],$O$5:O367,0)&gt;0,0),1)),1,0),"")</f>
        <v/>
      </c>
      <c r="N368" t="e">
        <f>IF(T_BATTINGDATA[[#This Row],[Team]]=I_TEAM,T_BATTINGDATA[[#This Row],[R]],0)</f>
        <v>#REF!</v>
      </c>
      <c r="O368" t="str">
        <f>LEFT(T_BATTINGDATA[[#This Row],[Batsman]],IFERROR(FIND("*",T_BATTINGDATA[[#This Row],[Batsman]])-1,IFERROR(FIND("†",T_BATTINGDATA[[#This Row],[Batsman]])-1,LEN(T_BATTINGDATA[[#This Row],[Batsman]]))))</f>
        <v>SR Watson</v>
      </c>
      <c r="P368">
        <f ca="1">IFERROR(IF(MATCH(T_BATTINGDATA[[#This Row],[BATSMAN NAME]],OFFSET(O369,0,0,BATROWS-ROW(O368)-ROW(T_BATTINGDATA[[#Headers],[BATSMAN NAME]])),0)&gt;0,0,SUMIF($O$6:O368,T_BATTINGDATA[[#This Row],[BATSMAN NAME]],$E$6:E368)),SUMIF($O$6:O368,T_BATTINGDATA[[#This Row],[BATSMAN NAME]],$E$6:E368))</f>
        <v>0</v>
      </c>
      <c r="AP368">
        <v>22</v>
      </c>
      <c r="AQ368" t="s">
        <v>145</v>
      </c>
      <c r="AR368" t="s">
        <v>287</v>
      </c>
      <c r="AS368">
        <v>10</v>
      </c>
      <c r="AT368">
        <v>0</v>
      </c>
      <c r="AU368">
        <v>63</v>
      </c>
      <c r="AV368">
        <v>1</v>
      </c>
      <c r="AW368">
        <v>6.3</v>
      </c>
      <c r="AX368">
        <v>30</v>
      </c>
      <c r="AY368">
        <v>10</v>
      </c>
      <c r="AZ368">
        <v>0</v>
      </c>
      <c r="BA368">
        <v>2</v>
      </c>
      <c r="BB368">
        <v>0</v>
      </c>
      <c r="BC368">
        <v>1</v>
      </c>
      <c r="BD368" t="str">
        <f>CONCATENATE(Table9[[#This Row],[Match Number]],Table9[[#This Row],[Team]],Table9[[#This Row],[BOWL NUM]])</f>
        <v>22Sri Lanka1</v>
      </c>
      <c r="BE368" t="str">
        <f>IFERROR(IF(AND(Table9[[#This Row],[Team]]=I_TEAM,IFERROR(IF(MATCH(Table9[[#This Row],[Bowler]],$AR$5:AR367,0)&gt;0,0),1)),1,0),"")</f>
        <v/>
      </c>
      <c r="BF36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6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368" t="e">
        <f>IF(Table9[[#This Row],[Team]]=I_TEAM,Table9[[#This Row],[Wickets]]*100-Table9[[#This Row],[Runs]],0)</f>
        <v>#REF!</v>
      </c>
      <c r="BI368">
        <f>Table9[[#This Row],[Wickets]]*100-Table9[[#This Row],[Runs]]</f>
        <v>37</v>
      </c>
      <c r="BJ368">
        <f ca="1">IFERROR(IF(MATCH(Table9[[#This Row],[Bowler]],OFFSET(AR369,0,0,BOWLROWS-ROW(AR368)-ROW(Table9[[#Headers],[BOWLER CUML WICKETS]])),0)&gt;0,0,SUMIF($AR$6:AR368,Table9[[#This Row],[Bowler]],$AV$6:AV368)),SUMIF($AR$6:AR368,Table9[[#This Row],[Bowler]],$AV$6:AV368))</f>
        <v>0</v>
      </c>
      <c r="BK368">
        <f ca="1">IFERROR(IF(MATCH(Table9[[#This Row],[Bowler]],OFFSET(AR369,0,0,BOWLROWS-ROW(AR368)-ROW(Table9[[#Headers],[BOWLER CUML WICKETS]])),0)&gt;0,0,SUMIF($AR$6:AR368,Table9[[#This Row],[Bowler]],$AU$6:AU368)),SUMIF($AR$6:AR368,Table9[[#This Row],[Bowler]],$AU$6:AU368))</f>
        <v>0</v>
      </c>
      <c r="BL368">
        <f ca="1">Table9[[#This Row],[BOWLER CUML WICKETS]]*100-Table9[[#This Row],[BOWLER CUML RUNS]]</f>
        <v>0</v>
      </c>
    </row>
    <row r="369" spans="1:64" x14ac:dyDescent="0.3">
      <c r="A369">
        <v>48</v>
      </c>
      <c r="B369" t="s">
        <v>149</v>
      </c>
      <c r="C369" t="s">
        <v>580</v>
      </c>
      <c r="D369" t="s">
        <v>581</v>
      </c>
      <c r="E369">
        <v>10</v>
      </c>
      <c r="F369">
        <v>16</v>
      </c>
      <c r="G369">
        <v>12</v>
      </c>
      <c r="H369">
        <v>1</v>
      </c>
      <c r="I369">
        <v>0</v>
      </c>
      <c r="J369">
        <v>83.33</v>
      </c>
      <c r="K369">
        <v>6</v>
      </c>
      <c r="L369" t="str">
        <f>CONCATENATE(T_BATTINGDATA[[#This Row],[Match]],T_BATTINGDATA[[#This Row],[Team]],T_BATTINGDATA[[#This Row],[Bat Number]])</f>
        <v>48Australia6</v>
      </c>
      <c r="M369" t="str">
        <f>IFERROR(IF(AND(T_BATTINGDATA[[#This Row],[Team]]=I_TEAM,IFERROR(IF(MATCH(T_BATTINGDATA[[#This Row],[BATSMAN NAME]],$O$5:O368,0)&gt;0,0),1)),1,0),"")</f>
        <v/>
      </c>
      <c r="N369" t="e">
        <f>IF(T_BATTINGDATA[[#This Row],[Team]]=I_TEAM,T_BATTINGDATA[[#This Row],[R]],0)</f>
        <v>#REF!</v>
      </c>
      <c r="O369" t="str">
        <f>LEFT(T_BATTINGDATA[[#This Row],[Batsman]],IFERROR(FIND("*",T_BATTINGDATA[[#This Row],[Batsman]])-1,IFERROR(FIND("†",T_BATTINGDATA[[#This Row],[Batsman]])-1,LEN(T_BATTINGDATA[[#This Row],[Batsman]]))))</f>
        <v>MJ Clarke</v>
      </c>
      <c r="P369">
        <f ca="1">IFERROR(IF(MATCH(T_BATTINGDATA[[#This Row],[BATSMAN NAME]],OFFSET(O370,0,0,BATROWS-ROW(O369)-ROW(T_BATTINGDATA[[#Headers],[BATSMAN NAME]])),0)&gt;0,0,SUMIF($O$6:O369,T_BATTINGDATA[[#This Row],[BATSMAN NAME]],$E$6:E369)),SUMIF($O$6:O369,T_BATTINGDATA[[#This Row],[BATSMAN NAME]],$E$6:E369))</f>
        <v>0</v>
      </c>
      <c r="AP369">
        <v>22</v>
      </c>
      <c r="AQ369" t="s">
        <v>145</v>
      </c>
      <c r="AR369" t="s">
        <v>293</v>
      </c>
      <c r="AS369">
        <v>7.4</v>
      </c>
      <c r="AT369">
        <v>0</v>
      </c>
      <c r="AU369">
        <v>71</v>
      </c>
      <c r="AV369">
        <v>1</v>
      </c>
      <c r="AW369">
        <v>9.26</v>
      </c>
      <c r="AX369">
        <v>25</v>
      </c>
      <c r="AY369">
        <v>11</v>
      </c>
      <c r="AZ369">
        <v>1</v>
      </c>
      <c r="BA369">
        <v>2</v>
      </c>
      <c r="BB369">
        <v>2</v>
      </c>
      <c r="BC369">
        <v>2</v>
      </c>
      <c r="BD369" t="str">
        <f>CONCATENATE(Table9[[#This Row],[Match Number]],Table9[[#This Row],[Team]],Table9[[#This Row],[BOWL NUM]])</f>
        <v>22Sri Lanka2</v>
      </c>
      <c r="BE369" t="str">
        <f>IFERROR(IF(AND(Table9[[#This Row],[Team]]=I_TEAM,IFERROR(IF(MATCH(Table9[[#This Row],[Bowler]],$AR$5:AR368,0)&gt;0,0),1)),1,0),"")</f>
        <v/>
      </c>
      <c r="BF369">
        <f>(LEFT(Table9[[#This Row],[Overs]],IFERROR(FIND(".",Table9[[#This Row],[Overs]])-1,LEN(Table9[[#This Row],[Overs]])))*6) + IFERROR(IF(FIND(".",Table9[[#This Row],[Overs]])+1&gt;0,RIGHT(Table9[[#This Row],[Overs]],1),0),0)</f>
        <v>46</v>
      </c>
      <c r="BG36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369" t="e">
        <f>IF(Table9[[#This Row],[Team]]=I_TEAM,Table9[[#This Row],[Wickets]]*100-Table9[[#This Row],[Runs]],0)</f>
        <v>#REF!</v>
      </c>
      <c r="BI369">
        <f>Table9[[#This Row],[Wickets]]*100-Table9[[#This Row],[Runs]]</f>
        <v>29</v>
      </c>
      <c r="BJ369">
        <f ca="1">IFERROR(IF(MATCH(Table9[[#This Row],[Bowler]],OFFSET(AR370,0,0,BOWLROWS-ROW(AR369)-ROW(Table9[[#Headers],[BOWLER CUML WICKETS]])),0)&gt;0,0,SUMIF($AR$6:AR369,Table9[[#This Row],[Bowler]],$AV$6:AV369)),SUMIF($AR$6:AR369,Table9[[#This Row],[Bowler]],$AV$6:AV369))</f>
        <v>7</v>
      </c>
      <c r="BK369">
        <f ca="1">IFERROR(IF(MATCH(Table9[[#This Row],[Bowler]],OFFSET(AR370,0,0,BOWLROWS-ROW(AR369)-ROW(Table9[[#Headers],[BOWLER CUML WICKETS]])),0)&gt;0,0,SUMIF($AR$6:AR369,Table9[[#This Row],[Bowler]],$AU$6:AU369)),SUMIF($AR$6:AR369,Table9[[#This Row],[Bowler]],$AU$6:AU369))</f>
        <v>218</v>
      </c>
      <c r="BL369">
        <f ca="1">Table9[[#This Row],[BOWLER CUML WICKETS]]*100-Table9[[#This Row],[BOWLER CUML RUNS]]</f>
        <v>482</v>
      </c>
    </row>
    <row r="370" spans="1:64" x14ac:dyDescent="0.3">
      <c r="A370">
        <v>48</v>
      </c>
      <c r="B370" t="s">
        <v>149</v>
      </c>
      <c r="C370" t="s">
        <v>505</v>
      </c>
      <c r="D370" t="s">
        <v>238</v>
      </c>
      <c r="E370">
        <v>21</v>
      </c>
      <c r="F370">
        <v>20</v>
      </c>
      <c r="G370">
        <v>12</v>
      </c>
      <c r="H370">
        <v>3</v>
      </c>
      <c r="I370">
        <v>1</v>
      </c>
      <c r="J370">
        <v>175</v>
      </c>
      <c r="K370">
        <v>7</v>
      </c>
      <c r="L370" t="str">
        <f>CONCATENATE(T_BATTINGDATA[[#This Row],[Match]],T_BATTINGDATA[[#This Row],[Team]],T_BATTINGDATA[[#This Row],[Bat Number]])</f>
        <v>48Australia7</v>
      </c>
      <c r="M370" t="str">
        <f>IFERROR(IF(AND(T_BATTINGDATA[[#This Row],[Team]]=I_TEAM,IFERROR(IF(MATCH(T_BATTINGDATA[[#This Row],[BATSMAN NAME]],$O$5:O369,0)&gt;0,0),1)),1,0),"")</f>
        <v/>
      </c>
      <c r="N370" t="e">
        <f>IF(T_BATTINGDATA[[#This Row],[Team]]=I_TEAM,T_BATTINGDATA[[#This Row],[R]],0)</f>
        <v>#REF!</v>
      </c>
      <c r="O370" t="str">
        <f>LEFT(T_BATTINGDATA[[#This Row],[Batsman]],IFERROR(FIND("*",T_BATTINGDATA[[#This Row],[Batsman]])-1,IFERROR(FIND("†",T_BATTINGDATA[[#This Row],[Batsman]])-1,LEN(T_BATTINGDATA[[#This Row],[Batsman]]))))</f>
        <v>JP Faulkner</v>
      </c>
      <c r="P370">
        <f ca="1">IFERROR(IF(MATCH(T_BATTINGDATA[[#This Row],[BATSMAN NAME]],OFFSET(O371,0,0,BATROWS-ROW(O370)-ROW(T_BATTINGDATA[[#Headers],[BATSMAN NAME]])),0)&gt;0,0,SUMIF($O$6:O370,T_BATTINGDATA[[#This Row],[BATSMAN NAME]],$E$6:E370)),SUMIF($O$6:O370,T_BATTINGDATA[[#This Row],[BATSMAN NAME]],$E$6:E370))</f>
        <v>0</v>
      </c>
      <c r="AP370">
        <v>22</v>
      </c>
      <c r="AQ370" t="s">
        <v>145</v>
      </c>
      <c r="AR370" t="s">
        <v>288</v>
      </c>
      <c r="AS370">
        <v>10</v>
      </c>
      <c r="AT370">
        <v>1</v>
      </c>
      <c r="AU370">
        <v>43</v>
      </c>
      <c r="AV370">
        <v>1</v>
      </c>
      <c r="AW370">
        <v>4.3</v>
      </c>
      <c r="AX370">
        <v>38</v>
      </c>
      <c r="AY370">
        <v>4</v>
      </c>
      <c r="AZ370">
        <v>1</v>
      </c>
      <c r="BA370">
        <v>1</v>
      </c>
      <c r="BB370">
        <v>0</v>
      </c>
      <c r="BC370">
        <v>3</v>
      </c>
      <c r="BD370" t="str">
        <f>CONCATENATE(Table9[[#This Row],[Match Number]],Table9[[#This Row],[Team]],Table9[[#This Row],[BOWL NUM]])</f>
        <v>22Sri Lanka3</v>
      </c>
      <c r="BE370" t="str">
        <f>IFERROR(IF(AND(Table9[[#This Row],[Team]]=I_TEAM,IFERROR(IF(MATCH(Table9[[#This Row],[Bowler]],$AR$5:AR369,0)&gt;0,0),1)),1,0),"")</f>
        <v/>
      </c>
      <c r="BF37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7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370" t="e">
        <f>IF(Table9[[#This Row],[Team]]=I_TEAM,Table9[[#This Row],[Wickets]]*100-Table9[[#This Row],[Runs]],0)</f>
        <v>#REF!</v>
      </c>
      <c r="BI370">
        <f>Table9[[#This Row],[Wickets]]*100-Table9[[#This Row],[Runs]]</f>
        <v>57</v>
      </c>
      <c r="BJ370">
        <f ca="1">IFERROR(IF(MATCH(Table9[[#This Row],[Bowler]],OFFSET(AR371,0,0,BOWLROWS-ROW(AR370)-ROW(Table9[[#Headers],[BOWLER CUML WICKETS]])),0)&gt;0,0,SUMIF($AR$6:AR370,Table9[[#This Row],[Bowler]],$AV$6:AV370)),SUMIF($AR$6:AR370,Table9[[#This Row],[Bowler]],$AV$6:AV370))</f>
        <v>0</v>
      </c>
      <c r="BK370">
        <f ca="1">IFERROR(IF(MATCH(Table9[[#This Row],[Bowler]],OFFSET(AR371,0,0,BOWLROWS-ROW(AR370)-ROW(Table9[[#Headers],[BOWLER CUML WICKETS]])),0)&gt;0,0,SUMIF($AR$6:AR370,Table9[[#This Row],[Bowler]],$AU$6:AU370)),SUMIF($AR$6:AR370,Table9[[#This Row],[Bowler]],$AU$6:AU370))</f>
        <v>0</v>
      </c>
      <c r="BL370">
        <f ca="1">Table9[[#This Row],[BOWLER CUML WICKETS]]*100-Table9[[#This Row],[BOWLER CUML RUNS]]</f>
        <v>0</v>
      </c>
    </row>
    <row r="371" spans="1:64" x14ac:dyDescent="0.3">
      <c r="A371">
        <v>48</v>
      </c>
      <c r="B371" t="s">
        <v>149</v>
      </c>
      <c r="C371" t="s">
        <v>391</v>
      </c>
      <c r="D371" t="s">
        <v>167</v>
      </c>
      <c r="E371">
        <v>7</v>
      </c>
      <c r="F371">
        <v>22</v>
      </c>
      <c r="G371">
        <v>7</v>
      </c>
      <c r="H371">
        <v>1</v>
      </c>
      <c r="I371">
        <v>0</v>
      </c>
      <c r="J371">
        <v>100</v>
      </c>
      <c r="K371">
        <v>8</v>
      </c>
      <c r="L371" t="str">
        <f>CONCATENATE(T_BATTINGDATA[[#This Row],[Match]],T_BATTINGDATA[[#This Row],[Team]],T_BATTINGDATA[[#This Row],[Bat Number]])</f>
        <v>48Australia8</v>
      </c>
      <c r="M371" t="str">
        <f>IFERROR(IF(AND(T_BATTINGDATA[[#This Row],[Team]]=I_TEAM,IFERROR(IF(MATCH(T_BATTINGDATA[[#This Row],[BATSMAN NAME]],$O$5:O370,0)&gt;0,0),1)),1,0),"")</f>
        <v/>
      </c>
      <c r="N371" t="e">
        <f>IF(T_BATTINGDATA[[#This Row],[Team]]=I_TEAM,T_BATTINGDATA[[#This Row],[R]],0)</f>
        <v>#REF!</v>
      </c>
      <c r="O371" t="str">
        <f>LEFT(T_BATTINGDATA[[#This Row],[Batsman]],IFERROR(FIND("*",T_BATTINGDATA[[#This Row],[Batsman]])-1,IFERROR(FIND("†",T_BATTINGDATA[[#This Row],[Batsman]])-1,LEN(T_BATTINGDATA[[#This Row],[Batsman]]))))</f>
        <v>BJ Haddin</v>
      </c>
      <c r="P371">
        <f ca="1">IFERROR(IF(MATCH(T_BATTINGDATA[[#This Row],[BATSMAN NAME]],OFFSET(O372,0,0,BATROWS-ROW(O371)-ROW(T_BATTINGDATA[[#Headers],[BATSMAN NAME]])),0)&gt;0,0,SUMIF($O$6:O371,T_BATTINGDATA[[#This Row],[BATSMAN NAME]],$E$6:E371)),SUMIF($O$6:O371,T_BATTINGDATA[[#This Row],[BATSMAN NAME]],$E$6:E371))</f>
        <v>0</v>
      </c>
      <c r="AP371">
        <v>22</v>
      </c>
      <c r="AQ371" t="s">
        <v>145</v>
      </c>
      <c r="AR371" t="s">
        <v>290</v>
      </c>
      <c r="AS371">
        <v>8.1999999999999993</v>
      </c>
      <c r="AT371">
        <v>0</v>
      </c>
      <c r="AU371">
        <v>35</v>
      </c>
      <c r="AV371">
        <v>1</v>
      </c>
      <c r="AW371">
        <v>4.2</v>
      </c>
      <c r="AX371">
        <v>24</v>
      </c>
      <c r="AY371">
        <v>1</v>
      </c>
      <c r="AZ371">
        <v>1</v>
      </c>
      <c r="BA371">
        <v>0</v>
      </c>
      <c r="BB371">
        <v>0</v>
      </c>
      <c r="BC371">
        <v>4</v>
      </c>
      <c r="BD371" t="str">
        <f>CONCATENATE(Table9[[#This Row],[Match Number]],Table9[[#This Row],[Team]],Table9[[#This Row],[BOWL NUM]])</f>
        <v>22Sri Lanka4</v>
      </c>
      <c r="BE371" t="str">
        <f>IFERROR(IF(AND(Table9[[#This Row],[Team]]=I_TEAM,IFERROR(IF(MATCH(Table9[[#This Row],[Bowler]],$AR$5:AR370,0)&gt;0,0),1)),1,0),"")</f>
        <v/>
      </c>
      <c r="BF371">
        <f>(LEFT(Table9[[#This Row],[Overs]],IFERROR(FIND(".",Table9[[#This Row],[Overs]])-1,LEN(Table9[[#This Row],[Overs]])))*6) + IFERROR(IF(FIND(".",Table9[[#This Row],[Overs]])+1&gt;0,RIGHT(Table9[[#This Row],[Overs]],1),0),0)</f>
        <v>50</v>
      </c>
      <c r="BG37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371" t="e">
        <f>IF(Table9[[#This Row],[Team]]=I_TEAM,Table9[[#This Row],[Wickets]]*100-Table9[[#This Row],[Runs]],0)</f>
        <v>#REF!</v>
      </c>
      <c r="BI371">
        <f>Table9[[#This Row],[Wickets]]*100-Table9[[#This Row],[Runs]]</f>
        <v>65</v>
      </c>
      <c r="BJ371">
        <f ca="1">IFERROR(IF(MATCH(Table9[[#This Row],[Bowler]],OFFSET(AR372,0,0,BOWLROWS-ROW(AR371)-ROW(Table9[[#Headers],[BOWLER CUML WICKETS]])),0)&gt;0,0,SUMIF($AR$6:AR371,Table9[[#This Row],[Bowler]],$AV$6:AV371)),SUMIF($AR$6:AR371,Table9[[#This Row],[Bowler]],$AV$6:AV371))</f>
        <v>0</v>
      </c>
      <c r="BK371">
        <f ca="1">IFERROR(IF(MATCH(Table9[[#This Row],[Bowler]],OFFSET(AR372,0,0,BOWLROWS-ROW(AR371)-ROW(Table9[[#Headers],[BOWLER CUML WICKETS]])),0)&gt;0,0,SUMIF($AR$6:AR371,Table9[[#This Row],[Bowler]],$AU$6:AU371)),SUMIF($AR$6:AR371,Table9[[#This Row],[Bowler]],$AU$6:AU371))</f>
        <v>0</v>
      </c>
      <c r="BL371">
        <f ca="1">Table9[[#This Row],[BOWLER CUML WICKETS]]*100-Table9[[#This Row],[BOWLER CUML RUNS]]</f>
        <v>0</v>
      </c>
    </row>
    <row r="372" spans="1:64" x14ac:dyDescent="0.3">
      <c r="A372">
        <v>48</v>
      </c>
      <c r="B372" t="s">
        <v>149</v>
      </c>
      <c r="C372" t="s">
        <v>323</v>
      </c>
      <c r="D372" t="s">
        <v>167</v>
      </c>
      <c r="E372">
        <v>27</v>
      </c>
      <c r="F372">
        <v>14</v>
      </c>
      <c r="G372">
        <v>9</v>
      </c>
      <c r="H372">
        <v>4</v>
      </c>
      <c r="I372">
        <v>1</v>
      </c>
      <c r="J372">
        <v>300</v>
      </c>
      <c r="K372">
        <v>9</v>
      </c>
      <c r="L372" t="str">
        <f>CONCATENATE(T_BATTINGDATA[[#This Row],[Match]],T_BATTINGDATA[[#This Row],[Team]],T_BATTINGDATA[[#This Row],[Bat Number]])</f>
        <v>48Australia9</v>
      </c>
      <c r="M372" t="str">
        <f>IFERROR(IF(AND(T_BATTINGDATA[[#This Row],[Team]]=I_TEAM,IFERROR(IF(MATCH(T_BATTINGDATA[[#This Row],[BATSMAN NAME]],$O$5:O371,0)&gt;0,0),1)),1,0),"")</f>
        <v/>
      </c>
      <c r="N372" t="e">
        <f>IF(T_BATTINGDATA[[#This Row],[Team]]=I_TEAM,T_BATTINGDATA[[#This Row],[R]],0)</f>
        <v>#REF!</v>
      </c>
      <c r="O372" t="str">
        <f>LEFT(T_BATTINGDATA[[#This Row],[Batsman]],IFERROR(FIND("*",T_BATTINGDATA[[#This Row],[Batsman]])-1,IFERROR(FIND("†",T_BATTINGDATA[[#This Row],[Batsman]])-1,LEN(T_BATTINGDATA[[#This Row],[Batsman]]))))</f>
        <v>MG Johnson</v>
      </c>
      <c r="P372">
        <f ca="1">IFERROR(IF(MATCH(T_BATTINGDATA[[#This Row],[BATSMAN NAME]],OFFSET(O373,0,0,BATROWS-ROW(O372)-ROW(T_BATTINGDATA[[#Headers],[BATSMAN NAME]])),0)&gt;0,0,SUMIF($O$6:O372,T_BATTINGDATA[[#This Row],[BATSMAN NAME]],$E$6:E372)),SUMIF($O$6:O372,T_BATTINGDATA[[#This Row],[BATSMAN NAME]],$E$6:E372))</f>
        <v>0</v>
      </c>
      <c r="AP372">
        <v>22</v>
      </c>
      <c r="AQ372" t="s">
        <v>145</v>
      </c>
      <c r="AR372" t="s">
        <v>289</v>
      </c>
      <c r="AS372">
        <v>5.5</v>
      </c>
      <c r="AT372">
        <v>0</v>
      </c>
      <c r="AU372">
        <v>35</v>
      </c>
      <c r="AV372">
        <v>1</v>
      </c>
      <c r="AW372">
        <v>6</v>
      </c>
      <c r="AX372">
        <v>10</v>
      </c>
      <c r="AY372">
        <v>3</v>
      </c>
      <c r="AZ372">
        <v>0</v>
      </c>
      <c r="BA372">
        <v>0</v>
      </c>
      <c r="BB372">
        <v>0</v>
      </c>
      <c r="BC372">
        <v>5</v>
      </c>
      <c r="BD372" t="str">
        <f>CONCATENATE(Table9[[#This Row],[Match Number]],Table9[[#This Row],[Team]],Table9[[#This Row],[BOWL NUM]])</f>
        <v>22Sri Lanka5</v>
      </c>
      <c r="BE372" t="str">
        <f>IFERROR(IF(AND(Table9[[#This Row],[Team]]=I_TEAM,IFERROR(IF(MATCH(Table9[[#This Row],[Bowler]],$AR$5:AR371,0)&gt;0,0),1)),1,0),"")</f>
        <v/>
      </c>
      <c r="BF372">
        <f>(LEFT(Table9[[#This Row],[Overs]],IFERROR(FIND(".",Table9[[#This Row],[Overs]])-1,LEN(Table9[[#This Row],[Overs]])))*6) + IFERROR(IF(FIND(".",Table9[[#This Row],[Overs]])+1&gt;0,RIGHT(Table9[[#This Row],[Overs]],1),0),0)</f>
        <v>35</v>
      </c>
      <c r="BG37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372" t="e">
        <f>IF(Table9[[#This Row],[Team]]=I_TEAM,Table9[[#This Row],[Wickets]]*100-Table9[[#This Row],[Runs]],0)</f>
        <v>#REF!</v>
      </c>
      <c r="BI372">
        <f>Table9[[#This Row],[Wickets]]*100-Table9[[#This Row],[Runs]]</f>
        <v>65</v>
      </c>
      <c r="BJ372">
        <f ca="1">IFERROR(IF(MATCH(Table9[[#This Row],[Bowler]],OFFSET(AR373,0,0,BOWLROWS-ROW(AR372)-ROW(Table9[[#Headers],[BOWLER CUML WICKETS]])),0)&gt;0,0,SUMIF($AR$6:AR372,Table9[[#This Row],[Bowler]],$AV$6:AV372)),SUMIF($AR$6:AR372,Table9[[#This Row],[Bowler]],$AV$6:AV372))</f>
        <v>3</v>
      </c>
      <c r="BK372">
        <f ca="1">IFERROR(IF(MATCH(Table9[[#This Row],[Bowler]],OFFSET(AR373,0,0,BOWLROWS-ROW(AR372)-ROW(Table9[[#Headers],[BOWLER CUML WICKETS]])),0)&gt;0,0,SUMIF($AR$6:AR372,Table9[[#This Row],[Bowler]],$AU$6:AU372)),SUMIF($AR$6:AR372,Table9[[#This Row],[Bowler]],$AU$6:AU372))</f>
        <v>156</v>
      </c>
      <c r="BL372">
        <f ca="1">Table9[[#This Row],[BOWLER CUML WICKETS]]*100-Table9[[#This Row],[BOWLER CUML RUNS]]</f>
        <v>144</v>
      </c>
    </row>
    <row r="373" spans="1:64" x14ac:dyDescent="0.3">
      <c r="A373">
        <v>48</v>
      </c>
      <c r="B373" t="s">
        <v>137</v>
      </c>
      <c r="C373" t="s">
        <v>138</v>
      </c>
      <c r="D373" t="s">
        <v>582</v>
      </c>
      <c r="E373">
        <v>34</v>
      </c>
      <c r="F373">
        <v>83</v>
      </c>
      <c r="G373">
        <v>48</v>
      </c>
      <c r="H373">
        <v>1</v>
      </c>
      <c r="I373">
        <v>2</v>
      </c>
      <c r="J373">
        <v>70.83</v>
      </c>
      <c r="K373">
        <v>1</v>
      </c>
      <c r="L373" t="str">
        <f>CONCATENATE(T_BATTINGDATA[[#This Row],[Match]],T_BATTINGDATA[[#This Row],[Team]],T_BATTINGDATA[[#This Row],[Bat Number]])</f>
        <v>48India1</v>
      </c>
      <c r="M373" t="str">
        <f>IFERROR(IF(AND(T_BATTINGDATA[[#This Row],[Team]]=I_TEAM,IFERROR(IF(MATCH(T_BATTINGDATA[[#This Row],[BATSMAN NAME]],$O$5:O372,0)&gt;0,0),1)),1,0),"")</f>
        <v/>
      </c>
      <c r="N373" t="e">
        <f>IF(T_BATTINGDATA[[#This Row],[Team]]=I_TEAM,T_BATTINGDATA[[#This Row],[R]],0)</f>
        <v>#REF!</v>
      </c>
      <c r="O373" t="str">
        <f>LEFT(T_BATTINGDATA[[#This Row],[Batsman]],IFERROR(FIND("*",T_BATTINGDATA[[#This Row],[Batsman]])-1,IFERROR(FIND("†",T_BATTINGDATA[[#This Row],[Batsman]])-1,LEN(T_BATTINGDATA[[#This Row],[Batsman]]))))</f>
        <v>RG Sharma</v>
      </c>
      <c r="P373">
        <f ca="1">IFERROR(IF(MATCH(T_BATTINGDATA[[#This Row],[BATSMAN NAME]],OFFSET(O374,0,0,BATROWS-ROW(O373)-ROW(T_BATTINGDATA[[#Headers],[BATSMAN NAME]])),0)&gt;0,0,SUMIF($O$6:O373,T_BATTINGDATA[[#This Row],[BATSMAN NAME]],$E$6:E373)),SUMIF($O$6:O373,T_BATTINGDATA[[#This Row],[BATSMAN NAME]],$E$6:E373))</f>
        <v>330</v>
      </c>
      <c r="AP373">
        <v>22</v>
      </c>
      <c r="AQ373" t="s">
        <v>145</v>
      </c>
      <c r="AR373" t="s">
        <v>445</v>
      </c>
      <c r="AS373">
        <v>8.1</v>
      </c>
      <c r="AT373">
        <v>0</v>
      </c>
      <c r="AU373">
        <v>55</v>
      </c>
      <c r="AV373">
        <v>1</v>
      </c>
      <c r="AW373">
        <v>6.73</v>
      </c>
      <c r="AX373">
        <v>24</v>
      </c>
      <c r="AY373">
        <v>6</v>
      </c>
      <c r="AZ373">
        <v>2</v>
      </c>
      <c r="BA373">
        <v>0</v>
      </c>
      <c r="BB373">
        <v>0</v>
      </c>
      <c r="BC373">
        <v>6</v>
      </c>
      <c r="BD373" t="str">
        <f>CONCATENATE(Table9[[#This Row],[Match Number]],Table9[[#This Row],[Team]],Table9[[#This Row],[BOWL NUM]])</f>
        <v>22Sri Lanka6</v>
      </c>
      <c r="BE373" t="str">
        <f>IFERROR(IF(AND(Table9[[#This Row],[Team]]=I_TEAM,IFERROR(IF(MATCH(Table9[[#This Row],[Bowler]],$AR$5:AR372,0)&gt;0,0),1)),1,0),"")</f>
        <v/>
      </c>
      <c r="BF373">
        <f>(LEFT(Table9[[#This Row],[Overs]],IFERROR(FIND(".",Table9[[#This Row],[Overs]])-1,LEN(Table9[[#This Row],[Overs]])))*6) + IFERROR(IF(FIND(".",Table9[[#This Row],[Overs]])+1&gt;0,RIGHT(Table9[[#This Row],[Overs]],1),0),0)</f>
        <v>49</v>
      </c>
      <c r="BG37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373" t="e">
        <f>IF(Table9[[#This Row],[Team]]=I_TEAM,Table9[[#This Row],[Wickets]]*100-Table9[[#This Row],[Runs]],0)</f>
        <v>#REF!</v>
      </c>
      <c r="BI373">
        <f>Table9[[#This Row],[Wickets]]*100-Table9[[#This Row],[Runs]]</f>
        <v>45</v>
      </c>
      <c r="BJ373">
        <f ca="1">IFERROR(IF(MATCH(Table9[[#This Row],[Bowler]],OFFSET(AR374,0,0,BOWLROWS-ROW(AR373)-ROW(Table9[[#Headers],[BOWLER CUML WICKETS]])),0)&gt;0,0,SUMIF($AR$6:AR392,Table9[[#This Row],[Bowler]],$AV$6:AV392)),SUMIF($AR$6:AR392,Table9[[#This Row],[Bowler]],$AV$6:AV392))</f>
        <v>0</v>
      </c>
      <c r="BK373">
        <f ca="1">IFERROR(IF(MATCH(Table9[[#This Row],[Bowler]],OFFSET(AR374,0,0,BOWLROWS-ROW(AR373)-ROW(Table9[[#Headers],[BOWLER CUML WICKETS]])),0)&gt;0,0,SUMIF($AR$6:AR453,Table9[[#This Row],[Bowler]],$AU$6:AU453)),SUMIF($AR$6:AR453,Table9[[#This Row],[Bowler]],$AU$6:AU453))</f>
        <v>0</v>
      </c>
      <c r="BL373">
        <f ca="1">Table9[[#This Row],[BOWLER CUML WICKETS]]*100-Table9[[#This Row],[BOWLER CUML RUNS]]</f>
        <v>0</v>
      </c>
    </row>
    <row r="374" spans="1:64" x14ac:dyDescent="0.3">
      <c r="A374">
        <v>48</v>
      </c>
      <c r="B374" t="s">
        <v>137</v>
      </c>
      <c r="C374" t="s">
        <v>143</v>
      </c>
      <c r="D374" t="s">
        <v>583</v>
      </c>
      <c r="E374">
        <v>45</v>
      </c>
      <c r="F374">
        <v>57</v>
      </c>
      <c r="G374">
        <v>41</v>
      </c>
      <c r="H374">
        <v>6</v>
      </c>
      <c r="I374">
        <v>1</v>
      </c>
      <c r="J374">
        <v>109.75</v>
      </c>
      <c r="K374">
        <v>2</v>
      </c>
      <c r="L374" t="str">
        <f>CONCATENATE(T_BATTINGDATA[[#This Row],[Match]],T_BATTINGDATA[[#This Row],[Team]],T_BATTINGDATA[[#This Row],[Bat Number]])</f>
        <v>48India2</v>
      </c>
      <c r="M374" t="str">
        <f>IFERROR(IF(AND(T_BATTINGDATA[[#This Row],[Team]]=I_TEAM,IFERROR(IF(MATCH(T_BATTINGDATA[[#This Row],[BATSMAN NAME]],$O$5:O373,0)&gt;0,0),1)),1,0),"")</f>
        <v/>
      </c>
      <c r="N374" t="e">
        <f>IF(T_BATTINGDATA[[#This Row],[Team]]=I_TEAM,T_BATTINGDATA[[#This Row],[R]],0)</f>
        <v>#REF!</v>
      </c>
      <c r="O374" t="str">
        <f>LEFT(T_BATTINGDATA[[#This Row],[Batsman]],IFERROR(FIND("*",T_BATTINGDATA[[#This Row],[Batsman]])-1,IFERROR(FIND("†",T_BATTINGDATA[[#This Row],[Batsman]])-1,LEN(T_BATTINGDATA[[#This Row],[Batsman]]))))</f>
        <v>S Dhawan</v>
      </c>
      <c r="P374">
        <f ca="1">IFERROR(IF(MATCH(T_BATTINGDATA[[#This Row],[BATSMAN NAME]],OFFSET(O375,0,0,BATROWS-ROW(O374)-ROW(T_BATTINGDATA[[#Headers],[BATSMAN NAME]])),0)&gt;0,0,SUMIF($O$6:O374,T_BATTINGDATA[[#This Row],[BATSMAN NAME]],$E$6:E374)),SUMIF($O$6:O374,T_BATTINGDATA[[#This Row],[BATSMAN NAME]],$E$6:E374))</f>
        <v>412</v>
      </c>
      <c r="AP374">
        <v>22</v>
      </c>
      <c r="AQ374" t="s">
        <v>154</v>
      </c>
      <c r="AR374" t="s">
        <v>310</v>
      </c>
      <c r="AS374">
        <v>8</v>
      </c>
      <c r="AT374">
        <v>0</v>
      </c>
      <c r="AU374">
        <v>48</v>
      </c>
      <c r="AV374">
        <v>0</v>
      </c>
      <c r="AW374">
        <v>6</v>
      </c>
      <c r="AX374">
        <v>23</v>
      </c>
      <c r="AY374">
        <v>6</v>
      </c>
      <c r="AZ374">
        <v>0</v>
      </c>
      <c r="BA374">
        <v>1</v>
      </c>
      <c r="BB374">
        <v>0</v>
      </c>
      <c r="BC374">
        <v>1</v>
      </c>
      <c r="BD374" t="str">
        <f>CONCATENATE(Table9[[#This Row],[Match Number]],Table9[[#This Row],[Team]],Table9[[#This Row],[BOWL NUM]])</f>
        <v>22England1</v>
      </c>
      <c r="BE374" t="str">
        <f>IFERROR(IF(AND(Table9[[#This Row],[Team]]=I_TEAM,IFERROR(IF(MATCH(Table9[[#This Row],[Bowler]],$AR$5:AR373,0)&gt;0,0),1)),1,0),"")</f>
        <v/>
      </c>
      <c r="BF374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7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74" t="e">
        <f>IF(Table9[[#This Row],[Team]]=I_TEAM,Table9[[#This Row],[Wickets]]*100-Table9[[#This Row],[Runs]],0)</f>
        <v>#REF!</v>
      </c>
      <c r="BI374">
        <f>Table9[[#This Row],[Wickets]]*100-Table9[[#This Row],[Runs]]</f>
        <v>-48</v>
      </c>
      <c r="BJ374">
        <f ca="1">IFERROR(IF(MATCH(Table9[[#This Row],[Bowler]],OFFSET(AR375,0,0,BOWLROWS-ROW(AR374)-ROW(Table9[[#Headers],[BOWLER CUML WICKETS]])),0)&gt;0,0,SUMIF($AR$6:AR374,Table9[[#This Row],[Bowler]],$AV$6:AV374)),SUMIF($AR$6:AR374,Table9[[#This Row],[Bowler]],$AV$6:AV374))</f>
        <v>0</v>
      </c>
      <c r="BK374">
        <f ca="1">IFERROR(IF(MATCH(Table9[[#This Row],[Bowler]],OFFSET(AR375,0,0,BOWLROWS-ROW(AR374)-ROW(Table9[[#Headers],[BOWLER CUML WICKETS]])),0)&gt;0,0,SUMIF($AR$6:AR374,Table9[[#This Row],[Bowler]],$AU$6:AU374)),SUMIF($AR$6:AR374,Table9[[#This Row],[Bowler]],$AU$6:AU374))</f>
        <v>0</v>
      </c>
      <c r="BL374">
        <f ca="1">Table9[[#This Row],[BOWLER CUML WICKETS]]*100-Table9[[#This Row],[BOWLER CUML RUNS]]</f>
        <v>0</v>
      </c>
    </row>
    <row r="375" spans="1:64" x14ac:dyDescent="0.3">
      <c r="A375">
        <v>48</v>
      </c>
      <c r="B375" t="s">
        <v>137</v>
      </c>
      <c r="C375" t="s">
        <v>147</v>
      </c>
      <c r="D375" t="s">
        <v>584</v>
      </c>
      <c r="E375">
        <v>1</v>
      </c>
      <c r="F375">
        <v>11</v>
      </c>
      <c r="G375">
        <v>13</v>
      </c>
      <c r="H375">
        <v>0</v>
      </c>
      <c r="I375">
        <v>0</v>
      </c>
      <c r="J375">
        <v>7.69</v>
      </c>
      <c r="K375">
        <v>3</v>
      </c>
      <c r="L375" t="str">
        <f>CONCATENATE(T_BATTINGDATA[[#This Row],[Match]],T_BATTINGDATA[[#This Row],[Team]],T_BATTINGDATA[[#This Row],[Bat Number]])</f>
        <v>48India3</v>
      </c>
      <c r="M375" t="str">
        <f>IFERROR(IF(AND(T_BATTINGDATA[[#This Row],[Team]]=I_TEAM,IFERROR(IF(MATCH(T_BATTINGDATA[[#This Row],[BATSMAN NAME]],$O$5:O374,0)&gt;0,0),1)),1,0),"")</f>
        <v/>
      </c>
      <c r="N375" t="e">
        <f>IF(T_BATTINGDATA[[#This Row],[Team]]=I_TEAM,T_BATTINGDATA[[#This Row],[R]],0)</f>
        <v>#REF!</v>
      </c>
      <c r="O375" t="str">
        <f>LEFT(T_BATTINGDATA[[#This Row],[Batsman]],IFERROR(FIND("*",T_BATTINGDATA[[#This Row],[Batsman]])-1,IFERROR(FIND("†",T_BATTINGDATA[[#This Row],[Batsman]])-1,LEN(T_BATTINGDATA[[#This Row],[Batsman]]))))</f>
        <v>V Kohli</v>
      </c>
      <c r="P375">
        <f ca="1">IFERROR(IF(MATCH(T_BATTINGDATA[[#This Row],[BATSMAN NAME]],OFFSET(O376,0,0,BATROWS-ROW(O375)-ROW(T_BATTINGDATA[[#Headers],[BATSMAN NAME]])),0)&gt;0,0,SUMIF($O$6:O375,T_BATTINGDATA[[#This Row],[BATSMAN NAME]],$E$6:E375)),SUMIF($O$6:O375,T_BATTINGDATA[[#This Row],[BATSMAN NAME]],$E$6:E375))</f>
        <v>305</v>
      </c>
      <c r="AP375">
        <v>22</v>
      </c>
      <c r="AQ375" t="s">
        <v>154</v>
      </c>
      <c r="AR375" t="s">
        <v>312</v>
      </c>
      <c r="AS375">
        <v>10</v>
      </c>
      <c r="AT375">
        <v>1</v>
      </c>
      <c r="AU375">
        <v>67</v>
      </c>
      <c r="AV375">
        <v>0</v>
      </c>
      <c r="AW375">
        <v>6.7</v>
      </c>
      <c r="AX375">
        <v>27</v>
      </c>
      <c r="AY375">
        <v>6</v>
      </c>
      <c r="AZ375">
        <v>2</v>
      </c>
      <c r="BA375">
        <v>1</v>
      </c>
      <c r="BB375">
        <v>0</v>
      </c>
      <c r="BC375">
        <v>2</v>
      </c>
      <c r="BD375" t="str">
        <f>CONCATENATE(Table9[[#This Row],[Match Number]],Table9[[#This Row],[Team]],Table9[[#This Row],[BOWL NUM]])</f>
        <v>22England2</v>
      </c>
      <c r="BE375" t="str">
        <f>IFERROR(IF(AND(Table9[[#This Row],[Team]]=I_TEAM,IFERROR(IF(MATCH(Table9[[#This Row],[Bowler]],$AR$5:AR374,0)&gt;0,0),1)),1,0),"")</f>
        <v/>
      </c>
      <c r="BF37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7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75" t="e">
        <f>IF(Table9[[#This Row],[Team]]=I_TEAM,Table9[[#This Row],[Wickets]]*100-Table9[[#This Row],[Runs]],0)</f>
        <v>#REF!</v>
      </c>
      <c r="BI375">
        <f>Table9[[#This Row],[Wickets]]*100-Table9[[#This Row],[Runs]]</f>
        <v>-67</v>
      </c>
      <c r="BJ375">
        <f ca="1">IFERROR(IF(MATCH(Table9[[#This Row],[Bowler]],OFFSET(AR376,0,0,BOWLROWS-ROW(AR375)-ROW(Table9[[#Headers],[BOWLER CUML WICKETS]])),0)&gt;0,0,SUMIF($AR$6:AR375,Table9[[#This Row],[Bowler]],$AV$6:AV375)),SUMIF($AR$6:AR375,Table9[[#This Row],[Bowler]],$AV$6:AV375))</f>
        <v>0</v>
      </c>
      <c r="BK375">
        <f ca="1">IFERROR(IF(MATCH(Table9[[#This Row],[Bowler]],OFFSET(AR376,0,0,BOWLROWS-ROW(AR375)-ROW(Table9[[#Headers],[BOWLER CUML WICKETS]])),0)&gt;0,0,SUMIF($AR$6:AR375,Table9[[#This Row],[Bowler]],$AU$6:AU375)),SUMIF($AR$6:AR375,Table9[[#This Row],[Bowler]],$AU$6:AU375))</f>
        <v>0</v>
      </c>
      <c r="BL375">
        <f ca="1">Table9[[#This Row],[BOWLER CUML WICKETS]]*100-Table9[[#This Row],[BOWLER CUML RUNS]]</f>
        <v>0</v>
      </c>
    </row>
    <row r="376" spans="1:64" x14ac:dyDescent="0.3">
      <c r="A376">
        <v>48</v>
      </c>
      <c r="B376" t="s">
        <v>137</v>
      </c>
      <c r="C376" t="s">
        <v>151</v>
      </c>
      <c r="D376" t="s">
        <v>585</v>
      </c>
      <c r="E376">
        <v>44</v>
      </c>
      <c r="F376">
        <v>87</v>
      </c>
      <c r="G376">
        <v>68</v>
      </c>
      <c r="H376">
        <v>2</v>
      </c>
      <c r="I376">
        <v>0</v>
      </c>
      <c r="J376">
        <v>64.7</v>
      </c>
      <c r="K376">
        <v>4</v>
      </c>
      <c r="L376" t="str">
        <f>CONCATENATE(T_BATTINGDATA[[#This Row],[Match]],T_BATTINGDATA[[#This Row],[Team]],T_BATTINGDATA[[#This Row],[Bat Number]])</f>
        <v>48India4</v>
      </c>
      <c r="M376" t="str">
        <f>IFERROR(IF(AND(T_BATTINGDATA[[#This Row],[Team]]=I_TEAM,IFERROR(IF(MATCH(T_BATTINGDATA[[#This Row],[BATSMAN NAME]],$O$5:O375,0)&gt;0,0),1)),1,0),"")</f>
        <v/>
      </c>
      <c r="N376" t="e">
        <f>IF(T_BATTINGDATA[[#This Row],[Team]]=I_TEAM,T_BATTINGDATA[[#This Row],[R]],0)</f>
        <v>#REF!</v>
      </c>
      <c r="O376" t="str">
        <f>LEFT(T_BATTINGDATA[[#This Row],[Batsman]],IFERROR(FIND("*",T_BATTINGDATA[[#This Row],[Batsman]])-1,IFERROR(FIND("†",T_BATTINGDATA[[#This Row],[Batsman]])-1,LEN(T_BATTINGDATA[[#This Row],[Batsman]]))))</f>
        <v>AM Rahane</v>
      </c>
      <c r="P376">
        <f ca="1">IFERROR(IF(MATCH(T_BATTINGDATA[[#This Row],[BATSMAN NAME]],OFFSET(O377,0,0,BATROWS-ROW(O376)-ROW(T_BATTINGDATA[[#Headers],[BATSMAN NAME]])),0)&gt;0,0,SUMIF($O$6:O376,T_BATTINGDATA[[#This Row],[BATSMAN NAME]],$E$6:E376)),SUMIF($O$6:O376,T_BATTINGDATA[[#This Row],[BATSMAN NAME]],$E$6:E376))</f>
        <v>208</v>
      </c>
      <c r="AP376">
        <v>22</v>
      </c>
      <c r="AQ376" t="s">
        <v>154</v>
      </c>
      <c r="AR376" t="s">
        <v>314</v>
      </c>
      <c r="AS376">
        <v>9.1999999999999993</v>
      </c>
      <c r="AT376">
        <v>0</v>
      </c>
      <c r="AU376">
        <v>72</v>
      </c>
      <c r="AV376">
        <v>0</v>
      </c>
      <c r="AW376">
        <v>7.71</v>
      </c>
      <c r="AX376">
        <v>20</v>
      </c>
      <c r="AY376">
        <v>9</v>
      </c>
      <c r="AZ376">
        <v>1</v>
      </c>
      <c r="BA376">
        <v>1</v>
      </c>
      <c r="BB376">
        <v>0</v>
      </c>
      <c r="BC376">
        <v>3</v>
      </c>
      <c r="BD376" t="str">
        <f>CONCATENATE(Table9[[#This Row],[Match Number]],Table9[[#This Row],[Team]],Table9[[#This Row],[BOWL NUM]])</f>
        <v>22England3</v>
      </c>
      <c r="BE376" t="str">
        <f>IFERROR(IF(AND(Table9[[#This Row],[Team]]=I_TEAM,IFERROR(IF(MATCH(Table9[[#This Row],[Bowler]],$AR$5:AR375,0)&gt;0,0),1)),1,0),"")</f>
        <v/>
      </c>
      <c r="BF376">
        <f>(LEFT(Table9[[#This Row],[Overs]],IFERROR(FIND(".",Table9[[#This Row],[Overs]])-1,LEN(Table9[[#This Row],[Overs]])))*6) + IFERROR(IF(FIND(".",Table9[[#This Row],[Overs]])+1&gt;0,RIGHT(Table9[[#This Row],[Overs]],1),0),0)</f>
        <v>56</v>
      </c>
      <c r="BG37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76" t="e">
        <f>IF(Table9[[#This Row],[Team]]=I_TEAM,Table9[[#This Row],[Wickets]]*100-Table9[[#This Row],[Runs]],0)</f>
        <v>#REF!</v>
      </c>
      <c r="BI376">
        <f>Table9[[#This Row],[Wickets]]*100-Table9[[#This Row],[Runs]]</f>
        <v>-72</v>
      </c>
      <c r="BJ376">
        <f ca="1">IFERROR(IF(MATCH(Table9[[#This Row],[Bowler]],OFFSET(AR377,0,0,BOWLROWS-ROW(AR376)-ROW(Table9[[#Headers],[BOWLER CUML WICKETS]])),0)&gt;0,0,SUMIF($AR$6:AR376,Table9[[#This Row],[Bowler]],$AV$6:AV376)),SUMIF($AR$6:AR376,Table9[[#This Row],[Bowler]],$AV$6:AV376))</f>
        <v>0</v>
      </c>
      <c r="BK376">
        <f ca="1">IFERROR(IF(MATCH(Table9[[#This Row],[Bowler]],OFFSET(AR377,0,0,BOWLROWS-ROW(AR376)-ROW(Table9[[#Headers],[BOWLER CUML WICKETS]])),0)&gt;0,0,SUMIF($AR$6:AR376,Table9[[#This Row],[Bowler]],$AU$6:AU376)),SUMIF($AR$6:AR376,Table9[[#This Row],[Bowler]],$AU$6:AU376))</f>
        <v>0</v>
      </c>
      <c r="BL376">
        <f ca="1">Table9[[#This Row],[BOWLER CUML WICKETS]]*100-Table9[[#This Row],[BOWLER CUML RUNS]]</f>
        <v>0</v>
      </c>
    </row>
    <row r="377" spans="1:64" x14ac:dyDescent="0.3">
      <c r="A377">
        <v>48</v>
      </c>
      <c r="B377" t="s">
        <v>137</v>
      </c>
      <c r="C377" t="s">
        <v>156</v>
      </c>
      <c r="D377" t="s">
        <v>586</v>
      </c>
      <c r="E377">
        <v>7</v>
      </c>
      <c r="F377">
        <v>20</v>
      </c>
      <c r="G377">
        <v>11</v>
      </c>
      <c r="H377">
        <v>1</v>
      </c>
      <c r="I377">
        <v>0</v>
      </c>
      <c r="J377">
        <v>63.63</v>
      </c>
      <c r="K377">
        <v>5</v>
      </c>
      <c r="L377" t="str">
        <f>CONCATENATE(T_BATTINGDATA[[#This Row],[Match]],T_BATTINGDATA[[#This Row],[Team]],T_BATTINGDATA[[#This Row],[Bat Number]])</f>
        <v>48India5</v>
      </c>
      <c r="M377" t="str">
        <f>IFERROR(IF(AND(T_BATTINGDATA[[#This Row],[Team]]=I_TEAM,IFERROR(IF(MATCH(T_BATTINGDATA[[#This Row],[BATSMAN NAME]],$O$5:O376,0)&gt;0,0),1)),1,0),"")</f>
        <v/>
      </c>
      <c r="N377" t="e">
        <f>IF(T_BATTINGDATA[[#This Row],[Team]]=I_TEAM,T_BATTINGDATA[[#This Row],[R]],0)</f>
        <v>#REF!</v>
      </c>
      <c r="O377" t="str">
        <f>LEFT(T_BATTINGDATA[[#This Row],[Batsman]],IFERROR(FIND("*",T_BATTINGDATA[[#This Row],[Batsman]])-1,IFERROR(FIND("†",T_BATTINGDATA[[#This Row],[Batsman]])-1,LEN(T_BATTINGDATA[[#This Row],[Batsman]]))))</f>
        <v>SK Raina</v>
      </c>
      <c r="P377">
        <f ca="1">IFERROR(IF(MATCH(T_BATTINGDATA[[#This Row],[BATSMAN NAME]],OFFSET(O378,0,0,BATROWS-ROW(O377)-ROW(T_BATTINGDATA[[#Headers],[BATSMAN NAME]])),0)&gt;0,0,SUMIF($O$6:O377,T_BATTINGDATA[[#This Row],[BATSMAN NAME]],$E$6:E377)),SUMIF($O$6:O377,T_BATTINGDATA[[#This Row],[BATSMAN NAME]],$E$6:E377))</f>
        <v>284</v>
      </c>
      <c r="AP377">
        <v>22</v>
      </c>
      <c r="AQ377" t="s">
        <v>154</v>
      </c>
      <c r="AR377" t="s">
        <v>316</v>
      </c>
      <c r="AS377">
        <v>8</v>
      </c>
      <c r="AT377">
        <v>0</v>
      </c>
      <c r="AU377">
        <v>54</v>
      </c>
      <c r="AV377">
        <v>0</v>
      </c>
      <c r="AW377">
        <v>6.75</v>
      </c>
      <c r="AX377">
        <v>19</v>
      </c>
      <c r="AY377">
        <v>4</v>
      </c>
      <c r="AZ377">
        <v>2</v>
      </c>
      <c r="BA377">
        <v>0</v>
      </c>
      <c r="BB377">
        <v>0</v>
      </c>
      <c r="BC377">
        <v>4</v>
      </c>
      <c r="BD377" t="str">
        <f>CONCATENATE(Table9[[#This Row],[Match Number]],Table9[[#This Row],[Team]],Table9[[#This Row],[BOWL NUM]])</f>
        <v>22England4</v>
      </c>
      <c r="BE377" t="str">
        <f>IFERROR(IF(AND(Table9[[#This Row],[Team]]=I_TEAM,IFERROR(IF(MATCH(Table9[[#This Row],[Bowler]],$AR$5:AR376,0)&gt;0,0),1)),1,0),"")</f>
        <v/>
      </c>
      <c r="BF377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7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77" t="e">
        <f>IF(Table9[[#This Row],[Team]]=I_TEAM,Table9[[#This Row],[Wickets]]*100-Table9[[#This Row],[Runs]],0)</f>
        <v>#REF!</v>
      </c>
      <c r="BI377">
        <f>Table9[[#This Row],[Wickets]]*100-Table9[[#This Row],[Runs]]</f>
        <v>-54</v>
      </c>
      <c r="BJ377">
        <f ca="1">IFERROR(IF(MATCH(Table9[[#This Row],[Bowler]],OFFSET(AR378,0,0,BOWLROWS-ROW(AR377)-ROW(Table9[[#Headers],[BOWLER CUML WICKETS]])),0)&gt;0,0,SUMIF($AR$6:AR377,Table9[[#This Row],[Bowler]],$AV$6:AV377)),SUMIF($AR$6:AR377,Table9[[#This Row],[Bowler]],$AV$6:AV377))</f>
        <v>8</v>
      </c>
      <c r="BK377">
        <f ca="1">IFERROR(IF(MATCH(Table9[[#This Row],[Bowler]],OFFSET(AR378,0,0,BOWLROWS-ROW(AR377)-ROW(Table9[[#Headers],[BOWLER CUML WICKETS]])),0)&gt;0,0,SUMIF($AR$6:AR377,Table9[[#This Row],[Bowler]],$AU$6:AU377)),SUMIF($AR$6:AR377,Table9[[#This Row],[Bowler]],$AU$6:AU377))</f>
        <v>200</v>
      </c>
      <c r="BL377">
        <f ca="1">Table9[[#This Row],[BOWLER CUML WICKETS]]*100-Table9[[#This Row],[BOWLER CUML RUNS]]</f>
        <v>600</v>
      </c>
    </row>
    <row r="378" spans="1:64" x14ac:dyDescent="0.3">
      <c r="A378">
        <v>48</v>
      </c>
      <c r="B378" t="s">
        <v>137</v>
      </c>
      <c r="C378" t="s">
        <v>160</v>
      </c>
      <c r="D378" t="s">
        <v>412</v>
      </c>
      <c r="E378">
        <v>65</v>
      </c>
      <c r="F378">
        <v>94</v>
      </c>
      <c r="G378">
        <v>65</v>
      </c>
      <c r="H378">
        <v>3</v>
      </c>
      <c r="I378">
        <v>2</v>
      </c>
      <c r="J378">
        <v>100</v>
      </c>
      <c r="K378">
        <v>6</v>
      </c>
      <c r="L378" t="str">
        <f>CONCATENATE(T_BATTINGDATA[[#This Row],[Match]],T_BATTINGDATA[[#This Row],[Team]],T_BATTINGDATA[[#This Row],[Bat Number]])</f>
        <v>48India6</v>
      </c>
      <c r="M378" t="str">
        <f>IFERROR(IF(AND(T_BATTINGDATA[[#This Row],[Team]]=I_TEAM,IFERROR(IF(MATCH(T_BATTINGDATA[[#This Row],[BATSMAN NAME]],$O$5:O377,0)&gt;0,0),1)),1,0),"")</f>
        <v/>
      </c>
      <c r="N378" t="e">
        <f>IF(T_BATTINGDATA[[#This Row],[Team]]=I_TEAM,T_BATTINGDATA[[#This Row],[R]],0)</f>
        <v>#REF!</v>
      </c>
      <c r="O378" t="str">
        <f>LEFT(T_BATTINGDATA[[#This Row],[Batsman]],IFERROR(FIND("*",T_BATTINGDATA[[#This Row],[Batsman]])-1,IFERROR(FIND("†",T_BATTINGDATA[[#This Row],[Batsman]])-1,LEN(T_BATTINGDATA[[#This Row],[Batsman]]))))</f>
        <v>MS Dhoni</v>
      </c>
      <c r="P378">
        <f ca="1">IFERROR(IF(MATCH(T_BATTINGDATA[[#This Row],[BATSMAN NAME]],OFFSET(O379,0,0,BATROWS-ROW(O378)-ROW(T_BATTINGDATA[[#Headers],[BATSMAN NAME]])),0)&gt;0,0,SUMIF($O$6:O378,T_BATTINGDATA[[#This Row],[BATSMAN NAME]],$E$6:E378)),SUMIF($O$6:O378,T_BATTINGDATA[[#This Row],[BATSMAN NAME]],$E$6:E378))</f>
        <v>237</v>
      </c>
      <c r="AP378">
        <v>22</v>
      </c>
      <c r="AQ378" t="s">
        <v>154</v>
      </c>
      <c r="AR378" t="s">
        <v>318</v>
      </c>
      <c r="AS378">
        <v>10</v>
      </c>
      <c r="AT378">
        <v>0</v>
      </c>
      <c r="AU378">
        <v>50</v>
      </c>
      <c r="AV378">
        <v>1</v>
      </c>
      <c r="AW378">
        <v>5</v>
      </c>
      <c r="AX378">
        <v>25</v>
      </c>
      <c r="AY378">
        <v>2</v>
      </c>
      <c r="AZ378">
        <v>1</v>
      </c>
      <c r="BA378">
        <v>0</v>
      </c>
      <c r="BB378">
        <v>0</v>
      </c>
      <c r="BC378">
        <v>5</v>
      </c>
      <c r="BD378" t="str">
        <f>CONCATENATE(Table9[[#This Row],[Match Number]],Table9[[#This Row],[Team]],Table9[[#This Row],[BOWL NUM]])</f>
        <v>22England5</v>
      </c>
      <c r="BE378" t="str">
        <f>IFERROR(IF(AND(Table9[[#This Row],[Team]]=I_TEAM,IFERROR(IF(MATCH(Table9[[#This Row],[Bowler]],$AR$5:AR377,0)&gt;0,0),1)),1,0),"")</f>
        <v/>
      </c>
      <c r="BF37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7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78" t="e">
        <f>IF(Table9[[#This Row],[Team]]=I_TEAM,Table9[[#This Row],[Wickets]]*100-Table9[[#This Row],[Runs]],0)</f>
        <v>#REF!</v>
      </c>
      <c r="BI378">
        <f>Table9[[#This Row],[Wickets]]*100-Table9[[#This Row],[Runs]]</f>
        <v>50</v>
      </c>
      <c r="BJ378">
        <f ca="1">IFERROR(IF(MATCH(Table9[[#This Row],[Bowler]],OFFSET(AR379,0,0,BOWLROWS-ROW(AR378)-ROW(Table9[[#Headers],[BOWLER CUML WICKETS]])),0)&gt;0,0,SUMIF($AR$6:AR378,Table9[[#This Row],[Bowler]],$AV$6:AV378)),SUMIF($AR$6:AR378,Table9[[#This Row],[Bowler]],$AV$6:AV378))</f>
        <v>0</v>
      </c>
      <c r="BK378">
        <f ca="1">IFERROR(IF(MATCH(Table9[[#This Row],[Bowler]],OFFSET(AR379,0,0,BOWLROWS-ROW(AR378)-ROW(Table9[[#Headers],[BOWLER CUML WICKETS]])),0)&gt;0,0,SUMIF($AR$6:AR378,Table9[[#This Row],[Bowler]],$AU$6:AU378)),SUMIF($AR$6:AR378,Table9[[#This Row],[Bowler]],$AU$6:AU378))</f>
        <v>0</v>
      </c>
      <c r="BL378">
        <f ca="1">Table9[[#This Row],[BOWLER CUML WICKETS]]*100-Table9[[#This Row],[BOWLER CUML RUNS]]</f>
        <v>0</v>
      </c>
    </row>
    <row r="379" spans="1:64" x14ac:dyDescent="0.3">
      <c r="A379">
        <v>48</v>
      </c>
      <c r="B379" t="s">
        <v>137</v>
      </c>
      <c r="C379" t="s">
        <v>163</v>
      </c>
      <c r="D379" t="s">
        <v>587</v>
      </c>
      <c r="E379">
        <v>16</v>
      </c>
      <c r="F379">
        <v>23</v>
      </c>
      <c r="G379">
        <v>17</v>
      </c>
      <c r="H379">
        <v>2</v>
      </c>
      <c r="I379">
        <v>0</v>
      </c>
      <c r="J379">
        <v>94.11</v>
      </c>
      <c r="K379">
        <v>7</v>
      </c>
      <c r="L379" t="str">
        <f>CONCATENATE(T_BATTINGDATA[[#This Row],[Match]],T_BATTINGDATA[[#This Row],[Team]],T_BATTINGDATA[[#This Row],[Bat Number]])</f>
        <v>48India7</v>
      </c>
      <c r="M379" t="str">
        <f>IFERROR(IF(AND(T_BATTINGDATA[[#This Row],[Team]]=I_TEAM,IFERROR(IF(MATCH(T_BATTINGDATA[[#This Row],[BATSMAN NAME]],$O$5:O378,0)&gt;0,0),1)),1,0),"")</f>
        <v/>
      </c>
      <c r="N379" t="e">
        <f>IF(T_BATTINGDATA[[#This Row],[Team]]=I_TEAM,T_BATTINGDATA[[#This Row],[R]],0)</f>
        <v>#REF!</v>
      </c>
      <c r="O379" t="str">
        <f>LEFT(T_BATTINGDATA[[#This Row],[Batsman]],IFERROR(FIND("*",T_BATTINGDATA[[#This Row],[Batsman]])-1,IFERROR(FIND("†",T_BATTINGDATA[[#This Row],[Batsman]])-1,LEN(T_BATTINGDATA[[#This Row],[Batsman]]))))</f>
        <v>RA Jadeja</v>
      </c>
      <c r="P379">
        <f ca="1">IFERROR(IF(MATCH(T_BATTINGDATA[[#This Row],[BATSMAN NAME]],OFFSET(O380,0,0,BATROWS-ROW(O379)-ROW(T_BATTINGDATA[[#Headers],[BATSMAN NAME]])),0)&gt;0,0,SUMIF($O$6:O379,T_BATTINGDATA[[#This Row],[BATSMAN NAME]],$E$6:E379)),SUMIF($O$6:O379,T_BATTINGDATA[[#This Row],[BATSMAN NAME]],$E$6:E379))</f>
        <v>57</v>
      </c>
      <c r="AP379">
        <v>22</v>
      </c>
      <c r="AQ379" t="s">
        <v>154</v>
      </c>
      <c r="AR379" t="s">
        <v>320</v>
      </c>
      <c r="AS379">
        <v>2</v>
      </c>
      <c r="AT379">
        <v>0</v>
      </c>
      <c r="AU379">
        <v>12</v>
      </c>
      <c r="AV379">
        <v>0</v>
      </c>
      <c r="AW379">
        <v>6</v>
      </c>
      <c r="AX379">
        <v>3</v>
      </c>
      <c r="AY379">
        <v>1</v>
      </c>
      <c r="AZ379">
        <v>0</v>
      </c>
      <c r="BA379">
        <v>0</v>
      </c>
      <c r="BB379">
        <v>0</v>
      </c>
      <c r="BC379">
        <v>6</v>
      </c>
      <c r="BD379" t="str">
        <f>CONCATENATE(Table9[[#This Row],[Match Number]],Table9[[#This Row],[Team]],Table9[[#This Row],[BOWL NUM]])</f>
        <v>22England6</v>
      </c>
      <c r="BE379" t="str">
        <f>IFERROR(IF(AND(Table9[[#This Row],[Team]]=I_TEAM,IFERROR(IF(MATCH(Table9[[#This Row],[Bowler]],$AR$5:AR378,0)&gt;0,0),1)),1,0),"")</f>
        <v/>
      </c>
      <c r="BF379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37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79" t="e">
        <f>IF(Table9[[#This Row],[Team]]=I_TEAM,Table9[[#This Row],[Wickets]]*100-Table9[[#This Row],[Runs]],0)</f>
        <v>#REF!</v>
      </c>
      <c r="BI379">
        <f>Table9[[#This Row],[Wickets]]*100-Table9[[#This Row],[Runs]]</f>
        <v>-12</v>
      </c>
      <c r="BJ379">
        <f ca="1">IFERROR(IF(MATCH(Table9[[#This Row],[Bowler]],OFFSET(AR380,0,0,BOWLROWS-ROW(AR379)-ROW(Table9[[#Headers],[BOWLER CUML WICKETS]])),0)&gt;0,0,SUMIF($AR$6:AR392,Table9[[#This Row],[Bowler]],$AV$6:AV392)),SUMIF($AR$6:AR392,Table9[[#This Row],[Bowler]],$AV$6:AV392))</f>
        <v>0</v>
      </c>
      <c r="BK379">
        <f ca="1">IFERROR(IF(MATCH(Table9[[#This Row],[Bowler]],OFFSET(AR380,0,0,BOWLROWS-ROW(AR379)-ROW(Table9[[#Headers],[BOWLER CUML WICKETS]])),0)&gt;0,0,SUMIF($AR$6:AR392,Table9[[#This Row],[Bowler]],$AU$6:AU392)),SUMIF($AR$6:AR392,Table9[[#This Row],[Bowler]],$AU$6:AU392))</f>
        <v>0</v>
      </c>
      <c r="BL379">
        <f ca="1">Table9[[#This Row],[BOWLER CUML WICKETS]]*100-Table9[[#This Row],[BOWLER CUML RUNS]]</f>
        <v>0</v>
      </c>
    </row>
    <row r="380" spans="1:64" x14ac:dyDescent="0.3">
      <c r="A380">
        <v>48</v>
      </c>
      <c r="B380" t="s">
        <v>137</v>
      </c>
      <c r="C380" t="s">
        <v>166</v>
      </c>
      <c r="D380" t="s">
        <v>588</v>
      </c>
      <c r="E380">
        <v>5</v>
      </c>
      <c r="F380">
        <v>19</v>
      </c>
      <c r="G380">
        <v>13</v>
      </c>
      <c r="H380">
        <v>0</v>
      </c>
      <c r="I380">
        <v>0</v>
      </c>
      <c r="J380">
        <v>38.46</v>
      </c>
      <c r="K380">
        <v>8</v>
      </c>
      <c r="L380" t="str">
        <f>CONCATENATE(T_BATTINGDATA[[#This Row],[Match]],T_BATTINGDATA[[#This Row],[Team]],T_BATTINGDATA[[#This Row],[Bat Number]])</f>
        <v>48India8</v>
      </c>
      <c r="M380" t="str">
        <f>IFERROR(IF(AND(T_BATTINGDATA[[#This Row],[Team]]=I_TEAM,IFERROR(IF(MATCH(T_BATTINGDATA[[#This Row],[BATSMAN NAME]],$O$5:O379,0)&gt;0,0),1)),1,0),"")</f>
        <v/>
      </c>
      <c r="N380" t="e">
        <f>IF(T_BATTINGDATA[[#This Row],[Team]]=I_TEAM,T_BATTINGDATA[[#This Row],[R]],0)</f>
        <v>#REF!</v>
      </c>
      <c r="O380" t="str">
        <f>LEFT(T_BATTINGDATA[[#This Row],[Batsman]],IFERROR(FIND("*",T_BATTINGDATA[[#This Row],[Batsman]])-1,IFERROR(FIND("†",T_BATTINGDATA[[#This Row],[Batsman]])-1,LEN(T_BATTINGDATA[[#This Row],[Batsman]]))))</f>
        <v>R Ashwin</v>
      </c>
      <c r="P380">
        <f ca="1">IFERROR(IF(MATCH(T_BATTINGDATA[[#This Row],[BATSMAN NAME]],OFFSET(O381,0,0,BATROWS-ROW(O380)-ROW(T_BATTINGDATA[[#Headers],[BATSMAN NAME]])),0)&gt;0,0,SUMIF($O$6:O380,T_BATTINGDATA[[#This Row],[BATSMAN NAME]],$E$6:E380)),SUMIF($O$6:O380,T_BATTINGDATA[[#This Row],[BATSMAN NAME]],$E$6:E380))</f>
        <v>30</v>
      </c>
      <c r="AP380">
        <v>23</v>
      </c>
      <c r="AQ380" t="s">
        <v>158</v>
      </c>
      <c r="AR380" t="s">
        <v>204</v>
      </c>
      <c r="AS380">
        <v>10</v>
      </c>
      <c r="AT380">
        <v>1</v>
      </c>
      <c r="AU380">
        <v>49</v>
      </c>
      <c r="AV380">
        <v>0</v>
      </c>
      <c r="AW380">
        <v>4.9000000000000004</v>
      </c>
      <c r="AX380">
        <v>35</v>
      </c>
      <c r="AY380">
        <v>4</v>
      </c>
      <c r="AZ380">
        <v>1</v>
      </c>
      <c r="BA380">
        <v>2</v>
      </c>
      <c r="BB380">
        <v>0</v>
      </c>
      <c r="BC380">
        <v>1</v>
      </c>
      <c r="BD380" t="str">
        <f>CONCATENATE(Table9[[#This Row],[Match Number]],Table9[[#This Row],[Team]],Table9[[#This Row],[BOWL NUM]])</f>
        <v>23Zimbabwe1</v>
      </c>
      <c r="BE380" t="str">
        <f>IFERROR(IF(AND(Table9[[#This Row],[Team]]=I_TEAM,IFERROR(IF(MATCH(Table9[[#This Row],[Bowler]],$AR$5:AR379,0)&gt;0,0),1)),1,0),"")</f>
        <v/>
      </c>
      <c r="BF38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8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380" t="e">
        <f>IF(Table9[[#This Row],[Team]]=I_TEAM,Table9[[#This Row],[Wickets]]*100-Table9[[#This Row],[Runs]],0)</f>
        <v>#REF!</v>
      </c>
      <c r="BI380">
        <f>Table9[[#This Row],[Wickets]]*100-Table9[[#This Row],[Runs]]</f>
        <v>-49</v>
      </c>
      <c r="BJ380">
        <f ca="1">IFERROR(IF(MATCH(Table9[[#This Row],[Bowler]],OFFSET(AR381,0,0,BOWLROWS-ROW(AR380)-ROW(Table9[[#Headers],[BOWLER CUML WICKETS]])),0)&gt;0,0,SUMIF($AR$6:AR380,Table9[[#This Row],[Bowler]],$AV$6:AV380)),SUMIF($AR$6:AR380,Table9[[#This Row],[Bowler]],$AV$6:AV380))</f>
        <v>0</v>
      </c>
      <c r="BK380">
        <f ca="1">IFERROR(IF(MATCH(Table9[[#This Row],[Bowler]],OFFSET(AR381,0,0,BOWLROWS-ROW(AR380)-ROW(Table9[[#Headers],[BOWLER CUML WICKETS]])),0)&gt;0,0,SUMIF($AR$6:AR380,Table9[[#This Row],[Bowler]],$AU$6:AU380)),SUMIF($AR$6:AR380,Table9[[#This Row],[Bowler]],$AU$6:AU380))</f>
        <v>0</v>
      </c>
      <c r="BL380">
        <f ca="1">Table9[[#This Row],[BOWLER CUML WICKETS]]*100-Table9[[#This Row],[BOWLER CUML RUNS]]</f>
        <v>0</v>
      </c>
    </row>
    <row r="381" spans="1:64" x14ac:dyDescent="0.3">
      <c r="A381">
        <v>48</v>
      </c>
      <c r="B381" t="s">
        <v>137</v>
      </c>
      <c r="C381" t="s">
        <v>168</v>
      </c>
      <c r="D381" t="s">
        <v>167</v>
      </c>
      <c r="E381">
        <v>1</v>
      </c>
      <c r="F381">
        <v>11</v>
      </c>
      <c r="G381">
        <v>1</v>
      </c>
      <c r="H381">
        <v>0</v>
      </c>
      <c r="I381">
        <v>0</v>
      </c>
      <c r="J381">
        <v>100</v>
      </c>
      <c r="K381">
        <v>9</v>
      </c>
      <c r="L381" t="str">
        <f>CONCATENATE(T_BATTINGDATA[[#This Row],[Match]],T_BATTINGDATA[[#This Row],[Team]],T_BATTINGDATA[[#This Row],[Bat Number]])</f>
        <v>48India9</v>
      </c>
      <c r="M381" t="str">
        <f>IFERROR(IF(AND(T_BATTINGDATA[[#This Row],[Team]]=I_TEAM,IFERROR(IF(MATCH(T_BATTINGDATA[[#This Row],[BATSMAN NAME]],$O$5:O380,0)&gt;0,0),1)),1,0),"")</f>
        <v/>
      </c>
      <c r="N381" t="e">
        <f>IF(T_BATTINGDATA[[#This Row],[Team]]=I_TEAM,T_BATTINGDATA[[#This Row],[R]],0)</f>
        <v>#REF!</v>
      </c>
      <c r="O381" t="str">
        <f>LEFT(T_BATTINGDATA[[#This Row],[Batsman]],IFERROR(FIND("*",T_BATTINGDATA[[#This Row],[Batsman]])-1,IFERROR(FIND("†",T_BATTINGDATA[[#This Row],[Batsman]])-1,LEN(T_BATTINGDATA[[#This Row],[Batsman]]))))</f>
        <v>Mohammed Shami</v>
      </c>
      <c r="P381">
        <f ca="1">IFERROR(IF(MATCH(T_BATTINGDATA[[#This Row],[BATSMAN NAME]],OFFSET(O382,0,0,BATROWS-ROW(O381)-ROW(T_BATTINGDATA[[#Headers],[BATSMAN NAME]])),0)&gt;0,0,SUMIF($O$6:O381,T_BATTINGDATA[[#This Row],[BATSMAN NAME]],$E$6:E381)),SUMIF($O$6:O381,T_BATTINGDATA[[#This Row],[BATSMAN NAME]],$E$6:E381))</f>
        <v>8</v>
      </c>
      <c r="AP381">
        <v>23</v>
      </c>
      <c r="AQ381" t="s">
        <v>158</v>
      </c>
      <c r="AR381" t="s">
        <v>207</v>
      </c>
      <c r="AS381">
        <v>10</v>
      </c>
      <c r="AT381">
        <v>2</v>
      </c>
      <c r="AU381">
        <v>35</v>
      </c>
      <c r="AV381">
        <v>3</v>
      </c>
      <c r="AW381">
        <v>3.5</v>
      </c>
      <c r="AX381">
        <v>40</v>
      </c>
      <c r="AY381">
        <v>2</v>
      </c>
      <c r="AZ381">
        <v>0</v>
      </c>
      <c r="BA381">
        <v>6</v>
      </c>
      <c r="BB381">
        <v>0</v>
      </c>
      <c r="BC381">
        <v>2</v>
      </c>
      <c r="BD381" t="str">
        <f>CONCATENATE(Table9[[#This Row],[Match Number]],Table9[[#This Row],[Team]],Table9[[#This Row],[BOWL NUM]])</f>
        <v>23Zimbabwe2</v>
      </c>
      <c r="BE381" t="str">
        <f>IFERROR(IF(AND(Table9[[#This Row],[Team]]=I_TEAM,IFERROR(IF(MATCH(Table9[[#This Row],[Bowler]],$AR$5:AR380,0)&gt;0,0),1)),1,0),"")</f>
        <v/>
      </c>
      <c r="BF38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8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381" t="e">
        <f>IF(Table9[[#This Row],[Team]]=I_TEAM,Table9[[#This Row],[Wickets]]*100-Table9[[#This Row],[Runs]],0)</f>
        <v>#REF!</v>
      </c>
      <c r="BI381">
        <f>Table9[[#This Row],[Wickets]]*100-Table9[[#This Row],[Runs]]</f>
        <v>265</v>
      </c>
      <c r="BJ381">
        <f ca="1">IFERROR(IF(MATCH(Table9[[#This Row],[Bowler]],OFFSET(AR382,0,0,BOWLROWS-ROW(AR381)-ROW(Table9[[#Headers],[BOWLER CUML WICKETS]])),0)&gt;0,0,SUMIF($AR$6:AR381,Table9[[#This Row],[Bowler]],$AV$6:AV381)),SUMIF($AR$6:AR381,Table9[[#This Row],[Bowler]],$AV$6:AV381))</f>
        <v>0</v>
      </c>
      <c r="BK381">
        <f ca="1">IFERROR(IF(MATCH(Table9[[#This Row],[Bowler]],OFFSET(AR382,0,0,BOWLROWS-ROW(AR381)-ROW(Table9[[#Headers],[BOWLER CUML WICKETS]])),0)&gt;0,0,SUMIF($AR$6:AR381,Table9[[#This Row],[Bowler]],$AU$6:AU381)),SUMIF($AR$6:AR381,Table9[[#This Row],[Bowler]],$AU$6:AU381))</f>
        <v>0</v>
      </c>
      <c r="BL381">
        <f ca="1">Table9[[#This Row],[BOWLER CUML WICKETS]]*100-Table9[[#This Row],[BOWLER CUML RUNS]]</f>
        <v>0</v>
      </c>
    </row>
    <row r="382" spans="1:64" x14ac:dyDescent="0.3">
      <c r="A382">
        <v>48</v>
      </c>
      <c r="B382" t="s">
        <v>137</v>
      </c>
      <c r="C382" t="s">
        <v>171</v>
      </c>
      <c r="D382" t="s">
        <v>588</v>
      </c>
      <c r="E382">
        <v>0</v>
      </c>
      <c r="F382">
        <v>1</v>
      </c>
      <c r="G382">
        <v>1</v>
      </c>
      <c r="H382">
        <v>0</v>
      </c>
      <c r="I382">
        <v>0</v>
      </c>
      <c r="J382">
        <v>0</v>
      </c>
      <c r="K382">
        <v>10</v>
      </c>
      <c r="L382" t="str">
        <f>CONCATENATE(T_BATTINGDATA[[#This Row],[Match]],T_BATTINGDATA[[#This Row],[Team]],T_BATTINGDATA[[#This Row],[Bat Number]])</f>
        <v>48India10</v>
      </c>
      <c r="M382" t="str">
        <f>IFERROR(IF(AND(T_BATTINGDATA[[#This Row],[Team]]=I_TEAM,IFERROR(IF(MATCH(T_BATTINGDATA[[#This Row],[BATSMAN NAME]],$O$5:O381,0)&gt;0,0),1)),1,0),"")</f>
        <v/>
      </c>
      <c r="N382" t="e">
        <f>IF(T_BATTINGDATA[[#This Row],[Team]]=I_TEAM,T_BATTINGDATA[[#This Row],[R]],0)</f>
        <v>#REF!</v>
      </c>
      <c r="O382" t="str">
        <f>LEFT(T_BATTINGDATA[[#This Row],[Batsman]],IFERROR(FIND("*",T_BATTINGDATA[[#This Row],[Batsman]])-1,IFERROR(FIND("†",T_BATTINGDATA[[#This Row],[Batsman]])-1,LEN(T_BATTINGDATA[[#This Row],[Batsman]]))))</f>
        <v>MM Sharma</v>
      </c>
      <c r="P382">
        <f ca="1">IFERROR(IF(MATCH(T_BATTINGDATA[[#This Row],[BATSMAN NAME]],OFFSET(O383,0,0,BATROWS-ROW(O382)-ROW(T_BATTINGDATA[[#Headers],[BATSMAN NAME]])),0)&gt;0,0,SUMIF($O$6:O382,T_BATTINGDATA[[#This Row],[BATSMAN NAME]],$E$6:E382)),SUMIF($O$6:O382,T_BATTINGDATA[[#This Row],[BATSMAN NAME]],$E$6:E382))</f>
        <v>0</v>
      </c>
      <c r="AP382">
        <v>23</v>
      </c>
      <c r="AQ382" t="s">
        <v>158</v>
      </c>
      <c r="AR382" t="s">
        <v>208</v>
      </c>
      <c r="AS382">
        <v>8</v>
      </c>
      <c r="AT382">
        <v>1</v>
      </c>
      <c r="AU382">
        <v>36</v>
      </c>
      <c r="AV382">
        <v>1</v>
      </c>
      <c r="AW382">
        <v>4.5</v>
      </c>
      <c r="AX382">
        <v>30</v>
      </c>
      <c r="AY382">
        <v>3</v>
      </c>
      <c r="AZ382">
        <v>0</v>
      </c>
      <c r="BA382">
        <v>3</v>
      </c>
      <c r="BB382">
        <v>0</v>
      </c>
      <c r="BC382">
        <v>3</v>
      </c>
      <c r="BD382" t="str">
        <f>CONCATENATE(Table9[[#This Row],[Match Number]],Table9[[#This Row],[Team]],Table9[[#This Row],[BOWL NUM]])</f>
        <v>23Zimbabwe3</v>
      </c>
      <c r="BE382" t="str">
        <f>IFERROR(IF(AND(Table9[[#This Row],[Team]]=I_TEAM,IFERROR(IF(MATCH(Table9[[#This Row],[Bowler]],$AR$5:AR381,0)&gt;0,0),1)),1,0),"")</f>
        <v/>
      </c>
      <c r="BF382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8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382" t="e">
        <f>IF(Table9[[#This Row],[Team]]=I_TEAM,Table9[[#This Row],[Wickets]]*100-Table9[[#This Row],[Runs]],0)</f>
        <v>#REF!</v>
      </c>
      <c r="BI382">
        <f>Table9[[#This Row],[Wickets]]*100-Table9[[#This Row],[Runs]]</f>
        <v>64</v>
      </c>
      <c r="BJ382">
        <f ca="1">IFERROR(IF(MATCH(Table9[[#This Row],[Bowler]],OFFSET(AR383,0,0,BOWLROWS-ROW(AR382)-ROW(Table9[[#Headers],[BOWLER CUML WICKETS]])),0)&gt;0,0,SUMIF($AR$6:AR382,Table9[[#This Row],[Bowler]],$AV$6:AV382)),SUMIF($AR$6:AR382,Table9[[#This Row],[Bowler]],$AV$6:AV382))</f>
        <v>0</v>
      </c>
      <c r="BK382">
        <f ca="1">IFERROR(IF(MATCH(Table9[[#This Row],[Bowler]],OFFSET(AR383,0,0,BOWLROWS-ROW(AR382)-ROW(Table9[[#Headers],[BOWLER CUML WICKETS]])),0)&gt;0,0,SUMIF($AR$6:AR382,Table9[[#This Row],[Bowler]],$AU$6:AU382)),SUMIF($AR$6:AR382,Table9[[#This Row],[Bowler]],$AU$6:AU382))</f>
        <v>0</v>
      </c>
      <c r="BL382">
        <f ca="1">Table9[[#This Row],[BOWLER CUML WICKETS]]*100-Table9[[#This Row],[BOWLER CUML RUNS]]</f>
        <v>0</v>
      </c>
    </row>
    <row r="383" spans="1:64" x14ac:dyDescent="0.3">
      <c r="A383">
        <v>48</v>
      </c>
      <c r="B383" t="s">
        <v>137</v>
      </c>
      <c r="C383" t="s">
        <v>165</v>
      </c>
      <c r="D383" t="s">
        <v>410</v>
      </c>
      <c r="E383">
        <v>0</v>
      </c>
      <c r="F383">
        <v>5</v>
      </c>
      <c r="G383">
        <v>5</v>
      </c>
      <c r="H383">
        <v>0</v>
      </c>
      <c r="I383">
        <v>0</v>
      </c>
      <c r="J383">
        <v>0</v>
      </c>
      <c r="K383">
        <v>11</v>
      </c>
      <c r="L383" t="str">
        <f>CONCATENATE(T_BATTINGDATA[[#This Row],[Match]],T_BATTINGDATA[[#This Row],[Team]],T_BATTINGDATA[[#This Row],[Bat Number]])</f>
        <v>48India11</v>
      </c>
      <c r="M383" t="str">
        <f>IFERROR(IF(AND(T_BATTINGDATA[[#This Row],[Team]]=I_TEAM,IFERROR(IF(MATCH(T_BATTINGDATA[[#This Row],[BATSMAN NAME]],$O$5:O382,0)&gt;0,0),1)),1,0),"")</f>
        <v/>
      </c>
      <c r="N383" t="e">
        <f>IF(T_BATTINGDATA[[#This Row],[Team]]=I_TEAM,T_BATTINGDATA[[#This Row],[R]],0)</f>
        <v>#REF!</v>
      </c>
      <c r="O383" t="str">
        <f>LEFT(T_BATTINGDATA[[#This Row],[Batsman]],IFERROR(FIND("*",T_BATTINGDATA[[#This Row],[Batsman]])-1,IFERROR(FIND("†",T_BATTINGDATA[[#This Row],[Batsman]])-1,LEN(T_BATTINGDATA[[#This Row],[Batsman]]))))</f>
        <v>UT Yadav</v>
      </c>
      <c r="P383">
        <f ca="1">IFERROR(IF(MATCH(T_BATTINGDATA[[#This Row],[BATSMAN NAME]],OFFSET(O384,0,0,BATROWS-ROW(O383)-ROW(T_BATTINGDATA[[#Headers],[BATSMAN NAME]])),0)&gt;0,0,SUMIF($O$6:O383,T_BATTINGDATA[[#This Row],[BATSMAN NAME]],$E$6:E383)),SUMIF($O$6:O383,T_BATTINGDATA[[#This Row],[BATSMAN NAME]],$E$6:E383))</f>
        <v>0</v>
      </c>
      <c r="AP383">
        <v>23</v>
      </c>
      <c r="AQ383" t="s">
        <v>158</v>
      </c>
      <c r="AR383" t="s">
        <v>214</v>
      </c>
      <c r="AS383">
        <v>10</v>
      </c>
      <c r="AT383">
        <v>1</v>
      </c>
      <c r="AU383">
        <v>48</v>
      </c>
      <c r="AV383">
        <v>2</v>
      </c>
      <c r="AW383">
        <v>4.8</v>
      </c>
      <c r="AX383">
        <v>30</v>
      </c>
      <c r="AY383">
        <v>4</v>
      </c>
      <c r="AZ383">
        <v>0</v>
      </c>
      <c r="BA383">
        <v>1</v>
      </c>
      <c r="BB383">
        <v>0</v>
      </c>
      <c r="BC383">
        <v>4</v>
      </c>
      <c r="BD383" t="str">
        <f>CONCATENATE(Table9[[#This Row],[Match Number]],Table9[[#This Row],[Team]],Table9[[#This Row],[BOWL NUM]])</f>
        <v>23Zimbabwe4</v>
      </c>
      <c r="BE383" t="str">
        <f>IFERROR(IF(AND(Table9[[#This Row],[Team]]=I_TEAM,IFERROR(IF(MATCH(Table9[[#This Row],[Bowler]],$AR$5:AR382,0)&gt;0,0),1)),1,0),"")</f>
        <v/>
      </c>
      <c r="BF38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8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383" t="e">
        <f>IF(Table9[[#This Row],[Team]]=I_TEAM,Table9[[#This Row],[Wickets]]*100-Table9[[#This Row],[Runs]],0)</f>
        <v>#REF!</v>
      </c>
      <c r="BI383">
        <f>Table9[[#This Row],[Wickets]]*100-Table9[[#This Row],[Runs]]</f>
        <v>152</v>
      </c>
      <c r="BJ383">
        <f ca="1">IFERROR(IF(MATCH(Table9[[#This Row],[Bowler]],OFFSET(AR384,0,0,BOWLROWS-ROW(AR383)-ROW(Table9[[#Headers],[BOWLER CUML WICKETS]])),0)&gt;0,0,SUMIF($AR$6:AR383,Table9[[#This Row],[Bowler]],$AV$6:AV383)),SUMIF($AR$6:AR383,Table9[[#This Row],[Bowler]],$AV$6:AV383))</f>
        <v>0</v>
      </c>
      <c r="BK383">
        <f ca="1">IFERROR(IF(MATCH(Table9[[#This Row],[Bowler]],OFFSET(AR384,0,0,BOWLROWS-ROW(AR383)-ROW(Table9[[#Headers],[BOWLER CUML WICKETS]])),0)&gt;0,0,SUMIF($AR$6:AR383,Table9[[#This Row],[Bowler]],$AU$6:AU383)),SUMIF($AR$6:AR383,Table9[[#This Row],[Bowler]],$AU$6:AU383))</f>
        <v>0</v>
      </c>
      <c r="BL383">
        <f ca="1">Table9[[#This Row],[BOWLER CUML WICKETS]]*100-Table9[[#This Row],[BOWLER CUML RUNS]]</f>
        <v>0</v>
      </c>
    </row>
    <row r="384" spans="1:64" x14ac:dyDescent="0.3">
      <c r="A384">
        <v>45</v>
      </c>
      <c r="B384" t="s">
        <v>153</v>
      </c>
      <c r="C384" t="s">
        <v>202</v>
      </c>
      <c r="D384" t="s">
        <v>589</v>
      </c>
      <c r="E384">
        <v>5</v>
      </c>
      <c r="F384">
        <v>23</v>
      </c>
      <c r="G384">
        <v>13</v>
      </c>
      <c r="H384">
        <v>0</v>
      </c>
      <c r="I384">
        <v>0</v>
      </c>
      <c r="J384">
        <v>38.46</v>
      </c>
      <c r="K384">
        <v>1</v>
      </c>
      <c r="L384" t="str">
        <f>CONCATENATE(T_BATTINGDATA[[#This Row],[Match]],T_BATTINGDATA[[#This Row],[Team]],T_BATTINGDATA[[#This Row],[Bat Number]])</f>
        <v>45Pakistan1</v>
      </c>
      <c r="M384" t="str">
        <f>IFERROR(IF(AND(T_BATTINGDATA[[#This Row],[Team]]=I_TEAM,IFERROR(IF(MATCH(T_BATTINGDATA[[#This Row],[BATSMAN NAME]],$O$5:O383,0)&gt;0,0),1)),1,0),"")</f>
        <v/>
      </c>
      <c r="N384" t="e">
        <f>IF(T_BATTINGDATA[[#This Row],[Team]]=I_TEAM,T_BATTINGDATA[[#This Row],[R]],0)</f>
        <v>#REF!</v>
      </c>
      <c r="O384" t="str">
        <f>LEFT(T_BATTINGDATA[[#This Row],[Batsman]],IFERROR(FIND("*",T_BATTINGDATA[[#This Row],[Batsman]])-1,IFERROR(FIND("†",T_BATTINGDATA[[#This Row],[Batsman]])-1,LEN(T_BATTINGDATA[[#This Row],[Batsman]]))))</f>
        <v>Ahmed Shehzad</v>
      </c>
      <c r="P384">
        <f ca="1">IFERROR(IF(MATCH(T_BATTINGDATA[[#This Row],[BATSMAN NAME]],OFFSET(O385,0,0,BATROWS-ROW(O384)-ROW(T_BATTINGDATA[[#Headers],[BATSMAN NAME]])),0)&gt;0,0,SUMIF($O$6:O384,T_BATTINGDATA[[#This Row],[BATSMAN NAME]],$E$6:E384)),SUMIF($O$6:O384,T_BATTINGDATA[[#This Row],[BATSMAN NAME]],$E$6:E384))</f>
        <v>0</v>
      </c>
      <c r="AP384">
        <v>23</v>
      </c>
      <c r="AQ384" t="s">
        <v>158</v>
      </c>
      <c r="AR384" t="s">
        <v>218</v>
      </c>
      <c r="AS384">
        <v>3</v>
      </c>
      <c r="AT384">
        <v>0</v>
      </c>
      <c r="AU384">
        <v>14</v>
      </c>
      <c r="AV384">
        <v>0</v>
      </c>
      <c r="AW384">
        <v>4.66</v>
      </c>
      <c r="AX384">
        <v>10</v>
      </c>
      <c r="AY384">
        <v>2</v>
      </c>
      <c r="AZ384">
        <v>0</v>
      </c>
      <c r="BA384">
        <v>0</v>
      </c>
      <c r="BB384">
        <v>0</v>
      </c>
      <c r="BC384">
        <v>5</v>
      </c>
      <c r="BD384" t="str">
        <f>CONCATENATE(Table9[[#This Row],[Match Number]],Table9[[#This Row],[Team]],Table9[[#This Row],[BOWL NUM]])</f>
        <v>23Zimbabwe5</v>
      </c>
      <c r="BE384" t="str">
        <f>IFERROR(IF(AND(Table9[[#This Row],[Team]]=I_TEAM,IFERROR(IF(MATCH(Table9[[#This Row],[Bowler]],$AR$5:AR383,0)&gt;0,0),1)),1,0),"")</f>
        <v/>
      </c>
      <c r="BF384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38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384" t="e">
        <f>IF(Table9[[#This Row],[Team]]=I_TEAM,Table9[[#This Row],[Wickets]]*100-Table9[[#This Row],[Runs]],0)</f>
        <v>#REF!</v>
      </c>
      <c r="BI384">
        <f>Table9[[#This Row],[Wickets]]*100-Table9[[#This Row],[Runs]]</f>
        <v>-14</v>
      </c>
      <c r="BJ384">
        <f ca="1">IFERROR(IF(MATCH(Table9[[#This Row],[Bowler]],OFFSET(AR385,0,0,BOWLROWS-ROW(AR384)-ROW(Table9[[#Headers],[BOWLER CUML WICKETS]])),0)&gt;0,0,SUMIF($AR$6:AR384,Table9[[#This Row],[Bowler]],$AV$6:AV384)),SUMIF($AR$6:AR384,Table9[[#This Row],[Bowler]],$AV$6:AV384))</f>
        <v>0</v>
      </c>
      <c r="BK384">
        <f ca="1">IFERROR(IF(MATCH(Table9[[#This Row],[Bowler]],OFFSET(AR385,0,0,BOWLROWS-ROW(AR384)-ROW(Table9[[#Headers],[BOWLER CUML WICKETS]])),0)&gt;0,0,SUMIF($AR$6:AR384,Table9[[#This Row],[Bowler]],$AU$6:AU384)),SUMIF($AR$6:AR384,Table9[[#This Row],[Bowler]],$AU$6:AU384))</f>
        <v>0</v>
      </c>
      <c r="BL384">
        <f ca="1">Table9[[#This Row],[BOWLER CUML WICKETS]]*100-Table9[[#This Row],[BOWLER CUML RUNS]]</f>
        <v>0</v>
      </c>
    </row>
    <row r="385" spans="1:64" x14ac:dyDescent="0.3">
      <c r="A385">
        <v>45</v>
      </c>
      <c r="B385" t="s">
        <v>153</v>
      </c>
      <c r="C385" t="s">
        <v>590</v>
      </c>
      <c r="D385" t="s">
        <v>591</v>
      </c>
      <c r="E385">
        <v>10</v>
      </c>
      <c r="F385">
        <v>19</v>
      </c>
      <c r="G385">
        <v>16</v>
      </c>
      <c r="H385">
        <v>1</v>
      </c>
      <c r="I385">
        <v>0</v>
      </c>
      <c r="J385">
        <v>62.5</v>
      </c>
      <c r="K385">
        <v>2</v>
      </c>
      <c r="L385" t="str">
        <f>CONCATENATE(T_BATTINGDATA[[#This Row],[Match]],T_BATTINGDATA[[#This Row],[Team]],T_BATTINGDATA[[#This Row],[Bat Number]])</f>
        <v>45Pakistan2</v>
      </c>
      <c r="M385" t="str">
        <f>IFERROR(IF(AND(T_BATTINGDATA[[#This Row],[Team]]=I_TEAM,IFERROR(IF(MATCH(T_BATTINGDATA[[#This Row],[BATSMAN NAME]],$O$5:O384,0)&gt;0,0),1)),1,0),"")</f>
        <v/>
      </c>
      <c r="N385" t="e">
        <f>IF(T_BATTINGDATA[[#This Row],[Team]]=I_TEAM,T_BATTINGDATA[[#This Row],[R]],0)</f>
        <v>#REF!</v>
      </c>
      <c r="O385" t="str">
        <f>LEFT(T_BATTINGDATA[[#This Row],[Batsman]],IFERROR(FIND("*",T_BATTINGDATA[[#This Row],[Batsman]])-1,IFERROR(FIND("†",T_BATTINGDATA[[#This Row],[Batsman]])-1,LEN(T_BATTINGDATA[[#This Row],[Batsman]]))))</f>
        <v>Sarfraz Ahmed</v>
      </c>
      <c r="P385">
        <f ca="1">IFERROR(IF(MATCH(T_BATTINGDATA[[#This Row],[BATSMAN NAME]],OFFSET(O386,0,0,BATROWS-ROW(O385)-ROW(T_BATTINGDATA[[#Headers],[BATSMAN NAME]])),0)&gt;0,0,SUMIF($O$6:O385,T_BATTINGDATA[[#This Row],[BATSMAN NAME]],$E$6:E385)),SUMIF($O$6:O385,T_BATTINGDATA[[#This Row],[BATSMAN NAME]],$E$6:E385))</f>
        <v>0</v>
      </c>
      <c r="AP385">
        <v>23</v>
      </c>
      <c r="AQ385" t="s">
        <v>158</v>
      </c>
      <c r="AR385" t="s">
        <v>334</v>
      </c>
      <c r="AS385">
        <v>1</v>
      </c>
      <c r="AT385">
        <v>0</v>
      </c>
      <c r="AU385">
        <v>7</v>
      </c>
      <c r="AV385">
        <v>0</v>
      </c>
      <c r="AW385">
        <v>7</v>
      </c>
      <c r="AX385">
        <v>3</v>
      </c>
      <c r="AY385">
        <v>0</v>
      </c>
      <c r="AZ385">
        <v>0</v>
      </c>
      <c r="BA385">
        <v>4</v>
      </c>
      <c r="BB385">
        <v>0</v>
      </c>
      <c r="BC385">
        <v>6</v>
      </c>
      <c r="BD385" t="str">
        <f>CONCATENATE(Table9[[#This Row],[Match Number]],Table9[[#This Row],[Team]],Table9[[#This Row],[BOWL NUM]])</f>
        <v>23Zimbabwe6</v>
      </c>
      <c r="BE385" t="str">
        <f>IFERROR(IF(AND(Table9[[#This Row],[Team]]=I_TEAM,IFERROR(IF(MATCH(Table9[[#This Row],[Bowler]],$AR$5:AR384,0)&gt;0,0),1)),1,0),"")</f>
        <v/>
      </c>
      <c r="BF385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38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385" t="e">
        <f>IF(Table9[[#This Row],[Team]]=I_TEAM,Table9[[#This Row],[Wickets]]*100-Table9[[#This Row],[Runs]],0)</f>
        <v>#REF!</v>
      </c>
      <c r="BI385">
        <f>Table9[[#This Row],[Wickets]]*100-Table9[[#This Row],[Runs]]</f>
        <v>-7</v>
      </c>
      <c r="BJ385">
        <f ca="1">IFERROR(IF(MATCH(Table9[[#This Row],[Bowler]],OFFSET(AR386,0,0,BOWLROWS-ROW(AR385)-ROW(Table9[[#Headers],[BOWLER CUML WICKETS]])),0)&gt;0,0,SUMIF($AR$6:AR385,Table9[[#This Row],[Bowler]],$AV$6:AV385)),SUMIF($AR$6:AR385,Table9[[#This Row],[Bowler]],$AV$6:AV385))</f>
        <v>1</v>
      </c>
      <c r="BK385">
        <f ca="1">IFERROR(IF(MATCH(Table9[[#This Row],[Bowler]],OFFSET(AR386,0,0,BOWLROWS-ROW(AR385)-ROW(Table9[[#Headers],[BOWLER CUML WICKETS]])),0)&gt;0,0,SUMIF($AR$6:AR385,Table9[[#This Row],[Bowler]],$AU$6:AU385)),SUMIF($AR$6:AR385,Table9[[#This Row],[Bowler]],$AU$6:AU385))</f>
        <v>93</v>
      </c>
      <c r="BL385">
        <f ca="1">Table9[[#This Row],[BOWLER CUML WICKETS]]*100-Table9[[#This Row],[BOWLER CUML RUNS]]</f>
        <v>7</v>
      </c>
    </row>
    <row r="386" spans="1:64" x14ac:dyDescent="0.3">
      <c r="A386">
        <v>45</v>
      </c>
      <c r="B386" t="s">
        <v>153</v>
      </c>
      <c r="C386" t="s">
        <v>193</v>
      </c>
      <c r="D386" t="s">
        <v>584</v>
      </c>
      <c r="E386">
        <v>41</v>
      </c>
      <c r="F386">
        <v>94</v>
      </c>
      <c r="G386">
        <v>57</v>
      </c>
      <c r="H386">
        <v>4</v>
      </c>
      <c r="I386">
        <v>0</v>
      </c>
      <c r="J386">
        <v>71.92</v>
      </c>
      <c r="K386">
        <v>3</v>
      </c>
      <c r="L386" t="str">
        <f>CONCATENATE(T_BATTINGDATA[[#This Row],[Match]],T_BATTINGDATA[[#This Row],[Team]],T_BATTINGDATA[[#This Row],[Bat Number]])</f>
        <v>45Pakistan3</v>
      </c>
      <c r="M386" t="str">
        <f>IFERROR(IF(AND(T_BATTINGDATA[[#This Row],[Team]]=I_TEAM,IFERROR(IF(MATCH(T_BATTINGDATA[[#This Row],[BATSMAN NAME]],$O$5:O385,0)&gt;0,0),1)),1,0),"")</f>
        <v/>
      </c>
      <c r="N386" t="e">
        <f>IF(T_BATTINGDATA[[#This Row],[Team]]=I_TEAM,T_BATTINGDATA[[#This Row],[R]],0)</f>
        <v>#REF!</v>
      </c>
      <c r="O386" t="str">
        <f>LEFT(T_BATTINGDATA[[#This Row],[Batsman]],IFERROR(FIND("*",T_BATTINGDATA[[#This Row],[Batsman]])-1,IFERROR(FIND("†",T_BATTINGDATA[[#This Row],[Batsman]])-1,LEN(T_BATTINGDATA[[#This Row],[Batsman]]))))</f>
        <v>Haris Sohail</v>
      </c>
      <c r="P386">
        <f ca="1">IFERROR(IF(MATCH(T_BATTINGDATA[[#This Row],[BATSMAN NAME]],OFFSET(O387,0,0,BATROWS-ROW(O386)-ROW(T_BATTINGDATA[[#Headers],[BATSMAN NAME]])),0)&gt;0,0,SUMIF($O$6:O386,T_BATTINGDATA[[#This Row],[BATSMAN NAME]],$E$6:E386)),SUMIF($O$6:O386,T_BATTINGDATA[[#This Row],[BATSMAN NAME]],$E$6:E386))</f>
        <v>0</v>
      </c>
      <c r="AP386">
        <v>23</v>
      </c>
      <c r="AQ386" t="s">
        <v>158</v>
      </c>
      <c r="AR386" t="s">
        <v>217</v>
      </c>
      <c r="AS386">
        <v>7</v>
      </c>
      <c r="AT386">
        <v>0</v>
      </c>
      <c r="AU386">
        <v>34</v>
      </c>
      <c r="AV386">
        <v>1</v>
      </c>
      <c r="AW386">
        <v>4.8499999999999996</v>
      </c>
      <c r="AX386">
        <v>17</v>
      </c>
      <c r="AY386">
        <v>0</v>
      </c>
      <c r="AZ386">
        <v>0</v>
      </c>
      <c r="BA386">
        <v>0</v>
      </c>
      <c r="BB386">
        <v>0</v>
      </c>
      <c r="BC386">
        <v>7</v>
      </c>
      <c r="BD386" t="str">
        <f>CONCATENATE(Table9[[#This Row],[Match Number]],Table9[[#This Row],[Team]],Table9[[#This Row],[BOWL NUM]])</f>
        <v>23Zimbabwe7</v>
      </c>
      <c r="BE386" t="str">
        <f>IFERROR(IF(AND(Table9[[#This Row],[Team]]=I_TEAM,IFERROR(IF(MATCH(Table9[[#This Row],[Bowler]],$AR$5:AR385,0)&gt;0,0),1)),1,0),"")</f>
        <v/>
      </c>
      <c r="BF386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38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386" t="e">
        <f>IF(Table9[[#This Row],[Team]]=I_TEAM,Table9[[#This Row],[Wickets]]*100-Table9[[#This Row],[Runs]],0)</f>
        <v>#REF!</v>
      </c>
      <c r="BI386">
        <f>Table9[[#This Row],[Wickets]]*100-Table9[[#This Row],[Runs]]</f>
        <v>66</v>
      </c>
      <c r="BJ386">
        <f ca="1">IFERROR(IF(MATCH(Table9[[#This Row],[Bowler]],OFFSET(AR387,0,0,BOWLROWS-ROW(AR386)-ROW(Table9[[#Headers],[BOWLER CUML WICKETS]])),0)&gt;0,0,SUMIF($AR$6:AR386,Table9[[#This Row],[Bowler]],$AV$6:AV386)),SUMIF($AR$6:AR386,Table9[[#This Row],[Bowler]],$AV$6:AV386))</f>
        <v>0</v>
      </c>
      <c r="BK386">
        <f ca="1">IFERROR(IF(MATCH(Table9[[#This Row],[Bowler]],OFFSET(AR387,0,0,BOWLROWS-ROW(AR386)-ROW(Table9[[#Headers],[BOWLER CUML WICKETS]])),0)&gt;0,0,SUMIF($AR$6:AR386,Table9[[#This Row],[Bowler]],$AU$6:AU386)),SUMIF($AR$6:AR386,Table9[[#This Row],[Bowler]],$AU$6:AU386))</f>
        <v>0</v>
      </c>
      <c r="BL386">
        <f ca="1">Table9[[#This Row],[BOWLER CUML WICKETS]]*100-Table9[[#This Row],[BOWLER CUML RUNS]]</f>
        <v>0</v>
      </c>
    </row>
    <row r="387" spans="1:64" x14ac:dyDescent="0.3">
      <c r="A387">
        <v>45</v>
      </c>
      <c r="B387" t="s">
        <v>153</v>
      </c>
      <c r="C387" t="s">
        <v>209</v>
      </c>
      <c r="D387" t="s">
        <v>592</v>
      </c>
      <c r="E387">
        <v>34</v>
      </c>
      <c r="F387">
        <v>75</v>
      </c>
      <c r="G387">
        <v>59</v>
      </c>
      <c r="H387">
        <v>1</v>
      </c>
      <c r="I387">
        <v>2</v>
      </c>
      <c r="J387">
        <v>57.62</v>
      </c>
      <c r="K387">
        <v>4</v>
      </c>
      <c r="L387" t="str">
        <f>CONCATENATE(T_BATTINGDATA[[#This Row],[Match]],T_BATTINGDATA[[#This Row],[Team]],T_BATTINGDATA[[#This Row],[Bat Number]])</f>
        <v>45Pakistan4</v>
      </c>
      <c r="M387" t="str">
        <f>IFERROR(IF(AND(T_BATTINGDATA[[#This Row],[Team]]=I_TEAM,IFERROR(IF(MATCH(T_BATTINGDATA[[#This Row],[BATSMAN NAME]],$O$5:O386,0)&gt;0,0),1)),1,0),"")</f>
        <v/>
      </c>
      <c r="N387" t="e">
        <f>IF(T_BATTINGDATA[[#This Row],[Team]]=I_TEAM,T_BATTINGDATA[[#This Row],[R]],0)</f>
        <v>#REF!</v>
      </c>
      <c r="O387" t="str">
        <f>LEFT(T_BATTINGDATA[[#This Row],[Batsman]],IFERROR(FIND("*",T_BATTINGDATA[[#This Row],[Batsman]])-1,IFERROR(FIND("†",T_BATTINGDATA[[#This Row],[Batsman]])-1,LEN(T_BATTINGDATA[[#This Row],[Batsman]]))))</f>
        <v>Misbah-ul-Haq</v>
      </c>
      <c r="P387">
        <f ca="1">IFERROR(IF(MATCH(T_BATTINGDATA[[#This Row],[BATSMAN NAME]],OFFSET(O388,0,0,BATROWS-ROW(O387)-ROW(T_BATTINGDATA[[#Headers],[BATSMAN NAME]])),0)&gt;0,0,SUMIF($O$6:O387,T_BATTINGDATA[[#This Row],[BATSMAN NAME]],$E$6:E387)),SUMIF($O$6:O387,T_BATTINGDATA[[#This Row],[BATSMAN NAME]],$E$6:E387))</f>
        <v>0</v>
      </c>
      <c r="AP387">
        <v>23</v>
      </c>
      <c r="AQ387" t="s">
        <v>158</v>
      </c>
      <c r="AR387" t="s">
        <v>211</v>
      </c>
      <c r="AS387">
        <v>1</v>
      </c>
      <c r="AT387">
        <v>0</v>
      </c>
      <c r="AU387">
        <v>9</v>
      </c>
      <c r="AV387">
        <v>0</v>
      </c>
      <c r="AW387">
        <v>9</v>
      </c>
      <c r="AX387">
        <v>1</v>
      </c>
      <c r="AY387">
        <v>1</v>
      </c>
      <c r="AZ387">
        <v>0</v>
      </c>
      <c r="BA387">
        <v>1</v>
      </c>
      <c r="BB387">
        <v>0</v>
      </c>
      <c r="BC387">
        <v>8</v>
      </c>
      <c r="BD387" t="str">
        <f>CONCATENATE(Table9[[#This Row],[Match Number]],Table9[[#This Row],[Team]],Table9[[#This Row],[BOWL NUM]])</f>
        <v>23Zimbabwe8</v>
      </c>
      <c r="BE387" t="str">
        <f>IFERROR(IF(AND(Table9[[#This Row],[Team]]=I_TEAM,IFERROR(IF(MATCH(Table9[[#This Row],[Bowler]],$AR$5:AR386,0)&gt;0,0),1)),1,0),"")</f>
        <v/>
      </c>
      <c r="BF387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38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387" t="e">
        <f>IF(Table9[[#This Row],[Team]]=I_TEAM,Table9[[#This Row],[Wickets]]*100-Table9[[#This Row],[Runs]],0)</f>
        <v>#REF!</v>
      </c>
      <c r="BI387">
        <f>Table9[[#This Row],[Wickets]]*100-Table9[[#This Row],[Runs]]</f>
        <v>-9</v>
      </c>
      <c r="BJ387">
        <f ca="1">IFERROR(IF(MATCH(Table9[[#This Row],[Bowler]],OFFSET(AR388,0,0,BOWLROWS-ROW(AR387)-ROW(Table9[[#Headers],[BOWLER CUML WICKETS]])),0)&gt;0,0,SUMIF($AR$6:AR487,Table9[[#This Row],[Bowler]],$AV$6:AV487)),SUMIF($AR$6:AR487,Table9[[#This Row],[Bowler]],$AV$6:AV487))</f>
        <v>2</v>
      </c>
      <c r="BK387">
        <f ca="1">IFERROR(IF(MATCH(Table9[[#This Row],[Bowler]],OFFSET(AR388,0,0,BOWLROWS-ROW(AR387)-ROW(Table9[[#Headers],[BOWLER CUML WICKETS]])),0)&gt;0,0,SUMIF($AR$6:AR392,Table9[[#This Row],[Bowler]],$AU$6:AU392)),SUMIF($AR$6:AR392,Table9[[#This Row],[Bowler]],$AU$6:AU392))</f>
        <v>138</v>
      </c>
      <c r="BL387">
        <f ca="1">Table9[[#This Row],[BOWLER CUML WICKETS]]*100-Table9[[#This Row],[BOWLER CUML RUNS]]</f>
        <v>62</v>
      </c>
    </row>
    <row r="388" spans="1:64" x14ac:dyDescent="0.3">
      <c r="A388">
        <v>45</v>
      </c>
      <c r="B388" t="s">
        <v>153</v>
      </c>
      <c r="C388" t="s">
        <v>593</v>
      </c>
      <c r="D388" t="s">
        <v>592</v>
      </c>
      <c r="E388">
        <v>20</v>
      </c>
      <c r="F388">
        <v>24</v>
      </c>
      <c r="G388">
        <v>25</v>
      </c>
      <c r="H388">
        <v>2</v>
      </c>
      <c r="I388">
        <v>0</v>
      </c>
      <c r="J388">
        <v>80</v>
      </c>
      <c r="K388">
        <v>5</v>
      </c>
      <c r="L388" t="str">
        <f>CONCATENATE(T_BATTINGDATA[[#This Row],[Match]],T_BATTINGDATA[[#This Row],[Team]],T_BATTINGDATA[[#This Row],[Bat Number]])</f>
        <v>45Pakistan5</v>
      </c>
      <c r="M388" t="str">
        <f>IFERROR(IF(AND(T_BATTINGDATA[[#This Row],[Team]]=I_TEAM,IFERROR(IF(MATCH(T_BATTINGDATA[[#This Row],[BATSMAN NAME]],$O$5:O387,0)&gt;0,0),1)),1,0),"")</f>
        <v/>
      </c>
      <c r="N388" t="e">
        <f>IF(T_BATTINGDATA[[#This Row],[Team]]=I_TEAM,T_BATTINGDATA[[#This Row],[R]],0)</f>
        <v>#REF!</v>
      </c>
      <c r="O388" t="str">
        <f>LEFT(T_BATTINGDATA[[#This Row],[Batsman]],IFERROR(FIND("*",T_BATTINGDATA[[#This Row],[Batsman]])-1,IFERROR(FIND("†",T_BATTINGDATA[[#This Row],[Batsman]])-1,LEN(T_BATTINGDATA[[#This Row],[Batsman]]))))</f>
        <v>Umar Akmal</v>
      </c>
      <c r="P388">
        <f ca="1">IFERROR(IF(MATCH(T_BATTINGDATA[[#This Row],[BATSMAN NAME]],OFFSET(O389,0,0,BATROWS-ROW(O388)-ROW(T_BATTINGDATA[[#Headers],[BATSMAN NAME]])),0)&gt;0,0,SUMIF($O$6:O388,T_BATTINGDATA[[#This Row],[BATSMAN NAME]],$E$6:E388)),SUMIF($O$6:O388,T_BATTINGDATA[[#This Row],[BATSMAN NAME]],$E$6:E388))</f>
        <v>0</v>
      </c>
      <c r="AP388">
        <v>23</v>
      </c>
      <c r="AQ388" t="s">
        <v>153</v>
      </c>
      <c r="AR388" t="s">
        <v>182</v>
      </c>
      <c r="AS388">
        <v>10</v>
      </c>
      <c r="AT388">
        <v>2</v>
      </c>
      <c r="AU388">
        <v>30</v>
      </c>
      <c r="AV388">
        <v>4</v>
      </c>
      <c r="AW388">
        <v>3</v>
      </c>
      <c r="AX388">
        <v>47</v>
      </c>
      <c r="AY388">
        <v>2</v>
      </c>
      <c r="AZ388">
        <v>0</v>
      </c>
      <c r="BA388">
        <v>3</v>
      </c>
      <c r="BB388">
        <v>0</v>
      </c>
      <c r="BC388">
        <v>1</v>
      </c>
      <c r="BD388" t="str">
        <f>CONCATENATE(Table9[[#This Row],[Match Number]],Table9[[#This Row],[Team]],Table9[[#This Row],[BOWL NUM]])</f>
        <v>23Pakistan1</v>
      </c>
      <c r="BE388" t="str">
        <f>IFERROR(IF(AND(Table9[[#This Row],[Team]]=I_TEAM,IFERROR(IF(MATCH(Table9[[#This Row],[Bowler]],$AR$5:AR387,0)&gt;0,0),1)),1,0),"")</f>
        <v/>
      </c>
      <c r="BF38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8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388" t="e">
        <f>IF(Table9[[#This Row],[Team]]=I_TEAM,Table9[[#This Row],[Wickets]]*100-Table9[[#This Row],[Runs]],0)</f>
        <v>#REF!</v>
      </c>
      <c r="BI388">
        <f>Table9[[#This Row],[Wickets]]*100-Table9[[#This Row],[Runs]]</f>
        <v>370</v>
      </c>
      <c r="BJ388">
        <f ca="1">IFERROR(IF(MATCH(Table9[[#This Row],[Bowler]],OFFSET(AR389,0,0,BOWLROWS-ROW(AR388)-ROW(Table9[[#Headers],[BOWLER CUML WICKETS]])),0)&gt;0,0,SUMIF($AR$6:AR388,Table9[[#This Row],[Bowler]],$AV$6:AV388)),SUMIF($AR$6:AR388,Table9[[#This Row],[Bowler]],$AV$6:AV388))</f>
        <v>0</v>
      </c>
      <c r="BK388">
        <f ca="1">IFERROR(IF(MATCH(Table9[[#This Row],[Bowler]],OFFSET(AR389,0,0,BOWLROWS-ROW(AR388)-ROW(Table9[[#Headers],[BOWLER CUML WICKETS]])),0)&gt;0,0,SUMIF($AR$6:AR388,Table9[[#This Row],[Bowler]],$AU$6:AU388)),SUMIF($AR$6:AR388,Table9[[#This Row],[Bowler]],$AU$6:AU388))</f>
        <v>0</v>
      </c>
      <c r="BL388">
        <f ca="1">Table9[[#This Row],[BOWLER CUML WICKETS]]*100-Table9[[#This Row],[BOWLER CUML RUNS]]</f>
        <v>0</v>
      </c>
    </row>
    <row r="389" spans="1:64" x14ac:dyDescent="0.3">
      <c r="A389">
        <v>45</v>
      </c>
      <c r="B389" t="s">
        <v>153</v>
      </c>
      <c r="C389" t="s">
        <v>212</v>
      </c>
      <c r="D389" t="s">
        <v>594</v>
      </c>
      <c r="E389">
        <v>29</v>
      </c>
      <c r="F389">
        <v>63</v>
      </c>
      <c r="G389">
        <v>44</v>
      </c>
      <c r="H389">
        <v>1</v>
      </c>
      <c r="I389">
        <v>0</v>
      </c>
      <c r="J389">
        <v>65.900000000000006</v>
      </c>
      <c r="K389">
        <v>6</v>
      </c>
      <c r="L389" t="str">
        <f>CONCATENATE(T_BATTINGDATA[[#This Row],[Match]],T_BATTINGDATA[[#This Row],[Team]],T_BATTINGDATA[[#This Row],[Bat Number]])</f>
        <v>45Pakistan6</v>
      </c>
      <c r="M389" t="str">
        <f>IFERROR(IF(AND(T_BATTINGDATA[[#This Row],[Team]]=I_TEAM,IFERROR(IF(MATCH(T_BATTINGDATA[[#This Row],[BATSMAN NAME]],$O$5:O388,0)&gt;0,0),1)),1,0),"")</f>
        <v/>
      </c>
      <c r="N389" t="e">
        <f>IF(T_BATTINGDATA[[#This Row],[Team]]=I_TEAM,T_BATTINGDATA[[#This Row],[R]],0)</f>
        <v>#REF!</v>
      </c>
      <c r="O389" t="str">
        <f>LEFT(T_BATTINGDATA[[#This Row],[Batsman]],IFERROR(FIND("*",T_BATTINGDATA[[#This Row],[Batsman]])-1,IFERROR(FIND("†",T_BATTINGDATA[[#This Row],[Batsman]])-1,LEN(T_BATTINGDATA[[#This Row],[Batsman]]))))</f>
        <v>Sohaib Maqsood</v>
      </c>
      <c r="P389">
        <f ca="1">IFERROR(IF(MATCH(T_BATTINGDATA[[#This Row],[BATSMAN NAME]],OFFSET(O390,0,0,BATROWS-ROW(O389)-ROW(T_BATTINGDATA[[#Headers],[BATSMAN NAME]])),0)&gt;0,0,SUMIF($O$6:O389,T_BATTINGDATA[[#This Row],[BATSMAN NAME]],$E$6:E389)),SUMIF($O$6:O389,T_BATTINGDATA[[#This Row],[BATSMAN NAME]],$E$6:E389))</f>
        <v>0</v>
      </c>
      <c r="AP389">
        <v>23</v>
      </c>
      <c r="AQ389" t="s">
        <v>153</v>
      </c>
      <c r="AR389" t="s">
        <v>186</v>
      </c>
      <c r="AS389">
        <v>10</v>
      </c>
      <c r="AT389">
        <v>0</v>
      </c>
      <c r="AU389">
        <v>45</v>
      </c>
      <c r="AV389">
        <v>0</v>
      </c>
      <c r="AW389">
        <v>4.5</v>
      </c>
      <c r="AX389">
        <v>36</v>
      </c>
      <c r="AY389">
        <v>6</v>
      </c>
      <c r="AZ389">
        <v>0</v>
      </c>
      <c r="BA389">
        <v>0</v>
      </c>
      <c r="BB389">
        <v>0</v>
      </c>
      <c r="BC389">
        <v>2</v>
      </c>
      <c r="BD389" t="str">
        <f>CONCATENATE(Table9[[#This Row],[Match Number]],Table9[[#This Row],[Team]],Table9[[#This Row],[BOWL NUM]])</f>
        <v>23Pakistan2</v>
      </c>
      <c r="BE389" t="str">
        <f>IFERROR(IF(AND(Table9[[#This Row],[Team]]=I_TEAM,IFERROR(IF(MATCH(Table9[[#This Row],[Bowler]],$AR$5:AR388,0)&gt;0,0),1)),1,0),"")</f>
        <v/>
      </c>
      <c r="BF38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8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389" t="e">
        <f>IF(Table9[[#This Row],[Team]]=I_TEAM,Table9[[#This Row],[Wickets]]*100-Table9[[#This Row],[Runs]],0)</f>
        <v>#REF!</v>
      </c>
      <c r="BI389">
        <f>Table9[[#This Row],[Wickets]]*100-Table9[[#This Row],[Runs]]</f>
        <v>-45</v>
      </c>
      <c r="BJ389">
        <f ca="1">IFERROR(IF(MATCH(Table9[[#This Row],[Bowler]],OFFSET(AR390,0,0,BOWLROWS-ROW(AR389)-ROW(Table9[[#Headers],[BOWLER CUML WICKETS]])),0)&gt;0,0,SUMIF($AR$6:AR389,Table9[[#This Row],[Bowler]],$AV$6:AV389)),SUMIF($AR$6:AR389,Table9[[#This Row],[Bowler]],$AV$6:AV389))</f>
        <v>0</v>
      </c>
      <c r="BK389">
        <f ca="1">IFERROR(IF(MATCH(Table9[[#This Row],[Bowler]],OFFSET(AR390,0,0,BOWLROWS-ROW(AR389)-ROW(Table9[[#Headers],[BOWLER CUML WICKETS]])),0)&gt;0,0,SUMIF($AR$6:AR389,Table9[[#This Row],[Bowler]],$AU$6:AU389)),SUMIF($AR$6:AR389,Table9[[#This Row],[Bowler]],$AU$6:AU389))</f>
        <v>0</v>
      </c>
      <c r="BL389">
        <f ca="1">Table9[[#This Row],[BOWLER CUML WICKETS]]*100-Table9[[#This Row],[BOWLER CUML RUNS]]</f>
        <v>0</v>
      </c>
    </row>
    <row r="390" spans="1:64" x14ac:dyDescent="0.3">
      <c r="A390">
        <v>45</v>
      </c>
      <c r="B390" t="s">
        <v>153</v>
      </c>
      <c r="C390" t="s">
        <v>188</v>
      </c>
      <c r="D390" t="s">
        <v>595</v>
      </c>
      <c r="E390">
        <v>23</v>
      </c>
      <c r="F390">
        <v>21</v>
      </c>
      <c r="G390">
        <v>15</v>
      </c>
      <c r="H390">
        <v>3</v>
      </c>
      <c r="I390">
        <v>1</v>
      </c>
      <c r="J390">
        <v>153.33000000000001</v>
      </c>
      <c r="K390">
        <v>7</v>
      </c>
      <c r="L390" t="str">
        <f>CONCATENATE(T_BATTINGDATA[[#This Row],[Match]],T_BATTINGDATA[[#This Row],[Team]],T_BATTINGDATA[[#This Row],[Bat Number]])</f>
        <v>45Pakistan7</v>
      </c>
      <c r="M390" t="str">
        <f>IFERROR(IF(AND(T_BATTINGDATA[[#This Row],[Team]]=I_TEAM,IFERROR(IF(MATCH(T_BATTINGDATA[[#This Row],[BATSMAN NAME]],$O$5:O389,0)&gt;0,0),1)),1,0),"")</f>
        <v/>
      </c>
      <c r="N390" t="e">
        <f>IF(T_BATTINGDATA[[#This Row],[Team]]=I_TEAM,T_BATTINGDATA[[#This Row],[R]],0)</f>
        <v>#REF!</v>
      </c>
      <c r="O390" t="str">
        <f>LEFT(T_BATTINGDATA[[#This Row],[Batsman]],IFERROR(FIND("*",T_BATTINGDATA[[#This Row],[Batsman]])-1,IFERROR(FIND("†",T_BATTINGDATA[[#This Row],[Batsman]])-1,LEN(T_BATTINGDATA[[#This Row],[Batsman]]))))</f>
        <v>Shahid Afridi</v>
      </c>
      <c r="P390">
        <f ca="1">IFERROR(IF(MATCH(T_BATTINGDATA[[#This Row],[BATSMAN NAME]],OFFSET(O391,0,0,BATROWS-ROW(O390)-ROW(T_BATTINGDATA[[#Headers],[BATSMAN NAME]])),0)&gt;0,0,SUMIF($O$6:O390,T_BATTINGDATA[[#This Row],[BATSMAN NAME]],$E$6:E390)),SUMIF($O$6:O390,T_BATTINGDATA[[#This Row],[BATSMAN NAME]],$E$6:E390))</f>
        <v>0</v>
      </c>
      <c r="AP390">
        <v>23</v>
      </c>
      <c r="AQ390" t="s">
        <v>153</v>
      </c>
      <c r="AR390" t="s">
        <v>512</v>
      </c>
      <c r="AS390">
        <v>10</v>
      </c>
      <c r="AT390">
        <v>0</v>
      </c>
      <c r="AU390">
        <v>37</v>
      </c>
      <c r="AV390">
        <v>1</v>
      </c>
      <c r="AW390">
        <v>3.7</v>
      </c>
      <c r="AX390">
        <v>38</v>
      </c>
      <c r="AY390">
        <v>2</v>
      </c>
      <c r="AZ390">
        <v>0</v>
      </c>
      <c r="BA390">
        <v>4</v>
      </c>
      <c r="BB390">
        <v>1</v>
      </c>
      <c r="BC390">
        <v>3</v>
      </c>
      <c r="BD390" t="str">
        <f>CONCATENATE(Table9[[#This Row],[Match Number]],Table9[[#This Row],[Team]],Table9[[#This Row],[BOWL NUM]])</f>
        <v>23Pakistan3</v>
      </c>
      <c r="BE390" t="str">
        <f>IFERROR(IF(AND(Table9[[#This Row],[Team]]=I_TEAM,IFERROR(IF(MATCH(Table9[[#This Row],[Bowler]],$AR$5:AR389,0)&gt;0,0),1)),1,0),"")</f>
        <v/>
      </c>
      <c r="BF39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9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390" t="e">
        <f>IF(Table9[[#This Row],[Team]]=I_TEAM,Table9[[#This Row],[Wickets]]*100-Table9[[#This Row],[Runs]],0)</f>
        <v>#REF!</v>
      </c>
      <c r="BI390">
        <f>Table9[[#This Row],[Wickets]]*100-Table9[[#This Row],[Runs]]</f>
        <v>63</v>
      </c>
      <c r="BJ390">
        <f ca="1">IFERROR(IF(MATCH(Table9[[#This Row],[Bowler]],OFFSET(AR391,0,0,BOWLROWS-ROW(AR390)-ROW(Table9[[#Headers],[BOWLER CUML WICKETS]])),0)&gt;0,0,SUMIF($AR$6:AR390,Table9[[#This Row],[Bowler]],$AV$6:AV390)),SUMIF($AR$6:AR390,Table9[[#This Row],[Bowler]],$AV$6:AV390))</f>
        <v>0</v>
      </c>
      <c r="BK390">
        <f ca="1">IFERROR(IF(MATCH(Table9[[#This Row],[Bowler]],OFFSET(AR391,0,0,BOWLROWS-ROW(AR390)-ROW(Table9[[#Headers],[BOWLER CUML WICKETS]])),0)&gt;0,0,SUMIF($AR$6:AR390,Table9[[#This Row],[Bowler]],$AU$6:AU390)),SUMIF($AR$6:AR390,Table9[[#This Row],[Bowler]],$AU$6:AU390))</f>
        <v>0</v>
      </c>
      <c r="BL390">
        <f ca="1">Table9[[#This Row],[BOWLER CUML WICKETS]]*100-Table9[[#This Row],[BOWLER CUML RUNS]]</f>
        <v>0</v>
      </c>
    </row>
    <row r="391" spans="1:64" x14ac:dyDescent="0.3">
      <c r="A391">
        <v>45</v>
      </c>
      <c r="B391" t="s">
        <v>153</v>
      </c>
      <c r="C391" t="s">
        <v>189</v>
      </c>
      <c r="D391" t="s">
        <v>585</v>
      </c>
      <c r="E391">
        <v>16</v>
      </c>
      <c r="F391">
        <v>35</v>
      </c>
      <c r="G391">
        <v>22</v>
      </c>
      <c r="H391">
        <v>2</v>
      </c>
      <c r="I391">
        <v>0</v>
      </c>
      <c r="J391">
        <v>72.72</v>
      </c>
      <c r="K391">
        <v>8</v>
      </c>
      <c r="L391" t="str">
        <f>CONCATENATE(T_BATTINGDATA[[#This Row],[Match]],T_BATTINGDATA[[#This Row],[Team]],T_BATTINGDATA[[#This Row],[Bat Number]])</f>
        <v>45Pakistan8</v>
      </c>
      <c r="M391" t="str">
        <f>IFERROR(IF(AND(T_BATTINGDATA[[#This Row],[Team]]=I_TEAM,IFERROR(IF(MATCH(T_BATTINGDATA[[#This Row],[BATSMAN NAME]],$O$5:O390,0)&gt;0,0),1)),1,0),"")</f>
        <v/>
      </c>
      <c r="N391" t="e">
        <f>IF(T_BATTINGDATA[[#This Row],[Team]]=I_TEAM,T_BATTINGDATA[[#This Row],[R]],0)</f>
        <v>#REF!</v>
      </c>
      <c r="O391" t="str">
        <f>LEFT(T_BATTINGDATA[[#This Row],[Batsman]],IFERROR(FIND("*",T_BATTINGDATA[[#This Row],[Batsman]])-1,IFERROR(FIND("†",T_BATTINGDATA[[#This Row],[Batsman]])-1,LEN(T_BATTINGDATA[[#This Row],[Batsman]]))))</f>
        <v>Wahab Riaz</v>
      </c>
      <c r="P391">
        <f ca="1">IFERROR(IF(MATCH(T_BATTINGDATA[[#This Row],[BATSMAN NAME]],OFFSET(O392,0,0,BATROWS-ROW(O391)-ROW(T_BATTINGDATA[[#Headers],[BATSMAN NAME]])),0)&gt;0,0,SUMIF($O$6:O391,T_BATTINGDATA[[#This Row],[BATSMAN NAME]],$E$6:E391)),SUMIF($O$6:O391,T_BATTINGDATA[[#This Row],[BATSMAN NAME]],$E$6:E391))</f>
        <v>0</v>
      </c>
      <c r="AP391">
        <v>23</v>
      </c>
      <c r="AQ391" t="s">
        <v>153</v>
      </c>
      <c r="AR391" t="s">
        <v>189</v>
      </c>
      <c r="AS391">
        <v>9.4</v>
      </c>
      <c r="AT391">
        <v>1</v>
      </c>
      <c r="AU391">
        <v>45</v>
      </c>
      <c r="AV391">
        <v>4</v>
      </c>
      <c r="AW391">
        <v>4.6500000000000004</v>
      </c>
      <c r="AX391">
        <v>39</v>
      </c>
      <c r="AY391">
        <v>4</v>
      </c>
      <c r="AZ391">
        <v>0</v>
      </c>
      <c r="BA391">
        <v>2</v>
      </c>
      <c r="BB391">
        <v>0</v>
      </c>
      <c r="BC391">
        <v>4</v>
      </c>
      <c r="BD391" t="str">
        <f>CONCATENATE(Table9[[#This Row],[Match Number]],Table9[[#This Row],[Team]],Table9[[#This Row],[BOWL NUM]])</f>
        <v>23Pakistan4</v>
      </c>
      <c r="BE391" t="str">
        <f>IFERROR(IF(AND(Table9[[#This Row],[Team]]=I_TEAM,IFERROR(IF(MATCH(Table9[[#This Row],[Bowler]],$AR$5:AR390,0)&gt;0,0),1)),1,0),"")</f>
        <v/>
      </c>
      <c r="BF391">
        <f>(LEFT(Table9[[#This Row],[Overs]],IFERROR(FIND(".",Table9[[#This Row],[Overs]])-1,LEN(Table9[[#This Row],[Overs]])))*6) + IFERROR(IF(FIND(".",Table9[[#This Row],[Overs]])+1&gt;0,RIGHT(Table9[[#This Row],[Overs]],1),0),0)</f>
        <v>58</v>
      </c>
      <c r="BG39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391" t="e">
        <f>IF(Table9[[#This Row],[Team]]=I_TEAM,Table9[[#This Row],[Wickets]]*100-Table9[[#This Row],[Runs]],0)</f>
        <v>#REF!</v>
      </c>
      <c r="BI391">
        <f>Table9[[#This Row],[Wickets]]*100-Table9[[#This Row],[Runs]]</f>
        <v>355</v>
      </c>
      <c r="BJ391">
        <f ca="1">IFERROR(IF(MATCH(Table9[[#This Row],[Bowler]],OFFSET(AR392,0,0,BOWLROWS-ROW(AR391)-ROW(Table9[[#Headers],[BOWLER CUML WICKETS]])),0)&gt;0,0,SUMIF($AR$6:AR391,Table9[[#This Row],[Bowler]],$AV$6:AV391)),SUMIF($AR$6:AR391,Table9[[#This Row],[Bowler]],$AV$6:AV391))</f>
        <v>0</v>
      </c>
      <c r="BK391">
        <f ca="1">IFERROR(IF(MATCH(Table9[[#This Row],[Bowler]],OFFSET(AR392,0,0,BOWLROWS-ROW(AR391)-ROW(Table9[[#Headers],[BOWLER CUML WICKETS]])),0)&gt;0,0,SUMIF($AR$6:AR391,Table9[[#This Row],[Bowler]],$AU$6:AU391)),SUMIF($AR$6:AR391,Table9[[#This Row],[Bowler]],$AU$6:AU391))</f>
        <v>0</v>
      </c>
      <c r="BL391">
        <f ca="1">Table9[[#This Row],[BOWLER CUML WICKETS]]*100-Table9[[#This Row],[BOWLER CUML RUNS]]</f>
        <v>0</v>
      </c>
    </row>
    <row r="392" spans="1:64" x14ac:dyDescent="0.3">
      <c r="A392">
        <v>45</v>
      </c>
      <c r="B392" t="s">
        <v>153</v>
      </c>
      <c r="C392" t="s">
        <v>511</v>
      </c>
      <c r="D392" t="s">
        <v>596</v>
      </c>
      <c r="E392">
        <v>15</v>
      </c>
      <c r="F392">
        <v>32</v>
      </c>
      <c r="G392">
        <v>22</v>
      </c>
      <c r="H392">
        <v>1</v>
      </c>
      <c r="I392">
        <v>0</v>
      </c>
      <c r="J392">
        <v>68.180000000000007</v>
      </c>
      <c r="K392">
        <v>9</v>
      </c>
      <c r="L392" t="str">
        <f>CONCATENATE(T_BATTINGDATA[[#This Row],[Match]],T_BATTINGDATA[[#This Row],[Team]],T_BATTINGDATA[[#This Row],[Bat Number]])</f>
        <v>45Pakistan9</v>
      </c>
      <c r="M392" t="str">
        <f>IFERROR(IF(AND(T_BATTINGDATA[[#This Row],[Team]]=I_TEAM,IFERROR(IF(MATCH(T_BATTINGDATA[[#This Row],[BATSMAN NAME]],$O$5:O391,0)&gt;0,0),1)),1,0),"")</f>
        <v/>
      </c>
      <c r="N392" t="e">
        <f>IF(T_BATTINGDATA[[#This Row],[Team]]=I_TEAM,T_BATTINGDATA[[#This Row],[R]],0)</f>
        <v>#REF!</v>
      </c>
      <c r="O392" t="str">
        <f>LEFT(T_BATTINGDATA[[#This Row],[Batsman]],IFERROR(FIND("*",T_BATTINGDATA[[#This Row],[Batsman]])-1,IFERROR(FIND("†",T_BATTINGDATA[[#This Row],[Batsman]])-1,LEN(T_BATTINGDATA[[#This Row],[Batsman]]))))</f>
        <v>Ehsan Adil</v>
      </c>
      <c r="P392">
        <f ca="1">IFERROR(IF(MATCH(T_BATTINGDATA[[#This Row],[BATSMAN NAME]],OFFSET(O393,0,0,BATROWS-ROW(O392)-ROW(T_BATTINGDATA[[#Headers],[BATSMAN NAME]])),0)&gt;0,0,SUMIF($O$6:O392,T_BATTINGDATA[[#This Row],[BATSMAN NAME]],$E$6:E392)),SUMIF($O$6:O392,T_BATTINGDATA[[#This Row],[BATSMAN NAME]],$E$6:E392))</f>
        <v>15</v>
      </c>
      <c r="AP392">
        <v>23</v>
      </c>
      <c r="AQ392" t="s">
        <v>153</v>
      </c>
      <c r="AR392" t="s">
        <v>188</v>
      </c>
      <c r="AS392">
        <v>10</v>
      </c>
      <c r="AT392">
        <v>1</v>
      </c>
      <c r="AU392">
        <v>53</v>
      </c>
      <c r="AV392">
        <v>0</v>
      </c>
      <c r="AW392">
        <v>5.3</v>
      </c>
      <c r="AX392">
        <v>31</v>
      </c>
      <c r="AY392">
        <v>5</v>
      </c>
      <c r="AZ392">
        <v>0</v>
      </c>
      <c r="BA392">
        <v>0</v>
      </c>
      <c r="BB392">
        <v>0</v>
      </c>
      <c r="BC392">
        <v>5</v>
      </c>
      <c r="BD392" t="str">
        <f>CONCATENATE(Table9[[#This Row],[Match Number]],Table9[[#This Row],[Team]],Table9[[#This Row],[BOWL NUM]])</f>
        <v>23Pakistan5</v>
      </c>
      <c r="BE392" t="str">
        <f>IFERROR(IF(AND(Table9[[#This Row],[Team]]=I_TEAM,IFERROR(IF(MATCH(Table9[[#This Row],[Bowler]],$AR$5:AR391,0)&gt;0,0),1)),1,0),"")</f>
        <v/>
      </c>
      <c r="BF39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9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392" t="e">
        <f>IF(Table9[[#This Row],[Team]]=I_TEAM,Table9[[#This Row],[Wickets]]*100-Table9[[#This Row],[Runs]],0)</f>
        <v>#REF!</v>
      </c>
      <c r="BI392">
        <f>Table9[[#This Row],[Wickets]]*100-Table9[[#This Row],[Runs]]</f>
        <v>-53</v>
      </c>
      <c r="BJ392">
        <f ca="1">IFERROR(IF(MATCH(Table9[[#This Row],[Bowler]],OFFSET(AR393,0,0,BOWLROWS-ROW(AR392)-ROW(Table9[[#Headers],[BOWLER CUML WICKETS]])),0)&gt;0,0,SUMIF($AR$6:AR590,Table9[[#This Row],[Bowler]],$AV$6:AV590)),SUMIF($AR$6:AR590,Table9[[#This Row],[Bowler]],$AV$6:AV590))</f>
        <v>0</v>
      </c>
      <c r="BK392">
        <f ca="1">IFERROR(IF(MATCH(Table9[[#This Row],[Bowler]],OFFSET(AR393,0,0,BOWLROWS-ROW(AR392)-ROW(Table9[[#Headers],[BOWLER CUML WICKETS]])),0)&gt;0,0,SUMIF($AR$6:AR590,Table9[[#This Row],[Bowler]],$AU$6:AU590)),SUMIF($AR$6:AR590,Table9[[#This Row],[Bowler]],$AU$6:AU590))</f>
        <v>0</v>
      </c>
      <c r="BL392">
        <f ca="1">Table9[[#This Row],[BOWLER CUML WICKETS]]*100-Table9[[#This Row],[BOWLER CUML RUNS]]</f>
        <v>0</v>
      </c>
    </row>
    <row r="393" spans="1:64" x14ac:dyDescent="0.3">
      <c r="A393">
        <v>45</v>
      </c>
      <c r="B393" t="s">
        <v>153</v>
      </c>
      <c r="C393" t="s">
        <v>186</v>
      </c>
      <c r="D393" t="s">
        <v>597</v>
      </c>
      <c r="E393">
        <v>4</v>
      </c>
      <c r="F393">
        <v>7</v>
      </c>
      <c r="G393">
        <v>5</v>
      </c>
      <c r="H393">
        <v>0</v>
      </c>
      <c r="I393">
        <v>0</v>
      </c>
      <c r="J393">
        <v>80</v>
      </c>
      <c r="K393">
        <v>10</v>
      </c>
      <c r="L393" t="str">
        <f>CONCATENATE(T_BATTINGDATA[[#This Row],[Match]],T_BATTINGDATA[[#This Row],[Team]],T_BATTINGDATA[[#This Row],[Bat Number]])</f>
        <v>45Pakistan10</v>
      </c>
      <c r="M393" t="str">
        <f>IFERROR(IF(AND(T_BATTINGDATA[[#This Row],[Team]]=I_TEAM,IFERROR(IF(MATCH(T_BATTINGDATA[[#This Row],[BATSMAN NAME]],$O$5:O392,0)&gt;0,0),1)),1,0),"")</f>
        <v/>
      </c>
      <c r="N393" t="e">
        <f>IF(T_BATTINGDATA[[#This Row],[Team]]=I_TEAM,T_BATTINGDATA[[#This Row],[R]],0)</f>
        <v>#REF!</v>
      </c>
      <c r="O393" t="str">
        <f>LEFT(T_BATTINGDATA[[#This Row],[Batsman]],IFERROR(FIND("*",T_BATTINGDATA[[#This Row],[Batsman]])-1,IFERROR(FIND("†",T_BATTINGDATA[[#This Row],[Batsman]])-1,LEN(T_BATTINGDATA[[#This Row],[Batsman]]))))</f>
        <v>Sohail Khan</v>
      </c>
      <c r="P393">
        <f ca="1">IFERROR(IF(MATCH(T_BATTINGDATA[[#This Row],[BATSMAN NAME]],OFFSET(O394,0,0,BATROWS-ROW(O393)-ROW(T_BATTINGDATA[[#Headers],[BATSMAN NAME]])),0)&gt;0,0,SUMIF($O$6:O393,T_BATTINGDATA[[#This Row],[BATSMAN NAME]],$E$6:E393)),SUMIF($O$6:O393,T_BATTINGDATA[[#This Row],[BATSMAN NAME]],$E$6:E393))</f>
        <v>0</v>
      </c>
      <c r="AP393">
        <v>24</v>
      </c>
      <c r="AQ393" t="s">
        <v>169</v>
      </c>
      <c r="AR393" t="s">
        <v>242</v>
      </c>
      <c r="AS393">
        <v>7</v>
      </c>
      <c r="AT393">
        <v>2</v>
      </c>
      <c r="AU393">
        <v>52</v>
      </c>
      <c r="AV393">
        <v>1</v>
      </c>
      <c r="AW393">
        <v>7.42</v>
      </c>
      <c r="AX393">
        <v>25</v>
      </c>
      <c r="AY393">
        <v>3</v>
      </c>
      <c r="AZ393">
        <v>3</v>
      </c>
      <c r="BA393">
        <v>1</v>
      </c>
      <c r="BB393">
        <v>2</v>
      </c>
      <c r="BC393">
        <v>1</v>
      </c>
      <c r="BD393" t="str">
        <f>CONCATENATE(Table9[[#This Row],[Match Number]],Table9[[#This Row],[Team]],Table9[[#This Row],[BOWL NUM]])</f>
        <v>24Ireland1</v>
      </c>
      <c r="BE393" t="str">
        <f>IFERROR(IF(AND(Table9[[#This Row],[Team]]=I_TEAM,IFERROR(IF(MATCH(Table9[[#This Row],[Bowler]],$AR$5:AR392,0)&gt;0,0),1)),1,0),"")</f>
        <v/>
      </c>
      <c r="BF393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39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93" t="e">
        <f>IF(Table9[[#This Row],[Team]]=I_TEAM,Table9[[#This Row],[Wickets]]*100-Table9[[#This Row],[Runs]],0)</f>
        <v>#REF!</v>
      </c>
      <c r="BI393">
        <f>Table9[[#This Row],[Wickets]]*100-Table9[[#This Row],[Runs]]</f>
        <v>48</v>
      </c>
      <c r="BJ393">
        <f ca="1">IFERROR(IF(MATCH(Table9[[#This Row],[Bowler]],OFFSET(AR394,0,0,BOWLROWS-ROW(AR393)-ROW(Table9[[#Headers],[BOWLER CUML WICKETS]])),0)&gt;0,0,SUMIF($AR$6:AR393,Table9[[#This Row],[Bowler]],$AV$6:AV393)),SUMIF($AR$6:AR393,Table9[[#This Row],[Bowler]],$AV$6:AV393))</f>
        <v>0</v>
      </c>
      <c r="BK393">
        <f ca="1">IFERROR(IF(MATCH(Table9[[#This Row],[Bowler]],OFFSET(AR394,0,0,BOWLROWS-ROW(AR393)-ROW(Table9[[#Headers],[BOWLER CUML WICKETS]])),0)&gt;0,0,SUMIF($AR$6:AR393,Table9[[#This Row],[Bowler]],$AU$6:AU393)),SUMIF($AR$6:AR393,Table9[[#This Row],[Bowler]],$AU$6:AU393))</f>
        <v>0</v>
      </c>
      <c r="BL393">
        <f ca="1">Table9[[#This Row],[BOWLER CUML WICKETS]]*100-Table9[[#This Row],[BOWLER CUML RUNS]]</f>
        <v>0</v>
      </c>
    </row>
    <row r="394" spans="1:64" x14ac:dyDescent="0.3">
      <c r="A394">
        <v>45</v>
      </c>
      <c r="B394" t="s">
        <v>153</v>
      </c>
      <c r="C394" t="s">
        <v>512</v>
      </c>
      <c r="D394" t="s">
        <v>167</v>
      </c>
      <c r="E394">
        <v>6</v>
      </c>
      <c r="F394">
        <v>20</v>
      </c>
      <c r="G394">
        <v>21</v>
      </c>
      <c r="H394">
        <v>0</v>
      </c>
      <c r="I394">
        <v>0</v>
      </c>
      <c r="J394">
        <v>28.57</v>
      </c>
      <c r="K394">
        <v>11</v>
      </c>
      <c r="L394" t="str">
        <f>CONCATENATE(T_BATTINGDATA[[#This Row],[Match]],T_BATTINGDATA[[#This Row],[Team]],T_BATTINGDATA[[#This Row],[Bat Number]])</f>
        <v>45Pakistan11</v>
      </c>
      <c r="M394" t="str">
        <f>IFERROR(IF(AND(T_BATTINGDATA[[#This Row],[Team]]=I_TEAM,IFERROR(IF(MATCH(T_BATTINGDATA[[#This Row],[BATSMAN NAME]],$O$5:O393,0)&gt;0,0),1)),1,0),"")</f>
        <v/>
      </c>
      <c r="N394" t="e">
        <f>IF(T_BATTINGDATA[[#This Row],[Team]]=I_TEAM,T_BATTINGDATA[[#This Row],[R]],0)</f>
        <v>#REF!</v>
      </c>
      <c r="O394" t="str">
        <f>LEFT(T_BATTINGDATA[[#This Row],[Batsman]],IFERROR(FIND("*",T_BATTINGDATA[[#This Row],[Batsman]])-1,IFERROR(FIND("†",T_BATTINGDATA[[#This Row],[Batsman]])-1,LEN(T_BATTINGDATA[[#This Row],[Batsman]]))))</f>
        <v>Rahat Ali</v>
      </c>
      <c r="P394">
        <f ca="1">IFERROR(IF(MATCH(T_BATTINGDATA[[#This Row],[BATSMAN NAME]],OFFSET(O395,0,0,BATROWS-ROW(O394)-ROW(T_BATTINGDATA[[#Headers],[BATSMAN NAME]])),0)&gt;0,0,SUMIF($O$6:O394,T_BATTINGDATA[[#This Row],[BATSMAN NAME]],$E$6:E394)),SUMIF($O$6:O394,T_BATTINGDATA[[#This Row],[BATSMAN NAME]],$E$6:E394))</f>
        <v>0</v>
      </c>
      <c r="AP394">
        <v>24</v>
      </c>
      <c r="AQ394" t="s">
        <v>169</v>
      </c>
      <c r="AR394" t="s">
        <v>351</v>
      </c>
      <c r="AS394">
        <v>6</v>
      </c>
      <c r="AT394">
        <v>0</v>
      </c>
      <c r="AU394">
        <v>76</v>
      </c>
      <c r="AV394">
        <v>0</v>
      </c>
      <c r="AW394">
        <v>12.66</v>
      </c>
      <c r="AX394">
        <v>13</v>
      </c>
      <c r="AY394">
        <v>8</v>
      </c>
      <c r="AZ394">
        <v>4</v>
      </c>
      <c r="BA394">
        <v>6</v>
      </c>
      <c r="BB394">
        <v>1</v>
      </c>
      <c r="BC394">
        <v>2</v>
      </c>
      <c r="BD394" t="str">
        <f>CONCATENATE(Table9[[#This Row],[Match Number]],Table9[[#This Row],[Team]],Table9[[#This Row],[BOWL NUM]])</f>
        <v>24Ireland2</v>
      </c>
      <c r="BE394" t="str">
        <f>IFERROR(IF(AND(Table9[[#This Row],[Team]]=I_TEAM,IFERROR(IF(MATCH(Table9[[#This Row],[Bowler]],$AR$5:AR393,0)&gt;0,0),1)),1,0),"")</f>
        <v/>
      </c>
      <c r="BF394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39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94" t="e">
        <f>IF(Table9[[#This Row],[Team]]=I_TEAM,Table9[[#This Row],[Wickets]]*100-Table9[[#This Row],[Runs]],0)</f>
        <v>#REF!</v>
      </c>
      <c r="BI394">
        <f>Table9[[#This Row],[Wickets]]*100-Table9[[#This Row],[Runs]]</f>
        <v>-76</v>
      </c>
      <c r="BJ394">
        <f ca="1">IFERROR(IF(MATCH(Table9[[#This Row],[Bowler]],OFFSET(AR395,0,0,BOWLROWS-ROW(AR394)-ROW(Table9[[#Headers],[BOWLER CUML WICKETS]])),0)&gt;0,0,SUMIF($AR$6:AR394,Table9[[#This Row],[Bowler]],$AV$6:AV394)),SUMIF($AR$6:AR394,Table9[[#This Row],[Bowler]],$AV$6:AV394))</f>
        <v>3</v>
      </c>
      <c r="BK394">
        <f ca="1">IFERROR(IF(MATCH(Table9[[#This Row],[Bowler]],OFFSET(AR395,0,0,BOWLROWS-ROW(AR394)-ROW(Table9[[#Headers],[BOWLER CUML WICKETS]])),0)&gt;0,0,SUMIF($AR$6:AR394,Table9[[#This Row],[Bowler]],$AU$6:AU394)),SUMIF($AR$6:AR394,Table9[[#This Row],[Bowler]],$AU$6:AU394))</f>
        <v>200</v>
      </c>
      <c r="BL394">
        <f ca="1">Table9[[#This Row],[BOWLER CUML WICKETS]]*100-Table9[[#This Row],[BOWLER CUML RUNS]]</f>
        <v>100</v>
      </c>
    </row>
    <row r="395" spans="1:64" x14ac:dyDescent="0.3">
      <c r="A395">
        <v>45</v>
      </c>
      <c r="B395" t="s">
        <v>149</v>
      </c>
      <c r="C395" t="s">
        <v>376</v>
      </c>
      <c r="D395" t="s">
        <v>598</v>
      </c>
      <c r="E395">
        <v>24</v>
      </c>
      <c r="F395">
        <v>41</v>
      </c>
      <c r="G395">
        <v>23</v>
      </c>
      <c r="H395">
        <v>3</v>
      </c>
      <c r="I395">
        <v>0</v>
      </c>
      <c r="J395">
        <v>104.34</v>
      </c>
      <c r="K395">
        <v>1</v>
      </c>
      <c r="L395" t="str">
        <f>CONCATENATE(T_BATTINGDATA[[#This Row],[Match]],T_BATTINGDATA[[#This Row],[Team]],T_BATTINGDATA[[#This Row],[Bat Number]])</f>
        <v>45Australia1</v>
      </c>
      <c r="M395" t="str">
        <f>IFERROR(IF(AND(T_BATTINGDATA[[#This Row],[Team]]=I_TEAM,IFERROR(IF(MATCH(T_BATTINGDATA[[#This Row],[BATSMAN NAME]],$O$5:O394,0)&gt;0,0),1)),1,0),"")</f>
        <v/>
      </c>
      <c r="N395" t="e">
        <f>IF(T_BATTINGDATA[[#This Row],[Team]]=I_TEAM,T_BATTINGDATA[[#This Row],[R]],0)</f>
        <v>#REF!</v>
      </c>
      <c r="O395" t="str">
        <f>LEFT(T_BATTINGDATA[[#This Row],[Batsman]],IFERROR(FIND("*",T_BATTINGDATA[[#This Row],[Batsman]])-1,IFERROR(FIND("†",T_BATTINGDATA[[#This Row],[Batsman]])-1,LEN(T_BATTINGDATA[[#This Row],[Batsman]]))))</f>
        <v>DA Warner</v>
      </c>
      <c r="P395">
        <f ca="1">IFERROR(IF(MATCH(T_BATTINGDATA[[#This Row],[BATSMAN NAME]],OFFSET(O396,0,0,BATROWS-ROW(O395)-ROW(T_BATTINGDATA[[#Headers],[BATSMAN NAME]])),0)&gt;0,0,SUMIF($O$6:O395,T_BATTINGDATA[[#This Row],[BATSMAN NAME]],$E$6:E395)),SUMIF($O$6:O395,T_BATTINGDATA[[#This Row],[BATSMAN NAME]],$E$6:E395))</f>
        <v>0</v>
      </c>
      <c r="AP395">
        <v>24</v>
      </c>
      <c r="AQ395" t="s">
        <v>169</v>
      </c>
      <c r="AR395" t="s">
        <v>251</v>
      </c>
      <c r="AS395">
        <v>7</v>
      </c>
      <c r="AT395">
        <v>0</v>
      </c>
      <c r="AU395">
        <v>95</v>
      </c>
      <c r="AV395">
        <v>1</v>
      </c>
      <c r="AW395">
        <v>13.57</v>
      </c>
      <c r="AX395">
        <v>7</v>
      </c>
      <c r="AY395">
        <v>12</v>
      </c>
      <c r="AZ395">
        <v>3</v>
      </c>
      <c r="BA395">
        <v>0</v>
      </c>
      <c r="BB395">
        <v>0</v>
      </c>
      <c r="BC395">
        <v>3</v>
      </c>
      <c r="BD395" t="str">
        <f>CONCATENATE(Table9[[#This Row],[Match Number]],Table9[[#This Row],[Team]],Table9[[#This Row],[BOWL NUM]])</f>
        <v>24Ireland3</v>
      </c>
      <c r="BE395" t="str">
        <f>IFERROR(IF(AND(Table9[[#This Row],[Team]]=I_TEAM,IFERROR(IF(MATCH(Table9[[#This Row],[Bowler]],$AR$5:AR394,0)&gt;0,0),1)),1,0),"")</f>
        <v/>
      </c>
      <c r="BF395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39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95" t="e">
        <f>IF(Table9[[#This Row],[Team]]=I_TEAM,Table9[[#This Row],[Wickets]]*100-Table9[[#This Row],[Runs]],0)</f>
        <v>#REF!</v>
      </c>
      <c r="BI395">
        <f>Table9[[#This Row],[Wickets]]*100-Table9[[#This Row],[Runs]]</f>
        <v>5</v>
      </c>
      <c r="BJ395">
        <f ca="1">IFERROR(IF(MATCH(Table9[[#This Row],[Bowler]],OFFSET(AR396,0,0,BOWLROWS-ROW(AR395)-ROW(Table9[[#Headers],[BOWLER CUML WICKETS]])),0)&gt;0,0,SUMIF($AR$6:AR395,Table9[[#This Row],[Bowler]],$AV$6:AV395)),SUMIF($AR$6:AR395,Table9[[#This Row],[Bowler]],$AV$6:AV395))</f>
        <v>0</v>
      </c>
      <c r="BK395">
        <f ca="1">IFERROR(IF(MATCH(Table9[[#This Row],[Bowler]],OFFSET(AR396,0,0,BOWLROWS-ROW(AR395)-ROW(Table9[[#Headers],[BOWLER CUML WICKETS]])),0)&gt;0,0,SUMIF($AR$6:AR395,Table9[[#This Row],[Bowler]],$AU$6:AU395)),SUMIF($AR$6:AR395,Table9[[#This Row],[Bowler]],$AU$6:AU395))</f>
        <v>0</v>
      </c>
      <c r="BL395">
        <f ca="1">Table9[[#This Row],[BOWLER CUML WICKETS]]*100-Table9[[#This Row],[BOWLER CUML RUNS]]</f>
        <v>0</v>
      </c>
    </row>
    <row r="396" spans="1:64" x14ac:dyDescent="0.3">
      <c r="A396">
        <v>45</v>
      </c>
      <c r="B396" t="s">
        <v>149</v>
      </c>
      <c r="C396" t="s">
        <v>378</v>
      </c>
      <c r="D396" t="s">
        <v>599</v>
      </c>
      <c r="E396">
        <v>2</v>
      </c>
      <c r="F396">
        <v>11</v>
      </c>
      <c r="G396">
        <v>5</v>
      </c>
      <c r="H396">
        <v>0</v>
      </c>
      <c r="I396">
        <v>0</v>
      </c>
      <c r="J396">
        <v>40</v>
      </c>
      <c r="K396">
        <v>2</v>
      </c>
      <c r="L396" t="str">
        <f>CONCATENATE(T_BATTINGDATA[[#This Row],[Match]],T_BATTINGDATA[[#This Row],[Team]],T_BATTINGDATA[[#This Row],[Bat Number]])</f>
        <v>45Australia2</v>
      </c>
      <c r="M396" t="str">
        <f>IFERROR(IF(AND(T_BATTINGDATA[[#This Row],[Team]]=I_TEAM,IFERROR(IF(MATCH(T_BATTINGDATA[[#This Row],[BATSMAN NAME]],$O$5:O395,0)&gt;0,0),1)),1,0),"")</f>
        <v/>
      </c>
      <c r="N396" t="e">
        <f>IF(T_BATTINGDATA[[#This Row],[Team]]=I_TEAM,T_BATTINGDATA[[#This Row],[R]],0)</f>
        <v>#REF!</v>
      </c>
      <c r="O396" t="str">
        <f>LEFT(T_BATTINGDATA[[#This Row],[Batsman]],IFERROR(FIND("*",T_BATTINGDATA[[#This Row],[Batsman]])-1,IFERROR(FIND("†",T_BATTINGDATA[[#This Row],[Batsman]])-1,LEN(T_BATTINGDATA[[#This Row],[Batsman]]))))</f>
        <v>AJ Finch</v>
      </c>
      <c r="P396">
        <f ca="1">IFERROR(IF(MATCH(T_BATTINGDATA[[#This Row],[BATSMAN NAME]],OFFSET(O397,0,0,BATROWS-ROW(O396)-ROW(T_BATTINGDATA[[#Headers],[BATSMAN NAME]])),0)&gt;0,0,SUMIF($O$6:O396,T_BATTINGDATA[[#This Row],[BATSMAN NAME]],$E$6:E396)),SUMIF($O$6:O396,T_BATTINGDATA[[#This Row],[BATSMAN NAME]],$E$6:E396))</f>
        <v>0</v>
      </c>
      <c r="AP396">
        <v>24</v>
      </c>
      <c r="AQ396" t="s">
        <v>169</v>
      </c>
      <c r="AR396" t="s">
        <v>246</v>
      </c>
      <c r="AS396">
        <v>10</v>
      </c>
      <c r="AT396">
        <v>0</v>
      </c>
      <c r="AU396">
        <v>56</v>
      </c>
      <c r="AV396">
        <v>0</v>
      </c>
      <c r="AW396">
        <v>5.6</v>
      </c>
      <c r="AX396">
        <v>27</v>
      </c>
      <c r="AY396">
        <v>5</v>
      </c>
      <c r="AZ396">
        <v>1</v>
      </c>
      <c r="BA396">
        <v>0</v>
      </c>
      <c r="BB396">
        <v>0</v>
      </c>
      <c r="BC396">
        <v>4</v>
      </c>
      <c r="BD396" t="str">
        <f>CONCATENATE(Table9[[#This Row],[Match Number]],Table9[[#This Row],[Team]],Table9[[#This Row],[BOWL NUM]])</f>
        <v>24Ireland4</v>
      </c>
      <c r="BE396" t="str">
        <f>IFERROR(IF(AND(Table9[[#This Row],[Team]]=I_TEAM,IFERROR(IF(MATCH(Table9[[#This Row],[Bowler]],$AR$5:AR395,0)&gt;0,0),1)),1,0),"")</f>
        <v/>
      </c>
      <c r="BF39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9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96" t="e">
        <f>IF(Table9[[#This Row],[Team]]=I_TEAM,Table9[[#This Row],[Wickets]]*100-Table9[[#This Row],[Runs]],0)</f>
        <v>#REF!</v>
      </c>
      <c r="BI396">
        <f>Table9[[#This Row],[Wickets]]*100-Table9[[#This Row],[Runs]]</f>
        <v>-56</v>
      </c>
      <c r="BJ396">
        <f ca="1">IFERROR(IF(MATCH(Table9[[#This Row],[Bowler]],OFFSET(AR397,0,0,BOWLROWS-ROW(AR396)-ROW(Table9[[#Headers],[BOWLER CUML WICKETS]])),0)&gt;0,0,SUMIF($AR$6:AR396,Table9[[#This Row],[Bowler]],$AV$6:AV396)),SUMIF($AR$6:AR396,Table9[[#This Row],[Bowler]],$AV$6:AV396))</f>
        <v>0</v>
      </c>
      <c r="BK396">
        <f ca="1">IFERROR(IF(MATCH(Table9[[#This Row],[Bowler]],OFFSET(AR397,0,0,BOWLROWS-ROW(AR396)-ROW(Table9[[#Headers],[BOWLER CUML WICKETS]])),0)&gt;0,0,SUMIF($AR$6:AR396,Table9[[#This Row],[Bowler]],$AU$6:AU396)),SUMIF($AR$6:AR396,Table9[[#This Row],[Bowler]],$AU$6:AU396))</f>
        <v>0</v>
      </c>
      <c r="BL396">
        <f ca="1">Table9[[#This Row],[BOWLER CUML WICKETS]]*100-Table9[[#This Row],[BOWLER CUML RUNS]]</f>
        <v>0</v>
      </c>
    </row>
    <row r="397" spans="1:64" x14ac:dyDescent="0.3">
      <c r="A397">
        <v>45</v>
      </c>
      <c r="B397" t="s">
        <v>149</v>
      </c>
      <c r="C397" t="s">
        <v>331</v>
      </c>
      <c r="D397" t="s">
        <v>600</v>
      </c>
      <c r="E397">
        <v>65</v>
      </c>
      <c r="F397">
        <v>115</v>
      </c>
      <c r="G397">
        <v>69</v>
      </c>
      <c r="H397">
        <v>7</v>
      </c>
      <c r="I397">
        <v>0</v>
      </c>
      <c r="J397">
        <v>94.2</v>
      </c>
      <c r="K397">
        <v>3</v>
      </c>
      <c r="L397" t="str">
        <f>CONCATENATE(T_BATTINGDATA[[#This Row],[Match]],T_BATTINGDATA[[#This Row],[Team]],T_BATTINGDATA[[#This Row],[Bat Number]])</f>
        <v>45Australia3</v>
      </c>
      <c r="M397" t="str">
        <f>IFERROR(IF(AND(T_BATTINGDATA[[#This Row],[Team]]=I_TEAM,IFERROR(IF(MATCH(T_BATTINGDATA[[#This Row],[BATSMAN NAME]],$O$5:O396,0)&gt;0,0),1)),1,0),"")</f>
        <v/>
      </c>
      <c r="N397" t="e">
        <f>IF(T_BATTINGDATA[[#This Row],[Team]]=I_TEAM,T_BATTINGDATA[[#This Row],[R]],0)</f>
        <v>#REF!</v>
      </c>
      <c r="O397" t="str">
        <f>LEFT(T_BATTINGDATA[[#This Row],[Batsman]],IFERROR(FIND("*",T_BATTINGDATA[[#This Row],[Batsman]])-1,IFERROR(FIND("†",T_BATTINGDATA[[#This Row],[Batsman]])-1,LEN(T_BATTINGDATA[[#This Row],[Batsman]]))))</f>
        <v>SPD Smith</v>
      </c>
      <c r="P397">
        <f ca="1">IFERROR(IF(MATCH(T_BATTINGDATA[[#This Row],[BATSMAN NAME]],OFFSET(O398,0,0,BATROWS-ROW(O397)-ROW(T_BATTINGDATA[[#Headers],[BATSMAN NAME]])),0)&gt;0,0,SUMIF($O$6:O397,T_BATTINGDATA[[#This Row],[BATSMAN NAME]],$E$6:E397)),SUMIF($O$6:O397,T_BATTINGDATA[[#This Row],[BATSMAN NAME]],$E$6:E397))</f>
        <v>0</v>
      </c>
      <c r="AP397">
        <v>24</v>
      </c>
      <c r="AQ397" t="s">
        <v>169</v>
      </c>
      <c r="AR397" t="s">
        <v>249</v>
      </c>
      <c r="AS397">
        <v>10</v>
      </c>
      <c r="AT397">
        <v>0</v>
      </c>
      <c r="AU397">
        <v>68</v>
      </c>
      <c r="AV397">
        <v>0</v>
      </c>
      <c r="AW397">
        <v>6.8</v>
      </c>
      <c r="AX397">
        <v>15</v>
      </c>
      <c r="AY397">
        <v>6</v>
      </c>
      <c r="AZ397">
        <v>0</v>
      </c>
      <c r="BA397">
        <v>0</v>
      </c>
      <c r="BB397">
        <v>0</v>
      </c>
      <c r="BC397">
        <v>5</v>
      </c>
      <c r="BD397" t="str">
        <f>CONCATENATE(Table9[[#This Row],[Match Number]],Table9[[#This Row],[Team]],Table9[[#This Row],[BOWL NUM]])</f>
        <v>24Ireland5</v>
      </c>
      <c r="BE397" t="str">
        <f>IFERROR(IF(AND(Table9[[#This Row],[Team]]=I_TEAM,IFERROR(IF(MATCH(Table9[[#This Row],[Bowler]],$AR$5:AR396,0)&gt;0,0),1)),1,0),"")</f>
        <v/>
      </c>
      <c r="BF39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9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97" t="e">
        <f>IF(Table9[[#This Row],[Team]]=I_TEAM,Table9[[#This Row],[Wickets]]*100-Table9[[#This Row],[Runs]],0)</f>
        <v>#REF!</v>
      </c>
      <c r="BI397">
        <f>Table9[[#This Row],[Wickets]]*100-Table9[[#This Row],[Runs]]</f>
        <v>-68</v>
      </c>
      <c r="BJ397">
        <f ca="1">IFERROR(IF(MATCH(Table9[[#This Row],[Bowler]],OFFSET(AR398,0,0,BOWLROWS-ROW(AR397)-ROW(Table9[[#Headers],[BOWLER CUML WICKETS]])),0)&gt;0,0,SUMIF($AR$6:AR397,Table9[[#This Row],[Bowler]],$AV$6:AV397)),SUMIF($AR$6:AR397,Table9[[#This Row],[Bowler]],$AV$6:AV397))</f>
        <v>0</v>
      </c>
      <c r="BK397">
        <f ca="1">IFERROR(IF(MATCH(Table9[[#This Row],[Bowler]],OFFSET(AR398,0,0,BOWLROWS-ROW(AR397)-ROW(Table9[[#Headers],[BOWLER CUML WICKETS]])),0)&gt;0,0,SUMIF($AR$6:AR397,Table9[[#This Row],[Bowler]],$AU$6:AU397)),SUMIF($AR$6:AR397,Table9[[#This Row],[Bowler]],$AU$6:AU397))</f>
        <v>0</v>
      </c>
      <c r="BL397">
        <f ca="1">Table9[[#This Row],[BOWLER CUML WICKETS]]*100-Table9[[#This Row],[BOWLER CUML RUNS]]</f>
        <v>0</v>
      </c>
    </row>
    <row r="398" spans="1:64" x14ac:dyDescent="0.3">
      <c r="A398">
        <v>45</v>
      </c>
      <c r="B398" t="s">
        <v>149</v>
      </c>
      <c r="C398" t="s">
        <v>580</v>
      </c>
      <c r="D398" t="s">
        <v>601</v>
      </c>
      <c r="E398">
        <v>8</v>
      </c>
      <c r="F398">
        <v>10</v>
      </c>
      <c r="G398">
        <v>11</v>
      </c>
      <c r="H398">
        <v>0</v>
      </c>
      <c r="I398">
        <v>0</v>
      </c>
      <c r="J398">
        <v>72.72</v>
      </c>
      <c r="K398">
        <v>4</v>
      </c>
      <c r="L398" t="str">
        <f>CONCATENATE(T_BATTINGDATA[[#This Row],[Match]],T_BATTINGDATA[[#This Row],[Team]],T_BATTINGDATA[[#This Row],[Bat Number]])</f>
        <v>45Australia4</v>
      </c>
      <c r="M398" t="str">
        <f>IFERROR(IF(AND(T_BATTINGDATA[[#This Row],[Team]]=I_TEAM,IFERROR(IF(MATCH(T_BATTINGDATA[[#This Row],[BATSMAN NAME]],$O$5:O397,0)&gt;0,0),1)),1,0),"")</f>
        <v/>
      </c>
      <c r="N398" t="e">
        <f>IF(T_BATTINGDATA[[#This Row],[Team]]=I_TEAM,T_BATTINGDATA[[#This Row],[R]],0)</f>
        <v>#REF!</v>
      </c>
      <c r="O398" t="str">
        <f>LEFT(T_BATTINGDATA[[#This Row],[Batsman]],IFERROR(FIND("*",T_BATTINGDATA[[#This Row],[Batsman]])-1,IFERROR(FIND("†",T_BATTINGDATA[[#This Row],[Batsman]])-1,LEN(T_BATTINGDATA[[#This Row],[Batsman]]))))</f>
        <v>MJ Clarke</v>
      </c>
      <c r="P398">
        <f ca="1">IFERROR(IF(MATCH(T_BATTINGDATA[[#This Row],[BATSMAN NAME]],OFFSET(O399,0,0,BATROWS-ROW(O398)-ROW(T_BATTINGDATA[[#Headers],[BATSMAN NAME]])),0)&gt;0,0,SUMIF($O$6:O398,T_BATTINGDATA[[#This Row],[BATSMAN NAME]],$E$6:E398)),SUMIF($O$6:O398,T_BATTINGDATA[[#This Row],[BATSMAN NAME]],$E$6:E398))</f>
        <v>0</v>
      </c>
      <c r="AP398">
        <v>24</v>
      </c>
      <c r="AQ398" t="s">
        <v>169</v>
      </c>
      <c r="AR398" t="s">
        <v>354</v>
      </c>
      <c r="AS398">
        <v>10</v>
      </c>
      <c r="AT398">
        <v>0</v>
      </c>
      <c r="AU398">
        <v>63</v>
      </c>
      <c r="AV398">
        <v>2</v>
      </c>
      <c r="AW398">
        <v>6.3</v>
      </c>
      <c r="AX398">
        <v>19</v>
      </c>
      <c r="AY398">
        <v>3</v>
      </c>
      <c r="AZ398">
        <v>1</v>
      </c>
      <c r="BA398">
        <v>0</v>
      </c>
      <c r="BB398">
        <v>0</v>
      </c>
      <c r="BC398">
        <v>6</v>
      </c>
      <c r="BD398" t="str">
        <f>CONCATENATE(Table9[[#This Row],[Match Number]],Table9[[#This Row],[Team]],Table9[[#This Row],[BOWL NUM]])</f>
        <v>24Ireland6</v>
      </c>
      <c r="BE398" t="str">
        <f>IFERROR(IF(AND(Table9[[#This Row],[Team]]=I_TEAM,IFERROR(IF(MATCH(Table9[[#This Row],[Bowler]],$AR$5:AR397,0)&gt;0,0),1)),1,0),"")</f>
        <v/>
      </c>
      <c r="BF39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9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98" t="e">
        <f>IF(Table9[[#This Row],[Team]]=I_TEAM,Table9[[#This Row],[Wickets]]*100-Table9[[#This Row],[Runs]],0)</f>
        <v>#REF!</v>
      </c>
      <c r="BI398">
        <f>Table9[[#This Row],[Wickets]]*100-Table9[[#This Row],[Runs]]</f>
        <v>137</v>
      </c>
      <c r="BJ398">
        <f ca="1">IFERROR(IF(MATCH(Table9[[#This Row],[Bowler]],OFFSET(AR399,0,0,BOWLROWS-ROW(AR398)-ROW(Table9[[#Headers],[BOWLER CUML WICKETS]])),0)&gt;0,0,SUMIF($AR$6:AR453,Table9[[#This Row],[Bowler]],$AV$6:AV453)),SUMIF($AR$6:AR453,Table9[[#This Row],[Bowler]],$AV$6:AV453))</f>
        <v>0</v>
      </c>
      <c r="BK398">
        <f ca="1">IFERROR(IF(MATCH(Table9[[#This Row],[Bowler]],OFFSET(AR399,0,0,BOWLROWS-ROW(AR398)-ROW(Table9[[#Headers],[BOWLER CUML WICKETS]])),0)&gt;0,0,SUMIF($AR$6:AR453,Table9[[#This Row],[Bowler]],$AU$6:AU453)),SUMIF($AR$6:AR453,Table9[[#This Row],[Bowler]],$AU$6:AU453))</f>
        <v>0</v>
      </c>
      <c r="BL398">
        <f ca="1">Table9[[#This Row],[BOWLER CUML WICKETS]]*100-Table9[[#This Row],[BOWLER CUML RUNS]]</f>
        <v>0</v>
      </c>
    </row>
    <row r="399" spans="1:64" x14ac:dyDescent="0.3">
      <c r="A399">
        <v>45</v>
      </c>
      <c r="B399" t="s">
        <v>149</v>
      </c>
      <c r="C399" t="s">
        <v>327</v>
      </c>
      <c r="D399" t="s">
        <v>167</v>
      </c>
      <c r="E399">
        <v>64</v>
      </c>
      <c r="F399">
        <v>114</v>
      </c>
      <c r="G399">
        <v>66</v>
      </c>
      <c r="H399">
        <v>7</v>
      </c>
      <c r="I399">
        <v>1</v>
      </c>
      <c r="J399">
        <v>96.96</v>
      </c>
      <c r="K399">
        <v>5</v>
      </c>
      <c r="L399" t="str">
        <f>CONCATENATE(T_BATTINGDATA[[#This Row],[Match]],T_BATTINGDATA[[#This Row],[Team]],T_BATTINGDATA[[#This Row],[Bat Number]])</f>
        <v>45Australia5</v>
      </c>
      <c r="M399" t="str">
        <f>IFERROR(IF(AND(T_BATTINGDATA[[#This Row],[Team]]=I_TEAM,IFERROR(IF(MATCH(T_BATTINGDATA[[#This Row],[BATSMAN NAME]],$O$5:O398,0)&gt;0,0),1)),1,0),"")</f>
        <v/>
      </c>
      <c r="N399" t="e">
        <f>IF(T_BATTINGDATA[[#This Row],[Team]]=I_TEAM,T_BATTINGDATA[[#This Row],[R]],0)</f>
        <v>#REF!</v>
      </c>
      <c r="O399" t="str">
        <f>LEFT(T_BATTINGDATA[[#This Row],[Batsman]],IFERROR(FIND("*",T_BATTINGDATA[[#This Row],[Batsman]])-1,IFERROR(FIND("†",T_BATTINGDATA[[#This Row],[Batsman]])-1,LEN(T_BATTINGDATA[[#This Row],[Batsman]]))))</f>
        <v>SR Watson</v>
      </c>
      <c r="P399">
        <f ca="1">IFERROR(IF(MATCH(T_BATTINGDATA[[#This Row],[BATSMAN NAME]],OFFSET(O400,0,0,BATROWS-ROW(O399)-ROW(T_BATTINGDATA[[#Headers],[BATSMAN NAME]])),0)&gt;0,0,SUMIF($O$6:O399,T_BATTINGDATA[[#This Row],[BATSMAN NAME]],$E$6:E399)),SUMIF($O$6:O399,T_BATTINGDATA[[#This Row],[BATSMAN NAME]],$E$6:E399))</f>
        <v>0</v>
      </c>
      <c r="AP399">
        <v>24</v>
      </c>
      <c r="AQ399" t="s">
        <v>141</v>
      </c>
      <c r="AR399" t="s">
        <v>142</v>
      </c>
      <c r="AS399">
        <v>8</v>
      </c>
      <c r="AT399">
        <v>0</v>
      </c>
      <c r="AU399">
        <v>39</v>
      </c>
      <c r="AV399">
        <v>2</v>
      </c>
      <c r="AW399">
        <v>4.87</v>
      </c>
      <c r="AX399">
        <v>28</v>
      </c>
      <c r="AY399">
        <v>5</v>
      </c>
      <c r="AZ399">
        <v>0</v>
      </c>
      <c r="BA399">
        <v>0</v>
      </c>
      <c r="BB399">
        <v>0</v>
      </c>
      <c r="BC399">
        <v>1</v>
      </c>
      <c r="BD399" t="str">
        <f>CONCATENATE(Table9[[#This Row],[Match Number]],Table9[[#This Row],[Team]],Table9[[#This Row],[BOWL NUM]])</f>
        <v>24South Africa1</v>
      </c>
      <c r="BE399" t="str">
        <f>IFERROR(IF(AND(Table9[[#This Row],[Team]]=I_TEAM,IFERROR(IF(MATCH(Table9[[#This Row],[Bowler]],$AR$5:AR398,0)&gt;0,0),1)),1,0),"")</f>
        <v/>
      </c>
      <c r="BF399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9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399" t="e">
        <f>IF(Table9[[#This Row],[Team]]=I_TEAM,Table9[[#This Row],[Wickets]]*100-Table9[[#This Row],[Runs]],0)</f>
        <v>#REF!</v>
      </c>
      <c r="BI399">
        <f>Table9[[#This Row],[Wickets]]*100-Table9[[#This Row],[Runs]]</f>
        <v>161</v>
      </c>
      <c r="BJ399">
        <f ca="1">IFERROR(IF(MATCH(Table9[[#This Row],[Bowler]],OFFSET(AR400,0,0,BOWLROWS-ROW(AR399)-ROW(Table9[[#Headers],[BOWLER CUML WICKETS]])),0)&gt;0,0,SUMIF($AR$6:AR399,Table9[[#This Row],[Bowler]],$AV$6:AV399)),SUMIF($AR$6:AR399,Table9[[#This Row],[Bowler]],$AV$6:AV399))</f>
        <v>0</v>
      </c>
      <c r="BK399">
        <f ca="1">IFERROR(IF(MATCH(Table9[[#This Row],[Bowler]],OFFSET(AR400,0,0,BOWLROWS-ROW(AR399)-ROW(Table9[[#Headers],[BOWLER CUML WICKETS]])),0)&gt;0,0,SUMIF($AR$6:AR399,Table9[[#This Row],[Bowler]],$AU$6:AU399)),SUMIF($AR$6:AR399,Table9[[#This Row],[Bowler]],$AU$6:AU399))</f>
        <v>0</v>
      </c>
      <c r="BL399">
        <f ca="1">Table9[[#This Row],[BOWLER CUML WICKETS]]*100-Table9[[#This Row],[BOWLER CUML RUNS]]</f>
        <v>0</v>
      </c>
    </row>
    <row r="400" spans="1:64" x14ac:dyDescent="0.3">
      <c r="A400">
        <v>45</v>
      </c>
      <c r="B400" t="s">
        <v>149</v>
      </c>
      <c r="C400" t="s">
        <v>329</v>
      </c>
      <c r="D400" t="s">
        <v>167</v>
      </c>
      <c r="E400">
        <v>44</v>
      </c>
      <c r="F400">
        <v>37</v>
      </c>
      <c r="G400">
        <v>29</v>
      </c>
      <c r="H400">
        <v>5</v>
      </c>
      <c r="I400">
        <v>2</v>
      </c>
      <c r="J400">
        <v>151.72</v>
      </c>
      <c r="K400">
        <v>6</v>
      </c>
      <c r="L400" t="str">
        <f>CONCATENATE(T_BATTINGDATA[[#This Row],[Match]],T_BATTINGDATA[[#This Row],[Team]],T_BATTINGDATA[[#This Row],[Bat Number]])</f>
        <v>45Australia6</v>
      </c>
      <c r="M400" t="str">
        <f>IFERROR(IF(AND(T_BATTINGDATA[[#This Row],[Team]]=I_TEAM,IFERROR(IF(MATCH(T_BATTINGDATA[[#This Row],[BATSMAN NAME]],$O$5:O399,0)&gt;0,0),1)),1,0),"")</f>
        <v/>
      </c>
      <c r="N400" t="e">
        <f>IF(T_BATTINGDATA[[#This Row],[Team]]=I_TEAM,T_BATTINGDATA[[#This Row],[R]],0)</f>
        <v>#REF!</v>
      </c>
      <c r="O400" t="str">
        <f>LEFT(T_BATTINGDATA[[#This Row],[Batsman]],IFERROR(FIND("*",T_BATTINGDATA[[#This Row],[Batsman]])-1,IFERROR(FIND("†",T_BATTINGDATA[[#This Row],[Batsman]])-1,LEN(T_BATTINGDATA[[#This Row],[Batsman]]))))</f>
        <v>GJ Maxwell</v>
      </c>
      <c r="P400">
        <f ca="1">IFERROR(IF(MATCH(T_BATTINGDATA[[#This Row],[BATSMAN NAME]],OFFSET(O401,0,0,BATROWS-ROW(O400)-ROW(T_BATTINGDATA[[#Headers],[BATSMAN NAME]])),0)&gt;0,0,SUMIF($O$6:O400,T_BATTINGDATA[[#This Row],[BATSMAN NAME]],$E$6:E400)),SUMIF($O$6:O400,T_BATTINGDATA[[#This Row],[BATSMAN NAME]],$E$6:E400))</f>
        <v>0</v>
      </c>
      <c r="AP400">
        <v>24</v>
      </c>
      <c r="AQ400" t="s">
        <v>141</v>
      </c>
      <c r="AR400" t="s">
        <v>489</v>
      </c>
      <c r="AS400">
        <v>8</v>
      </c>
      <c r="AT400">
        <v>0</v>
      </c>
      <c r="AU400">
        <v>21</v>
      </c>
      <c r="AV400">
        <v>4</v>
      </c>
      <c r="AW400">
        <v>2.62</v>
      </c>
      <c r="AX400">
        <v>37</v>
      </c>
      <c r="AY400">
        <v>2</v>
      </c>
      <c r="AZ400">
        <v>0</v>
      </c>
      <c r="BA400">
        <v>1</v>
      </c>
      <c r="BB400">
        <v>0</v>
      </c>
      <c r="BC400">
        <v>2</v>
      </c>
      <c r="BD400" t="str">
        <f>CONCATENATE(Table9[[#This Row],[Match Number]],Table9[[#This Row],[Team]],Table9[[#This Row],[BOWL NUM]])</f>
        <v>24South Africa2</v>
      </c>
      <c r="BE400" t="str">
        <f>IFERROR(IF(AND(Table9[[#This Row],[Team]]=I_TEAM,IFERROR(IF(MATCH(Table9[[#This Row],[Bowler]],$AR$5:AR399,0)&gt;0,0),1)),1,0),"")</f>
        <v/>
      </c>
      <c r="BF40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40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00" t="e">
        <f>IF(Table9[[#This Row],[Team]]=I_TEAM,Table9[[#This Row],[Wickets]]*100-Table9[[#This Row],[Runs]],0)</f>
        <v>#REF!</v>
      </c>
      <c r="BI400">
        <f>Table9[[#This Row],[Wickets]]*100-Table9[[#This Row],[Runs]]</f>
        <v>379</v>
      </c>
      <c r="BJ400">
        <f ca="1">IFERROR(IF(MATCH(Table9[[#This Row],[Bowler]],OFFSET(AR401,0,0,BOWLROWS-ROW(AR400)-ROW(Table9[[#Headers],[BOWLER CUML WICKETS]])),0)&gt;0,0,SUMIF($AR$6:AR400,Table9[[#This Row],[Bowler]],$AV$6:AV400)),SUMIF($AR$6:AR400,Table9[[#This Row],[Bowler]],$AV$6:AV400))</f>
        <v>0</v>
      </c>
      <c r="BK400">
        <f ca="1">IFERROR(IF(MATCH(Table9[[#This Row],[Bowler]],OFFSET(AR401,0,0,BOWLROWS-ROW(AR400)-ROW(Table9[[#Headers],[BOWLER CUML WICKETS]])),0)&gt;0,0,SUMIF($AR$6:AR400,Table9[[#This Row],[Bowler]],$AU$6:AU400)),SUMIF($AR$6:AR400,Table9[[#This Row],[Bowler]],$AU$6:AU400))</f>
        <v>0</v>
      </c>
      <c r="BL400">
        <f ca="1">Table9[[#This Row],[BOWLER CUML WICKETS]]*100-Table9[[#This Row],[BOWLER CUML RUNS]]</f>
        <v>0</v>
      </c>
    </row>
    <row r="401" spans="1:64" x14ac:dyDescent="0.3">
      <c r="A401">
        <v>46</v>
      </c>
      <c r="B401" t="s">
        <v>140</v>
      </c>
      <c r="C401" t="s">
        <v>349</v>
      </c>
      <c r="D401" t="s">
        <v>167</v>
      </c>
      <c r="E401">
        <v>237</v>
      </c>
      <c r="F401">
        <v>223</v>
      </c>
      <c r="G401">
        <v>163</v>
      </c>
      <c r="H401">
        <v>24</v>
      </c>
      <c r="I401">
        <v>11</v>
      </c>
      <c r="J401">
        <v>145.38999999999999</v>
      </c>
      <c r="K401">
        <v>1</v>
      </c>
      <c r="L401" t="str">
        <f>CONCATENATE(T_BATTINGDATA[[#This Row],[Match]],T_BATTINGDATA[[#This Row],[Team]],T_BATTINGDATA[[#This Row],[Bat Number]])</f>
        <v>46New Zealand1</v>
      </c>
      <c r="M401" t="str">
        <f>IFERROR(IF(AND(T_BATTINGDATA[[#This Row],[Team]]=I_TEAM,IFERROR(IF(MATCH(T_BATTINGDATA[[#This Row],[BATSMAN NAME]],$O$5:O400,0)&gt;0,0),1)),1,0),"")</f>
        <v/>
      </c>
      <c r="N401" t="e">
        <f>IF(T_BATTINGDATA[[#This Row],[Team]]=I_TEAM,T_BATTINGDATA[[#This Row],[R]],0)</f>
        <v>#REF!</v>
      </c>
      <c r="O401" t="str">
        <f>LEFT(T_BATTINGDATA[[#This Row],[Batsman]],IFERROR(FIND("*",T_BATTINGDATA[[#This Row],[Batsman]])-1,IFERROR(FIND("†",T_BATTINGDATA[[#This Row],[Batsman]])-1,LEN(T_BATTINGDATA[[#This Row],[Batsman]]))))</f>
        <v>MJ Guptill</v>
      </c>
      <c r="P401">
        <f ca="1">IFERROR(IF(MATCH(T_BATTINGDATA[[#This Row],[BATSMAN NAME]],OFFSET(O402,0,0,BATROWS-ROW(O401)-ROW(T_BATTINGDATA[[#Headers],[BATSMAN NAME]])),0)&gt;0,0,SUMIF($O$6:O401,T_BATTINGDATA[[#This Row],[BATSMAN NAME]],$E$6:E401)),SUMIF($O$6:O401,T_BATTINGDATA[[#This Row],[BATSMAN NAME]],$E$6:E401))</f>
        <v>0</v>
      </c>
      <c r="AP401">
        <v>24</v>
      </c>
      <c r="AQ401" t="s">
        <v>141</v>
      </c>
      <c r="AR401" t="s">
        <v>155</v>
      </c>
      <c r="AS401">
        <v>9</v>
      </c>
      <c r="AT401">
        <v>0</v>
      </c>
      <c r="AU401">
        <v>34</v>
      </c>
      <c r="AV401">
        <v>3</v>
      </c>
      <c r="AW401">
        <v>3.77</v>
      </c>
      <c r="AX401">
        <v>40</v>
      </c>
      <c r="AY401">
        <v>5</v>
      </c>
      <c r="AZ401">
        <v>0</v>
      </c>
      <c r="BA401">
        <v>3</v>
      </c>
      <c r="BB401">
        <v>0</v>
      </c>
      <c r="BC401">
        <v>3</v>
      </c>
      <c r="BD401" t="str">
        <f>CONCATENATE(Table9[[#This Row],[Match Number]],Table9[[#This Row],[Team]],Table9[[#This Row],[BOWL NUM]])</f>
        <v>24South Africa3</v>
      </c>
      <c r="BE401" t="str">
        <f>IFERROR(IF(AND(Table9[[#This Row],[Team]]=I_TEAM,IFERROR(IF(MATCH(Table9[[#This Row],[Bowler]],$AR$5:AR400,0)&gt;0,0),1)),1,0),"")</f>
        <v/>
      </c>
      <c r="BF401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0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01" t="e">
        <f>IF(Table9[[#This Row],[Team]]=I_TEAM,Table9[[#This Row],[Wickets]]*100-Table9[[#This Row],[Runs]],0)</f>
        <v>#REF!</v>
      </c>
      <c r="BI401">
        <f>Table9[[#This Row],[Wickets]]*100-Table9[[#This Row],[Runs]]</f>
        <v>266</v>
      </c>
      <c r="BJ401">
        <f ca="1">IFERROR(IF(MATCH(Table9[[#This Row],[Bowler]],OFFSET(AR402,0,0,BOWLROWS-ROW(AR401)-ROW(Table9[[#Headers],[BOWLER CUML WICKETS]])),0)&gt;0,0,SUMIF($AR$6:AR401,Table9[[#This Row],[Bowler]],$AV$6:AV401)),SUMIF($AR$6:AR401,Table9[[#This Row],[Bowler]],$AV$6:AV401))</f>
        <v>0</v>
      </c>
      <c r="BK401">
        <f ca="1">IFERROR(IF(MATCH(Table9[[#This Row],[Bowler]],OFFSET(AR402,0,0,BOWLROWS-ROW(AR401)-ROW(Table9[[#Headers],[BOWLER CUML WICKETS]])),0)&gt;0,0,SUMIF($AR$6:AR401,Table9[[#This Row],[Bowler]],$AU$6:AU401)),SUMIF($AR$6:AR401,Table9[[#This Row],[Bowler]],$AU$6:AU401))</f>
        <v>0</v>
      </c>
      <c r="BL401">
        <f ca="1">Table9[[#This Row],[BOWLER CUML WICKETS]]*100-Table9[[#This Row],[BOWLER CUML RUNS]]</f>
        <v>0</v>
      </c>
    </row>
    <row r="402" spans="1:64" x14ac:dyDescent="0.3">
      <c r="A402">
        <v>46</v>
      </c>
      <c r="B402" t="s">
        <v>140</v>
      </c>
      <c r="C402" t="s">
        <v>352</v>
      </c>
      <c r="D402" t="s">
        <v>602</v>
      </c>
      <c r="E402">
        <v>12</v>
      </c>
      <c r="F402">
        <v>18</v>
      </c>
      <c r="G402">
        <v>8</v>
      </c>
      <c r="H402">
        <v>1</v>
      </c>
      <c r="I402">
        <v>1</v>
      </c>
      <c r="J402">
        <v>150</v>
      </c>
      <c r="K402">
        <v>2</v>
      </c>
      <c r="L402" t="str">
        <f>CONCATENATE(T_BATTINGDATA[[#This Row],[Match]],T_BATTINGDATA[[#This Row],[Team]],T_BATTINGDATA[[#This Row],[Bat Number]])</f>
        <v>46New Zealand2</v>
      </c>
      <c r="M402" t="str">
        <f>IFERROR(IF(AND(T_BATTINGDATA[[#This Row],[Team]]=I_TEAM,IFERROR(IF(MATCH(T_BATTINGDATA[[#This Row],[BATSMAN NAME]],$O$5:O401,0)&gt;0,0),1)),1,0),"")</f>
        <v/>
      </c>
      <c r="N402" t="e">
        <f>IF(T_BATTINGDATA[[#This Row],[Team]]=I_TEAM,T_BATTINGDATA[[#This Row],[R]],0)</f>
        <v>#REF!</v>
      </c>
      <c r="O402" t="str">
        <f>LEFT(T_BATTINGDATA[[#This Row],[Batsman]],IFERROR(FIND("*",T_BATTINGDATA[[#This Row],[Batsman]])-1,IFERROR(FIND("†",T_BATTINGDATA[[#This Row],[Batsman]])-1,LEN(T_BATTINGDATA[[#This Row],[Batsman]]))))</f>
        <v>BB McCullum</v>
      </c>
      <c r="P402">
        <f ca="1">IFERROR(IF(MATCH(T_BATTINGDATA[[#This Row],[BATSMAN NAME]],OFFSET(O403,0,0,BATROWS-ROW(O402)-ROW(T_BATTINGDATA[[#Headers],[BATSMAN NAME]])),0)&gt;0,0,SUMIF($O$6:O402,T_BATTINGDATA[[#This Row],[BATSMAN NAME]],$E$6:E402)),SUMIF($O$6:O402,T_BATTINGDATA[[#This Row],[BATSMAN NAME]],$E$6:E402))</f>
        <v>0</v>
      </c>
      <c r="AP402">
        <v>24</v>
      </c>
      <c r="AQ402" t="s">
        <v>141</v>
      </c>
      <c r="AR402" t="s">
        <v>159</v>
      </c>
      <c r="AS402">
        <v>10</v>
      </c>
      <c r="AT402">
        <v>1</v>
      </c>
      <c r="AU402">
        <v>50</v>
      </c>
      <c r="AV402">
        <v>0</v>
      </c>
      <c r="AW402">
        <v>5</v>
      </c>
      <c r="AX402">
        <v>37</v>
      </c>
      <c r="AY402">
        <v>5</v>
      </c>
      <c r="AZ402">
        <v>2</v>
      </c>
      <c r="BA402">
        <v>0</v>
      </c>
      <c r="BB402">
        <v>0</v>
      </c>
      <c r="BC402">
        <v>4</v>
      </c>
      <c r="BD402" t="str">
        <f>CONCATENATE(Table9[[#This Row],[Match Number]],Table9[[#This Row],[Team]],Table9[[#This Row],[BOWL NUM]])</f>
        <v>24South Africa4</v>
      </c>
      <c r="BE402" t="str">
        <f>IFERROR(IF(AND(Table9[[#This Row],[Team]]=I_TEAM,IFERROR(IF(MATCH(Table9[[#This Row],[Bowler]],$AR$5:AR401,0)&gt;0,0),1)),1,0),"")</f>
        <v/>
      </c>
      <c r="BF40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0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02" t="e">
        <f>IF(Table9[[#This Row],[Team]]=I_TEAM,Table9[[#This Row],[Wickets]]*100-Table9[[#This Row],[Runs]],0)</f>
        <v>#REF!</v>
      </c>
      <c r="BI402">
        <f>Table9[[#This Row],[Wickets]]*100-Table9[[#This Row],[Runs]]</f>
        <v>-50</v>
      </c>
      <c r="BJ402">
        <f ca="1">IFERROR(IF(MATCH(Table9[[#This Row],[Bowler]],OFFSET(AR403,0,0,BOWLROWS-ROW(AR402)-ROW(Table9[[#Headers],[BOWLER CUML WICKETS]])),0)&gt;0,0,SUMIF($AR$6:AR402,Table9[[#This Row],[Bowler]],$AV$6:AV402)),SUMIF($AR$6:AR402,Table9[[#This Row],[Bowler]],$AV$6:AV402))</f>
        <v>0</v>
      </c>
      <c r="BK402">
        <f ca="1">IFERROR(IF(MATCH(Table9[[#This Row],[Bowler]],OFFSET(AR403,0,0,BOWLROWS-ROW(AR402)-ROW(Table9[[#Headers],[BOWLER CUML WICKETS]])),0)&gt;0,0,SUMIF($AR$6:AR402,Table9[[#This Row],[Bowler]],$AU$6:AU402)),SUMIF($AR$6:AR402,Table9[[#This Row],[Bowler]],$AU$6:AU402))</f>
        <v>0</v>
      </c>
      <c r="BL402">
        <f ca="1">Table9[[#This Row],[BOWLER CUML WICKETS]]*100-Table9[[#This Row],[BOWLER CUML RUNS]]</f>
        <v>0</v>
      </c>
    </row>
    <row r="403" spans="1:64" x14ac:dyDescent="0.3">
      <c r="A403">
        <v>46</v>
      </c>
      <c r="B403" t="s">
        <v>140</v>
      </c>
      <c r="C403" t="s">
        <v>307</v>
      </c>
      <c r="D403" t="s">
        <v>522</v>
      </c>
      <c r="E403">
        <v>33</v>
      </c>
      <c r="F403">
        <v>48</v>
      </c>
      <c r="G403">
        <v>35</v>
      </c>
      <c r="H403">
        <v>5</v>
      </c>
      <c r="I403">
        <v>0</v>
      </c>
      <c r="J403">
        <v>94.28</v>
      </c>
      <c r="K403">
        <v>3</v>
      </c>
      <c r="L403" t="str">
        <f>CONCATENATE(T_BATTINGDATA[[#This Row],[Match]],T_BATTINGDATA[[#This Row],[Team]],T_BATTINGDATA[[#This Row],[Bat Number]])</f>
        <v>46New Zealand3</v>
      </c>
      <c r="M403" t="str">
        <f>IFERROR(IF(AND(T_BATTINGDATA[[#This Row],[Team]]=I_TEAM,IFERROR(IF(MATCH(T_BATTINGDATA[[#This Row],[BATSMAN NAME]],$O$5:O402,0)&gt;0,0),1)),1,0),"")</f>
        <v/>
      </c>
      <c r="N403" t="e">
        <f>IF(T_BATTINGDATA[[#This Row],[Team]]=I_TEAM,T_BATTINGDATA[[#This Row],[R]],0)</f>
        <v>#REF!</v>
      </c>
      <c r="O403" t="str">
        <f>LEFT(T_BATTINGDATA[[#This Row],[Batsman]],IFERROR(FIND("*",T_BATTINGDATA[[#This Row],[Batsman]])-1,IFERROR(FIND("†",T_BATTINGDATA[[#This Row],[Batsman]])-1,LEN(T_BATTINGDATA[[#This Row],[Batsman]]))))</f>
        <v>KS Williamson</v>
      </c>
      <c r="P403">
        <f ca="1">IFERROR(IF(MATCH(T_BATTINGDATA[[#This Row],[BATSMAN NAME]],OFFSET(O404,0,0,BATROWS-ROW(O403)-ROW(T_BATTINGDATA[[#Headers],[BATSMAN NAME]])),0)&gt;0,0,SUMIF($O$6:O403,T_BATTINGDATA[[#This Row],[BATSMAN NAME]],$E$6:E403)),SUMIF($O$6:O403,T_BATTINGDATA[[#This Row],[BATSMAN NAME]],$E$6:E403))</f>
        <v>0</v>
      </c>
      <c r="AP403">
        <v>24</v>
      </c>
      <c r="AQ403" t="s">
        <v>141</v>
      </c>
      <c r="AR403" t="s">
        <v>345</v>
      </c>
      <c r="AS403">
        <v>2</v>
      </c>
      <c r="AT403">
        <v>0</v>
      </c>
      <c r="AU403">
        <v>13</v>
      </c>
      <c r="AV403">
        <v>0</v>
      </c>
      <c r="AW403">
        <v>6.5</v>
      </c>
      <c r="AX403">
        <v>3</v>
      </c>
      <c r="AY403">
        <v>1</v>
      </c>
      <c r="AZ403">
        <v>0</v>
      </c>
      <c r="BA403">
        <v>0</v>
      </c>
      <c r="BB403">
        <v>0</v>
      </c>
      <c r="BC403">
        <v>5</v>
      </c>
      <c r="BD403" t="str">
        <f>CONCATENATE(Table9[[#This Row],[Match Number]],Table9[[#This Row],[Team]],Table9[[#This Row],[BOWL NUM]])</f>
        <v>24South Africa5</v>
      </c>
      <c r="BE403" t="str">
        <f>IFERROR(IF(AND(Table9[[#This Row],[Team]]=I_TEAM,IFERROR(IF(MATCH(Table9[[#This Row],[Bowler]],$AR$5:AR402,0)&gt;0,0),1)),1,0),"")</f>
        <v/>
      </c>
      <c r="BF403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40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03" t="e">
        <f>IF(Table9[[#This Row],[Team]]=I_TEAM,Table9[[#This Row],[Wickets]]*100-Table9[[#This Row],[Runs]],0)</f>
        <v>#REF!</v>
      </c>
      <c r="BI403">
        <f>Table9[[#This Row],[Wickets]]*100-Table9[[#This Row],[Runs]]</f>
        <v>-13</v>
      </c>
      <c r="BJ403">
        <f ca="1">IFERROR(IF(MATCH(Table9[[#This Row],[Bowler]],OFFSET(AR404,0,0,BOWLROWS-ROW(AR403)-ROW(Table9[[#Headers],[BOWLER CUML WICKETS]])),0)&gt;0,0,SUMIF($AR$6:AR403,Table9[[#This Row],[Bowler]],$AV$6:AV403)),SUMIF($AR$6:AR403,Table9[[#This Row],[Bowler]],$AV$6:AV403))</f>
        <v>0</v>
      </c>
      <c r="BK403">
        <f ca="1">IFERROR(IF(MATCH(Table9[[#This Row],[Bowler]],OFFSET(AR404,0,0,BOWLROWS-ROW(AR403)-ROW(Table9[[#Headers],[BOWLER CUML WICKETS]])),0)&gt;0,0,SUMIF($AR$6:AR403,Table9[[#This Row],[Bowler]],$AU$6:AU403)),SUMIF($AR$6:AR403,Table9[[#This Row],[Bowler]],$AU$6:AU403))</f>
        <v>0</v>
      </c>
      <c r="BL403">
        <f ca="1">Table9[[#This Row],[BOWLER CUML WICKETS]]*100-Table9[[#This Row],[BOWLER CUML RUNS]]</f>
        <v>0</v>
      </c>
    </row>
    <row r="404" spans="1:64" x14ac:dyDescent="0.3">
      <c r="A404">
        <v>46</v>
      </c>
      <c r="B404" t="s">
        <v>140</v>
      </c>
      <c r="C404" t="s">
        <v>356</v>
      </c>
      <c r="D404" t="s">
        <v>603</v>
      </c>
      <c r="E404">
        <v>42</v>
      </c>
      <c r="F404">
        <v>92</v>
      </c>
      <c r="G404">
        <v>61</v>
      </c>
      <c r="H404">
        <v>2</v>
      </c>
      <c r="I404">
        <v>0</v>
      </c>
      <c r="J404">
        <v>68.849999999999994</v>
      </c>
      <c r="K404">
        <v>4</v>
      </c>
      <c r="L404" t="str">
        <f>CONCATENATE(T_BATTINGDATA[[#This Row],[Match]],T_BATTINGDATA[[#This Row],[Team]],T_BATTINGDATA[[#This Row],[Bat Number]])</f>
        <v>46New Zealand4</v>
      </c>
      <c r="M404" t="str">
        <f>IFERROR(IF(AND(T_BATTINGDATA[[#This Row],[Team]]=I_TEAM,IFERROR(IF(MATCH(T_BATTINGDATA[[#This Row],[BATSMAN NAME]],$O$5:O403,0)&gt;0,0),1)),1,0),"")</f>
        <v/>
      </c>
      <c r="N404" t="e">
        <f>IF(T_BATTINGDATA[[#This Row],[Team]]=I_TEAM,T_BATTINGDATA[[#This Row],[R]],0)</f>
        <v>#REF!</v>
      </c>
      <c r="O404" t="str">
        <f>LEFT(T_BATTINGDATA[[#This Row],[Batsman]],IFERROR(FIND("*",T_BATTINGDATA[[#This Row],[Batsman]])-1,IFERROR(FIND("†",T_BATTINGDATA[[#This Row],[Batsman]])-1,LEN(T_BATTINGDATA[[#This Row],[Batsman]]))))</f>
        <v>LRPL Taylor</v>
      </c>
      <c r="P404">
        <f ca="1">IFERROR(IF(MATCH(T_BATTINGDATA[[#This Row],[BATSMAN NAME]],OFFSET(O405,0,0,BATROWS-ROW(O404)-ROW(T_BATTINGDATA[[#Headers],[BATSMAN NAME]])),0)&gt;0,0,SUMIF($O$6:O404,T_BATTINGDATA[[#This Row],[BATSMAN NAME]],$E$6:E404)),SUMIF($O$6:O404,T_BATTINGDATA[[#This Row],[BATSMAN NAME]],$E$6:E404))</f>
        <v>0</v>
      </c>
      <c r="AP404">
        <v>24</v>
      </c>
      <c r="AQ404" t="s">
        <v>141</v>
      </c>
      <c r="AR404" t="s">
        <v>604</v>
      </c>
      <c r="AS404">
        <v>2</v>
      </c>
      <c r="AT404">
        <v>0</v>
      </c>
      <c r="AU404">
        <v>13</v>
      </c>
      <c r="AV404">
        <v>0</v>
      </c>
      <c r="AW404">
        <v>6.5</v>
      </c>
      <c r="AX404">
        <v>2</v>
      </c>
      <c r="AY404">
        <v>0</v>
      </c>
      <c r="AZ404">
        <v>0</v>
      </c>
      <c r="BA404">
        <v>0</v>
      </c>
      <c r="BB404">
        <v>0</v>
      </c>
      <c r="BC404">
        <v>6</v>
      </c>
      <c r="BD404" t="str">
        <f>CONCATENATE(Table9[[#This Row],[Match Number]],Table9[[#This Row],[Team]],Table9[[#This Row],[BOWL NUM]])</f>
        <v>24South Africa6</v>
      </c>
      <c r="BE404" t="str">
        <f>IFERROR(IF(AND(Table9[[#This Row],[Team]]=I_TEAM,IFERROR(IF(MATCH(Table9[[#This Row],[Bowler]],$AR$5:AR403,0)&gt;0,0),1)),1,0),"")</f>
        <v/>
      </c>
      <c r="BF404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40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04" t="e">
        <f>IF(Table9[[#This Row],[Team]]=I_TEAM,Table9[[#This Row],[Wickets]]*100-Table9[[#This Row],[Runs]],0)</f>
        <v>#REF!</v>
      </c>
      <c r="BI404">
        <f>Table9[[#This Row],[Wickets]]*100-Table9[[#This Row],[Runs]]</f>
        <v>-13</v>
      </c>
      <c r="BJ404">
        <f ca="1">IFERROR(IF(MATCH(Table9[[#This Row],[Bowler]],OFFSET(AR405,0,0,BOWLROWS-ROW(AR404)-ROW(Table9[[#Headers],[BOWLER CUML WICKETS]])),0)&gt;0,0,SUMIF($AR$6:AR404,Table9[[#This Row],[Bowler]],$AV$6:AV404)),SUMIF($AR$6:AR404,Table9[[#This Row],[Bowler]],$AV$6:AV404))</f>
        <v>0</v>
      </c>
      <c r="BK404">
        <f ca="1">IFERROR(IF(MATCH(Table9[[#This Row],[Bowler]],OFFSET(AR405,0,0,BOWLROWS-ROW(AR404)-ROW(Table9[[#Headers],[BOWLER CUML WICKETS]])),0)&gt;0,0,SUMIF($AR$6:AR404,Table9[[#This Row],[Bowler]],$AU$6:AU404)),SUMIF($AR$6:AR404,Table9[[#This Row],[Bowler]],$AU$6:AU404))</f>
        <v>13</v>
      </c>
      <c r="BL404">
        <f ca="1">Table9[[#This Row],[BOWLER CUML WICKETS]]*100-Table9[[#This Row],[BOWLER CUML RUNS]]</f>
        <v>-13</v>
      </c>
    </row>
    <row r="405" spans="1:64" x14ac:dyDescent="0.3">
      <c r="A405">
        <v>46</v>
      </c>
      <c r="B405" t="s">
        <v>140</v>
      </c>
      <c r="C405" t="s">
        <v>309</v>
      </c>
      <c r="D405" t="s">
        <v>522</v>
      </c>
      <c r="E405">
        <v>15</v>
      </c>
      <c r="F405">
        <v>25</v>
      </c>
      <c r="G405">
        <v>16</v>
      </c>
      <c r="H405">
        <v>1</v>
      </c>
      <c r="I405">
        <v>1</v>
      </c>
      <c r="J405">
        <v>93.75</v>
      </c>
      <c r="K405">
        <v>5</v>
      </c>
      <c r="L405" t="str">
        <f>CONCATENATE(T_BATTINGDATA[[#This Row],[Match]],T_BATTINGDATA[[#This Row],[Team]],T_BATTINGDATA[[#This Row],[Bat Number]])</f>
        <v>46New Zealand5</v>
      </c>
      <c r="M405" t="str">
        <f>IFERROR(IF(AND(T_BATTINGDATA[[#This Row],[Team]]=I_TEAM,IFERROR(IF(MATCH(T_BATTINGDATA[[#This Row],[BATSMAN NAME]],$O$5:O404,0)&gt;0,0),1)),1,0),"")</f>
        <v/>
      </c>
      <c r="N405" t="e">
        <f>IF(T_BATTINGDATA[[#This Row],[Team]]=I_TEAM,T_BATTINGDATA[[#This Row],[R]],0)</f>
        <v>#REF!</v>
      </c>
      <c r="O405" t="str">
        <f>LEFT(T_BATTINGDATA[[#This Row],[Batsman]],IFERROR(FIND("*",T_BATTINGDATA[[#This Row],[Batsman]])-1,IFERROR(FIND("†",T_BATTINGDATA[[#This Row],[Batsman]])-1,LEN(T_BATTINGDATA[[#This Row],[Batsman]]))))</f>
        <v>CJ Anderson</v>
      </c>
      <c r="P405">
        <f ca="1">IFERROR(IF(MATCH(T_BATTINGDATA[[#This Row],[BATSMAN NAME]],OFFSET(O406,0,0,BATROWS-ROW(O405)-ROW(T_BATTINGDATA[[#Headers],[BATSMAN NAME]])),0)&gt;0,0,SUMIF($O$6:O405,T_BATTINGDATA[[#This Row],[BATSMAN NAME]],$E$6:E405)),SUMIF($O$6:O405,T_BATTINGDATA[[#This Row],[BATSMAN NAME]],$E$6:E405))</f>
        <v>0</v>
      </c>
      <c r="AP405">
        <v>24</v>
      </c>
      <c r="AQ405" t="s">
        <v>141</v>
      </c>
      <c r="AR405" t="s">
        <v>177</v>
      </c>
      <c r="AS405">
        <v>4</v>
      </c>
      <c r="AT405">
        <v>0</v>
      </c>
      <c r="AU405">
        <v>30</v>
      </c>
      <c r="AV405">
        <v>0</v>
      </c>
      <c r="AW405">
        <v>7.5</v>
      </c>
      <c r="AX405">
        <v>10</v>
      </c>
      <c r="AY405">
        <v>1</v>
      </c>
      <c r="AZ405">
        <v>1</v>
      </c>
      <c r="BA405">
        <v>1</v>
      </c>
      <c r="BB405">
        <v>0</v>
      </c>
      <c r="BC405">
        <v>7</v>
      </c>
      <c r="BD405" t="str">
        <f>CONCATENATE(Table9[[#This Row],[Match Number]],Table9[[#This Row],[Team]],Table9[[#This Row],[BOWL NUM]])</f>
        <v>24South Africa7</v>
      </c>
      <c r="BE405" t="str">
        <f>IFERROR(IF(AND(Table9[[#This Row],[Team]]=I_TEAM,IFERROR(IF(MATCH(Table9[[#This Row],[Bowler]],$AR$5:AR404,0)&gt;0,0),1)),1,0),"")</f>
        <v/>
      </c>
      <c r="BF405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40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05" t="e">
        <f>IF(Table9[[#This Row],[Team]]=I_TEAM,Table9[[#This Row],[Wickets]]*100-Table9[[#This Row],[Runs]],0)</f>
        <v>#REF!</v>
      </c>
      <c r="BI405">
        <f>Table9[[#This Row],[Wickets]]*100-Table9[[#This Row],[Runs]]</f>
        <v>-30</v>
      </c>
      <c r="BJ405">
        <f ca="1">IFERROR(IF(MATCH(Table9[[#This Row],[Bowler]],OFFSET(AR406,0,0,BOWLROWS-ROW(AR405)-ROW(Table9[[#Headers],[BOWLER CUML WICKETS]])),0)&gt;0,0,SUMIF($AR$6:AR405,Table9[[#This Row],[Bowler]],$AV$6:AV405)),SUMIF($AR$6:AR405,Table9[[#This Row],[Bowler]],$AV$6:AV405))</f>
        <v>0</v>
      </c>
      <c r="BK405">
        <f ca="1">IFERROR(IF(MATCH(Table9[[#This Row],[Bowler]],OFFSET(AR406,0,0,BOWLROWS-ROW(AR405)-ROW(Table9[[#Headers],[BOWLER CUML WICKETS]])),0)&gt;0,0,SUMIF($AR$6:AR405,Table9[[#This Row],[Bowler]],$AU$6:AU405)),SUMIF($AR$6:AR405,Table9[[#This Row],[Bowler]],$AU$6:AU405))</f>
        <v>47</v>
      </c>
      <c r="BL405">
        <f ca="1">Table9[[#This Row],[BOWLER CUML WICKETS]]*100-Table9[[#This Row],[BOWLER CUML RUNS]]</f>
        <v>-47</v>
      </c>
    </row>
    <row r="406" spans="1:64" x14ac:dyDescent="0.3">
      <c r="A406">
        <v>46</v>
      </c>
      <c r="B406" t="s">
        <v>140</v>
      </c>
      <c r="C406" t="s">
        <v>305</v>
      </c>
      <c r="D406" t="s">
        <v>559</v>
      </c>
      <c r="E406">
        <v>27</v>
      </c>
      <c r="F406">
        <v>20</v>
      </c>
      <c r="G406">
        <v>11</v>
      </c>
      <c r="H406">
        <v>2</v>
      </c>
      <c r="I406">
        <v>2</v>
      </c>
      <c r="J406">
        <v>245.45</v>
      </c>
      <c r="K406">
        <v>6</v>
      </c>
      <c r="L406" t="str">
        <f>CONCATENATE(T_BATTINGDATA[[#This Row],[Match]],T_BATTINGDATA[[#This Row],[Team]],T_BATTINGDATA[[#This Row],[Bat Number]])</f>
        <v>46New Zealand6</v>
      </c>
      <c r="M406" t="str">
        <f>IFERROR(IF(AND(T_BATTINGDATA[[#This Row],[Team]]=I_TEAM,IFERROR(IF(MATCH(T_BATTINGDATA[[#This Row],[BATSMAN NAME]],$O$5:O405,0)&gt;0,0),1)),1,0),"")</f>
        <v/>
      </c>
      <c r="N406" t="e">
        <f>IF(T_BATTINGDATA[[#This Row],[Team]]=I_TEAM,T_BATTINGDATA[[#This Row],[R]],0)</f>
        <v>#REF!</v>
      </c>
      <c r="O406" t="str">
        <f>LEFT(T_BATTINGDATA[[#This Row],[Batsman]],IFERROR(FIND("*",T_BATTINGDATA[[#This Row],[Batsman]])-1,IFERROR(FIND("†",T_BATTINGDATA[[#This Row],[Batsman]])-1,LEN(T_BATTINGDATA[[#This Row],[Batsman]]))))</f>
        <v>GD Elliott</v>
      </c>
      <c r="P406">
        <f ca="1">IFERROR(IF(MATCH(T_BATTINGDATA[[#This Row],[BATSMAN NAME]],OFFSET(O407,0,0,BATROWS-ROW(O406)-ROW(T_BATTINGDATA[[#Headers],[BATSMAN NAME]])),0)&gt;0,0,SUMIF($O$6:O406,T_BATTINGDATA[[#This Row],[BATSMAN NAME]],$E$6:E406)),SUMIF($O$6:O406,T_BATTINGDATA[[#This Row],[BATSMAN NAME]],$E$6:E406))</f>
        <v>0</v>
      </c>
      <c r="AP406">
        <v>24</v>
      </c>
      <c r="AQ406" t="s">
        <v>141</v>
      </c>
      <c r="AR406" t="s">
        <v>532</v>
      </c>
      <c r="AS406">
        <v>2</v>
      </c>
      <c r="AT406">
        <v>0</v>
      </c>
      <c r="AU406">
        <v>7</v>
      </c>
      <c r="AV406">
        <v>1</v>
      </c>
      <c r="AW406">
        <v>3.5</v>
      </c>
      <c r="AX406">
        <v>8</v>
      </c>
      <c r="AY406">
        <v>1</v>
      </c>
      <c r="AZ406">
        <v>0</v>
      </c>
      <c r="BA406">
        <v>0</v>
      </c>
      <c r="BB406">
        <v>0</v>
      </c>
      <c r="BC406">
        <v>8</v>
      </c>
      <c r="BD406" t="str">
        <f>CONCATENATE(Table9[[#This Row],[Match Number]],Table9[[#This Row],[Team]],Table9[[#This Row],[BOWL NUM]])</f>
        <v>24South Africa8</v>
      </c>
      <c r="BE406" t="str">
        <f>IFERROR(IF(AND(Table9[[#This Row],[Team]]=I_TEAM,IFERROR(IF(MATCH(Table9[[#This Row],[Bowler]],$AR$5:AR405,0)&gt;0,0),1)),1,0),"")</f>
        <v/>
      </c>
      <c r="BF406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40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06" t="e">
        <f>IF(Table9[[#This Row],[Team]]=I_TEAM,Table9[[#This Row],[Wickets]]*100-Table9[[#This Row],[Runs]],0)</f>
        <v>#REF!</v>
      </c>
      <c r="BI406">
        <f>Table9[[#This Row],[Wickets]]*100-Table9[[#This Row],[Runs]]</f>
        <v>93</v>
      </c>
      <c r="BJ406">
        <f ca="1">IFERROR(IF(MATCH(Table9[[#This Row],[Bowler]],OFFSET(AR407,0,0,BOWLROWS-ROW(AR406)-ROW(Table9[[#Headers],[BOWLER CUML WICKETS]])),0)&gt;0,0,SUMIF($AR$6:AR453,Table9[[#This Row],[Bowler]],$AV$6:AV453)),SUMIF($AR$6:AR453,Table9[[#This Row],[Bowler]],$AV$6:AV453))</f>
        <v>0</v>
      </c>
      <c r="BK406">
        <f ca="1">IFERROR(IF(MATCH(Table9[[#This Row],[Bowler]],OFFSET(AR407,0,0,BOWLROWS-ROW(AR406)-ROW(Table9[[#Headers],[BOWLER CUML WICKETS]])),0)&gt;0,0,SUMIF($AR$6:AR590,Table9[[#This Row],[Bowler]],$AU$6:AU590)),SUMIF($AR$6:AR590,Table9[[#This Row],[Bowler]],$AU$6:AU590))</f>
        <v>0</v>
      </c>
      <c r="BL406">
        <f ca="1">Table9[[#This Row],[BOWLER CUML WICKETS]]*100-Table9[[#This Row],[BOWLER CUML RUNS]]</f>
        <v>0</v>
      </c>
    </row>
    <row r="407" spans="1:64" x14ac:dyDescent="0.3">
      <c r="A407">
        <v>46</v>
      </c>
      <c r="B407" t="s">
        <v>140</v>
      </c>
      <c r="C407" t="s">
        <v>360</v>
      </c>
      <c r="D407" t="s">
        <v>605</v>
      </c>
      <c r="E407">
        <v>9</v>
      </c>
      <c r="F407">
        <v>13</v>
      </c>
      <c r="G407">
        <v>5</v>
      </c>
      <c r="H407">
        <v>2</v>
      </c>
      <c r="I407">
        <v>0</v>
      </c>
      <c r="J407">
        <v>180</v>
      </c>
      <c r="K407">
        <v>7</v>
      </c>
      <c r="L407" t="str">
        <f>CONCATENATE(T_BATTINGDATA[[#This Row],[Match]],T_BATTINGDATA[[#This Row],[Team]],T_BATTINGDATA[[#This Row],[Bat Number]])</f>
        <v>46New Zealand7</v>
      </c>
      <c r="M407" t="str">
        <f>IFERROR(IF(AND(T_BATTINGDATA[[#This Row],[Team]]=I_TEAM,IFERROR(IF(MATCH(T_BATTINGDATA[[#This Row],[BATSMAN NAME]],$O$5:O406,0)&gt;0,0),1)),1,0),"")</f>
        <v/>
      </c>
      <c r="N407" t="e">
        <f>IF(T_BATTINGDATA[[#This Row],[Team]]=I_TEAM,T_BATTINGDATA[[#This Row],[R]],0)</f>
        <v>#REF!</v>
      </c>
      <c r="O407" t="str">
        <f>LEFT(T_BATTINGDATA[[#This Row],[Batsman]],IFERROR(FIND("*",T_BATTINGDATA[[#This Row],[Batsman]])-1,IFERROR(FIND("†",T_BATTINGDATA[[#This Row],[Batsman]])-1,LEN(T_BATTINGDATA[[#This Row],[Batsman]]))))</f>
        <v>L Ronchi</v>
      </c>
      <c r="P407">
        <f ca="1">IFERROR(IF(MATCH(T_BATTINGDATA[[#This Row],[BATSMAN NAME]],OFFSET(O408,0,0,BATROWS-ROW(O407)-ROW(T_BATTINGDATA[[#Headers],[BATSMAN NAME]])),0)&gt;0,0,SUMIF($O$6:O407,T_BATTINGDATA[[#This Row],[BATSMAN NAME]],$E$6:E407)),SUMIF($O$6:O407,T_BATTINGDATA[[#This Row],[BATSMAN NAME]],$E$6:E407))</f>
        <v>0</v>
      </c>
      <c r="AP407">
        <v>25</v>
      </c>
      <c r="AQ407" t="s">
        <v>164</v>
      </c>
      <c r="AR407" t="s">
        <v>223</v>
      </c>
      <c r="AS407">
        <v>10</v>
      </c>
      <c r="AT407">
        <v>0</v>
      </c>
      <c r="AU407">
        <v>50</v>
      </c>
      <c r="AV407">
        <v>1</v>
      </c>
      <c r="AW407">
        <v>5</v>
      </c>
      <c r="AX407">
        <v>33</v>
      </c>
      <c r="AY407">
        <v>3</v>
      </c>
      <c r="AZ407">
        <v>1</v>
      </c>
      <c r="BA407">
        <v>1</v>
      </c>
      <c r="BB407">
        <v>1</v>
      </c>
      <c r="BC407">
        <v>1</v>
      </c>
      <c r="BD407" t="str">
        <f>CONCATENATE(Table9[[#This Row],[Match Number]],Table9[[#This Row],[Team]],Table9[[#This Row],[BOWL NUM]])</f>
        <v>25UAE1</v>
      </c>
      <c r="BE407" t="str">
        <f>IFERROR(IF(AND(Table9[[#This Row],[Team]]=I_TEAM,IFERROR(IF(MATCH(Table9[[#This Row],[Bowler]],$AR$5:AR406,0)&gt;0,0),1)),1,0),"")</f>
        <v/>
      </c>
      <c r="BF40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0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07" t="e">
        <f>IF(Table9[[#This Row],[Team]]=I_TEAM,Table9[[#This Row],[Wickets]]*100-Table9[[#This Row],[Runs]],0)</f>
        <v>#REF!</v>
      </c>
      <c r="BI407">
        <f>Table9[[#This Row],[Wickets]]*100-Table9[[#This Row],[Runs]]</f>
        <v>50</v>
      </c>
      <c r="BJ407">
        <f ca="1">IFERROR(IF(MATCH(Table9[[#This Row],[Bowler]],OFFSET(AR408,0,0,BOWLROWS-ROW(AR407)-ROW(Table9[[#Headers],[BOWLER CUML WICKETS]])),0)&gt;0,0,SUMIF($AR$6:AR407,Table9[[#This Row],[Bowler]],$AV$6:AV407)),SUMIF($AR$6:AR407,Table9[[#This Row],[Bowler]],$AV$6:AV407))</f>
        <v>0</v>
      </c>
      <c r="BK407">
        <f ca="1">IFERROR(IF(MATCH(Table9[[#This Row],[Bowler]],OFFSET(AR408,0,0,BOWLROWS-ROW(AR407)-ROW(Table9[[#Headers],[BOWLER CUML WICKETS]])),0)&gt;0,0,SUMIF($AR$6:AR407,Table9[[#This Row],[Bowler]],$AU$6:AU407)),SUMIF($AR$6:AR407,Table9[[#This Row],[Bowler]],$AU$6:AU407))</f>
        <v>0</v>
      </c>
      <c r="BL407">
        <f ca="1">Table9[[#This Row],[BOWLER CUML WICKETS]]*100-Table9[[#This Row],[BOWLER CUML RUNS]]</f>
        <v>0</v>
      </c>
    </row>
    <row r="408" spans="1:64" x14ac:dyDescent="0.3">
      <c r="A408">
        <v>46</v>
      </c>
      <c r="B408" t="s">
        <v>140</v>
      </c>
      <c r="C408" t="s">
        <v>303</v>
      </c>
      <c r="D408" t="s">
        <v>167</v>
      </c>
      <c r="E408">
        <v>8</v>
      </c>
      <c r="F408">
        <v>7</v>
      </c>
      <c r="G408">
        <v>2</v>
      </c>
      <c r="H408">
        <v>2</v>
      </c>
      <c r="I408">
        <v>0</v>
      </c>
      <c r="J408">
        <v>400</v>
      </c>
      <c r="K408">
        <v>8</v>
      </c>
      <c r="L408" t="str">
        <f>CONCATENATE(T_BATTINGDATA[[#This Row],[Match]],T_BATTINGDATA[[#This Row],[Team]],T_BATTINGDATA[[#This Row],[Bat Number]])</f>
        <v>46New Zealand8</v>
      </c>
      <c r="M408" t="str">
        <f>IFERROR(IF(AND(T_BATTINGDATA[[#This Row],[Team]]=I_TEAM,IFERROR(IF(MATCH(T_BATTINGDATA[[#This Row],[BATSMAN NAME]],$O$5:O407,0)&gt;0,0),1)),1,0),"")</f>
        <v/>
      </c>
      <c r="N408" t="e">
        <f>IF(T_BATTINGDATA[[#This Row],[Team]]=I_TEAM,T_BATTINGDATA[[#This Row],[R]],0)</f>
        <v>#REF!</v>
      </c>
      <c r="O408" t="str">
        <f>LEFT(T_BATTINGDATA[[#This Row],[Batsman]],IFERROR(FIND("*",T_BATTINGDATA[[#This Row],[Batsman]])-1,IFERROR(FIND("†",T_BATTINGDATA[[#This Row],[Batsman]])-1,LEN(T_BATTINGDATA[[#This Row],[Batsman]]))))</f>
        <v>DL Vettori</v>
      </c>
      <c r="P408">
        <f ca="1">IFERROR(IF(MATCH(T_BATTINGDATA[[#This Row],[BATSMAN NAME]],OFFSET(O409,0,0,BATROWS-ROW(O408)-ROW(T_BATTINGDATA[[#Headers],[BATSMAN NAME]])),0)&gt;0,0,SUMIF($O$6:O408,T_BATTINGDATA[[#This Row],[BATSMAN NAME]],$E$6:E408)),SUMIF($O$6:O408,T_BATTINGDATA[[#This Row],[BATSMAN NAME]],$E$6:E408))</f>
        <v>0</v>
      </c>
      <c r="AP408">
        <v>25</v>
      </c>
      <c r="AQ408" t="s">
        <v>164</v>
      </c>
      <c r="AR408" t="s">
        <v>225</v>
      </c>
      <c r="AS408">
        <v>8</v>
      </c>
      <c r="AT408">
        <v>0</v>
      </c>
      <c r="AU408">
        <v>56</v>
      </c>
      <c r="AV408">
        <v>4</v>
      </c>
      <c r="AW408">
        <v>7</v>
      </c>
      <c r="AX408">
        <v>25</v>
      </c>
      <c r="AY408">
        <v>4</v>
      </c>
      <c r="AZ408">
        <v>3</v>
      </c>
      <c r="BA408">
        <v>2</v>
      </c>
      <c r="BB408">
        <v>0</v>
      </c>
      <c r="BC408">
        <v>2</v>
      </c>
      <c r="BD408" t="str">
        <f>CONCATENATE(Table9[[#This Row],[Match Number]],Table9[[#This Row],[Team]],Table9[[#This Row],[BOWL NUM]])</f>
        <v>25UAE2</v>
      </c>
      <c r="BE408" t="str">
        <f>IFERROR(IF(AND(Table9[[#This Row],[Team]]=I_TEAM,IFERROR(IF(MATCH(Table9[[#This Row],[Bowler]],$AR$5:AR407,0)&gt;0,0),1)),1,0),"")</f>
        <v/>
      </c>
      <c r="BF408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40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08" t="e">
        <f>IF(Table9[[#This Row],[Team]]=I_TEAM,Table9[[#This Row],[Wickets]]*100-Table9[[#This Row],[Runs]],0)</f>
        <v>#REF!</v>
      </c>
      <c r="BI408">
        <f>Table9[[#This Row],[Wickets]]*100-Table9[[#This Row],[Runs]]</f>
        <v>344</v>
      </c>
      <c r="BJ408">
        <f ca="1">IFERROR(IF(MATCH(Table9[[#This Row],[Bowler]],OFFSET(AR409,0,0,BOWLROWS-ROW(AR408)-ROW(Table9[[#Headers],[BOWLER CUML WICKETS]])),0)&gt;0,0,SUMIF($AR$6:AR408,Table9[[#This Row],[Bowler]],$AV$6:AV408)),SUMIF($AR$6:AR408,Table9[[#This Row],[Bowler]],$AV$6:AV408))</f>
        <v>0</v>
      </c>
      <c r="BK408">
        <f ca="1">IFERROR(IF(MATCH(Table9[[#This Row],[Bowler]],OFFSET(AR409,0,0,BOWLROWS-ROW(AR408)-ROW(Table9[[#Headers],[BOWLER CUML WICKETS]])),0)&gt;0,0,SUMIF($AR$6:AR408,Table9[[#This Row],[Bowler]],$AU$6:AU408)),SUMIF($AR$6:AR408,Table9[[#This Row],[Bowler]],$AU$6:AU408))</f>
        <v>0</v>
      </c>
      <c r="BL408">
        <f ca="1">Table9[[#This Row],[BOWLER CUML WICKETS]]*100-Table9[[#This Row],[BOWLER CUML RUNS]]</f>
        <v>0</v>
      </c>
    </row>
    <row r="409" spans="1:64" x14ac:dyDescent="0.3">
      <c r="A409">
        <v>46</v>
      </c>
      <c r="B409" t="s">
        <v>170</v>
      </c>
      <c r="C409" t="s">
        <v>291</v>
      </c>
      <c r="D409" t="s">
        <v>369</v>
      </c>
      <c r="E409">
        <v>61</v>
      </c>
      <c r="F409">
        <v>77</v>
      </c>
      <c r="G409">
        <v>33</v>
      </c>
      <c r="H409">
        <v>2</v>
      </c>
      <c r="I409">
        <v>8</v>
      </c>
      <c r="J409">
        <v>184.84</v>
      </c>
      <c r="K409">
        <v>1</v>
      </c>
      <c r="L409" t="str">
        <f>CONCATENATE(T_BATTINGDATA[[#This Row],[Match]],T_BATTINGDATA[[#This Row],[Team]],T_BATTINGDATA[[#This Row],[Bat Number]])</f>
        <v>46West Indies1</v>
      </c>
      <c r="M409" t="str">
        <f>IFERROR(IF(AND(T_BATTINGDATA[[#This Row],[Team]]=I_TEAM,IFERROR(IF(MATCH(T_BATTINGDATA[[#This Row],[BATSMAN NAME]],$O$5:O408,0)&gt;0,0),1)),1,0),"")</f>
        <v/>
      </c>
      <c r="N409" t="e">
        <f>IF(T_BATTINGDATA[[#This Row],[Team]]=I_TEAM,T_BATTINGDATA[[#This Row],[R]],0)</f>
        <v>#REF!</v>
      </c>
      <c r="O409" t="str">
        <f>LEFT(T_BATTINGDATA[[#This Row],[Batsman]],IFERROR(FIND("*",T_BATTINGDATA[[#This Row],[Batsman]])-1,IFERROR(FIND("†",T_BATTINGDATA[[#This Row],[Batsman]])-1,LEN(T_BATTINGDATA[[#This Row],[Batsman]]))))</f>
        <v>CH Gayle</v>
      </c>
      <c r="P409">
        <f ca="1">IFERROR(IF(MATCH(T_BATTINGDATA[[#This Row],[BATSMAN NAME]],OFFSET(O410,0,0,BATROWS-ROW(O409)-ROW(T_BATTINGDATA[[#Headers],[BATSMAN NAME]])),0)&gt;0,0,SUMIF($O$6:O409,T_BATTINGDATA[[#This Row],[BATSMAN NAME]],$E$6:E409)),SUMIF($O$6:O409,T_BATTINGDATA[[#This Row],[BATSMAN NAME]],$E$6:E409))</f>
        <v>0</v>
      </c>
      <c r="AP409">
        <v>25</v>
      </c>
      <c r="AQ409" t="s">
        <v>164</v>
      </c>
      <c r="AR409" t="s">
        <v>228</v>
      </c>
      <c r="AS409">
        <v>9</v>
      </c>
      <c r="AT409">
        <v>0</v>
      </c>
      <c r="AU409">
        <v>76</v>
      </c>
      <c r="AV409">
        <v>0</v>
      </c>
      <c r="AW409">
        <v>8.44</v>
      </c>
      <c r="AX409">
        <v>23</v>
      </c>
      <c r="AY409">
        <v>7</v>
      </c>
      <c r="AZ409">
        <v>3</v>
      </c>
      <c r="BA409">
        <v>2</v>
      </c>
      <c r="BB409">
        <v>0</v>
      </c>
      <c r="BC409">
        <v>3</v>
      </c>
      <c r="BD409" t="str">
        <f>CONCATENATE(Table9[[#This Row],[Match Number]],Table9[[#This Row],[Team]],Table9[[#This Row],[BOWL NUM]])</f>
        <v>25UAE3</v>
      </c>
      <c r="BE409" t="str">
        <f>IFERROR(IF(AND(Table9[[#This Row],[Team]]=I_TEAM,IFERROR(IF(MATCH(Table9[[#This Row],[Bowler]],$AR$5:AR408,0)&gt;0,0),1)),1,0),"")</f>
        <v/>
      </c>
      <c r="BF409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0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09" t="e">
        <f>IF(Table9[[#This Row],[Team]]=I_TEAM,Table9[[#This Row],[Wickets]]*100-Table9[[#This Row],[Runs]],0)</f>
        <v>#REF!</v>
      </c>
      <c r="BI409">
        <f>Table9[[#This Row],[Wickets]]*100-Table9[[#This Row],[Runs]]</f>
        <v>-76</v>
      </c>
      <c r="BJ409">
        <f ca="1">IFERROR(IF(MATCH(Table9[[#This Row],[Bowler]],OFFSET(AR410,0,0,BOWLROWS-ROW(AR409)-ROW(Table9[[#Headers],[BOWLER CUML WICKETS]])),0)&gt;0,0,SUMIF($AR$6:AR409,Table9[[#This Row],[Bowler]],$AV$6:AV409)),SUMIF($AR$6:AR409,Table9[[#This Row],[Bowler]],$AV$6:AV409))</f>
        <v>0</v>
      </c>
      <c r="BK409">
        <f ca="1">IFERROR(IF(MATCH(Table9[[#This Row],[Bowler]],OFFSET(AR410,0,0,BOWLROWS-ROW(AR409)-ROW(Table9[[#Headers],[BOWLER CUML WICKETS]])),0)&gt;0,0,SUMIF($AR$6:AR409,Table9[[#This Row],[Bowler]],$AU$6:AU409)),SUMIF($AR$6:AR409,Table9[[#This Row],[Bowler]],$AU$6:AU409))</f>
        <v>0</v>
      </c>
      <c r="BL409">
        <f ca="1">Table9[[#This Row],[BOWLER CUML WICKETS]]*100-Table9[[#This Row],[BOWLER CUML RUNS]]</f>
        <v>0</v>
      </c>
    </row>
    <row r="410" spans="1:64" x14ac:dyDescent="0.3">
      <c r="A410">
        <v>46</v>
      </c>
      <c r="B410" t="s">
        <v>170</v>
      </c>
      <c r="C410" t="s">
        <v>606</v>
      </c>
      <c r="D410" t="s">
        <v>362</v>
      </c>
      <c r="E410">
        <v>3</v>
      </c>
      <c r="F410">
        <v>5</v>
      </c>
      <c r="G410">
        <v>6</v>
      </c>
      <c r="H410">
        <v>0</v>
      </c>
      <c r="I410">
        <v>0</v>
      </c>
      <c r="J410">
        <v>50</v>
      </c>
      <c r="K410">
        <v>2</v>
      </c>
      <c r="L410" t="str">
        <f>CONCATENATE(T_BATTINGDATA[[#This Row],[Match]],T_BATTINGDATA[[#This Row],[Team]],T_BATTINGDATA[[#This Row],[Bat Number]])</f>
        <v>46West Indies2</v>
      </c>
      <c r="M410" t="str">
        <f>IFERROR(IF(AND(T_BATTINGDATA[[#This Row],[Team]]=I_TEAM,IFERROR(IF(MATCH(T_BATTINGDATA[[#This Row],[BATSMAN NAME]],$O$5:O409,0)&gt;0,0),1)),1,0),"")</f>
        <v/>
      </c>
      <c r="N410" t="e">
        <f>IF(T_BATTINGDATA[[#This Row],[Team]]=I_TEAM,T_BATTINGDATA[[#This Row],[R]],0)</f>
        <v>#REF!</v>
      </c>
      <c r="O410" t="str">
        <f>LEFT(T_BATTINGDATA[[#This Row],[Batsman]],IFERROR(FIND("*",T_BATTINGDATA[[#This Row],[Batsman]])-1,IFERROR(FIND("†",T_BATTINGDATA[[#This Row],[Batsman]])-1,LEN(T_BATTINGDATA[[#This Row],[Batsman]]))))</f>
        <v>J Charles</v>
      </c>
      <c r="P410">
        <f ca="1">IFERROR(IF(MATCH(T_BATTINGDATA[[#This Row],[BATSMAN NAME]],OFFSET(O411,0,0,BATROWS-ROW(O410)-ROW(T_BATTINGDATA[[#Headers],[BATSMAN NAME]])),0)&gt;0,0,SUMIF($O$6:O410,T_BATTINGDATA[[#This Row],[BATSMAN NAME]],$E$6:E410)),SUMIF($O$6:O410,T_BATTINGDATA[[#This Row],[BATSMAN NAME]],$E$6:E410))</f>
        <v>0</v>
      </c>
      <c r="AP410">
        <v>25</v>
      </c>
      <c r="AQ410" t="s">
        <v>164</v>
      </c>
      <c r="AR410" t="s">
        <v>233</v>
      </c>
      <c r="AS410">
        <v>10</v>
      </c>
      <c r="AT410">
        <v>0</v>
      </c>
      <c r="AU410">
        <v>52</v>
      </c>
      <c r="AV410">
        <v>0</v>
      </c>
      <c r="AW410">
        <v>5.2</v>
      </c>
      <c r="AX410">
        <v>24</v>
      </c>
      <c r="AY410">
        <v>3</v>
      </c>
      <c r="AZ410">
        <v>0</v>
      </c>
      <c r="BA410">
        <v>1</v>
      </c>
      <c r="BB410">
        <v>0</v>
      </c>
      <c r="BC410">
        <v>4</v>
      </c>
      <c r="BD410" t="str">
        <f>CONCATENATE(Table9[[#This Row],[Match Number]],Table9[[#This Row],[Team]],Table9[[#This Row],[BOWL NUM]])</f>
        <v>25UAE4</v>
      </c>
      <c r="BE410" t="str">
        <f>IFERROR(IF(AND(Table9[[#This Row],[Team]]=I_TEAM,IFERROR(IF(MATCH(Table9[[#This Row],[Bowler]],$AR$5:AR409,0)&gt;0,0),1)),1,0),"")</f>
        <v/>
      </c>
      <c r="BF41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1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10" t="e">
        <f>IF(Table9[[#This Row],[Team]]=I_TEAM,Table9[[#This Row],[Wickets]]*100-Table9[[#This Row],[Runs]],0)</f>
        <v>#REF!</v>
      </c>
      <c r="BI410">
        <f>Table9[[#This Row],[Wickets]]*100-Table9[[#This Row],[Runs]]</f>
        <v>-52</v>
      </c>
      <c r="BJ410">
        <f ca="1">IFERROR(IF(MATCH(Table9[[#This Row],[Bowler]],OFFSET(AR411,0,0,BOWLROWS-ROW(AR410)-ROW(Table9[[#Headers],[BOWLER CUML WICKETS]])),0)&gt;0,0,SUMIF($AR$6:AR410,Table9[[#This Row],[Bowler]],$AV$6:AV410)),SUMIF($AR$6:AR410,Table9[[#This Row],[Bowler]],$AV$6:AV410))</f>
        <v>0</v>
      </c>
      <c r="BK410">
        <f ca="1">IFERROR(IF(MATCH(Table9[[#This Row],[Bowler]],OFFSET(AR411,0,0,BOWLROWS-ROW(AR410)-ROW(Table9[[#Headers],[BOWLER CUML WICKETS]])),0)&gt;0,0,SUMIF($AR$6:AR410,Table9[[#This Row],[Bowler]],$AU$6:AU410)),SUMIF($AR$6:AR410,Table9[[#This Row],[Bowler]],$AU$6:AU410))</f>
        <v>0</v>
      </c>
      <c r="BL410">
        <f ca="1">Table9[[#This Row],[BOWLER CUML WICKETS]]*100-Table9[[#This Row],[BOWLER CUML RUNS]]</f>
        <v>0</v>
      </c>
    </row>
    <row r="411" spans="1:64" x14ac:dyDescent="0.3">
      <c r="A411">
        <v>46</v>
      </c>
      <c r="B411" t="s">
        <v>170</v>
      </c>
      <c r="C411" t="s">
        <v>300</v>
      </c>
      <c r="D411" t="s">
        <v>607</v>
      </c>
      <c r="E411">
        <v>12</v>
      </c>
      <c r="F411">
        <v>18</v>
      </c>
      <c r="G411">
        <v>17</v>
      </c>
      <c r="H411">
        <v>1</v>
      </c>
      <c r="I411">
        <v>1</v>
      </c>
      <c r="J411">
        <v>70.58</v>
      </c>
      <c r="K411">
        <v>3</v>
      </c>
      <c r="L411" t="str">
        <f>CONCATENATE(T_BATTINGDATA[[#This Row],[Match]],T_BATTINGDATA[[#This Row],[Team]],T_BATTINGDATA[[#This Row],[Bat Number]])</f>
        <v>46West Indies3</v>
      </c>
      <c r="M411" t="str">
        <f>IFERROR(IF(AND(T_BATTINGDATA[[#This Row],[Team]]=I_TEAM,IFERROR(IF(MATCH(T_BATTINGDATA[[#This Row],[BATSMAN NAME]],$O$5:O410,0)&gt;0,0),1)),1,0),"")</f>
        <v/>
      </c>
      <c r="N411" t="e">
        <f>IF(T_BATTINGDATA[[#This Row],[Team]]=I_TEAM,T_BATTINGDATA[[#This Row],[R]],0)</f>
        <v>#REF!</v>
      </c>
      <c r="O411" t="str">
        <f>LEFT(T_BATTINGDATA[[#This Row],[Batsman]],IFERROR(FIND("*",T_BATTINGDATA[[#This Row],[Batsman]])-1,IFERROR(FIND("†",T_BATTINGDATA[[#This Row],[Batsman]])-1,LEN(T_BATTINGDATA[[#This Row],[Batsman]]))))</f>
        <v>LMP Simmons</v>
      </c>
      <c r="P411">
        <f ca="1">IFERROR(IF(MATCH(T_BATTINGDATA[[#This Row],[BATSMAN NAME]],OFFSET(O412,0,0,BATROWS-ROW(O411)-ROW(T_BATTINGDATA[[#Headers],[BATSMAN NAME]])),0)&gt;0,0,SUMIF($O$6:O411,T_BATTINGDATA[[#This Row],[BATSMAN NAME]],$E$6:E411)),SUMIF($O$6:O411,T_BATTINGDATA[[#This Row],[BATSMAN NAME]],$E$6:E411))</f>
        <v>0</v>
      </c>
      <c r="AP411">
        <v>25</v>
      </c>
      <c r="AQ411" t="s">
        <v>164</v>
      </c>
      <c r="AR411" t="s">
        <v>252</v>
      </c>
      <c r="AS411">
        <v>3</v>
      </c>
      <c r="AT411">
        <v>0</v>
      </c>
      <c r="AU411">
        <v>21</v>
      </c>
      <c r="AV411">
        <v>0</v>
      </c>
      <c r="AW411">
        <v>7</v>
      </c>
      <c r="AX411">
        <v>6</v>
      </c>
      <c r="AY411">
        <v>1</v>
      </c>
      <c r="AZ411">
        <v>1</v>
      </c>
      <c r="BA411">
        <v>0</v>
      </c>
      <c r="BB411">
        <v>0</v>
      </c>
      <c r="BC411">
        <v>5</v>
      </c>
      <c r="BD411" t="str">
        <f>CONCATENATE(Table9[[#This Row],[Match Number]],Table9[[#This Row],[Team]],Table9[[#This Row],[BOWL NUM]])</f>
        <v>25UAE5</v>
      </c>
      <c r="BE411" t="str">
        <f>IFERROR(IF(AND(Table9[[#This Row],[Team]]=I_TEAM,IFERROR(IF(MATCH(Table9[[#This Row],[Bowler]],$AR$5:AR410,0)&gt;0,0),1)),1,0),"")</f>
        <v/>
      </c>
      <c r="BF411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41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11" t="e">
        <f>IF(Table9[[#This Row],[Team]]=I_TEAM,Table9[[#This Row],[Wickets]]*100-Table9[[#This Row],[Runs]],0)</f>
        <v>#REF!</v>
      </c>
      <c r="BI411">
        <f>Table9[[#This Row],[Wickets]]*100-Table9[[#This Row],[Runs]]</f>
        <v>-21</v>
      </c>
      <c r="BJ411">
        <f ca="1">IFERROR(IF(MATCH(Table9[[#This Row],[Bowler]],OFFSET(AR412,0,0,BOWLROWS-ROW(AR411)-ROW(Table9[[#Headers],[BOWLER CUML WICKETS]])),0)&gt;0,0,SUMIF($AR$6:AR411,Table9[[#This Row],[Bowler]],$AV$6:AV411)),SUMIF($AR$6:AR411,Table9[[#This Row],[Bowler]],$AV$6:AV411))</f>
        <v>0</v>
      </c>
      <c r="BK411">
        <f ca="1">IFERROR(IF(MATCH(Table9[[#This Row],[Bowler]],OFFSET(AR412,0,0,BOWLROWS-ROW(AR411)-ROW(Table9[[#Headers],[BOWLER CUML WICKETS]])),0)&gt;0,0,SUMIF($AR$6:AR411,Table9[[#This Row],[Bowler]],$AU$6:AU411)),SUMIF($AR$6:AR411,Table9[[#This Row],[Bowler]],$AU$6:AU411))</f>
        <v>0</v>
      </c>
      <c r="BL411">
        <f ca="1">Table9[[#This Row],[BOWLER CUML WICKETS]]*100-Table9[[#This Row],[BOWLER CUML RUNS]]</f>
        <v>0</v>
      </c>
    </row>
    <row r="412" spans="1:64" x14ac:dyDescent="0.3">
      <c r="A412">
        <v>46</v>
      </c>
      <c r="B412" t="s">
        <v>170</v>
      </c>
      <c r="C412" t="s">
        <v>267</v>
      </c>
      <c r="D412" t="s">
        <v>608</v>
      </c>
      <c r="E412">
        <v>27</v>
      </c>
      <c r="F412">
        <v>17</v>
      </c>
      <c r="G412">
        <v>15</v>
      </c>
      <c r="H412">
        <v>3</v>
      </c>
      <c r="I412">
        <v>1</v>
      </c>
      <c r="J412">
        <v>180</v>
      </c>
      <c r="K412">
        <v>4</v>
      </c>
      <c r="L412" t="str">
        <f>CONCATENATE(T_BATTINGDATA[[#This Row],[Match]],T_BATTINGDATA[[#This Row],[Team]],T_BATTINGDATA[[#This Row],[Bat Number]])</f>
        <v>46West Indies4</v>
      </c>
      <c r="M412" t="str">
        <f>IFERROR(IF(AND(T_BATTINGDATA[[#This Row],[Team]]=I_TEAM,IFERROR(IF(MATCH(T_BATTINGDATA[[#This Row],[BATSMAN NAME]],$O$5:O411,0)&gt;0,0),1)),1,0),"")</f>
        <v/>
      </c>
      <c r="N412" t="e">
        <f>IF(T_BATTINGDATA[[#This Row],[Team]]=I_TEAM,T_BATTINGDATA[[#This Row],[R]],0)</f>
        <v>#REF!</v>
      </c>
      <c r="O412" t="str">
        <f>LEFT(T_BATTINGDATA[[#This Row],[Batsman]],IFERROR(FIND("*",T_BATTINGDATA[[#This Row],[Batsman]])-1,IFERROR(FIND("†",T_BATTINGDATA[[#This Row],[Batsman]])-1,LEN(T_BATTINGDATA[[#This Row],[Batsman]]))))</f>
        <v>MN Samuels</v>
      </c>
      <c r="P412">
        <f ca="1">IFERROR(IF(MATCH(T_BATTINGDATA[[#This Row],[BATSMAN NAME]],OFFSET(O413,0,0,BATROWS-ROW(O412)-ROW(T_BATTINGDATA[[#Headers],[BATSMAN NAME]])),0)&gt;0,0,SUMIF($O$6:O412,T_BATTINGDATA[[#This Row],[BATSMAN NAME]],$E$6:E412)),SUMIF($O$6:O412,T_BATTINGDATA[[#This Row],[BATSMAN NAME]],$E$6:E412))</f>
        <v>0</v>
      </c>
      <c r="AP412">
        <v>25</v>
      </c>
      <c r="AQ412" t="s">
        <v>164</v>
      </c>
      <c r="AR412" t="s">
        <v>230</v>
      </c>
      <c r="AS412">
        <v>8</v>
      </c>
      <c r="AT412">
        <v>0</v>
      </c>
      <c r="AU412">
        <v>58</v>
      </c>
      <c r="AV412">
        <v>0</v>
      </c>
      <c r="AW412">
        <v>7.25</v>
      </c>
      <c r="AX412">
        <v>16</v>
      </c>
      <c r="AY412">
        <v>2</v>
      </c>
      <c r="AZ412">
        <v>2</v>
      </c>
      <c r="BA412">
        <v>0</v>
      </c>
      <c r="BB412">
        <v>0</v>
      </c>
      <c r="BC412">
        <v>6</v>
      </c>
      <c r="BD412" t="str">
        <f>CONCATENATE(Table9[[#This Row],[Match Number]],Table9[[#This Row],[Team]],Table9[[#This Row],[BOWL NUM]])</f>
        <v>25UAE6</v>
      </c>
      <c r="BE412" t="str">
        <f>IFERROR(IF(AND(Table9[[#This Row],[Team]]=I_TEAM,IFERROR(IF(MATCH(Table9[[#This Row],[Bowler]],$AR$5:AR411,0)&gt;0,0),1)),1,0),"")</f>
        <v/>
      </c>
      <c r="BF412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41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12" t="e">
        <f>IF(Table9[[#This Row],[Team]]=I_TEAM,Table9[[#This Row],[Wickets]]*100-Table9[[#This Row],[Runs]],0)</f>
        <v>#REF!</v>
      </c>
      <c r="BI412">
        <f>Table9[[#This Row],[Wickets]]*100-Table9[[#This Row],[Runs]]</f>
        <v>-58</v>
      </c>
      <c r="BJ412">
        <f ca="1">IFERROR(IF(MATCH(Table9[[#This Row],[Bowler]],OFFSET(AR413,0,0,BOWLROWS-ROW(AR412)-ROW(Table9[[#Headers],[BOWLER CUML WICKETS]])),0)&gt;0,0,SUMIF($AR$6:AR412,Table9[[#This Row],[Bowler]],$AV$6:AV412)),SUMIF($AR$6:AR412,Table9[[#This Row],[Bowler]],$AV$6:AV412))</f>
        <v>1</v>
      </c>
      <c r="BK412">
        <f ca="1">IFERROR(IF(MATCH(Table9[[#This Row],[Bowler]],OFFSET(AR413,0,0,BOWLROWS-ROW(AR412)-ROW(Table9[[#Headers],[BOWLER CUML WICKETS]])),0)&gt;0,0,SUMIF($AR$6:AR412,Table9[[#This Row],[Bowler]],$AU$6:AU412)),SUMIF($AR$6:AR412,Table9[[#This Row],[Bowler]],$AU$6:AU412))</f>
        <v>177</v>
      </c>
      <c r="BL412">
        <f ca="1">Table9[[#This Row],[BOWLER CUML WICKETS]]*100-Table9[[#This Row],[BOWLER CUML RUNS]]</f>
        <v>-77</v>
      </c>
    </row>
    <row r="413" spans="1:64" x14ac:dyDescent="0.3">
      <c r="A413">
        <v>46</v>
      </c>
      <c r="B413" t="s">
        <v>170</v>
      </c>
      <c r="C413" t="s">
        <v>298</v>
      </c>
      <c r="D413" t="s">
        <v>365</v>
      </c>
      <c r="E413">
        <v>0</v>
      </c>
      <c r="F413">
        <v>2</v>
      </c>
      <c r="G413">
        <v>4</v>
      </c>
      <c r="H413">
        <v>0</v>
      </c>
      <c r="I413">
        <v>0</v>
      </c>
      <c r="J413">
        <v>0</v>
      </c>
      <c r="K413">
        <v>5</v>
      </c>
      <c r="L413" t="str">
        <f>CONCATENATE(T_BATTINGDATA[[#This Row],[Match]],T_BATTINGDATA[[#This Row],[Team]],T_BATTINGDATA[[#This Row],[Bat Number]])</f>
        <v>46West Indies5</v>
      </c>
      <c r="M413" t="str">
        <f>IFERROR(IF(AND(T_BATTINGDATA[[#This Row],[Team]]=I_TEAM,IFERROR(IF(MATCH(T_BATTINGDATA[[#This Row],[BATSMAN NAME]],$O$5:O412,0)&gt;0,0),1)),1,0),"")</f>
        <v/>
      </c>
      <c r="N413" t="e">
        <f>IF(T_BATTINGDATA[[#This Row],[Team]]=I_TEAM,T_BATTINGDATA[[#This Row],[R]],0)</f>
        <v>#REF!</v>
      </c>
      <c r="O413" t="str">
        <f>LEFT(T_BATTINGDATA[[#This Row],[Batsman]],IFERROR(FIND("*",T_BATTINGDATA[[#This Row],[Batsman]])-1,IFERROR(FIND("†",T_BATTINGDATA[[#This Row],[Batsman]])-1,LEN(T_BATTINGDATA[[#This Row],[Batsman]]))))</f>
        <v>D Ramdin</v>
      </c>
      <c r="P413">
        <f ca="1">IFERROR(IF(MATCH(T_BATTINGDATA[[#This Row],[BATSMAN NAME]],OFFSET(O414,0,0,BATROWS-ROW(O413)-ROW(T_BATTINGDATA[[#Headers],[BATSMAN NAME]])),0)&gt;0,0,SUMIF($O$6:O413,T_BATTINGDATA[[#This Row],[BATSMAN NAME]],$E$6:E413)),SUMIF($O$6:O413,T_BATTINGDATA[[#This Row],[BATSMAN NAME]],$E$6:E413))</f>
        <v>0</v>
      </c>
      <c r="AP413">
        <v>25</v>
      </c>
      <c r="AQ413" t="s">
        <v>164</v>
      </c>
      <c r="AR413" t="s">
        <v>256</v>
      </c>
      <c r="AS413">
        <v>2</v>
      </c>
      <c r="AT413">
        <v>0</v>
      </c>
      <c r="AU413">
        <v>23</v>
      </c>
      <c r="AV413">
        <v>0</v>
      </c>
      <c r="AW413">
        <v>11.5</v>
      </c>
      <c r="AX413">
        <v>4</v>
      </c>
      <c r="AY413">
        <v>3</v>
      </c>
      <c r="AZ413">
        <v>0</v>
      </c>
      <c r="BA413">
        <v>2</v>
      </c>
      <c r="BB413">
        <v>0</v>
      </c>
      <c r="BC413">
        <v>7</v>
      </c>
      <c r="BD413" t="str">
        <f>CONCATENATE(Table9[[#This Row],[Match Number]],Table9[[#This Row],[Team]],Table9[[#This Row],[BOWL NUM]])</f>
        <v>25UAE7</v>
      </c>
      <c r="BE413" t="str">
        <f>IFERROR(IF(AND(Table9[[#This Row],[Team]]=I_TEAM,IFERROR(IF(MATCH(Table9[[#This Row],[Bowler]],$AR$5:AR412,0)&gt;0,0),1)),1,0),"")</f>
        <v/>
      </c>
      <c r="BF413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41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13" t="e">
        <f>IF(Table9[[#This Row],[Team]]=I_TEAM,Table9[[#This Row],[Wickets]]*100-Table9[[#This Row],[Runs]],0)</f>
        <v>#REF!</v>
      </c>
      <c r="BI413">
        <f>Table9[[#This Row],[Wickets]]*100-Table9[[#This Row],[Runs]]</f>
        <v>-23</v>
      </c>
      <c r="BJ413">
        <f ca="1">IFERROR(IF(MATCH(Table9[[#This Row],[Bowler]],OFFSET(AR414,0,0,BOWLROWS-ROW(AR413)-ROW(Table9[[#Headers],[BOWLER CUML WICKETS]])),0)&gt;0,0,SUMIF($AR$6:AR453,Table9[[#This Row],[Bowler]],$AV$6:AV453)),SUMIF($AR$6:AR453,Table9[[#This Row],[Bowler]],$AV$6:AV453))</f>
        <v>0</v>
      </c>
      <c r="BK413">
        <f ca="1">IFERROR(IF(MATCH(Table9[[#This Row],[Bowler]],OFFSET(AR414,0,0,BOWLROWS-ROW(AR413)-ROW(Table9[[#Headers],[BOWLER CUML WICKETS]])),0)&gt;0,0,SUMIF($AR$6:AR590,Table9[[#This Row],[Bowler]],$AU$6:AU590)),SUMIF($AR$6:AR590,Table9[[#This Row],[Bowler]],$AU$6:AU590))</f>
        <v>76</v>
      </c>
      <c r="BL413">
        <f ca="1">Table9[[#This Row],[BOWLER CUML WICKETS]]*100-Table9[[#This Row],[BOWLER CUML RUNS]]</f>
        <v>-76</v>
      </c>
    </row>
    <row r="414" spans="1:64" x14ac:dyDescent="0.3">
      <c r="A414">
        <v>46</v>
      </c>
      <c r="B414" t="s">
        <v>170</v>
      </c>
      <c r="C414" t="s">
        <v>296</v>
      </c>
      <c r="D414" t="s">
        <v>609</v>
      </c>
      <c r="E414">
        <v>32</v>
      </c>
      <c r="F414">
        <v>58</v>
      </c>
      <c r="G414">
        <v>39</v>
      </c>
      <c r="H414">
        <v>4</v>
      </c>
      <c r="I414">
        <v>1</v>
      </c>
      <c r="J414">
        <v>82.05</v>
      </c>
      <c r="K414">
        <v>6</v>
      </c>
      <c r="L414" t="str">
        <f>CONCATENATE(T_BATTINGDATA[[#This Row],[Match]],T_BATTINGDATA[[#This Row],[Team]],T_BATTINGDATA[[#This Row],[Bat Number]])</f>
        <v>46West Indies6</v>
      </c>
      <c r="M414" t="str">
        <f>IFERROR(IF(AND(T_BATTINGDATA[[#This Row],[Team]]=I_TEAM,IFERROR(IF(MATCH(T_BATTINGDATA[[#This Row],[BATSMAN NAME]],$O$5:O413,0)&gt;0,0),1)),1,0),"")</f>
        <v/>
      </c>
      <c r="N414" t="e">
        <f>IF(T_BATTINGDATA[[#This Row],[Team]]=I_TEAM,T_BATTINGDATA[[#This Row],[R]],0)</f>
        <v>#REF!</v>
      </c>
      <c r="O414" t="str">
        <f>LEFT(T_BATTINGDATA[[#This Row],[Batsman]],IFERROR(FIND("*",T_BATTINGDATA[[#This Row],[Batsman]])-1,IFERROR(FIND("†",T_BATTINGDATA[[#This Row],[Batsman]])-1,LEN(T_BATTINGDATA[[#This Row],[Batsman]]))))</f>
        <v>JL Carter</v>
      </c>
      <c r="P414">
        <f ca="1">IFERROR(IF(MATCH(T_BATTINGDATA[[#This Row],[BATSMAN NAME]],OFFSET(O415,0,0,BATROWS-ROW(O414)-ROW(T_BATTINGDATA[[#Headers],[BATSMAN NAME]])),0)&gt;0,0,SUMIF($O$6:O414,T_BATTINGDATA[[#This Row],[BATSMAN NAME]],$E$6:E414)),SUMIF($O$6:O414,T_BATTINGDATA[[#This Row],[BATSMAN NAME]],$E$6:E414))</f>
        <v>0</v>
      </c>
      <c r="AP414">
        <v>25</v>
      </c>
      <c r="AQ414" t="s">
        <v>153</v>
      </c>
      <c r="AR414" t="s">
        <v>182</v>
      </c>
      <c r="AS414">
        <v>3</v>
      </c>
      <c r="AT414">
        <v>1</v>
      </c>
      <c r="AU414">
        <v>2</v>
      </c>
      <c r="AV414">
        <v>0</v>
      </c>
      <c r="AW414">
        <v>0.66</v>
      </c>
      <c r="AX414">
        <v>16</v>
      </c>
      <c r="AY414">
        <v>0</v>
      </c>
      <c r="AZ414">
        <v>0</v>
      </c>
      <c r="BA414">
        <v>0</v>
      </c>
      <c r="BB414">
        <v>0</v>
      </c>
      <c r="BC414">
        <v>1</v>
      </c>
      <c r="BD414" t="str">
        <f>CONCATENATE(Table9[[#This Row],[Match Number]],Table9[[#This Row],[Team]],Table9[[#This Row],[BOWL NUM]])</f>
        <v>25Pakistan1</v>
      </c>
      <c r="BE414" t="str">
        <f>IFERROR(IF(AND(Table9[[#This Row],[Team]]=I_TEAM,IFERROR(IF(MATCH(Table9[[#This Row],[Bowler]],$AR$5:AR413,0)&gt;0,0),1)),1,0),"")</f>
        <v/>
      </c>
      <c r="BF414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41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14" t="e">
        <f>IF(Table9[[#This Row],[Team]]=I_TEAM,Table9[[#This Row],[Wickets]]*100-Table9[[#This Row],[Runs]],0)</f>
        <v>#REF!</v>
      </c>
      <c r="BI414">
        <f>Table9[[#This Row],[Wickets]]*100-Table9[[#This Row],[Runs]]</f>
        <v>-2</v>
      </c>
      <c r="BJ414">
        <f ca="1">IFERROR(IF(MATCH(Table9[[#This Row],[Bowler]],OFFSET(AR415,0,0,BOWLROWS-ROW(AR414)-ROW(Table9[[#Headers],[BOWLER CUML WICKETS]])),0)&gt;0,0,SUMIF($AR$6:AR414,Table9[[#This Row],[Bowler]],$AV$6:AV414)),SUMIF($AR$6:AR414,Table9[[#This Row],[Bowler]],$AV$6:AV414))</f>
        <v>0</v>
      </c>
      <c r="BK414">
        <f ca="1">IFERROR(IF(MATCH(Table9[[#This Row],[Bowler]],OFFSET(AR415,0,0,BOWLROWS-ROW(AR414)-ROW(Table9[[#Headers],[BOWLER CUML WICKETS]])),0)&gt;0,0,SUMIF($AR$6:AR414,Table9[[#This Row],[Bowler]],$AU$6:AU414)),SUMIF($AR$6:AR414,Table9[[#This Row],[Bowler]],$AU$6:AU414))</f>
        <v>0</v>
      </c>
      <c r="BL414">
        <f ca="1">Table9[[#This Row],[BOWLER CUML WICKETS]]*100-Table9[[#This Row],[BOWLER CUML RUNS]]</f>
        <v>0</v>
      </c>
    </row>
    <row r="415" spans="1:64" x14ac:dyDescent="0.3">
      <c r="A415">
        <v>46</v>
      </c>
      <c r="B415" t="s">
        <v>170</v>
      </c>
      <c r="C415" t="s">
        <v>302</v>
      </c>
      <c r="D415" t="s">
        <v>454</v>
      </c>
      <c r="E415">
        <v>27</v>
      </c>
      <c r="F415">
        <v>21</v>
      </c>
      <c r="G415">
        <v>16</v>
      </c>
      <c r="H415">
        <v>3</v>
      </c>
      <c r="I415">
        <v>1</v>
      </c>
      <c r="J415">
        <v>168.75</v>
      </c>
      <c r="K415">
        <v>7</v>
      </c>
      <c r="L415" t="str">
        <f>CONCATENATE(T_BATTINGDATA[[#This Row],[Match]],T_BATTINGDATA[[#This Row],[Team]],T_BATTINGDATA[[#This Row],[Bat Number]])</f>
        <v>46West Indies7</v>
      </c>
      <c r="M415" t="str">
        <f>IFERROR(IF(AND(T_BATTINGDATA[[#This Row],[Team]]=I_TEAM,IFERROR(IF(MATCH(T_BATTINGDATA[[#This Row],[BATSMAN NAME]],$O$5:O414,0)&gt;0,0),1)),1,0),"")</f>
        <v/>
      </c>
      <c r="N415" t="e">
        <f>IF(T_BATTINGDATA[[#This Row],[Team]]=I_TEAM,T_BATTINGDATA[[#This Row],[R]],0)</f>
        <v>#REF!</v>
      </c>
      <c r="O415" t="str">
        <f>LEFT(T_BATTINGDATA[[#This Row],[Batsman]],IFERROR(FIND("*",T_BATTINGDATA[[#This Row],[Batsman]])-1,IFERROR(FIND("†",T_BATTINGDATA[[#This Row],[Batsman]])-1,LEN(T_BATTINGDATA[[#This Row],[Batsman]]))))</f>
        <v>DJG Sammy</v>
      </c>
      <c r="P415">
        <f ca="1">IFERROR(IF(MATCH(T_BATTINGDATA[[#This Row],[BATSMAN NAME]],OFFSET(O416,0,0,BATROWS-ROW(O415)-ROW(T_BATTINGDATA[[#Headers],[BATSMAN NAME]])),0)&gt;0,0,SUMIF($O$6:O415,T_BATTINGDATA[[#This Row],[BATSMAN NAME]],$E$6:E415)),SUMIF($O$6:O415,T_BATTINGDATA[[#This Row],[BATSMAN NAME]],$E$6:E415))</f>
        <v>0</v>
      </c>
      <c r="AP415">
        <v>25</v>
      </c>
      <c r="AQ415" t="s">
        <v>153</v>
      </c>
      <c r="AR415" t="s">
        <v>186</v>
      </c>
      <c r="AS415">
        <v>9</v>
      </c>
      <c r="AT415">
        <v>2</v>
      </c>
      <c r="AU415">
        <v>54</v>
      </c>
      <c r="AV415">
        <v>2</v>
      </c>
      <c r="AW415">
        <v>6</v>
      </c>
      <c r="AX415">
        <v>39</v>
      </c>
      <c r="AY415">
        <v>7</v>
      </c>
      <c r="AZ415">
        <v>3</v>
      </c>
      <c r="BA415">
        <v>3</v>
      </c>
      <c r="BB415">
        <v>0</v>
      </c>
      <c r="BC415">
        <v>2</v>
      </c>
      <c r="BD415" t="str">
        <f>CONCATENATE(Table9[[#This Row],[Match Number]],Table9[[#This Row],[Team]],Table9[[#This Row],[BOWL NUM]])</f>
        <v>25Pakistan2</v>
      </c>
      <c r="BE415" t="str">
        <f>IFERROR(IF(AND(Table9[[#This Row],[Team]]=I_TEAM,IFERROR(IF(MATCH(Table9[[#This Row],[Bowler]],$AR$5:AR414,0)&gt;0,0),1)),1,0),"")</f>
        <v/>
      </c>
      <c r="BF415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1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15" t="e">
        <f>IF(Table9[[#This Row],[Team]]=I_TEAM,Table9[[#This Row],[Wickets]]*100-Table9[[#This Row],[Runs]],0)</f>
        <v>#REF!</v>
      </c>
      <c r="BI415">
        <f>Table9[[#This Row],[Wickets]]*100-Table9[[#This Row],[Runs]]</f>
        <v>146</v>
      </c>
      <c r="BJ415">
        <f ca="1">IFERROR(IF(MATCH(Table9[[#This Row],[Bowler]],OFFSET(AR416,0,0,BOWLROWS-ROW(AR415)-ROW(Table9[[#Headers],[BOWLER CUML WICKETS]])),0)&gt;0,0,SUMIF($AR$6:AR415,Table9[[#This Row],[Bowler]],$AV$6:AV415)),SUMIF($AR$6:AR415,Table9[[#This Row],[Bowler]],$AV$6:AV415))</f>
        <v>0</v>
      </c>
      <c r="BK415">
        <f ca="1">IFERROR(IF(MATCH(Table9[[#This Row],[Bowler]],OFFSET(AR416,0,0,BOWLROWS-ROW(AR415)-ROW(Table9[[#Headers],[BOWLER CUML WICKETS]])),0)&gt;0,0,SUMIF($AR$6:AR415,Table9[[#This Row],[Bowler]],$AU$6:AU415)),SUMIF($AR$6:AR415,Table9[[#This Row],[Bowler]],$AU$6:AU415))</f>
        <v>0</v>
      </c>
      <c r="BL415">
        <f ca="1">Table9[[#This Row],[BOWLER CUML WICKETS]]*100-Table9[[#This Row],[BOWLER CUML RUNS]]</f>
        <v>0</v>
      </c>
    </row>
    <row r="416" spans="1:64" x14ac:dyDescent="0.3">
      <c r="A416">
        <v>46</v>
      </c>
      <c r="B416" t="s">
        <v>170</v>
      </c>
      <c r="C416" t="s">
        <v>264</v>
      </c>
      <c r="D416" t="s">
        <v>506</v>
      </c>
      <c r="E416">
        <v>20</v>
      </c>
      <c r="F416">
        <v>16</v>
      </c>
      <c r="G416">
        <v>11</v>
      </c>
      <c r="H416">
        <v>1</v>
      </c>
      <c r="I416">
        <v>2</v>
      </c>
      <c r="J416">
        <v>181.81</v>
      </c>
      <c r="K416">
        <v>8</v>
      </c>
      <c r="L416" t="str">
        <f>CONCATENATE(T_BATTINGDATA[[#This Row],[Match]],T_BATTINGDATA[[#This Row],[Team]],T_BATTINGDATA[[#This Row],[Bat Number]])</f>
        <v>46West Indies8</v>
      </c>
      <c r="M416" t="str">
        <f>IFERROR(IF(AND(T_BATTINGDATA[[#This Row],[Team]]=I_TEAM,IFERROR(IF(MATCH(T_BATTINGDATA[[#This Row],[BATSMAN NAME]],$O$5:O415,0)&gt;0,0),1)),1,0),"")</f>
        <v/>
      </c>
      <c r="N416" t="e">
        <f>IF(T_BATTINGDATA[[#This Row],[Team]]=I_TEAM,T_BATTINGDATA[[#This Row],[R]],0)</f>
        <v>#REF!</v>
      </c>
      <c r="O416" t="str">
        <f>LEFT(T_BATTINGDATA[[#This Row],[Batsman]],IFERROR(FIND("*",T_BATTINGDATA[[#This Row],[Batsman]])-1,IFERROR(FIND("†",T_BATTINGDATA[[#This Row],[Batsman]])-1,LEN(T_BATTINGDATA[[#This Row],[Batsman]]))))</f>
        <v>AD Russell</v>
      </c>
      <c r="P416">
        <f ca="1">IFERROR(IF(MATCH(T_BATTINGDATA[[#This Row],[BATSMAN NAME]],OFFSET(O417,0,0,BATROWS-ROW(O416)-ROW(T_BATTINGDATA[[#Headers],[BATSMAN NAME]])),0)&gt;0,0,SUMIF($O$6:O416,T_BATTINGDATA[[#This Row],[BATSMAN NAME]],$E$6:E416)),SUMIF($O$6:O416,T_BATTINGDATA[[#This Row],[BATSMAN NAME]],$E$6:E416))</f>
        <v>0</v>
      </c>
      <c r="AP416">
        <v>25</v>
      </c>
      <c r="AQ416" t="s">
        <v>153</v>
      </c>
      <c r="AR416" t="s">
        <v>512</v>
      </c>
      <c r="AS416">
        <v>10</v>
      </c>
      <c r="AT416">
        <v>0</v>
      </c>
      <c r="AU416">
        <v>30</v>
      </c>
      <c r="AV416">
        <v>1</v>
      </c>
      <c r="AW416">
        <v>3</v>
      </c>
      <c r="AX416">
        <v>42</v>
      </c>
      <c r="AY416">
        <v>2</v>
      </c>
      <c r="AZ416">
        <v>0</v>
      </c>
      <c r="BA416">
        <v>2</v>
      </c>
      <c r="BB416">
        <v>0</v>
      </c>
      <c r="BC416">
        <v>3</v>
      </c>
      <c r="BD416" t="str">
        <f>CONCATENATE(Table9[[#This Row],[Match Number]],Table9[[#This Row],[Team]],Table9[[#This Row],[BOWL NUM]])</f>
        <v>25Pakistan3</v>
      </c>
      <c r="BE416" t="str">
        <f>IFERROR(IF(AND(Table9[[#This Row],[Team]]=I_TEAM,IFERROR(IF(MATCH(Table9[[#This Row],[Bowler]],$AR$5:AR415,0)&gt;0,0),1)),1,0),"")</f>
        <v/>
      </c>
      <c r="BF41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1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16" t="e">
        <f>IF(Table9[[#This Row],[Team]]=I_TEAM,Table9[[#This Row],[Wickets]]*100-Table9[[#This Row],[Runs]],0)</f>
        <v>#REF!</v>
      </c>
      <c r="BI416">
        <f>Table9[[#This Row],[Wickets]]*100-Table9[[#This Row],[Runs]]</f>
        <v>70</v>
      </c>
      <c r="BJ416">
        <f ca="1">IFERROR(IF(MATCH(Table9[[#This Row],[Bowler]],OFFSET(AR417,0,0,BOWLROWS-ROW(AR416)-ROW(Table9[[#Headers],[BOWLER CUML WICKETS]])),0)&gt;0,0,SUMIF($AR$6:AR416,Table9[[#This Row],[Bowler]],$AV$6:AV416)),SUMIF($AR$6:AR416,Table9[[#This Row],[Bowler]],$AV$6:AV416))</f>
        <v>0</v>
      </c>
      <c r="BK416">
        <f ca="1">IFERROR(IF(MATCH(Table9[[#This Row],[Bowler]],OFFSET(AR417,0,0,BOWLROWS-ROW(AR416)-ROW(Table9[[#Headers],[BOWLER CUML WICKETS]])),0)&gt;0,0,SUMIF($AR$6:AR416,Table9[[#This Row],[Bowler]],$AU$6:AU416)),SUMIF($AR$6:AR416,Table9[[#This Row],[Bowler]],$AU$6:AU416))</f>
        <v>0</v>
      </c>
      <c r="BL416">
        <f ca="1">Table9[[#This Row],[BOWLER CUML WICKETS]]*100-Table9[[#This Row],[BOWLER CUML RUNS]]</f>
        <v>0</v>
      </c>
    </row>
    <row r="417" spans="1:64" x14ac:dyDescent="0.3">
      <c r="A417">
        <v>46</v>
      </c>
      <c r="B417" t="s">
        <v>170</v>
      </c>
      <c r="C417" t="s">
        <v>306</v>
      </c>
      <c r="D417" t="s">
        <v>610</v>
      </c>
      <c r="E417">
        <v>42</v>
      </c>
      <c r="F417">
        <v>33</v>
      </c>
      <c r="G417">
        <v>26</v>
      </c>
      <c r="H417">
        <v>5</v>
      </c>
      <c r="I417">
        <v>2</v>
      </c>
      <c r="J417">
        <v>161.53</v>
      </c>
      <c r="K417">
        <v>9</v>
      </c>
      <c r="L417" t="str">
        <f>CONCATENATE(T_BATTINGDATA[[#This Row],[Match]],T_BATTINGDATA[[#This Row],[Team]],T_BATTINGDATA[[#This Row],[Bat Number]])</f>
        <v>46West Indies9</v>
      </c>
      <c r="M417" t="str">
        <f>IFERROR(IF(AND(T_BATTINGDATA[[#This Row],[Team]]=I_TEAM,IFERROR(IF(MATCH(T_BATTINGDATA[[#This Row],[BATSMAN NAME]],$O$5:O416,0)&gt;0,0),1)),1,0),"")</f>
        <v/>
      </c>
      <c r="N417" t="e">
        <f>IF(T_BATTINGDATA[[#This Row],[Team]]=I_TEAM,T_BATTINGDATA[[#This Row],[R]],0)</f>
        <v>#REF!</v>
      </c>
      <c r="O417" t="str">
        <f>LEFT(T_BATTINGDATA[[#This Row],[Batsman]],IFERROR(FIND("*",T_BATTINGDATA[[#This Row],[Batsman]])-1,IFERROR(FIND("†",T_BATTINGDATA[[#This Row],[Batsman]])-1,LEN(T_BATTINGDATA[[#This Row],[Batsman]]))))</f>
        <v>JO Holder</v>
      </c>
      <c r="P417">
        <f ca="1">IFERROR(IF(MATCH(T_BATTINGDATA[[#This Row],[BATSMAN NAME]],OFFSET(O418,0,0,BATROWS-ROW(O417)-ROW(T_BATTINGDATA[[#Headers],[BATSMAN NAME]])),0)&gt;0,0,SUMIF($O$6:O417,T_BATTINGDATA[[#This Row],[BATSMAN NAME]],$E$6:E417)),SUMIF($O$6:O417,T_BATTINGDATA[[#This Row],[BATSMAN NAME]],$E$6:E417))</f>
        <v>0</v>
      </c>
      <c r="AP417">
        <v>25</v>
      </c>
      <c r="AQ417" t="s">
        <v>153</v>
      </c>
      <c r="AR417" t="s">
        <v>189</v>
      </c>
      <c r="AS417">
        <v>10</v>
      </c>
      <c r="AT417">
        <v>1</v>
      </c>
      <c r="AU417">
        <v>54</v>
      </c>
      <c r="AV417">
        <v>2</v>
      </c>
      <c r="AW417">
        <v>5.4</v>
      </c>
      <c r="AX417">
        <v>34</v>
      </c>
      <c r="AY417">
        <v>3</v>
      </c>
      <c r="AZ417">
        <v>1</v>
      </c>
      <c r="BA417">
        <v>2</v>
      </c>
      <c r="BB417">
        <v>0</v>
      </c>
      <c r="BC417">
        <v>4</v>
      </c>
      <c r="BD417" t="str">
        <f>CONCATENATE(Table9[[#This Row],[Match Number]],Table9[[#This Row],[Team]],Table9[[#This Row],[BOWL NUM]])</f>
        <v>25Pakistan4</v>
      </c>
      <c r="BE417" t="str">
        <f>IFERROR(IF(AND(Table9[[#This Row],[Team]]=I_TEAM,IFERROR(IF(MATCH(Table9[[#This Row],[Bowler]],$AR$5:AR416,0)&gt;0,0),1)),1,0),"")</f>
        <v/>
      </c>
      <c r="BF41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1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17" t="e">
        <f>IF(Table9[[#This Row],[Team]]=I_TEAM,Table9[[#This Row],[Wickets]]*100-Table9[[#This Row],[Runs]],0)</f>
        <v>#REF!</v>
      </c>
      <c r="BI417">
        <f>Table9[[#This Row],[Wickets]]*100-Table9[[#This Row],[Runs]]</f>
        <v>146</v>
      </c>
      <c r="BJ417">
        <f ca="1">IFERROR(IF(MATCH(Table9[[#This Row],[Bowler]],OFFSET(AR418,0,0,BOWLROWS-ROW(AR417)-ROW(Table9[[#Headers],[BOWLER CUML WICKETS]])),0)&gt;0,0,SUMIF($AR$6:AR417,Table9[[#This Row],[Bowler]],$AV$6:AV417)),SUMIF($AR$6:AR417,Table9[[#This Row],[Bowler]],$AV$6:AV417))</f>
        <v>0</v>
      </c>
      <c r="BK417">
        <f ca="1">IFERROR(IF(MATCH(Table9[[#This Row],[Bowler]],OFFSET(AR418,0,0,BOWLROWS-ROW(AR417)-ROW(Table9[[#Headers],[BOWLER CUML WICKETS]])),0)&gt;0,0,SUMIF($AR$6:AR417,Table9[[#This Row],[Bowler]],$AU$6:AU417)),SUMIF($AR$6:AR417,Table9[[#This Row],[Bowler]],$AU$6:AU417))</f>
        <v>0</v>
      </c>
      <c r="BL417">
        <f ca="1">Table9[[#This Row],[BOWLER CUML WICKETS]]*100-Table9[[#This Row],[BOWLER CUML RUNS]]</f>
        <v>0</v>
      </c>
    </row>
    <row r="418" spans="1:64" x14ac:dyDescent="0.3">
      <c r="A418">
        <v>46</v>
      </c>
      <c r="B418" t="s">
        <v>170</v>
      </c>
      <c r="C418" t="s">
        <v>259</v>
      </c>
      <c r="D418" t="s">
        <v>611</v>
      </c>
      <c r="E418">
        <v>11</v>
      </c>
      <c r="F418">
        <v>8</v>
      </c>
      <c r="G418">
        <v>12</v>
      </c>
      <c r="H418">
        <v>2</v>
      </c>
      <c r="I418">
        <v>0</v>
      </c>
      <c r="J418">
        <v>91.66</v>
      </c>
      <c r="K418">
        <v>10</v>
      </c>
      <c r="L418" t="str">
        <f>CONCATENATE(T_BATTINGDATA[[#This Row],[Match]],T_BATTINGDATA[[#This Row],[Team]],T_BATTINGDATA[[#This Row],[Bat Number]])</f>
        <v>46West Indies10</v>
      </c>
      <c r="M418" t="str">
        <f>IFERROR(IF(AND(T_BATTINGDATA[[#This Row],[Team]]=I_TEAM,IFERROR(IF(MATCH(T_BATTINGDATA[[#This Row],[BATSMAN NAME]],$O$5:O417,0)&gt;0,0),1)),1,0),"")</f>
        <v/>
      </c>
      <c r="N418" t="e">
        <f>IF(T_BATTINGDATA[[#This Row],[Team]]=I_TEAM,T_BATTINGDATA[[#This Row],[R]],0)</f>
        <v>#REF!</v>
      </c>
      <c r="O418" t="str">
        <f>LEFT(T_BATTINGDATA[[#This Row],[Batsman]],IFERROR(FIND("*",T_BATTINGDATA[[#This Row],[Batsman]])-1,IFERROR(FIND("†",T_BATTINGDATA[[#This Row],[Batsman]])-1,LEN(T_BATTINGDATA[[#This Row],[Batsman]]))))</f>
        <v>JE Taylor</v>
      </c>
      <c r="P418">
        <f ca="1">IFERROR(IF(MATCH(T_BATTINGDATA[[#This Row],[BATSMAN NAME]],OFFSET(O419,0,0,BATROWS-ROW(O418)-ROW(T_BATTINGDATA[[#Headers],[BATSMAN NAME]])),0)&gt;0,0,SUMIF($O$6:O418,T_BATTINGDATA[[#This Row],[BATSMAN NAME]],$E$6:E418)),SUMIF($O$6:O418,T_BATTINGDATA[[#This Row],[BATSMAN NAME]],$E$6:E418))</f>
        <v>0</v>
      </c>
      <c r="AP418">
        <v>25</v>
      </c>
      <c r="AQ418" t="s">
        <v>153</v>
      </c>
      <c r="AR418" t="s">
        <v>188</v>
      </c>
      <c r="AS418">
        <v>10</v>
      </c>
      <c r="AT418">
        <v>1</v>
      </c>
      <c r="AU418">
        <v>35</v>
      </c>
      <c r="AV418">
        <v>2</v>
      </c>
      <c r="AW418">
        <v>3.5</v>
      </c>
      <c r="AX418">
        <v>35</v>
      </c>
      <c r="AY418">
        <v>1</v>
      </c>
      <c r="AZ418">
        <v>0</v>
      </c>
      <c r="BA418">
        <v>3</v>
      </c>
      <c r="BB418">
        <v>0</v>
      </c>
      <c r="BC418">
        <v>5</v>
      </c>
      <c r="BD418" t="str">
        <f>CONCATENATE(Table9[[#This Row],[Match Number]],Table9[[#This Row],[Team]],Table9[[#This Row],[BOWL NUM]])</f>
        <v>25Pakistan5</v>
      </c>
      <c r="BE418" t="str">
        <f>IFERROR(IF(AND(Table9[[#This Row],[Team]]=I_TEAM,IFERROR(IF(MATCH(Table9[[#This Row],[Bowler]],$AR$5:AR417,0)&gt;0,0),1)),1,0),"")</f>
        <v/>
      </c>
      <c r="BF41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1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18" t="e">
        <f>IF(Table9[[#This Row],[Team]]=I_TEAM,Table9[[#This Row],[Wickets]]*100-Table9[[#This Row],[Runs]],0)</f>
        <v>#REF!</v>
      </c>
      <c r="BI418">
        <f>Table9[[#This Row],[Wickets]]*100-Table9[[#This Row],[Runs]]</f>
        <v>165</v>
      </c>
      <c r="BJ418">
        <f ca="1">IFERROR(IF(MATCH(Table9[[#This Row],[Bowler]],OFFSET(AR419,0,0,BOWLROWS-ROW(AR418)-ROW(Table9[[#Headers],[BOWLER CUML WICKETS]])),0)&gt;0,0,SUMIF($AR$6:AR418,Table9[[#This Row],[Bowler]],$AV$6:AV418)),SUMIF($AR$6:AR418,Table9[[#This Row],[Bowler]],$AV$6:AV418))</f>
        <v>0</v>
      </c>
      <c r="BK418">
        <f ca="1">IFERROR(IF(MATCH(Table9[[#This Row],[Bowler]],OFFSET(AR419,0,0,BOWLROWS-ROW(AR418)-ROW(Table9[[#Headers],[BOWLER CUML WICKETS]])),0)&gt;0,0,SUMIF($AR$6:AR418,Table9[[#This Row],[Bowler]],$AU$6:AU418)),SUMIF($AR$6:AR418,Table9[[#This Row],[Bowler]],$AU$6:AU418))</f>
        <v>0</v>
      </c>
      <c r="BL418">
        <f ca="1">Table9[[#This Row],[BOWLER CUML WICKETS]]*100-Table9[[#This Row],[BOWLER CUML RUNS]]</f>
        <v>0</v>
      </c>
    </row>
    <row r="419" spans="1:64" x14ac:dyDescent="0.3">
      <c r="A419">
        <v>46</v>
      </c>
      <c r="B419" t="s">
        <v>170</v>
      </c>
      <c r="C419" t="s">
        <v>440</v>
      </c>
      <c r="D419" t="s">
        <v>167</v>
      </c>
      <c r="E419">
        <v>9</v>
      </c>
      <c r="F419">
        <v>13</v>
      </c>
      <c r="G419">
        <v>4</v>
      </c>
      <c r="H419">
        <v>2</v>
      </c>
      <c r="I419">
        <v>0</v>
      </c>
      <c r="J419">
        <v>225</v>
      </c>
      <c r="K419">
        <v>11</v>
      </c>
      <c r="L419" t="str">
        <f>CONCATENATE(T_BATTINGDATA[[#This Row],[Match]],T_BATTINGDATA[[#This Row],[Team]],T_BATTINGDATA[[#This Row],[Bat Number]])</f>
        <v>46West Indies11</v>
      </c>
      <c r="M419" t="str">
        <f>IFERROR(IF(AND(T_BATTINGDATA[[#This Row],[Team]]=I_TEAM,IFERROR(IF(MATCH(T_BATTINGDATA[[#This Row],[BATSMAN NAME]],$O$5:O418,0)&gt;0,0),1)),1,0),"")</f>
        <v/>
      </c>
      <c r="N419" t="e">
        <f>IF(T_BATTINGDATA[[#This Row],[Team]]=I_TEAM,T_BATTINGDATA[[#This Row],[R]],0)</f>
        <v>#REF!</v>
      </c>
      <c r="O419" t="str">
        <f>LEFT(T_BATTINGDATA[[#This Row],[Batsman]],IFERROR(FIND("*",T_BATTINGDATA[[#This Row],[Batsman]])-1,IFERROR(FIND("†",T_BATTINGDATA[[#This Row],[Batsman]])-1,LEN(T_BATTINGDATA[[#This Row],[Batsman]]))))</f>
        <v>SJ Benn</v>
      </c>
      <c r="P419">
        <f ca="1">IFERROR(IF(MATCH(T_BATTINGDATA[[#This Row],[BATSMAN NAME]],OFFSET(O420,0,0,BATROWS-ROW(O419)-ROW(T_BATTINGDATA[[#Headers],[BATSMAN NAME]])),0)&gt;0,0,SUMIF($O$6:O419,T_BATTINGDATA[[#This Row],[BATSMAN NAME]],$E$6:E419)),SUMIF($O$6:O419,T_BATTINGDATA[[#This Row],[BATSMAN NAME]],$E$6:E419))</f>
        <v>0</v>
      </c>
      <c r="AP419">
        <v>25</v>
      </c>
      <c r="AQ419" t="s">
        <v>153</v>
      </c>
      <c r="AR419" t="s">
        <v>212</v>
      </c>
      <c r="AS419">
        <v>5</v>
      </c>
      <c r="AT419">
        <v>0</v>
      </c>
      <c r="AU419">
        <v>16</v>
      </c>
      <c r="AV419">
        <v>1</v>
      </c>
      <c r="AW419">
        <v>3.2</v>
      </c>
      <c r="AX419">
        <v>21</v>
      </c>
      <c r="AY419">
        <v>0</v>
      </c>
      <c r="AZ419">
        <v>1</v>
      </c>
      <c r="BA419">
        <v>1</v>
      </c>
      <c r="BB419">
        <v>0</v>
      </c>
      <c r="BC419">
        <v>6</v>
      </c>
      <c r="BD419" t="str">
        <f>CONCATENATE(Table9[[#This Row],[Match Number]],Table9[[#This Row],[Team]],Table9[[#This Row],[BOWL NUM]])</f>
        <v>25Pakistan6</v>
      </c>
      <c r="BE419" t="str">
        <f>IFERROR(IF(AND(Table9[[#This Row],[Team]]=I_TEAM,IFERROR(IF(MATCH(Table9[[#This Row],[Bowler]],$AR$5:AR418,0)&gt;0,0),1)),1,0),"")</f>
        <v/>
      </c>
      <c r="BF419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1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19" t="e">
        <f>IF(Table9[[#This Row],[Team]]=I_TEAM,Table9[[#This Row],[Wickets]]*100-Table9[[#This Row],[Runs]],0)</f>
        <v>#REF!</v>
      </c>
      <c r="BI419">
        <f>Table9[[#This Row],[Wickets]]*100-Table9[[#This Row],[Runs]]</f>
        <v>84</v>
      </c>
      <c r="BJ419">
        <f ca="1">IFERROR(IF(MATCH(Table9[[#This Row],[Bowler]],OFFSET(AR420,0,0,BOWLROWS-ROW(AR419)-ROW(Table9[[#Headers],[BOWLER CUML WICKETS]])),0)&gt;0,0,SUMIF($AR$6:AR419,Table9[[#This Row],[Bowler]],$AV$6:AV419)),SUMIF($AR$6:AR419,Table9[[#This Row],[Bowler]],$AV$6:AV419))</f>
        <v>1</v>
      </c>
      <c r="BK419">
        <f ca="1">IFERROR(IF(MATCH(Table9[[#This Row],[Bowler]],OFFSET(AR420,0,0,BOWLROWS-ROW(AR419)-ROW(Table9[[#Headers],[BOWLER CUML WICKETS]])),0)&gt;0,0,SUMIF($AR$6:AR419,Table9[[#This Row],[Bowler]],$AU$6:AU419)),SUMIF($AR$6:AR419,Table9[[#This Row],[Bowler]],$AU$6:AU419))</f>
        <v>24</v>
      </c>
      <c r="BL419">
        <f ca="1">Table9[[#This Row],[BOWLER CUML WICKETS]]*100-Table9[[#This Row],[BOWLER CUML RUNS]]</f>
        <v>76</v>
      </c>
    </row>
    <row r="420" spans="1:64" x14ac:dyDescent="0.3">
      <c r="A420">
        <v>47</v>
      </c>
      <c r="B420" t="s">
        <v>141</v>
      </c>
      <c r="C420" t="s">
        <v>172</v>
      </c>
      <c r="D420" t="s">
        <v>362</v>
      </c>
      <c r="E420">
        <v>10</v>
      </c>
      <c r="F420">
        <v>15</v>
      </c>
      <c r="G420">
        <v>14</v>
      </c>
      <c r="H420">
        <v>2</v>
      </c>
      <c r="I420">
        <v>0</v>
      </c>
      <c r="J420">
        <v>71.42</v>
      </c>
      <c r="K420">
        <v>1</v>
      </c>
      <c r="L420" t="str">
        <f>CONCATENATE(T_BATTINGDATA[[#This Row],[Match]],T_BATTINGDATA[[#This Row],[Team]],T_BATTINGDATA[[#This Row],[Bat Number]])</f>
        <v>47South Africa1</v>
      </c>
      <c r="M420" t="str">
        <f>IFERROR(IF(AND(T_BATTINGDATA[[#This Row],[Team]]=I_TEAM,IFERROR(IF(MATCH(T_BATTINGDATA[[#This Row],[BATSMAN NAME]],$O$5:O419,0)&gt;0,0),1)),1,0),"")</f>
        <v/>
      </c>
      <c r="N420" t="e">
        <f>IF(T_BATTINGDATA[[#This Row],[Team]]=I_TEAM,T_BATTINGDATA[[#This Row],[R]],0)</f>
        <v>#REF!</v>
      </c>
      <c r="O420" t="str">
        <f>LEFT(T_BATTINGDATA[[#This Row],[Batsman]],IFERROR(FIND("*",T_BATTINGDATA[[#This Row],[Batsman]])-1,IFERROR(FIND("†",T_BATTINGDATA[[#This Row],[Batsman]])-1,LEN(T_BATTINGDATA[[#This Row],[Batsman]]))))</f>
        <v>HM Amla</v>
      </c>
      <c r="P420">
        <f ca="1">IFERROR(IF(MATCH(T_BATTINGDATA[[#This Row],[BATSMAN NAME]],OFFSET(O421,0,0,BATROWS-ROW(O420)-ROW(T_BATTINGDATA[[#Headers],[BATSMAN NAME]])),0)&gt;0,0,SUMIF($O$6:O420,T_BATTINGDATA[[#This Row],[BATSMAN NAME]],$E$6:E420)),SUMIF($O$6:O420,T_BATTINGDATA[[#This Row],[BATSMAN NAME]],$E$6:E420))</f>
        <v>0</v>
      </c>
      <c r="AP420">
        <v>25</v>
      </c>
      <c r="AQ420" t="s">
        <v>153</v>
      </c>
      <c r="AR420" t="s">
        <v>193</v>
      </c>
      <c r="AS420">
        <v>3</v>
      </c>
      <c r="AT420">
        <v>0</v>
      </c>
      <c r="AU420">
        <v>18</v>
      </c>
      <c r="AV420">
        <v>0</v>
      </c>
      <c r="AW420">
        <v>6</v>
      </c>
      <c r="AX420">
        <v>9</v>
      </c>
      <c r="AY420">
        <v>3</v>
      </c>
      <c r="AZ420">
        <v>0</v>
      </c>
      <c r="BA420">
        <v>0</v>
      </c>
      <c r="BB420">
        <v>0</v>
      </c>
      <c r="BC420">
        <v>7</v>
      </c>
      <c r="BD420" t="str">
        <f>CONCATENATE(Table9[[#This Row],[Match Number]],Table9[[#This Row],[Team]],Table9[[#This Row],[BOWL NUM]])</f>
        <v>25Pakistan7</v>
      </c>
      <c r="BE420" t="str">
        <f>IFERROR(IF(AND(Table9[[#This Row],[Team]]=I_TEAM,IFERROR(IF(MATCH(Table9[[#This Row],[Bowler]],$AR$5:AR419,0)&gt;0,0),1)),1,0),"")</f>
        <v/>
      </c>
      <c r="BF420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42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20" t="e">
        <f>IF(Table9[[#This Row],[Team]]=I_TEAM,Table9[[#This Row],[Wickets]]*100-Table9[[#This Row],[Runs]],0)</f>
        <v>#REF!</v>
      </c>
      <c r="BI420">
        <f>Table9[[#This Row],[Wickets]]*100-Table9[[#This Row],[Runs]]</f>
        <v>-18</v>
      </c>
      <c r="BJ420">
        <f ca="1">IFERROR(IF(MATCH(Table9[[#This Row],[Bowler]],OFFSET(AR421,0,0,BOWLROWS-ROW(AR420)-ROW(Table9[[#Headers],[BOWLER CUML WICKETS]])),0)&gt;0,0,SUMIF($AR$6:AR487,Table9[[#This Row],[Bowler]],$AV$6:AV487)),SUMIF($AR$6:AR487,Table9[[#This Row],[Bowler]],$AV$6:AV487))</f>
        <v>2</v>
      </c>
      <c r="BK420">
        <f ca="1">IFERROR(IF(MATCH(Table9[[#This Row],[Bowler]],OFFSET(AR421,0,0,BOWLROWS-ROW(AR420)-ROW(Table9[[#Headers],[BOWLER CUML WICKETS]])),0)&gt;0,0,SUMIF($AR$6:AR453,Table9[[#This Row],[Bowler]],$AU$6:AU453)),SUMIF($AR$6:AR453,Table9[[#This Row],[Bowler]],$AU$6:AU453))</f>
        <v>113</v>
      </c>
      <c r="BL420">
        <f ca="1">Table9[[#This Row],[BOWLER CUML WICKETS]]*100-Table9[[#This Row],[BOWLER CUML RUNS]]</f>
        <v>87</v>
      </c>
    </row>
    <row r="421" spans="1:64" x14ac:dyDescent="0.3">
      <c r="A421">
        <v>47</v>
      </c>
      <c r="B421" t="s">
        <v>141</v>
      </c>
      <c r="C421" t="s">
        <v>174</v>
      </c>
      <c r="D421" t="s">
        <v>612</v>
      </c>
      <c r="E421">
        <v>14</v>
      </c>
      <c r="F421">
        <v>36</v>
      </c>
      <c r="G421">
        <v>17</v>
      </c>
      <c r="H421">
        <v>2</v>
      </c>
      <c r="I421">
        <v>0</v>
      </c>
      <c r="J421">
        <v>82.35</v>
      </c>
      <c r="K421">
        <v>2</v>
      </c>
      <c r="L421" t="str">
        <f>CONCATENATE(T_BATTINGDATA[[#This Row],[Match]],T_BATTINGDATA[[#This Row],[Team]],T_BATTINGDATA[[#This Row],[Bat Number]])</f>
        <v>47South Africa2</v>
      </c>
      <c r="M421" t="str">
        <f>IFERROR(IF(AND(T_BATTINGDATA[[#This Row],[Team]]=I_TEAM,IFERROR(IF(MATCH(T_BATTINGDATA[[#This Row],[BATSMAN NAME]],$O$5:O420,0)&gt;0,0),1)),1,0),"")</f>
        <v/>
      </c>
      <c r="N421" t="e">
        <f>IF(T_BATTINGDATA[[#This Row],[Team]]=I_TEAM,T_BATTINGDATA[[#This Row],[R]],0)</f>
        <v>#REF!</v>
      </c>
      <c r="O421" t="str">
        <f>LEFT(T_BATTINGDATA[[#This Row],[Batsman]],IFERROR(FIND("*",T_BATTINGDATA[[#This Row],[Batsman]])-1,IFERROR(FIND("†",T_BATTINGDATA[[#This Row],[Batsman]])-1,LEN(T_BATTINGDATA[[#This Row],[Batsman]]))))</f>
        <v>Q de Kock</v>
      </c>
      <c r="P421">
        <f ca="1">IFERROR(IF(MATCH(T_BATTINGDATA[[#This Row],[BATSMAN NAME]],OFFSET(O422,0,0,BATROWS-ROW(O421)-ROW(T_BATTINGDATA[[#Headers],[BATSMAN NAME]])),0)&gt;0,0,SUMIF($O$6:O421,T_BATTINGDATA[[#This Row],[BATSMAN NAME]],$E$6:E421)),SUMIF($O$6:O421,T_BATTINGDATA[[#This Row],[BATSMAN NAME]],$E$6:E421))</f>
        <v>0</v>
      </c>
      <c r="AP421">
        <v>26</v>
      </c>
      <c r="AQ421" t="s">
        <v>185</v>
      </c>
      <c r="AR421" t="s">
        <v>451</v>
      </c>
      <c r="AS421">
        <v>10</v>
      </c>
      <c r="AT421">
        <v>1</v>
      </c>
      <c r="AU421">
        <v>101</v>
      </c>
      <c r="AV421">
        <v>2</v>
      </c>
      <c r="AW421">
        <v>10.1</v>
      </c>
      <c r="AX421">
        <v>27</v>
      </c>
      <c r="AY421">
        <v>10</v>
      </c>
      <c r="AZ421">
        <v>4</v>
      </c>
      <c r="BA421">
        <v>3</v>
      </c>
      <c r="BB421">
        <v>2</v>
      </c>
      <c r="BC421">
        <v>1</v>
      </c>
      <c r="BD421" t="str">
        <f>CONCATENATE(Table9[[#This Row],[Match Number]],Table9[[#This Row],[Team]],Table9[[#This Row],[BOWL NUM]])</f>
        <v>26Afghanistan1</v>
      </c>
      <c r="BE421" t="str">
        <f>IFERROR(IF(AND(Table9[[#This Row],[Team]]=I_TEAM,IFERROR(IF(MATCH(Table9[[#This Row],[Bowler]],$AR$5:AR420,0)&gt;0,0),1)),1,0),"")</f>
        <v/>
      </c>
      <c r="BF42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2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21" t="e">
        <f>IF(Table9[[#This Row],[Team]]=I_TEAM,Table9[[#This Row],[Wickets]]*100-Table9[[#This Row],[Runs]],0)</f>
        <v>#REF!</v>
      </c>
      <c r="BI421">
        <f>Table9[[#This Row],[Wickets]]*100-Table9[[#This Row],[Runs]]</f>
        <v>99</v>
      </c>
      <c r="BJ421">
        <f ca="1">IFERROR(IF(MATCH(Table9[[#This Row],[Bowler]],OFFSET(AR422,0,0,BOWLROWS-ROW(AR421)-ROW(Table9[[#Headers],[BOWLER CUML WICKETS]])),0)&gt;0,0,SUMIF($AR$6:AR421,Table9[[#This Row],[Bowler]],$AV$6:AV421)),SUMIF($AR$6:AR421,Table9[[#This Row],[Bowler]],$AV$6:AV421))</f>
        <v>0</v>
      </c>
      <c r="BK421">
        <f ca="1">IFERROR(IF(MATCH(Table9[[#This Row],[Bowler]],OFFSET(AR422,0,0,BOWLROWS-ROW(AR421)-ROW(Table9[[#Headers],[BOWLER CUML WICKETS]])),0)&gt;0,0,SUMIF($AR$6:AR421,Table9[[#This Row],[Bowler]],$AU$6:AU421)),SUMIF($AR$6:AR421,Table9[[#This Row],[Bowler]],$AU$6:AU421))</f>
        <v>0</v>
      </c>
      <c r="BL421">
        <f ca="1">Table9[[#This Row],[BOWLER CUML WICKETS]]*100-Table9[[#This Row],[BOWLER CUML RUNS]]</f>
        <v>0</v>
      </c>
    </row>
    <row r="422" spans="1:64" x14ac:dyDescent="0.3">
      <c r="A422">
        <v>47</v>
      </c>
      <c r="B422" t="s">
        <v>141</v>
      </c>
      <c r="C422" t="s">
        <v>177</v>
      </c>
      <c r="D422" t="s">
        <v>454</v>
      </c>
      <c r="E422">
        <v>82</v>
      </c>
      <c r="F422">
        <v>155</v>
      </c>
      <c r="G422">
        <v>107</v>
      </c>
      <c r="H422">
        <v>7</v>
      </c>
      <c r="I422">
        <v>1</v>
      </c>
      <c r="J422">
        <v>76.63</v>
      </c>
      <c r="K422">
        <v>3</v>
      </c>
      <c r="L422" t="str">
        <f>CONCATENATE(T_BATTINGDATA[[#This Row],[Match]],T_BATTINGDATA[[#This Row],[Team]],T_BATTINGDATA[[#This Row],[Bat Number]])</f>
        <v>47South Africa3</v>
      </c>
      <c r="M422" t="str">
        <f>IFERROR(IF(AND(T_BATTINGDATA[[#This Row],[Team]]=I_TEAM,IFERROR(IF(MATCH(T_BATTINGDATA[[#This Row],[BATSMAN NAME]],$O$5:O421,0)&gt;0,0),1)),1,0),"")</f>
        <v/>
      </c>
      <c r="N422" t="e">
        <f>IF(T_BATTINGDATA[[#This Row],[Team]]=I_TEAM,T_BATTINGDATA[[#This Row],[R]],0)</f>
        <v>#REF!</v>
      </c>
      <c r="O422" t="str">
        <f>LEFT(T_BATTINGDATA[[#This Row],[Batsman]],IFERROR(FIND("*",T_BATTINGDATA[[#This Row],[Batsman]])-1,IFERROR(FIND("†",T_BATTINGDATA[[#This Row],[Batsman]])-1,LEN(T_BATTINGDATA[[#This Row],[Batsman]]))))</f>
        <v>F du Plessis</v>
      </c>
      <c r="P422">
        <f ca="1">IFERROR(IF(MATCH(T_BATTINGDATA[[#This Row],[BATSMAN NAME]],OFFSET(O423,0,0,BATROWS-ROW(O422)-ROW(T_BATTINGDATA[[#Headers],[BATSMAN NAME]])),0)&gt;0,0,SUMIF($O$6:O422,T_BATTINGDATA[[#This Row],[BATSMAN NAME]],$E$6:E422)),SUMIF($O$6:O422,T_BATTINGDATA[[#This Row],[BATSMAN NAME]],$E$6:E422))</f>
        <v>0</v>
      </c>
      <c r="AP422">
        <v>26</v>
      </c>
      <c r="AQ422" t="s">
        <v>185</v>
      </c>
      <c r="AR422" t="s">
        <v>390</v>
      </c>
      <c r="AS422">
        <v>10</v>
      </c>
      <c r="AT422">
        <v>0</v>
      </c>
      <c r="AU422">
        <v>89</v>
      </c>
      <c r="AV422">
        <v>2</v>
      </c>
      <c r="AW422">
        <v>8.9</v>
      </c>
      <c r="AX422">
        <v>25</v>
      </c>
      <c r="AY422">
        <v>7</v>
      </c>
      <c r="AZ422">
        <v>5</v>
      </c>
      <c r="BA422">
        <v>2</v>
      </c>
      <c r="BB422">
        <v>1</v>
      </c>
      <c r="BC422">
        <v>2</v>
      </c>
      <c r="BD422" t="str">
        <f>CONCATENATE(Table9[[#This Row],[Match Number]],Table9[[#This Row],[Team]],Table9[[#This Row],[BOWL NUM]])</f>
        <v>26Afghanistan2</v>
      </c>
      <c r="BE422" t="str">
        <f>IFERROR(IF(AND(Table9[[#This Row],[Team]]=I_TEAM,IFERROR(IF(MATCH(Table9[[#This Row],[Bowler]],$AR$5:AR421,0)&gt;0,0),1)),1,0),"")</f>
        <v/>
      </c>
      <c r="BF42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2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22" t="e">
        <f>IF(Table9[[#This Row],[Team]]=I_TEAM,Table9[[#This Row],[Wickets]]*100-Table9[[#This Row],[Runs]],0)</f>
        <v>#REF!</v>
      </c>
      <c r="BI422">
        <f>Table9[[#This Row],[Wickets]]*100-Table9[[#This Row],[Runs]]</f>
        <v>111</v>
      </c>
      <c r="BJ422">
        <f ca="1">IFERROR(IF(MATCH(Table9[[#This Row],[Bowler]],OFFSET(AR423,0,0,BOWLROWS-ROW(AR422)-ROW(Table9[[#Headers],[BOWLER CUML WICKETS]])),0)&gt;0,0,SUMIF($AR$6:AR422,Table9[[#This Row],[Bowler]],$AV$6:AV422)),SUMIF($AR$6:AR422,Table9[[#This Row],[Bowler]],$AV$6:AV422))</f>
        <v>0</v>
      </c>
      <c r="BK422">
        <f ca="1">IFERROR(IF(MATCH(Table9[[#This Row],[Bowler]],OFFSET(AR423,0,0,BOWLROWS-ROW(AR422)-ROW(Table9[[#Headers],[BOWLER CUML WICKETS]])),0)&gt;0,0,SUMIF($AR$6:AR422,Table9[[#This Row],[Bowler]],$AU$6:AU422)),SUMIF($AR$6:AR422,Table9[[#This Row],[Bowler]],$AU$6:AU422))</f>
        <v>0</v>
      </c>
      <c r="BL422">
        <f ca="1">Table9[[#This Row],[BOWLER CUML WICKETS]]*100-Table9[[#This Row],[BOWLER CUML RUNS]]</f>
        <v>0</v>
      </c>
    </row>
    <row r="423" spans="1:64" x14ac:dyDescent="0.3">
      <c r="A423">
        <v>47</v>
      </c>
      <c r="B423" t="s">
        <v>141</v>
      </c>
      <c r="C423" t="s">
        <v>604</v>
      </c>
      <c r="D423" t="s">
        <v>613</v>
      </c>
      <c r="E423">
        <v>39</v>
      </c>
      <c r="F423">
        <v>77</v>
      </c>
      <c r="G423">
        <v>53</v>
      </c>
      <c r="H423">
        <v>2</v>
      </c>
      <c r="I423">
        <v>1</v>
      </c>
      <c r="J423">
        <v>73.58</v>
      </c>
      <c r="K423">
        <v>4</v>
      </c>
      <c r="L423" t="str">
        <f>CONCATENATE(T_BATTINGDATA[[#This Row],[Match]],T_BATTINGDATA[[#This Row],[Team]],T_BATTINGDATA[[#This Row],[Bat Number]])</f>
        <v>47South Africa4</v>
      </c>
      <c r="M423" t="str">
        <f>IFERROR(IF(AND(T_BATTINGDATA[[#This Row],[Team]]=I_TEAM,IFERROR(IF(MATCH(T_BATTINGDATA[[#This Row],[BATSMAN NAME]],$O$5:O422,0)&gt;0,0),1)),1,0),"")</f>
        <v/>
      </c>
      <c r="N423" t="e">
        <f>IF(T_BATTINGDATA[[#This Row],[Team]]=I_TEAM,T_BATTINGDATA[[#This Row],[R]],0)</f>
        <v>#REF!</v>
      </c>
      <c r="O423" t="str">
        <f>LEFT(T_BATTINGDATA[[#This Row],[Batsman]],IFERROR(FIND("*",T_BATTINGDATA[[#This Row],[Batsman]])-1,IFERROR(FIND("†",T_BATTINGDATA[[#This Row],[Batsman]])-1,LEN(T_BATTINGDATA[[#This Row],[Batsman]]))))</f>
        <v>RR Rossouw</v>
      </c>
      <c r="P423">
        <f ca="1">IFERROR(IF(MATCH(T_BATTINGDATA[[#This Row],[BATSMAN NAME]],OFFSET(O424,0,0,BATROWS-ROW(O423)-ROW(T_BATTINGDATA[[#Headers],[BATSMAN NAME]])),0)&gt;0,0,SUMIF($O$6:O423,T_BATTINGDATA[[#This Row],[BATSMAN NAME]],$E$6:E423)),SUMIF($O$6:O423,T_BATTINGDATA[[#This Row],[BATSMAN NAME]],$E$6:E423))</f>
        <v>0</v>
      </c>
      <c r="AP423">
        <v>26</v>
      </c>
      <c r="AQ423" t="s">
        <v>185</v>
      </c>
      <c r="AR423" t="s">
        <v>389</v>
      </c>
      <c r="AS423">
        <v>10</v>
      </c>
      <c r="AT423">
        <v>0</v>
      </c>
      <c r="AU423">
        <v>70</v>
      </c>
      <c r="AV423">
        <v>1</v>
      </c>
      <c r="AW423">
        <v>7</v>
      </c>
      <c r="AX423">
        <v>18</v>
      </c>
      <c r="AY423">
        <v>7</v>
      </c>
      <c r="AZ423">
        <v>0</v>
      </c>
      <c r="BA423">
        <v>1</v>
      </c>
      <c r="BB423">
        <v>0</v>
      </c>
      <c r="BC423">
        <v>3</v>
      </c>
      <c r="BD423" t="str">
        <f>CONCATENATE(Table9[[#This Row],[Match Number]],Table9[[#This Row],[Team]],Table9[[#This Row],[BOWL NUM]])</f>
        <v>26Afghanistan3</v>
      </c>
      <c r="BE423" t="str">
        <f>IFERROR(IF(AND(Table9[[#This Row],[Team]]=I_TEAM,IFERROR(IF(MATCH(Table9[[#This Row],[Bowler]],$AR$5:AR422,0)&gt;0,0),1)),1,0),"")</f>
        <v/>
      </c>
      <c r="BF42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2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23" t="e">
        <f>IF(Table9[[#This Row],[Team]]=I_TEAM,Table9[[#This Row],[Wickets]]*100-Table9[[#This Row],[Runs]],0)</f>
        <v>#REF!</v>
      </c>
      <c r="BI423">
        <f>Table9[[#This Row],[Wickets]]*100-Table9[[#This Row],[Runs]]</f>
        <v>30</v>
      </c>
      <c r="BJ423">
        <f ca="1">IFERROR(IF(MATCH(Table9[[#This Row],[Bowler]],OFFSET(AR424,0,0,BOWLROWS-ROW(AR423)-ROW(Table9[[#Headers],[BOWLER CUML WICKETS]])),0)&gt;0,0,SUMIF($AR$6:AR423,Table9[[#This Row],[Bowler]],$AV$6:AV423)),SUMIF($AR$6:AR423,Table9[[#This Row],[Bowler]],$AV$6:AV423))</f>
        <v>0</v>
      </c>
      <c r="BK423">
        <f ca="1">IFERROR(IF(MATCH(Table9[[#This Row],[Bowler]],OFFSET(AR424,0,0,BOWLROWS-ROW(AR423)-ROW(Table9[[#Headers],[BOWLER CUML WICKETS]])),0)&gt;0,0,SUMIF($AR$6:AR423,Table9[[#This Row],[Bowler]],$AU$6:AU423)),SUMIF($AR$6:AR423,Table9[[#This Row],[Bowler]],$AU$6:AU423))</f>
        <v>0</v>
      </c>
      <c r="BL423">
        <f ca="1">Table9[[#This Row],[BOWLER CUML WICKETS]]*100-Table9[[#This Row],[BOWLER CUML RUNS]]</f>
        <v>0</v>
      </c>
    </row>
    <row r="424" spans="1:64" x14ac:dyDescent="0.3">
      <c r="A424">
        <v>47</v>
      </c>
      <c r="B424" t="s">
        <v>141</v>
      </c>
      <c r="C424" t="s">
        <v>179</v>
      </c>
      <c r="D424" t="s">
        <v>167</v>
      </c>
      <c r="E424">
        <v>65</v>
      </c>
      <c r="F424">
        <v>84</v>
      </c>
      <c r="G424">
        <v>45</v>
      </c>
      <c r="H424">
        <v>8</v>
      </c>
      <c r="I424">
        <v>1</v>
      </c>
      <c r="J424">
        <v>144.44</v>
      </c>
      <c r="K424">
        <v>5</v>
      </c>
      <c r="L424" t="str">
        <f>CONCATENATE(T_BATTINGDATA[[#This Row],[Match]],T_BATTINGDATA[[#This Row],[Team]],T_BATTINGDATA[[#This Row],[Bat Number]])</f>
        <v>47South Africa5</v>
      </c>
      <c r="M424" t="str">
        <f>IFERROR(IF(AND(T_BATTINGDATA[[#This Row],[Team]]=I_TEAM,IFERROR(IF(MATCH(T_BATTINGDATA[[#This Row],[BATSMAN NAME]],$O$5:O423,0)&gt;0,0),1)),1,0),"")</f>
        <v/>
      </c>
      <c r="N424" t="e">
        <f>IF(T_BATTINGDATA[[#This Row],[Team]]=I_TEAM,T_BATTINGDATA[[#This Row],[R]],0)</f>
        <v>#REF!</v>
      </c>
      <c r="O424" t="str">
        <f>LEFT(T_BATTINGDATA[[#This Row],[Batsman]],IFERROR(FIND("*",T_BATTINGDATA[[#This Row],[Batsman]])-1,IFERROR(FIND("†",T_BATTINGDATA[[#This Row],[Batsman]])-1,LEN(T_BATTINGDATA[[#This Row],[Batsman]]))))</f>
        <v>AB de Villiers</v>
      </c>
      <c r="P424">
        <f ca="1">IFERROR(IF(MATCH(T_BATTINGDATA[[#This Row],[BATSMAN NAME]],OFFSET(O425,0,0,BATROWS-ROW(O424)-ROW(T_BATTINGDATA[[#Headers],[BATSMAN NAME]])),0)&gt;0,0,SUMIF($O$6:O424,T_BATTINGDATA[[#This Row],[BATSMAN NAME]],$E$6:E424)),SUMIF($O$6:O424,T_BATTINGDATA[[#This Row],[BATSMAN NAME]],$E$6:E424))</f>
        <v>0</v>
      </c>
      <c r="AP424">
        <v>26</v>
      </c>
      <c r="AQ424" t="s">
        <v>185</v>
      </c>
      <c r="AR424" t="s">
        <v>396</v>
      </c>
      <c r="AS424">
        <v>10</v>
      </c>
      <c r="AT424">
        <v>0</v>
      </c>
      <c r="AU424">
        <v>84</v>
      </c>
      <c r="AV424">
        <v>0</v>
      </c>
      <c r="AW424">
        <v>8.4</v>
      </c>
      <c r="AX424">
        <v>22</v>
      </c>
      <c r="AY424">
        <v>6</v>
      </c>
      <c r="AZ424">
        <v>4</v>
      </c>
      <c r="BA424">
        <v>1</v>
      </c>
      <c r="BB424">
        <v>0</v>
      </c>
      <c r="BC424">
        <v>4</v>
      </c>
      <c r="BD424" t="str">
        <f>CONCATENATE(Table9[[#This Row],[Match Number]],Table9[[#This Row],[Team]],Table9[[#This Row],[BOWL NUM]])</f>
        <v>26Afghanistan4</v>
      </c>
      <c r="BE424" t="str">
        <f>IFERROR(IF(AND(Table9[[#This Row],[Team]]=I_TEAM,IFERROR(IF(MATCH(Table9[[#This Row],[Bowler]],$AR$5:AR423,0)&gt;0,0),1)),1,0),"")</f>
        <v/>
      </c>
      <c r="BF42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2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24" t="e">
        <f>IF(Table9[[#This Row],[Team]]=I_TEAM,Table9[[#This Row],[Wickets]]*100-Table9[[#This Row],[Runs]],0)</f>
        <v>#REF!</v>
      </c>
      <c r="BI424">
        <f>Table9[[#This Row],[Wickets]]*100-Table9[[#This Row],[Runs]]</f>
        <v>-84</v>
      </c>
      <c r="BJ424">
        <f ca="1">IFERROR(IF(MATCH(Table9[[#This Row],[Bowler]],OFFSET(AR425,0,0,BOWLROWS-ROW(AR424)-ROW(Table9[[#Headers],[BOWLER CUML WICKETS]])),0)&gt;0,0,SUMIF($AR$6:AR424,Table9[[#This Row],[Bowler]],$AV$6:AV424)),SUMIF($AR$6:AR424,Table9[[#This Row],[Bowler]],$AV$6:AV424))</f>
        <v>0</v>
      </c>
      <c r="BK424">
        <f ca="1">IFERROR(IF(MATCH(Table9[[#This Row],[Bowler]],OFFSET(AR425,0,0,BOWLROWS-ROW(AR424)-ROW(Table9[[#Headers],[BOWLER CUML WICKETS]])),0)&gt;0,0,SUMIF($AR$6:AR424,Table9[[#This Row],[Bowler]],$AU$6:AU424)),SUMIF($AR$6:AR424,Table9[[#This Row],[Bowler]],$AU$6:AU424))</f>
        <v>0</v>
      </c>
      <c r="BL424">
        <f ca="1">Table9[[#This Row],[BOWLER CUML WICKETS]]*100-Table9[[#This Row],[BOWLER CUML RUNS]]</f>
        <v>0</v>
      </c>
    </row>
    <row r="425" spans="1:64" x14ac:dyDescent="0.3">
      <c r="A425">
        <v>47</v>
      </c>
      <c r="B425" t="s">
        <v>141</v>
      </c>
      <c r="C425" t="s">
        <v>183</v>
      </c>
      <c r="D425" t="s">
        <v>454</v>
      </c>
      <c r="E425">
        <v>49</v>
      </c>
      <c r="F425">
        <v>23</v>
      </c>
      <c r="G425">
        <v>18</v>
      </c>
      <c r="H425">
        <v>6</v>
      </c>
      <c r="I425">
        <v>3</v>
      </c>
      <c r="J425">
        <v>272.22000000000003</v>
      </c>
      <c r="K425">
        <v>6</v>
      </c>
      <c r="L425" t="str">
        <f>CONCATENATE(T_BATTINGDATA[[#This Row],[Match]],T_BATTINGDATA[[#This Row],[Team]],T_BATTINGDATA[[#This Row],[Bat Number]])</f>
        <v>47South Africa6</v>
      </c>
      <c r="M425" t="str">
        <f>IFERROR(IF(AND(T_BATTINGDATA[[#This Row],[Team]]=I_TEAM,IFERROR(IF(MATCH(T_BATTINGDATA[[#This Row],[BATSMAN NAME]],$O$5:O424,0)&gt;0,0),1)),1,0),"")</f>
        <v/>
      </c>
      <c r="N425" t="e">
        <f>IF(T_BATTINGDATA[[#This Row],[Team]]=I_TEAM,T_BATTINGDATA[[#This Row],[R]],0)</f>
        <v>#REF!</v>
      </c>
      <c r="O425" t="str">
        <f>LEFT(T_BATTINGDATA[[#This Row],[Batsman]],IFERROR(FIND("*",T_BATTINGDATA[[#This Row],[Batsman]])-1,IFERROR(FIND("†",T_BATTINGDATA[[#This Row],[Batsman]])-1,LEN(T_BATTINGDATA[[#This Row],[Batsman]]))))</f>
        <v>DA Miller</v>
      </c>
      <c r="P425">
        <f ca="1">IFERROR(IF(MATCH(T_BATTINGDATA[[#This Row],[BATSMAN NAME]],OFFSET(O426,0,0,BATROWS-ROW(O425)-ROW(T_BATTINGDATA[[#Headers],[BATSMAN NAME]])),0)&gt;0,0,SUMIF($O$6:O425,T_BATTINGDATA[[#This Row],[BATSMAN NAME]],$E$6:E425)),SUMIF($O$6:O425,T_BATTINGDATA[[#This Row],[BATSMAN NAME]],$E$6:E425))</f>
        <v>0</v>
      </c>
      <c r="AP425">
        <v>26</v>
      </c>
      <c r="AQ425" t="s">
        <v>185</v>
      </c>
      <c r="AR425" t="s">
        <v>401</v>
      </c>
      <c r="AS425">
        <v>5</v>
      </c>
      <c r="AT425">
        <v>0</v>
      </c>
      <c r="AU425">
        <v>34</v>
      </c>
      <c r="AV425">
        <v>0</v>
      </c>
      <c r="AW425">
        <v>6.8</v>
      </c>
      <c r="AX425">
        <v>13</v>
      </c>
      <c r="AY425">
        <v>5</v>
      </c>
      <c r="AZ425">
        <v>0</v>
      </c>
      <c r="BA425">
        <v>0</v>
      </c>
      <c r="BB425">
        <v>0</v>
      </c>
      <c r="BC425">
        <v>5</v>
      </c>
      <c r="BD425" t="str">
        <f>CONCATENATE(Table9[[#This Row],[Match Number]],Table9[[#This Row],[Team]],Table9[[#This Row],[BOWL NUM]])</f>
        <v>26Afghanistan5</v>
      </c>
      <c r="BE425" t="str">
        <f>IFERROR(IF(AND(Table9[[#This Row],[Team]]=I_TEAM,IFERROR(IF(MATCH(Table9[[#This Row],[Bowler]],$AR$5:AR424,0)&gt;0,0),1)),1,0),"")</f>
        <v/>
      </c>
      <c r="BF425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2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25" t="e">
        <f>IF(Table9[[#This Row],[Team]]=I_TEAM,Table9[[#This Row],[Wickets]]*100-Table9[[#This Row],[Runs]],0)</f>
        <v>#REF!</v>
      </c>
      <c r="BI425">
        <f>Table9[[#This Row],[Wickets]]*100-Table9[[#This Row],[Runs]]</f>
        <v>-34</v>
      </c>
      <c r="BJ425">
        <f ca="1">IFERROR(IF(MATCH(Table9[[#This Row],[Bowler]],OFFSET(AR426,0,0,BOWLROWS-ROW(AR425)-ROW(Table9[[#Headers],[BOWLER CUML WICKETS]])),0)&gt;0,0,SUMIF($AR$6:AR425,Table9[[#This Row],[Bowler]],$AV$6:AV425)),SUMIF($AR$6:AR425,Table9[[#This Row],[Bowler]],$AV$6:AV425))</f>
        <v>0</v>
      </c>
      <c r="BK425">
        <f ca="1">IFERROR(IF(MATCH(Table9[[#This Row],[Bowler]],OFFSET(AR426,0,0,BOWLROWS-ROW(AR425)-ROW(Table9[[#Headers],[BOWLER CUML WICKETS]])),0)&gt;0,0,SUMIF($AR$6:AR425,Table9[[#This Row],[Bowler]],$AU$6:AU425)),SUMIF($AR$6:AR425,Table9[[#This Row],[Bowler]],$AU$6:AU425))</f>
        <v>0</v>
      </c>
      <c r="BL425">
        <f ca="1">Table9[[#This Row],[BOWLER CUML WICKETS]]*100-Table9[[#This Row],[BOWLER CUML RUNS]]</f>
        <v>0</v>
      </c>
    </row>
    <row r="426" spans="1:64" x14ac:dyDescent="0.3">
      <c r="A426">
        <v>47</v>
      </c>
      <c r="B426" t="s">
        <v>141</v>
      </c>
      <c r="C426" t="s">
        <v>150</v>
      </c>
      <c r="D426" t="s">
        <v>167</v>
      </c>
      <c r="E426">
        <v>8</v>
      </c>
      <c r="F426">
        <v>4</v>
      </c>
      <c r="G426">
        <v>4</v>
      </c>
      <c r="H426">
        <v>1</v>
      </c>
      <c r="I426">
        <v>0</v>
      </c>
      <c r="J426">
        <v>200</v>
      </c>
      <c r="K426">
        <v>7</v>
      </c>
      <c r="L426" t="str">
        <f>CONCATENATE(T_BATTINGDATA[[#This Row],[Match]],T_BATTINGDATA[[#This Row],[Team]],T_BATTINGDATA[[#This Row],[Bat Number]])</f>
        <v>47South Africa7</v>
      </c>
      <c r="M426" t="str">
        <f>IFERROR(IF(AND(T_BATTINGDATA[[#This Row],[Team]]=I_TEAM,IFERROR(IF(MATCH(T_BATTINGDATA[[#This Row],[BATSMAN NAME]],$O$5:O425,0)&gt;0,0),1)),1,0),"")</f>
        <v/>
      </c>
      <c r="N426" t="e">
        <f>IF(T_BATTINGDATA[[#This Row],[Team]]=I_TEAM,T_BATTINGDATA[[#This Row],[R]],0)</f>
        <v>#REF!</v>
      </c>
      <c r="O426" t="str">
        <f>LEFT(T_BATTINGDATA[[#This Row],[Batsman]],IFERROR(FIND("*",T_BATTINGDATA[[#This Row],[Batsman]])-1,IFERROR(FIND("†",T_BATTINGDATA[[#This Row],[Batsman]])-1,LEN(T_BATTINGDATA[[#This Row],[Batsman]]))))</f>
        <v>JP Duminy</v>
      </c>
      <c r="P426">
        <f ca="1">IFERROR(IF(MATCH(T_BATTINGDATA[[#This Row],[BATSMAN NAME]],OFFSET(O427,0,0,BATROWS-ROW(O426)-ROW(T_BATTINGDATA[[#Headers],[BATSMAN NAME]])),0)&gt;0,0,SUMIF($O$6:O426,T_BATTINGDATA[[#This Row],[BATSMAN NAME]],$E$6:E426)),SUMIF($O$6:O426,T_BATTINGDATA[[#This Row],[BATSMAN NAME]],$E$6:E426))</f>
        <v>0</v>
      </c>
      <c r="AP426">
        <v>26</v>
      </c>
      <c r="AQ426" t="s">
        <v>185</v>
      </c>
      <c r="AR426" t="s">
        <v>398</v>
      </c>
      <c r="AS426">
        <v>4</v>
      </c>
      <c r="AT426">
        <v>0</v>
      </c>
      <c r="AU426">
        <v>18</v>
      </c>
      <c r="AV426">
        <v>0</v>
      </c>
      <c r="AW426">
        <v>4.5</v>
      </c>
      <c r="AX426">
        <v>8</v>
      </c>
      <c r="AY426">
        <v>0</v>
      </c>
      <c r="AZ426">
        <v>0</v>
      </c>
      <c r="BA426">
        <v>0</v>
      </c>
      <c r="BB426">
        <v>0</v>
      </c>
      <c r="BC426">
        <v>6</v>
      </c>
      <c r="BD426" t="str">
        <f>CONCATENATE(Table9[[#This Row],[Match Number]],Table9[[#This Row],[Team]],Table9[[#This Row],[BOWL NUM]])</f>
        <v>26Afghanistan6</v>
      </c>
      <c r="BE426" t="str">
        <f>IFERROR(IF(AND(Table9[[#This Row],[Team]]=I_TEAM,IFERROR(IF(MATCH(Table9[[#This Row],[Bowler]],$AR$5:AR425,0)&gt;0,0),1)),1,0),"")</f>
        <v/>
      </c>
      <c r="BF426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42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26" t="e">
        <f>IF(Table9[[#This Row],[Team]]=I_TEAM,Table9[[#This Row],[Wickets]]*100-Table9[[#This Row],[Runs]],0)</f>
        <v>#REF!</v>
      </c>
      <c r="BI426">
        <f>Table9[[#This Row],[Wickets]]*100-Table9[[#This Row],[Runs]]</f>
        <v>-18</v>
      </c>
      <c r="BJ426">
        <f ca="1">IFERROR(IF(MATCH(Table9[[#This Row],[Bowler]],OFFSET(AR427,0,0,BOWLROWS-ROW(AR426)-ROW(Table9[[#Headers],[BOWLER CUML WICKETS]])),0)&gt;0,0,SUMIF($AR$6:AR426,Table9[[#This Row],[Bowler]],$AV$6:AV426)),SUMIF($AR$6:AR426,Table9[[#This Row],[Bowler]],$AV$6:AV426))</f>
        <v>0</v>
      </c>
      <c r="BK426">
        <f ca="1">IFERROR(IF(MATCH(Table9[[#This Row],[Bowler]],OFFSET(AR427,0,0,BOWLROWS-ROW(AR426)-ROW(Table9[[#Headers],[BOWLER CUML WICKETS]])),0)&gt;0,0,SUMIF($AR$6:AR426,Table9[[#This Row],[Bowler]],$AU$6:AU426)),SUMIF($AR$6:AR426,Table9[[#This Row],[Bowler]],$AU$6:AU426))</f>
        <v>58</v>
      </c>
      <c r="BL426">
        <f ca="1">Table9[[#This Row],[BOWLER CUML WICKETS]]*100-Table9[[#This Row],[BOWLER CUML RUNS]]</f>
        <v>-58</v>
      </c>
    </row>
    <row r="427" spans="1:64" x14ac:dyDescent="0.3">
      <c r="A427">
        <v>47</v>
      </c>
      <c r="B427" t="s">
        <v>140</v>
      </c>
      <c r="C427" t="s">
        <v>349</v>
      </c>
      <c r="D427" t="s">
        <v>614</v>
      </c>
      <c r="E427">
        <v>34</v>
      </c>
      <c r="F427">
        <v>80</v>
      </c>
      <c r="G427">
        <v>38</v>
      </c>
      <c r="H427">
        <v>3</v>
      </c>
      <c r="I427">
        <v>1</v>
      </c>
      <c r="J427">
        <v>89.47</v>
      </c>
      <c r="K427">
        <v>1</v>
      </c>
      <c r="L427" t="str">
        <f>CONCATENATE(T_BATTINGDATA[[#This Row],[Match]],T_BATTINGDATA[[#This Row],[Team]],T_BATTINGDATA[[#This Row],[Bat Number]])</f>
        <v>47New Zealand1</v>
      </c>
      <c r="M427" t="str">
        <f>IFERROR(IF(AND(T_BATTINGDATA[[#This Row],[Team]]=I_TEAM,IFERROR(IF(MATCH(T_BATTINGDATA[[#This Row],[BATSMAN NAME]],$O$5:O426,0)&gt;0,0),1)),1,0),"")</f>
        <v/>
      </c>
      <c r="N427" t="e">
        <f>IF(T_BATTINGDATA[[#This Row],[Team]]=I_TEAM,T_BATTINGDATA[[#This Row],[R]],0)</f>
        <v>#REF!</v>
      </c>
      <c r="O427" t="str">
        <f>LEFT(T_BATTINGDATA[[#This Row],[Batsman]],IFERROR(FIND("*",T_BATTINGDATA[[#This Row],[Batsman]])-1,IFERROR(FIND("†",T_BATTINGDATA[[#This Row],[Batsman]])-1,LEN(T_BATTINGDATA[[#This Row],[Batsman]]))))</f>
        <v>MJ Guptill</v>
      </c>
      <c r="P427">
        <f ca="1">IFERROR(IF(MATCH(T_BATTINGDATA[[#This Row],[BATSMAN NAME]],OFFSET(O428,0,0,BATROWS-ROW(O427)-ROW(T_BATTINGDATA[[#Headers],[BATSMAN NAME]])),0)&gt;0,0,SUMIF($O$6:O427,T_BATTINGDATA[[#This Row],[BATSMAN NAME]],$E$6:E427)),SUMIF($O$6:O427,T_BATTINGDATA[[#This Row],[BATSMAN NAME]],$E$6:E427))</f>
        <v>0</v>
      </c>
      <c r="AP427">
        <v>26</v>
      </c>
      <c r="AQ427" t="s">
        <v>185</v>
      </c>
      <c r="AR427" t="s">
        <v>478</v>
      </c>
      <c r="AS427">
        <v>1</v>
      </c>
      <c r="AT427">
        <v>0</v>
      </c>
      <c r="AU427">
        <v>14</v>
      </c>
      <c r="AV427">
        <v>1</v>
      </c>
      <c r="AW427">
        <v>14</v>
      </c>
      <c r="AX427">
        <v>1</v>
      </c>
      <c r="AY427">
        <v>1</v>
      </c>
      <c r="AZ427">
        <v>1</v>
      </c>
      <c r="BA427">
        <v>0</v>
      </c>
      <c r="BB427">
        <v>0</v>
      </c>
      <c r="BC427">
        <v>7</v>
      </c>
      <c r="BD427" t="str">
        <f>CONCATENATE(Table9[[#This Row],[Match Number]],Table9[[#This Row],[Team]],Table9[[#This Row],[BOWL NUM]])</f>
        <v>26Afghanistan7</v>
      </c>
      <c r="BE427" t="str">
        <f>IFERROR(IF(AND(Table9[[#This Row],[Team]]=I_TEAM,IFERROR(IF(MATCH(Table9[[#This Row],[Bowler]],$AR$5:AR426,0)&gt;0,0),1)),1,0),"")</f>
        <v/>
      </c>
      <c r="BF427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42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27" t="e">
        <f>IF(Table9[[#This Row],[Team]]=I_TEAM,Table9[[#This Row],[Wickets]]*100-Table9[[#This Row],[Runs]],0)</f>
        <v>#REF!</v>
      </c>
      <c r="BI427">
        <f>Table9[[#This Row],[Wickets]]*100-Table9[[#This Row],[Runs]]</f>
        <v>86</v>
      </c>
      <c r="BJ427">
        <f ca="1">IFERROR(IF(MATCH(Table9[[#This Row],[Bowler]],OFFSET(AR428,0,0,BOWLROWS-ROW(AR427)-ROW(Table9[[#Headers],[BOWLER CUML WICKETS]])),0)&gt;0,0,SUMIF($AR$6:AR476,Table9[[#This Row],[Bowler]],$AV$6:AV476)),SUMIF($AR$6:AR476,Table9[[#This Row],[Bowler]],$AV$6:AV476))</f>
        <v>1</v>
      </c>
      <c r="BK427">
        <f ca="1">IFERROR(IF(MATCH(Table9[[#This Row],[Bowler]],OFFSET(AR428,0,0,BOWLROWS-ROW(AR427)-ROW(Table9[[#Headers],[BOWLER CUML WICKETS]])),0)&gt;0,0,SUMIF($AR$6:AR590,Table9[[#This Row],[Bowler]],$AU$6:AU590)),SUMIF($AR$6:AR590,Table9[[#This Row],[Bowler]],$AU$6:AU590))</f>
        <v>14</v>
      </c>
      <c r="BL427">
        <f ca="1">Table9[[#This Row],[BOWLER CUML WICKETS]]*100-Table9[[#This Row],[BOWLER CUML RUNS]]</f>
        <v>86</v>
      </c>
    </row>
    <row r="428" spans="1:64" x14ac:dyDescent="0.3">
      <c r="A428">
        <v>47</v>
      </c>
      <c r="B428" t="s">
        <v>140</v>
      </c>
      <c r="C428" t="s">
        <v>352</v>
      </c>
      <c r="D428" t="s">
        <v>615</v>
      </c>
      <c r="E428">
        <v>59</v>
      </c>
      <c r="F428">
        <v>32</v>
      </c>
      <c r="G428">
        <v>26</v>
      </c>
      <c r="H428">
        <v>8</v>
      </c>
      <c r="I428">
        <v>4</v>
      </c>
      <c r="J428">
        <v>226.92</v>
      </c>
      <c r="K428">
        <v>2</v>
      </c>
      <c r="L428" t="str">
        <f>CONCATENATE(T_BATTINGDATA[[#This Row],[Match]],T_BATTINGDATA[[#This Row],[Team]],T_BATTINGDATA[[#This Row],[Bat Number]])</f>
        <v>47New Zealand2</v>
      </c>
      <c r="M428" t="str">
        <f>IFERROR(IF(AND(T_BATTINGDATA[[#This Row],[Team]]=I_TEAM,IFERROR(IF(MATCH(T_BATTINGDATA[[#This Row],[BATSMAN NAME]],$O$5:O427,0)&gt;0,0),1)),1,0),"")</f>
        <v/>
      </c>
      <c r="N428" t="e">
        <f>IF(T_BATTINGDATA[[#This Row],[Team]]=I_TEAM,T_BATTINGDATA[[#This Row],[R]],0)</f>
        <v>#REF!</v>
      </c>
      <c r="O428" t="str">
        <f>LEFT(T_BATTINGDATA[[#This Row],[Batsman]],IFERROR(FIND("*",T_BATTINGDATA[[#This Row],[Batsman]])-1,IFERROR(FIND("†",T_BATTINGDATA[[#This Row],[Batsman]])-1,LEN(T_BATTINGDATA[[#This Row],[Batsman]]))))</f>
        <v>BB McCullum</v>
      </c>
      <c r="P428">
        <f ca="1">IFERROR(IF(MATCH(T_BATTINGDATA[[#This Row],[BATSMAN NAME]],OFFSET(O429,0,0,BATROWS-ROW(O428)-ROW(T_BATTINGDATA[[#Headers],[BATSMAN NAME]])),0)&gt;0,0,SUMIF($O$6:O428,T_BATTINGDATA[[#This Row],[BATSMAN NAME]],$E$6:E428)),SUMIF($O$6:O428,T_BATTINGDATA[[#This Row],[BATSMAN NAME]],$E$6:E428))</f>
        <v>0</v>
      </c>
      <c r="AP428">
        <v>26</v>
      </c>
      <c r="AQ428" t="s">
        <v>149</v>
      </c>
      <c r="AR428" t="s">
        <v>321</v>
      </c>
      <c r="AS428">
        <v>6</v>
      </c>
      <c r="AT428">
        <v>0</v>
      </c>
      <c r="AU428">
        <v>18</v>
      </c>
      <c r="AV428">
        <v>2</v>
      </c>
      <c r="AW428">
        <v>3</v>
      </c>
      <c r="AX428">
        <v>24</v>
      </c>
      <c r="AY428">
        <v>1</v>
      </c>
      <c r="AZ428">
        <v>0</v>
      </c>
      <c r="BA428">
        <v>0</v>
      </c>
      <c r="BB428">
        <v>0</v>
      </c>
      <c r="BC428">
        <v>1</v>
      </c>
      <c r="BD428" t="str">
        <f>CONCATENATE(Table9[[#This Row],[Match Number]],Table9[[#This Row],[Team]],Table9[[#This Row],[BOWL NUM]])</f>
        <v>26Australia1</v>
      </c>
      <c r="BE428" t="str">
        <f>IFERROR(IF(AND(Table9[[#This Row],[Team]]=I_TEAM,IFERROR(IF(MATCH(Table9[[#This Row],[Bowler]],$AR$5:AR427,0)&gt;0,0),1)),1,0),"")</f>
        <v/>
      </c>
      <c r="BF428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42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28" t="e">
        <f>IF(Table9[[#This Row],[Team]]=I_TEAM,Table9[[#This Row],[Wickets]]*100-Table9[[#This Row],[Runs]],0)</f>
        <v>#REF!</v>
      </c>
      <c r="BI428">
        <f>Table9[[#This Row],[Wickets]]*100-Table9[[#This Row],[Runs]]</f>
        <v>182</v>
      </c>
      <c r="BJ428">
        <f ca="1">IFERROR(IF(MATCH(Table9[[#This Row],[Bowler]],OFFSET(AR429,0,0,BOWLROWS-ROW(AR428)-ROW(Table9[[#Headers],[BOWLER CUML WICKETS]])),0)&gt;0,0,SUMIF($AR$6:AR428,Table9[[#This Row],[Bowler]],$AV$6:AV428)),SUMIF($AR$6:AR428,Table9[[#This Row],[Bowler]],$AV$6:AV428))</f>
        <v>0</v>
      </c>
      <c r="BK428">
        <f ca="1">IFERROR(IF(MATCH(Table9[[#This Row],[Bowler]],OFFSET(AR429,0,0,BOWLROWS-ROW(AR428)-ROW(Table9[[#Headers],[BOWLER CUML WICKETS]])),0)&gt;0,0,SUMIF($AR$6:AR428,Table9[[#This Row],[Bowler]],$AU$6:AU428)),SUMIF($AR$6:AR428,Table9[[#This Row],[Bowler]],$AU$6:AU428))</f>
        <v>0</v>
      </c>
      <c r="BL428">
        <f ca="1">Table9[[#This Row],[BOWLER CUML WICKETS]]*100-Table9[[#This Row],[BOWLER CUML RUNS]]</f>
        <v>0</v>
      </c>
    </row>
    <row r="429" spans="1:64" x14ac:dyDescent="0.3">
      <c r="A429">
        <v>47</v>
      </c>
      <c r="B429" t="s">
        <v>140</v>
      </c>
      <c r="C429" t="s">
        <v>307</v>
      </c>
      <c r="D429" t="s">
        <v>616</v>
      </c>
      <c r="E429">
        <v>6</v>
      </c>
      <c r="F429">
        <v>12</v>
      </c>
      <c r="G429">
        <v>11</v>
      </c>
      <c r="H429">
        <v>1</v>
      </c>
      <c r="I429">
        <v>0</v>
      </c>
      <c r="J429">
        <v>54.54</v>
      </c>
      <c r="K429">
        <v>3</v>
      </c>
      <c r="L429" t="str">
        <f>CONCATENATE(T_BATTINGDATA[[#This Row],[Match]],T_BATTINGDATA[[#This Row],[Team]],T_BATTINGDATA[[#This Row],[Bat Number]])</f>
        <v>47New Zealand3</v>
      </c>
      <c r="M429" t="str">
        <f>IFERROR(IF(AND(T_BATTINGDATA[[#This Row],[Team]]=I_TEAM,IFERROR(IF(MATCH(T_BATTINGDATA[[#This Row],[BATSMAN NAME]],$O$5:O428,0)&gt;0,0),1)),1,0),"")</f>
        <v/>
      </c>
      <c r="N429" t="e">
        <f>IF(T_BATTINGDATA[[#This Row],[Team]]=I_TEAM,T_BATTINGDATA[[#This Row],[R]],0)</f>
        <v>#REF!</v>
      </c>
      <c r="O429" t="str">
        <f>LEFT(T_BATTINGDATA[[#This Row],[Batsman]],IFERROR(FIND("*",T_BATTINGDATA[[#This Row],[Batsman]])-1,IFERROR(FIND("†",T_BATTINGDATA[[#This Row],[Batsman]])-1,LEN(T_BATTINGDATA[[#This Row],[Batsman]]))))</f>
        <v>KS Williamson</v>
      </c>
      <c r="P429">
        <f ca="1">IFERROR(IF(MATCH(T_BATTINGDATA[[#This Row],[BATSMAN NAME]],OFFSET(O430,0,0,BATROWS-ROW(O429)-ROW(T_BATTINGDATA[[#Headers],[BATSMAN NAME]])),0)&gt;0,0,SUMIF($O$6:O429,T_BATTINGDATA[[#This Row],[BATSMAN NAME]],$E$6:E429)),SUMIF($O$6:O429,T_BATTINGDATA[[#This Row],[BATSMAN NAME]],$E$6:E429))</f>
        <v>0</v>
      </c>
      <c r="AP429">
        <v>26</v>
      </c>
      <c r="AQ429" t="s">
        <v>149</v>
      </c>
      <c r="AR429" t="s">
        <v>322</v>
      </c>
      <c r="AS429">
        <v>8</v>
      </c>
      <c r="AT429">
        <v>1</v>
      </c>
      <c r="AU429">
        <v>25</v>
      </c>
      <c r="AV429">
        <v>2</v>
      </c>
      <c r="AW429">
        <v>3.12</v>
      </c>
      <c r="AX429">
        <v>37</v>
      </c>
      <c r="AY429">
        <v>2</v>
      </c>
      <c r="AZ429">
        <v>0</v>
      </c>
      <c r="BA429">
        <v>3</v>
      </c>
      <c r="BB429">
        <v>0</v>
      </c>
      <c r="BC429">
        <v>2</v>
      </c>
      <c r="BD429" t="str">
        <f>CONCATENATE(Table9[[#This Row],[Match Number]],Table9[[#This Row],[Team]],Table9[[#This Row],[BOWL NUM]])</f>
        <v>26Australia2</v>
      </c>
      <c r="BE429" t="str">
        <f>IFERROR(IF(AND(Table9[[#This Row],[Team]]=I_TEAM,IFERROR(IF(MATCH(Table9[[#This Row],[Bowler]],$AR$5:AR428,0)&gt;0,0),1)),1,0),"")</f>
        <v/>
      </c>
      <c r="BF429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42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29" t="e">
        <f>IF(Table9[[#This Row],[Team]]=I_TEAM,Table9[[#This Row],[Wickets]]*100-Table9[[#This Row],[Runs]],0)</f>
        <v>#REF!</v>
      </c>
      <c r="BI429">
        <f>Table9[[#This Row],[Wickets]]*100-Table9[[#This Row],[Runs]]</f>
        <v>175</v>
      </c>
      <c r="BJ429">
        <f ca="1">IFERROR(IF(MATCH(Table9[[#This Row],[Bowler]],OFFSET(AR430,0,0,BOWLROWS-ROW(AR429)-ROW(Table9[[#Headers],[BOWLER CUML WICKETS]])),0)&gt;0,0,SUMIF($AR$6:AR429,Table9[[#This Row],[Bowler]],$AV$6:AV429)),SUMIF($AR$6:AR429,Table9[[#This Row],[Bowler]],$AV$6:AV429))</f>
        <v>7</v>
      </c>
      <c r="BK429">
        <f ca="1">IFERROR(IF(MATCH(Table9[[#This Row],[Bowler]],OFFSET(AR430,0,0,BOWLROWS-ROW(AR429)-ROW(Table9[[#Headers],[BOWLER CUML WICKETS]])),0)&gt;0,0,SUMIF($AR$6:AR429,Table9[[#This Row],[Bowler]],$AU$6:AU429)),SUMIF($AR$6:AR429,Table9[[#This Row],[Bowler]],$AU$6:AU429))</f>
        <v>176</v>
      </c>
      <c r="BL429">
        <f ca="1">Table9[[#This Row],[BOWLER CUML WICKETS]]*100-Table9[[#This Row],[BOWLER CUML RUNS]]</f>
        <v>524</v>
      </c>
    </row>
    <row r="430" spans="1:64" x14ac:dyDescent="0.3">
      <c r="A430">
        <v>47</v>
      </c>
      <c r="B430" t="s">
        <v>140</v>
      </c>
      <c r="C430" t="s">
        <v>356</v>
      </c>
      <c r="D430" t="s">
        <v>422</v>
      </c>
      <c r="E430">
        <v>30</v>
      </c>
      <c r="F430">
        <v>57</v>
      </c>
      <c r="G430">
        <v>39</v>
      </c>
      <c r="H430">
        <v>4</v>
      </c>
      <c r="I430">
        <v>0</v>
      </c>
      <c r="J430">
        <v>76.92</v>
      </c>
      <c r="K430">
        <v>4</v>
      </c>
      <c r="L430" t="str">
        <f>CONCATENATE(T_BATTINGDATA[[#This Row],[Match]],T_BATTINGDATA[[#This Row],[Team]],T_BATTINGDATA[[#This Row],[Bat Number]])</f>
        <v>47New Zealand4</v>
      </c>
      <c r="M430" t="str">
        <f>IFERROR(IF(AND(T_BATTINGDATA[[#This Row],[Team]]=I_TEAM,IFERROR(IF(MATCH(T_BATTINGDATA[[#This Row],[BATSMAN NAME]],$O$5:O429,0)&gt;0,0),1)),1,0),"")</f>
        <v/>
      </c>
      <c r="N430" t="e">
        <f>IF(T_BATTINGDATA[[#This Row],[Team]]=I_TEAM,T_BATTINGDATA[[#This Row],[R]],0)</f>
        <v>#REF!</v>
      </c>
      <c r="O430" t="str">
        <f>LEFT(T_BATTINGDATA[[#This Row],[Batsman]],IFERROR(FIND("*",T_BATTINGDATA[[#This Row],[Batsman]])-1,IFERROR(FIND("†",T_BATTINGDATA[[#This Row],[Batsman]])-1,LEN(T_BATTINGDATA[[#This Row],[Batsman]]))))</f>
        <v>LRPL Taylor</v>
      </c>
      <c r="P430">
        <f ca="1">IFERROR(IF(MATCH(T_BATTINGDATA[[#This Row],[BATSMAN NAME]],OFFSET(O431,0,0,BATROWS-ROW(O430)-ROW(T_BATTINGDATA[[#Headers],[BATSMAN NAME]])),0)&gt;0,0,SUMIF($O$6:O430,T_BATTINGDATA[[#This Row],[BATSMAN NAME]],$E$6:E430)),SUMIF($O$6:O430,T_BATTINGDATA[[#This Row],[BATSMAN NAME]],$E$6:E430))</f>
        <v>0</v>
      </c>
      <c r="AP430">
        <v>26</v>
      </c>
      <c r="AQ430" t="s">
        <v>149</v>
      </c>
      <c r="AR430" t="s">
        <v>323</v>
      </c>
      <c r="AS430">
        <v>7.3</v>
      </c>
      <c r="AT430">
        <v>0</v>
      </c>
      <c r="AU430">
        <v>22</v>
      </c>
      <c r="AV430">
        <v>4</v>
      </c>
      <c r="AW430">
        <v>2.93</v>
      </c>
      <c r="AX430">
        <v>35</v>
      </c>
      <c r="AY430">
        <v>1</v>
      </c>
      <c r="AZ430">
        <v>0</v>
      </c>
      <c r="BA430">
        <v>5</v>
      </c>
      <c r="BB430">
        <v>0</v>
      </c>
      <c r="BC430">
        <v>3</v>
      </c>
      <c r="BD430" t="str">
        <f>CONCATENATE(Table9[[#This Row],[Match Number]],Table9[[#This Row],[Team]],Table9[[#This Row],[BOWL NUM]])</f>
        <v>26Australia3</v>
      </c>
      <c r="BE430" t="str">
        <f>IFERROR(IF(AND(Table9[[#This Row],[Team]]=I_TEAM,IFERROR(IF(MATCH(Table9[[#This Row],[Bowler]],$AR$5:AR429,0)&gt;0,0),1)),1,0),"")</f>
        <v/>
      </c>
      <c r="BF430">
        <f>(LEFT(Table9[[#This Row],[Overs]],IFERROR(FIND(".",Table9[[#This Row],[Overs]])-1,LEN(Table9[[#This Row],[Overs]])))*6) + IFERROR(IF(FIND(".",Table9[[#This Row],[Overs]])+1&gt;0,RIGHT(Table9[[#This Row],[Overs]],1),0),0)</f>
        <v>45</v>
      </c>
      <c r="BG43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30" t="e">
        <f>IF(Table9[[#This Row],[Team]]=I_TEAM,Table9[[#This Row],[Wickets]]*100-Table9[[#This Row],[Runs]],0)</f>
        <v>#REF!</v>
      </c>
      <c r="BI430">
        <f>Table9[[#This Row],[Wickets]]*100-Table9[[#This Row],[Runs]]</f>
        <v>378</v>
      </c>
      <c r="BJ430">
        <f ca="1">IFERROR(IF(MATCH(Table9[[#This Row],[Bowler]],OFFSET(AR431,0,0,BOWLROWS-ROW(AR430)-ROW(Table9[[#Headers],[BOWLER CUML WICKETS]])),0)&gt;0,0,SUMIF($AR$6:AR430,Table9[[#This Row],[Bowler]],$AV$6:AV430)),SUMIF($AR$6:AR430,Table9[[#This Row],[Bowler]],$AV$6:AV430))</f>
        <v>0</v>
      </c>
      <c r="BK430">
        <f ca="1">IFERROR(IF(MATCH(Table9[[#This Row],[Bowler]],OFFSET(AR431,0,0,BOWLROWS-ROW(AR430)-ROW(Table9[[#Headers],[BOWLER CUML WICKETS]])),0)&gt;0,0,SUMIF($AR$6:AR430,Table9[[#This Row],[Bowler]],$AU$6:AU430)),SUMIF($AR$6:AR430,Table9[[#This Row],[Bowler]],$AU$6:AU430))</f>
        <v>0</v>
      </c>
      <c r="BL430">
        <f ca="1">Table9[[#This Row],[BOWLER CUML WICKETS]]*100-Table9[[#This Row],[BOWLER CUML RUNS]]</f>
        <v>0</v>
      </c>
    </row>
    <row r="431" spans="1:64" x14ac:dyDescent="0.3">
      <c r="A431">
        <v>47</v>
      </c>
      <c r="B431" t="s">
        <v>140</v>
      </c>
      <c r="C431" t="s">
        <v>305</v>
      </c>
      <c r="D431" t="s">
        <v>167</v>
      </c>
      <c r="E431">
        <v>84</v>
      </c>
      <c r="F431">
        <v>132</v>
      </c>
      <c r="G431">
        <v>73</v>
      </c>
      <c r="H431">
        <v>7</v>
      </c>
      <c r="I431">
        <v>3</v>
      </c>
      <c r="J431">
        <v>115.06</v>
      </c>
      <c r="K431">
        <v>5</v>
      </c>
      <c r="L431" t="str">
        <f>CONCATENATE(T_BATTINGDATA[[#This Row],[Match]],T_BATTINGDATA[[#This Row],[Team]],T_BATTINGDATA[[#This Row],[Bat Number]])</f>
        <v>47New Zealand5</v>
      </c>
      <c r="M431" t="str">
        <f>IFERROR(IF(AND(T_BATTINGDATA[[#This Row],[Team]]=I_TEAM,IFERROR(IF(MATCH(T_BATTINGDATA[[#This Row],[BATSMAN NAME]],$O$5:O430,0)&gt;0,0),1)),1,0),"")</f>
        <v/>
      </c>
      <c r="N431" t="e">
        <f>IF(T_BATTINGDATA[[#This Row],[Team]]=I_TEAM,T_BATTINGDATA[[#This Row],[R]],0)</f>
        <v>#REF!</v>
      </c>
      <c r="O431" t="str">
        <f>LEFT(T_BATTINGDATA[[#This Row],[Batsman]],IFERROR(FIND("*",T_BATTINGDATA[[#This Row],[Batsman]])-1,IFERROR(FIND("†",T_BATTINGDATA[[#This Row],[Batsman]])-1,LEN(T_BATTINGDATA[[#This Row],[Batsman]]))))</f>
        <v>GD Elliott</v>
      </c>
      <c r="P431">
        <f ca="1">IFERROR(IF(MATCH(T_BATTINGDATA[[#This Row],[BATSMAN NAME]],OFFSET(O432,0,0,BATROWS-ROW(O431)-ROW(T_BATTINGDATA[[#Headers],[BATSMAN NAME]])),0)&gt;0,0,SUMIF($O$6:O431,T_BATTINGDATA[[#This Row],[BATSMAN NAME]],$E$6:E431)),SUMIF($O$6:O431,T_BATTINGDATA[[#This Row],[BATSMAN NAME]],$E$6:E431))</f>
        <v>0</v>
      </c>
      <c r="AP431">
        <v>26</v>
      </c>
      <c r="AQ431" t="s">
        <v>149</v>
      </c>
      <c r="AR431" t="s">
        <v>617</v>
      </c>
      <c r="AS431">
        <v>5</v>
      </c>
      <c r="AT431">
        <v>0</v>
      </c>
      <c r="AU431">
        <v>14</v>
      </c>
      <c r="AV431">
        <v>1</v>
      </c>
      <c r="AW431">
        <v>2.8</v>
      </c>
      <c r="AX431">
        <v>18</v>
      </c>
      <c r="AY431">
        <v>0</v>
      </c>
      <c r="AZ431">
        <v>0</v>
      </c>
      <c r="BA431">
        <v>0</v>
      </c>
      <c r="BB431">
        <v>0</v>
      </c>
      <c r="BC431">
        <v>4</v>
      </c>
      <c r="BD431" t="str">
        <f>CONCATENATE(Table9[[#This Row],[Match Number]],Table9[[#This Row],[Team]],Table9[[#This Row],[BOWL NUM]])</f>
        <v>26Australia4</v>
      </c>
      <c r="BE431" t="str">
        <f>IFERROR(IF(AND(Table9[[#This Row],[Team]]=I_TEAM,IFERROR(IF(MATCH(Table9[[#This Row],[Bowler]],$AR$5:AR430,0)&gt;0,0),1)),1,0),"")</f>
        <v/>
      </c>
      <c r="BF431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3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31" t="e">
        <f>IF(Table9[[#This Row],[Team]]=I_TEAM,Table9[[#This Row],[Wickets]]*100-Table9[[#This Row],[Runs]],0)</f>
        <v>#REF!</v>
      </c>
      <c r="BI431">
        <f>Table9[[#This Row],[Wickets]]*100-Table9[[#This Row],[Runs]]</f>
        <v>86</v>
      </c>
      <c r="BJ431">
        <f ca="1">IFERROR(IF(MATCH(Table9[[#This Row],[Bowler]],OFFSET(AR432,0,0,BOWLROWS-ROW(AR431)-ROW(Table9[[#Headers],[BOWLER CUML WICKETS]])),0)&gt;0,0,SUMIF($AR$6:AR431,Table9[[#This Row],[Bowler]],$AV$6:AV431)),SUMIF($AR$6:AR431,Table9[[#This Row],[Bowler]],$AV$6:AV431))</f>
        <v>1</v>
      </c>
      <c r="BK431">
        <f ca="1">IFERROR(IF(MATCH(Table9[[#This Row],[Bowler]],OFFSET(AR432,0,0,BOWLROWS-ROW(AR431)-ROW(Table9[[#Headers],[BOWLER CUML WICKETS]])),0)&gt;0,0,SUMIF($AR$6:AR431,Table9[[#This Row],[Bowler]],$AU$6:AU431)),SUMIF($AR$6:AR431,Table9[[#This Row],[Bowler]],$AU$6:AU431))</f>
        <v>14</v>
      </c>
      <c r="BL431">
        <f ca="1">Table9[[#This Row],[BOWLER CUML WICKETS]]*100-Table9[[#This Row],[BOWLER CUML RUNS]]</f>
        <v>86</v>
      </c>
    </row>
    <row r="432" spans="1:64" x14ac:dyDescent="0.3">
      <c r="A432">
        <v>47</v>
      </c>
      <c r="B432" t="s">
        <v>140</v>
      </c>
      <c r="C432" t="s">
        <v>309</v>
      </c>
      <c r="D432" t="s">
        <v>618</v>
      </c>
      <c r="E432">
        <v>58</v>
      </c>
      <c r="F432">
        <v>80</v>
      </c>
      <c r="G432">
        <v>57</v>
      </c>
      <c r="H432">
        <v>6</v>
      </c>
      <c r="I432">
        <v>2</v>
      </c>
      <c r="J432">
        <v>101.75</v>
      </c>
      <c r="K432">
        <v>6</v>
      </c>
      <c r="L432" t="str">
        <f>CONCATENATE(T_BATTINGDATA[[#This Row],[Match]],T_BATTINGDATA[[#This Row],[Team]],T_BATTINGDATA[[#This Row],[Bat Number]])</f>
        <v>47New Zealand6</v>
      </c>
      <c r="M432" t="str">
        <f>IFERROR(IF(AND(T_BATTINGDATA[[#This Row],[Team]]=I_TEAM,IFERROR(IF(MATCH(T_BATTINGDATA[[#This Row],[BATSMAN NAME]],$O$5:O431,0)&gt;0,0),1)),1,0),"")</f>
        <v/>
      </c>
      <c r="N432" t="e">
        <f>IF(T_BATTINGDATA[[#This Row],[Team]]=I_TEAM,T_BATTINGDATA[[#This Row],[R]],0)</f>
        <v>#REF!</v>
      </c>
      <c r="O432" t="str">
        <f>LEFT(T_BATTINGDATA[[#This Row],[Batsman]],IFERROR(FIND("*",T_BATTINGDATA[[#This Row],[Batsman]])-1,IFERROR(FIND("†",T_BATTINGDATA[[#This Row],[Batsman]])-1,LEN(T_BATTINGDATA[[#This Row],[Batsman]]))))</f>
        <v>CJ Anderson</v>
      </c>
      <c r="P432">
        <f ca="1">IFERROR(IF(MATCH(T_BATTINGDATA[[#This Row],[BATSMAN NAME]],OFFSET(O433,0,0,BATROWS-ROW(O432)-ROW(T_BATTINGDATA[[#Headers],[BATSMAN NAME]])),0)&gt;0,0,SUMIF($O$6:O432,T_BATTINGDATA[[#This Row],[BATSMAN NAME]],$E$6:E432)),SUMIF($O$6:O432,T_BATTINGDATA[[#This Row],[BATSMAN NAME]],$E$6:E432))</f>
        <v>0</v>
      </c>
      <c r="AP432">
        <v>26</v>
      </c>
      <c r="AQ432" t="s">
        <v>149</v>
      </c>
      <c r="AR432" t="s">
        <v>325</v>
      </c>
      <c r="AS432">
        <v>3</v>
      </c>
      <c r="AT432">
        <v>0</v>
      </c>
      <c r="AU432">
        <v>25</v>
      </c>
      <c r="AV432">
        <v>0</v>
      </c>
      <c r="AW432">
        <v>8.33</v>
      </c>
      <c r="AX432">
        <v>10</v>
      </c>
      <c r="AY432">
        <v>1</v>
      </c>
      <c r="AZ432">
        <v>2</v>
      </c>
      <c r="BA432">
        <v>1</v>
      </c>
      <c r="BB432">
        <v>0</v>
      </c>
      <c r="BC432">
        <v>5</v>
      </c>
      <c r="BD432" t="str">
        <f>CONCATENATE(Table9[[#This Row],[Match Number]],Table9[[#This Row],[Team]],Table9[[#This Row],[BOWL NUM]])</f>
        <v>26Australia5</v>
      </c>
      <c r="BE432" t="str">
        <f>IFERROR(IF(AND(Table9[[#This Row],[Team]]=I_TEAM,IFERROR(IF(MATCH(Table9[[#This Row],[Bowler]],$AR$5:AR431,0)&gt;0,0),1)),1,0),"")</f>
        <v/>
      </c>
      <c r="BF432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43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32" t="e">
        <f>IF(Table9[[#This Row],[Team]]=I_TEAM,Table9[[#This Row],[Wickets]]*100-Table9[[#This Row],[Runs]],0)</f>
        <v>#REF!</v>
      </c>
      <c r="BI432">
        <f>Table9[[#This Row],[Wickets]]*100-Table9[[#This Row],[Runs]]</f>
        <v>-25</v>
      </c>
      <c r="BJ432">
        <f ca="1">IFERROR(IF(MATCH(Table9[[#This Row],[Bowler]],OFFSET(AR433,0,0,BOWLROWS-ROW(AR432)-ROW(Table9[[#Headers],[BOWLER CUML WICKETS]])),0)&gt;0,0,SUMIF($AR$6:AR432,Table9[[#This Row],[Bowler]],$AV$6:AV432)),SUMIF($AR$6:AR432,Table9[[#This Row],[Bowler]],$AV$6:AV432))</f>
        <v>5</v>
      </c>
      <c r="BK432">
        <f ca="1">IFERROR(IF(MATCH(Table9[[#This Row],[Bowler]],OFFSET(AR433,0,0,BOWLROWS-ROW(AR432)-ROW(Table9[[#Headers],[BOWLER CUML WICKETS]])),0)&gt;0,0,SUMIF($AR$6:AR432,Table9[[#This Row],[Bowler]],$AU$6:AU432)),SUMIF($AR$6:AR432,Table9[[#This Row],[Bowler]],$AU$6:AU432))</f>
        <v>69</v>
      </c>
      <c r="BL432">
        <f ca="1">Table9[[#This Row],[BOWLER CUML WICKETS]]*100-Table9[[#This Row],[BOWLER CUML RUNS]]</f>
        <v>431</v>
      </c>
    </row>
    <row r="433" spans="1:64" x14ac:dyDescent="0.3">
      <c r="A433">
        <v>47</v>
      </c>
      <c r="B433" t="s">
        <v>140</v>
      </c>
      <c r="C433" t="s">
        <v>360</v>
      </c>
      <c r="D433" t="s">
        <v>619</v>
      </c>
      <c r="E433">
        <v>8</v>
      </c>
      <c r="F433">
        <v>13</v>
      </c>
      <c r="G433">
        <v>7</v>
      </c>
      <c r="H433">
        <v>1</v>
      </c>
      <c r="I433">
        <v>0</v>
      </c>
      <c r="J433">
        <v>114.28</v>
      </c>
      <c r="K433">
        <v>7</v>
      </c>
      <c r="L433" t="str">
        <f>CONCATENATE(T_BATTINGDATA[[#This Row],[Match]],T_BATTINGDATA[[#This Row],[Team]],T_BATTINGDATA[[#This Row],[Bat Number]])</f>
        <v>47New Zealand7</v>
      </c>
      <c r="M433" t="str">
        <f>IFERROR(IF(AND(T_BATTINGDATA[[#This Row],[Team]]=I_TEAM,IFERROR(IF(MATCH(T_BATTINGDATA[[#This Row],[BATSMAN NAME]],$O$5:O432,0)&gt;0,0),1)),1,0),"")</f>
        <v/>
      </c>
      <c r="N433" t="e">
        <f>IF(T_BATTINGDATA[[#This Row],[Team]]=I_TEAM,T_BATTINGDATA[[#This Row],[R]],0)</f>
        <v>#REF!</v>
      </c>
      <c r="O433" t="str">
        <f>LEFT(T_BATTINGDATA[[#This Row],[Batsman]],IFERROR(FIND("*",T_BATTINGDATA[[#This Row],[Batsman]])-1,IFERROR(FIND("†",T_BATTINGDATA[[#This Row],[Batsman]])-1,LEN(T_BATTINGDATA[[#This Row],[Batsman]]))))</f>
        <v>L Ronchi</v>
      </c>
      <c r="P433">
        <f ca="1">IFERROR(IF(MATCH(T_BATTINGDATA[[#This Row],[BATSMAN NAME]],OFFSET(O434,0,0,BATROWS-ROW(O433)-ROW(T_BATTINGDATA[[#Headers],[BATSMAN NAME]])),0)&gt;0,0,SUMIF($O$6:O433,T_BATTINGDATA[[#This Row],[BATSMAN NAME]],$E$6:E433)),SUMIF($O$6:O433,T_BATTINGDATA[[#This Row],[BATSMAN NAME]],$E$6:E433))</f>
        <v>0</v>
      </c>
      <c r="AP433">
        <v>26</v>
      </c>
      <c r="AQ433" t="s">
        <v>149</v>
      </c>
      <c r="AR433" t="s">
        <v>505</v>
      </c>
      <c r="AS433">
        <v>4</v>
      </c>
      <c r="AT433">
        <v>0</v>
      </c>
      <c r="AU433">
        <v>8</v>
      </c>
      <c r="AV433">
        <v>0</v>
      </c>
      <c r="AW433">
        <v>2</v>
      </c>
      <c r="AX433">
        <v>19</v>
      </c>
      <c r="AY433">
        <v>0</v>
      </c>
      <c r="AZ433">
        <v>0</v>
      </c>
      <c r="BA433">
        <v>1</v>
      </c>
      <c r="BB433">
        <v>1</v>
      </c>
      <c r="BC433">
        <v>6</v>
      </c>
      <c r="BD433" t="str">
        <f>CONCATENATE(Table9[[#This Row],[Match Number]],Table9[[#This Row],[Team]],Table9[[#This Row],[BOWL NUM]])</f>
        <v>26Australia6</v>
      </c>
      <c r="BE433" t="str">
        <f>IFERROR(IF(AND(Table9[[#This Row],[Team]]=I_TEAM,IFERROR(IF(MATCH(Table9[[#This Row],[Bowler]],$AR$5:AR432,0)&gt;0,0),1)),1,0),"")</f>
        <v/>
      </c>
      <c r="BF433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43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33" t="e">
        <f>IF(Table9[[#This Row],[Team]]=I_TEAM,Table9[[#This Row],[Wickets]]*100-Table9[[#This Row],[Runs]],0)</f>
        <v>#REF!</v>
      </c>
      <c r="BI433">
        <f>Table9[[#This Row],[Wickets]]*100-Table9[[#This Row],[Runs]]</f>
        <v>-8</v>
      </c>
      <c r="BJ433">
        <f ca="1">IFERROR(IF(MATCH(Table9[[#This Row],[Bowler]],OFFSET(AR434,0,0,BOWLROWS-ROW(AR433)-ROW(Table9[[#Headers],[BOWLER CUML WICKETS]])),0)&gt;0,0,SUMIF($AR$6:AR433,Table9[[#This Row],[Bowler]],$AV$6:AV433)),SUMIF($AR$6:AR433,Table9[[#This Row],[Bowler]],$AV$6:AV433))</f>
        <v>0</v>
      </c>
      <c r="BK433">
        <f ca="1">IFERROR(IF(MATCH(Table9[[#This Row],[Bowler]],OFFSET(AR434,0,0,BOWLROWS-ROW(AR433)-ROW(Table9[[#Headers],[BOWLER CUML WICKETS]])),0)&gt;0,0,SUMIF($AR$6:AR433,Table9[[#This Row],[Bowler]],$AU$6:AU433)),SUMIF($AR$6:AR433,Table9[[#This Row],[Bowler]],$AU$6:AU433))</f>
        <v>0</v>
      </c>
      <c r="BL433">
        <f ca="1">Table9[[#This Row],[BOWLER CUML WICKETS]]*100-Table9[[#This Row],[BOWLER CUML RUNS]]</f>
        <v>0</v>
      </c>
    </row>
    <row r="434" spans="1:64" x14ac:dyDescent="0.3">
      <c r="A434">
        <v>47</v>
      </c>
      <c r="B434" t="s">
        <v>140</v>
      </c>
      <c r="C434" t="s">
        <v>303</v>
      </c>
      <c r="D434" t="s">
        <v>167</v>
      </c>
      <c r="E434">
        <v>7</v>
      </c>
      <c r="F434">
        <v>19</v>
      </c>
      <c r="G434">
        <v>6</v>
      </c>
      <c r="H434">
        <v>1</v>
      </c>
      <c r="I434">
        <v>0</v>
      </c>
      <c r="J434">
        <v>116.66</v>
      </c>
      <c r="K434">
        <v>8</v>
      </c>
      <c r="L434" t="str">
        <f>CONCATENATE(T_BATTINGDATA[[#This Row],[Match]],T_BATTINGDATA[[#This Row],[Team]],T_BATTINGDATA[[#This Row],[Bat Number]])</f>
        <v>47New Zealand8</v>
      </c>
      <c r="M434" t="str">
        <f>IFERROR(IF(AND(T_BATTINGDATA[[#This Row],[Team]]=I_TEAM,IFERROR(IF(MATCH(T_BATTINGDATA[[#This Row],[BATSMAN NAME]],$O$5:O433,0)&gt;0,0),1)),1,0),"")</f>
        <v/>
      </c>
      <c r="N434" t="e">
        <f>IF(T_BATTINGDATA[[#This Row],[Team]]=I_TEAM,T_BATTINGDATA[[#This Row],[R]],0)</f>
        <v>#REF!</v>
      </c>
      <c r="O434" t="str">
        <f>LEFT(T_BATTINGDATA[[#This Row],[Batsman]],IFERROR(FIND("*",T_BATTINGDATA[[#This Row],[Batsman]])-1,IFERROR(FIND("†",T_BATTINGDATA[[#This Row],[Batsman]])-1,LEN(T_BATTINGDATA[[#This Row],[Batsman]]))))</f>
        <v>DL Vettori</v>
      </c>
      <c r="P434">
        <f ca="1">IFERROR(IF(MATCH(T_BATTINGDATA[[#This Row],[BATSMAN NAME]],OFFSET(O435,0,0,BATROWS-ROW(O434)-ROW(T_BATTINGDATA[[#Headers],[BATSMAN NAME]])),0)&gt;0,0,SUMIF($O$6:O434,T_BATTINGDATA[[#This Row],[BATSMAN NAME]],$E$6:E434)),SUMIF($O$6:O434,T_BATTINGDATA[[#This Row],[BATSMAN NAME]],$E$6:E434))</f>
        <v>0</v>
      </c>
      <c r="AP434">
        <v>26</v>
      </c>
      <c r="AQ434" t="s">
        <v>149</v>
      </c>
      <c r="AR434" t="s">
        <v>329</v>
      </c>
      <c r="AS434">
        <v>4</v>
      </c>
      <c r="AT434">
        <v>1</v>
      </c>
      <c r="AU434">
        <v>21</v>
      </c>
      <c r="AV434">
        <v>1</v>
      </c>
      <c r="AW434">
        <v>5.25</v>
      </c>
      <c r="AX434">
        <v>15</v>
      </c>
      <c r="AY434">
        <v>1</v>
      </c>
      <c r="AZ434">
        <v>1</v>
      </c>
      <c r="BA434">
        <v>0</v>
      </c>
      <c r="BB434">
        <v>0</v>
      </c>
      <c r="BC434">
        <v>7</v>
      </c>
      <c r="BD434" t="str">
        <f>CONCATENATE(Table9[[#This Row],[Match Number]],Table9[[#This Row],[Team]],Table9[[#This Row],[BOWL NUM]])</f>
        <v>26Australia7</v>
      </c>
      <c r="BE434" t="str">
        <f>IFERROR(IF(AND(Table9[[#This Row],[Team]]=I_TEAM,IFERROR(IF(MATCH(Table9[[#This Row],[Bowler]],$AR$5:AR433,0)&gt;0,0),1)),1,0),"")</f>
        <v/>
      </c>
      <c r="BF434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43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34" t="e">
        <f>IF(Table9[[#This Row],[Team]]=I_TEAM,Table9[[#This Row],[Wickets]]*100-Table9[[#This Row],[Runs]],0)</f>
        <v>#REF!</v>
      </c>
      <c r="BI434">
        <f>Table9[[#This Row],[Wickets]]*100-Table9[[#This Row],[Runs]]</f>
        <v>79</v>
      </c>
      <c r="BJ434">
        <f ca="1">IFERROR(IF(MATCH(Table9[[#This Row],[Bowler]],OFFSET(AR435,0,0,BOWLROWS-ROW(AR434)-ROW(Table9[[#Headers],[BOWLER CUML WICKETS]])),0)&gt;0,0,SUMIF($AR$6:AR590,Table9[[#This Row],[Bowler]],$AV$6:AV590)),SUMIF($AR$6:AR590,Table9[[#This Row],[Bowler]],$AV$6:AV590))</f>
        <v>0</v>
      </c>
      <c r="BK434">
        <f ca="1">IFERROR(IF(MATCH(Table9[[#This Row],[Bowler]],OFFSET(AR435,0,0,BOWLROWS-ROW(AR434)-ROW(Table9[[#Headers],[BOWLER CUML WICKETS]])),0)&gt;0,0,SUMIF($AR$6:AR453,Table9[[#This Row],[Bowler]],$AU$6:AU453)),SUMIF($AR$6:AR453,Table9[[#This Row],[Bowler]],$AU$6:AU453))</f>
        <v>0</v>
      </c>
      <c r="BL434">
        <f ca="1">Table9[[#This Row],[BOWLER CUML WICKETS]]*100-Table9[[#This Row],[BOWLER CUML RUNS]]</f>
        <v>0</v>
      </c>
    </row>
    <row r="435" spans="1:64" x14ac:dyDescent="0.3">
      <c r="A435">
        <v>49</v>
      </c>
      <c r="B435" t="s">
        <v>140</v>
      </c>
      <c r="C435" t="s">
        <v>349</v>
      </c>
      <c r="D435" t="s">
        <v>620</v>
      </c>
      <c r="E435">
        <v>15</v>
      </c>
      <c r="F435">
        <v>48</v>
      </c>
      <c r="G435">
        <v>34</v>
      </c>
      <c r="H435">
        <v>1</v>
      </c>
      <c r="I435">
        <v>1</v>
      </c>
      <c r="J435">
        <v>44.11</v>
      </c>
      <c r="K435">
        <v>1</v>
      </c>
      <c r="L435" t="str">
        <f>CONCATENATE(T_BATTINGDATA[[#This Row],[Match]],T_BATTINGDATA[[#This Row],[Team]],T_BATTINGDATA[[#This Row],[Bat Number]])</f>
        <v>49New Zealand1</v>
      </c>
      <c r="M435" t="str">
        <f>IFERROR(IF(AND(T_BATTINGDATA[[#This Row],[Team]]=I_TEAM,IFERROR(IF(MATCH(T_BATTINGDATA[[#This Row],[BATSMAN NAME]],$O$5:O434,0)&gt;0,0),1)),1,0),"")</f>
        <v/>
      </c>
      <c r="N435" t="e">
        <f>IF(T_BATTINGDATA[[#This Row],[Team]]=I_TEAM,T_BATTINGDATA[[#This Row],[R]],0)</f>
        <v>#REF!</v>
      </c>
      <c r="O435" t="str">
        <f>LEFT(T_BATTINGDATA[[#This Row],[Batsman]],IFERROR(FIND("*",T_BATTINGDATA[[#This Row],[Batsman]])-1,IFERROR(FIND("†",T_BATTINGDATA[[#This Row],[Batsman]])-1,LEN(T_BATTINGDATA[[#This Row],[Batsman]]))))</f>
        <v>MJ Guptill</v>
      </c>
      <c r="P435">
        <f ca="1">IFERROR(IF(MATCH(T_BATTINGDATA[[#This Row],[BATSMAN NAME]],OFFSET(O436,0,0,BATROWS-ROW(O435)-ROW(T_BATTINGDATA[[#Headers],[BATSMAN NAME]])),0)&gt;0,0,SUMIF($O$6:O435,T_BATTINGDATA[[#This Row],[BATSMAN NAME]],$E$6:E435)),SUMIF($O$6:O435,T_BATTINGDATA[[#This Row],[BATSMAN NAME]],$E$6:E435))</f>
        <v>0</v>
      </c>
      <c r="AP435">
        <v>27</v>
      </c>
      <c r="AQ435" t="s">
        <v>181</v>
      </c>
      <c r="AR435" t="s">
        <v>268</v>
      </c>
      <c r="AS435">
        <v>8</v>
      </c>
      <c r="AT435">
        <v>0</v>
      </c>
      <c r="AU435">
        <v>60</v>
      </c>
      <c r="AV435">
        <v>1</v>
      </c>
      <c r="AW435">
        <v>7.5</v>
      </c>
      <c r="AX435">
        <v>25</v>
      </c>
      <c r="AY435">
        <v>7</v>
      </c>
      <c r="AZ435">
        <v>2</v>
      </c>
      <c r="BA435">
        <v>1</v>
      </c>
      <c r="BB435">
        <v>1</v>
      </c>
      <c r="BC435">
        <v>1</v>
      </c>
      <c r="BD435" t="str">
        <f>CONCATENATE(Table9[[#This Row],[Match Number]],Table9[[#This Row],[Team]],Table9[[#This Row],[BOWL NUM]])</f>
        <v>27Bangladesh1</v>
      </c>
      <c r="BE435" t="str">
        <f>IFERROR(IF(AND(Table9[[#This Row],[Team]]=I_TEAM,IFERROR(IF(MATCH(Table9[[#This Row],[Bowler]],$AR$5:AR434,0)&gt;0,0),1)),1,0),"")</f>
        <v/>
      </c>
      <c r="BF435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43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435" t="e">
        <f>IF(Table9[[#This Row],[Team]]=I_TEAM,Table9[[#This Row],[Wickets]]*100-Table9[[#This Row],[Runs]],0)</f>
        <v>#REF!</v>
      </c>
      <c r="BI435">
        <f>Table9[[#This Row],[Wickets]]*100-Table9[[#This Row],[Runs]]</f>
        <v>40</v>
      </c>
      <c r="BJ435">
        <f ca="1">IFERROR(IF(MATCH(Table9[[#This Row],[Bowler]],OFFSET(AR436,0,0,BOWLROWS-ROW(AR435)-ROW(Table9[[#Headers],[BOWLER CUML WICKETS]])),0)&gt;0,0,SUMIF($AR$6:AR435,Table9[[#This Row],[Bowler]],$AV$6:AV435)),SUMIF($AR$6:AR435,Table9[[#This Row],[Bowler]],$AV$6:AV435))</f>
        <v>0</v>
      </c>
      <c r="BK435">
        <f ca="1">IFERROR(IF(MATCH(Table9[[#This Row],[Bowler]],OFFSET(AR436,0,0,BOWLROWS-ROW(AR435)-ROW(Table9[[#Headers],[BOWLER CUML WICKETS]])),0)&gt;0,0,SUMIF($AR$6:AR435,Table9[[#This Row],[Bowler]],$AU$6:AU435)),SUMIF($AR$6:AR435,Table9[[#This Row],[Bowler]],$AU$6:AU435))</f>
        <v>0</v>
      </c>
      <c r="BL435">
        <f ca="1">Table9[[#This Row],[BOWLER CUML WICKETS]]*100-Table9[[#This Row],[BOWLER CUML RUNS]]</f>
        <v>0</v>
      </c>
    </row>
    <row r="436" spans="1:64" x14ac:dyDescent="0.3">
      <c r="A436">
        <v>49</v>
      </c>
      <c r="B436" t="s">
        <v>140</v>
      </c>
      <c r="C436" t="s">
        <v>352</v>
      </c>
      <c r="D436" t="s">
        <v>410</v>
      </c>
      <c r="E436">
        <v>0</v>
      </c>
      <c r="F436">
        <v>3</v>
      </c>
      <c r="G436">
        <v>3</v>
      </c>
      <c r="H436">
        <v>0</v>
      </c>
      <c r="I436">
        <v>0</v>
      </c>
      <c r="J436">
        <v>0</v>
      </c>
      <c r="K436">
        <v>2</v>
      </c>
      <c r="L436" t="str">
        <f>CONCATENATE(T_BATTINGDATA[[#This Row],[Match]],T_BATTINGDATA[[#This Row],[Team]],T_BATTINGDATA[[#This Row],[Bat Number]])</f>
        <v>49New Zealand2</v>
      </c>
      <c r="M436" t="str">
        <f>IFERROR(IF(AND(T_BATTINGDATA[[#This Row],[Team]]=I_TEAM,IFERROR(IF(MATCH(T_BATTINGDATA[[#This Row],[BATSMAN NAME]],$O$5:O868,0)&gt;0,0),1)),1,0),"")</f>
        <v/>
      </c>
      <c r="N436" t="e">
        <f>IF(T_BATTINGDATA[[#This Row],[Team]]=I_TEAM,T_BATTINGDATA[[#This Row],[R]],0)</f>
        <v>#REF!</v>
      </c>
      <c r="O436" t="str">
        <f>LEFT(T_BATTINGDATA[[#This Row],[Batsman]],IFERROR(FIND("*",T_BATTINGDATA[[#This Row],[Batsman]])-1,IFERROR(FIND("†",T_BATTINGDATA[[#This Row],[Batsman]])-1,LEN(T_BATTINGDATA[[#This Row],[Batsman]]))))</f>
        <v>BB McCullum</v>
      </c>
      <c r="P436">
        <f ca="1">IFERROR(IF(MATCH(T_BATTINGDATA[[#This Row],[BATSMAN NAME]],OFFSET(O437,0,0,BATROWS-ROW(O436)-ROW(T_BATTINGDATA[[#Headers],[BATSMAN NAME]])),0)&gt;0,0,SUMIF($O$6:O436,T_BATTINGDATA[[#This Row],[BATSMAN NAME]],$E$6:E436)),SUMIF($O$6:O436,T_BATTINGDATA[[#This Row],[BATSMAN NAME]],$E$6:E436))</f>
        <v>0</v>
      </c>
      <c r="AP436">
        <v>27</v>
      </c>
      <c r="AQ436" t="s">
        <v>181</v>
      </c>
      <c r="AR436" t="s">
        <v>280</v>
      </c>
      <c r="AS436">
        <v>10</v>
      </c>
      <c r="AT436">
        <v>0</v>
      </c>
      <c r="AU436">
        <v>46</v>
      </c>
      <c r="AV436">
        <v>1</v>
      </c>
      <c r="AW436">
        <v>4.5999999999999996</v>
      </c>
      <c r="AX436">
        <v>31</v>
      </c>
      <c r="AY436">
        <v>1</v>
      </c>
      <c r="AZ436">
        <v>2</v>
      </c>
      <c r="BA436">
        <v>1</v>
      </c>
      <c r="BB436">
        <v>0</v>
      </c>
      <c r="BC436">
        <v>2</v>
      </c>
      <c r="BD436" t="str">
        <f>CONCATENATE(Table9[[#This Row],[Match Number]],Table9[[#This Row],[Team]],Table9[[#This Row],[BOWL NUM]])</f>
        <v>27Bangladesh2</v>
      </c>
      <c r="BE436" t="str">
        <f>IFERROR(IF(AND(Table9[[#This Row],[Team]]=I_TEAM,IFERROR(IF(MATCH(Table9[[#This Row],[Bowler]],$AR$5:AR435,0)&gt;0,0),1)),1,0),"")</f>
        <v/>
      </c>
      <c r="BF43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3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436" t="e">
        <f>IF(Table9[[#This Row],[Team]]=I_TEAM,Table9[[#This Row],[Wickets]]*100-Table9[[#This Row],[Runs]],0)</f>
        <v>#REF!</v>
      </c>
      <c r="BI436">
        <f>Table9[[#This Row],[Wickets]]*100-Table9[[#This Row],[Runs]]</f>
        <v>54</v>
      </c>
      <c r="BJ436">
        <f ca="1">IFERROR(IF(MATCH(Table9[[#This Row],[Bowler]],OFFSET(AR437,0,0,BOWLROWS-ROW(AR436)-ROW(Table9[[#Headers],[BOWLER CUML WICKETS]])),0)&gt;0,0,SUMIF($AR$6:AR436,Table9[[#This Row],[Bowler]],$AV$6:AV436)),SUMIF($AR$6:AR436,Table9[[#This Row],[Bowler]],$AV$6:AV436))</f>
        <v>0</v>
      </c>
      <c r="BK436">
        <f ca="1">IFERROR(IF(MATCH(Table9[[#This Row],[Bowler]],OFFSET(AR437,0,0,BOWLROWS-ROW(AR436)-ROW(Table9[[#Headers],[BOWLER CUML WICKETS]])),0)&gt;0,0,SUMIF($AR$6:AR436,Table9[[#This Row],[Bowler]],$AU$6:AU436)),SUMIF($AR$6:AR436,Table9[[#This Row],[Bowler]],$AU$6:AU436))</f>
        <v>0</v>
      </c>
      <c r="BL436">
        <f ca="1">Table9[[#This Row],[BOWLER CUML WICKETS]]*100-Table9[[#This Row],[BOWLER CUML RUNS]]</f>
        <v>0</v>
      </c>
    </row>
    <row r="437" spans="1:64" x14ac:dyDescent="0.3">
      <c r="A437">
        <v>49</v>
      </c>
      <c r="B437" t="s">
        <v>140</v>
      </c>
      <c r="C437" t="s">
        <v>307</v>
      </c>
      <c r="D437" t="s">
        <v>411</v>
      </c>
      <c r="E437">
        <v>12</v>
      </c>
      <c r="F437">
        <v>52</v>
      </c>
      <c r="G437">
        <v>33</v>
      </c>
      <c r="H437">
        <v>1</v>
      </c>
      <c r="I437">
        <v>0</v>
      </c>
      <c r="J437">
        <v>36.36</v>
      </c>
      <c r="K437">
        <v>3</v>
      </c>
      <c r="L437" t="str">
        <f>CONCATENATE(T_BATTINGDATA[[#This Row],[Match]],T_BATTINGDATA[[#This Row],[Team]],T_BATTINGDATA[[#This Row],[Bat Number]])</f>
        <v>49New Zealand3</v>
      </c>
      <c r="M437" t="str">
        <f>IFERROR(IF(AND(T_BATTINGDATA[[#This Row],[Team]]=I_TEAM,IFERROR(IF(MATCH(T_BATTINGDATA[[#This Row],[BATSMAN NAME]],$O$5:O436,0)&gt;0,0),1)),1,0),"")</f>
        <v/>
      </c>
      <c r="N437" t="e">
        <f>IF(T_BATTINGDATA[[#This Row],[Team]]=I_TEAM,T_BATTINGDATA[[#This Row],[R]],0)</f>
        <v>#REF!</v>
      </c>
      <c r="O437" t="str">
        <f>LEFT(T_BATTINGDATA[[#This Row],[Batsman]],IFERROR(FIND("*",T_BATTINGDATA[[#This Row],[Batsman]])-1,IFERROR(FIND("†",T_BATTINGDATA[[#This Row],[Batsman]])-1,LEN(T_BATTINGDATA[[#This Row],[Batsman]]))))</f>
        <v>KS Williamson</v>
      </c>
      <c r="P437">
        <f ca="1">IFERROR(IF(MATCH(T_BATTINGDATA[[#This Row],[BATSMAN NAME]],OFFSET(O438,0,0,BATROWS-ROW(O437)-ROW(T_BATTINGDATA[[#Headers],[BATSMAN NAME]])),0)&gt;0,0,SUMIF($O$6:O437,T_BATTINGDATA[[#This Row],[BATSMAN NAME]],$E$6:E437)),SUMIF($O$6:O437,T_BATTINGDATA[[#This Row],[BATSMAN NAME]],$E$6:E437))</f>
        <v>0</v>
      </c>
      <c r="AP437">
        <v>27</v>
      </c>
      <c r="AQ437" t="s">
        <v>181</v>
      </c>
      <c r="AR437" t="s">
        <v>270</v>
      </c>
      <c r="AS437">
        <v>7</v>
      </c>
      <c r="AT437">
        <v>0</v>
      </c>
      <c r="AU437">
        <v>43</v>
      </c>
      <c r="AV437">
        <v>3</v>
      </c>
      <c r="AW437">
        <v>6.14</v>
      </c>
      <c r="AX437">
        <v>20</v>
      </c>
      <c r="AY437">
        <v>6</v>
      </c>
      <c r="AZ437">
        <v>0</v>
      </c>
      <c r="BA437">
        <v>2</v>
      </c>
      <c r="BB437">
        <v>0</v>
      </c>
      <c r="BC437">
        <v>3</v>
      </c>
      <c r="BD437" t="str">
        <f>CONCATENATE(Table9[[#This Row],[Match Number]],Table9[[#This Row],[Team]],Table9[[#This Row],[BOWL NUM]])</f>
        <v>27Bangladesh3</v>
      </c>
      <c r="BE437" t="str">
        <f>IFERROR(IF(AND(Table9[[#This Row],[Team]]=I_TEAM,IFERROR(IF(MATCH(Table9[[#This Row],[Bowler]],$AR$5:AR436,0)&gt;0,0),1)),1,0),"")</f>
        <v/>
      </c>
      <c r="BF437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43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437" t="e">
        <f>IF(Table9[[#This Row],[Team]]=I_TEAM,Table9[[#This Row],[Wickets]]*100-Table9[[#This Row],[Runs]],0)</f>
        <v>#REF!</v>
      </c>
      <c r="BI437">
        <f>Table9[[#This Row],[Wickets]]*100-Table9[[#This Row],[Runs]]</f>
        <v>257</v>
      </c>
      <c r="BJ437">
        <f ca="1">IFERROR(IF(MATCH(Table9[[#This Row],[Bowler]],OFFSET(AR438,0,0,BOWLROWS-ROW(AR437)-ROW(Table9[[#Headers],[BOWLER CUML WICKETS]])),0)&gt;0,0,SUMIF($AR$6:AR437,Table9[[#This Row],[Bowler]],$AV$6:AV437)),SUMIF($AR$6:AR437,Table9[[#This Row],[Bowler]],$AV$6:AV437))</f>
        <v>0</v>
      </c>
      <c r="BK437">
        <f ca="1">IFERROR(IF(MATCH(Table9[[#This Row],[Bowler]],OFFSET(AR438,0,0,BOWLROWS-ROW(AR437)-ROW(Table9[[#Headers],[BOWLER CUML WICKETS]])),0)&gt;0,0,SUMIF($AR$6:AR437,Table9[[#This Row],[Bowler]],$AU$6:AU437)),SUMIF($AR$6:AR437,Table9[[#This Row],[Bowler]],$AU$6:AU437))</f>
        <v>0</v>
      </c>
      <c r="BL437">
        <f ca="1">Table9[[#This Row],[BOWLER CUML WICKETS]]*100-Table9[[#This Row],[BOWLER CUML RUNS]]</f>
        <v>0</v>
      </c>
    </row>
    <row r="438" spans="1:64" x14ac:dyDescent="0.3">
      <c r="A438">
        <v>49</v>
      </c>
      <c r="B438" t="s">
        <v>140</v>
      </c>
      <c r="C438" t="s">
        <v>356</v>
      </c>
      <c r="D438" t="s">
        <v>586</v>
      </c>
      <c r="E438">
        <v>40</v>
      </c>
      <c r="F438">
        <v>104</v>
      </c>
      <c r="G438">
        <v>72</v>
      </c>
      <c r="H438">
        <v>2</v>
      </c>
      <c r="I438">
        <v>0</v>
      </c>
      <c r="J438">
        <v>55.55</v>
      </c>
      <c r="K438">
        <v>4</v>
      </c>
      <c r="L438" t="str">
        <f>CONCATENATE(T_BATTINGDATA[[#This Row],[Match]],T_BATTINGDATA[[#This Row],[Team]],T_BATTINGDATA[[#This Row],[Bat Number]])</f>
        <v>49New Zealand4</v>
      </c>
      <c r="M438" t="str">
        <f>IFERROR(IF(AND(T_BATTINGDATA[[#This Row],[Team]]=I_TEAM,IFERROR(IF(MATCH(T_BATTINGDATA[[#This Row],[BATSMAN NAME]],$O$5:O437,0)&gt;0,0),1)),1,0),"")</f>
        <v/>
      </c>
      <c r="N438" t="e">
        <f>IF(T_BATTINGDATA[[#This Row],[Team]]=I_TEAM,T_BATTINGDATA[[#This Row],[R]],0)</f>
        <v>#REF!</v>
      </c>
      <c r="O438" t="str">
        <f>LEFT(T_BATTINGDATA[[#This Row],[Batsman]],IFERROR(FIND("*",T_BATTINGDATA[[#This Row],[Batsman]])-1,IFERROR(FIND("†",T_BATTINGDATA[[#This Row],[Batsman]])-1,LEN(T_BATTINGDATA[[#This Row],[Batsman]]))))</f>
        <v>LRPL Taylor</v>
      </c>
      <c r="P438">
        <f ca="1">IFERROR(IF(MATCH(T_BATTINGDATA[[#This Row],[BATSMAN NAME]],OFFSET(O439,0,0,BATROWS-ROW(O438)-ROW(T_BATTINGDATA[[#Headers],[BATSMAN NAME]])),0)&gt;0,0,SUMIF($O$6:O438,T_BATTINGDATA[[#This Row],[BATSMAN NAME]],$E$6:E438)),SUMIF($O$6:O438,T_BATTINGDATA[[#This Row],[BATSMAN NAME]],$E$6:E438))</f>
        <v>0</v>
      </c>
      <c r="AP438">
        <v>27</v>
      </c>
      <c r="AQ438" t="s">
        <v>181</v>
      </c>
      <c r="AR438" t="s">
        <v>277</v>
      </c>
      <c r="AS438">
        <v>8</v>
      </c>
      <c r="AT438">
        <v>0</v>
      </c>
      <c r="AU438">
        <v>60</v>
      </c>
      <c r="AV438">
        <v>0</v>
      </c>
      <c r="AW438">
        <v>7.5</v>
      </c>
      <c r="AX438">
        <v>25</v>
      </c>
      <c r="AY438">
        <v>8</v>
      </c>
      <c r="AZ438">
        <v>2</v>
      </c>
      <c r="BA438">
        <v>1</v>
      </c>
      <c r="BB438">
        <v>0</v>
      </c>
      <c r="BC438">
        <v>4</v>
      </c>
      <c r="BD438" t="str">
        <f>CONCATENATE(Table9[[#This Row],[Match Number]],Table9[[#This Row],[Team]],Table9[[#This Row],[BOWL NUM]])</f>
        <v>27Bangladesh4</v>
      </c>
      <c r="BE438" t="str">
        <f>IFERROR(IF(AND(Table9[[#This Row],[Team]]=I_TEAM,IFERROR(IF(MATCH(Table9[[#This Row],[Bowler]],$AR$5:AR437,0)&gt;0,0),1)),1,0),"")</f>
        <v/>
      </c>
      <c r="BF438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43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438" t="e">
        <f>IF(Table9[[#This Row],[Team]]=I_TEAM,Table9[[#This Row],[Wickets]]*100-Table9[[#This Row],[Runs]],0)</f>
        <v>#REF!</v>
      </c>
      <c r="BI438">
        <f>Table9[[#This Row],[Wickets]]*100-Table9[[#This Row],[Runs]]</f>
        <v>-60</v>
      </c>
      <c r="BJ438">
        <f ca="1">IFERROR(IF(MATCH(Table9[[#This Row],[Bowler]],OFFSET(AR439,0,0,BOWLROWS-ROW(AR438)-ROW(Table9[[#Headers],[BOWLER CUML WICKETS]])),0)&gt;0,0,SUMIF($AR$6:AR438,Table9[[#This Row],[Bowler]],$AV$6:AV438)),SUMIF($AR$6:AR438,Table9[[#This Row],[Bowler]],$AV$6:AV438))</f>
        <v>0</v>
      </c>
      <c r="BK438">
        <f ca="1">IFERROR(IF(MATCH(Table9[[#This Row],[Bowler]],OFFSET(AR439,0,0,BOWLROWS-ROW(AR438)-ROW(Table9[[#Headers],[BOWLER CUML WICKETS]])),0)&gt;0,0,SUMIF($AR$6:AR438,Table9[[#This Row],[Bowler]],$AU$6:AU438)),SUMIF($AR$6:AR438,Table9[[#This Row],[Bowler]],$AU$6:AU438))</f>
        <v>0</v>
      </c>
      <c r="BL438">
        <f ca="1">Table9[[#This Row],[BOWLER CUML WICKETS]]*100-Table9[[#This Row],[BOWLER CUML RUNS]]</f>
        <v>0</v>
      </c>
    </row>
    <row r="439" spans="1:64" x14ac:dyDescent="0.3">
      <c r="A439">
        <v>49</v>
      </c>
      <c r="B439" t="s">
        <v>140</v>
      </c>
      <c r="C439" t="s">
        <v>305</v>
      </c>
      <c r="D439" t="s">
        <v>586</v>
      </c>
      <c r="E439">
        <v>83</v>
      </c>
      <c r="F439">
        <v>133</v>
      </c>
      <c r="G439">
        <v>82</v>
      </c>
      <c r="H439">
        <v>7</v>
      </c>
      <c r="I439">
        <v>1</v>
      </c>
      <c r="J439">
        <v>101.21</v>
      </c>
      <c r="K439">
        <v>5</v>
      </c>
      <c r="L439" t="str">
        <f>CONCATENATE(T_BATTINGDATA[[#This Row],[Match]],T_BATTINGDATA[[#This Row],[Team]],T_BATTINGDATA[[#This Row],[Bat Number]])</f>
        <v>49New Zealand5</v>
      </c>
      <c r="M439" t="str">
        <f>IFERROR(IF(AND(T_BATTINGDATA[[#This Row],[Team]]=I_TEAM,IFERROR(IF(MATCH(T_BATTINGDATA[[#This Row],[BATSMAN NAME]],$O$5:O438,0)&gt;0,0),1)),1,0),"")</f>
        <v/>
      </c>
      <c r="N439" t="e">
        <f>IF(T_BATTINGDATA[[#This Row],[Team]]=I_TEAM,T_BATTINGDATA[[#This Row],[R]],0)</f>
        <v>#REF!</v>
      </c>
      <c r="O439" t="str">
        <f>LEFT(T_BATTINGDATA[[#This Row],[Batsman]],IFERROR(FIND("*",T_BATTINGDATA[[#This Row],[Batsman]])-1,IFERROR(FIND("†",T_BATTINGDATA[[#This Row],[Batsman]])-1,LEN(T_BATTINGDATA[[#This Row],[Batsman]]))))</f>
        <v>GD Elliott</v>
      </c>
      <c r="P439">
        <f ca="1">IFERROR(IF(MATCH(T_BATTINGDATA[[#This Row],[BATSMAN NAME]],OFFSET(O440,0,0,BATROWS-ROW(O439)-ROW(T_BATTINGDATA[[#Headers],[BATSMAN NAME]])),0)&gt;0,0,SUMIF($O$6:O439,T_BATTINGDATA[[#This Row],[BATSMAN NAME]],$E$6:E439)),SUMIF($O$6:O439,T_BATTINGDATA[[#This Row],[BATSMAN NAME]],$E$6:E439))</f>
        <v>0</v>
      </c>
      <c r="AP439">
        <v>27</v>
      </c>
      <c r="AQ439" t="s">
        <v>181</v>
      </c>
      <c r="AR439" t="s">
        <v>275</v>
      </c>
      <c r="AS439">
        <v>5</v>
      </c>
      <c r="AT439">
        <v>0</v>
      </c>
      <c r="AU439">
        <v>29</v>
      </c>
      <c r="AV439">
        <v>0</v>
      </c>
      <c r="AW439">
        <v>5.8</v>
      </c>
      <c r="AX439">
        <v>15</v>
      </c>
      <c r="AY439">
        <v>2</v>
      </c>
      <c r="AZ439">
        <v>1</v>
      </c>
      <c r="BA439">
        <v>0</v>
      </c>
      <c r="BB439">
        <v>0</v>
      </c>
      <c r="BC439">
        <v>5</v>
      </c>
      <c r="BD439" t="str">
        <f>CONCATENATE(Table9[[#This Row],[Match Number]],Table9[[#This Row],[Team]],Table9[[#This Row],[BOWL NUM]])</f>
        <v>27Bangladesh5</v>
      </c>
      <c r="BE439" t="str">
        <f>IFERROR(IF(AND(Table9[[#This Row],[Team]]=I_TEAM,IFERROR(IF(MATCH(Table9[[#This Row],[Bowler]],$AR$5:AR438,0)&gt;0,0),1)),1,0),"")</f>
        <v/>
      </c>
      <c r="BF439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3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439" t="e">
        <f>IF(Table9[[#This Row],[Team]]=I_TEAM,Table9[[#This Row],[Wickets]]*100-Table9[[#This Row],[Runs]],0)</f>
        <v>#REF!</v>
      </c>
      <c r="BI439">
        <f>Table9[[#This Row],[Wickets]]*100-Table9[[#This Row],[Runs]]</f>
        <v>-29</v>
      </c>
      <c r="BJ439">
        <f ca="1">IFERROR(IF(MATCH(Table9[[#This Row],[Bowler]],OFFSET(AR440,0,0,BOWLROWS-ROW(AR439)-ROW(Table9[[#Headers],[BOWLER CUML WICKETS]])),0)&gt;0,0,SUMIF($AR$6:AR439,Table9[[#This Row],[Bowler]],$AV$6:AV439)),SUMIF($AR$6:AR439,Table9[[#This Row],[Bowler]],$AV$6:AV439))</f>
        <v>0</v>
      </c>
      <c r="BK439">
        <f ca="1">IFERROR(IF(MATCH(Table9[[#This Row],[Bowler]],OFFSET(AR440,0,0,BOWLROWS-ROW(AR439)-ROW(Table9[[#Headers],[BOWLER CUML WICKETS]])),0)&gt;0,0,SUMIF($AR$6:AR439,Table9[[#This Row],[Bowler]],$AU$6:AU439)),SUMIF($AR$6:AR439,Table9[[#This Row],[Bowler]],$AU$6:AU439))</f>
        <v>0</v>
      </c>
      <c r="BL439">
        <f ca="1">Table9[[#This Row],[BOWLER CUML WICKETS]]*100-Table9[[#This Row],[BOWLER CUML RUNS]]</f>
        <v>0</v>
      </c>
    </row>
    <row r="440" spans="1:64" x14ac:dyDescent="0.3">
      <c r="A440">
        <v>49</v>
      </c>
      <c r="B440" t="s">
        <v>140</v>
      </c>
      <c r="C440" t="s">
        <v>309</v>
      </c>
      <c r="D440" t="s">
        <v>588</v>
      </c>
      <c r="E440">
        <v>0</v>
      </c>
      <c r="F440">
        <v>3</v>
      </c>
      <c r="G440">
        <v>2</v>
      </c>
      <c r="H440">
        <v>0</v>
      </c>
      <c r="I440">
        <v>0</v>
      </c>
      <c r="J440">
        <v>0</v>
      </c>
      <c r="K440">
        <v>6</v>
      </c>
      <c r="L440" t="str">
        <f>CONCATENATE(T_BATTINGDATA[[#This Row],[Match]],T_BATTINGDATA[[#This Row],[Team]],T_BATTINGDATA[[#This Row],[Bat Number]])</f>
        <v>49New Zealand6</v>
      </c>
      <c r="M440" t="str">
        <f>IFERROR(IF(AND(T_BATTINGDATA[[#This Row],[Team]]=I_TEAM,IFERROR(IF(MATCH(T_BATTINGDATA[[#This Row],[BATSMAN NAME]],$O$5:O439,0)&gt;0,0),1)),1,0),"")</f>
        <v/>
      </c>
      <c r="N440" t="e">
        <f>IF(T_BATTINGDATA[[#This Row],[Team]]=I_TEAM,T_BATTINGDATA[[#This Row],[R]],0)</f>
        <v>#REF!</v>
      </c>
      <c r="O440" t="str">
        <f>LEFT(T_BATTINGDATA[[#This Row],[Batsman]],IFERROR(FIND("*",T_BATTINGDATA[[#This Row],[Batsman]])-1,IFERROR(FIND("†",T_BATTINGDATA[[#This Row],[Batsman]])-1,LEN(T_BATTINGDATA[[#This Row],[Batsman]]))))</f>
        <v>CJ Anderson</v>
      </c>
      <c r="P440">
        <f ca="1">IFERROR(IF(MATCH(T_BATTINGDATA[[#This Row],[BATSMAN NAME]],OFFSET(O441,0,0,BATROWS-ROW(O440)-ROW(T_BATTINGDATA[[#Headers],[BATSMAN NAME]])),0)&gt;0,0,SUMIF($O$6:O440,T_BATTINGDATA[[#This Row],[BATSMAN NAME]],$E$6:E440)),SUMIF($O$6:O440,T_BATTINGDATA[[#This Row],[BATSMAN NAME]],$E$6:E440))</f>
        <v>0</v>
      </c>
      <c r="AP440">
        <v>27</v>
      </c>
      <c r="AQ440" t="s">
        <v>181</v>
      </c>
      <c r="AR440" t="s">
        <v>342</v>
      </c>
      <c r="AS440">
        <v>7</v>
      </c>
      <c r="AT440">
        <v>0</v>
      </c>
      <c r="AU440">
        <v>47</v>
      </c>
      <c r="AV440">
        <v>1</v>
      </c>
      <c r="AW440">
        <v>6.71</v>
      </c>
      <c r="AX440">
        <v>13</v>
      </c>
      <c r="AY440">
        <v>3</v>
      </c>
      <c r="AZ440">
        <v>1</v>
      </c>
      <c r="BA440">
        <v>0</v>
      </c>
      <c r="BB440">
        <v>0</v>
      </c>
      <c r="BC440">
        <v>6</v>
      </c>
      <c r="BD440" t="str">
        <f>CONCATENATE(Table9[[#This Row],[Match Number]],Table9[[#This Row],[Team]],Table9[[#This Row],[BOWL NUM]])</f>
        <v>27Bangladesh6</v>
      </c>
      <c r="BE440" t="str">
        <f>IFERROR(IF(AND(Table9[[#This Row],[Team]]=I_TEAM,IFERROR(IF(MATCH(Table9[[#This Row],[Bowler]],$AR$5:AR439,0)&gt;0,0),1)),1,0),"")</f>
        <v/>
      </c>
      <c r="BF440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44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440" t="e">
        <f>IF(Table9[[#This Row],[Team]]=I_TEAM,Table9[[#This Row],[Wickets]]*100-Table9[[#This Row],[Runs]],0)</f>
        <v>#REF!</v>
      </c>
      <c r="BI440">
        <f>Table9[[#This Row],[Wickets]]*100-Table9[[#This Row],[Runs]]</f>
        <v>53</v>
      </c>
      <c r="BJ440">
        <f ca="1">IFERROR(IF(MATCH(Table9[[#This Row],[Bowler]],OFFSET(AR441,0,0,BOWLROWS-ROW(AR440)-ROW(Table9[[#Headers],[BOWLER CUML WICKETS]])),0)&gt;0,0,SUMIF($AR$6:AR440,Table9[[#This Row],[Bowler]],$AV$6:AV440)),SUMIF($AR$6:AR440,Table9[[#This Row],[Bowler]],$AV$6:AV440))</f>
        <v>0</v>
      </c>
      <c r="BK440">
        <f ca="1">IFERROR(IF(MATCH(Table9[[#This Row],[Bowler]],OFFSET(AR441,0,0,BOWLROWS-ROW(AR440)-ROW(Table9[[#Headers],[BOWLER CUML WICKETS]])),0)&gt;0,0,SUMIF($AR$6:AR440,Table9[[#This Row],[Bowler]],$AU$6:AU440)),SUMIF($AR$6:AR440,Table9[[#This Row],[Bowler]],$AU$6:AU440))</f>
        <v>0</v>
      </c>
      <c r="BL440">
        <f ca="1">Table9[[#This Row],[BOWLER CUML WICKETS]]*100-Table9[[#This Row],[BOWLER CUML RUNS]]</f>
        <v>0</v>
      </c>
    </row>
    <row r="441" spans="1:64" x14ac:dyDescent="0.3">
      <c r="A441">
        <v>49</v>
      </c>
      <c r="B441" t="s">
        <v>140</v>
      </c>
      <c r="C441" t="s">
        <v>360</v>
      </c>
      <c r="D441" t="s">
        <v>621</v>
      </c>
      <c r="E441">
        <v>0</v>
      </c>
      <c r="F441">
        <v>6</v>
      </c>
      <c r="G441">
        <v>4</v>
      </c>
      <c r="H441">
        <v>0</v>
      </c>
      <c r="I441">
        <v>0</v>
      </c>
      <c r="J441">
        <v>0</v>
      </c>
      <c r="K441">
        <v>7</v>
      </c>
      <c r="L441" t="str">
        <f>CONCATENATE(T_BATTINGDATA[[#This Row],[Match]],T_BATTINGDATA[[#This Row],[Team]],T_BATTINGDATA[[#This Row],[Bat Number]])</f>
        <v>49New Zealand7</v>
      </c>
      <c r="M441" t="str">
        <f>IFERROR(IF(AND(T_BATTINGDATA[[#This Row],[Team]]=I_TEAM,IFERROR(IF(MATCH(T_BATTINGDATA[[#This Row],[BATSMAN NAME]],$O$5:O440,0)&gt;0,0),1)),1,0),"")</f>
        <v/>
      </c>
      <c r="N441" t="e">
        <f>IF(T_BATTINGDATA[[#This Row],[Team]]=I_TEAM,T_BATTINGDATA[[#This Row],[R]],0)</f>
        <v>#REF!</v>
      </c>
      <c r="O441" t="str">
        <f>LEFT(T_BATTINGDATA[[#This Row],[Batsman]],IFERROR(FIND("*",T_BATTINGDATA[[#This Row],[Batsman]])-1,IFERROR(FIND("†",T_BATTINGDATA[[#This Row],[Batsman]])-1,LEN(T_BATTINGDATA[[#This Row],[Batsman]]))))</f>
        <v>L Ronchi</v>
      </c>
      <c r="P441">
        <f ca="1">IFERROR(IF(MATCH(T_BATTINGDATA[[#This Row],[BATSMAN NAME]],OFFSET(O442,0,0,BATROWS-ROW(O441)-ROW(T_BATTINGDATA[[#Headers],[BATSMAN NAME]])),0)&gt;0,0,SUMIF($O$6:O441,T_BATTINGDATA[[#This Row],[BATSMAN NAME]],$E$6:E441)),SUMIF($O$6:O441,T_BATTINGDATA[[#This Row],[BATSMAN NAME]],$E$6:E441))</f>
        <v>0</v>
      </c>
      <c r="AP441">
        <v>27</v>
      </c>
      <c r="AQ441" t="s">
        <v>181</v>
      </c>
      <c r="AR441" t="s">
        <v>272</v>
      </c>
      <c r="AS441">
        <v>5</v>
      </c>
      <c r="AT441">
        <v>0</v>
      </c>
      <c r="AU441">
        <v>32</v>
      </c>
      <c r="AV441">
        <v>2</v>
      </c>
      <c r="AW441">
        <v>6.4</v>
      </c>
      <c r="AX441">
        <v>10</v>
      </c>
      <c r="AY441">
        <v>1</v>
      </c>
      <c r="AZ441">
        <v>1</v>
      </c>
      <c r="BA441">
        <v>0</v>
      </c>
      <c r="BB441">
        <v>0</v>
      </c>
      <c r="BC441">
        <v>7</v>
      </c>
      <c r="BD441" t="str">
        <f>CONCATENATE(Table9[[#This Row],[Match Number]],Table9[[#This Row],[Team]],Table9[[#This Row],[BOWL NUM]])</f>
        <v>27Bangladesh7</v>
      </c>
      <c r="BE441" t="str">
        <f>IFERROR(IF(AND(Table9[[#This Row],[Team]]=I_TEAM,IFERROR(IF(MATCH(Table9[[#This Row],[Bowler]],$AR$5:AR440,0)&gt;0,0),1)),1,0),"")</f>
        <v/>
      </c>
      <c r="BF441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4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441" t="e">
        <f>IF(Table9[[#This Row],[Team]]=I_TEAM,Table9[[#This Row],[Wickets]]*100-Table9[[#This Row],[Runs]],0)</f>
        <v>#REF!</v>
      </c>
      <c r="BI441">
        <f>Table9[[#This Row],[Wickets]]*100-Table9[[#This Row],[Runs]]</f>
        <v>168</v>
      </c>
      <c r="BJ441">
        <f ca="1">IFERROR(IF(MATCH(Table9[[#This Row],[Bowler]],OFFSET(AR442,0,0,BOWLROWS-ROW(AR441)-ROW(Table9[[#Headers],[BOWLER CUML WICKETS]])),0)&gt;0,0,SUMIF($AR$6:AR590,Table9[[#This Row],[Bowler]],$AV$6:AV590)),SUMIF($AR$6:AR590,Table9[[#This Row],[Bowler]],$AV$6:AV590))</f>
        <v>0</v>
      </c>
      <c r="BK441">
        <f ca="1">IFERROR(IF(MATCH(Table9[[#This Row],[Bowler]],OFFSET(AR442,0,0,BOWLROWS-ROW(AR441)-ROW(Table9[[#Headers],[BOWLER CUML WICKETS]])),0)&gt;0,0,SUMIF($AR$6:AR453,Table9[[#This Row],[Bowler]],$AU$6:AU453)),SUMIF($AR$6:AR453,Table9[[#This Row],[Bowler]],$AU$6:AU453))</f>
        <v>0</v>
      </c>
      <c r="BL441">
        <f ca="1">Table9[[#This Row],[BOWLER CUML WICKETS]]*100-Table9[[#This Row],[BOWLER CUML RUNS]]</f>
        <v>0</v>
      </c>
    </row>
    <row r="442" spans="1:64" x14ac:dyDescent="0.3">
      <c r="A442">
        <v>49</v>
      </c>
      <c r="B442" t="s">
        <v>140</v>
      </c>
      <c r="C442" t="s">
        <v>303</v>
      </c>
      <c r="D442" t="s">
        <v>582</v>
      </c>
      <c r="E442">
        <v>9</v>
      </c>
      <c r="F442">
        <v>23</v>
      </c>
      <c r="G442">
        <v>21</v>
      </c>
      <c r="H442">
        <v>1</v>
      </c>
      <c r="I442">
        <v>0</v>
      </c>
      <c r="J442">
        <v>42.85</v>
      </c>
      <c r="K442">
        <v>8</v>
      </c>
      <c r="L442" t="str">
        <f>CONCATENATE(T_BATTINGDATA[[#This Row],[Match]],T_BATTINGDATA[[#This Row],[Team]],T_BATTINGDATA[[#This Row],[Bat Number]])</f>
        <v>49New Zealand8</v>
      </c>
      <c r="M442" t="str">
        <f>IFERROR(IF(AND(T_BATTINGDATA[[#This Row],[Team]]=I_TEAM,IFERROR(IF(MATCH(T_BATTINGDATA[[#This Row],[BATSMAN NAME]],$O$5:O441,0)&gt;0,0),1)),1,0),"")</f>
        <v/>
      </c>
      <c r="N442" t="e">
        <f>IF(T_BATTINGDATA[[#This Row],[Team]]=I_TEAM,T_BATTINGDATA[[#This Row],[R]],0)</f>
        <v>#REF!</v>
      </c>
      <c r="O442" t="str">
        <f>LEFT(T_BATTINGDATA[[#This Row],[Batsman]],IFERROR(FIND("*",T_BATTINGDATA[[#This Row],[Batsman]])-1,IFERROR(FIND("†",T_BATTINGDATA[[#This Row],[Batsman]])-1,LEN(T_BATTINGDATA[[#This Row],[Batsman]]))))</f>
        <v>DL Vettori</v>
      </c>
      <c r="P442">
        <f ca="1">IFERROR(IF(MATCH(T_BATTINGDATA[[#This Row],[BATSMAN NAME]],OFFSET(O443,0,0,BATROWS-ROW(O442)-ROW(T_BATTINGDATA[[#Headers],[BATSMAN NAME]])),0)&gt;0,0,SUMIF($O$6:O442,T_BATTINGDATA[[#This Row],[BATSMAN NAME]],$E$6:E442)),SUMIF($O$6:O442,T_BATTINGDATA[[#This Row],[BATSMAN NAME]],$E$6:E442))</f>
        <v>0</v>
      </c>
      <c r="AP442">
        <v>27</v>
      </c>
      <c r="AQ442" t="s">
        <v>176</v>
      </c>
      <c r="AR442" t="s">
        <v>380</v>
      </c>
      <c r="AS442">
        <v>9.1</v>
      </c>
      <c r="AT442">
        <v>0</v>
      </c>
      <c r="AU442">
        <v>75</v>
      </c>
      <c r="AV442">
        <v>1</v>
      </c>
      <c r="AW442">
        <v>8.18</v>
      </c>
      <c r="AX442">
        <v>26</v>
      </c>
      <c r="AY442">
        <v>9</v>
      </c>
      <c r="AZ442">
        <v>2</v>
      </c>
      <c r="BA442">
        <v>2</v>
      </c>
      <c r="BB442">
        <v>0</v>
      </c>
      <c r="BC442">
        <v>1</v>
      </c>
      <c r="BD442" t="str">
        <f>CONCATENATE(Table9[[#This Row],[Match Number]],Table9[[#This Row],[Team]],Table9[[#This Row],[BOWL NUM]])</f>
        <v>27Scotland1</v>
      </c>
      <c r="BE442" t="str">
        <f>IFERROR(IF(AND(Table9[[#This Row],[Team]]=I_TEAM,IFERROR(IF(MATCH(Table9[[#This Row],[Bowler]],$AR$5:AR441,0)&gt;0,0),1)),1,0),"")</f>
        <v/>
      </c>
      <c r="BF442">
        <f>(LEFT(Table9[[#This Row],[Overs]],IFERROR(FIND(".",Table9[[#This Row],[Overs]])-1,LEN(Table9[[#This Row],[Overs]])))*6) + IFERROR(IF(FIND(".",Table9[[#This Row],[Overs]])+1&gt;0,RIGHT(Table9[[#This Row],[Overs]],1),0),0)</f>
        <v>55</v>
      </c>
      <c r="BG44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42" t="e">
        <f>IF(Table9[[#This Row],[Team]]=I_TEAM,Table9[[#This Row],[Wickets]]*100-Table9[[#This Row],[Runs]],0)</f>
        <v>#REF!</v>
      </c>
      <c r="BI442">
        <f>Table9[[#This Row],[Wickets]]*100-Table9[[#This Row],[Runs]]</f>
        <v>25</v>
      </c>
      <c r="BJ442">
        <f ca="1">IFERROR(IF(MATCH(Table9[[#This Row],[Bowler]],OFFSET(AR443,0,0,BOWLROWS-ROW(AR442)-ROW(Table9[[#Headers],[BOWLER CUML WICKETS]])),0)&gt;0,0,SUMIF($AR$6:AR442,Table9[[#This Row],[Bowler]],$AV$6:AV442)),SUMIF($AR$6:AR442,Table9[[#This Row],[Bowler]],$AV$6:AV442))</f>
        <v>0</v>
      </c>
      <c r="BK442">
        <f ca="1">IFERROR(IF(MATCH(Table9[[#This Row],[Bowler]],OFFSET(AR443,0,0,BOWLROWS-ROW(AR442)-ROW(Table9[[#Headers],[BOWLER CUML WICKETS]])),0)&gt;0,0,SUMIF($AR$6:AR442,Table9[[#This Row],[Bowler]],$AU$6:AU442)),SUMIF($AR$6:AR442,Table9[[#This Row],[Bowler]],$AU$6:AU442))</f>
        <v>0</v>
      </c>
      <c r="BL442">
        <f ca="1">Table9[[#This Row],[BOWLER CUML WICKETS]]*100-Table9[[#This Row],[BOWLER CUML RUNS]]</f>
        <v>0</v>
      </c>
    </row>
    <row r="443" spans="1:64" x14ac:dyDescent="0.3">
      <c r="A443">
        <v>49</v>
      </c>
      <c r="B443" t="s">
        <v>140</v>
      </c>
      <c r="C443" t="s">
        <v>297</v>
      </c>
      <c r="D443" t="s">
        <v>412</v>
      </c>
      <c r="E443">
        <v>11</v>
      </c>
      <c r="F443">
        <v>21</v>
      </c>
      <c r="G443">
        <v>11</v>
      </c>
      <c r="H443">
        <v>0</v>
      </c>
      <c r="I443">
        <v>1</v>
      </c>
      <c r="J443">
        <v>100</v>
      </c>
      <c r="K443">
        <v>9</v>
      </c>
      <c r="L443" t="str">
        <f>CONCATENATE(T_BATTINGDATA[[#This Row],[Match]],T_BATTINGDATA[[#This Row],[Team]],T_BATTINGDATA[[#This Row],[Bat Number]])</f>
        <v>49New Zealand9</v>
      </c>
      <c r="M443" t="str">
        <f>IFERROR(IF(AND(T_BATTINGDATA[[#This Row],[Team]]=I_TEAM,IFERROR(IF(MATCH(T_BATTINGDATA[[#This Row],[BATSMAN NAME]],$O$5:O442,0)&gt;0,0),1)),1,0),"")</f>
        <v/>
      </c>
      <c r="N443" t="e">
        <f>IF(T_BATTINGDATA[[#This Row],[Team]]=I_TEAM,T_BATTINGDATA[[#This Row],[R]],0)</f>
        <v>#REF!</v>
      </c>
      <c r="O443" t="str">
        <f>LEFT(T_BATTINGDATA[[#This Row],[Batsman]],IFERROR(FIND("*",T_BATTINGDATA[[#This Row],[Batsman]])-1,IFERROR(FIND("†",T_BATTINGDATA[[#This Row],[Batsman]])-1,LEN(T_BATTINGDATA[[#This Row],[Batsman]]))))</f>
        <v>TG Southee</v>
      </c>
      <c r="P443">
        <f ca="1">IFERROR(IF(MATCH(T_BATTINGDATA[[#This Row],[BATSMAN NAME]],OFFSET(O444,0,0,BATROWS-ROW(O443)-ROW(T_BATTINGDATA[[#Headers],[BATSMAN NAME]])),0)&gt;0,0,SUMIF($O$6:O443,T_BATTINGDATA[[#This Row],[BATSMAN NAME]],$E$6:E443)),SUMIF($O$6:O443,T_BATTINGDATA[[#This Row],[BATSMAN NAME]],$E$6:E443))</f>
        <v>0</v>
      </c>
      <c r="AP443">
        <v>27</v>
      </c>
      <c r="AQ443" t="s">
        <v>176</v>
      </c>
      <c r="AR443" t="s">
        <v>384</v>
      </c>
      <c r="AS443">
        <v>10</v>
      </c>
      <c r="AT443">
        <v>0</v>
      </c>
      <c r="AU443">
        <v>68</v>
      </c>
      <c r="AV443">
        <v>2</v>
      </c>
      <c r="AW443">
        <v>6.8</v>
      </c>
      <c r="AX443">
        <v>26</v>
      </c>
      <c r="AY443">
        <v>6</v>
      </c>
      <c r="AZ443">
        <v>1</v>
      </c>
      <c r="BA443">
        <v>5</v>
      </c>
      <c r="BB443">
        <v>0</v>
      </c>
      <c r="BC443">
        <v>2</v>
      </c>
      <c r="BD443" t="str">
        <f>CONCATENATE(Table9[[#This Row],[Match Number]],Table9[[#This Row],[Team]],Table9[[#This Row],[BOWL NUM]])</f>
        <v>27Scotland2</v>
      </c>
      <c r="BE443" t="str">
        <f>IFERROR(IF(AND(Table9[[#This Row],[Team]]=I_TEAM,IFERROR(IF(MATCH(Table9[[#This Row],[Bowler]],$AR$5:AR442,0)&gt;0,0),1)),1,0),"")</f>
        <v/>
      </c>
      <c r="BF44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4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43" t="e">
        <f>IF(Table9[[#This Row],[Team]]=I_TEAM,Table9[[#This Row],[Wickets]]*100-Table9[[#This Row],[Runs]],0)</f>
        <v>#REF!</v>
      </c>
      <c r="BI443">
        <f>Table9[[#This Row],[Wickets]]*100-Table9[[#This Row],[Runs]]</f>
        <v>132</v>
      </c>
      <c r="BJ443">
        <f ca="1">IFERROR(IF(MATCH(Table9[[#This Row],[Bowler]],OFFSET(AR444,0,0,BOWLROWS-ROW(AR443)-ROW(Table9[[#Headers],[BOWLER CUML WICKETS]])),0)&gt;0,0,SUMIF($AR$6:AR443,Table9[[#This Row],[Bowler]],$AV$6:AV443)),SUMIF($AR$6:AR443,Table9[[#This Row],[Bowler]],$AV$6:AV443))</f>
        <v>0</v>
      </c>
      <c r="BK443">
        <f ca="1">IFERROR(IF(MATCH(Table9[[#This Row],[Bowler]],OFFSET(AR444,0,0,BOWLROWS-ROW(AR443)-ROW(Table9[[#Headers],[BOWLER CUML WICKETS]])),0)&gt;0,0,SUMIF($AR$6:AR443,Table9[[#This Row],[Bowler]],$AU$6:AU443)),SUMIF($AR$6:AR443,Table9[[#This Row],[Bowler]],$AU$6:AU443))</f>
        <v>0</v>
      </c>
      <c r="BL443">
        <f ca="1">Table9[[#This Row],[BOWLER CUML WICKETS]]*100-Table9[[#This Row],[BOWLER CUML RUNS]]</f>
        <v>0</v>
      </c>
    </row>
    <row r="444" spans="1:64" x14ac:dyDescent="0.3">
      <c r="A444">
        <v>49</v>
      </c>
      <c r="B444" t="s">
        <v>140</v>
      </c>
      <c r="C444" t="s">
        <v>523</v>
      </c>
      <c r="D444" t="s">
        <v>622</v>
      </c>
      <c r="E444">
        <v>0</v>
      </c>
      <c r="F444">
        <v>14</v>
      </c>
      <c r="G444">
        <v>7</v>
      </c>
      <c r="H444">
        <v>0</v>
      </c>
      <c r="I444">
        <v>0</v>
      </c>
      <c r="J444">
        <v>0</v>
      </c>
      <c r="K444">
        <v>10</v>
      </c>
      <c r="L444" t="str">
        <f>CONCATENATE(T_BATTINGDATA[[#This Row],[Match]],T_BATTINGDATA[[#This Row],[Team]],T_BATTINGDATA[[#This Row],[Bat Number]])</f>
        <v>49New Zealand10</v>
      </c>
      <c r="M444" t="str">
        <f>IFERROR(IF(AND(T_BATTINGDATA[[#This Row],[Team]]=I_TEAM,IFERROR(IF(MATCH(T_BATTINGDATA[[#This Row],[BATSMAN NAME]],$O$5:O443,0)&gt;0,0),1)),1,0),"")</f>
        <v/>
      </c>
      <c r="N444" t="e">
        <f>IF(T_BATTINGDATA[[#This Row],[Team]]=I_TEAM,T_BATTINGDATA[[#This Row],[R]],0)</f>
        <v>#REF!</v>
      </c>
      <c r="O444" t="str">
        <f>LEFT(T_BATTINGDATA[[#This Row],[Batsman]],IFERROR(FIND("*",T_BATTINGDATA[[#This Row],[Batsman]])-1,IFERROR(FIND("†",T_BATTINGDATA[[#This Row],[Batsman]])-1,LEN(T_BATTINGDATA[[#This Row],[Batsman]]))))</f>
        <v>MJ Henry</v>
      </c>
      <c r="P444">
        <f ca="1">IFERROR(IF(MATCH(T_BATTINGDATA[[#This Row],[BATSMAN NAME]],OFFSET(O445,0,0,BATROWS-ROW(O444)-ROW(T_BATTINGDATA[[#Headers],[BATSMAN NAME]])),0)&gt;0,0,SUMIF($O$6:O444,T_BATTINGDATA[[#This Row],[BATSMAN NAME]],$E$6:E444)),SUMIF($O$6:O444,T_BATTINGDATA[[#This Row],[BATSMAN NAME]],$E$6:E444))</f>
        <v>0</v>
      </c>
      <c r="AP444">
        <v>27</v>
      </c>
      <c r="AQ444" t="s">
        <v>176</v>
      </c>
      <c r="AR444" t="s">
        <v>461</v>
      </c>
      <c r="AS444">
        <v>10</v>
      </c>
      <c r="AT444">
        <v>1</v>
      </c>
      <c r="AU444">
        <v>67</v>
      </c>
      <c r="AV444">
        <v>1</v>
      </c>
      <c r="AW444">
        <v>6.7</v>
      </c>
      <c r="AX444">
        <v>31</v>
      </c>
      <c r="AY444">
        <v>8</v>
      </c>
      <c r="AZ444">
        <v>2</v>
      </c>
      <c r="BA444">
        <v>0</v>
      </c>
      <c r="BB444">
        <v>0</v>
      </c>
      <c r="BC444">
        <v>3</v>
      </c>
      <c r="BD444" t="str">
        <f>CONCATENATE(Table9[[#This Row],[Match Number]],Table9[[#This Row],[Team]],Table9[[#This Row],[BOWL NUM]])</f>
        <v>27Scotland3</v>
      </c>
      <c r="BE444" t="str">
        <f>IFERROR(IF(AND(Table9[[#This Row],[Team]]=I_TEAM,IFERROR(IF(MATCH(Table9[[#This Row],[Bowler]],$AR$5:AR443,0)&gt;0,0),1)),1,0),"")</f>
        <v/>
      </c>
      <c r="BF44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4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44" t="e">
        <f>IF(Table9[[#This Row],[Team]]=I_TEAM,Table9[[#This Row],[Wickets]]*100-Table9[[#This Row],[Runs]],0)</f>
        <v>#REF!</v>
      </c>
      <c r="BI444">
        <f>Table9[[#This Row],[Wickets]]*100-Table9[[#This Row],[Runs]]</f>
        <v>33</v>
      </c>
      <c r="BJ444">
        <f ca="1">IFERROR(IF(MATCH(Table9[[#This Row],[Bowler]],OFFSET(AR445,0,0,BOWLROWS-ROW(AR444)-ROW(Table9[[#Headers],[BOWLER CUML WICKETS]])),0)&gt;0,0,SUMIF($AR$6:AR444,Table9[[#This Row],[Bowler]],$AV$6:AV444)),SUMIF($AR$6:AR444,Table9[[#This Row],[Bowler]],$AV$6:AV444))</f>
        <v>0</v>
      </c>
      <c r="BK444">
        <f ca="1">IFERROR(IF(MATCH(Table9[[#This Row],[Bowler]],OFFSET(AR445,0,0,BOWLROWS-ROW(AR444)-ROW(Table9[[#Headers],[BOWLER CUML WICKETS]])),0)&gt;0,0,SUMIF($AR$6:AR444,Table9[[#This Row],[Bowler]],$AU$6:AU444)),SUMIF($AR$6:AR444,Table9[[#This Row],[Bowler]],$AU$6:AU444))</f>
        <v>0</v>
      </c>
      <c r="BL444">
        <f ca="1">Table9[[#This Row],[BOWLER CUML WICKETS]]*100-Table9[[#This Row],[BOWLER CUML RUNS]]</f>
        <v>0</v>
      </c>
    </row>
    <row r="445" spans="1:64" x14ac:dyDescent="0.3">
      <c r="A445">
        <v>49</v>
      </c>
      <c r="B445" t="s">
        <v>140</v>
      </c>
      <c r="C445" t="s">
        <v>299</v>
      </c>
      <c r="D445" t="s">
        <v>167</v>
      </c>
      <c r="E445">
        <v>0</v>
      </c>
      <c r="F445">
        <v>3</v>
      </c>
      <c r="G445">
        <v>1</v>
      </c>
      <c r="H445">
        <v>0</v>
      </c>
      <c r="I445">
        <v>0</v>
      </c>
      <c r="J445">
        <v>0</v>
      </c>
      <c r="K445">
        <v>11</v>
      </c>
      <c r="L445" t="str">
        <f>CONCATENATE(T_BATTINGDATA[[#This Row],[Match]],T_BATTINGDATA[[#This Row],[Team]],T_BATTINGDATA[[#This Row],[Bat Number]])</f>
        <v>49New Zealand11</v>
      </c>
      <c r="M445" t="str">
        <f>IFERROR(IF(AND(T_BATTINGDATA[[#This Row],[Team]]=I_TEAM,IFERROR(IF(MATCH(T_BATTINGDATA[[#This Row],[BATSMAN NAME]],$O$5:O444,0)&gt;0,0),1)),1,0),"")</f>
        <v/>
      </c>
      <c r="N445" t="e">
        <f>IF(T_BATTINGDATA[[#This Row],[Team]]=I_TEAM,T_BATTINGDATA[[#This Row],[R]],0)</f>
        <v>#REF!</v>
      </c>
      <c r="O445" t="str">
        <f>LEFT(T_BATTINGDATA[[#This Row],[Batsman]],IFERROR(FIND("*",T_BATTINGDATA[[#This Row],[Batsman]])-1,IFERROR(FIND("†",T_BATTINGDATA[[#This Row],[Batsman]])-1,LEN(T_BATTINGDATA[[#This Row],[Batsman]]))))</f>
        <v>TA Boult</v>
      </c>
      <c r="P445">
        <f ca="1">IFERROR(IF(MATCH(T_BATTINGDATA[[#This Row],[BATSMAN NAME]],OFFSET(O446,0,0,BATROWS-ROW(O445)-ROW(T_BATTINGDATA[[#Headers],[BATSMAN NAME]])),0)&gt;0,0,SUMIF($O$6:O445,T_BATTINGDATA[[#This Row],[BATSMAN NAME]],$E$6:E445)),SUMIF($O$6:O445,T_BATTINGDATA[[#This Row],[BATSMAN NAME]],$E$6:E445))</f>
        <v>0</v>
      </c>
      <c r="AP445">
        <v>27</v>
      </c>
      <c r="AQ445" t="s">
        <v>176</v>
      </c>
      <c r="AR445" t="s">
        <v>447</v>
      </c>
      <c r="AS445">
        <v>7</v>
      </c>
      <c r="AT445">
        <v>0</v>
      </c>
      <c r="AU445">
        <v>45</v>
      </c>
      <c r="AV445">
        <v>0</v>
      </c>
      <c r="AW445">
        <v>6.42</v>
      </c>
      <c r="AX445">
        <v>13</v>
      </c>
      <c r="AY445">
        <v>2</v>
      </c>
      <c r="AZ445">
        <v>1</v>
      </c>
      <c r="BA445">
        <v>0</v>
      </c>
      <c r="BB445">
        <v>0</v>
      </c>
      <c r="BC445">
        <v>4</v>
      </c>
      <c r="BD445" t="str">
        <f>CONCATENATE(Table9[[#This Row],[Match Number]],Table9[[#This Row],[Team]],Table9[[#This Row],[BOWL NUM]])</f>
        <v>27Scotland4</v>
      </c>
      <c r="BE445" t="str">
        <f>IFERROR(IF(AND(Table9[[#This Row],[Team]]=I_TEAM,IFERROR(IF(MATCH(Table9[[#This Row],[Bowler]],$AR$5:AR444,0)&gt;0,0),1)),1,0),"")</f>
        <v/>
      </c>
      <c r="BF445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44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45" t="e">
        <f>IF(Table9[[#This Row],[Team]]=I_TEAM,Table9[[#This Row],[Wickets]]*100-Table9[[#This Row],[Runs]],0)</f>
        <v>#REF!</v>
      </c>
      <c r="BI445">
        <f>Table9[[#This Row],[Wickets]]*100-Table9[[#This Row],[Runs]]</f>
        <v>-45</v>
      </c>
      <c r="BJ445">
        <f ca="1">IFERROR(IF(MATCH(Table9[[#This Row],[Bowler]],OFFSET(AR446,0,0,BOWLROWS-ROW(AR445)-ROW(Table9[[#Headers],[BOWLER CUML WICKETS]])),0)&gt;0,0,SUMIF($AR$6:AR445,Table9[[#This Row],[Bowler]],$AV$6:AV445)),SUMIF($AR$6:AR445,Table9[[#This Row],[Bowler]],$AV$6:AV445))</f>
        <v>0</v>
      </c>
      <c r="BK445">
        <f ca="1">IFERROR(IF(MATCH(Table9[[#This Row],[Bowler]],OFFSET(AR446,0,0,BOWLROWS-ROW(AR445)-ROW(Table9[[#Headers],[BOWLER CUML WICKETS]])),0)&gt;0,0,SUMIF($AR$6:AR445,Table9[[#This Row],[Bowler]],$AU$6:AU445)),SUMIF($AR$6:AR445,Table9[[#This Row],[Bowler]],$AU$6:AU445))</f>
        <v>0</v>
      </c>
      <c r="BL445">
        <f ca="1">Table9[[#This Row],[BOWLER CUML WICKETS]]*100-Table9[[#This Row],[BOWLER CUML RUNS]]</f>
        <v>0</v>
      </c>
    </row>
    <row r="446" spans="1:64" x14ac:dyDescent="0.3">
      <c r="A446">
        <v>49</v>
      </c>
      <c r="B446" t="s">
        <v>149</v>
      </c>
      <c r="C446" t="s">
        <v>376</v>
      </c>
      <c r="D446" t="s">
        <v>623</v>
      </c>
      <c r="E446">
        <v>45</v>
      </c>
      <c r="F446">
        <v>51</v>
      </c>
      <c r="G446">
        <v>46</v>
      </c>
      <c r="H446">
        <v>7</v>
      </c>
      <c r="I446">
        <v>0</v>
      </c>
      <c r="J446">
        <v>97.82</v>
      </c>
      <c r="K446">
        <v>1</v>
      </c>
      <c r="L446" t="str">
        <f>CONCATENATE(T_BATTINGDATA[[#This Row],[Match]],T_BATTINGDATA[[#This Row],[Team]],T_BATTINGDATA[[#This Row],[Bat Number]])</f>
        <v>49Australia1</v>
      </c>
      <c r="M446" t="str">
        <f>IFERROR(IF(AND(T_BATTINGDATA[[#This Row],[Team]]=I_TEAM,IFERROR(IF(MATCH(T_BATTINGDATA[[#This Row],[BATSMAN NAME]],$O$5:O445,0)&gt;0,0),1)),1,0),"")</f>
        <v/>
      </c>
      <c r="N446" t="e">
        <f>IF(T_BATTINGDATA[[#This Row],[Team]]=I_TEAM,T_BATTINGDATA[[#This Row],[R]],0)</f>
        <v>#REF!</v>
      </c>
      <c r="O446" t="str">
        <f>LEFT(T_BATTINGDATA[[#This Row],[Batsman]],IFERROR(FIND("*",T_BATTINGDATA[[#This Row],[Batsman]])-1,IFERROR(FIND("†",T_BATTINGDATA[[#This Row],[Batsman]])-1,LEN(T_BATTINGDATA[[#This Row],[Batsman]]))))</f>
        <v>DA Warner</v>
      </c>
      <c r="P446">
        <f ca="1">IFERROR(IF(MATCH(T_BATTINGDATA[[#This Row],[BATSMAN NAME]],OFFSET(O447,0,0,BATROWS-ROW(O446)-ROW(T_BATTINGDATA[[#Headers],[BATSMAN NAME]])),0)&gt;0,0,SUMIF($O$6:O446,T_BATTINGDATA[[#This Row],[BATSMAN NAME]],$E$6:E446)),SUMIF($O$6:O446,T_BATTINGDATA[[#This Row],[BATSMAN NAME]],$E$6:E446))</f>
        <v>0</v>
      </c>
      <c r="AP446">
        <v>27</v>
      </c>
      <c r="AQ446" t="s">
        <v>176</v>
      </c>
      <c r="AR446" t="s">
        <v>387</v>
      </c>
      <c r="AS446">
        <v>10</v>
      </c>
      <c r="AT446">
        <v>0</v>
      </c>
      <c r="AU446">
        <v>49</v>
      </c>
      <c r="AV446">
        <v>0</v>
      </c>
      <c r="AW446">
        <v>4.9000000000000004</v>
      </c>
      <c r="AX446">
        <v>28</v>
      </c>
      <c r="AY446">
        <v>2</v>
      </c>
      <c r="AZ446">
        <v>1</v>
      </c>
      <c r="BA446">
        <v>1</v>
      </c>
      <c r="BB446">
        <v>1</v>
      </c>
      <c r="BC446">
        <v>5</v>
      </c>
      <c r="BD446" t="str">
        <f>CONCATENATE(Table9[[#This Row],[Match Number]],Table9[[#This Row],[Team]],Table9[[#This Row],[BOWL NUM]])</f>
        <v>27Scotland5</v>
      </c>
      <c r="BE446" t="str">
        <f>IFERROR(IF(AND(Table9[[#This Row],[Team]]=I_TEAM,IFERROR(IF(MATCH(Table9[[#This Row],[Bowler]],$AR$5:AR445,0)&gt;0,0),1)),1,0),"")</f>
        <v/>
      </c>
      <c r="BF44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4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46" t="e">
        <f>IF(Table9[[#This Row],[Team]]=I_TEAM,Table9[[#This Row],[Wickets]]*100-Table9[[#This Row],[Runs]],0)</f>
        <v>#REF!</v>
      </c>
      <c r="BI446">
        <f>Table9[[#This Row],[Wickets]]*100-Table9[[#This Row],[Runs]]</f>
        <v>-49</v>
      </c>
      <c r="BJ446">
        <f ca="1">IFERROR(IF(MATCH(Table9[[#This Row],[Bowler]],OFFSET(AR447,0,0,BOWLROWS-ROW(AR446)-ROW(Table9[[#Headers],[BOWLER CUML WICKETS]])),0)&gt;0,0,SUMIF($AR$6:AR446,Table9[[#This Row],[Bowler]],$AV$6:AV446)),SUMIF($AR$6:AR446,Table9[[#This Row],[Bowler]],$AV$6:AV446))</f>
        <v>3</v>
      </c>
      <c r="BK446">
        <f ca="1">IFERROR(IF(MATCH(Table9[[#This Row],[Bowler]],OFFSET(AR447,0,0,BOWLROWS-ROW(AR446)-ROW(Table9[[#Headers],[BOWLER CUML WICKETS]])),0)&gt;0,0,SUMIF($AR$6:AR446,Table9[[#This Row],[Bowler]],$AU$6:AU446)),SUMIF($AR$6:AR446,Table9[[#This Row],[Bowler]],$AU$6:AU446))</f>
        <v>166</v>
      </c>
      <c r="BL446">
        <f ca="1">Table9[[#This Row],[BOWLER CUML WICKETS]]*100-Table9[[#This Row],[BOWLER CUML RUNS]]</f>
        <v>134</v>
      </c>
    </row>
    <row r="447" spans="1:64" x14ac:dyDescent="0.3">
      <c r="A447">
        <v>49</v>
      </c>
      <c r="B447" t="s">
        <v>149</v>
      </c>
      <c r="C447" t="s">
        <v>378</v>
      </c>
      <c r="D447" t="s">
        <v>624</v>
      </c>
      <c r="E447">
        <v>0</v>
      </c>
      <c r="F447">
        <v>7</v>
      </c>
      <c r="G447">
        <v>5</v>
      </c>
      <c r="H447">
        <v>0</v>
      </c>
      <c r="I447">
        <v>0</v>
      </c>
      <c r="J447">
        <v>0</v>
      </c>
      <c r="K447">
        <v>2</v>
      </c>
      <c r="L447" t="str">
        <f>CONCATENATE(T_BATTINGDATA[[#This Row],[Match]],T_BATTINGDATA[[#This Row],[Team]],T_BATTINGDATA[[#This Row],[Bat Number]])</f>
        <v>49Australia2</v>
      </c>
      <c r="M447" t="str">
        <f>IFERROR(IF(AND(T_BATTINGDATA[[#This Row],[Team]]=I_TEAM,IFERROR(IF(MATCH(T_BATTINGDATA[[#This Row],[BATSMAN NAME]],$O$5:O446,0)&gt;0,0),1)),1,0),"")</f>
        <v/>
      </c>
      <c r="N447" t="e">
        <f>IF(T_BATTINGDATA[[#This Row],[Team]]=I_TEAM,T_BATTINGDATA[[#This Row],[R]],0)</f>
        <v>#REF!</v>
      </c>
      <c r="O447" t="str">
        <f>LEFT(T_BATTINGDATA[[#This Row],[Batsman]],IFERROR(FIND("*",T_BATTINGDATA[[#This Row],[Batsman]])-1,IFERROR(FIND("†",T_BATTINGDATA[[#This Row],[Batsman]])-1,LEN(T_BATTINGDATA[[#This Row],[Batsman]]))))</f>
        <v>AJ Finch</v>
      </c>
      <c r="P447">
        <f ca="1">IFERROR(IF(MATCH(T_BATTINGDATA[[#This Row],[BATSMAN NAME]],OFFSET(O448,0,0,BATROWS-ROW(O447)-ROW(T_BATTINGDATA[[#Headers],[BATSMAN NAME]])),0)&gt;0,0,SUMIF($O$6:O447,T_BATTINGDATA[[#This Row],[BATSMAN NAME]],$E$6:E447)),SUMIF($O$6:O447,T_BATTINGDATA[[#This Row],[BATSMAN NAME]],$E$6:E447))</f>
        <v>0</v>
      </c>
      <c r="AP447">
        <v>27</v>
      </c>
      <c r="AQ447" t="s">
        <v>176</v>
      </c>
      <c r="AR447" t="s">
        <v>452</v>
      </c>
      <c r="AS447">
        <v>2</v>
      </c>
      <c r="AT447">
        <v>0</v>
      </c>
      <c r="AU447">
        <v>18</v>
      </c>
      <c r="AV447">
        <v>0</v>
      </c>
      <c r="AW447">
        <v>9</v>
      </c>
      <c r="AX447">
        <v>4</v>
      </c>
      <c r="AY447">
        <v>3</v>
      </c>
      <c r="AZ447">
        <v>0</v>
      </c>
      <c r="BA447">
        <v>0</v>
      </c>
      <c r="BB447">
        <v>0</v>
      </c>
      <c r="BC447">
        <v>6</v>
      </c>
      <c r="BD447" t="str">
        <f>CONCATENATE(Table9[[#This Row],[Match Number]],Table9[[#This Row],[Team]],Table9[[#This Row],[BOWL NUM]])</f>
        <v>27Scotland6</v>
      </c>
      <c r="BE447" t="str">
        <f>IFERROR(IF(AND(Table9[[#This Row],[Team]]=I_TEAM,IFERROR(IF(MATCH(Table9[[#This Row],[Bowler]],$AR$5:AR446,0)&gt;0,0),1)),1,0),"")</f>
        <v/>
      </c>
      <c r="BF447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44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47" t="e">
        <f>IF(Table9[[#This Row],[Team]]=I_TEAM,Table9[[#This Row],[Wickets]]*100-Table9[[#This Row],[Runs]],0)</f>
        <v>#REF!</v>
      </c>
      <c r="BI447">
        <f>Table9[[#This Row],[Wickets]]*100-Table9[[#This Row],[Runs]]</f>
        <v>-18</v>
      </c>
      <c r="BJ447">
        <f ca="1">IFERROR(IF(MATCH(Table9[[#This Row],[Bowler]],OFFSET(AR448,0,0,BOWLROWS-ROW(AR447)-ROW(Table9[[#Headers],[BOWLER CUML WICKETS]])),0)&gt;0,0,SUMIF($AR$6:AR453,Table9[[#This Row],[Bowler]],$AV$6:AV453)),SUMIF($AR$6:AR453,Table9[[#This Row],[Bowler]],$AV$6:AV453))</f>
        <v>0</v>
      </c>
      <c r="BK447">
        <f ca="1">IFERROR(IF(MATCH(Table9[[#This Row],[Bowler]],OFFSET(AR448,0,0,BOWLROWS-ROW(AR447)-ROW(Table9[[#Headers],[BOWLER CUML WICKETS]])),0)&gt;0,0,SUMIF($AR$6:AR590,Table9[[#This Row],[Bowler]],$AU$6:AU590)),SUMIF($AR$6:AR590,Table9[[#This Row],[Bowler]],$AU$6:AU590))</f>
        <v>0</v>
      </c>
      <c r="BL447">
        <f ca="1">Table9[[#This Row],[BOWLER CUML WICKETS]]*100-Table9[[#This Row],[BOWLER CUML RUNS]]</f>
        <v>0</v>
      </c>
    </row>
    <row r="448" spans="1:64" x14ac:dyDescent="0.3">
      <c r="A448">
        <v>49</v>
      </c>
      <c r="B448" t="s">
        <v>149</v>
      </c>
      <c r="C448" t="s">
        <v>331</v>
      </c>
      <c r="D448" t="s">
        <v>167</v>
      </c>
      <c r="E448">
        <v>56</v>
      </c>
      <c r="F448">
        <v>137</v>
      </c>
      <c r="G448">
        <v>71</v>
      </c>
      <c r="H448">
        <v>3</v>
      </c>
      <c r="I448">
        <v>0</v>
      </c>
      <c r="J448">
        <v>78.87</v>
      </c>
      <c r="K448">
        <v>3</v>
      </c>
      <c r="L448" t="str">
        <f>CONCATENATE(T_BATTINGDATA[[#This Row],[Match]],T_BATTINGDATA[[#This Row],[Team]],T_BATTINGDATA[[#This Row],[Bat Number]])</f>
        <v>49Australia3</v>
      </c>
      <c r="M448" t="str">
        <f>IFERROR(IF(AND(T_BATTINGDATA[[#This Row],[Team]]=I_TEAM,IFERROR(IF(MATCH(T_BATTINGDATA[[#This Row],[BATSMAN NAME]],$O$5:O447,0)&gt;0,0),1)),1,0),"")</f>
        <v/>
      </c>
      <c r="N448" t="e">
        <f>IF(T_BATTINGDATA[[#This Row],[Team]]=I_TEAM,T_BATTINGDATA[[#This Row],[R]],0)</f>
        <v>#REF!</v>
      </c>
      <c r="O448" t="str">
        <f>LEFT(T_BATTINGDATA[[#This Row],[Batsman]],IFERROR(FIND("*",T_BATTINGDATA[[#This Row],[Batsman]])-1,IFERROR(FIND("†",T_BATTINGDATA[[#This Row],[Batsman]])-1,LEN(T_BATTINGDATA[[#This Row],[Batsman]]))))</f>
        <v>SPD Smith</v>
      </c>
      <c r="P448">
        <f ca="1">IFERROR(IF(MATCH(T_BATTINGDATA[[#This Row],[BATSMAN NAME]],OFFSET(O449,0,0,BATROWS-ROW(O448)-ROW(T_BATTINGDATA[[#Headers],[BATSMAN NAME]])),0)&gt;0,0,SUMIF($O$6:O448,T_BATTINGDATA[[#This Row],[BATSMAN NAME]],$E$6:E448)),SUMIF($O$6:O448,T_BATTINGDATA[[#This Row],[BATSMAN NAME]],$E$6:E448))</f>
        <v>0</v>
      </c>
      <c r="AP448">
        <v>29</v>
      </c>
      <c r="AQ448" t="s">
        <v>141</v>
      </c>
      <c r="AR448" t="s">
        <v>142</v>
      </c>
      <c r="AS448">
        <v>10</v>
      </c>
      <c r="AT448">
        <v>3</v>
      </c>
      <c r="AU448">
        <v>30</v>
      </c>
      <c r="AV448">
        <v>3</v>
      </c>
      <c r="AW448">
        <v>3</v>
      </c>
      <c r="AX448">
        <v>43</v>
      </c>
      <c r="AY448">
        <v>2</v>
      </c>
      <c r="AZ448">
        <v>1</v>
      </c>
      <c r="BA448">
        <v>1</v>
      </c>
      <c r="BB448">
        <v>0</v>
      </c>
      <c r="BC448">
        <v>1</v>
      </c>
      <c r="BD448" t="str">
        <f>CONCATENATE(Table9[[#This Row],[Match Number]],Table9[[#This Row],[Team]],Table9[[#This Row],[BOWL NUM]])</f>
        <v>29South Africa1</v>
      </c>
      <c r="BE448" t="str">
        <f>IFERROR(IF(AND(Table9[[#This Row],[Team]]=I_TEAM,IFERROR(IF(MATCH(Table9[[#This Row],[Bowler]],$AR$5:AR447,0)&gt;0,0),1)),1,0),"")</f>
        <v/>
      </c>
      <c r="BF44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4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48" t="e">
        <f>IF(Table9[[#This Row],[Team]]=I_TEAM,Table9[[#This Row],[Wickets]]*100-Table9[[#This Row],[Runs]],0)</f>
        <v>#REF!</v>
      </c>
      <c r="BI448">
        <f>Table9[[#This Row],[Wickets]]*100-Table9[[#This Row],[Runs]]</f>
        <v>270</v>
      </c>
      <c r="BJ448">
        <f ca="1">IFERROR(IF(MATCH(Table9[[#This Row],[Bowler]],OFFSET(AR449,0,0,BOWLROWS-ROW(AR448)-ROW(Table9[[#Headers],[BOWLER CUML WICKETS]])),0)&gt;0,0,SUMIF($AR$6:AR448,Table9[[#This Row],[Bowler]],$AV$6:AV448)),SUMIF($AR$6:AR448,Table9[[#This Row],[Bowler]],$AV$6:AV448))</f>
        <v>0</v>
      </c>
      <c r="BK448">
        <f ca="1">IFERROR(IF(MATCH(Table9[[#This Row],[Bowler]],OFFSET(AR449,0,0,BOWLROWS-ROW(AR448)-ROW(Table9[[#Headers],[BOWLER CUML WICKETS]])),0)&gt;0,0,SUMIF($AR$6:AR448,Table9[[#This Row],[Bowler]],$AU$6:AU448)),SUMIF($AR$6:AR448,Table9[[#This Row],[Bowler]],$AU$6:AU448))</f>
        <v>0</v>
      </c>
      <c r="BL448">
        <f ca="1">Table9[[#This Row],[BOWLER CUML WICKETS]]*100-Table9[[#This Row],[BOWLER CUML RUNS]]</f>
        <v>0</v>
      </c>
    </row>
    <row r="449" spans="1:64" x14ac:dyDescent="0.3">
      <c r="A449">
        <v>49</v>
      </c>
      <c r="B449" t="s">
        <v>149</v>
      </c>
      <c r="C449" t="s">
        <v>580</v>
      </c>
      <c r="D449" t="s">
        <v>625</v>
      </c>
      <c r="E449">
        <v>74</v>
      </c>
      <c r="F449">
        <v>84</v>
      </c>
      <c r="G449">
        <v>72</v>
      </c>
      <c r="H449">
        <v>10</v>
      </c>
      <c r="I449">
        <v>1</v>
      </c>
      <c r="J449">
        <v>102.77</v>
      </c>
      <c r="K449">
        <v>4</v>
      </c>
      <c r="L449" t="str">
        <f>CONCATENATE(T_BATTINGDATA[[#This Row],[Match]],T_BATTINGDATA[[#This Row],[Team]],T_BATTINGDATA[[#This Row],[Bat Number]])</f>
        <v>49Australia4</v>
      </c>
      <c r="M449" t="str">
        <f>IFERROR(IF(AND(T_BATTINGDATA[[#This Row],[Team]]=I_TEAM,IFERROR(IF(MATCH(T_BATTINGDATA[[#This Row],[BATSMAN NAME]],$O$5:O448,0)&gt;0,0),1)),1,0),"")</f>
        <v/>
      </c>
      <c r="N449" t="e">
        <f>IF(T_BATTINGDATA[[#This Row],[Team]]=I_TEAM,T_BATTINGDATA[[#This Row],[R]],0)</f>
        <v>#REF!</v>
      </c>
      <c r="O449" t="str">
        <f>LEFT(T_BATTINGDATA[[#This Row],[Batsman]],IFERROR(FIND("*",T_BATTINGDATA[[#This Row],[Batsman]])-1,IFERROR(FIND("†",T_BATTINGDATA[[#This Row],[Batsman]])-1,LEN(T_BATTINGDATA[[#This Row],[Batsman]]))))</f>
        <v>MJ Clarke</v>
      </c>
      <c r="P449">
        <f ca="1">IFERROR(IF(MATCH(T_BATTINGDATA[[#This Row],[BATSMAN NAME]],OFFSET(O450,0,0,BATROWS-ROW(O449)-ROW(T_BATTINGDATA[[#Headers],[BATSMAN NAME]])),0)&gt;0,0,SUMIF($O$6:O449,T_BATTINGDATA[[#This Row],[BATSMAN NAME]],$E$6:E449)),SUMIF($O$6:O449,T_BATTINGDATA[[#This Row],[BATSMAN NAME]],$E$6:E449))</f>
        <v>0</v>
      </c>
      <c r="AP449">
        <v>29</v>
      </c>
      <c r="AQ449" t="s">
        <v>141</v>
      </c>
      <c r="AR449" t="s">
        <v>489</v>
      </c>
      <c r="AS449">
        <v>9</v>
      </c>
      <c r="AT449">
        <v>0</v>
      </c>
      <c r="AU449">
        <v>45</v>
      </c>
      <c r="AV449">
        <v>2</v>
      </c>
      <c r="AW449">
        <v>5</v>
      </c>
      <c r="AX449">
        <v>31</v>
      </c>
      <c r="AY449">
        <v>6</v>
      </c>
      <c r="AZ449">
        <v>0</v>
      </c>
      <c r="BA449">
        <v>1</v>
      </c>
      <c r="BB449">
        <v>0</v>
      </c>
      <c r="BC449">
        <v>2</v>
      </c>
      <c r="BD449" t="str">
        <f>CONCATENATE(Table9[[#This Row],[Match Number]],Table9[[#This Row],[Team]],Table9[[#This Row],[BOWL NUM]])</f>
        <v>29South Africa2</v>
      </c>
      <c r="BE449" t="str">
        <f>IFERROR(IF(AND(Table9[[#This Row],[Team]]=I_TEAM,IFERROR(IF(MATCH(Table9[[#This Row],[Bowler]],$AR$5:AR448,0)&gt;0,0),1)),1,0),"")</f>
        <v/>
      </c>
      <c r="BF449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4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49" t="e">
        <f>IF(Table9[[#This Row],[Team]]=I_TEAM,Table9[[#This Row],[Wickets]]*100-Table9[[#This Row],[Runs]],0)</f>
        <v>#REF!</v>
      </c>
      <c r="BI449">
        <f>Table9[[#This Row],[Wickets]]*100-Table9[[#This Row],[Runs]]</f>
        <v>155</v>
      </c>
      <c r="BJ449">
        <f ca="1">IFERROR(IF(MATCH(Table9[[#This Row],[Bowler]],OFFSET(AR450,0,0,BOWLROWS-ROW(AR449)-ROW(Table9[[#Headers],[BOWLER CUML WICKETS]])),0)&gt;0,0,SUMIF($AR$6:AR449,Table9[[#This Row],[Bowler]],$AV$6:AV449)),SUMIF($AR$6:AR449,Table9[[#This Row],[Bowler]],$AV$6:AV449))</f>
        <v>9</v>
      </c>
      <c r="BK449">
        <f ca="1">IFERROR(IF(MATCH(Table9[[#This Row],[Bowler]],OFFSET(AR450,0,0,BOWLROWS-ROW(AR449)-ROW(Table9[[#Headers],[BOWLER CUML WICKETS]])),0)&gt;0,0,SUMIF($AR$6:AR449,Table9[[#This Row],[Bowler]],$AU$6:AU449)),SUMIF($AR$6:AR449,Table9[[#This Row],[Bowler]],$AU$6:AU449))</f>
        <v>130</v>
      </c>
      <c r="BL449">
        <f ca="1">Table9[[#This Row],[BOWLER CUML WICKETS]]*100-Table9[[#This Row],[BOWLER CUML RUNS]]</f>
        <v>770</v>
      </c>
    </row>
    <row r="450" spans="1:64" x14ac:dyDescent="0.3">
      <c r="A450">
        <v>49</v>
      </c>
      <c r="B450" t="s">
        <v>149</v>
      </c>
      <c r="C450" t="s">
        <v>327</v>
      </c>
      <c r="D450" t="s">
        <v>167</v>
      </c>
      <c r="E450">
        <v>2</v>
      </c>
      <c r="F450">
        <v>10</v>
      </c>
      <c r="G450">
        <v>5</v>
      </c>
      <c r="H450">
        <v>0</v>
      </c>
      <c r="I450">
        <v>0</v>
      </c>
      <c r="J450">
        <v>40</v>
      </c>
      <c r="K450">
        <v>5</v>
      </c>
      <c r="L450" t="str">
        <f>CONCATENATE(T_BATTINGDATA[[#This Row],[Match]],T_BATTINGDATA[[#This Row],[Team]],T_BATTINGDATA[[#This Row],[Bat Number]])</f>
        <v>49Australia5</v>
      </c>
      <c r="M450" t="str">
        <f>IFERROR(IF(AND(T_BATTINGDATA[[#This Row],[Team]]=I_TEAM,IFERROR(IF(MATCH(T_BATTINGDATA[[#This Row],[BATSMAN NAME]],$O$5:O449,0)&gt;0,0),1)),1,0),"")</f>
        <v/>
      </c>
      <c r="N450" t="e">
        <f>IF(T_BATTINGDATA[[#This Row],[Team]]=I_TEAM,T_BATTINGDATA[[#This Row],[R]],0)</f>
        <v>#REF!</v>
      </c>
      <c r="O450" t="str">
        <f>LEFT(T_BATTINGDATA[[#This Row],[Batsman]],IFERROR(FIND("*",T_BATTINGDATA[[#This Row],[Batsman]])-1,IFERROR(FIND("†",T_BATTINGDATA[[#This Row],[Batsman]])-1,LEN(T_BATTINGDATA[[#This Row],[Batsman]]))))</f>
        <v>SR Watson</v>
      </c>
      <c r="P450">
        <f ca="1">IFERROR(IF(MATCH(T_BATTINGDATA[[#This Row],[BATSMAN NAME]],OFFSET(O451,0,0,BATROWS-ROW(O450)-ROW(T_BATTINGDATA[[#Headers],[BATSMAN NAME]])),0)&gt;0,0,SUMIF($O$6:O450,T_BATTINGDATA[[#This Row],[BATSMAN NAME]],$E$6:E450)),SUMIF($O$6:O450,T_BATTINGDATA[[#This Row],[BATSMAN NAME]],$E$6:E450))</f>
        <v>0</v>
      </c>
      <c r="AP450">
        <v>29</v>
      </c>
      <c r="AQ450" t="s">
        <v>141</v>
      </c>
      <c r="AR450" t="s">
        <v>155</v>
      </c>
      <c r="AS450">
        <v>9.4</v>
      </c>
      <c r="AT450">
        <v>0</v>
      </c>
      <c r="AU450">
        <v>25</v>
      </c>
      <c r="AV450">
        <v>2</v>
      </c>
      <c r="AW450">
        <v>2.58</v>
      </c>
      <c r="AX450">
        <v>41</v>
      </c>
      <c r="AY450">
        <v>1</v>
      </c>
      <c r="AZ450">
        <v>0</v>
      </c>
      <c r="BA450">
        <v>0</v>
      </c>
      <c r="BB450">
        <v>1</v>
      </c>
      <c r="BC450">
        <v>3</v>
      </c>
      <c r="BD450" t="str">
        <f>CONCATENATE(Table9[[#This Row],[Match Number]],Table9[[#This Row],[Team]],Table9[[#This Row],[BOWL NUM]])</f>
        <v>29South Africa3</v>
      </c>
      <c r="BE450" t="str">
        <f>IFERROR(IF(AND(Table9[[#This Row],[Team]]=I_TEAM,IFERROR(IF(MATCH(Table9[[#This Row],[Bowler]],$AR$5:AR449,0)&gt;0,0),1)),1,0),"")</f>
        <v/>
      </c>
      <c r="BF450">
        <f>(LEFT(Table9[[#This Row],[Overs]],IFERROR(FIND(".",Table9[[#This Row],[Overs]])-1,LEN(Table9[[#This Row],[Overs]])))*6) + IFERROR(IF(FIND(".",Table9[[#This Row],[Overs]])+1&gt;0,RIGHT(Table9[[#This Row],[Overs]],1),0),0)</f>
        <v>58</v>
      </c>
      <c r="BG45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50" t="e">
        <f>IF(Table9[[#This Row],[Team]]=I_TEAM,Table9[[#This Row],[Wickets]]*100-Table9[[#This Row],[Runs]],0)</f>
        <v>#REF!</v>
      </c>
      <c r="BI450">
        <f>Table9[[#This Row],[Wickets]]*100-Table9[[#This Row],[Runs]]</f>
        <v>175</v>
      </c>
      <c r="BJ450">
        <f ca="1">IFERROR(IF(MATCH(Table9[[#This Row],[Bowler]],OFFSET(AR451,0,0,BOWLROWS-ROW(AR450)-ROW(Table9[[#Headers],[BOWLER CUML WICKETS]])),0)&gt;0,0,SUMIF($AR$6:AR450,Table9[[#This Row],[Bowler]],$AV$6:AV450)),SUMIF($AR$6:AR450,Table9[[#This Row],[Bowler]],$AV$6:AV450))</f>
        <v>0</v>
      </c>
      <c r="BK450">
        <f ca="1">IFERROR(IF(MATCH(Table9[[#This Row],[Bowler]],OFFSET(AR451,0,0,BOWLROWS-ROW(AR450)-ROW(Table9[[#Headers],[BOWLER CUML WICKETS]])),0)&gt;0,0,SUMIF($AR$6:AR450,Table9[[#This Row],[Bowler]],$AU$6:AU450)),SUMIF($AR$6:AR450,Table9[[#This Row],[Bowler]],$AU$6:AU450))</f>
        <v>0</v>
      </c>
      <c r="BL450">
        <f ca="1">Table9[[#This Row],[BOWLER CUML WICKETS]]*100-Table9[[#This Row],[BOWLER CUML RUNS]]</f>
        <v>0</v>
      </c>
    </row>
    <row r="451" spans="1:64" x14ac:dyDescent="0.3">
      <c r="A451">
        <v>16</v>
      </c>
      <c r="B451" t="s">
        <v>164</v>
      </c>
      <c r="C451" t="s">
        <v>247</v>
      </c>
      <c r="D451" t="s">
        <v>626</v>
      </c>
      <c r="E451">
        <v>45</v>
      </c>
      <c r="F451">
        <v>76</v>
      </c>
      <c r="G451">
        <v>71</v>
      </c>
      <c r="H451">
        <v>5</v>
      </c>
      <c r="I451">
        <v>0</v>
      </c>
      <c r="J451">
        <v>63.38</v>
      </c>
      <c r="K451">
        <v>1</v>
      </c>
      <c r="L451" t="str">
        <f>CONCATENATE(T_BATTINGDATA[[#This Row],[Match]],T_BATTINGDATA[[#This Row],[Team]],T_BATTINGDATA[[#This Row],[Bat Number]])</f>
        <v>16UAE1</v>
      </c>
      <c r="M451" t="str">
        <f>IFERROR(IF(AND(T_BATTINGDATA[[#This Row],[Team]]=I_TEAM,IFERROR(IF(MATCH(T_BATTINGDATA[[#This Row],[BATSMAN NAME]],$O$5:O450,0)&gt;0,0),1)),1,0),"")</f>
        <v/>
      </c>
      <c r="N451" t="e">
        <f>IF(T_BATTINGDATA[[#This Row],[Team]]=I_TEAM,T_BATTINGDATA[[#This Row],[R]],0)</f>
        <v>#REF!</v>
      </c>
      <c r="O451" t="str">
        <f>LEFT(T_BATTINGDATA[[#This Row],[Batsman]],IFERROR(FIND("*",T_BATTINGDATA[[#This Row],[Batsman]])-1,IFERROR(FIND("†",T_BATTINGDATA[[#This Row],[Batsman]])-1,LEN(T_BATTINGDATA[[#This Row],[Batsman]]))))</f>
        <v>Amjad Ali</v>
      </c>
      <c r="P451">
        <f ca="1">IFERROR(IF(MATCH(T_BATTINGDATA[[#This Row],[BATSMAN NAME]],OFFSET(O452,0,0,BATROWS-ROW(O451)-ROW(T_BATTINGDATA[[#Headers],[BATSMAN NAME]])),0)&gt;0,0,SUMIF($O$6:O451,T_BATTINGDATA[[#This Row],[BATSMAN NAME]],$E$6:E451)),SUMIF($O$6:O451,T_BATTINGDATA[[#This Row],[BATSMAN NAME]],$E$6:E451))</f>
        <v>0</v>
      </c>
      <c r="AP451">
        <v>29</v>
      </c>
      <c r="AQ451" t="s">
        <v>141</v>
      </c>
      <c r="AR451" t="s">
        <v>159</v>
      </c>
      <c r="AS451">
        <v>9</v>
      </c>
      <c r="AT451">
        <v>1</v>
      </c>
      <c r="AU451">
        <v>38</v>
      </c>
      <c r="AV451">
        <v>1</v>
      </c>
      <c r="AW451">
        <v>4.22</v>
      </c>
      <c r="AX451">
        <v>33</v>
      </c>
      <c r="AY451">
        <v>4</v>
      </c>
      <c r="AZ451">
        <v>1</v>
      </c>
      <c r="BA451">
        <v>0</v>
      </c>
      <c r="BB451">
        <v>0</v>
      </c>
      <c r="BC451">
        <v>4</v>
      </c>
      <c r="BD451" t="str">
        <f>CONCATENATE(Table9[[#This Row],[Match Number]],Table9[[#This Row],[Team]],Table9[[#This Row],[BOWL NUM]])</f>
        <v>29South Africa4</v>
      </c>
      <c r="BE451" t="str">
        <f>IFERROR(IF(AND(Table9[[#This Row],[Team]]=I_TEAM,IFERROR(IF(MATCH(Table9[[#This Row],[Bowler]],$AR$5:AR450,0)&gt;0,0),1)),1,0),"")</f>
        <v/>
      </c>
      <c r="BF451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5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51" t="e">
        <f>IF(Table9[[#This Row],[Team]]=I_TEAM,Table9[[#This Row],[Wickets]]*100-Table9[[#This Row],[Runs]],0)</f>
        <v>#REF!</v>
      </c>
      <c r="BI451">
        <f>Table9[[#This Row],[Wickets]]*100-Table9[[#This Row],[Runs]]</f>
        <v>62</v>
      </c>
      <c r="BJ451">
        <f ca="1">IFERROR(IF(MATCH(Table9[[#This Row],[Bowler]],OFFSET(AR452,0,0,BOWLROWS-ROW(AR451)-ROW(Table9[[#Headers],[BOWLER CUML WICKETS]])),0)&gt;0,0,SUMIF($AR$6:AR451,Table9[[#This Row],[Bowler]],$AV$6:AV451)),SUMIF($AR$6:AR451,Table9[[#This Row],[Bowler]],$AV$6:AV451))</f>
        <v>0</v>
      </c>
      <c r="BK451">
        <f ca="1">IFERROR(IF(MATCH(Table9[[#This Row],[Bowler]],OFFSET(AR452,0,0,BOWLROWS-ROW(AR451)-ROW(Table9[[#Headers],[BOWLER CUML WICKETS]])),0)&gt;0,0,SUMIF($AR$6:AR451,Table9[[#This Row],[Bowler]],$AU$6:AU451)),SUMIF($AR$6:AR451,Table9[[#This Row],[Bowler]],$AU$6:AU451))</f>
        <v>0</v>
      </c>
      <c r="BL451">
        <f ca="1">Table9[[#This Row],[BOWLER CUML WICKETS]]*100-Table9[[#This Row],[BOWLER CUML RUNS]]</f>
        <v>0</v>
      </c>
    </row>
    <row r="452" spans="1:64" x14ac:dyDescent="0.3">
      <c r="A452">
        <v>16</v>
      </c>
      <c r="B452" t="s">
        <v>164</v>
      </c>
      <c r="C452" t="s">
        <v>250</v>
      </c>
      <c r="D452" t="s">
        <v>627</v>
      </c>
      <c r="E452">
        <v>13</v>
      </c>
      <c r="F452">
        <v>47</v>
      </c>
      <c r="G452">
        <v>25</v>
      </c>
      <c r="H452">
        <v>1</v>
      </c>
      <c r="I452">
        <v>0</v>
      </c>
      <c r="J452">
        <v>52</v>
      </c>
      <c r="K452">
        <v>2</v>
      </c>
      <c r="L452" t="str">
        <f>CONCATENATE(T_BATTINGDATA[[#This Row],[Match]],T_BATTINGDATA[[#This Row],[Team]],T_BATTINGDATA[[#This Row],[Bat Number]])</f>
        <v>16UAE2</v>
      </c>
      <c r="M452" t="str">
        <f>IFERROR(IF(AND(T_BATTINGDATA[[#This Row],[Team]]=I_TEAM,IFERROR(IF(MATCH(T_BATTINGDATA[[#This Row],[BATSMAN NAME]],$O$5:O451,0)&gt;0,0),1)),1,0),"")</f>
        <v/>
      </c>
      <c r="N452" t="e">
        <f>IF(T_BATTINGDATA[[#This Row],[Team]]=I_TEAM,T_BATTINGDATA[[#This Row],[R]],0)</f>
        <v>#REF!</v>
      </c>
      <c r="O452" t="str">
        <f>LEFT(T_BATTINGDATA[[#This Row],[Batsman]],IFERROR(FIND("*",T_BATTINGDATA[[#This Row],[Batsman]])-1,IFERROR(FIND("†",T_BATTINGDATA[[#This Row],[Batsman]])-1,LEN(T_BATTINGDATA[[#This Row],[Batsman]]))))</f>
        <v>AR Berenger</v>
      </c>
      <c r="P452">
        <f ca="1">IFERROR(IF(MATCH(T_BATTINGDATA[[#This Row],[BATSMAN NAME]],OFFSET(O453,0,0,BATROWS-ROW(O452)-ROW(T_BATTINGDATA[[#Headers],[BATSMAN NAME]])),0)&gt;0,0,SUMIF($O$6:O452,T_BATTINGDATA[[#This Row],[BATSMAN NAME]],$E$6:E452)),SUMIF($O$6:O452,T_BATTINGDATA[[#This Row],[BATSMAN NAME]],$E$6:E452))</f>
        <v>0</v>
      </c>
      <c r="AP452">
        <v>29</v>
      </c>
      <c r="AQ452" t="s">
        <v>141</v>
      </c>
      <c r="AR452" t="s">
        <v>532</v>
      </c>
      <c r="AS452">
        <v>6</v>
      </c>
      <c r="AT452">
        <v>0</v>
      </c>
      <c r="AU452">
        <v>43</v>
      </c>
      <c r="AV452">
        <v>1</v>
      </c>
      <c r="AW452">
        <v>7.16</v>
      </c>
      <c r="AX452">
        <v>15</v>
      </c>
      <c r="AY452">
        <v>7</v>
      </c>
      <c r="AZ452">
        <v>0</v>
      </c>
      <c r="BA452">
        <v>1</v>
      </c>
      <c r="BB452">
        <v>0</v>
      </c>
      <c r="BC452">
        <v>5</v>
      </c>
      <c r="BD452" t="str">
        <f>CONCATENATE(Table9[[#This Row],[Match Number]],Table9[[#This Row],[Team]],Table9[[#This Row],[BOWL NUM]])</f>
        <v>29South Africa5</v>
      </c>
      <c r="BE452" t="str">
        <f>IFERROR(IF(AND(Table9[[#This Row],[Team]]=I_TEAM,IFERROR(IF(MATCH(Table9[[#This Row],[Bowler]],$AR$5:AR451,0)&gt;0,0),1)),1,0),"")</f>
        <v/>
      </c>
      <c r="BF452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45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52" t="e">
        <f>IF(Table9[[#This Row],[Team]]=I_TEAM,Table9[[#This Row],[Wickets]]*100-Table9[[#This Row],[Runs]],0)</f>
        <v>#REF!</v>
      </c>
      <c r="BI452">
        <f>Table9[[#This Row],[Wickets]]*100-Table9[[#This Row],[Runs]]</f>
        <v>57</v>
      </c>
      <c r="BJ452">
        <f ca="1">IFERROR(IF(MATCH(Table9[[#This Row],[Bowler]],OFFSET(AR453,0,0,BOWLROWS-ROW(AR452)-ROW(Table9[[#Headers],[BOWLER CUML WICKETS]])),0)&gt;0,0,SUMIF($AR$6:AR452,Table9[[#This Row],[Bowler]],$AV$6:AV452)),SUMIF($AR$6:AR452,Table9[[#This Row],[Bowler]],$AV$6:AV452))</f>
        <v>0</v>
      </c>
      <c r="BK452">
        <f ca="1">IFERROR(IF(MATCH(Table9[[#This Row],[Bowler]],OFFSET(AR453,0,0,BOWLROWS-ROW(AR452)-ROW(Table9[[#Headers],[BOWLER CUML WICKETS]])),0)&gt;0,0,SUMIF($AR$6:AR452,Table9[[#This Row],[Bowler]],$AU$6:AU452)),SUMIF($AR$6:AR452,Table9[[#This Row],[Bowler]],$AU$6:AU452))</f>
        <v>0</v>
      </c>
      <c r="BL452">
        <f ca="1">Table9[[#This Row],[BOWLER CUML WICKETS]]*100-Table9[[#This Row],[BOWLER CUML RUNS]]</f>
        <v>0</v>
      </c>
    </row>
    <row r="453" spans="1:64" x14ac:dyDescent="0.3">
      <c r="A453">
        <v>16</v>
      </c>
      <c r="B453" t="s">
        <v>164</v>
      </c>
      <c r="C453" t="s">
        <v>230</v>
      </c>
      <c r="D453" t="s">
        <v>628</v>
      </c>
      <c r="E453">
        <v>0</v>
      </c>
      <c r="F453">
        <v>6</v>
      </c>
      <c r="G453">
        <v>4</v>
      </c>
      <c r="H453">
        <v>0</v>
      </c>
      <c r="I453">
        <v>0</v>
      </c>
      <c r="J453">
        <v>0</v>
      </c>
      <c r="K453">
        <v>3</v>
      </c>
      <c r="L453" t="str">
        <f>CONCATENATE(T_BATTINGDATA[[#This Row],[Match]],T_BATTINGDATA[[#This Row],[Team]],T_BATTINGDATA[[#This Row],[Bat Number]])</f>
        <v>16UAE3</v>
      </c>
      <c r="M453" t="str">
        <f>IFERROR(IF(AND(T_BATTINGDATA[[#This Row],[Team]]=I_TEAM,IFERROR(IF(MATCH(T_BATTINGDATA[[#This Row],[BATSMAN NAME]],$O$5:O452,0)&gt;0,0),1)),1,0),"")</f>
        <v/>
      </c>
      <c r="N453" t="e">
        <f>IF(T_BATTINGDATA[[#This Row],[Team]]=I_TEAM,T_BATTINGDATA[[#This Row],[R]],0)</f>
        <v>#REF!</v>
      </c>
      <c r="O453" t="str">
        <f>LEFT(T_BATTINGDATA[[#This Row],[Batsman]],IFERROR(FIND("*",T_BATTINGDATA[[#This Row],[Batsman]])-1,IFERROR(FIND("†",T_BATTINGDATA[[#This Row],[Batsman]])-1,LEN(T_BATTINGDATA[[#This Row],[Batsman]]))))</f>
        <v>Krishna Chandran</v>
      </c>
      <c r="P453">
        <f ca="1">IFERROR(IF(MATCH(T_BATTINGDATA[[#This Row],[BATSMAN NAME]],OFFSET(O454,0,0,BATROWS-ROW(O453)-ROW(T_BATTINGDATA[[#Headers],[BATSMAN NAME]])),0)&gt;0,0,SUMIF($O$6:O453,T_BATTINGDATA[[#This Row],[BATSMAN NAME]],$E$6:E453)),SUMIF($O$6:O453,T_BATTINGDATA[[#This Row],[BATSMAN NAME]],$E$6:E453))</f>
        <v>0</v>
      </c>
      <c r="AP453">
        <v>29</v>
      </c>
      <c r="AQ453" t="s">
        <v>141</v>
      </c>
      <c r="AR453" t="s">
        <v>150</v>
      </c>
      <c r="AS453">
        <v>3</v>
      </c>
      <c r="AT453">
        <v>0</v>
      </c>
      <c r="AU453">
        <v>34</v>
      </c>
      <c r="AV453">
        <v>0</v>
      </c>
      <c r="AW453">
        <v>11.33</v>
      </c>
      <c r="AX453">
        <v>5</v>
      </c>
      <c r="AY453">
        <v>1</v>
      </c>
      <c r="AZ453">
        <v>3</v>
      </c>
      <c r="BA453">
        <v>2</v>
      </c>
      <c r="BB453">
        <v>0</v>
      </c>
      <c r="BC453">
        <v>6</v>
      </c>
      <c r="BD453" t="str">
        <f>CONCATENATE(Table9[[#This Row],[Match Number]],Table9[[#This Row],[Team]],Table9[[#This Row],[BOWL NUM]])</f>
        <v>29South Africa6</v>
      </c>
      <c r="BE453" t="str">
        <f>IFERROR(IF(AND(Table9[[#This Row],[Team]]=I_TEAM,IFERROR(IF(MATCH(Table9[[#This Row],[Bowler]],$AR$5:AR452,0)&gt;0,0),1)),1,0),"")</f>
        <v/>
      </c>
      <c r="BF453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45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53" t="e">
        <f>IF(Table9[[#This Row],[Team]]=I_TEAM,Table9[[#This Row],[Wickets]]*100-Table9[[#This Row],[Runs]],0)</f>
        <v>#REF!</v>
      </c>
      <c r="BI453">
        <f>Table9[[#This Row],[Wickets]]*100-Table9[[#This Row],[Runs]]</f>
        <v>-34</v>
      </c>
      <c r="BJ453">
        <f ca="1">IFERROR(IF(MATCH(Table9[[#This Row],[Bowler]],OFFSET(AR454,0,0,BOWLROWS-ROW(AR453)-ROW(Table9[[#Headers],[BOWLER CUML WICKETS]])),0)&gt;0,0,SUMIF($AR$6:AR590,Table9[[#This Row],[Bowler]],$AV$6:AV590)),SUMIF($AR$6:AR590,Table9[[#This Row],[Bowler]],$AV$6:AV590))</f>
        <v>0</v>
      </c>
      <c r="BK453">
        <f ca="1">IFERROR(IF(MATCH(Table9[[#This Row],[Bowler]],OFFSET(AR454,0,0,BOWLROWS-ROW(AR453)-ROW(Table9[[#Headers],[BOWLER CUML WICKETS]])),0)&gt;0,0,SUMIF($AR$6:AR487,Table9[[#This Row],[Bowler]],$AU$6:AU487)),SUMIF($AR$6:AR487,Table9[[#This Row],[Bowler]],$AU$6:AU487))</f>
        <v>0</v>
      </c>
      <c r="BL453">
        <f ca="1">Table9[[#This Row],[BOWLER CUML WICKETS]]*100-Table9[[#This Row],[BOWLER CUML RUNS]]</f>
        <v>0</v>
      </c>
    </row>
    <row r="454" spans="1:64" x14ac:dyDescent="0.3">
      <c r="A454">
        <v>16</v>
      </c>
      <c r="B454" t="s">
        <v>164</v>
      </c>
      <c r="C454" t="s">
        <v>252</v>
      </c>
      <c r="D454" t="s">
        <v>433</v>
      </c>
      <c r="E454">
        <v>36</v>
      </c>
      <c r="F454">
        <v>70</v>
      </c>
      <c r="G454">
        <v>53</v>
      </c>
      <c r="H454">
        <v>2</v>
      </c>
      <c r="I454">
        <v>0</v>
      </c>
      <c r="J454">
        <v>67.92</v>
      </c>
      <c r="K454">
        <v>4</v>
      </c>
      <c r="L454" t="str">
        <f>CONCATENATE(T_BATTINGDATA[[#This Row],[Match]],T_BATTINGDATA[[#This Row],[Team]],T_BATTINGDATA[[#This Row],[Bat Number]])</f>
        <v>16UAE4</v>
      </c>
      <c r="M454" t="str">
        <f>IFERROR(IF(AND(T_BATTINGDATA[[#This Row],[Team]]=I_TEAM,IFERROR(IF(MATCH(T_BATTINGDATA[[#This Row],[BATSMAN NAME]],$O$5:O453,0)&gt;0,0),1)),1,0),"")</f>
        <v/>
      </c>
      <c r="N454" t="e">
        <f>IF(T_BATTINGDATA[[#This Row],[Team]]=I_TEAM,T_BATTINGDATA[[#This Row],[R]],0)</f>
        <v>#REF!</v>
      </c>
      <c r="O454" t="str">
        <f>LEFT(T_BATTINGDATA[[#This Row],[Batsman]],IFERROR(FIND("*",T_BATTINGDATA[[#This Row],[Batsman]])-1,IFERROR(FIND("†",T_BATTINGDATA[[#This Row],[Batsman]])-1,LEN(T_BATTINGDATA[[#This Row],[Batsman]]))))</f>
        <v>Khurram Khan</v>
      </c>
      <c r="P454">
        <f ca="1">IFERROR(IF(MATCH(T_BATTINGDATA[[#This Row],[BATSMAN NAME]],OFFSET(O455,0,0,BATROWS-ROW(O454)-ROW(T_BATTINGDATA[[#Headers],[BATSMAN NAME]])),0)&gt;0,0,SUMIF($O$6:O454,T_BATTINGDATA[[#This Row],[BATSMAN NAME]],$E$6:E454)),SUMIF($O$6:O454,T_BATTINGDATA[[#This Row],[BATSMAN NAME]],$E$6:E454))</f>
        <v>0</v>
      </c>
      <c r="AP454">
        <v>29</v>
      </c>
      <c r="AQ454" t="s">
        <v>153</v>
      </c>
      <c r="AR454" t="s">
        <v>182</v>
      </c>
      <c r="AS454">
        <v>8</v>
      </c>
      <c r="AT454">
        <v>0</v>
      </c>
      <c r="AU454">
        <v>52</v>
      </c>
      <c r="AV454">
        <v>3</v>
      </c>
      <c r="AW454">
        <v>6.5</v>
      </c>
      <c r="AX454">
        <v>28</v>
      </c>
      <c r="AY454">
        <v>10</v>
      </c>
      <c r="AZ454">
        <v>0</v>
      </c>
      <c r="BA454">
        <v>0</v>
      </c>
      <c r="BB454">
        <v>0</v>
      </c>
      <c r="BC454">
        <v>1</v>
      </c>
      <c r="BD454" t="str">
        <f>CONCATENATE(Table9[[#This Row],[Match Number]],Table9[[#This Row],[Team]],Table9[[#This Row],[BOWL NUM]])</f>
        <v>29Pakistan1</v>
      </c>
      <c r="BE454" t="str">
        <f>IFERROR(IF(AND(Table9[[#This Row],[Team]]=I_TEAM,IFERROR(IF(MATCH(Table9[[#This Row],[Bowler]],$AR$5:AR453,0)&gt;0,0),1)),1,0),"")</f>
        <v/>
      </c>
      <c r="BF454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45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454" t="e">
        <f>IF(Table9[[#This Row],[Team]]=I_TEAM,Table9[[#This Row],[Wickets]]*100-Table9[[#This Row],[Runs]],0)</f>
        <v>#REF!</v>
      </c>
      <c r="BI454">
        <f>Table9[[#This Row],[Wickets]]*100-Table9[[#This Row],[Runs]]</f>
        <v>248</v>
      </c>
      <c r="BJ454">
        <f ca="1">IFERROR(IF(MATCH(Table9[[#This Row],[Bowler]],OFFSET(AR455,0,0,BOWLROWS-ROW(AR454)-ROW(Table9[[#Headers],[BOWLER CUML WICKETS]])),0)&gt;0,0,SUMIF($AR$6:AR454,Table9[[#This Row],[Bowler]],$AV$6:AV454)),SUMIF($AR$6:AR454,Table9[[#This Row],[Bowler]],$AV$6:AV454))</f>
        <v>8</v>
      </c>
      <c r="BK454">
        <f ca="1">IFERROR(IF(MATCH(Table9[[#This Row],[Bowler]],OFFSET(AR455,0,0,BOWLROWS-ROW(AR454)-ROW(Table9[[#Headers],[BOWLER CUML WICKETS]])),0)&gt;0,0,SUMIF($AR$6:AR454,Table9[[#This Row],[Bowler]],$AU$6:AU454)),SUMIF($AR$6:AR454,Table9[[#This Row],[Bowler]],$AU$6:AU454))</f>
        <v>186</v>
      </c>
      <c r="BL454">
        <f ca="1">Table9[[#This Row],[BOWLER CUML WICKETS]]*100-Table9[[#This Row],[BOWLER CUML RUNS]]</f>
        <v>614</v>
      </c>
    </row>
    <row r="455" spans="1:64" x14ac:dyDescent="0.3">
      <c r="A455">
        <v>16</v>
      </c>
      <c r="B455" t="s">
        <v>164</v>
      </c>
      <c r="C455" t="s">
        <v>253</v>
      </c>
      <c r="D455" t="s">
        <v>629</v>
      </c>
      <c r="E455">
        <v>2</v>
      </c>
      <c r="F455">
        <v>7</v>
      </c>
      <c r="G455">
        <v>8</v>
      </c>
      <c r="H455">
        <v>0</v>
      </c>
      <c r="I455">
        <v>0</v>
      </c>
      <c r="J455">
        <v>25</v>
      </c>
      <c r="K455">
        <v>5</v>
      </c>
      <c r="L455" t="str">
        <f>CONCATENATE(T_BATTINGDATA[[#This Row],[Match]],T_BATTINGDATA[[#This Row],[Team]],T_BATTINGDATA[[#This Row],[Bat Number]])</f>
        <v>16UAE5</v>
      </c>
      <c r="M455" t="str">
        <f>IFERROR(IF(AND(T_BATTINGDATA[[#This Row],[Team]]=I_TEAM,IFERROR(IF(MATCH(T_BATTINGDATA[[#This Row],[BATSMAN NAME]],$O$5:O454,0)&gt;0,0),1)),1,0),"")</f>
        <v/>
      </c>
      <c r="N455" t="e">
        <f>IF(T_BATTINGDATA[[#This Row],[Team]]=I_TEAM,T_BATTINGDATA[[#This Row],[R]],0)</f>
        <v>#REF!</v>
      </c>
      <c r="O455" t="str">
        <f>LEFT(T_BATTINGDATA[[#This Row],[Batsman]],IFERROR(FIND("*",T_BATTINGDATA[[#This Row],[Batsman]])-1,IFERROR(FIND("†",T_BATTINGDATA[[#This Row],[Batsman]])-1,LEN(T_BATTINGDATA[[#This Row],[Batsman]]))))</f>
        <v>SP Patil</v>
      </c>
      <c r="P455">
        <f ca="1">IFERROR(IF(MATCH(T_BATTINGDATA[[#This Row],[BATSMAN NAME]],OFFSET(O456,0,0,BATROWS-ROW(O455)-ROW(T_BATTINGDATA[[#Headers],[BATSMAN NAME]])),0)&gt;0,0,SUMIF($O$6:O455,T_BATTINGDATA[[#This Row],[BATSMAN NAME]],$E$6:E455)),SUMIF($O$6:O455,T_BATTINGDATA[[#This Row],[BATSMAN NAME]],$E$6:E455))</f>
        <v>0</v>
      </c>
      <c r="AP455">
        <v>29</v>
      </c>
      <c r="AQ455" t="s">
        <v>153</v>
      </c>
      <c r="AR455" t="s">
        <v>186</v>
      </c>
      <c r="AS455">
        <v>5</v>
      </c>
      <c r="AT455">
        <v>0</v>
      </c>
      <c r="AU455">
        <v>36</v>
      </c>
      <c r="AV455">
        <v>1</v>
      </c>
      <c r="AW455">
        <v>7.2</v>
      </c>
      <c r="AX455">
        <v>18</v>
      </c>
      <c r="AY455">
        <v>6</v>
      </c>
      <c r="AZ455">
        <v>0</v>
      </c>
      <c r="BA455">
        <v>4</v>
      </c>
      <c r="BB455">
        <v>0</v>
      </c>
      <c r="BC455">
        <v>2</v>
      </c>
      <c r="BD455" t="str">
        <f>CONCATENATE(Table9[[#This Row],[Match Number]],Table9[[#This Row],[Team]],Table9[[#This Row],[BOWL NUM]])</f>
        <v>29Pakistan2</v>
      </c>
      <c r="BE455" t="str">
        <f>IFERROR(IF(AND(Table9[[#This Row],[Team]]=I_TEAM,IFERROR(IF(MATCH(Table9[[#This Row],[Bowler]],$AR$5:AR454,0)&gt;0,0),1)),1,0),"")</f>
        <v/>
      </c>
      <c r="BF455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5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455" t="e">
        <f>IF(Table9[[#This Row],[Team]]=I_TEAM,Table9[[#This Row],[Wickets]]*100-Table9[[#This Row],[Runs]],0)</f>
        <v>#REF!</v>
      </c>
      <c r="BI455">
        <f>Table9[[#This Row],[Wickets]]*100-Table9[[#This Row],[Runs]]</f>
        <v>64</v>
      </c>
      <c r="BJ455">
        <f ca="1">IFERROR(IF(MATCH(Table9[[#This Row],[Bowler]],OFFSET(AR456,0,0,BOWLROWS-ROW(AR455)-ROW(Table9[[#Headers],[BOWLER CUML WICKETS]])),0)&gt;0,0,SUMIF($AR$6:AR455,Table9[[#This Row],[Bowler]],$AV$6:AV455)),SUMIF($AR$6:AR455,Table9[[#This Row],[Bowler]],$AV$6:AV455))</f>
        <v>0</v>
      </c>
      <c r="BK455">
        <f ca="1">IFERROR(IF(MATCH(Table9[[#This Row],[Bowler]],OFFSET(AR456,0,0,BOWLROWS-ROW(AR455)-ROW(Table9[[#Headers],[BOWLER CUML WICKETS]])),0)&gt;0,0,SUMIF($AR$6:AR455,Table9[[#This Row],[Bowler]],$AU$6:AU455)),SUMIF($AR$6:AR455,Table9[[#This Row],[Bowler]],$AU$6:AU455))</f>
        <v>0</v>
      </c>
      <c r="BL455">
        <f ca="1">Table9[[#This Row],[BOWLER CUML WICKETS]]*100-Table9[[#This Row],[BOWLER CUML RUNS]]</f>
        <v>0</v>
      </c>
    </row>
    <row r="456" spans="1:64" x14ac:dyDescent="0.3">
      <c r="A456">
        <v>16</v>
      </c>
      <c r="B456" t="s">
        <v>164</v>
      </c>
      <c r="C456" t="s">
        <v>255</v>
      </c>
      <c r="D456" t="s">
        <v>630</v>
      </c>
      <c r="E456">
        <v>106</v>
      </c>
      <c r="F456">
        <v>126</v>
      </c>
      <c r="G456">
        <v>83</v>
      </c>
      <c r="H456">
        <v>10</v>
      </c>
      <c r="I456">
        <v>1</v>
      </c>
      <c r="J456">
        <v>127.71</v>
      </c>
      <c r="K456">
        <v>6</v>
      </c>
      <c r="L456" t="str">
        <f>CONCATENATE(T_BATTINGDATA[[#This Row],[Match]],T_BATTINGDATA[[#This Row],[Team]],T_BATTINGDATA[[#This Row],[Bat Number]])</f>
        <v>16UAE6</v>
      </c>
      <c r="M456" t="str">
        <f>IFERROR(IF(AND(T_BATTINGDATA[[#This Row],[Team]]=I_TEAM,IFERROR(IF(MATCH(T_BATTINGDATA[[#This Row],[BATSMAN NAME]],$O$5:O455,0)&gt;0,0),1)),1,0),"")</f>
        <v/>
      </c>
      <c r="N456" t="e">
        <f>IF(T_BATTINGDATA[[#This Row],[Team]]=I_TEAM,T_BATTINGDATA[[#This Row],[R]],0)</f>
        <v>#REF!</v>
      </c>
      <c r="O456" t="str">
        <f>LEFT(T_BATTINGDATA[[#This Row],[Batsman]],IFERROR(FIND("*",T_BATTINGDATA[[#This Row],[Batsman]])-1,IFERROR(FIND("†",T_BATTINGDATA[[#This Row],[Batsman]])-1,LEN(T_BATTINGDATA[[#This Row],[Batsman]]))))</f>
        <v>Shaiman Anwar</v>
      </c>
      <c r="P456">
        <f ca="1">IFERROR(IF(MATCH(T_BATTINGDATA[[#This Row],[BATSMAN NAME]],OFFSET(O457,0,0,BATROWS-ROW(O456)-ROW(T_BATTINGDATA[[#Headers],[BATSMAN NAME]])),0)&gt;0,0,SUMIF($O$6:O456,T_BATTINGDATA[[#This Row],[BATSMAN NAME]],$E$6:E456)),SUMIF($O$6:O456,T_BATTINGDATA[[#This Row],[BATSMAN NAME]],$E$6:E456))</f>
        <v>0</v>
      </c>
      <c r="AP456">
        <v>29</v>
      </c>
      <c r="AQ456" t="s">
        <v>153</v>
      </c>
      <c r="AR456" t="s">
        <v>512</v>
      </c>
      <c r="AS456">
        <v>8</v>
      </c>
      <c r="AT456">
        <v>1</v>
      </c>
      <c r="AU456">
        <v>40</v>
      </c>
      <c r="AV456">
        <v>3</v>
      </c>
      <c r="AW456">
        <v>5</v>
      </c>
      <c r="AX456">
        <v>32</v>
      </c>
      <c r="AY456">
        <v>6</v>
      </c>
      <c r="AZ456">
        <v>1</v>
      </c>
      <c r="BA456">
        <v>1</v>
      </c>
      <c r="BB456">
        <v>0</v>
      </c>
      <c r="BC456">
        <v>3</v>
      </c>
      <c r="BD456" t="str">
        <f>CONCATENATE(Table9[[#This Row],[Match Number]],Table9[[#This Row],[Team]],Table9[[#This Row],[BOWL NUM]])</f>
        <v>29Pakistan3</v>
      </c>
      <c r="BE456" t="str">
        <f>IFERROR(IF(AND(Table9[[#This Row],[Team]]=I_TEAM,IFERROR(IF(MATCH(Table9[[#This Row],[Bowler]],$AR$5:AR455,0)&gt;0,0),1)),1,0),"")</f>
        <v/>
      </c>
      <c r="BF456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45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456" t="e">
        <f>IF(Table9[[#This Row],[Team]]=I_TEAM,Table9[[#This Row],[Wickets]]*100-Table9[[#This Row],[Runs]],0)</f>
        <v>#REF!</v>
      </c>
      <c r="BI456">
        <f>Table9[[#This Row],[Wickets]]*100-Table9[[#This Row],[Runs]]</f>
        <v>260</v>
      </c>
      <c r="BJ456">
        <f ca="1">IFERROR(IF(MATCH(Table9[[#This Row],[Bowler]],OFFSET(AR457,0,0,BOWLROWS-ROW(AR456)-ROW(Table9[[#Headers],[BOWLER CUML WICKETS]])),0)&gt;0,0,SUMIF($AR$6:AR456,Table9[[#This Row],[Bowler]],$AV$6:AV456)),SUMIF($AR$6:AR456,Table9[[#This Row],[Bowler]],$AV$6:AV456))</f>
        <v>5</v>
      </c>
      <c r="BK456">
        <f ca="1">IFERROR(IF(MATCH(Table9[[#This Row],[Bowler]],OFFSET(AR457,0,0,BOWLROWS-ROW(AR456)-ROW(Table9[[#Headers],[BOWLER CUML WICKETS]])),0)&gt;0,0,SUMIF($AR$6:AR456,Table9[[#This Row],[Bowler]],$AU$6:AU456)),SUMIF($AR$6:AR456,Table9[[#This Row],[Bowler]],$AU$6:AU456))</f>
        <v>144</v>
      </c>
      <c r="BL456">
        <f ca="1">Table9[[#This Row],[BOWLER CUML WICKETS]]*100-Table9[[#This Row],[BOWLER CUML RUNS]]</f>
        <v>356</v>
      </c>
    </row>
    <row r="457" spans="1:64" x14ac:dyDescent="0.3">
      <c r="A457">
        <v>16</v>
      </c>
      <c r="B457" t="s">
        <v>164</v>
      </c>
      <c r="C457" t="s">
        <v>256</v>
      </c>
      <c r="D457" t="s">
        <v>631</v>
      </c>
      <c r="E457">
        <v>2</v>
      </c>
      <c r="F457">
        <v>13</v>
      </c>
      <c r="G457">
        <v>9</v>
      </c>
      <c r="H457">
        <v>0</v>
      </c>
      <c r="I457">
        <v>0</v>
      </c>
      <c r="J457">
        <v>22.22</v>
      </c>
      <c r="K457">
        <v>7</v>
      </c>
      <c r="L457" t="str">
        <f>CONCATENATE(T_BATTINGDATA[[#This Row],[Match]],T_BATTINGDATA[[#This Row],[Team]],T_BATTINGDATA[[#This Row],[Bat Number]])</f>
        <v>16UAE7</v>
      </c>
      <c r="M457" t="str">
        <f>IFERROR(IF(AND(T_BATTINGDATA[[#This Row],[Team]]=I_TEAM,IFERROR(IF(MATCH(T_BATTINGDATA[[#This Row],[BATSMAN NAME]],$O$5:O456,0)&gt;0,0),1)),1,0),"")</f>
        <v/>
      </c>
      <c r="N457" t="e">
        <f>IF(T_BATTINGDATA[[#This Row],[Team]]=I_TEAM,T_BATTINGDATA[[#This Row],[R]],0)</f>
        <v>#REF!</v>
      </c>
      <c r="O457" t="str">
        <f>LEFT(T_BATTINGDATA[[#This Row],[Batsman]],IFERROR(FIND("*",T_BATTINGDATA[[#This Row],[Batsman]])-1,IFERROR(FIND("†",T_BATTINGDATA[[#This Row],[Batsman]])-1,LEN(T_BATTINGDATA[[#This Row],[Batsman]]))))</f>
        <v>Rohan Mustafa</v>
      </c>
      <c r="P457">
        <f ca="1">IFERROR(IF(MATCH(T_BATTINGDATA[[#This Row],[BATSMAN NAME]],OFFSET(O458,0,0,BATROWS-ROW(O457)-ROW(T_BATTINGDATA[[#Headers],[BATSMAN NAME]])),0)&gt;0,0,SUMIF($O$6:O457,T_BATTINGDATA[[#This Row],[BATSMAN NAME]],$E$6:E457)),SUMIF($O$6:O457,T_BATTINGDATA[[#This Row],[BATSMAN NAME]],$E$6:E457))</f>
        <v>0</v>
      </c>
      <c r="AP457">
        <v>29</v>
      </c>
      <c r="AQ457" t="s">
        <v>153</v>
      </c>
      <c r="AR457" t="s">
        <v>188</v>
      </c>
      <c r="AS457">
        <v>5</v>
      </c>
      <c r="AT457">
        <v>0</v>
      </c>
      <c r="AU457">
        <v>28</v>
      </c>
      <c r="AV457">
        <v>0</v>
      </c>
      <c r="AW457">
        <v>5.6</v>
      </c>
      <c r="AX457">
        <v>19</v>
      </c>
      <c r="AY457">
        <v>2</v>
      </c>
      <c r="AZ457">
        <v>2</v>
      </c>
      <c r="BA457">
        <v>0</v>
      </c>
      <c r="BB457">
        <v>0</v>
      </c>
      <c r="BC457">
        <v>4</v>
      </c>
      <c r="BD457" t="str">
        <f>CONCATENATE(Table9[[#This Row],[Match Number]],Table9[[#This Row],[Team]],Table9[[#This Row],[BOWL NUM]])</f>
        <v>29Pakistan4</v>
      </c>
      <c r="BE457" t="str">
        <f>IFERROR(IF(AND(Table9[[#This Row],[Team]]=I_TEAM,IFERROR(IF(MATCH(Table9[[#This Row],[Bowler]],$AR$5:AR456,0)&gt;0,0),1)),1,0),"")</f>
        <v/>
      </c>
      <c r="BF457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5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457" t="e">
        <f>IF(Table9[[#This Row],[Team]]=I_TEAM,Table9[[#This Row],[Wickets]]*100-Table9[[#This Row],[Runs]],0)</f>
        <v>#REF!</v>
      </c>
      <c r="BI457">
        <f>Table9[[#This Row],[Wickets]]*100-Table9[[#This Row],[Runs]]</f>
        <v>-28</v>
      </c>
      <c r="BJ457">
        <f ca="1">IFERROR(IF(MATCH(Table9[[#This Row],[Bowler]],OFFSET(AR458,0,0,BOWLROWS-ROW(AR457)-ROW(Table9[[#Headers],[BOWLER CUML WICKETS]])),0)&gt;0,0,SUMIF($AR$6:AR457,Table9[[#This Row],[Bowler]],$AV$6:AV457)),SUMIF($AR$6:AR457,Table9[[#This Row],[Bowler]],$AV$6:AV457))</f>
        <v>2</v>
      </c>
      <c r="BK457">
        <f ca="1">IFERROR(IF(MATCH(Table9[[#This Row],[Bowler]],OFFSET(AR458,0,0,BOWLROWS-ROW(AR457)-ROW(Table9[[#Headers],[BOWLER CUML WICKETS]])),0)&gt;0,0,SUMIF($AR$6:AR457,Table9[[#This Row],[Bowler]],$AU$6:AU457)),SUMIF($AR$6:AR457,Table9[[#This Row],[Bowler]],$AU$6:AU457))</f>
        <v>244</v>
      </c>
      <c r="BL457">
        <f ca="1">Table9[[#This Row],[BOWLER CUML WICKETS]]*100-Table9[[#This Row],[BOWLER CUML RUNS]]</f>
        <v>-44</v>
      </c>
    </row>
    <row r="458" spans="1:64" x14ac:dyDescent="0.3">
      <c r="A458">
        <v>16</v>
      </c>
      <c r="B458" t="s">
        <v>164</v>
      </c>
      <c r="C458" t="s">
        <v>228</v>
      </c>
      <c r="D458" t="s">
        <v>632</v>
      </c>
      <c r="E458">
        <v>42</v>
      </c>
      <c r="F458">
        <v>55</v>
      </c>
      <c r="G458">
        <v>35</v>
      </c>
      <c r="H458">
        <v>5</v>
      </c>
      <c r="I458">
        <v>0</v>
      </c>
      <c r="J458">
        <v>120</v>
      </c>
      <c r="K458">
        <v>8</v>
      </c>
      <c r="L458" t="str">
        <f>CONCATENATE(T_BATTINGDATA[[#This Row],[Match]],T_BATTINGDATA[[#This Row],[Team]],T_BATTINGDATA[[#This Row],[Bat Number]])</f>
        <v>16UAE8</v>
      </c>
      <c r="M458" t="str">
        <f>IFERROR(IF(AND(T_BATTINGDATA[[#This Row],[Team]]=I_TEAM,IFERROR(IF(MATCH(T_BATTINGDATA[[#This Row],[BATSMAN NAME]],$O$5:O457,0)&gt;0,0),1)),1,0),"")</f>
        <v/>
      </c>
      <c r="N458" t="e">
        <f>IF(T_BATTINGDATA[[#This Row],[Team]]=I_TEAM,T_BATTINGDATA[[#This Row],[R]],0)</f>
        <v>#REF!</v>
      </c>
      <c r="O458" t="str">
        <f>LEFT(T_BATTINGDATA[[#This Row],[Batsman]],IFERROR(FIND("*",T_BATTINGDATA[[#This Row],[Batsman]])-1,IFERROR(FIND("†",T_BATTINGDATA[[#This Row],[Batsman]])-1,LEN(T_BATTINGDATA[[#This Row],[Batsman]]))))</f>
        <v>Amjad Javed</v>
      </c>
      <c r="P458">
        <f ca="1">IFERROR(IF(MATCH(T_BATTINGDATA[[#This Row],[BATSMAN NAME]],OFFSET(O459,0,0,BATROWS-ROW(O458)-ROW(T_BATTINGDATA[[#Headers],[BATSMAN NAME]])),0)&gt;0,0,SUMIF($O$6:O458,T_BATTINGDATA[[#This Row],[BATSMAN NAME]],$E$6:E458)),SUMIF($O$6:O458,T_BATTINGDATA[[#This Row],[BATSMAN NAME]],$E$6:E458))</f>
        <v>0</v>
      </c>
      <c r="AP458">
        <v>29</v>
      </c>
      <c r="AQ458" t="s">
        <v>153</v>
      </c>
      <c r="AR458" t="s">
        <v>189</v>
      </c>
      <c r="AS458">
        <v>7.3</v>
      </c>
      <c r="AT458">
        <v>2</v>
      </c>
      <c r="AU458">
        <v>45</v>
      </c>
      <c r="AV458">
        <v>3</v>
      </c>
      <c r="AW458">
        <v>6</v>
      </c>
      <c r="AX458">
        <v>29</v>
      </c>
      <c r="AY458">
        <v>4</v>
      </c>
      <c r="AZ458">
        <v>3</v>
      </c>
      <c r="BA458">
        <v>2</v>
      </c>
      <c r="BB458">
        <v>0</v>
      </c>
      <c r="BC458">
        <v>5</v>
      </c>
      <c r="BD458" t="str">
        <f>CONCATENATE(Table9[[#This Row],[Match Number]],Table9[[#This Row],[Team]],Table9[[#This Row],[BOWL NUM]])</f>
        <v>29Pakistan5</v>
      </c>
      <c r="BE458" t="str">
        <f>IFERROR(IF(AND(Table9[[#This Row],[Team]]=I_TEAM,IFERROR(IF(MATCH(Table9[[#This Row],[Bowler]],$AR$5:AR457,0)&gt;0,0),1)),1,0),"")</f>
        <v/>
      </c>
      <c r="BF458">
        <f>(LEFT(Table9[[#This Row],[Overs]],IFERROR(FIND(".",Table9[[#This Row],[Overs]])-1,LEN(Table9[[#This Row],[Overs]])))*6) + IFERROR(IF(FIND(".",Table9[[#This Row],[Overs]])+1&gt;0,RIGHT(Table9[[#This Row],[Overs]],1),0),0)</f>
        <v>45</v>
      </c>
      <c r="BG45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458" t="e">
        <f>IF(Table9[[#This Row],[Team]]=I_TEAM,Table9[[#This Row],[Wickets]]*100-Table9[[#This Row],[Runs]],0)</f>
        <v>#REF!</v>
      </c>
      <c r="BI458">
        <f>Table9[[#This Row],[Wickets]]*100-Table9[[#This Row],[Runs]]</f>
        <v>255</v>
      </c>
      <c r="BJ458">
        <f ca="1">IFERROR(IF(MATCH(Table9[[#This Row],[Bowler]],OFFSET(AR459,0,0,BOWLROWS-ROW(AR458)-ROW(Table9[[#Headers],[BOWLER CUML WICKETS]])),0)&gt;0,0,SUMIF($AR$6:AR487,Table9[[#This Row],[Bowler]],$AV$6:AV487)),SUMIF($AR$6:AR487,Table9[[#This Row],[Bowler]],$AV$6:AV487))</f>
        <v>13</v>
      </c>
      <c r="BK458">
        <f ca="1">IFERROR(IF(MATCH(Table9[[#This Row],[Bowler]],OFFSET(AR459,0,0,BOWLROWS-ROW(AR458)-ROW(Table9[[#Headers],[BOWLER CUML WICKETS]])),0)&gt;0,0,SUMIF($AR$6:AR590,Table9[[#This Row],[Bowler]],$AU$6:AU590)),SUMIF($AR$6:AR590,Table9[[#This Row],[Bowler]],$AU$6:AU590))</f>
        <v>368</v>
      </c>
      <c r="BL458">
        <f ca="1">Table9[[#This Row],[BOWLER CUML WICKETS]]*100-Table9[[#This Row],[BOWLER CUML RUNS]]</f>
        <v>932</v>
      </c>
    </row>
    <row r="459" spans="1:64" x14ac:dyDescent="0.3">
      <c r="A459">
        <v>16</v>
      </c>
      <c r="B459" t="s">
        <v>164</v>
      </c>
      <c r="C459" t="s">
        <v>223</v>
      </c>
      <c r="D459" t="s">
        <v>633</v>
      </c>
      <c r="E459">
        <v>13</v>
      </c>
      <c r="F459">
        <v>19</v>
      </c>
      <c r="G459">
        <v>11</v>
      </c>
      <c r="H459">
        <v>2</v>
      </c>
      <c r="I459">
        <v>0</v>
      </c>
      <c r="J459">
        <v>118.18</v>
      </c>
      <c r="K459">
        <v>9</v>
      </c>
      <c r="L459" t="str">
        <f>CONCATENATE(T_BATTINGDATA[[#This Row],[Match]],T_BATTINGDATA[[#This Row],[Team]],T_BATTINGDATA[[#This Row],[Bat Number]])</f>
        <v>16UAE9</v>
      </c>
      <c r="M459" t="str">
        <f>IFERROR(IF(AND(T_BATTINGDATA[[#This Row],[Team]]=I_TEAM,IFERROR(IF(MATCH(T_BATTINGDATA[[#This Row],[BATSMAN NAME]],$O$5:O458,0)&gt;0,0),1)),1,0),"")</f>
        <v/>
      </c>
      <c r="N459" t="e">
        <f>IF(T_BATTINGDATA[[#This Row],[Team]]=I_TEAM,T_BATTINGDATA[[#This Row],[R]],0)</f>
        <v>#REF!</v>
      </c>
      <c r="O459" t="str">
        <f>LEFT(T_BATTINGDATA[[#This Row],[Batsman]],IFERROR(FIND("*",T_BATTINGDATA[[#This Row],[Batsman]])-1,IFERROR(FIND("†",T_BATTINGDATA[[#This Row],[Batsman]])-1,LEN(T_BATTINGDATA[[#This Row],[Batsman]]))))</f>
        <v>Mohammad Naveed</v>
      </c>
      <c r="P459">
        <f ca="1">IFERROR(IF(MATCH(T_BATTINGDATA[[#This Row],[BATSMAN NAME]],OFFSET(O460,0,0,BATROWS-ROW(O459)-ROW(T_BATTINGDATA[[#Headers],[BATSMAN NAME]])),0)&gt;0,0,SUMIF($O$6:O459,T_BATTINGDATA[[#This Row],[BATSMAN NAME]],$E$6:E459)),SUMIF($O$6:O459,T_BATTINGDATA[[#This Row],[BATSMAN NAME]],$E$6:E459))</f>
        <v>0</v>
      </c>
      <c r="AP459">
        <v>30</v>
      </c>
      <c r="AQ459" t="s">
        <v>158</v>
      </c>
      <c r="AR459" t="s">
        <v>204</v>
      </c>
      <c r="AS459">
        <v>9</v>
      </c>
      <c r="AT459">
        <v>0</v>
      </c>
      <c r="AU459">
        <v>69</v>
      </c>
      <c r="AV459">
        <v>1</v>
      </c>
      <c r="AW459">
        <v>7.66</v>
      </c>
      <c r="AX459">
        <v>27</v>
      </c>
      <c r="AY459">
        <v>7</v>
      </c>
      <c r="AZ459">
        <v>2</v>
      </c>
      <c r="BA459">
        <v>1</v>
      </c>
      <c r="BB459">
        <v>1</v>
      </c>
      <c r="BC459">
        <v>1</v>
      </c>
      <c r="BD459" t="str">
        <f>CONCATENATE(Table9[[#This Row],[Match Number]],Table9[[#This Row],[Team]],Table9[[#This Row],[BOWL NUM]])</f>
        <v>30Zimbabwe1</v>
      </c>
      <c r="BE459" t="str">
        <f>IFERROR(IF(AND(Table9[[#This Row],[Team]]=I_TEAM,IFERROR(IF(MATCH(Table9[[#This Row],[Bowler]],$AR$5:AR458,0)&gt;0,0),1)),1,0),"")</f>
        <v/>
      </c>
      <c r="BF459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5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59" t="e">
        <f>IF(Table9[[#This Row],[Team]]=I_TEAM,Table9[[#This Row],[Wickets]]*100-Table9[[#This Row],[Runs]],0)</f>
        <v>#REF!</v>
      </c>
      <c r="BI459">
        <f>Table9[[#This Row],[Wickets]]*100-Table9[[#This Row],[Runs]]</f>
        <v>31</v>
      </c>
      <c r="BJ459">
        <f ca="1">IFERROR(IF(MATCH(Table9[[#This Row],[Bowler]],OFFSET(AR460,0,0,BOWLROWS-ROW(AR459)-ROW(Table9[[#Headers],[BOWLER CUML WICKETS]])),0)&gt;0,0,SUMIF($AR$6:AR459,Table9[[#This Row],[Bowler]],$AV$6:AV459)),SUMIF($AR$6:AR459,Table9[[#This Row],[Bowler]],$AV$6:AV459))</f>
        <v>5</v>
      </c>
      <c r="BK459">
        <f ca="1">IFERROR(IF(MATCH(Table9[[#This Row],[Bowler]],OFFSET(AR460,0,0,BOWLROWS-ROW(AR459)-ROW(Table9[[#Headers],[BOWLER CUML WICKETS]])),0)&gt;0,0,SUMIF($AR$6:AR459,Table9[[#This Row],[Bowler]],$AU$6:AU459)),SUMIF($AR$6:AR459,Table9[[#This Row],[Bowler]],$AU$6:AU459))</f>
        <v>392</v>
      </c>
      <c r="BL459">
        <f ca="1">Table9[[#This Row],[BOWLER CUML WICKETS]]*100-Table9[[#This Row],[BOWLER CUML RUNS]]</f>
        <v>108</v>
      </c>
    </row>
    <row r="460" spans="1:64" x14ac:dyDescent="0.3">
      <c r="A460">
        <v>16</v>
      </c>
      <c r="B460" t="s">
        <v>164</v>
      </c>
      <c r="C460" t="s">
        <v>261</v>
      </c>
      <c r="D460" t="s">
        <v>167</v>
      </c>
      <c r="E460">
        <v>2</v>
      </c>
      <c r="F460">
        <v>6</v>
      </c>
      <c r="G460">
        <v>2</v>
      </c>
      <c r="H460">
        <v>0</v>
      </c>
      <c r="I460">
        <v>0</v>
      </c>
      <c r="J460">
        <v>100</v>
      </c>
      <c r="K460">
        <v>10</v>
      </c>
      <c r="L460" t="str">
        <f>CONCATENATE(T_BATTINGDATA[[#This Row],[Match]],T_BATTINGDATA[[#This Row],[Team]],T_BATTINGDATA[[#This Row],[Bat Number]])</f>
        <v>16UAE10</v>
      </c>
      <c r="M460" t="str">
        <f>IFERROR(IF(AND(T_BATTINGDATA[[#This Row],[Team]]=I_TEAM,IFERROR(IF(MATCH(T_BATTINGDATA[[#This Row],[BATSMAN NAME]],$O$5:O459,0)&gt;0,0),1)),1,0),"")</f>
        <v/>
      </c>
      <c r="N460" t="e">
        <f>IF(T_BATTINGDATA[[#This Row],[Team]]=I_TEAM,T_BATTINGDATA[[#This Row],[R]],0)</f>
        <v>#REF!</v>
      </c>
      <c r="O460" t="str">
        <f>LEFT(T_BATTINGDATA[[#This Row],[Batsman]],IFERROR(FIND("*",T_BATTINGDATA[[#This Row],[Batsman]])-1,IFERROR(FIND("†",T_BATTINGDATA[[#This Row],[Batsman]])-1,LEN(T_BATTINGDATA[[#This Row],[Batsman]]))))</f>
        <v>Mohammad Tauqir</v>
      </c>
      <c r="P460">
        <f ca="1">IFERROR(IF(MATCH(T_BATTINGDATA[[#This Row],[BATSMAN NAME]],OFFSET(O461,0,0,BATROWS-ROW(O460)-ROW(T_BATTINGDATA[[#Headers],[BATSMAN NAME]])),0)&gt;0,0,SUMIF($O$6:O460,T_BATTINGDATA[[#This Row],[BATSMAN NAME]],$E$6:E460)),SUMIF($O$6:O460,T_BATTINGDATA[[#This Row],[BATSMAN NAME]],$E$6:E460))</f>
        <v>0</v>
      </c>
      <c r="AP460">
        <v>30</v>
      </c>
      <c r="AQ460" t="s">
        <v>158</v>
      </c>
      <c r="AR460" t="s">
        <v>207</v>
      </c>
      <c r="AS460">
        <v>10</v>
      </c>
      <c r="AT460">
        <v>0</v>
      </c>
      <c r="AU460">
        <v>61</v>
      </c>
      <c r="AV460">
        <v>3</v>
      </c>
      <c r="AW460">
        <v>6.1</v>
      </c>
      <c r="AX460">
        <v>31</v>
      </c>
      <c r="AY460">
        <v>4</v>
      </c>
      <c r="AZ460">
        <v>2</v>
      </c>
      <c r="BA460">
        <v>4</v>
      </c>
      <c r="BB460">
        <v>1</v>
      </c>
      <c r="BC460">
        <v>2</v>
      </c>
      <c r="BD460" t="str">
        <f>CONCATENATE(Table9[[#This Row],[Match Number]],Table9[[#This Row],[Team]],Table9[[#This Row],[BOWL NUM]])</f>
        <v>30Zimbabwe2</v>
      </c>
      <c r="BE460" t="str">
        <f>IFERROR(IF(AND(Table9[[#This Row],[Team]]=I_TEAM,IFERROR(IF(MATCH(Table9[[#This Row],[Bowler]],$AR$5:AR459,0)&gt;0,0),1)),1,0),"")</f>
        <v/>
      </c>
      <c r="BF46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6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60" t="e">
        <f>IF(Table9[[#This Row],[Team]]=I_TEAM,Table9[[#This Row],[Wickets]]*100-Table9[[#This Row],[Runs]],0)</f>
        <v>#REF!</v>
      </c>
      <c r="BI460">
        <f>Table9[[#This Row],[Wickets]]*100-Table9[[#This Row],[Runs]]</f>
        <v>239</v>
      </c>
      <c r="BJ460">
        <f ca="1">IFERROR(IF(MATCH(Table9[[#This Row],[Bowler]],OFFSET(AR461,0,0,BOWLROWS-ROW(AR460)-ROW(Table9[[#Headers],[BOWLER CUML WICKETS]])),0)&gt;0,0,SUMIF($AR$6:AR460,Table9[[#This Row],[Bowler]],$AV$6:AV460)),SUMIF($AR$6:AR460,Table9[[#This Row],[Bowler]],$AV$6:AV460))</f>
        <v>10</v>
      </c>
      <c r="BK460">
        <f ca="1">IFERROR(IF(MATCH(Table9[[#This Row],[Bowler]],OFFSET(AR461,0,0,BOWLROWS-ROW(AR460)-ROW(Table9[[#Headers],[BOWLER CUML WICKETS]])),0)&gt;0,0,SUMIF($AR$6:AR460,Table9[[#This Row],[Bowler]],$AU$6:AU460)),SUMIF($AR$6:AR460,Table9[[#This Row],[Bowler]],$AU$6:AU460))</f>
        <v>342</v>
      </c>
      <c r="BL460">
        <f ca="1">Table9[[#This Row],[BOWLER CUML WICKETS]]*100-Table9[[#This Row],[BOWLER CUML RUNS]]</f>
        <v>658</v>
      </c>
    </row>
    <row r="461" spans="1:64" x14ac:dyDescent="0.3">
      <c r="A461">
        <v>16</v>
      </c>
      <c r="B461" t="s">
        <v>164</v>
      </c>
      <c r="C461" t="s">
        <v>225</v>
      </c>
      <c r="D461" t="s">
        <v>167</v>
      </c>
      <c r="E461">
        <v>0</v>
      </c>
      <c r="F461">
        <v>1</v>
      </c>
      <c r="G461">
        <v>0</v>
      </c>
      <c r="H461">
        <v>0</v>
      </c>
      <c r="I461">
        <v>0</v>
      </c>
      <c r="J461" t="s">
        <v>348</v>
      </c>
      <c r="K461">
        <v>11</v>
      </c>
      <c r="L461" t="str">
        <f>CONCATENATE(T_BATTINGDATA[[#This Row],[Match]],T_BATTINGDATA[[#This Row],[Team]],T_BATTINGDATA[[#This Row],[Bat Number]])</f>
        <v>16UAE11</v>
      </c>
      <c r="M461" t="str">
        <f>IFERROR(IF(AND(T_BATTINGDATA[[#This Row],[Team]]=I_TEAM,IFERROR(IF(MATCH(T_BATTINGDATA[[#This Row],[BATSMAN NAME]],$O$5:O460,0)&gt;0,0),1)),1,0),"")</f>
        <v/>
      </c>
      <c r="N461" t="e">
        <f>IF(T_BATTINGDATA[[#This Row],[Team]]=I_TEAM,T_BATTINGDATA[[#This Row],[R]],0)</f>
        <v>#REF!</v>
      </c>
      <c r="O461" t="str">
        <f>LEFT(T_BATTINGDATA[[#This Row],[Batsman]],IFERROR(FIND("*",T_BATTINGDATA[[#This Row],[Batsman]])-1,IFERROR(FIND("†",T_BATTINGDATA[[#This Row],[Batsman]])-1,LEN(T_BATTINGDATA[[#This Row],[Batsman]]))))</f>
        <v>AM Guruge</v>
      </c>
      <c r="P461">
        <f ca="1">IFERROR(IF(MATCH(T_BATTINGDATA[[#This Row],[BATSMAN NAME]],OFFSET(O462,0,0,BATROWS-ROW(O461)-ROW(T_BATTINGDATA[[#Headers],[BATSMAN NAME]])),0)&gt;0,0,SUMIF($O$6:O461,T_BATTINGDATA[[#This Row],[BATSMAN NAME]],$E$6:E461)),SUMIF($O$6:O461,T_BATTINGDATA[[#This Row],[BATSMAN NAME]],$E$6:E461))</f>
        <v>0</v>
      </c>
      <c r="AP461">
        <v>30</v>
      </c>
      <c r="AQ461" t="s">
        <v>158</v>
      </c>
      <c r="AR461" t="s">
        <v>208</v>
      </c>
      <c r="AS461">
        <v>10</v>
      </c>
      <c r="AT461">
        <v>0</v>
      </c>
      <c r="AU461">
        <v>56</v>
      </c>
      <c r="AV461">
        <v>0</v>
      </c>
      <c r="AW461">
        <v>5.6</v>
      </c>
      <c r="AX461">
        <v>28</v>
      </c>
      <c r="AY461">
        <v>6</v>
      </c>
      <c r="AZ461">
        <v>0</v>
      </c>
      <c r="BA461">
        <v>1</v>
      </c>
      <c r="BB461">
        <v>0</v>
      </c>
      <c r="BC461">
        <v>3</v>
      </c>
      <c r="BD461" t="str">
        <f>CONCATENATE(Table9[[#This Row],[Match Number]],Table9[[#This Row],[Team]],Table9[[#This Row],[BOWL NUM]])</f>
        <v>30Zimbabwe3</v>
      </c>
      <c r="BE461" t="str">
        <f>IFERROR(IF(AND(Table9[[#This Row],[Team]]=I_TEAM,IFERROR(IF(MATCH(Table9[[#This Row],[Bowler]],$AR$5:AR460,0)&gt;0,0),1)),1,0),"")</f>
        <v/>
      </c>
      <c r="BF46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6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61" t="e">
        <f>IF(Table9[[#This Row],[Team]]=I_TEAM,Table9[[#This Row],[Wickets]]*100-Table9[[#This Row],[Runs]],0)</f>
        <v>#REF!</v>
      </c>
      <c r="BI461">
        <f>Table9[[#This Row],[Wickets]]*100-Table9[[#This Row],[Runs]]</f>
        <v>-56</v>
      </c>
      <c r="BJ461">
        <f ca="1">IFERROR(IF(MATCH(Table9[[#This Row],[Bowler]],OFFSET(AR462,0,0,BOWLROWS-ROW(AR461)-ROW(Table9[[#Headers],[BOWLER CUML WICKETS]])),0)&gt;0,0,SUMIF($AR$6:AR461,Table9[[#This Row],[Bowler]],$AV$6:AV461)),SUMIF($AR$6:AR461,Table9[[#This Row],[Bowler]],$AV$6:AV461))</f>
        <v>1</v>
      </c>
      <c r="BK461">
        <f ca="1">IFERROR(IF(MATCH(Table9[[#This Row],[Bowler]],OFFSET(AR462,0,0,BOWLROWS-ROW(AR461)-ROW(Table9[[#Headers],[BOWLER CUML WICKETS]])),0)&gt;0,0,SUMIF($AR$6:AR461,Table9[[#This Row],[Bowler]],$AU$6:AU461)),SUMIF($AR$6:AR461,Table9[[#This Row],[Bowler]],$AU$6:AU461))</f>
        <v>153</v>
      </c>
      <c r="BL461">
        <f ca="1">Table9[[#This Row],[BOWLER CUML WICKETS]]*100-Table9[[#This Row],[BOWLER CUML RUNS]]</f>
        <v>-53</v>
      </c>
    </row>
    <row r="462" spans="1:64" x14ac:dyDescent="0.3">
      <c r="A462">
        <v>16</v>
      </c>
      <c r="B462" t="s">
        <v>169</v>
      </c>
      <c r="C462" t="s">
        <v>269</v>
      </c>
      <c r="D462" t="s">
        <v>634</v>
      </c>
      <c r="E462">
        <v>37</v>
      </c>
      <c r="F462">
        <v>102</v>
      </c>
      <c r="G462">
        <v>64</v>
      </c>
      <c r="H462">
        <v>2</v>
      </c>
      <c r="I462">
        <v>0</v>
      </c>
      <c r="J462">
        <v>57.81</v>
      </c>
      <c r="K462">
        <v>1</v>
      </c>
      <c r="L462" t="str">
        <f>CONCATENATE(T_BATTINGDATA[[#This Row],[Match]],T_BATTINGDATA[[#This Row],[Team]],T_BATTINGDATA[[#This Row],[Bat Number]])</f>
        <v>16Ireland1</v>
      </c>
      <c r="M462" t="str">
        <f>IFERROR(IF(AND(T_BATTINGDATA[[#This Row],[Team]]=I_TEAM,IFERROR(IF(MATCH(T_BATTINGDATA[[#This Row],[BATSMAN NAME]],$O$5:O461,0)&gt;0,0),1)),1,0),"")</f>
        <v/>
      </c>
      <c r="N462" t="e">
        <f>IF(T_BATTINGDATA[[#This Row],[Team]]=I_TEAM,T_BATTINGDATA[[#This Row],[R]],0)</f>
        <v>#REF!</v>
      </c>
      <c r="O462" t="str">
        <f>LEFT(T_BATTINGDATA[[#This Row],[Batsman]],IFERROR(FIND("*",T_BATTINGDATA[[#This Row],[Batsman]])-1,IFERROR(FIND("†",T_BATTINGDATA[[#This Row],[Batsman]])-1,LEN(T_BATTINGDATA[[#This Row],[Batsman]]))))</f>
        <v>WTS Porterfield</v>
      </c>
      <c r="P462">
        <f ca="1">IFERROR(IF(MATCH(T_BATTINGDATA[[#This Row],[BATSMAN NAME]],OFFSET(O463,0,0,BATROWS-ROW(O462)-ROW(T_BATTINGDATA[[#Headers],[BATSMAN NAME]])),0)&gt;0,0,SUMIF($O$6:O462,T_BATTINGDATA[[#This Row],[BATSMAN NAME]],$E$6:E462)),SUMIF($O$6:O462,T_BATTINGDATA[[#This Row],[BATSMAN NAME]],$E$6:E462))</f>
        <v>0</v>
      </c>
      <c r="AP462">
        <v>30</v>
      </c>
      <c r="AQ462" t="s">
        <v>158</v>
      </c>
      <c r="AR462" t="s">
        <v>217</v>
      </c>
      <c r="AS462">
        <v>9</v>
      </c>
      <c r="AT462">
        <v>0</v>
      </c>
      <c r="AU462">
        <v>51</v>
      </c>
      <c r="AV462">
        <v>0</v>
      </c>
      <c r="AW462">
        <v>5.66</v>
      </c>
      <c r="AX462">
        <v>25</v>
      </c>
      <c r="AY462">
        <v>1</v>
      </c>
      <c r="AZ462">
        <v>3</v>
      </c>
      <c r="BA462">
        <v>0</v>
      </c>
      <c r="BB462">
        <v>0</v>
      </c>
      <c r="BC462">
        <v>4</v>
      </c>
      <c r="BD462" t="str">
        <f>CONCATENATE(Table9[[#This Row],[Match Number]],Table9[[#This Row],[Team]],Table9[[#This Row],[BOWL NUM]])</f>
        <v>30Zimbabwe4</v>
      </c>
      <c r="BE462" t="str">
        <f>IFERROR(IF(AND(Table9[[#This Row],[Team]]=I_TEAM,IFERROR(IF(MATCH(Table9[[#This Row],[Bowler]],$AR$5:AR461,0)&gt;0,0),1)),1,0),"")</f>
        <v/>
      </c>
      <c r="BF462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6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62" t="e">
        <f>IF(Table9[[#This Row],[Team]]=I_TEAM,Table9[[#This Row],[Wickets]]*100-Table9[[#This Row],[Runs]],0)</f>
        <v>#REF!</v>
      </c>
      <c r="BI462">
        <f>Table9[[#This Row],[Wickets]]*100-Table9[[#This Row],[Runs]]</f>
        <v>-51</v>
      </c>
      <c r="BJ462">
        <f ca="1">IFERROR(IF(MATCH(Table9[[#This Row],[Bowler]],OFFSET(AR463,0,0,BOWLROWS-ROW(AR462)-ROW(Table9[[#Headers],[BOWLER CUML WICKETS]])),0)&gt;0,0,SUMIF($AR$6:AR462,Table9[[#This Row],[Bowler]],$AV$6:AV462)),SUMIF($AR$6:AR462,Table9[[#This Row],[Bowler]],$AV$6:AV462))</f>
        <v>2</v>
      </c>
      <c r="BK462">
        <f ca="1">IFERROR(IF(MATCH(Table9[[#This Row],[Bowler]],OFFSET(AR463,0,0,BOWLROWS-ROW(AR462)-ROW(Table9[[#Headers],[BOWLER CUML WICKETS]])),0)&gt;0,0,SUMIF($AR$6:AR462,Table9[[#This Row],[Bowler]],$AU$6:AU462)),SUMIF($AR$6:AR462,Table9[[#This Row],[Bowler]],$AU$6:AU462))</f>
        <v>197</v>
      </c>
      <c r="BL462">
        <f ca="1">Table9[[#This Row],[BOWLER CUML WICKETS]]*100-Table9[[#This Row],[BOWLER CUML RUNS]]</f>
        <v>3</v>
      </c>
    </row>
    <row r="463" spans="1:64" x14ac:dyDescent="0.3">
      <c r="A463">
        <v>16</v>
      </c>
      <c r="B463" t="s">
        <v>169</v>
      </c>
      <c r="C463" t="s">
        <v>249</v>
      </c>
      <c r="D463" t="s">
        <v>635</v>
      </c>
      <c r="E463">
        <v>3</v>
      </c>
      <c r="F463">
        <v>7</v>
      </c>
      <c r="G463">
        <v>9</v>
      </c>
      <c r="H463">
        <v>0</v>
      </c>
      <c r="I463">
        <v>0</v>
      </c>
      <c r="J463">
        <v>33.33</v>
      </c>
      <c r="K463">
        <v>2</v>
      </c>
      <c r="L463" t="str">
        <f>CONCATENATE(T_BATTINGDATA[[#This Row],[Match]],T_BATTINGDATA[[#This Row],[Team]],T_BATTINGDATA[[#This Row],[Bat Number]])</f>
        <v>16Ireland2</v>
      </c>
      <c r="M463" t="str">
        <f>IFERROR(IF(AND(T_BATTINGDATA[[#This Row],[Team]]=I_TEAM,IFERROR(IF(MATCH(T_BATTINGDATA[[#This Row],[BATSMAN NAME]],$O$5:O462,0)&gt;0,0),1)),1,0),"")</f>
        <v/>
      </c>
      <c r="N463" t="e">
        <f>IF(T_BATTINGDATA[[#This Row],[Team]]=I_TEAM,T_BATTINGDATA[[#This Row],[R]],0)</f>
        <v>#REF!</v>
      </c>
      <c r="O463" t="str">
        <f>LEFT(T_BATTINGDATA[[#This Row],[Batsman]],IFERROR(FIND("*",T_BATTINGDATA[[#This Row],[Batsman]])-1,IFERROR(FIND("†",T_BATTINGDATA[[#This Row],[Batsman]])-1,LEN(T_BATTINGDATA[[#This Row],[Batsman]]))))</f>
        <v>PR Stirling</v>
      </c>
      <c r="P463">
        <f ca="1">IFERROR(IF(MATCH(T_BATTINGDATA[[#This Row],[BATSMAN NAME]],OFFSET(O464,0,0,BATROWS-ROW(O463)-ROW(T_BATTINGDATA[[#Headers],[BATSMAN NAME]])),0)&gt;0,0,SUMIF($O$6:O463,T_BATTINGDATA[[#This Row],[BATSMAN NAME]],$E$6:E463)),SUMIF($O$6:O463,T_BATTINGDATA[[#This Row],[BATSMAN NAME]],$E$6:E463))</f>
        <v>0</v>
      </c>
      <c r="AP463">
        <v>30</v>
      </c>
      <c r="AQ463" t="s">
        <v>158</v>
      </c>
      <c r="AR463" t="s">
        <v>214</v>
      </c>
      <c r="AS463">
        <v>9</v>
      </c>
      <c r="AT463">
        <v>0</v>
      </c>
      <c r="AU463">
        <v>72</v>
      </c>
      <c r="AV463">
        <v>3</v>
      </c>
      <c r="AW463">
        <v>8</v>
      </c>
      <c r="AX463">
        <v>19</v>
      </c>
      <c r="AY463">
        <v>8</v>
      </c>
      <c r="AZ463">
        <v>1</v>
      </c>
      <c r="BA463">
        <v>2</v>
      </c>
      <c r="BB463">
        <v>1</v>
      </c>
      <c r="BC463">
        <v>5</v>
      </c>
      <c r="BD463" t="str">
        <f>CONCATENATE(Table9[[#This Row],[Match Number]],Table9[[#This Row],[Team]],Table9[[#This Row],[BOWL NUM]])</f>
        <v>30Zimbabwe5</v>
      </c>
      <c r="BE463" t="str">
        <f>IFERROR(IF(AND(Table9[[#This Row],[Team]]=I_TEAM,IFERROR(IF(MATCH(Table9[[#This Row],[Bowler]],$AR$5:AR462,0)&gt;0,0),1)),1,0),"")</f>
        <v/>
      </c>
      <c r="BF463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6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63" t="e">
        <f>IF(Table9[[#This Row],[Team]]=I_TEAM,Table9[[#This Row],[Wickets]]*100-Table9[[#This Row],[Runs]],0)</f>
        <v>#REF!</v>
      </c>
      <c r="BI463">
        <f>Table9[[#This Row],[Wickets]]*100-Table9[[#This Row],[Runs]]</f>
        <v>228</v>
      </c>
      <c r="BJ463">
        <f ca="1">IFERROR(IF(MATCH(Table9[[#This Row],[Bowler]],OFFSET(AR464,0,0,BOWLROWS-ROW(AR463)-ROW(Table9[[#Headers],[BOWLER CUML WICKETS]])),0)&gt;0,0,SUMIF($AR$6:AR463,Table9[[#This Row],[Bowler]],$AV$6:AV463)),SUMIF($AR$6:AR463,Table9[[#This Row],[Bowler]],$AV$6:AV463))</f>
        <v>7</v>
      </c>
      <c r="BK463">
        <f ca="1">IFERROR(IF(MATCH(Table9[[#This Row],[Bowler]],OFFSET(AR464,0,0,BOWLROWS-ROW(AR463)-ROW(Table9[[#Headers],[BOWLER CUML WICKETS]])),0)&gt;0,0,SUMIF($AR$6:AR463,Table9[[#This Row],[Bowler]],$AU$6:AU463)),SUMIF($AR$6:AR463,Table9[[#This Row],[Bowler]],$AU$6:AU463))</f>
        <v>286</v>
      </c>
      <c r="BL463">
        <f ca="1">Table9[[#This Row],[BOWLER CUML WICKETS]]*100-Table9[[#This Row],[BOWLER CUML RUNS]]</f>
        <v>414</v>
      </c>
    </row>
    <row r="464" spans="1:64" x14ac:dyDescent="0.3">
      <c r="A464">
        <v>16</v>
      </c>
      <c r="B464" t="s">
        <v>169</v>
      </c>
      <c r="C464" t="s">
        <v>273</v>
      </c>
      <c r="D464" t="s">
        <v>636</v>
      </c>
      <c r="E464">
        <v>37</v>
      </c>
      <c r="F464">
        <v>77</v>
      </c>
      <c r="G464">
        <v>49</v>
      </c>
      <c r="H464">
        <v>3</v>
      </c>
      <c r="I464">
        <v>0</v>
      </c>
      <c r="J464">
        <v>75.510000000000005</v>
      </c>
      <c r="K464">
        <v>3</v>
      </c>
      <c r="L464" t="str">
        <f>CONCATENATE(T_BATTINGDATA[[#This Row],[Match]],T_BATTINGDATA[[#This Row],[Team]],T_BATTINGDATA[[#This Row],[Bat Number]])</f>
        <v>16Ireland3</v>
      </c>
      <c r="M464" t="str">
        <f>IFERROR(IF(AND(T_BATTINGDATA[[#This Row],[Team]]=I_TEAM,IFERROR(IF(MATCH(T_BATTINGDATA[[#This Row],[BATSMAN NAME]],$O$5:O463,0)&gt;0,0),1)),1,0),"")</f>
        <v/>
      </c>
      <c r="N464" t="e">
        <f>IF(T_BATTINGDATA[[#This Row],[Team]]=I_TEAM,T_BATTINGDATA[[#This Row],[R]],0)</f>
        <v>#REF!</v>
      </c>
      <c r="O464" t="str">
        <f>LEFT(T_BATTINGDATA[[#This Row],[Batsman]],IFERROR(FIND("*",T_BATTINGDATA[[#This Row],[Batsman]])-1,IFERROR(FIND("†",T_BATTINGDATA[[#This Row],[Batsman]])-1,LEN(T_BATTINGDATA[[#This Row],[Batsman]]))))</f>
        <v>EC Joyce</v>
      </c>
      <c r="P464">
        <f ca="1">IFERROR(IF(MATCH(T_BATTINGDATA[[#This Row],[BATSMAN NAME]],OFFSET(O465,0,0,BATROWS-ROW(O464)-ROW(T_BATTINGDATA[[#Headers],[BATSMAN NAME]])),0)&gt;0,0,SUMIF($O$6:O464,T_BATTINGDATA[[#This Row],[BATSMAN NAME]],$E$6:E464)),SUMIF($O$6:O464,T_BATTINGDATA[[#This Row],[BATSMAN NAME]],$E$6:E464))</f>
        <v>0</v>
      </c>
      <c r="AP464">
        <v>30</v>
      </c>
      <c r="AQ464" t="s">
        <v>158</v>
      </c>
      <c r="AR464" t="s">
        <v>218</v>
      </c>
      <c r="AS464">
        <v>3</v>
      </c>
      <c r="AT464">
        <v>0</v>
      </c>
      <c r="AU464">
        <v>18</v>
      </c>
      <c r="AV464">
        <v>0</v>
      </c>
      <c r="AW464">
        <v>6</v>
      </c>
      <c r="AX464">
        <v>6</v>
      </c>
      <c r="AY464">
        <v>2</v>
      </c>
      <c r="AZ464">
        <v>0</v>
      </c>
      <c r="BA464">
        <v>0</v>
      </c>
      <c r="BB464">
        <v>0</v>
      </c>
      <c r="BC464">
        <v>6</v>
      </c>
      <c r="BD464" t="str">
        <f>CONCATENATE(Table9[[#This Row],[Match Number]],Table9[[#This Row],[Team]],Table9[[#This Row],[BOWL NUM]])</f>
        <v>30Zimbabwe6</v>
      </c>
      <c r="BE464" t="str">
        <f>IFERROR(IF(AND(Table9[[#This Row],[Team]]=I_TEAM,IFERROR(IF(MATCH(Table9[[#This Row],[Bowler]],$AR$5:AR463,0)&gt;0,0),1)),1,0),"")</f>
        <v/>
      </c>
      <c r="BF464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46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64" t="e">
        <f>IF(Table9[[#This Row],[Team]]=I_TEAM,Table9[[#This Row],[Wickets]]*100-Table9[[#This Row],[Runs]],0)</f>
        <v>#REF!</v>
      </c>
      <c r="BI464">
        <f>Table9[[#This Row],[Wickets]]*100-Table9[[#This Row],[Runs]]</f>
        <v>-18</v>
      </c>
      <c r="BJ464">
        <f ca="1">IFERROR(IF(MATCH(Table9[[#This Row],[Bowler]],OFFSET(AR465,0,0,BOWLROWS-ROW(AR464)-ROW(Table9[[#Headers],[BOWLER CUML WICKETS]])),0)&gt;0,0,SUMIF($AR$6:AR487,Table9[[#This Row],[Bowler]],$AV$6:AV487)),SUMIF($AR$6:AR487,Table9[[#This Row],[Bowler]],$AV$6:AV487))</f>
        <v>1</v>
      </c>
      <c r="BK464">
        <f ca="1">IFERROR(IF(MATCH(Table9[[#This Row],[Bowler]],OFFSET(AR465,0,0,BOWLROWS-ROW(AR464)-ROW(Table9[[#Headers],[BOWLER CUML WICKETS]])),0)&gt;0,0,SUMIF($AR$6:AR487,Table9[[#This Row],[Bowler]],$AU$6:AU487)),SUMIF($AR$6:AR487,Table9[[#This Row],[Bowler]],$AU$6:AU487))</f>
        <v>101</v>
      </c>
      <c r="BL464">
        <f ca="1">Table9[[#This Row],[BOWLER CUML WICKETS]]*100-Table9[[#This Row],[BOWLER CUML RUNS]]</f>
        <v>-1</v>
      </c>
    </row>
    <row r="465" spans="1:64" x14ac:dyDescent="0.3">
      <c r="A465">
        <v>16</v>
      </c>
      <c r="B465" t="s">
        <v>169</v>
      </c>
      <c r="C465" t="s">
        <v>276</v>
      </c>
      <c r="D465" t="s">
        <v>637</v>
      </c>
      <c r="E465">
        <v>17</v>
      </c>
      <c r="F465">
        <v>22</v>
      </c>
      <c r="G465">
        <v>24</v>
      </c>
      <c r="H465">
        <v>1</v>
      </c>
      <c r="I465">
        <v>0</v>
      </c>
      <c r="J465">
        <v>70.83</v>
      </c>
      <c r="K465">
        <v>4</v>
      </c>
      <c r="L465" t="str">
        <f>CONCATENATE(T_BATTINGDATA[[#This Row],[Match]],T_BATTINGDATA[[#This Row],[Team]],T_BATTINGDATA[[#This Row],[Bat Number]])</f>
        <v>16Ireland4</v>
      </c>
      <c r="M465" t="str">
        <f>IFERROR(IF(AND(T_BATTINGDATA[[#This Row],[Team]]=I_TEAM,IFERROR(IF(MATCH(T_BATTINGDATA[[#This Row],[BATSMAN NAME]],$O$5:O464,0)&gt;0,0),1)),1,0),"")</f>
        <v/>
      </c>
      <c r="N465" t="e">
        <f>IF(T_BATTINGDATA[[#This Row],[Team]]=I_TEAM,T_BATTINGDATA[[#This Row],[R]],0)</f>
        <v>#REF!</v>
      </c>
      <c r="O465" t="str">
        <f>LEFT(T_BATTINGDATA[[#This Row],[Batsman]],IFERROR(FIND("*",T_BATTINGDATA[[#This Row],[Batsman]])-1,IFERROR(FIND("†",T_BATTINGDATA[[#This Row],[Batsman]])-1,LEN(T_BATTINGDATA[[#This Row],[Batsman]]))))</f>
        <v>NJ O'Brien</v>
      </c>
      <c r="P465">
        <f ca="1">IFERROR(IF(MATCH(T_BATTINGDATA[[#This Row],[BATSMAN NAME]],OFFSET(O466,0,0,BATROWS-ROW(O465)-ROW(T_BATTINGDATA[[#Headers],[BATSMAN NAME]])),0)&gt;0,0,SUMIF($O$6:O465,T_BATTINGDATA[[#This Row],[BATSMAN NAME]],$E$6:E465)),SUMIF($O$6:O465,T_BATTINGDATA[[#This Row],[BATSMAN NAME]],$E$6:E465))</f>
        <v>0</v>
      </c>
      <c r="AP465">
        <v>30</v>
      </c>
      <c r="AQ465" t="s">
        <v>169</v>
      </c>
      <c r="AR465" t="s">
        <v>244</v>
      </c>
      <c r="AS465">
        <v>9.3000000000000007</v>
      </c>
      <c r="AT465">
        <v>2</v>
      </c>
      <c r="AU465">
        <v>32</v>
      </c>
      <c r="AV465">
        <v>4</v>
      </c>
      <c r="AW465">
        <v>3.36</v>
      </c>
      <c r="AX465">
        <v>37</v>
      </c>
      <c r="AY465">
        <v>2</v>
      </c>
      <c r="AZ465">
        <v>0</v>
      </c>
      <c r="BA465">
        <v>1</v>
      </c>
      <c r="BB465">
        <v>0</v>
      </c>
      <c r="BC465">
        <v>1</v>
      </c>
      <c r="BD465" t="str">
        <f>CONCATENATE(Table9[[#This Row],[Match Number]],Table9[[#This Row],[Team]],Table9[[#This Row],[BOWL NUM]])</f>
        <v>30Ireland1</v>
      </c>
      <c r="BE465" t="str">
        <f>IFERROR(IF(AND(Table9[[#This Row],[Team]]=I_TEAM,IFERROR(IF(MATCH(Table9[[#This Row],[Bowler]],$AR$5:AR464,0)&gt;0,0),1)),1,0),"")</f>
        <v/>
      </c>
      <c r="BF465">
        <f>(LEFT(Table9[[#This Row],[Overs]],IFERROR(FIND(".",Table9[[#This Row],[Overs]])-1,LEN(Table9[[#This Row],[Overs]])))*6) + IFERROR(IF(FIND(".",Table9[[#This Row],[Overs]])+1&gt;0,RIGHT(Table9[[#This Row],[Overs]],1),0),0)</f>
        <v>57</v>
      </c>
      <c r="BG46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465" t="e">
        <f>IF(Table9[[#This Row],[Team]]=I_TEAM,Table9[[#This Row],[Wickets]]*100-Table9[[#This Row],[Runs]],0)</f>
        <v>#REF!</v>
      </c>
      <c r="BI465">
        <f>Table9[[#This Row],[Wickets]]*100-Table9[[#This Row],[Runs]]</f>
        <v>368</v>
      </c>
      <c r="BJ465">
        <f ca="1">IFERROR(IF(MATCH(Table9[[#This Row],[Bowler]],OFFSET(AR466,0,0,BOWLROWS-ROW(AR465)-ROW(Table9[[#Headers],[BOWLER CUML WICKETS]])),0)&gt;0,0,SUMIF($AR$6:AR465,Table9[[#This Row],[Bowler]],$AV$6:AV465)),SUMIF($AR$6:AR465,Table9[[#This Row],[Bowler]],$AV$6:AV465))</f>
        <v>6</v>
      </c>
      <c r="BK465">
        <f ca="1">IFERROR(IF(MATCH(Table9[[#This Row],[Bowler]],OFFSET(AR466,0,0,BOWLROWS-ROW(AR465)-ROW(Table9[[#Headers],[BOWLER CUML WICKETS]])),0)&gt;0,0,SUMIF($AR$6:AR465,Table9[[#This Row],[Bowler]],$AU$6:AU465)),SUMIF($AR$6:AR465,Table9[[#This Row],[Bowler]],$AU$6:AU465))</f>
        <v>129</v>
      </c>
      <c r="BL465">
        <f ca="1">Table9[[#This Row],[BOWLER CUML WICKETS]]*100-Table9[[#This Row],[BOWLER CUML RUNS]]</f>
        <v>471</v>
      </c>
    </row>
    <row r="466" spans="1:64" x14ac:dyDescent="0.3">
      <c r="A466">
        <v>16</v>
      </c>
      <c r="B466" t="s">
        <v>169</v>
      </c>
      <c r="C466" t="s">
        <v>278</v>
      </c>
      <c r="D466" t="s">
        <v>638</v>
      </c>
      <c r="E466">
        <v>30</v>
      </c>
      <c r="F466">
        <v>55</v>
      </c>
      <c r="G466">
        <v>41</v>
      </c>
      <c r="H466">
        <v>1</v>
      </c>
      <c r="I466">
        <v>0</v>
      </c>
      <c r="J466">
        <v>73.17</v>
      </c>
      <c r="K466">
        <v>5</v>
      </c>
      <c r="L466" t="str">
        <f>CONCATENATE(T_BATTINGDATA[[#This Row],[Match]],T_BATTINGDATA[[#This Row],[Team]],T_BATTINGDATA[[#This Row],[Bat Number]])</f>
        <v>16Ireland5</v>
      </c>
      <c r="M466" t="str">
        <f>IFERROR(IF(AND(T_BATTINGDATA[[#This Row],[Team]]=I_TEAM,IFERROR(IF(MATCH(T_BATTINGDATA[[#This Row],[BATSMAN NAME]],$O$5:O465,0)&gt;0,0),1)),1,0),"")</f>
        <v/>
      </c>
      <c r="N466" t="e">
        <f>IF(T_BATTINGDATA[[#This Row],[Team]]=I_TEAM,T_BATTINGDATA[[#This Row],[R]],0)</f>
        <v>#REF!</v>
      </c>
      <c r="O466" t="str">
        <f>LEFT(T_BATTINGDATA[[#This Row],[Batsman]],IFERROR(FIND("*",T_BATTINGDATA[[#This Row],[Batsman]])-1,IFERROR(FIND("†",T_BATTINGDATA[[#This Row],[Batsman]])-1,LEN(T_BATTINGDATA[[#This Row],[Batsman]]))))</f>
        <v>A Balbirnie</v>
      </c>
      <c r="P466">
        <f ca="1">IFERROR(IF(MATCH(T_BATTINGDATA[[#This Row],[BATSMAN NAME]],OFFSET(O467,0,0,BATROWS-ROW(O466)-ROW(T_BATTINGDATA[[#Headers],[BATSMAN NAME]])),0)&gt;0,0,SUMIF($O$6:O466,T_BATTINGDATA[[#This Row],[BATSMAN NAME]],$E$6:E466)),SUMIF($O$6:O466,T_BATTINGDATA[[#This Row],[BATSMAN NAME]],$E$6:E466))</f>
        <v>0</v>
      </c>
      <c r="AP466">
        <v>30</v>
      </c>
      <c r="AQ466" t="s">
        <v>169</v>
      </c>
      <c r="AR466" t="s">
        <v>242</v>
      </c>
      <c r="AS466">
        <v>10</v>
      </c>
      <c r="AT466">
        <v>0</v>
      </c>
      <c r="AU466">
        <v>58</v>
      </c>
      <c r="AV466">
        <v>2</v>
      </c>
      <c r="AW466">
        <v>5.8</v>
      </c>
      <c r="AX466">
        <v>32</v>
      </c>
      <c r="AY466">
        <v>7</v>
      </c>
      <c r="AZ466">
        <v>0</v>
      </c>
      <c r="BA466">
        <v>1</v>
      </c>
      <c r="BB466">
        <v>0</v>
      </c>
      <c r="BC466">
        <v>2</v>
      </c>
      <c r="BD466" t="str">
        <f>CONCATENATE(Table9[[#This Row],[Match Number]],Table9[[#This Row],[Team]],Table9[[#This Row],[BOWL NUM]])</f>
        <v>30Ireland2</v>
      </c>
      <c r="BE466" t="str">
        <f>IFERROR(IF(AND(Table9[[#This Row],[Team]]=I_TEAM,IFERROR(IF(MATCH(Table9[[#This Row],[Bowler]],$AR$5:AR465,0)&gt;0,0),1)),1,0),"")</f>
        <v/>
      </c>
      <c r="BF46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6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466" t="e">
        <f>IF(Table9[[#This Row],[Team]]=I_TEAM,Table9[[#This Row],[Wickets]]*100-Table9[[#This Row],[Runs]],0)</f>
        <v>#REF!</v>
      </c>
      <c r="BI466">
        <f>Table9[[#This Row],[Wickets]]*100-Table9[[#This Row],[Runs]]</f>
        <v>142</v>
      </c>
      <c r="BJ466">
        <f ca="1">IFERROR(IF(MATCH(Table9[[#This Row],[Bowler]],OFFSET(AR467,0,0,BOWLROWS-ROW(AR466)-ROW(Table9[[#Headers],[BOWLER CUML WICKETS]])),0)&gt;0,0,SUMIF($AR$6:AR466,Table9[[#This Row],[Bowler]],$AV$6:AV466)),SUMIF($AR$6:AR466,Table9[[#This Row],[Bowler]],$AV$6:AV466))</f>
        <v>4</v>
      </c>
      <c r="BK466">
        <f ca="1">IFERROR(IF(MATCH(Table9[[#This Row],[Bowler]],OFFSET(AR467,0,0,BOWLROWS-ROW(AR466)-ROW(Table9[[#Headers],[BOWLER CUML WICKETS]])),0)&gt;0,0,SUMIF($AR$6:AR466,Table9[[#This Row],[Bowler]],$AU$6:AU466)),SUMIF($AR$6:AR466,Table9[[#This Row],[Bowler]],$AU$6:AU466))</f>
        <v>245</v>
      </c>
      <c r="BL466">
        <f ca="1">Table9[[#This Row],[BOWLER CUML WICKETS]]*100-Table9[[#This Row],[BOWLER CUML RUNS]]</f>
        <v>155</v>
      </c>
    </row>
    <row r="467" spans="1:64" x14ac:dyDescent="0.3">
      <c r="A467">
        <v>16</v>
      </c>
      <c r="B467" t="s">
        <v>169</v>
      </c>
      <c r="C467" t="s">
        <v>281</v>
      </c>
      <c r="D467" t="s">
        <v>639</v>
      </c>
      <c r="E467">
        <v>80</v>
      </c>
      <c r="F467">
        <v>101</v>
      </c>
      <c r="G467">
        <v>69</v>
      </c>
      <c r="H467">
        <v>9</v>
      </c>
      <c r="I467">
        <v>0</v>
      </c>
      <c r="J467">
        <v>115.94</v>
      </c>
      <c r="K467">
        <v>6</v>
      </c>
      <c r="L467" t="str">
        <f>CONCATENATE(T_BATTINGDATA[[#This Row],[Match]],T_BATTINGDATA[[#This Row],[Team]],T_BATTINGDATA[[#This Row],[Bat Number]])</f>
        <v>16Ireland6</v>
      </c>
      <c r="M467" t="str">
        <f>IFERROR(IF(AND(T_BATTINGDATA[[#This Row],[Team]]=I_TEAM,IFERROR(IF(MATCH(T_BATTINGDATA[[#This Row],[BATSMAN NAME]],$O$5:O466,0)&gt;0,0),1)),1,0),"")</f>
        <v/>
      </c>
      <c r="N467" t="e">
        <f>IF(T_BATTINGDATA[[#This Row],[Team]]=I_TEAM,T_BATTINGDATA[[#This Row],[R]],0)</f>
        <v>#REF!</v>
      </c>
      <c r="O467" t="str">
        <f>LEFT(T_BATTINGDATA[[#This Row],[Batsman]],IFERROR(FIND("*",T_BATTINGDATA[[#This Row],[Batsman]])-1,IFERROR(FIND("†",T_BATTINGDATA[[#This Row],[Batsman]])-1,LEN(T_BATTINGDATA[[#This Row],[Batsman]]))))</f>
        <v>GC Wilson</v>
      </c>
      <c r="P467">
        <f ca="1">IFERROR(IF(MATCH(T_BATTINGDATA[[#This Row],[BATSMAN NAME]],OFFSET(O468,0,0,BATROWS-ROW(O467)-ROW(T_BATTINGDATA[[#Headers],[BATSMAN NAME]])),0)&gt;0,0,SUMIF($O$6:O467,T_BATTINGDATA[[#This Row],[BATSMAN NAME]],$E$6:E467)),SUMIF($O$6:O467,T_BATTINGDATA[[#This Row],[BATSMAN NAME]],$E$6:E467))</f>
        <v>0</v>
      </c>
      <c r="AP467">
        <v>30</v>
      </c>
      <c r="AQ467" t="s">
        <v>169</v>
      </c>
      <c r="AR467" t="s">
        <v>251</v>
      </c>
      <c r="AS467">
        <v>10</v>
      </c>
      <c r="AT467">
        <v>0</v>
      </c>
      <c r="AU467">
        <v>90</v>
      </c>
      <c r="AV467">
        <v>2</v>
      </c>
      <c r="AW467">
        <v>9</v>
      </c>
      <c r="AX467">
        <v>23</v>
      </c>
      <c r="AY467">
        <v>12</v>
      </c>
      <c r="AZ467">
        <v>2</v>
      </c>
      <c r="BA467">
        <v>0</v>
      </c>
      <c r="BB467">
        <v>0</v>
      </c>
      <c r="BC467">
        <v>3</v>
      </c>
      <c r="BD467" t="str">
        <f>CONCATENATE(Table9[[#This Row],[Match Number]],Table9[[#This Row],[Team]],Table9[[#This Row],[BOWL NUM]])</f>
        <v>30Ireland3</v>
      </c>
      <c r="BE467" t="str">
        <f>IFERROR(IF(AND(Table9[[#This Row],[Team]]=I_TEAM,IFERROR(IF(MATCH(Table9[[#This Row],[Bowler]],$AR$5:AR466,0)&gt;0,0),1)),1,0),"")</f>
        <v/>
      </c>
      <c r="BF46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6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467" t="e">
        <f>IF(Table9[[#This Row],[Team]]=I_TEAM,Table9[[#This Row],[Wickets]]*100-Table9[[#This Row],[Runs]],0)</f>
        <v>#REF!</v>
      </c>
      <c r="BI467">
        <f>Table9[[#This Row],[Wickets]]*100-Table9[[#This Row],[Runs]]</f>
        <v>110</v>
      </c>
      <c r="BJ467">
        <f ca="1">IFERROR(IF(MATCH(Table9[[#This Row],[Bowler]],OFFSET(AR468,0,0,BOWLROWS-ROW(AR467)-ROW(Table9[[#Headers],[BOWLER CUML WICKETS]])),0)&gt;0,0,SUMIF($AR$6:AR467,Table9[[#This Row],[Bowler]],$AV$6:AV467)),SUMIF($AR$6:AR467,Table9[[#This Row],[Bowler]],$AV$6:AV467))</f>
        <v>6</v>
      </c>
      <c r="BK467">
        <f ca="1">IFERROR(IF(MATCH(Table9[[#This Row],[Bowler]],OFFSET(AR468,0,0,BOWLROWS-ROW(AR467)-ROW(Table9[[#Headers],[BOWLER CUML WICKETS]])),0)&gt;0,0,SUMIF($AR$6:AR467,Table9[[#This Row],[Bowler]],$AU$6:AU467)),SUMIF($AR$6:AR467,Table9[[#This Row],[Bowler]],$AU$6:AU467))</f>
        <v>359</v>
      </c>
      <c r="BL467">
        <f ca="1">Table9[[#This Row],[BOWLER CUML WICKETS]]*100-Table9[[#This Row],[BOWLER CUML RUNS]]</f>
        <v>241</v>
      </c>
    </row>
    <row r="468" spans="1:64" x14ac:dyDescent="0.3">
      <c r="A468">
        <v>16</v>
      </c>
      <c r="B468" t="s">
        <v>169</v>
      </c>
      <c r="C468" t="s">
        <v>251</v>
      </c>
      <c r="D468" t="s">
        <v>640</v>
      </c>
      <c r="E468">
        <v>50</v>
      </c>
      <c r="F468">
        <v>34</v>
      </c>
      <c r="G468">
        <v>25</v>
      </c>
      <c r="H468">
        <v>8</v>
      </c>
      <c r="I468">
        <v>2</v>
      </c>
      <c r="J468">
        <v>200</v>
      </c>
      <c r="K468">
        <v>7</v>
      </c>
      <c r="L468" t="str">
        <f>CONCATENATE(T_BATTINGDATA[[#This Row],[Match]],T_BATTINGDATA[[#This Row],[Team]],T_BATTINGDATA[[#This Row],[Bat Number]])</f>
        <v>16Ireland7</v>
      </c>
      <c r="M468" t="str">
        <f>IFERROR(IF(AND(T_BATTINGDATA[[#This Row],[Team]]=I_TEAM,IFERROR(IF(MATCH(T_BATTINGDATA[[#This Row],[BATSMAN NAME]],$O$5:O467,0)&gt;0,0),1)),1,0),"")</f>
        <v/>
      </c>
      <c r="N468" t="e">
        <f>IF(T_BATTINGDATA[[#This Row],[Team]]=I_TEAM,T_BATTINGDATA[[#This Row],[R]],0)</f>
        <v>#REF!</v>
      </c>
      <c r="O468" t="str">
        <f>LEFT(T_BATTINGDATA[[#This Row],[Batsman]],IFERROR(FIND("*",T_BATTINGDATA[[#This Row],[Batsman]])-1,IFERROR(FIND("†",T_BATTINGDATA[[#This Row],[Batsman]])-1,LEN(T_BATTINGDATA[[#This Row],[Batsman]]))))</f>
        <v>KJ O'Brien</v>
      </c>
      <c r="P468">
        <f ca="1">IFERROR(IF(MATCH(T_BATTINGDATA[[#This Row],[BATSMAN NAME]],OFFSET(O469,0,0,BATROWS-ROW(O468)-ROW(T_BATTINGDATA[[#Headers],[BATSMAN NAME]])),0)&gt;0,0,SUMIF($O$6:O468,T_BATTINGDATA[[#This Row],[BATSMAN NAME]],$E$6:E468)),SUMIF($O$6:O468,T_BATTINGDATA[[#This Row],[BATSMAN NAME]],$E$6:E468))</f>
        <v>0</v>
      </c>
      <c r="AP468">
        <v>30</v>
      </c>
      <c r="AQ468" t="s">
        <v>169</v>
      </c>
      <c r="AR468" t="s">
        <v>246</v>
      </c>
      <c r="AS468">
        <v>10</v>
      </c>
      <c r="AT468">
        <v>0</v>
      </c>
      <c r="AU468">
        <v>56</v>
      </c>
      <c r="AV468">
        <v>1</v>
      </c>
      <c r="AW468">
        <v>5.6</v>
      </c>
      <c r="AX468">
        <v>28</v>
      </c>
      <c r="AY468">
        <v>2</v>
      </c>
      <c r="AZ468">
        <v>2</v>
      </c>
      <c r="BA468">
        <v>0</v>
      </c>
      <c r="BB468">
        <v>0</v>
      </c>
      <c r="BC468">
        <v>4</v>
      </c>
      <c r="BD468" t="str">
        <f>CONCATENATE(Table9[[#This Row],[Match Number]],Table9[[#This Row],[Team]],Table9[[#This Row],[BOWL NUM]])</f>
        <v>30Ireland4</v>
      </c>
      <c r="BE468" t="str">
        <f>IFERROR(IF(AND(Table9[[#This Row],[Team]]=I_TEAM,IFERROR(IF(MATCH(Table9[[#This Row],[Bowler]],$AR$5:AR467,0)&gt;0,0),1)),1,0),"")</f>
        <v/>
      </c>
      <c r="BF46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6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468" t="e">
        <f>IF(Table9[[#This Row],[Team]]=I_TEAM,Table9[[#This Row],[Wickets]]*100-Table9[[#This Row],[Runs]],0)</f>
        <v>#REF!</v>
      </c>
      <c r="BI468">
        <f>Table9[[#This Row],[Wickets]]*100-Table9[[#This Row],[Runs]]</f>
        <v>44</v>
      </c>
      <c r="BJ468">
        <f ca="1">IFERROR(IF(MATCH(Table9[[#This Row],[Bowler]],OFFSET(AR469,0,0,BOWLROWS-ROW(AR468)-ROW(Table9[[#Headers],[BOWLER CUML WICKETS]])),0)&gt;0,0,SUMIF($AR$6:AR468,Table9[[#This Row],[Bowler]],$AV$6:AV468)),SUMIF($AR$6:AR468,Table9[[#This Row],[Bowler]],$AV$6:AV468))</f>
        <v>5</v>
      </c>
      <c r="BK468">
        <f ca="1">IFERROR(IF(MATCH(Table9[[#This Row],[Bowler]],OFFSET(AR469,0,0,BOWLROWS-ROW(AR468)-ROW(Table9[[#Headers],[BOWLER CUML WICKETS]])),0)&gt;0,0,SUMIF($AR$6:AR468,Table9[[#This Row],[Bowler]],$AU$6:AU468)),SUMIF($AR$6:AR468,Table9[[#This Row],[Bowler]],$AU$6:AU468))</f>
        <v>245</v>
      </c>
      <c r="BL468">
        <f ca="1">Table9[[#This Row],[BOWLER CUML WICKETS]]*100-Table9[[#This Row],[BOWLER CUML RUNS]]</f>
        <v>255</v>
      </c>
    </row>
    <row r="469" spans="1:64" x14ac:dyDescent="0.3">
      <c r="A469">
        <v>16</v>
      </c>
      <c r="B469" t="s">
        <v>169</v>
      </c>
      <c r="C469" t="s">
        <v>242</v>
      </c>
      <c r="D469" t="s">
        <v>641</v>
      </c>
      <c r="E469">
        <v>2</v>
      </c>
      <c r="F469">
        <v>14</v>
      </c>
      <c r="G469">
        <v>6</v>
      </c>
      <c r="H469">
        <v>0</v>
      </c>
      <c r="I469">
        <v>0</v>
      </c>
      <c r="J469">
        <v>33.33</v>
      </c>
      <c r="K469">
        <v>8</v>
      </c>
      <c r="L469" t="str">
        <f>CONCATENATE(T_BATTINGDATA[[#This Row],[Match]],T_BATTINGDATA[[#This Row],[Team]],T_BATTINGDATA[[#This Row],[Bat Number]])</f>
        <v>16Ireland8</v>
      </c>
      <c r="M469" t="str">
        <f>IFERROR(IF(AND(T_BATTINGDATA[[#This Row],[Team]]=I_TEAM,IFERROR(IF(MATCH(T_BATTINGDATA[[#This Row],[BATSMAN NAME]],$O$5:O468,0)&gt;0,0),1)),1,0),"")</f>
        <v/>
      </c>
      <c r="N469" t="e">
        <f>IF(T_BATTINGDATA[[#This Row],[Team]]=I_TEAM,T_BATTINGDATA[[#This Row],[R]],0)</f>
        <v>#REF!</v>
      </c>
      <c r="O469" t="str">
        <f>LEFT(T_BATTINGDATA[[#This Row],[Batsman]],IFERROR(FIND("*",T_BATTINGDATA[[#This Row],[Batsman]])-1,IFERROR(FIND("†",T_BATTINGDATA[[#This Row],[Batsman]])-1,LEN(T_BATTINGDATA[[#This Row],[Batsman]]))))</f>
        <v>JF Mooney</v>
      </c>
      <c r="P469">
        <f ca="1">IFERROR(IF(MATCH(T_BATTINGDATA[[#This Row],[BATSMAN NAME]],OFFSET(O470,0,0,BATROWS-ROW(O469)-ROW(T_BATTINGDATA[[#Headers],[BATSMAN NAME]])),0)&gt;0,0,SUMIF($O$6:O469,T_BATTINGDATA[[#This Row],[BATSMAN NAME]],$E$6:E469)),SUMIF($O$6:O469,T_BATTINGDATA[[#This Row],[BATSMAN NAME]],$E$6:E469))</f>
        <v>0</v>
      </c>
      <c r="AP469">
        <v>30</v>
      </c>
      <c r="AQ469" t="s">
        <v>169</v>
      </c>
      <c r="AR469" t="s">
        <v>354</v>
      </c>
      <c r="AS469">
        <v>8</v>
      </c>
      <c r="AT469">
        <v>0</v>
      </c>
      <c r="AU469">
        <v>56</v>
      </c>
      <c r="AV469">
        <v>1</v>
      </c>
      <c r="AW469">
        <v>7</v>
      </c>
      <c r="AX469">
        <v>15</v>
      </c>
      <c r="AY469">
        <v>3</v>
      </c>
      <c r="AZ469">
        <v>2</v>
      </c>
      <c r="BA469">
        <v>0</v>
      </c>
      <c r="BB469">
        <v>0</v>
      </c>
      <c r="BC469">
        <v>5</v>
      </c>
      <c r="BD469" t="str">
        <f>CONCATENATE(Table9[[#This Row],[Match Number]],Table9[[#This Row],[Team]],Table9[[#This Row],[BOWL NUM]])</f>
        <v>30Ireland5</v>
      </c>
      <c r="BE469" t="str">
        <f>IFERROR(IF(AND(Table9[[#This Row],[Team]]=I_TEAM,IFERROR(IF(MATCH(Table9[[#This Row],[Bowler]],$AR$5:AR468,0)&gt;0,0),1)),1,0),"")</f>
        <v/>
      </c>
      <c r="BF469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46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469" t="e">
        <f>IF(Table9[[#This Row],[Team]]=I_TEAM,Table9[[#This Row],[Wickets]]*100-Table9[[#This Row],[Runs]],0)</f>
        <v>#REF!</v>
      </c>
      <c r="BI469">
        <f>Table9[[#This Row],[Wickets]]*100-Table9[[#This Row],[Runs]]</f>
        <v>44</v>
      </c>
      <c r="BJ469">
        <f ca="1">IFERROR(IF(MATCH(Table9[[#This Row],[Bowler]],OFFSET(AR470,0,0,BOWLROWS-ROW(AR469)-ROW(Table9[[#Headers],[BOWLER CUML WICKETS]])),0)&gt;0,0,SUMIF($AR$6:AR469,Table9[[#This Row],[Bowler]],$AV$6:AV469)),SUMIF($AR$6:AR469,Table9[[#This Row],[Bowler]],$AV$6:AV469))</f>
        <v>3</v>
      </c>
      <c r="BK469">
        <f ca="1">IFERROR(IF(MATCH(Table9[[#This Row],[Bowler]],OFFSET(AR470,0,0,BOWLROWS-ROW(AR469)-ROW(Table9[[#Headers],[BOWLER CUML WICKETS]])),0)&gt;0,0,SUMIF($AR$6:AR469,Table9[[#This Row],[Bowler]],$AU$6:AU469)),SUMIF($AR$6:AR469,Table9[[#This Row],[Bowler]],$AU$6:AU469))</f>
        <v>145</v>
      </c>
      <c r="BL469">
        <f ca="1">Table9[[#This Row],[BOWLER CUML WICKETS]]*100-Table9[[#This Row],[BOWLER CUML RUNS]]</f>
        <v>155</v>
      </c>
    </row>
    <row r="470" spans="1:64" x14ac:dyDescent="0.3">
      <c r="A470">
        <v>16</v>
      </c>
      <c r="B470" t="s">
        <v>169</v>
      </c>
      <c r="C470" t="s">
        <v>244</v>
      </c>
      <c r="D470" t="s">
        <v>167</v>
      </c>
      <c r="E470">
        <v>5</v>
      </c>
      <c r="F470">
        <v>10</v>
      </c>
      <c r="G470">
        <v>6</v>
      </c>
      <c r="H470">
        <v>0</v>
      </c>
      <c r="I470">
        <v>0</v>
      </c>
      <c r="J470">
        <v>83.33</v>
      </c>
      <c r="K470">
        <v>9</v>
      </c>
      <c r="L470" t="str">
        <f>CONCATENATE(T_BATTINGDATA[[#This Row],[Match]],T_BATTINGDATA[[#This Row],[Team]],T_BATTINGDATA[[#This Row],[Bat Number]])</f>
        <v>16Ireland9</v>
      </c>
      <c r="M470" t="str">
        <f>IFERROR(IF(AND(T_BATTINGDATA[[#This Row],[Team]]=I_TEAM,IFERROR(IF(MATCH(T_BATTINGDATA[[#This Row],[BATSMAN NAME]],$O$5:O469,0)&gt;0,0),1)),1,0),"")</f>
        <v/>
      </c>
      <c r="N470" t="e">
        <f>IF(T_BATTINGDATA[[#This Row],[Team]]=I_TEAM,T_BATTINGDATA[[#This Row],[R]],0)</f>
        <v>#REF!</v>
      </c>
      <c r="O470" t="str">
        <f>LEFT(T_BATTINGDATA[[#This Row],[Batsman]],IFERROR(FIND("*",T_BATTINGDATA[[#This Row],[Batsman]])-1,IFERROR(FIND("†",T_BATTINGDATA[[#This Row],[Batsman]])-1,LEN(T_BATTINGDATA[[#This Row],[Batsman]]))))</f>
        <v>AR Cusack</v>
      </c>
      <c r="P470">
        <f ca="1">IFERROR(IF(MATCH(T_BATTINGDATA[[#This Row],[BATSMAN NAME]],OFFSET(O471,0,0,BATROWS-ROW(O470)-ROW(T_BATTINGDATA[[#Headers],[BATSMAN NAME]])),0)&gt;0,0,SUMIF($O$6:O470,T_BATTINGDATA[[#This Row],[BATSMAN NAME]],$E$6:E470)),SUMIF($O$6:O470,T_BATTINGDATA[[#This Row],[BATSMAN NAME]],$E$6:E470))</f>
        <v>0</v>
      </c>
      <c r="AP470">
        <v>30</v>
      </c>
      <c r="AQ470" t="s">
        <v>169</v>
      </c>
      <c r="AR470" t="s">
        <v>249</v>
      </c>
      <c r="AS470">
        <v>2</v>
      </c>
      <c r="AT470">
        <v>0</v>
      </c>
      <c r="AU470">
        <v>26</v>
      </c>
      <c r="AV470">
        <v>0</v>
      </c>
      <c r="AW470">
        <v>13</v>
      </c>
      <c r="AX470">
        <v>1</v>
      </c>
      <c r="AY470">
        <v>2</v>
      </c>
      <c r="AZ470">
        <v>1</v>
      </c>
      <c r="BA470">
        <v>0</v>
      </c>
      <c r="BB470">
        <v>1</v>
      </c>
      <c r="BC470">
        <v>6</v>
      </c>
      <c r="BD470" t="str">
        <f>CONCATENATE(Table9[[#This Row],[Match Number]],Table9[[#This Row],[Team]],Table9[[#This Row],[BOWL NUM]])</f>
        <v>30Ireland6</v>
      </c>
      <c r="BE470" t="str">
        <f>IFERROR(IF(AND(Table9[[#This Row],[Team]]=I_TEAM,IFERROR(IF(MATCH(Table9[[#This Row],[Bowler]],$AR$5:AR469,0)&gt;0,0),1)),1,0),"")</f>
        <v/>
      </c>
      <c r="BF470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47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470" t="e">
        <f>IF(Table9[[#This Row],[Team]]=I_TEAM,Table9[[#This Row],[Wickets]]*100-Table9[[#This Row],[Runs]],0)</f>
        <v>#REF!</v>
      </c>
      <c r="BI470">
        <f>Table9[[#This Row],[Wickets]]*100-Table9[[#This Row],[Runs]]</f>
        <v>-26</v>
      </c>
      <c r="BJ470">
        <f ca="1">IFERROR(IF(MATCH(Table9[[#This Row],[Bowler]],OFFSET(AR471,0,0,BOWLROWS-ROW(AR470)-ROW(Table9[[#Headers],[BOWLER CUML WICKETS]])),0)&gt;0,0,SUMIF($AR$6:AR590,Table9[[#This Row],[Bowler]],$AV$6:AV590)),SUMIF($AR$6:AR590,Table9[[#This Row],[Bowler]],$AV$6:AV590))</f>
        <v>2</v>
      </c>
      <c r="BK470">
        <f ca="1">IFERROR(IF(MATCH(Table9[[#This Row],[Bowler]],OFFSET(AR471,0,0,BOWLROWS-ROW(AR470)-ROW(Table9[[#Headers],[BOWLER CUML WICKETS]])),0)&gt;0,0,SUMIF($AR$6:AR590,Table9[[#This Row],[Bowler]],$AU$6:AU590)),SUMIF($AR$6:AR590,Table9[[#This Row],[Bowler]],$AU$6:AU590))</f>
        <v>195</v>
      </c>
      <c r="BL470">
        <f ca="1">Table9[[#This Row],[BOWLER CUML WICKETS]]*100-Table9[[#This Row],[BOWLER CUML RUNS]]</f>
        <v>5</v>
      </c>
    </row>
    <row r="471" spans="1:64" x14ac:dyDescent="0.3">
      <c r="A471">
        <v>16</v>
      </c>
      <c r="B471" t="s">
        <v>169</v>
      </c>
      <c r="C471" t="s">
        <v>246</v>
      </c>
      <c r="D471" t="s">
        <v>167</v>
      </c>
      <c r="E471">
        <v>7</v>
      </c>
      <c r="F471">
        <v>8</v>
      </c>
      <c r="G471">
        <v>5</v>
      </c>
      <c r="H471">
        <v>1</v>
      </c>
      <c r="I471">
        <v>0</v>
      </c>
      <c r="J471">
        <v>140</v>
      </c>
      <c r="K471">
        <v>10</v>
      </c>
      <c r="L471" t="str">
        <f>CONCATENATE(T_BATTINGDATA[[#This Row],[Match]],T_BATTINGDATA[[#This Row],[Team]],T_BATTINGDATA[[#This Row],[Bat Number]])</f>
        <v>16Ireland10</v>
      </c>
      <c r="M471" t="str">
        <f>IFERROR(IF(AND(T_BATTINGDATA[[#This Row],[Team]]=I_TEAM,IFERROR(IF(MATCH(T_BATTINGDATA[[#This Row],[BATSMAN NAME]],$O$5:O470,0)&gt;0,0),1)),1,0),"")</f>
        <v/>
      </c>
      <c r="N471" t="e">
        <f>IF(T_BATTINGDATA[[#This Row],[Team]]=I_TEAM,T_BATTINGDATA[[#This Row],[R]],0)</f>
        <v>#REF!</v>
      </c>
      <c r="O471" t="str">
        <f>LEFT(T_BATTINGDATA[[#This Row],[Batsman]],IFERROR(FIND("*",T_BATTINGDATA[[#This Row],[Batsman]])-1,IFERROR(FIND("†",T_BATTINGDATA[[#This Row],[Batsman]])-1,LEN(T_BATTINGDATA[[#This Row],[Batsman]]))))</f>
        <v>GH Dockrell</v>
      </c>
      <c r="P471">
        <f ca="1">IFERROR(IF(MATCH(T_BATTINGDATA[[#This Row],[BATSMAN NAME]],OFFSET(O472,0,0,BATROWS-ROW(O471)-ROW(T_BATTINGDATA[[#Headers],[BATSMAN NAME]])),0)&gt;0,0,SUMIF($O$6:O471,T_BATTINGDATA[[#This Row],[BATSMAN NAME]],$E$6:E471)),SUMIF($O$6:O471,T_BATTINGDATA[[#This Row],[BATSMAN NAME]],$E$6:E471))</f>
        <v>0</v>
      </c>
      <c r="AP471">
        <v>31</v>
      </c>
      <c r="AQ471" t="s">
        <v>140</v>
      </c>
      <c r="AR471" t="s">
        <v>297</v>
      </c>
      <c r="AS471">
        <v>10</v>
      </c>
      <c r="AT471">
        <v>0</v>
      </c>
      <c r="AU471">
        <v>43</v>
      </c>
      <c r="AV471">
        <v>0</v>
      </c>
      <c r="AW471">
        <v>4.3</v>
      </c>
      <c r="AX471">
        <v>40</v>
      </c>
      <c r="AY471">
        <v>4</v>
      </c>
      <c r="AZ471">
        <v>2</v>
      </c>
      <c r="BA471">
        <v>0</v>
      </c>
      <c r="BB471">
        <v>0</v>
      </c>
      <c r="BC471">
        <v>1</v>
      </c>
      <c r="BD471" t="str">
        <f>CONCATENATE(Table9[[#This Row],[Match Number]],Table9[[#This Row],[Team]],Table9[[#This Row],[BOWL NUM]])</f>
        <v>31New Zealand1</v>
      </c>
      <c r="BE471" t="str">
        <f>IFERROR(IF(AND(Table9[[#This Row],[Team]]=I_TEAM,IFERROR(IF(MATCH(Table9[[#This Row],[Bowler]],$AR$5:AR470,0)&gt;0,0),1)),1,0),"")</f>
        <v/>
      </c>
      <c r="BF47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7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71" t="e">
        <f>IF(Table9[[#This Row],[Team]]=I_TEAM,Table9[[#This Row],[Wickets]]*100-Table9[[#This Row],[Runs]],0)</f>
        <v>#REF!</v>
      </c>
      <c r="BI471">
        <f>Table9[[#This Row],[Wickets]]*100-Table9[[#This Row],[Runs]]</f>
        <v>-43</v>
      </c>
      <c r="BJ471">
        <f ca="1">IFERROR(IF(MATCH(Table9[[#This Row],[Bowler]],OFFSET(AR472,0,0,BOWLROWS-ROW(AR471)-ROW(Table9[[#Headers],[BOWLER CUML WICKETS]])),0)&gt;0,0,SUMIF($AR$6:AR471,Table9[[#This Row],[Bowler]],$AV$6:AV471)),SUMIF($AR$6:AR471,Table9[[#This Row],[Bowler]],$AV$6:AV471))</f>
        <v>0</v>
      </c>
      <c r="BK471">
        <f ca="1">IFERROR(IF(MATCH(Table9[[#This Row],[Bowler]],OFFSET(AR472,0,0,BOWLROWS-ROW(AR471)-ROW(Table9[[#Headers],[BOWLER CUML WICKETS]])),0)&gt;0,0,SUMIF($AR$6:AR471,Table9[[#This Row],[Bowler]],$AU$6:AU471)),SUMIF($AR$6:AR471,Table9[[#This Row],[Bowler]],$AU$6:AU471))</f>
        <v>0</v>
      </c>
      <c r="BL471">
        <f ca="1">Table9[[#This Row],[BOWLER CUML WICKETS]]*100-Table9[[#This Row],[BOWLER CUML RUNS]]</f>
        <v>0</v>
      </c>
    </row>
    <row r="472" spans="1:64" x14ac:dyDescent="0.3">
      <c r="A472">
        <v>17</v>
      </c>
      <c r="B472" t="s">
        <v>176</v>
      </c>
      <c r="C472" t="s">
        <v>442</v>
      </c>
      <c r="D472" t="s">
        <v>642</v>
      </c>
      <c r="E472">
        <v>25</v>
      </c>
      <c r="F472">
        <v>52</v>
      </c>
      <c r="G472">
        <v>41</v>
      </c>
      <c r="H472">
        <v>5</v>
      </c>
      <c r="I472">
        <v>0</v>
      </c>
      <c r="J472">
        <v>60.97</v>
      </c>
      <c r="K472">
        <v>1</v>
      </c>
      <c r="L472" t="str">
        <f>CONCATENATE(T_BATTINGDATA[[#This Row],[Match]],T_BATTINGDATA[[#This Row],[Team]],T_BATTINGDATA[[#This Row],[Bat Number]])</f>
        <v>17Scotland1</v>
      </c>
      <c r="M472" t="str">
        <f>IFERROR(IF(AND(T_BATTINGDATA[[#This Row],[Team]]=I_TEAM,IFERROR(IF(MATCH(T_BATTINGDATA[[#This Row],[BATSMAN NAME]],$O$5:O471,0)&gt;0,0),1)),1,0),"")</f>
        <v/>
      </c>
      <c r="N472" t="e">
        <f>IF(T_BATTINGDATA[[#This Row],[Team]]=I_TEAM,T_BATTINGDATA[[#This Row],[R]],0)</f>
        <v>#REF!</v>
      </c>
      <c r="O472" t="str">
        <f>LEFT(T_BATTINGDATA[[#This Row],[Batsman]],IFERROR(FIND("*",T_BATTINGDATA[[#This Row],[Batsman]])-1,IFERROR(FIND("†",T_BATTINGDATA[[#This Row],[Batsman]])-1,LEN(T_BATTINGDATA[[#This Row],[Batsman]]))))</f>
        <v>KJ Coetzer</v>
      </c>
      <c r="P472">
        <f ca="1">IFERROR(IF(MATCH(T_BATTINGDATA[[#This Row],[BATSMAN NAME]],OFFSET(O473,0,0,BATROWS-ROW(O472)-ROW(T_BATTINGDATA[[#Headers],[BATSMAN NAME]])),0)&gt;0,0,SUMIF($O$6:O472,T_BATTINGDATA[[#This Row],[BATSMAN NAME]],$E$6:E472)),SUMIF($O$6:O472,T_BATTINGDATA[[#This Row],[BATSMAN NAME]],$E$6:E472))</f>
        <v>0</v>
      </c>
      <c r="AP472">
        <v>31</v>
      </c>
      <c r="AQ472" t="s">
        <v>140</v>
      </c>
      <c r="AR472" t="s">
        <v>299</v>
      </c>
      <c r="AS472">
        <v>10</v>
      </c>
      <c r="AT472">
        <v>2</v>
      </c>
      <c r="AU472">
        <v>34</v>
      </c>
      <c r="AV472">
        <v>3</v>
      </c>
      <c r="AW472">
        <v>3.4</v>
      </c>
      <c r="AX472">
        <v>45</v>
      </c>
      <c r="AY472">
        <v>4</v>
      </c>
      <c r="AZ472">
        <v>0</v>
      </c>
      <c r="BA472">
        <v>2</v>
      </c>
      <c r="BB472">
        <v>0</v>
      </c>
      <c r="BC472">
        <v>2</v>
      </c>
      <c r="BD472" t="str">
        <f>CONCATENATE(Table9[[#This Row],[Match Number]],Table9[[#This Row],[Team]],Table9[[#This Row],[BOWL NUM]])</f>
        <v>31New Zealand2</v>
      </c>
      <c r="BE472" t="str">
        <f>IFERROR(IF(AND(Table9[[#This Row],[Team]]=I_TEAM,IFERROR(IF(MATCH(Table9[[#This Row],[Bowler]],$AR$5:AR471,0)&gt;0,0),1)),1,0),"")</f>
        <v/>
      </c>
      <c r="BF47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7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72" t="e">
        <f>IF(Table9[[#This Row],[Team]]=I_TEAM,Table9[[#This Row],[Wickets]]*100-Table9[[#This Row],[Runs]],0)</f>
        <v>#REF!</v>
      </c>
      <c r="BI472">
        <f>Table9[[#This Row],[Wickets]]*100-Table9[[#This Row],[Runs]]</f>
        <v>266</v>
      </c>
      <c r="BJ472">
        <f ca="1">IFERROR(IF(MATCH(Table9[[#This Row],[Bowler]],OFFSET(AR473,0,0,BOWLROWS-ROW(AR472)-ROW(Table9[[#Headers],[BOWLER CUML WICKETS]])),0)&gt;0,0,SUMIF($AR$6:AR472,Table9[[#This Row],[Bowler]],$AV$6:AV472)),SUMIF($AR$6:AR472,Table9[[#This Row],[Bowler]],$AV$6:AV472))</f>
        <v>0</v>
      </c>
      <c r="BK472">
        <f ca="1">IFERROR(IF(MATCH(Table9[[#This Row],[Bowler]],OFFSET(AR473,0,0,BOWLROWS-ROW(AR472)-ROW(Table9[[#Headers],[BOWLER CUML WICKETS]])),0)&gt;0,0,SUMIF($AR$6:AR472,Table9[[#This Row],[Bowler]],$AU$6:AU472)),SUMIF($AR$6:AR472,Table9[[#This Row],[Bowler]],$AU$6:AU472))</f>
        <v>0</v>
      </c>
      <c r="BL472">
        <f ca="1">Table9[[#This Row],[BOWLER CUML WICKETS]]*100-Table9[[#This Row],[BOWLER CUML RUNS]]</f>
        <v>0</v>
      </c>
    </row>
    <row r="473" spans="1:64" x14ac:dyDescent="0.3">
      <c r="A473">
        <v>17</v>
      </c>
      <c r="B473" t="s">
        <v>176</v>
      </c>
      <c r="C473" t="s">
        <v>444</v>
      </c>
      <c r="D473" t="s">
        <v>643</v>
      </c>
      <c r="E473">
        <v>0</v>
      </c>
      <c r="F473">
        <v>10</v>
      </c>
      <c r="G473">
        <v>5</v>
      </c>
      <c r="H473">
        <v>0</v>
      </c>
      <c r="I473">
        <v>0</v>
      </c>
      <c r="J473">
        <v>0</v>
      </c>
      <c r="K473">
        <v>2</v>
      </c>
      <c r="L473" t="str">
        <f>CONCATENATE(T_BATTINGDATA[[#This Row],[Match]],T_BATTINGDATA[[#This Row],[Team]],T_BATTINGDATA[[#This Row],[Bat Number]])</f>
        <v>17Scotland2</v>
      </c>
      <c r="M473" t="str">
        <f>IFERROR(IF(AND(T_BATTINGDATA[[#This Row],[Team]]=I_TEAM,IFERROR(IF(MATCH(T_BATTINGDATA[[#This Row],[BATSMAN NAME]],$O$5:O472,0)&gt;0,0),1)),1,0),"")</f>
        <v/>
      </c>
      <c r="N473" t="e">
        <f>IF(T_BATTINGDATA[[#This Row],[Team]]=I_TEAM,T_BATTINGDATA[[#This Row],[R]],0)</f>
        <v>#REF!</v>
      </c>
      <c r="O473" t="str">
        <f>LEFT(T_BATTINGDATA[[#This Row],[Batsman]],IFERROR(FIND("*",T_BATTINGDATA[[#This Row],[Batsman]])-1,IFERROR(FIND("†",T_BATTINGDATA[[#This Row],[Batsman]])-1,LEN(T_BATTINGDATA[[#This Row],[Batsman]]))))</f>
        <v>CS MacLeod</v>
      </c>
      <c r="P473">
        <f ca="1">IFERROR(IF(MATCH(T_BATTINGDATA[[#This Row],[BATSMAN NAME]],OFFSET(O474,0,0,BATROWS-ROW(O473)-ROW(T_BATTINGDATA[[#Headers],[BATSMAN NAME]])),0)&gt;0,0,SUMIF($O$6:O473,T_BATTINGDATA[[#This Row],[BATSMAN NAME]],$E$6:E473)),SUMIF($O$6:O473,T_BATTINGDATA[[#This Row],[BATSMAN NAME]],$E$6:E473))</f>
        <v>0</v>
      </c>
      <c r="AP473">
        <v>31</v>
      </c>
      <c r="AQ473" t="s">
        <v>140</v>
      </c>
      <c r="AR473" t="s">
        <v>303</v>
      </c>
      <c r="AS473">
        <v>10</v>
      </c>
      <c r="AT473">
        <v>4</v>
      </c>
      <c r="AU473">
        <v>18</v>
      </c>
      <c r="AV473">
        <v>4</v>
      </c>
      <c r="AW473">
        <v>1.8</v>
      </c>
      <c r="AX473">
        <v>48</v>
      </c>
      <c r="AY473">
        <v>2</v>
      </c>
      <c r="AZ473">
        <v>0</v>
      </c>
      <c r="BA473">
        <v>0</v>
      </c>
      <c r="BB473">
        <v>0</v>
      </c>
      <c r="BC473">
        <v>3</v>
      </c>
      <c r="BD473" t="str">
        <f>CONCATENATE(Table9[[#This Row],[Match Number]],Table9[[#This Row],[Team]],Table9[[#This Row],[BOWL NUM]])</f>
        <v>31New Zealand3</v>
      </c>
      <c r="BE473" t="str">
        <f>IFERROR(IF(AND(Table9[[#This Row],[Team]]=I_TEAM,IFERROR(IF(MATCH(Table9[[#This Row],[Bowler]],$AR$5:AR472,0)&gt;0,0),1)),1,0),"")</f>
        <v/>
      </c>
      <c r="BF47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7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73" t="e">
        <f>IF(Table9[[#This Row],[Team]]=I_TEAM,Table9[[#This Row],[Wickets]]*100-Table9[[#This Row],[Runs]],0)</f>
        <v>#REF!</v>
      </c>
      <c r="BI473">
        <f>Table9[[#This Row],[Wickets]]*100-Table9[[#This Row],[Runs]]</f>
        <v>382</v>
      </c>
      <c r="BJ473">
        <f ca="1">IFERROR(IF(MATCH(Table9[[#This Row],[Bowler]],OFFSET(AR474,0,0,BOWLROWS-ROW(AR473)-ROW(Table9[[#Headers],[BOWLER CUML WICKETS]])),0)&gt;0,0,SUMIF($AR$6:AR473,Table9[[#This Row],[Bowler]],$AV$6:AV473)),SUMIF($AR$6:AR473,Table9[[#This Row],[Bowler]],$AV$6:AV473))</f>
        <v>0</v>
      </c>
      <c r="BK473">
        <f ca="1">IFERROR(IF(MATCH(Table9[[#This Row],[Bowler]],OFFSET(AR474,0,0,BOWLROWS-ROW(AR473)-ROW(Table9[[#Headers],[BOWLER CUML WICKETS]])),0)&gt;0,0,SUMIF($AR$6:AR473,Table9[[#This Row],[Bowler]],$AU$6:AU473)),SUMIF($AR$6:AR473,Table9[[#This Row],[Bowler]],$AU$6:AU473))</f>
        <v>0</v>
      </c>
      <c r="BL473">
        <f ca="1">Table9[[#This Row],[BOWLER CUML WICKETS]]*100-Table9[[#This Row],[BOWLER CUML RUNS]]</f>
        <v>0</v>
      </c>
    </row>
    <row r="474" spans="1:64" x14ac:dyDescent="0.3">
      <c r="A474">
        <v>17</v>
      </c>
      <c r="B474" t="s">
        <v>176</v>
      </c>
      <c r="C474" t="s">
        <v>446</v>
      </c>
      <c r="D474" t="s">
        <v>644</v>
      </c>
      <c r="E474">
        <v>5</v>
      </c>
      <c r="F474">
        <v>40</v>
      </c>
      <c r="G474">
        <v>20</v>
      </c>
      <c r="H474">
        <v>0</v>
      </c>
      <c r="I474">
        <v>0</v>
      </c>
      <c r="J474">
        <v>25</v>
      </c>
      <c r="K474">
        <v>3</v>
      </c>
      <c r="L474" t="str">
        <f>CONCATENATE(T_BATTINGDATA[[#This Row],[Match]],T_BATTINGDATA[[#This Row],[Team]],T_BATTINGDATA[[#This Row],[Bat Number]])</f>
        <v>17Scotland3</v>
      </c>
      <c r="M474" t="str">
        <f>IFERROR(IF(AND(T_BATTINGDATA[[#This Row],[Team]]=I_TEAM,IFERROR(IF(MATCH(T_BATTINGDATA[[#This Row],[BATSMAN NAME]],$O$5:O473,0)&gt;0,0),1)),1,0),"")</f>
        <v/>
      </c>
      <c r="N474" t="e">
        <f>IF(T_BATTINGDATA[[#This Row],[Team]]=I_TEAM,T_BATTINGDATA[[#This Row],[R]],0)</f>
        <v>#REF!</v>
      </c>
      <c r="O474" t="str">
        <f>LEFT(T_BATTINGDATA[[#This Row],[Batsman]],IFERROR(FIND("*",T_BATTINGDATA[[#This Row],[Batsman]])-1,IFERROR(FIND("†",T_BATTINGDATA[[#This Row],[Batsman]])-1,LEN(T_BATTINGDATA[[#This Row],[Batsman]]))))</f>
        <v>HJW Gardiner</v>
      </c>
      <c r="P474">
        <f ca="1">IFERROR(IF(MATCH(T_BATTINGDATA[[#This Row],[BATSMAN NAME]],OFFSET(O475,0,0,BATROWS-ROW(O474)-ROW(T_BATTINGDATA[[#Headers],[BATSMAN NAME]])),0)&gt;0,0,SUMIF($O$6:O474,T_BATTINGDATA[[#This Row],[BATSMAN NAME]],$E$6:E474)),SUMIF($O$6:O474,T_BATTINGDATA[[#This Row],[BATSMAN NAME]],$E$6:E474))</f>
        <v>0</v>
      </c>
      <c r="AP474">
        <v>31</v>
      </c>
      <c r="AQ474" t="s">
        <v>140</v>
      </c>
      <c r="AR474" t="s">
        <v>301</v>
      </c>
      <c r="AS474">
        <v>10</v>
      </c>
      <c r="AT474">
        <v>0</v>
      </c>
      <c r="AU474">
        <v>38</v>
      </c>
      <c r="AV474">
        <v>1</v>
      </c>
      <c r="AW474">
        <v>3.8</v>
      </c>
      <c r="AX474">
        <v>41</v>
      </c>
      <c r="AY474">
        <v>5</v>
      </c>
      <c r="AZ474">
        <v>0</v>
      </c>
      <c r="BA474">
        <v>4</v>
      </c>
      <c r="BB474">
        <v>0</v>
      </c>
      <c r="BC474">
        <v>4</v>
      </c>
      <c r="BD474" t="str">
        <f>CONCATENATE(Table9[[#This Row],[Match Number]],Table9[[#This Row],[Team]],Table9[[#This Row],[BOWL NUM]])</f>
        <v>31New Zealand4</v>
      </c>
      <c r="BE474" t="str">
        <f>IFERROR(IF(AND(Table9[[#This Row],[Team]]=I_TEAM,IFERROR(IF(MATCH(Table9[[#This Row],[Bowler]],$AR$5:AR473,0)&gt;0,0),1)),1,0),"")</f>
        <v/>
      </c>
      <c r="BF47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7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74" t="e">
        <f>IF(Table9[[#This Row],[Team]]=I_TEAM,Table9[[#This Row],[Wickets]]*100-Table9[[#This Row],[Runs]],0)</f>
        <v>#REF!</v>
      </c>
      <c r="BI474">
        <f>Table9[[#This Row],[Wickets]]*100-Table9[[#This Row],[Runs]]</f>
        <v>62</v>
      </c>
      <c r="BJ474">
        <f ca="1">IFERROR(IF(MATCH(Table9[[#This Row],[Bowler]],OFFSET(AR475,0,0,BOWLROWS-ROW(AR474)-ROW(Table9[[#Headers],[BOWLER CUML WICKETS]])),0)&gt;0,0,SUMIF($AR$6:AR474,Table9[[#This Row],[Bowler]],$AV$6:AV474)),SUMIF($AR$6:AR474,Table9[[#This Row],[Bowler]],$AV$6:AV474))</f>
        <v>5</v>
      </c>
      <c r="BK474">
        <f ca="1">IFERROR(IF(MATCH(Table9[[#This Row],[Bowler]],OFFSET(AR475,0,0,BOWLROWS-ROW(AR474)-ROW(Table9[[#Headers],[BOWLER CUML WICKETS]])),0)&gt;0,0,SUMIF($AR$6:AR474,Table9[[#This Row],[Bowler]],$AU$6:AU474)),SUMIF($AR$6:AR474,Table9[[#This Row],[Bowler]],$AU$6:AU474))</f>
        <v>199</v>
      </c>
      <c r="BL474">
        <f ca="1">Table9[[#This Row],[BOWLER CUML WICKETS]]*100-Table9[[#This Row],[BOWLER CUML RUNS]]</f>
        <v>301</v>
      </c>
    </row>
    <row r="475" spans="1:64" x14ac:dyDescent="0.3">
      <c r="A475">
        <v>17</v>
      </c>
      <c r="B475" t="s">
        <v>176</v>
      </c>
      <c r="C475" t="s">
        <v>447</v>
      </c>
      <c r="D475" t="s">
        <v>645</v>
      </c>
      <c r="E475">
        <v>31</v>
      </c>
      <c r="F475">
        <v>46</v>
      </c>
      <c r="G475">
        <v>28</v>
      </c>
      <c r="H475">
        <v>4</v>
      </c>
      <c r="I475">
        <v>0</v>
      </c>
      <c r="J475">
        <v>110.71</v>
      </c>
      <c r="K475">
        <v>4</v>
      </c>
      <c r="L475" t="str">
        <f>CONCATENATE(T_BATTINGDATA[[#This Row],[Match]],T_BATTINGDATA[[#This Row],[Team]],T_BATTINGDATA[[#This Row],[Bat Number]])</f>
        <v>17Scotland4</v>
      </c>
      <c r="M475" t="str">
        <f>IFERROR(IF(AND(T_BATTINGDATA[[#This Row],[Team]]=I_TEAM,IFERROR(IF(MATCH(T_BATTINGDATA[[#This Row],[BATSMAN NAME]],$O$5:O474,0)&gt;0,0),1)),1,0),"")</f>
        <v/>
      </c>
      <c r="N475" t="e">
        <f>IF(T_BATTINGDATA[[#This Row],[Team]]=I_TEAM,T_BATTINGDATA[[#This Row],[R]],0)</f>
        <v>#REF!</v>
      </c>
      <c r="O475" t="str">
        <f>LEFT(T_BATTINGDATA[[#This Row],[Batsman]],IFERROR(FIND("*",T_BATTINGDATA[[#This Row],[Batsman]])-1,IFERROR(FIND("†",T_BATTINGDATA[[#This Row],[Batsman]])-1,LEN(T_BATTINGDATA[[#This Row],[Batsman]]))))</f>
        <v>MW Machan</v>
      </c>
      <c r="P475">
        <f ca="1">IFERROR(IF(MATCH(T_BATTINGDATA[[#This Row],[BATSMAN NAME]],OFFSET(O476,0,0,BATROWS-ROW(O475)-ROW(T_BATTINGDATA[[#Headers],[BATSMAN NAME]])),0)&gt;0,0,SUMIF($O$6:O475,T_BATTINGDATA[[#This Row],[BATSMAN NAME]],$E$6:E475)),SUMIF($O$6:O475,T_BATTINGDATA[[#This Row],[BATSMAN NAME]],$E$6:E475))</f>
        <v>0</v>
      </c>
      <c r="AP475">
        <v>31</v>
      </c>
      <c r="AQ475" t="s">
        <v>140</v>
      </c>
      <c r="AR475" t="s">
        <v>309</v>
      </c>
      <c r="AS475">
        <v>6.4</v>
      </c>
      <c r="AT475">
        <v>0</v>
      </c>
      <c r="AU475">
        <v>38</v>
      </c>
      <c r="AV475">
        <v>2</v>
      </c>
      <c r="AW475">
        <v>5.7</v>
      </c>
      <c r="AX475">
        <v>26</v>
      </c>
      <c r="AY475">
        <v>5</v>
      </c>
      <c r="AZ475">
        <v>1</v>
      </c>
      <c r="BA475">
        <v>3</v>
      </c>
      <c r="BB475">
        <v>0</v>
      </c>
      <c r="BC475">
        <v>5</v>
      </c>
      <c r="BD475" t="str">
        <f>CONCATENATE(Table9[[#This Row],[Match Number]],Table9[[#This Row],[Team]],Table9[[#This Row],[BOWL NUM]])</f>
        <v>31New Zealand5</v>
      </c>
      <c r="BE475" t="str">
        <f>IFERROR(IF(AND(Table9[[#This Row],[Team]]=I_TEAM,IFERROR(IF(MATCH(Table9[[#This Row],[Bowler]],$AR$5:AR474,0)&gt;0,0),1)),1,0),"")</f>
        <v/>
      </c>
      <c r="BF475">
        <f>(LEFT(Table9[[#This Row],[Overs]],IFERROR(FIND(".",Table9[[#This Row],[Overs]])-1,LEN(Table9[[#This Row],[Overs]])))*6) + IFERROR(IF(FIND(".",Table9[[#This Row],[Overs]])+1&gt;0,RIGHT(Table9[[#This Row],[Overs]],1),0),0)</f>
        <v>40</v>
      </c>
      <c r="BG47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75" t="e">
        <f>IF(Table9[[#This Row],[Team]]=I_TEAM,Table9[[#This Row],[Wickets]]*100-Table9[[#This Row],[Runs]],0)</f>
        <v>#REF!</v>
      </c>
      <c r="BI475">
        <f>Table9[[#This Row],[Wickets]]*100-Table9[[#This Row],[Runs]]</f>
        <v>162</v>
      </c>
      <c r="BJ475">
        <f ca="1">IFERROR(IF(MATCH(Table9[[#This Row],[Bowler]],OFFSET(AR476,0,0,BOWLROWS-ROW(AR475)-ROW(Table9[[#Headers],[BOWLER CUML WICKETS]])),0)&gt;0,0,SUMIF($AR$6:AR475,Table9[[#This Row],[Bowler]],$AV$6:AV475)),SUMIF($AR$6:AR475,Table9[[#This Row],[Bowler]],$AV$6:AV475))</f>
        <v>0</v>
      </c>
      <c r="BK475">
        <f ca="1">IFERROR(IF(MATCH(Table9[[#This Row],[Bowler]],OFFSET(AR476,0,0,BOWLROWS-ROW(AR475)-ROW(Table9[[#Headers],[BOWLER CUML WICKETS]])),0)&gt;0,0,SUMIF($AR$6:AR475,Table9[[#This Row],[Bowler]],$AU$6:AU475)),SUMIF($AR$6:AR475,Table9[[#This Row],[Bowler]],$AU$6:AU475))</f>
        <v>0</v>
      </c>
      <c r="BL475">
        <f ca="1">Table9[[#This Row],[BOWLER CUML WICKETS]]*100-Table9[[#This Row],[BOWLER CUML RUNS]]</f>
        <v>0</v>
      </c>
    </row>
    <row r="476" spans="1:64" x14ac:dyDescent="0.3">
      <c r="A476">
        <v>17</v>
      </c>
      <c r="B476" t="s">
        <v>176</v>
      </c>
      <c r="C476" t="s">
        <v>449</v>
      </c>
      <c r="D476" t="s">
        <v>646</v>
      </c>
      <c r="E476">
        <v>23</v>
      </c>
      <c r="F476">
        <v>48</v>
      </c>
      <c r="G476">
        <v>36</v>
      </c>
      <c r="H476">
        <v>4</v>
      </c>
      <c r="I476">
        <v>0</v>
      </c>
      <c r="J476">
        <v>63.88</v>
      </c>
      <c r="K476">
        <v>5</v>
      </c>
      <c r="L476" t="str">
        <f>CONCATENATE(T_BATTINGDATA[[#This Row],[Match]],T_BATTINGDATA[[#This Row],[Team]],T_BATTINGDATA[[#This Row],[Bat Number]])</f>
        <v>17Scotland5</v>
      </c>
      <c r="M476" t="str">
        <f>IFERROR(IF(AND(T_BATTINGDATA[[#This Row],[Team]]=I_TEAM,IFERROR(IF(MATCH(T_BATTINGDATA[[#This Row],[BATSMAN NAME]],$O$5:O475,0)&gt;0,0),1)),1,0),"")</f>
        <v/>
      </c>
      <c r="N476" t="e">
        <f>IF(T_BATTINGDATA[[#This Row],[Team]]=I_TEAM,T_BATTINGDATA[[#This Row],[R]],0)</f>
        <v>#REF!</v>
      </c>
      <c r="O476" t="str">
        <f>LEFT(T_BATTINGDATA[[#This Row],[Batsman]],IFERROR(FIND("*",T_BATTINGDATA[[#This Row],[Batsman]])-1,IFERROR(FIND("†",T_BATTINGDATA[[#This Row],[Batsman]])-1,LEN(T_BATTINGDATA[[#This Row],[Batsman]]))))</f>
        <v>PL Mommsen</v>
      </c>
      <c r="P476">
        <f ca="1">IFERROR(IF(MATCH(T_BATTINGDATA[[#This Row],[BATSMAN NAME]],OFFSET(O477,0,0,BATROWS-ROW(O476)-ROW(T_BATTINGDATA[[#Headers],[BATSMAN NAME]])),0)&gt;0,0,SUMIF($O$6:O476,T_BATTINGDATA[[#This Row],[BATSMAN NAME]],$E$6:E476)),SUMIF($O$6:O476,T_BATTINGDATA[[#This Row],[BATSMAN NAME]],$E$6:E476))</f>
        <v>0</v>
      </c>
      <c r="AP476">
        <v>31</v>
      </c>
      <c r="AQ476" t="s">
        <v>140</v>
      </c>
      <c r="AR476" t="s">
        <v>305</v>
      </c>
      <c r="AS476">
        <v>1</v>
      </c>
      <c r="AT476">
        <v>0</v>
      </c>
      <c r="AU476">
        <v>10</v>
      </c>
      <c r="AV476">
        <v>0</v>
      </c>
      <c r="AW476">
        <v>10</v>
      </c>
      <c r="AX476">
        <v>2</v>
      </c>
      <c r="AY476">
        <v>2</v>
      </c>
      <c r="AZ476">
        <v>0</v>
      </c>
      <c r="BA476">
        <v>0</v>
      </c>
      <c r="BB476">
        <v>0</v>
      </c>
      <c r="BC476">
        <v>6</v>
      </c>
      <c r="BD476" t="str">
        <f>CONCATENATE(Table9[[#This Row],[Match Number]],Table9[[#This Row],[Team]],Table9[[#This Row],[BOWL NUM]])</f>
        <v>31New Zealand6</v>
      </c>
      <c r="BE476" t="str">
        <f>IFERROR(IF(AND(Table9[[#This Row],[Team]]=I_TEAM,IFERROR(IF(MATCH(Table9[[#This Row],[Bowler]],$AR$5:AR475,0)&gt;0,0),1)),1,0),"")</f>
        <v/>
      </c>
      <c r="BF476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47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76" t="e">
        <f>IF(Table9[[#This Row],[Team]]=I_TEAM,Table9[[#This Row],[Wickets]]*100-Table9[[#This Row],[Runs]],0)</f>
        <v>#REF!</v>
      </c>
      <c r="BI476">
        <f>Table9[[#This Row],[Wickets]]*100-Table9[[#This Row],[Runs]]</f>
        <v>-10</v>
      </c>
      <c r="BJ476">
        <f ca="1">IFERROR(IF(MATCH(Table9[[#This Row],[Bowler]],OFFSET(AR477,0,0,BOWLROWS-ROW(AR476)-ROW(Table9[[#Headers],[BOWLER CUML WICKETS]])),0)&gt;0,0,SUMIF($AR$6:AR590,Table9[[#This Row],[Bowler]],$AV$6:AV590)),SUMIF($AR$6:AR590,Table9[[#This Row],[Bowler]],$AV$6:AV590))</f>
        <v>0</v>
      </c>
      <c r="BK476">
        <f ca="1">IFERROR(IF(MATCH(Table9[[#This Row],[Bowler]],OFFSET(AR477,0,0,BOWLROWS-ROW(AR476)-ROW(Table9[[#Headers],[BOWLER CUML WICKETS]])),0)&gt;0,0,SUMIF($AR$6:AR487,Table9[[#This Row],[Bowler]],$AU$6:AU487)),SUMIF($AR$6:AR487,Table9[[#This Row],[Bowler]],$AU$6:AU487))</f>
        <v>0</v>
      </c>
      <c r="BL476">
        <f ca="1">Table9[[#This Row],[BOWLER CUML WICKETS]]*100-Table9[[#This Row],[BOWLER CUML RUNS]]</f>
        <v>0</v>
      </c>
    </row>
    <row r="477" spans="1:64" x14ac:dyDescent="0.3">
      <c r="A477">
        <v>17</v>
      </c>
      <c r="B477" t="s">
        <v>176</v>
      </c>
      <c r="C477" t="s">
        <v>452</v>
      </c>
      <c r="D477" t="s">
        <v>647</v>
      </c>
      <c r="E477">
        <v>25</v>
      </c>
      <c r="F477">
        <v>66</v>
      </c>
      <c r="G477">
        <v>46</v>
      </c>
      <c r="H477">
        <v>2</v>
      </c>
      <c r="I477">
        <v>0</v>
      </c>
      <c r="J477">
        <v>54.34</v>
      </c>
      <c r="K477">
        <v>6</v>
      </c>
      <c r="L477" t="str">
        <f>CONCATENATE(T_BATTINGDATA[[#This Row],[Match]],T_BATTINGDATA[[#This Row],[Team]],T_BATTINGDATA[[#This Row],[Bat Number]])</f>
        <v>17Scotland6</v>
      </c>
      <c r="M477" t="str">
        <f>IFERROR(IF(AND(T_BATTINGDATA[[#This Row],[Team]]=I_TEAM,IFERROR(IF(MATCH(T_BATTINGDATA[[#This Row],[BATSMAN NAME]],$O$5:O476,0)&gt;0,0),1)),1,0),"")</f>
        <v/>
      </c>
      <c r="N477" t="e">
        <f>IF(T_BATTINGDATA[[#This Row],[Team]]=I_TEAM,T_BATTINGDATA[[#This Row],[R]],0)</f>
        <v>#REF!</v>
      </c>
      <c r="O477" t="str">
        <f>LEFT(T_BATTINGDATA[[#This Row],[Batsman]],IFERROR(FIND("*",T_BATTINGDATA[[#This Row],[Batsman]])-1,IFERROR(FIND("†",T_BATTINGDATA[[#This Row],[Batsman]])-1,LEN(T_BATTINGDATA[[#This Row],[Batsman]]))))</f>
        <v>RD Berrington</v>
      </c>
      <c r="P477">
        <f ca="1">IFERROR(IF(MATCH(T_BATTINGDATA[[#This Row],[BATSMAN NAME]],OFFSET(O478,0,0,BATROWS-ROW(O477)-ROW(T_BATTINGDATA[[#Headers],[BATSMAN NAME]])),0)&gt;0,0,SUMIF($O$6:O477,T_BATTINGDATA[[#This Row],[BATSMAN NAME]],$E$6:E477)),SUMIF($O$6:O477,T_BATTINGDATA[[#This Row],[BATSMAN NAME]],$E$6:E477))</f>
        <v>0</v>
      </c>
      <c r="AP477">
        <v>31</v>
      </c>
      <c r="AQ477" t="s">
        <v>185</v>
      </c>
      <c r="AR477" t="s">
        <v>451</v>
      </c>
      <c r="AS477">
        <v>9</v>
      </c>
      <c r="AT477">
        <v>0</v>
      </c>
      <c r="AU477">
        <v>51</v>
      </c>
      <c r="AV477">
        <v>0</v>
      </c>
      <c r="AW477">
        <v>5.66</v>
      </c>
      <c r="AX477">
        <v>30</v>
      </c>
      <c r="AY477">
        <v>7</v>
      </c>
      <c r="AZ477">
        <v>0</v>
      </c>
      <c r="BA477">
        <v>3</v>
      </c>
      <c r="BB477">
        <v>0</v>
      </c>
      <c r="BC477">
        <v>1</v>
      </c>
      <c r="BD477" t="str">
        <f>CONCATENATE(Table9[[#This Row],[Match Number]],Table9[[#This Row],[Team]],Table9[[#This Row],[BOWL NUM]])</f>
        <v>31Afghanistan1</v>
      </c>
      <c r="BE477" t="str">
        <f>IFERROR(IF(AND(Table9[[#This Row],[Team]]=I_TEAM,IFERROR(IF(MATCH(Table9[[#This Row],[Bowler]],$AR$5:AR476,0)&gt;0,0),1)),1,0),"")</f>
        <v/>
      </c>
      <c r="BF477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7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477" t="e">
        <f>IF(Table9[[#This Row],[Team]]=I_TEAM,Table9[[#This Row],[Wickets]]*100-Table9[[#This Row],[Runs]],0)</f>
        <v>#REF!</v>
      </c>
      <c r="BI477">
        <f>Table9[[#This Row],[Wickets]]*100-Table9[[#This Row],[Runs]]</f>
        <v>-51</v>
      </c>
      <c r="BJ477">
        <f ca="1">IFERROR(IF(MATCH(Table9[[#This Row],[Bowler]],OFFSET(AR478,0,0,BOWLROWS-ROW(AR477)-ROW(Table9[[#Headers],[BOWLER CUML WICKETS]])),0)&gt;0,0,SUMIF($AR$6:AR477,Table9[[#This Row],[Bowler]],$AV$6:AV477)),SUMIF($AR$6:AR477,Table9[[#This Row],[Bowler]],$AV$6:AV477))</f>
        <v>0</v>
      </c>
      <c r="BK477">
        <f ca="1">IFERROR(IF(MATCH(Table9[[#This Row],[Bowler]],OFFSET(AR478,0,0,BOWLROWS-ROW(AR477)-ROW(Table9[[#Headers],[BOWLER CUML WICKETS]])),0)&gt;0,0,SUMIF($AR$6:AR477,Table9[[#This Row],[Bowler]],$AU$6:AU477)),SUMIF($AR$6:AR477,Table9[[#This Row],[Bowler]],$AU$6:AU477))</f>
        <v>0</v>
      </c>
      <c r="BL477">
        <f ca="1">Table9[[#This Row],[BOWLER CUML WICKETS]]*100-Table9[[#This Row],[BOWLER CUML RUNS]]</f>
        <v>0</v>
      </c>
    </row>
    <row r="478" spans="1:64" x14ac:dyDescent="0.3">
      <c r="A478">
        <v>17</v>
      </c>
      <c r="B478" t="s">
        <v>176</v>
      </c>
      <c r="C478" t="s">
        <v>453</v>
      </c>
      <c r="D478" t="s">
        <v>469</v>
      </c>
      <c r="E478">
        <v>15</v>
      </c>
      <c r="F478">
        <v>30</v>
      </c>
      <c r="G478">
        <v>26</v>
      </c>
      <c r="H478">
        <v>1</v>
      </c>
      <c r="I478">
        <v>0</v>
      </c>
      <c r="J478">
        <v>57.69</v>
      </c>
      <c r="K478">
        <v>7</v>
      </c>
      <c r="L478" t="str">
        <f>CONCATENATE(T_BATTINGDATA[[#This Row],[Match]],T_BATTINGDATA[[#This Row],[Team]],T_BATTINGDATA[[#This Row],[Bat Number]])</f>
        <v>17Scotland7</v>
      </c>
      <c r="M478" t="str">
        <f>IFERROR(IF(AND(T_BATTINGDATA[[#This Row],[Team]]=I_TEAM,IFERROR(IF(MATCH(T_BATTINGDATA[[#This Row],[BATSMAN NAME]],$O$5:O477,0)&gt;0,0),1)),1,0),"")</f>
        <v/>
      </c>
      <c r="N478" t="e">
        <f>IF(T_BATTINGDATA[[#This Row],[Team]]=I_TEAM,T_BATTINGDATA[[#This Row],[R]],0)</f>
        <v>#REF!</v>
      </c>
      <c r="O478" t="str">
        <f>LEFT(T_BATTINGDATA[[#This Row],[Batsman]],IFERROR(FIND("*",T_BATTINGDATA[[#This Row],[Batsman]])-1,IFERROR(FIND("†",T_BATTINGDATA[[#This Row],[Batsman]])-1,LEN(T_BATTINGDATA[[#This Row],[Batsman]]))))</f>
        <v>MH Cross</v>
      </c>
      <c r="P478">
        <f ca="1">IFERROR(IF(MATCH(T_BATTINGDATA[[#This Row],[BATSMAN NAME]],OFFSET(O479,0,0,BATROWS-ROW(O478)-ROW(T_BATTINGDATA[[#Headers],[BATSMAN NAME]])),0)&gt;0,0,SUMIF($O$6:O478,T_BATTINGDATA[[#This Row],[BATSMAN NAME]],$E$6:E478)),SUMIF($O$6:O478,T_BATTINGDATA[[#This Row],[BATSMAN NAME]],$E$6:E478))</f>
        <v>0</v>
      </c>
      <c r="AP478">
        <v>31</v>
      </c>
      <c r="AQ478" t="s">
        <v>185</v>
      </c>
      <c r="AR478" t="s">
        <v>390</v>
      </c>
      <c r="AS478">
        <v>10</v>
      </c>
      <c r="AT478">
        <v>2</v>
      </c>
      <c r="AU478">
        <v>45</v>
      </c>
      <c r="AV478">
        <v>1</v>
      </c>
      <c r="AW478">
        <v>4.5</v>
      </c>
      <c r="AX478">
        <v>35</v>
      </c>
      <c r="AY478">
        <v>4</v>
      </c>
      <c r="AZ478">
        <v>0</v>
      </c>
      <c r="BA478">
        <v>0</v>
      </c>
      <c r="BB478">
        <v>0</v>
      </c>
      <c r="BC478">
        <v>2</v>
      </c>
      <c r="BD478" t="str">
        <f>CONCATENATE(Table9[[#This Row],[Match Number]],Table9[[#This Row],[Team]],Table9[[#This Row],[BOWL NUM]])</f>
        <v>31Afghanistan2</v>
      </c>
      <c r="BE478" t="str">
        <f>IFERROR(IF(AND(Table9[[#This Row],[Team]]=I_TEAM,IFERROR(IF(MATCH(Table9[[#This Row],[Bowler]],$AR$5:AR477,0)&gt;0,0),1)),1,0),"")</f>
        <v/>
      </c>
      <c r="BF47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7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478" t="e">
        <f>IF(Table9[[#This Row],[Team]]=I_TEAM,Table9[[#This Row],[Wickets]]*100-Table9[[#This Row],[Runs]],0)</f>
        <v>#REF!</v>
      </c>
      <c r="BI478">
        <f>Table9[[#This Row],[Wickets]]*100-Table9[[#This Row],[Runs]]</f>
        <v>55</v>
      </c>
      <c r="BJ478">
        <f ca="1">IFERROR(IF(MATCH(Table9[[#This Row],[Bowler]],OFFSET(AR479,0,0,BOWLROWS-ROW(AR478)-ROW(Table9[[#Headers],[BOWLER CUML WICKETS]])),0)&gt;0,0,SUMIF($AR$6:AR478,Table9[[#This Row],[Bowler]],$AV$6:AV478)),SUMIF($AR$6:AR478,Table9[[#This Row],[Bowler]],$AV$6:AV478))</f>
        <v>0</v>
      </c>
      <c r="BK478">
        <f ca="1">IFERROR(IF(MATCH(Table9[[#This Row],[Bowler]],OFFSET(AR479,0,0,BOWLROWS-ROW(AR478)-ROW(Table9[[#Headers],[BOWLER CUML WICKETS]])),0)&gt;0,0,SUMIF($AR$6:AR478,Table9[[#This Row],[Bowler]],$AU$6:AU478)),SUMIF($AR$6:AR478,Table9[[#This Row],[Bowler]],$AU$6:AU478))</f>
        <v>0</v>
      </c>
      <c r="BL478">
        <f ca="1">Table9[[#This Row],[BOWLER CUML WICKETS]]*100-Table9[[#This Row],[BOWLER CUML RUNS]]</f>
        <v>0</v>
      </c>
    </row>
    <row r="479" spans="1:64" x14ac:dyDescent="0.3">
      <c r="A479">
        <v>17</v>
      </c>
      <c r="B479" t="s">
        <v>176</v>
      </c>
      <c r="C479" t="s">
        <v>384</v>
      </c>
      <c r="D479" t="s">
        <v>648</v>
      </c>
      <c r="E479">
        <v>1</v>
      </c>
      <c r="F479">
        <v>12</v>
      </c>
      <c r="G479">
        <v>9</v>
      </c>
      <c r="H479">
        <v>0</v>
      </c>
      <c r="I479">
        <v>0</v>
      </c>
      <c r="J479">
        <v>11.11</v>
      </c>
      <c r="K479">
        <v>8</v>
      </c>
      <c r="L479" t="str">
        <f>CONCATENATE(T_BATTINGDATA[[#This Row],[Match]],T_BATTINGDATA[[#This Row],[Team]],T_BATTINGDATA[[#This Row],[Bat Number]])</f>
        <v>17Scotland8</v>
      </c>
      <c r="M479" t="str">
        <f>IFERROR(IF(AND(T_BATTINGDATA[[#This Row],[Team]]=I_TEAM,IFERROR(IF(MATCH(T_BATTINGDATA[[#This Row],[BATSMAN NAME]],$O$5:O478,0)&gt;0,0),1)),1,0),"")</f>
        <v/>
      </c>
      <c r="N479" t="e">
        <f>IF(T_BATTINGDATA[[#This Row],[Team]]=I_TEAM,T_BATTINGDATA[[#This Row],[R]],0)</f>
        <v>#REF!</v>
      </c>
      <c r="O479" t="str">
        <f>LEFT(T_BATTINGDATA[[#This Row],[Batsman]],IFERROR(FIND("*",T_BATTINGDATA[[#This Row],[Batsman]])-1,IFERROR(FIND("†",T_BATTINGDATA[[#This Row],[Batsman]])-1,LEN(T_BATTINGDATA[[#This Row],[Batsman]]))))</f>
        <v>JH Davey</v>
      </c>
      <c r="P479">
        <f ca="1">IFERROR(IF(MATCH(T_BATTINGDATA[[#This Row],[BATSMAN NAME]],OFFSET(O480,0,0,BATROWS-ROW(O479)-ROW(T_BATTINGDATA[[#Headers],[BATSMAN NAME]])),0)&gt;0,0,SUMIF($O$6:O479,T_BATTINGDATA[[#This Row],[BATSMAN NAME]],$E$6:E479)),SUMIF($O$6:O479,T_BATTINGDATA[[#This Row],[BATSMAN NAME]],$E$6:E479))</f>
        <v>0</v>
      </c>
      <c r="AP479">
        <v>31</v>
      </c>
      <c r="AQ479" t="s">
        <v>185</v>
      </c>
      <c r="AR479" t="s">
        <v>389</v>
      </c>
      <c r="AS479">
        <v>7</v>
      </c>
      <c r="AT479">
        <v>1</v>
      </c>
      <c r="AU479">
        <v>36</v>
      </c>
      <c r="AV479">
        <v>0</v>
      </c>
      <c r="AW479">
        <v>5.14</v>
      </c>
      <c r="AX479">
        <v>26</v>
      </c>
      <c r="AY479">
        <v>6</v>
      </c>
      <c r="AZ479">
        <v>0</v>
      </c>
      <c r="BA479">
        <v>0</v>
      </c>
      <c r="BB479">
        <v>0</v>
      </c>
      <c r="BC479">
        <v>3</v>
      </c>
      <c r="BD479" t="str">
        <f>CONCATENATE(Table9[[#This Row],[Match Number]],Table9[[#This Row],[Team]],Table9[[#This Row],[BOWL NUM]])</f>
        <v>31Afghanistan3</v>
      </c>
      <c r="BE479" t="str">
        <f>IFERROR(IF(AND(Table9[[#This Row],[Team]]=I_TEAM,IFERROR(IF(MATCH(Table9[[#This Row],[Bowler]],$AR$5:AR478,0)&gt;0,0),1)),1,0),"")</f>
        <v/>
      </c>
      <c r="BF479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47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479" t="e">
        <f>IF(Table9[[#This Row],[Team]]=I_TEAM,Table9[[#This Row],[Wickets]]*100-Table9[[#This Row],[Runs]],0)</f>
        <v>#REF!</v>
      </c>
      <c r="BI479">
        <f>Table9[[#This Row],[Wickets]]*100-Table9[[#This Row],[Runs]]</f>
        <v>-36</v>
      </c>
      <c r="BJ479">
        <f ca="1">IFERROR(IF(MATCH(Table9[[#This Row],[Bowler]],OFFSET(AR480,0,0,BOWLROWS-ROW(AR479)-ROW(Table9[[#Headers],[BOWLER CUML WICKETS]])),0)&gt;0,0,SUMIF($AR$6:AR479,Table9[[#This Row],[Bowler]],$AV$6:AV479)),SUMIF($AR$6:AR479,Table9[[#This Row],[Bowler]],$AV$6:AV479))</f>
        <v>0</v>
      </c>
      <c r="BK479">
        <f ca="1">IFERROR(IF(MATCH(Table9[[#This Row],[Bowler]],OFFSET(AR480,0,0,BOWLROWS-ROW(AR479)-ROW(Table9[[#Headers],[BOWLER CUML WICKETS]])),0)&gt;0,0,SUMIF($AR$6:AR479,Table9[[#This Row],[Bowler]],$AU$6:AU479)),SUMIF($AR$6:AR479,Table9[[#This Row],[Bowler]],$AU$6:AU479))</f>
        <v>0</v>
      </c>
      <c r="BL479">
        <f ca="1">Table9[[#This Row],[BOWLER CUML WICKETS]]*100-Table9[[#This Row],[BOWLER CUML RUNS]]</f>
        <v>0</v>
      </c>
    </row>
    <row r="480" spans="1:64" x14ac:dyDescent="0.3">
      <c r="A480">
        <v>17</v>
      </c>
      <c r="B480" t="s">
        <v>176</v>
      </c>
      <c r="C480" t="s">
        <v>387</v>
      </c>
      <c r="D480" t="s">
        <v>649</v>
      </c>
      <c r="E480">
        <v>31</v>
      </c>
      <c r="F480">
        <v>74</v>
      </c>
      <c r="G480">
        <v>51</v>
      </c>
      <c r="H480">
        <v>3</v>
      </c>
      <c r="I480">
        <v>0</v>
      </c>
      <c r="J480">
        <v>60.78</v>
      </c>
      <c r="K480">
        <v>9</v>
      </c>
      <c r="L480" t="str">
        <f>CONCATENATE(T_BATTINGDATA[[#This Row],[Match]],T_BATTINGDATA[[#This Row],[Team]],T_BATTINGDATA[[#This Row],[Bat Number]])</f>
        <v>17Scotland9</v>
      </c>
      <c r="M480" t="str">
        <f>IFERROR(IF(AND(T_BATTINGDATA[[#This Row],[Team]]=I_TEAM,IFERROR(IF(MATCH(T_BATTINGDATA[[#This Row],[BATSMAN NAME]],$O$5:O479,0)&gt;0,0),1)),1,0),"")</f>
        <v/>
      </c>
      <c r="N480" t="e">
        <f>IF(T_BATTINGDATA[[#This Row],[Team]]=I_TEAM,T_BATTINGDATA[[#This Row],[R]],0)</f>
        <v>#REF!</v>
      </c>
      <c r="O480" t="str">
        <f>LEFT(T_BATTINGDATA[[#This Row],[Batsman]],IFERROR(FIND("*",T_BATTINGDATA[[#This Row],[Batsman]])-1,IFERROR(FIND("†",T_BATTINGDATA[[#This Row],[Batsman]])-1,LEN(T_BATTINGDATA[[#This Row],[Batsman]]))))</f>
        <v>RM Haq</v>
      </c>
      <c r="P480">
        <f ca="1">IFERROR(IF(MATCH(T_BATTINGDATA[[#This Row],[BATSMAN NAME]],OFFSET(O481,0,0,BATROWS-ROW(O480)-ROW(T_BATTINGDATA[[#Headers],[BATSMAN NAME]])),0)&gt;0,0,SUMIF($O$6:O480,T_BATTINGDATA[[#This Row],[BATSMAN NAME]],$E$6:E480)),SUMIF($O$6:O480,T_BATTINGDATA[[#This Row],[BATSMAN NAME]],$E$6:E480))</f>
        <v>0</v>
      </c>
      <c r="AP480">
        <v>31</v>
      </c>
      <c r="AQ480" t="s">
        <v>185</v>
      </c>
      <c r="AR480" t="s">
        <v>396</v>
      </c>
      <c r="AS480">
        <v>7.1</v>
      </c>
      <c r="AT480">
        <v>0</v>
      </c>
      <c r="AU480">
        <v>39</v>
      </c>
      <c r="AV480">
        <v>1</v>
      </c>
      <c r="AW480">
        <v>5.44</v>
      </c>
      <c r="AX480">
        <v>22</v>
      </c>
      <c r="AY480">
        <v>3</v>
      </c>
      <c r="AZ480">
        <v>1</v>
      </c>
      <c r="BA480">
        <v>1</v>
      </c>
      <c r="BB480">
        <v>0</v>
      </c>
      <c r="BC480">
        <v>4</v>
      </c>
      <c r="BD480" t="str">
        <f>CONCATENATE(Table9[[#This Row],[Match Number]],Table9[[#This Row],[Team]],Table9[[#This Row],[BOWL NUM]])</f>
        <v>31Afghanistan4</v>
      </c>
      <c r="BE480" t="str">
        <f>IFERROR(IF(AND(Table9[[#This Row],[Team]]=I_TEAM,IFERROR(IF(MATCH(Table9[[#This Row],[Bowler]],$AR$5:AR479,0)&gt;0,0),1)),1,0),"")</f>
        <v/>
      </c>
      <c r="BF480">
        <f>(LEFT(Table9[[#This Row],[Overs]],IFERROR(FIND(".",Table9[[#This Row],[Overs]])-1,LEN(Table9[[#This Row],[Overs]])))*6) + IFERROR(IF(FIND(".",Table9[[#This Row],[Overs]])+1&gt;0,RIGHT(Table9[[#This Row],[Overs]],1),0),0)</f>
        <v>43</v>
      </c>
      <c r="BG48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480" t="e">
        <f>IF(Table9[[#This Row],[Team]]=I_TEAM,Table9[[#This Row],[Wickets]]*100-Table9[[#This Row],[Runs]],0)</f>
        <v>#REF!</v>
      </c>
      <c r="BI480">
        <f>Table9[[#This Row],[Wickets]]*100-Table9[[#This Row],[Runs]]</f>
        <v>61</v>
      </c>
      <c r="BJ480">
        <f ca="1">IFERROR(IF(MATCH(Table9[[#This Row],[Bowler]],OFFSET(AR481,0,0,BOWLROWS-ROW(AR480)-ROW(Table9[[#Headers],[BOWLER CUML WICKETS]])),0)&gt;0,0,SUMIF($AR$6:AR480,Table9[[#This Row],[Bowler]],$AV$6:AV480)),SUMIF($AR$6:AR480,Table9[[#This Row],[Bowler]],$AV$6:AV480))</f>
        <v>0</v>
      </c>
      <c r="BK480">
        <f ca="1">IFERROR(IF(MATCH(Table9[[#This Row],[Bowler]],OFFSET(AR481,0,0,BOWLROWS-ROW(AR480)-ROW(Table9[[#Headers],[BOWLER CUML WICKETS]])),0)&gt;0,0,SUMIF($AR$6:AR480,Table9[[#This Row],[Bowler]],$AU$6:AU480)),SUMIF($AR$6:AR480,Table9[[#This Row],[Bowler]],$AU$6:AU480))</f>
        <v>0</v>
      </c>
      <c r="BL480">
        <f ca="1">Table9[[#This Row],[BOWLER CUML WICKETS]]*100-Table9[[#This Row],[BOWLER CUML RUNS]]</f>
        <v>0</v>
      </c>
    </row>
    <row r="481" spans="1:64" x14ac:dyDescent="0.3">
      <c r="A481">
        <v>17</v>
      </c>
      <c r="B481" t="s">
        <v>176</v>
      </c>
      <c r="C481" t="s">
        <v>461</v>
      </c>
      <c r="D481" t="s">
        <v>650</v>
      </c>
      <c r="E481">
        <v>28</v>
      </c>
      <c r="F481">
        <v>59</v>
      </c>
      <c r="G481">
        <v>37</v>
      </c>
      <c r="H481">
        <v>3</v>
      </c>
      <c r="I481">
        <v>0</v>
      </c>
      <c r="J481">
        <v>75.67</v>
      </c>
      <c r="K481">
        <v>10</v>
      </c>
      <c r="L481" t="str">
        <f>CONCATENATE(T_BATTINGDATA[[#This Row],[Match]],T_BATTINGDATA[[#This Row],[Team]],T_BATTINGDATA[[#This Row],[Bat Number]])</f>
        <v>17Scotland10</v>
      </c>
      <c r="M481" t="str">
        <f>IFERROR(IF(AND(T_BATTINGDATA[[#This Row],[Team]]=I_TEAM,IFERROR(IF(MATCH(T_BATTINGDATA[[#This Row],[BATSMAN NAME]],$O$5:O480,0)&gt;0,0),1)),1,0),"")</f>
        <v/>
      </c>
      <c r="N481" t="e">
        <f>IF(T_BATTINGDATA[[#This Row],[Team]]=I_TEAM,T_BATTINGDATA[[#This Row],[R]],0)</f>
        <v>#REF!</v>
      </c>
      <c r="O481" t="str">
        <f>LEFT(T_BATTINGDATA[[#This Row],[Batsman]],IFERROR(FIND("*",T_BATTINGDATA[[#This Row],[Batsman]])-1,IFERROR(FIND("†",T_BATTINGDATA[[#This Row],[Batsman]])-1,LEN(T_BATTINGDATA[[#This Row],[Batsman]]))))</f>
        <v>AC Evans</v>
      </c>
      <c r="P481">
        <f ca="1">IFERROR(IF(MATCH(T_BATTINGDATA[[#This Row],[BATSMAN NAME]],OFFSET(O482,0,0,BATROWS-ROW(O481)-ROW(T_BATTINGDATA[[#Headers],[BATSMAN NAME]])),0)&gt;0,0,SUMIF($O$6:O481,T_BATTINGDATA[[#This Row],[BATSMAN NAME]],$E$6:E481)),SUMIF($O$6:O481,T_BATTINGDATA[[#This Row],[BATSMAN NAME]],$E$6:E481))</f>
        <v>0</v>
      </c>
      <c r="AP481">
        <v>31</v>
      </c>
      <c r="AQ481" t="s">
        <v>185</v>
      </c>
      <c r="AR481" t="s">
        <v>401</v>
      </c>
      <c r="AS481">
        <v>3</v>
      </c>
      <c r="AT481">
        <v>0</v>
      </c>
      <c r="AU481">
        <v>15</v>
      </c>
      <c r="AV481">
        <v>0</v>
      </c>
      <c r="AW481">
        <v>5</v>
      </c>
      <c r="AX481">
        <v>8</v>
      </c>
      <c r="AY481">
        <v>1</v>
      </c>
      <c r="AZ481">
        <v>0</v>
      </c>
      <c r="BA481">
        <v>0</v>
      </c>
      <c r="BB481">
        <v>0</v>
      </c>
      <c r="BC481">
        <v>5</v>
      </c>
      <c r="BD481" t="str">
        <f>CONCATENATE(Table9[[#This Row],[Match Number]],Table9[[#This Row],[Team]],Table9[[#This Row],[BOWL NUM]])</f>
        <v>31Afghanistan5</v>
      </c>
      <c r="BE481" t="str">
        <f>IFERROR(IF(AND(Table9[[#This Row],[Team]]=I_TEAM,IFERROR(IF(MATCH(Table9[[#This Row],[Bowler]],$AR$5:AR480,0)&gt;0,0),1)),1,0),"")</f>
        <v/>
      </c>
      <c r="BF481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48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481" t="e">
        <f>IF(Table9[[#This Row],[Team]]=I_TEAM,Table9[[#This Row],[Wickets]]*100-Table9[[#This Row],[Runs]],0)</f>
        <v>#REF!</v>
      </c>
      <c r="BI481">
        <f>Table9[[#This Row],[Wickets]]*100-Table9[[#This Row],[Runs]]</f>
        <v>-15</v>
      </c>
      <c r="BJ481">
        <f ca="1">IFERROR(IF(MATCH(Table9[[#This Row],[Bowler]],OFFSET(AR482,0,0,BOWLROWS-ROW(AR481)-ROW(Table9[[#Headers],[BOWLER CUML WICKETS]])),0)&gt;0,0,SUMIF($AR$6:AR487,Table9[[#This Row],[Bowler]],$AV$6:AV487)),SUMIF($AR$6:AR487,Table9[[#This Row],[Bowler]],$AV$6:AV487))</f>
        <v>0</v>
      </c>
      <c r="BK481">
        <f ca="1">IFERROR(IF(MATCH(Table9[[#This Row],[Bowler]],OFFSET(AR482,0,0,BOWLROWS-ROW(AR481)-ROW(Table9[[#Headers],[BOWLER CUML WICKETS]])),0)&gt;0,0,SUMIF($AR$6:AR487,Table9[[#This Row],[Bowler]],$AU$6:AU487)),SUMIF($AR$6:AR487,Table9[[#This Row],[Bowler]],$AU$6:AU487))</f>
        <v>0</v>
      </c>
      <c r="BL481">
        <f ca="1">Table9[[#This Row],[BOWLER CUML WICKETS]]*100-Table9[[#This Row],[BOWLER CUML RUNS]]</f>
        <v>0</v>
      </c>
    </row>
    <row r="482" spans="1:64" x14ac:dyDescent="0.3">
      <c r="A482">
        <v>17</v>
      </c>
      <c r="B482" t="s">
        <v>176</v>
      </c>
      <c r="C482" t="s">
        <v>380</v>
      </c>
      <c r="D482" t="s">
        <v>167</v>
      </c>
      <c r="E482">
        <v>1</v>
      </c>
      <c r="F482">
        <v>4</v>
      </c>
      <c r="G482">
        <v>2</v>
      </c>
      <c r="H482">
        <v>0</v>
      </c>
      <c r="I482">
        <v>0</v>
      </c>
      <c r="J482">
        <v>50</v>
      </c>
      <c r="K482">
        <v>11</v>
      </c>
      <c r="L482" t="str">
        <f>CONCATENATE(T_BATTINGDATA[[#This Row],[Match]],T_BATTINGDATA[[#This Row],[Team]],T_BATTINGDATA[[#This Row],[Bat Number]])</f>
        <v>17Scotland11</v>
      </c>
      <c r="M482" t="str">
        <f>IFERROR(IF(AND(T_BATTINGDATA[[#This Row],[Team]]=I_TEAM,IFERROR(IF(MATCH(T_BATTINGDATA[[#This Row],[BATSMAN NAME]],$O$5:O481,0)&gt;0,0),1)),1,0),"")</f>
        <v/>
      </c>
      <c r="N482" t="e">
        <f>IF(T_BATTINGDATA[[#This Row],[Team]]=I_TEAM,T_BATTINGDATA[[#This Row],[R]],0)</f>
        <v>#REF!</v>
      </c>
      <c r="O482" t="str">
        <f>LEFT(T_BATTINGDATA[[#This Row],[Batsman]],IFERROR(FIND("*",T_BATTINGDATA[[#This Row],[Batsman]])-1,IFERROR(FIND("†",T_BATTINGDATA[[#This Row],[Batsman]])-1,LEN(T_BATTINGDATA[[#This Row],[Batsman]]))))</f>
        <v>I Wardlaw</v>
      </c>
      <c r="P482">
        <f ca="1">IFERROR(IF(MATCH(T_BATTINGDATA[[#This Row],[BATSMAN NAME]],OFFSET(O483,0,0,BATROWS-ROW(O482)-ROW(T_BATTINGDATA[[#Headers],[BATSMAN NAME]])),0)&gt;0,0,SUMIF($O$6:O482,T_BATTINGDATA[[#This Row],[BATSMAN NAME]],$E$6:E482)),SUMIF($O$6:O482,T_BATTINGDATA[[#This Row],[BATSMAN NAME]],$E$6:E482))</f>
        <v>0</v>
      </c>
      <c r="AP482">
        <v>32</v>
      </c>
      <c r="AQ482" t="s">
        <v>145</v>
      </c>
      <c r="AR482" t="s">
        <v>287</v>
      </c>
      <c r="AS482">
        <v>10</v>
      </c>
      <c r="AT482">
        <v>0</v>
      </c>
      <c r="AU482">
        <v>59</v>
      </c>
      <c r="AV482">
        <v>2</v>
      </c>
      <c r="AW482">
        <v>5.9</v>
      </c>
      <c r="AX482">
        <v>29</v>
      </c>
      <c r="AY482">
        <v>7</v>
      </c>
      <c r="AZ482">
        <v>0</v>
      </c>
      <c r="BA482">
        <v>1</v>
      </c>
      <c r="BB482">
        <v>0</v>
      </c>
      <c r="BC482">
        <v>1</v>
      </c>
      <c r="BD482" t="str">
        <f>CONCATENATE(Table9[[#This Row],[Match Number]],Table9[[#This Row],[Team]],Table9[[#This Row],[BOWL NUM]])</f>
        <v>32Sri Lanka1</v>
      </c>
      <c r="BE482" t="str">
        <f>IFERROR(IF(AND(Table9[[#This Row],[Team]]=I_TEAM,IFERROR(IF(MATCH(Table9[[#This Row],[Bowler]],$AR$5:AR481,0)&gt;0,0),1)),1,0),"")</f>
        <v/>
      </c>
      <c r="BF48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8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82" t="e">
        <f>IF(Table9[[#This Row],[Team]]=I_TEAM,Table9[[#This Row],[Wickets]]*100-Table9[[#This Row],[Runs]],0)</f>
        <v>#REF!</v>
      </c>
      <c r="BI482">
        <f>Table9[[#This Row],[Wickets]]*100-Table9[[#This Row],[Runs]]</f>
        <v>141</v>
      </c>
      <c r="BJ482">
        <f ca="1">IFERROR(IF(MATCH(Table9[[#This Row],[Bowler]],OFFSET(AR483,0,0,BOWLROWS-ROW(AR482)-ROW(Table9[[#Headers],[BOWLER CUML WICKETS]])),0)&gt;0,0,SUMIF($AR$6:AR482,Table9[[#This Row],[Bowler]],$AV$6:AV482)),SUMIF($AR$6:AR482,Table9[[#This Row],[Bowler]],$AV$6:AV482))</f>
        <v>0</v>
      </c>
      <c r="BK482">
        <f ca="1">IFERROR(IF(MATCH(Table9[[#This Row],[Bowler]],OFFSET(AR483,0,0,BOWLROWS-ROW(AR482)-ROW(Table9[[#Headers],[BOWLER CUML WICKETS]])),0)&gt;0,0,SUMIF($AR$6:AR482,Table9[[#This Row],[Bowler]],$AU$6:AU482)),SUMIF($AR$6:AR482,Table9[[#This Row],[Bowler]],$AU$6:AU482))</f>
        <v>0</v>
      </c>
      <c r="BL482">
        <f ca="1">Table9[[#This Row],[BOWLER CUML WICKETS]]*100-Table9[[#This Row],[BOWLER CUML RUNS]]</f>
        <v>0</v>
      </c>
    </row>
    <row r="483" spans="1:64" x14ac:dyDescent="0.3">
      <c r="A483">
        <v>17</v>
      </c>
      <c r="B483" t="s">
        <v>185</v>
      </c>
      <c r="C483" t="s">
        <v>398</v>
      </c>
      <c r="D483" t="s">
        <v>651</v>
      </c>
      <c r="E483">
        <v>51</v>
      </c>
      <c r="F483">
        <v>80</v>
      </c>
      <c r="G483">
        <v>51</v>
      </c>
      <c r="H483">
        <v>8</v>
      </c>
      <c r="I483">
        <v>0</v>
      </c>
      <c r="J483">
        <v>100</v>
      </c>
      <c r="K483">
        <v>1</v>
      </c>
      <c r="L483" t="str">
        <f>CONCATENATE(T_BATTINGDATA[[#This Row],[Match]],T_BATTINGDATA[[#This Row],[Team]],T_BATTINGDATA[[#This Row],[Bat Number]])</f>
        <v>17Afghanistan1</v>
      </c>
      <c r="M483" t="str">
        <f>IFERROR(IF(AND(T_BATTINGDATA[[#This Row],[Team]]=I_TEAM,IFERROR(IF(MATCH(T_BATTINGDATA[[#This Row],[BATSMAN NAME]],$O$5:O482,0)&gt;0,0),1)),1,0),"")</f>
        <v/>
      </c>
      <c r="N483" t="e">
        <f>IF(T_BATTINGDATA[[#This Row],[Team]]=I_TEAM,T_BATTINGDATA[[#This Row],[R]],0)</f>
        <v>#REF!</v>
      </c>
      <c r="O483" t="str">
        <f>LEFT(T_BATTINGDATA[[#This Row],[Batsman]],IFERROR(FIND("*",T_BATTINGDATA[[#This Row],[Batsman]])-1,IFERROR(FIND("†",T_BATTINGDATA[[#This Row],[Batsman]])-1,LEN(T_BATTINGDATA[[#This Row],[Batsman]]))))</f>
        <v>Javed Ahmadi</v>
      </c>
      <c r="P483">
        <f ca="1">IFERROR(IF(MATCH(T_BATTINGDATA[[#This Row],[BATSMAN NAME]],OFFSET(O484,0,0,BATROWS-ROW(O483)-ROW(T_BATTINGDATA[[#Headers],[BATSMAN NAME]])),0)&gt;0,0,SUMIF($O$6:O483,T_BATTINGDATA[[#This Row],[BATSMAN NAME]],$E$6:E483)),SUMIF($O$6:O483,T_BATTINGDATA[[#This Row],[BATSMAN NAME]],$E$6:E483))</f>
        <v>0</v>
      </c>
      <c r="AP483">
        <v>32</v>
      </c>
      <c r="AQ483" t="s">
        <v>145</v>
      </c>
      <c r="AR483" t="s">
        <v>652</v>
      </c>
      <c r="AS483">
        <v>9</v>
      </c>
      <c r="AT483">
        <v>0</v>
      </c>
      <c r="AU483">
        <v>59</v>
      </c>
      <c r="AV483">
        <v>0</v>
      </c>
      <c r="AW483">
        <v>6.55</v>
      </c>
      <c r="AX483">
        <v>23</v>
      </c>
      <c r="AY483">
        <v>5</v>
      </c>
      <c r="AZ483">
        <v>1</v>
      </c>
      <c r="BA483">
        <v>0</v>
      </c>
      <c r="BB483">
        <v>0</v>
      </c>
      <c r="BC483">
        <v>2</v>
      </c>
      <c r="BD483" t="str">
        <f>CONCATENATE(Table9[[#This Row],[Match Number]],Table9[[#This Row],[Team]],Table9[[#This Row],[BOWL NUM]])</f>
        <v>32Sri Lanka2</v>
      </c>
      <c r="BE483" t="str">
        <f>IFERROR(IF(AND(Table9[[#This Row],[Team]]=I_TEAM,IFERROR(IF(MATCH(Table9[[#This Row],[Bowler]],$AR$5:AR482,0)&gt;0,0),1)),1,0),"")</f>
        <v/>
      </c>
      <c r="BF483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8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83" t="e">
        <f>IF(Table9[[#This Row],[Team]]=I_TEAM,Table9[[#This Row],[Wickets]]*100-Table9[[#This Row],[Runs]],0)</f>
        <v>#REF!</v>
      </c>
      <c r="BI483">
        <f>Table9[[#This Row],[Wickets]]*100-Table9[[#This Row],[Runs]]</f>
        <v>-59</v>
      </c>
      <c r="BJ483">
        <f ca="1">IFERROR(IF(MATCH(Table9[[#This Row],[Bowler]],OFFSET(AR484,0,0,BOWLROWS-ROW(AR483)-ROW(Table9[[#Headers],[BOWLER CUML WICKETS]])),0)&gt;0,0,SUMIF($AR$6:AR483,Table9[[#This Row],[Bowler]],$AV$6:AV483)),SUMIF($AR$6:AR483,Table9[[#This Row],[Bowler]],$AV$6:AV483))</f>
        <v>0</v>
      </c>
      <c r="BK483">
        <f ca="1">IFERROR(IF(MATCH(Table9[[#This Row],[Bowler]],OFFSET(AR484,0,0,BOWLROWS-ROW(AR483)-ROW(Table9[[#Headers],[BOWLER CUML WICKETS]])),0)&gt;0,0,SUMIF($AR$6:AR483,Table9[[#This Row],[Bowler]],$AU$6:AU483)),SUMIF($AR$6:AR483,Table9[[#This Row],[Bowler]],$AU$6:AU483))</f>
        <v>59</v>
      </c>
      <c r="BL483">
        <f ca="1">Table9[[#This Row],[BOWLER CUML WICKETS]]*100-Table9[[#This Row],[BOWLER CUML RUNS]]</f>
        <v>-59</v>
      </c>
    </row>
    <row r="484" spans="1:64" x14ac:dyDescent="0.3">
      <c r="A484">
        <v>17</v>
      </c>
      <c r="B484" t="s">
        <v>185</v>
      </c>
      <c r="C484" t="s">
        <v>478</v>
      </c>
      <c r="D484" t="s">
        <v>544</v>
      </c>
      <c r="E484">
        <v>7</v>
      </c>
      <c r="F484">
        <v>31</v>
      </c>
      <c r="G484">
        <v>13</v>
      </c>
      <c r="H484">
        <v>0</v>
      </c>
      <c r="I484">
        <v>0</v>
      </c>
      <c r="J484">
        <v>53.84</v>
      </c>
      <c r="K484">
        <v>2</v>
      </c>
      <c r="L484" t="str">
        <f>CONCATENATE(T_BATTINGDATA[[#This Row],[Match]],T_BATTINGDATA[[#This Row],[Team]],T_BATTINGDATA[[#This Row],[Bat Number]])</f>
        <v>17Afghanistan2</v>
      </c>
      <c r="M484" t="str">
        <f>IFERROR(IF(AND(T_BATTINGDATA[[#This Row],[Team]]=I_TEAM,IFERROR(IF(MATCH(T_BATTINGDATA[[#This Row],[BATSMAN NAME]],$O$5:O483,0)&gt;0,0),1)),1,0),"")</f>
        <v/>
      </c>
      <c r="N484" t="e">
        <f>IF(T_BATTINGDATA[[#This Row],[Team]]=I_TEAM,T_BATTINGDATA[[#This Row],[R]],0)</f>
        <v>#REF!</v>
      </c>
      <c r="O484" t="str">
        <f>LEFT(T_BATTINGDATA[[#This Row],[Batsman]],IFERROR(FIND("*",T_BATTINGDATA[[#This Row],[Batsman]])-1,IFERROR(FIND("†",T_BATTINGDATA[[#This Row],[Batsman]])-1,LEN(T_BATTINGDATA[[#This Row],[Batsman]]))))</f>
        <v>Nawroz Mangal</v>
      </c>
      <c r="P484">
        <f ca="1">IFERROR(IF(MATCH(T_BATTINGDATA[[#This Row],[BATSMAN NAME]],OFFSET(O485,0,0,BATROWS-ROW(O484)-ROW(T_BATTINGDATA[[#Headers],[BATSMAN NAME]])),0)&gt;0,0,SUMIF($O$6:O484,T_BATTINGDATA[[#This Row],[BATSMAN NAME]],$E$6:E484)),SUMIF($O$6:O484,T_BATTINGDATA[[#This Row],[BATSMAN NAME]],$E$6:E484))</f>
        <v>0</v>
      </c>
      <c r="AP484">
        <v>32</v>
      </c>
      <c r="AQ484" t="s">
        <v>145</v>
      </c>
      <c r="AR484" t="s">
        <v>288</v>
      </c>
      <c r="AS484">
        <v>7</v>
      </c>
      <c r="AT484">
        <v>0</v>
      </c>
      <c r="AU484">
        <v>59</v>
      </c>
      <c r="AV484">
        <v>1</v>
      </c>
      <c r="AW484">
        <v>8.42</v>
      </c>
      <c r="AX484">
        <v>15</v>
      </c>
      <c r="AY484">
        <v>6</v>
      </c>
      <c r="AZ484">
        <v>1</v>
      </c>
      <c r="BA484">
        <v>2</v>
      </c>
      <c r="BB484">
        <v>0</v>
      </c>
      <c r="BC484">
        <v>3</v>
      </c>
      <c r="BD484" t="str">
        <f>CONCATENATE(Table9[[#This Row],[Match Number]],Table9[[#This Row],[Team]],Table9[[#This Row],[BOWL NUM]])</f>
        <v>32Sri Lanka3</v>
      </c>
      <c r="BE484" t="str">
        <f>IFERROR(IF(AND(Table9[[#This Row],[Team]]=I_TEAM,IFERROR(IF(MATCH(Table9[[#This Row],[Bowler]],$AR$5:AR483,0)&gt;0,0),1)),1,0),"")</f>
        <v/>
      </c>
      <c r="BF484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48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84" t="e">
        <f>IF(Table9[[#This Row],[Team]]=I_TEAM,Table9[[#This Row],[Wickets]]*100-Table9[[#This Row],[Runs]],0)</f>
        <v>#REF!</v>
      </c>
      <c r="BI484">
        <f>Table9[[#This Row],[Wickets]]*100-Table9[[#This Row],[Runs]]</f>
        <v>41</v>
      </c>
      <c r="BJ484">
        <f ca="1">IFERROR(IF(MATCH(Table9[[#This Row],[Bowler]],OFFSET(AR485,0,0,BOWLROWS-ROW(AR484)-ROW(Table9[[#Headers],[BOWLER CUML WICKETS]])),0)&gt;0,0,SUMIF($AR$6:AR484,Table9[[#This Row],[Bowler]],$AV$6:AV484)),SUMIF($AR$6:AR484,Table9[[#This Row],[Bowler]],$AV$6:AV484))</f>
        <v>6</v>
      </c>
      <c r="BK484">
        <f ca="1">IFERROR(IF(MATCH(Table9[[#This Row],[Bowler]],OFFSET(AR485,0,0,BOWLROWS-ROW(AR484)-ROW(Table9[[#Headers],[BOWLER CUML WICKETS]])),0)&gt;0,0,SUMIF($AR$6:AR484,Table9[[#This Row],[Bowler]],$AU$6:AU484)),SUMIF($AR$6:AR484,Table9[[#This Row],[Bowler]],$AU$6:AU484))</f>
        <v>207</v>
      </c>
      <c r="BL484">
        <f ca="1">Table9[[#This Row],[BOWLER CUML WICKETS]]*100-Table9[[#This Row],[BOWLER CUML RUNS]]</f>
        <v>393</v>
      </c>
    </row>
    <row r="485" spans="1:64" x14ac:dyDescent="0.3">
      <c r="A485">
        <v>17</v>
      </c>
      <c r="B485" t="s">
        <v>185</v>
      </c>
      <c r="C485" t="s">
        <v>457</v>
      </c>
      <c r="D485" t="s">
        <v>653</v>
      </c>
      <c r="E485">
        <v>4</v>
      </c>
      <c r="F485">
        <v>3</v>
      </c>
      <c r="G485">
        <v>3</v>
      </c>
      <c r="H485">
        <v>1</v>
      </c>
      <c r="I485">
        <v>0</v>
      </c>
      <c r="J485">
        <v>133.33000000000001</v>
      </c>
      <c r="K485">
        <v>3</v>
      </c>
      <c r="L485" t="str">
        <f>CONCATENATE(T_BATTINGDATA[[#This Row],[Match]],T_BATTINGDATA[[#This Row],[Team]],T_BATTINGDATA[[#This Row],[Bat Number]])</f>
        <v>17Afghanistan3</v>
      </c>
      <c r="M485" t="str">
        <f>IFERROR(IF(AND(T_BATTINGDATA[[#This Row],[Team]]=I_TEAM,IFERROR(IF(MATCH(T_BATTINGDATA[[#This Row],[BATSMAN NAME]],$O$5:O484,0)&gt;0,0),1)),1,0),"")</f>
        <v/>
      </c>
      <c r="N485" t="e">
        <f>IF(T_BATTINGDATA[[#This Row],[Team]]=I_TEAM,T_BATTINGDATA[[#This Row],[R]],0)</f>
        <v>#REF!</v>
      </c>
      <c r="O485" t="str">
        <f>LEFT(T_BATTINGDATA[[#This Row],[Batsman]],IFERROR(FIND("*",T_BATTINGDATA[[#This Row],[Batsman]])-1,IFERROR(FIND("†",T_BATTINGDATA[[#This Row],[Batsman]])-1,LEN(T_BATTINGDATA[[#This Row],[Batsman]]))))</f>
        <v>Asghar Stanikzai</v>
      </c>
      <c r="P485">
        <f ca="1">IFERROR(IF(MATCH(T_BATTINGDATA[[#This Row],[BATSMAN NAME]],OFFSET(O486,0,0,BATROWS-ROW(O485)-ROW(T_BATTINGDATA[[#Headers],[BATSMAN NAME]])),0)&gt;0,0,SUMIF($O$6:O485,T_BATTINGDATA[[#This Row],[BATSMAN NAME]],$E$6:E485)),SUMIF($O$6:O485,T_BATTINGDATA[[#This Row],[BATSMAN NAME]],$E$6:E485))</f>
        <v>0</v>
      </c>
      <c r="AP485">
        <v>32</v>
      </c>
      <c r="AQ485" t="s">
        <v>145</v>
      </c>
      <c r="AR485" t="s">
        <v>654</v>
      </c>
      <c r="AS485">
        <v>10</v>
      </c>
      <c r="AT485">
        <v>0</v>
      </c>
      <c r="AU485">
        <v>77</v>
      </c>
      <c r="AV485">
        <v>1</v>
      </c>
      <c r="AW485">
        <v>7.7</v>
      </c>
      <c r="AX485">
        <v>23</v>
      </c>
      <c r="AY485">
        <v>9</v>
      </c>
      <c r="AZ485">
        <v>1</v>
      </c>
      <c r="BA485">
        <v>0</v>
      </c>
      <c r="BB485">
        <v>0</v>
      </c>
      <c r="BC485">
        <v>4</v>
      </c>
      <c r="BD485" t="str">
        <f>CONCATENATE(Table9[[#This Row],[Match Number]],Table9[[#This Row],[Team]],Table9[[#This Row],[BOWL NUM]])</f>
        <v>32Sri Lanka4</v>
      </c>
      <c r="BE485" t="str">
        <f>IFERROR(IF(AND(Table9[[#This Row],[Team]]=I_TEAM,IFERROR(IF(MATCH(Table9[[#This Row],[Bowler]],$AR$5:AR484,0)&gt;0,0),1)),1,0),"")</f>
        <v/>
      </c>
      <c r="BF48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8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85" t="e">
        <f>IF(Table9[[#This Row],[Team]]=I_TEAM,Table9[[#This Row],[Wickets]]*100-Table9[[#This Row],[Runs]],0)</f>
        <v>#REF!</v>
      </c>
      <c r="BI485">
        <f>Table9[[#This Row],[Wickets]]*100-Table9[[#This Row],[Runs]]</f>
        <v>23</v>
      </c>
      <c r="BJ485">
        <f ca="1">IFERROR(IF(MATCH(Table9[[#This Row],[Bowler]],OFFSET(AR486,0,0,BOWLROWS-ROW(AR485)-ROW(Table9[[#Headers],[BOWLER CUML WICKETS]])),0)&gt;0,0,SUMIF($AR$6:AR485,Table9[[#This Row],[Bowler]],$AV$6:AV485)),SUMIF($AR$6:AR485,Table9[[#This Row],[Bowler]],$AV$6:AV485))</f>
        <v>0</v>
      </c>
      <c r="BK485">
        <f ca="1">IFERROR(IF(MATCH(Table9[[#This Row],[Bowler]],OFFSET(AR486,0,0,BOWLROWS-ROW(AR485)-ROW(Table9[[#Headers],[BOWLER CUML WICKETS]])),0)&gt;0,0,SUMIF($AR$6:AR485,Table9[[#This Row],[Bowler]],$AU$6:AU485)),SUMIF($AR$6:AR485,Table9[[#This Row],[Bowler]],$AU$6:AU485))</f>
        <v>0</v>
      </c>
      <c r="BL485">
        <f ca="1">Table9[[#This Row],[BOWLER CUML WICKETS]]*100-Table9[[#This Row],[BOWLER CUML RUNS]]</f>
        <v>0</v>
      </c>
    </row>
    <row r="486" spans="1:64" x14ac:dyDescent="0.3">
      <c r="A486">
        <v>17</v>
      </c>
      <c r="B486" t="s">
        <v>185</v>
      </c>
      <c r="C486" t="s">
        <v>401</v>
      </c>
      <c r="D486" t="s">
        <v>655</v>
      </c>
      <c r="E486">
        <v>96</v>
      </c>
      <c r="F486">
        <v>176</v>
      </c>
      <c r="G486">
        <v>147</v>
      </c>
      <c r="H486">
        <v>7</v>
      </c>
      <c r="I486">
        <v>5</v>
      </c>
      <c r="J486">
        <v>65.3</v>
      </c>
      <c r="K486">
        <v>4</v>
      </c>
      <c r="L486" t="str">
        <f>CONCATENATE(T_BATTINGDATA[[#This Row],[Match]],T_BATTINGDATA[[#This Row],[Team]],T_BATTINGDATA[[#This Row],[Bat Number]])</f>
        <v>17Afghanistan4</v>
      </c>
      <c r="M486" t="str">
        <f>IFERROR(IF(AND(T_BATTINGDATA[[#This Row],[Team]]=I_TEAM,IFERROR(IF(MATCH(T_BATTINGDATA[[#This Row],[BATSMAN NAME]],$O$5:O485,0)&gt;0,0),1)),1,0),"")</f>
        <v/>
      </c>
      <c r="N486" t="e">
        <f>IF(T_BATTINGDATA[[#This Row],[Team]]=I_TEAM,T_BATTINGDATA[[#This Row],[R]],0)</f>
        <v>#REF!</v>
      </c>
      <c r="O486" t="str">
        <f>LEFT(T_BATTINGDATA[[#This Row],[Batsman]],IFERROR(FIND("*",T_BATTINGDATA[[#This Row],[Batsman]])-1,IFERROR(FIND("†",T_BATTINGDATA[[#This Row],[Batsman]])-1,LEN(T_BATTINGDATA[[#This Row],[Batsman]]))))</f>
        <v>Samiullah Shenwari</v>
      </c>
      <c r="P486">
        <f ca="1">IFERROR(IF(MATCH(T_BATTINGDATA[[#This Row],[BATSMAN NAME]],OFFSET(O487,0,0,BATROWS-ROW(O486)-ROW(T_BATTINGDATA[[#Headers],[BATSMAN NAME]])),0)&gt;0,0,SUMIF($O$6:O486,T_BATTINGDATA[[#This Row],[BATSMAN NAME]],$E$6:E486)),SUMIF($O$6:O486,T_BATTINGDATA[[#This Row],[BATSMAN NAME]],$E$6:E486))</f>
        <v>0</v>
      </c>
      <c r="AP486">
        <v>32</v>
      </c>
      <c r="AQ486" t="s">
        <v>145</v>
      </c>
      <c r="AR486" t="s">
        <v>445</v>
      </c>
      <c r="AS486">
        <v>9</v>
      </c>
      <c r="AT486">
        <v>0</v>
      </c>
      <c r="AU486">
        <v>87</v>
      </c>
      <c r="AV486">
        <v>2</v>
      </c>
      <c r="AW486">
        <v>9.66</v>
      </c>
      <c r="AX486">
        <v>18</v>
      </c>
      <c r="AY486">
        <v>9</v>
      </c>
      <c r="AZ486">
        <v>4</v>
      </c>
      <c r="BA486">
        <v>1</v>
      </c>
      <c r="BB486">
        <v>0</v>
      </c>
      <c r="BC486">
        <v>5</v>
      </c>
      <c r="BD486" t="str">
        <f>CONCATENATE(Table9[[#This Row],[Match Number]],Table9[[#This Row],[Team]],Table9[[#This Row],[BOWL NUM]])</f>
        <v>32Sri Lanka5</v>
      </c>
      <c r="BE486" t="str">
        <f>IFERROR(IF(AND(Table9[[#This Row],[Team]]=I_TEAM,IFERROR(IF(MATCH(Table9[[#This Row],[Bowler]],$AR$5:AR485,0)&gt;0,0),1)),1,0),"")</f>
        <v/>
      </c>
      <c r="BF486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8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86" t="e">
        <f>IF(Table9[[#This Row],[Team]]=I_TEAM,Table9[[#This Row],[Wickets]]*100-Table9[[#This Row],[Runs]],0)</f>
        <v>#REF!</v>
      </c>
      <c r="BI486">
        <f>Table9[[#This Row],[Wickets]]*100-Table9[[#This Row],[Runs]]</f>
        <v>113</v>
      </c>
      <c r="BJ486">
        <f ca="1">IFERROR(IF(MATCH(Table9[[#This Row],[Bowler]],OFFSET(AR487,0,0,BOWLROWS-ROW(AR486)-ROW(Table9[[#Headers],[BOWLER CUML WICKETS]])),0)&gt;0,0,SUMIF($AR$6:AR486,Table9[[#This Row],[Bowler]],$AV$6:AV486)),SUMIF($AR$6:AR486,Table9[[#This Row],[Bowler]],$AV$6:AV486))</f>
        <v>0</v>
      </c>
      <c r="BK486">
        <f ca="1">IFERROR(IF(MATCH(Table9[[#This Row],[Bowler]],OFFSET(AR487,0,0,BOWLROWS-ROW(AR486)-ROW(Table9[[#Headers],[BOWLER CUML WICKETS]])),0)&gt;0,0,SUMIF($AR$6:AR486,Table9[[#This Row],[Bowler]],$AU$6:AU486)),SUMIF($AR$6:AR486,Table9[[#This Row],[Bowler]],$AU$6:AU486))</f>
        <v>0</v>
      </c>
      <c r="BL486">
        <f ca="1">Table9[[#This Row],[BOWLER CUML WICKETS]]*100-Table9[[#This Row],[BOWLER CUML RUNS]]</f>
        <v>0</v>
      </c>
    </row>
    <row r="487" spans="1:64" x14ac:dyDescent="0.3">
      <c r="A487">
        <v>17</v>
      </c>
      <c r="B487" t="s">
        <v>185</v>
      </c>
      <c r="C487" t="s">
        <v>483</v>
      </c>
      <c r="D487" t="s">
        <v>656</v>
      </c>
      <c r="E487">
        <v>1</v>
      </c>
      <c r="F487">
        <v>10</v>
      </c>
      <c r="G487">
        <v>3</v>
      </c>
      <c r="H487">
        <v>0</v>
      </c>
      <c r="I487">
        <v>0</v>
      </c>
      <c r="J487">
        <v>33.33</v>
      </c>
      <c r="K487">
        <v>5</v>
      </c>
      <c r="L487" t="str">
        <f>CONCATENATE(T_BATTINGDATA[[#This Row],[Match]],T_BATTINGDATA[[#This Row],[Team]],T_BATTINGDATA[[#This Row],[Bat Number]])</f>
        <v>17Afghanistan5</v>
      </c>
      <c r="M487" t="str">
        <f>IFERROR(IF(AND(T_BATTINGDATA[[#This Row],[Team]]=I_TEAM,IFERROR(IF(MATCH(T_BATTINGDATA[[#This Row],[BATSMAN NAME]],$O$5:O486,0)&gt;0,0),1)),1,0),"")</f>
        <v/>
      </c>
      <c r="N487" t="e">
        <f>IF(T_BATTINGDATA[[#This Row],[Team]]=I_TEAM,T_BATTINGDATA[[#This Row],[R]],0)</f>
        <v>#REF!</v>
      </c>
      <c r="O487" t="str">
        <f>LEFT(T_BATTINGDATA[[#This Row],[Batsman]],IFERROR(FIND("*",T_BATTINGDATA[[#This Row],[Batsman]])-1,IFERROR(FIND("†",T_BATTINGDATA[[#This Row],[Batsman]])-1,LEN(T_BATTINGDATA[[#This Row],[Batsman]]))))</f>
        <v>Mohammad Nabi</v>
      </c>
      <c r="P487">
        <f ca="1">IFERROR(IF(MATCH(T_BATTINGDATA[[#This Row],[BATSMAN NAME]],OFFSET(O488,0,0,BATROWS-ROW(O487)-ROW(T_BATTINGDATA[[#Headers],[BATSMAN NAME]])),0)&gt;0,0,SUMIF($O$6:O487,T_BATTINGDATA[[#This Row],[BATSMAN NAME]],$E$6:E487)),SUMIF($O$6:O487,T_BATTINGDATA[[#This Row],[BATSMAN NAME]],$E$6:E487))</f>
        <v>0</v>
      </c>
      <c r="AP487">
        <v>32</v>
      </c>
      <c r="AQ487" t="s">
        <v>145</v>
      </c>
      <c r="AR487" t="s">
        <v>290</v>
      </c>
      <c r="AS487">
        <v>5</v>
      </c>
      <c r="AT487">
        <v>0</v>
      </c>
      <c r="AU487">
        <v>33</v>
      </c>
      <c r="AV487">
        <v>1</v>
      </c>
      <c r="AW487">
        <v>6.6</v>
      </c>
      <c r="AX487">
        <v>10</v>
      </c>
      <c r="AY487">
        <v>2</v>
      </c>
      <c r="AZ487">
        <v>1</v>
      </c>
      <c r="BA487">
        <v>0</v>
      </c>
      <c r="BB487">
        <v>0</v>
      </c>
      <c r="BC487">
        <v>6</v>
      </c>
      <c r="BD487" t="str">
        <f>CONCATENATE(Table9[[#This Row],[Match Number]],Table9[[#This Row],[Team]],Table9[[#This Row],[BOWL NUM]])</f>
        <v>32Sri Lanka6</v>
      </c>
      <c r="BE487" t="str">
        <f>IFERROR(IF(AND(Table9[[#This Row],[Team]]=I_TEAM,IFERROR(IF(MATCH(Table9[[#This Row],[Bowler]],$AR$5:AR486,0)&gt;0,0),1)),1,0),"")</f>
        <v/>
      </c>
      <c r="BF487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8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87" t="e">
        <f>IF(Table9[[#This Row],[Team]]=I_TEAM,Table9[[#This Row],[Wickets]]*100-Table9[[#This Row],[Runs]],0)</f>
        <v>#REF!</v>
      </c>
      <c r="BI487">
        <f>Table9[[#This Row],[Wickets]]*100-Table9[[#This Row],[Runs]]</f>
        <v>67</v>
      </c>
      <c r="BJ487">
        <f ca="1">IFERROR(IF(MATCH(Table9[[#This Row],[Bowler]],OFFSET(AR488,0,0,BOWLROWS-ROW(AR487)-ROW(Table9[[#Headers],[BOWLER CUML WICKETS]])),0)&gt;0,0,SUMIF($AR$6:AR590,Table9[[#This Row],[Bowler]],$AV$6:AV590)),SUMIF($AR$6:AR590,Table9[[#This Row],[Bowler]],$AV$6:AV590))</f>
        <v>0</v>
      </c>
      <c r="BK487">
        <f ca="1">IFERROR(IF(MATCH(Table9[[#This Row],[Bowler]],OFFSET(AR488,0,0,BOWLROWS-ROW(AR487)-ROW(Table9[[#Headers],[BOWLER CUML WICKETS]])),0)&gt;0,0,SUMIF($AR$6:AR590,Table9[[#This Row],[Bowler]],$AU$6:AU590)),SUMIF($AR$6:AR590,Table9[[#This Row],[Bowler]],$AU$6:AU590))</f>
        <v>0</v>
      </c>
      <c r="BL487">
        <f ca="1">Table9[[#This Row],[BOWLER CUML WICKETS]]*100-Table9[[#This Row],[BOWLER CUML RUNS]]</f>
        <v>0</v>
      </c>
    </row>
    <row r="488" spans="1:64" x14ac:dyDescent="0.3">
      <c r="A488">
        <v>17</v>
      </c>
      <c r="B488" t="s">
        <v>185</v>
      </c>
      <c r="C488" t="s">
        <v>476</v>
      </c>
      <c r="D488" t="s">
        <v>657</v>
      </c>
      <c r="E488">
        <v>0</v>
      </c>
      <c r="F488">
        <v>4</v>
      </c>
      <c r="G488">
        <v>1</v>
      </c>
      <c r="H488">
        <v>0</v>
      </c>
      <c r="I488">
        <v>0</v>
      </c>
      <c r="J488">
        <v>0</v>
      </c>
      <c r="K488">
        <v>6</v>
      </c>
      <c r="L488" t="str">
        <f>CONCATENATE(T_BATTINGDATA[[#This Row],[Match]],T_BATTINGDATA[[#This Row],[Team]],T_BATTINGDATA[[#This Row],[Bat Number]])</f>
        <v>17Afghanistan6</v>
      </c>
      <c r="M488" t="str">
        <f>IFERROR(IF(AND(T_BATTINGDATA[[#This Row],[Team]]=I_TEAM,IFERROR(IF(MATCH(T_BATTINGDATA[[#This Row],[BATSMAN NAME]],$O$5:O487,0)&gt;0,0),1)),1,0),"")</f>
        <v/>
      </c>
      <c r="N488" t="e">
        <f>IF(T_BATTINGDATA[[#This Row],[Team]]=I_TEAM,T_BATTINGDATA[[#This Row],[R]],0)</f>
        <v>#REF!</v>
      </c>
      <c r="O488" t="str">
        <f>LEFT(T_BATTINGDATA[[#This Row],[Batsman]],IFERROR(FIND("*",T_BATTINGDATA[[#This Row],[Batsman]])-1,IFERROR(FIND("†",T_BATTINGDATA[[#This Row],[Batsman]])-1,LEN(T_BATTINGDATA[[#This Row],[Batsman]]))))</f>
        <v>Afsar Zazai</v>
      </c>
      <c r="P488">
        <f ca="1">IFERROR(IF(MATCH(T_BATTINGDATA[[#This Row],[BATSMAN NAME]],OFFSET(O489,0,0,BATROWS-ROW(O488)-ROW(T_BATTINGDATA[[#Headers],[BATSMAN NAME]])),0)&gt;0,0,SUMIF($O$6:O488,T_BATTINGDATA[[#This Row],[BATSMAN NAME]],$E$6:E488)),SUMIF($O$6:O488,T_BATTINGDATA[[#This Row],[BATSMAN NAME]],$E$6:E488))</f>
        <v>0</v>
      </c>
      <c r="AP488">
        <v>32</v>
      </c>
      <c r="AQ488" t="s">
        <v>149</v>
      </c>
      <c r="AR488" t="s">
        <v>321</v>
      </c>
      <c r="AS488">
        <v>8.1999999999999993</v>
      </c>
      <c r="AT488">
        <v>0</v>
      </c>
      <c r="AU488">
        <v>29</v>
      </c>
      <c r="AV488">
        <v>2</v>
      </c>
      <c r="AW488">
        <v>3.48</v>
      </c>
      <c r="AX488">
        <v>31</v>
      </c>
      <c r="AY488">
        <v>2</v>
      </c>
      <c r="AZ488">
        <v>0</v>
      </c>
      <c r="BA488">
        <v>1</v>
      </c>
      <c r="BB488">
        <v>0</v>
      </c>
      <c r="BC488">
        <v>1</v>
      </c>
      <c r="BD488" t="str">
        <f>CONCATENATE(Table9[[#This Row],[Match Number]],Table9[[#This Row],[Team]],Table9[[#This Row],[BOWL NUM]])</f>
        <v>32Australia1</v>
      </c>
      <c r="BE488" t="str">
        <f>IFERROR(IF(AND(Table9[[#This Row],[Team]]=I_TEAM,IFERROR(IF(MATCH(Table9[[#This Row],[Bowler]],$AR$5:AR487,0)&gt;0,0),1)),1,0),"")</f>
        <v/>
      </c>
      <c r="BF488">
        <f>(LEFT(Table9[[#This Row],[Overs]],IFERROR(FIND(".",Table9[[#This Row],[Overs]])-1,LEN(Table9[[#This Row],[Overs]])))*6) + IFERROR(IF(FIND(".",Table9[[#This Row],[Overs]])+1&gt;0,RIGHT(Table9[[#This Row],[Overs]],1),0),0)</f>
        <v>50</v>
      </c>
      <c r="BG48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488" t="e">
        <f>IF(Table9[[#This Row],[Team]]=I_TEAM,Table9[[#This Row],[Wickets]]*100-Table9[[#This Row],[Runs]],0)</f>
        <v>#REF!</v>
      </c>
      <c r="BI488">
        <f>Table9[[#This Row],[Wickets]]*100-Table9[[#This Row],[Runs]]</f>
        <v>171</v>
      </c>
      <c r="BJ488">
        <f ca="1">IFERROR(IF(MATCH(Table9[[#This Row],[Bowler]],OFFSET(AR489,0,0,BOWLROWS-ROW(AR488)-ROW(Table9[[#Headers],[BOWLER CUML WICKETS]])),0)&gt;0,0,SUMIF($AR$6:AR488,Table9[[#This Row],[Bowler]],$AV$6:AV488)),SUMIF($AR$6:AR488,Table9[[#This Row],[Bowler]],$AV$6:AV488))</f>
        <v>0</v>
      </c>
      <c r="BK488">
        <f ca="1">IFERROR(IF(MATCH(Table9[[#This Row],[Bowler]],OFFSET(AR489,0,0,BOWLROWS-ROW(AR488)-ROW(Table9[[#Headers],[BOWLER CUML WICKETS]])),0)&gt;0,0,SUMIF($AR$6:AR488,Table9[[#This Row],[Bowler]],$AU$6:AU488)),SUMIF($AR$6:AR488,Table9[[#This Row],[Bowler]],$AU$6:AU488))</f>
        <v>0</v>
      </c>
      <c r="BL488">
        <f ca="1">Table9[[#This Row],[BOWLER CUML WICKETS]]*100-Table9[[#This Row],[BOWLER CUML RUNS]]</f>
        <v>0</v>
      </c>
    </row>
    <row r="489" spans="1:64" x14ac:dyDescent="0.3">
      <c r="A489">
        <v>17</v>
      </c>
      <c r="B489" t="s">
        <v>185</v>
      </c>
      <c r="C489" t="s">
        <v>485</v>
      </c>
      <c r="D489" t="s">
        <v>658</v>
      </c>
      <c r="E489">
        <v>4</v>
      </c>
      <c r="F489">
        <v>9</v>
      </c>
      <c r="G489">
        <v>5</v>
      </c>
      <c r="H489">
        <v>1</v>
      </c>
      <c r="I489">
        <v>0</v>
      </c>
      <c r="J489">
        <v>80</v>
      </c>
      <c r="K489">
        <v>7</v>
      </c>
      <c r="L489" t="str">
        <f>CONCATENATE(T_BATTINGDATA[[#This Row],[Match]],T_BATTINGDATA[[#This Row],[Team]],T_BATTINGDATA[[#This Row],[Bat Number]])</f>
        <v>17Afghanistan7</v>
      </c>
      <c r="M489" t="str">
        <f>IFERROR(IF(AND(T_BATTINGDATA[[#This Row],[Team]]=I_TEAM,IFERROR(IF(MATCH(T_BATTINGDATA[[#This Row],[BATSMAN NAME]],$O$5:O488,0)&gt;0,0),1)),1,0),"")</f>
        <v/>
      </c>
      <c r="N489" t="e">
        <f>IF(T_BATTINGDATA[[#This Row],[Team]]=I_TEAM,T_BATTINGDATA[[#This Row],[R]],0)</f>
        <v>#REF!</v>
      </c>
      <c r="O489" t="str">
        <f>LEFT(T_BATTINGDATA[[#This Row],[Batsman]],IFERROR(FIND("*",T_BATTINGDATA[[#This Row],[Batsman]])-1,IFERROR(FIND("†",T_BATTINGDATA[[#This Row],[Batsman]])-1,LEN(T_BATTINGDATA[[#This Row],[Batsman]]))))</f>
        <v>Najibullah Zadran</v>
      </c>
      <c r="P489">
        <f ca="1">IFERROR(IF(MATCH(T_BATTINGDATA[[#This Row],[BATSMAN NAME]],OFFSET(O490,0,0,BATROWS-ROW(O489)-ROW(T_BATTINGDATA[[#Headers],[BATSMAN NAME]])),0)&gt;0,0,SUMIF($O$6:O489,T_BATTINGDATA[[#This Row],[BATSMAN NAME]],$E$6:E489)),SUMIF($O$6:O489,T_BATTINGDATA[[#This Row],[BATSMAN NAME]],$E$6:E489))</f>
        <v>0</v>
      </c>
      <c r="AP489">
        <v>32</v>
      </c>
      <c r="AQ489" t="s">
        <v>149</v>
      </c>
      <c r="AR489" t="s">
        <v>323</v>
      </c>
      <c r="AS489">
        <v>9</v>
      </c>
      <c r="AT489">
        <v>0</v>
      </c>
      <c r="AU489">
        <v>62</v>
      </c>
      <c r="AV489">
        <v>2</v>
      </c>
      <c r="AW489">
        <v>6.88</v>
      </c>
      <c r="AX489">
        <v>28</v>
      </c>
      <c r="AY489">
        <v>9</v>
      </c>
      <c r="AZ489">
        <v>0</v>
      </c>
      <c r="BA489">
        <v>2</v>
      </c>
      <c r="BB489">
        <v>0</v>
      </c>
      <c r="BC489">
        <v>2</v>
      </c>
      <c r="BD489" t="str">
        <f>CONCATENATE(Table9[[#This Row],[Match Number]],Table9[[#This Row],[Team]],Table9[[#This Row],[BOWL NUM]])</f>
        <v>32Australia2</v>
      </c>
      <c r="BE489" t="str">
        <f>IFERROR(IF(AND(Table9[[#This Row],[Team]]=I_TEAM,IFERROR(IF(MATCH(Table9[[#This Row],[Bowler]],$AR$5:AR488,0)&gt;0,0),1)),1,0),"")</f>
        <v/>
      </c>
      <c r="BF489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8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489" t="e">
        <f>IF(Table9[[#This Row],[Team]]=I_TEAM,Table9[[#This Row],[Wickets]]*100-Table9[[#This Row],[Runs]],0)</f>
        <v>#REF!</v>
      </c>
      <c r="BI489">
        <f>Table9[[#This Row],[Wickets]]*100-Table9[[#This Row],[Runs]]</f>
        <v>138</v>
      </c>
      <c r="BJ489">
        <f ca="1">IFERROR(IF(MATCH(Table9[[#This Row],[Bowler]],OFFSET(AR490,0,0,BOWLROWS-ROW(AR489)-ROW(Table9[[#Headers],[BOWLER CUML WICKETS]])),0)&gt;0,0,SUMIF($AR$6:AR489,Table9[[#This Row],[Bowler]],$AV$6:AV489)),SUMIF($AR$6:AR489,Table9[[#This Row],[Bowler]],$AV$6:AV489))</f>
        <v>0</v>
      </c>
      <c r="BK489">
        <f ca="1">IFERROR(IF(MATCH(Table9[[#This Row],[Bowler]],OFFSET(AR490,0,0,BOWLROWS-ROW(AR489)-ROW(Table9[[#Headers],[BOWLER CUML WICKETS]])),0)&gt;0,0,SUMIF($AR$6:AR489,Table9[[#This Row],[Bowler]],$AU$6:AU489)),SUMIF($AR$6:AR489,Table9[[#This Row],[Bowler]],$AU$6:AU489))</f>
        <v>0</v>
      </c>
      <c r="BL489">
        <f ca="1">Table9[[#This Row],[BOWLER CUML WICKETS]]*100-Table9[[#This Row],[BOWLER CUML RUNS]]</f>
        <v>0</v>
      </c>
    </row>
    <row r="490" spans="1:64" x14ac:dyDescent="0.3">
      <c r="A490">
        <v>17</v>
      </c>
      <c r="B490" t="s">
        <v>185</v>
      </c>
      <c r="C490" t="s">
        <v>550</v>
      </c>
      <c r="D490" t="s">
        <v>659</v>
      </c>
      <c r="E490">
        <v>0</v>
      </c>
      <c r="F490">
        <v>4</v>
      </c>
      <c r="G490">
        <v>1</v>
      </c>
      <c r="H490">
        <v>0</v>
      </c>
      <c r="I490">
        <v>0</v>
      </c>
      <c r="J490">
        <v>0</v>
      </c>
      <c r="K490">
        <v>8</v>
      </c>
      <c r="L490" t="str">
        <f>CONCATENATE(T_BATTINGDATA[[#This Row],[Match]],T_BATTINGDATA[[#This Row],[Team]],T_BATTINGDATA[[#This Row],[Bat Number]])</f>
        <v>17Afghanistan8</v>
      </c>
      <c r="M490" t="str">
        <f>IFERROR(IF(AND(T_BATTINGDATA[[#This Row],[Team]]=I_TEAM,IFERROR(IF(MATCH(T_BATTINGDATA[[#This Row],[BATSMAN NAME]],$O$5:O489,0)&gt;0,0),1)),1,0),"")</f>
        <v/>
      </c>
      <c r="N490" t="e">
        <f>IF(T_BATTINGDATA[[#This Row],[Team]]=I_TEAM,T_BATTINGDATA[[#This Row],[R]],0)</f>
        <v>#REF!</v>
      </c>
      <c r="O490" t="str">
        <f>LEFT(T_BATTINGDATA[[#This Row],[Batsman]],IFERROR(FIND("*",T_BATTINGDATA[[#This Row],[Batsman]])-1,IFERROR(FIND("†",T_BATTINGDATA[[#This Row],[Batsman]])-1,LEN(T_BATTINGDATA[[#This Row],[Batsman]]))))</f>
        <v>Gulbadin Naib</v>
      </c>
      <c r="P490">
        <f ca="1">IFERROR(IF(MATCH(T_BATTINGDATA[[#This Row],[BATSMAN NAME]],OFFSET(O491,0,0,BATROWS-ROW(O490)-ROW(T_BATTINGDATA[[#Headers],[BATSMAN NAME]])),0)&gt;0,0,SUMIF($O$6:O490,T_BATTINGDATA[[#This Row],[BATSMAN NAME]],$E$6:E490)),SUMIF($O$6:O490,T_BATTINGDATA[[#This Row],[BATSMAN NAME]],$E$6:E490))</f>
        <v>0</v>
      </c>
      <c r="AP490">
        <v>32</v>
      </c>
      <c r="AQ490" t="s">
        <v>149</v>
      </c>
      <c r="AR490" t="s">
        <v>327</v>
      </c>
      <c r="AS490">
        <v>7</v>
      </c>
      <c r="AT490">
        <v>0</v>
      </c>
      <c r="AU490">
        <v>71</v>
      </c>
      <c r="AV490">
        <v>1</v>
      </c>
      <c r="AW490">
        <v>10.14</v>
      </c>
      <c r="AX490">
        <v>10</v>
      </c>
      <c r="AY490">
        <v>9</v>
      </c>
      <c r="AZ490">
        <v>1</v>
      </c>
      <c r="BA490">
        <v>0</v>
      </c>
      <c r="BB490">
        <v>0</v>
      </c>
      <c r="BC490">
        <v>3</v>
      </c>
      <c r="BD490" t="str">
        <f>CONCATENATE(Table9[[#This Row],[Match Number]],Table9[[#This Row],[Team]],Table9[[#This Row],[BOWL NUM]])</f>
        <v>32Australia3</v>
      </c>
      <c r="BE490" t="str">
        <f>IFERROR(IF(AND(Table9[[#This Row],[Team]]=I_TEAM,IFERROR(IF(MATCH(Table9[[#This Row],[Bowler]],$AR$5:AR489,0)&gt;0,0),1)),1,0),"")</f>
        <v/>
      </c>
      <c r="BF490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49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490" t="e">
        <f>IF(Table9[[#This Row],[Team]]=I_TEAM,Table9[[#This Row],[Wickets]]*100-Table9[[#This Row],[Runs]],0)</f>
        <v>#REF!</v>
      </c>
      <c r="BI490">
        <f>Table9[[#This Row],[Wickets]]*100-Table9[[#This Row],[Runs]]</f>
        <v>29</v>
      </c>
      <c r="BJ490">
        <f ca="1">IFERROR(IF(MATCH(Table9[[#This Row],[Bowler]],OFFSET(AR491,0,0,BOWLROWS-ROW(AR490)-ROW(Table9[[#Headers],[BOWLER CUML WICKETS]])),0)&gt;0,0,SUMIF($AR$6:AR490,Table9[[#This Row],[Bowler]],$AV$6:AV490)),SUMIF($AR$6:AR490,Table9[[#This Row],[Bowler]],$AV$6:AV490))</f>
        <v>0</v>
      </c>
      <c r="BK490">
        <f ca="1">IFERROR(IF(MATCH(Table9[[#This Row],[Bowler]],OFFSET(AR491,0,0,BOWLROWS-ROW(AR490)-ROW(Table9[[#Headers],[BOWLER CUML WICKETS]])),0)&gt;0,0,SUMIF($AR$6:AR490,Table9[[#This Row],[Bowler]],$AU$6:AU490)),SUMIF($AR$6:AR490,Table9[[#This Row],[Bowler]],$AU$6:AU490))</f>
        <v>0</v>
      </c>
      <c r="BL490">
        <f ca="1">Table9[[#This Row],[BOWLER CUML WICKETS]]*100-Table9[[#This Row],[BOWLER CUML RUNS]]</f>
        <v>0</v>
      </c>
    </row>
    <row r="491" spans="1:64" x14ac:dyDescent="0.3">
      <c r="A491">
        <v>17</v>
      </c>
      <c r="B491" t="s">
        <v>185</v>
      </c>
      <c r="C491" t="s">
        <v>451</v>
      </c>
      <c r="D491" t="s">
        <v>660</v>
      </c>
      <c r="E491">
        <v>9</v>
      </c>
      <c r="F491">
        <v>50</v>
      </c>
      <c r="G491">
        <v>25</v>
      </c>
      <c r="H491">
        <v>1</v>
      </c>
      <c r="I491">
        <v>0</v>
      </c>
      <c r="J491">
        <v>36</v>
      </c>
      <c r="K491">
        <v>9</v>
      </c>
      <c r="L491" t="str">
        <f>CONCATENATE(T_BATTINGDATA[[#This Row],[Match]],T_BATTINGDATA[[#This Row],[Team]],T_BATTINGDATA[[#This Row],[Bat Number]])</f>
        <v>17Afghanistan9</v>
      </c>
      <c r="M491" t="str">
        <f>IFERROR(IF(AND(T_BATTINGDATA[[#This Row],[Team]]=I_TEAM,IFERROR(IF(MATCH(T_BATTINGDATA[[#This Row],[BATSMAN NAME]],$O$5:O490,0)&gt;0,0),1)),1,0),"")</f>
        <v/>
      </c>
      <c r="N491" t="e">
        <f>IF(T_BATTINGDATA[[#This Row],[Team]]=I_TEAM,T_BATTINGDATA[[#This Row],[R]],0)</f>
        <v>#REF!</v>
      </c>
      <c r="O491" t="str">
        <f>LEFT(T_BATTINGDATA[[#This Row],[Batsman]],IFERROR(FIND("*",T_BATTINGDATA[[#This Row],[Batsman]])-1,IFERROR(FIND("†",T_BATTINGDATA[[#This Row],[Batsman]])-1,LEN(T_BATTINGDATA[[#This Row],[Batsman]]))))</f>
        <v>Dawlat Zadran</v>
      </c>
      <c r="P491">
        <f ca="1">IFERROR(IF(MATCH(T_BATTINGDATA[[#This Row],[BATSMAN NAME]],OFFSET(O492,0,0,BATROWS-ROW(O491)-ROW(T_BATTINGDATA[[#Headers],[BATSMAN NAME]])),0)&gt;0,0,SUMIF($O$6:O491,T_BATTINGDATA[[#This Row],[BATSMAN NAME]],$E$6:E491)),SUMIF($O$6:O491,T_BATTINGDATA[[#This Row],[BATSMAN NAME]],$E$6:E491))</f>
        <v>0</v>
      </c>
      <c r="AP491">
        <v>32</v>
      </c>
      <c r="AQ491" t="s">
        <v>149</v>
      </c>
      <c r="AR491" t="s">
        <v>661</v>
      </c>
      <c r="AS491">
        <v>7</v>
      </c>
      <c r="AT491">
        <v>0</v>
      </c>
      <c r="AU491">
        <v>60</v>
      </c>
      <c r="AV491">
        <v>0</v>
      </c>
      <c r="AW491">
        <v>8.57</v>
      </c>
      <c r="AX491">
        <v>13</v>
      </c>
      <c r="AY491">
        <v>7</v>
      </c>
      <c r="AZ491">
        <v>1</v>
      </c>
      <c r="BA491">
        <v>0</v>
      </c>
      <c r="BB491">
        <v>0</v>
      </c>
      <c r="BC491">
        <v>4</v>
      </c>
      <c r="BD491" t="str">
        <f>CONCATENATE(Table9[[#This Row],[Match Number]],Table9[[#This Row],[Team]],Table9[[#This Row],[BOWL NUM]])</f>
        <v>32Australia4</v>
      </c>
      <c r="BE491" t="str">
        <f>IFERROR(IF(AND(Table9[[#This Row],[Team]]=I_TEAM,IFERROR(IF(MATCH(Table9[[#This Row],[Bowler]],$AR$5:AR490,0)&gt;0,0),1)),1,0),"")</f>
        <v/>
      </c>
      <c r="BF491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49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491" t="e">
        <f>IF(Table9[[#This Row],[Team]]=I_TEAM,Table9[[#This Row],[Wickets]]*100-Table9[[#This Row],[Runs]],0)</f>
        <v>#REF!</v>
      </c>
      <c r="BI491">
        <f>Table9[[#This Row],[Wickets]]*100-Table9[[#This Row],[Runs]]</f>
        <v>-60</v>
      </c>
      <c r="BJ491">
        <f ca="1">IFERROR(IF(MATCH(Table9[[#This Row],[Bowler]],OFFSET(AR492,0,0,BOWLROWS-ROW(AR491)-ROW(Table9[[#Headers],[BOWLER CUML WICKETS]])),0)&gt;0,0,SUMIF($AR$6:AR491,Table9[[#This Row],[Bowler]],$AV$6:AV491)),SUMIF($AR$6:AR491,Table9[[#This Row],[Bowler]],$AV$6:AV491))</f>
        <v>0</v>
      </c>
      <c r="BK491">
        <f ca="1">IFERROR(IF(MATCH(Table9[[#This Row],[Bowler]],OFFSET(AR492,0,0,BOWLROWS-ROW(AR491)-ROW(Table9[[#Headers],[BOWLER CUML WICKETS]])),0)&gt;0,0,SUMIF($AR$6:AR491,Table9[[#This Row],[Bowler]],$AU$6:AU491)),SUMIF($AR$6:AR491,Table9[[#This Row],[Bowler]],$AU$6:AU491))</f>
        <v>60</v>
      </c>
      <c r="BL491">
        <f ca="1">Table9[[#This Row],[BOWLER CUML WICKETS]]*100-Table9[[#This Row],[BOWLER CUML RUNS]]</f>
        <v>-60</v>
      </c>
    </row>
    <row r="492" spans="1:64" x14ac:dyDescent="0.3">
      <c r="A492">
        <v>17</v>
      </c>
      <c r="B492" t="s">
        <v>185</v>
      </c>
      <c r="C492" t="s">
        <v>389</v>
      </c>
      <c r="D492" t="s">
        <v>167</v>
      </c>
      <c r="E492">
        <v>15</v>
      </c>
      <c r="F492">
        <v>75</v>
      </c>
      <c r="G492">
        <v>39</v>
      </c>
      <c r="H492">
        <v>1</v>
      </c>
      <c r="I492">
        <v>0</v>
      </c>
      <c r="J492">
        <v>38.46</v>
      </c>
      <c r="K492">
        <v>10</v>
      </c>
      <c r="L492" t="str">
        <f>CONCATENATE(T_BATTINGDATA[[#This Row],[Match]],T_BATTINGDATA[[#This Row],[Team]],T_BATTINGDATA[[#This Row],[Bat Number]])</f>
        <v>17Afghanistan10</v>
      </c>
      <c r="M492" t="str">
        <f>IFERROR(IF(AND(T_BATTINGDATA[[#This Row],[Team]]=I_TEAM,IFERROR(IF(MATCH(T_BATTINGDATA[[#This Row],[BATSMAN NAME]],$O$5:O491,0)&gt;0,0),1)),1,0),"")</f>
        <v/>
      </c>
      <c r="N492" t="e">
        <f>IF(T_BATTINGDATA[[#This Row],[Team]]=I_TEAM,T_BATTINGDATA[[#This Row],[R]],0)</f>
        <v>#REF!</v>
      </c>
      <c r="O492" t="str">
        <f>LEFT(T_BATTINGDATA[[#This Row],[Batsman]],IFERROR(FIND("*",T_BATTINGDATA[[#This Row],[Batsman]])-1,IFERROR(FIND("†",T_BATTINGDATA[[#This Row],[Batsman]])-1,LEN(T_BATTINGDATA[[#This Row],[Batsman]]))))</f>
        <v>Hamid Hassan</v>
      </c>
      <c r="P492">
        <f ca="1">IFERROR(IF(MATCH(T_BATTINGDATA[[#This Row],[BATSMAN NAME]],OFFSET(O493,0,0,BATROWS-ROW(O492)-ROW(T_BATTINGDATA[[#Headers],[BATSMAN NAME]])),0)&gt;0,0,SUMIF($O$6:O492,T_BATTINGDATA[[#This Row],[BATSMAN NAME]],$E$6:E492)),SUMIF($O$6:O492,T_BATTINGDATA[[#This Row],[BATSMAN NAME]],$E$6:E492))</f>
        <v>0</v>
      </c>
      <c r="AP492">
        <v>32</v>
      </c>
      <c r="AQ492" t="s">
        <v>149</v>
      </c>
      <c r="AR492" t="s">
        <v>329</v>
      </c>
      <c r="AS492">
        <v>6</v>
      </c>
      <c r="AT492">
        <v>0</v>
      </c>
      <c r="AU492">
        <v>35</v>
      </c>
      <c r="AV492">
        <v>0</v>
      </c>
      <c r="AW492">
        <v>5.83</v>
      </c>
      <c r="AX492">
        <v>14</v>
      </c>
      <c r="AY492">
        <v>3</v>
      </c>
      <c r="AZ492">
        <v>0</v>
      </c>
      <c r="BA492">
        <v>0</v>
      </c>
      <c r="BB492">
        <v>0</v>
      </c>
      <c r="BC492">
        <v>5</v>
      </c>
      <c r="BD492" t="str">
        <f>CONCATENATE(Table9[[#This Row],[Match Number]],Table9[[#This Row],[Team]],Table9[[#This Row],[BOWL NUM]])</f>
        <v>32Australia5</v>
      </c>
      <c r="BE492" t="str">
        <f>IFERROR(IF(AND(Table9[[#This Row],[Team]]=I_TEAM,IFERROR(IF(MATCH(Table9[[#This Row],[Bowler]],$AR$5:AR491,0)&gt;0,0),1)),1,0),"")</f>
        <v/>
      </c>
      <c r="BF492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49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492" t="e">
        <f>IF(Table9[[#This Row],[Team]]=I_TEAM,Table9[[#This Row],[Wickets]]*100-Table9[[#This Row],[Runs]],0)</f>
        <v>#REF!</v>
      </c>
      <c r="BI492">
        <f>Table9[[#This Row],[Wickets]]*100-Table9[[#This Row],[Runs]]</f>
        <v>-35</v>
      </c>
      <c r="BJ492">
        <f ca="1">IFERROR(IF(MATCH(Table9[[#This Row],[Bowler]],OFFSET(AR493,0,0,BOWLROWS-ROW(AR492)-ROW(Table9[[#Headers],[BOWLER CUML WICKETS]])),0)&gt;0,0,SUMIF($AR$6:AR492,Table9[[#This Row],[Bowler]],$AV$6:AV492)),SUMIF($AR$6:AR492,Table9[[#This Row],[Bowler]],$AV$6:AV492))</f>
        <v>0</v>
      </c>
      <c r="BK492">
        <f ca="1">IFERROR(IF(MATCH(Table9[[#This Row],[Bowler]],OFFSET(AR493,0,0,BOWLROWS-ROW(AR492)-ROW(Table9[[#Headers],[BOWLER CUML WICKETS]])),0)&gt;0,0,SUMIF($AR$6:AR492,Table9[[#This Row],[Bowler]],$AU$6:AU492)),SUMIF($AR$6:AR492,Table9[[#This Row],[Bowler]],$AU$6:AU492))</f>
        <v>0</v>
      </c>
      <c r="BL492">
        <f ca="1">Table9[[#This Row],[BOWLER CUML WICKETS]]*100-Table9[[#This Row],[BOWLER CUML RUNS]]</f>
        <v>0</v>
      </c>
    </row>
    <row r="493" spans="1:64" x14ac:dyDescent="0.3">
      <c r="A493">
        <v>17</v>
      </c>
      <c r="B493" t="s">
        <v>185</v>
      </c>
      <c r="C493" t="s">
        <v>390</v>
      </c>
      <c r="D493" t="s">
        <v>167</v>
      </c>
      <c r="E493">
        <v>12</v>
      </c>
      <c r="F493">
        <v>21</v>
      </c>
      <c r="G493">
        <v>10</v>
      </c>
      <c r="H493">
        <v>2</v>
      </c>
      <c r="I493">
        <v>0</v>
      </c>
      <c r="J493">
        <v>120</v>
      </c>
      <c r="K493">
        <v>11</v>
      </c>
      <c r="L493" t="str">
        <f>CONCATENATE(T_BATTINGDATA[[#This Row],[Match]],T_BATTINGDATA[[#This Row],[Team]],T_BATTINGDATA[[#This Row],[Bat Number]])</f>
        <v>17Afghanistan11</v>
      </c>
      <c r="M493" t="str">
        <f>IFERROR(IF(AND(T_BATTINGDATA[[#This Row],[Team]]=I_TEAM,IFERROR(IF(MATCH(T_BATTINGDATA[[#This Row],[BATSMAN NAME]],$O$5:O492,0)&gt;0,0),1)),1,0),"")</f>
        <v/>
      </c>
      <c r="N493" t="e">
        <f>IF(T_BATTINGDATA[[#This Row],[Team]]=I_TEAM,T_BATTINGDATA[[#This Row],[R]],0)</f>
        <v>#REF!</v>
      </c>
      <c r="O493" t="str">
        <f>LEFT(T_BATTINGDATA[[#This Row],[Batsman]],IFERROR(FIND("*",T_BATTINGDATA[[#This Row],[Batsman]])-1,IFERROR(FIND("†",T_BATTINGDATA[[#This Row],[Batsman]])-1,LEN(T_BATTINGDATA[[#This Row],[Batsman]]))))</f>
        <v>Shapoor Zadran</v>
      </c>
      <c r="P493">
        <f ca="1">IFERROR(IF(MATCH(T_BATTINGDATA[[#This Row],[BATSMAN NAME]],OFFSET(O494,0,0,BATROWS-ROW(O493)-ROW(T_BATTINGDATA[[#Headers],[BATSMAN NAME]])),0)&gt;0,0,SUMIF($O$6:O493,T_BATTINGDATA[[#This Row],[BATSMAN NAME]],$E$6:E493)),SUMIF($O$6:O493,T_BATTINGDATA[[#This Row],[BATSMAN NAME]],$E$6:E493))</f>
        <v>0</v>
      </c>
      <c r="AP493">
        <v>32</v>
      </c>
      <c r="AQ493" t="s">
        <v>149</v>
      </c>
      <c r="AR493" t="s">
        <v>505</v>
      </c>
      <c r="AS493">
        <v>9</v>
      </c>
      <c r="AT493">
        <v>0</v>
      </c>
      <c r="AU493">
        <v>48</v>
      </c>
      <c r="AV493">
        <v>3</v>
      </c>
      <c r="AW493">
        <v>5.33</v>
      </c>
      <c r="AX493">
        <v>23</v>
      </c>
      <c r="AY493">
        <v>4</v>
      </c>
      <c r="AZ493">
        <v>0</v>
      </c>
      <c r="BA493">
        <v>1</v>
      </c>
      <c r="BB493">
        <v>0</v>
      </c>
      <c r="BC493">
        <v>6</v>
      </c>
      <c r="BD493" t="str">
        <f>CONCATENATE(Table9[[#This Row],[Match Number]],Table9[[#This Row],[Team]],Table9[[#This Row],[BOWL NUM]])</f>
        <v>32Australia6</v>
      </c>
      <c r="BE493" t="str">
        <f>IFERROR(IF(AND(Table9[[#This Row],[Team]]=I_TEAM,IFERROR(IF(MATCH(Table9[[#This Row],[Bowler]],$AR$5:AR492,0)&gt;0,0),1)),1,0),"")</f>
        <v/>
      </c>
      <c r="BF493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9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493" t="e">
        <f>IF(Table9[[#This Row],[Team]]=I_TEAM,Table9[[#This Row],[Wickets]]*100-Table9[[#This Row],[Runs]],0)</f>
        <v>#REF!</v>
      </c>
      <c r="BI493">
        <f>Table9[[#This Row],[Wickets]]*100-Table9[[#This Row],[Runs]]</f>
        <v>252</v>
      </c>
      <c r="BJ493">
        <f ca="1">IFERROR(IF(MATCH(Table9[[#This Row],[Bowler]],OFFSET(AR494,0,0,BOWLROWS-ROW(AR493)-ROW(Table9[[#Headers],[BOWLER CUML WICKETS]])),0)&gt;0,0,SUMIF($AR$6:AR590,Table9[[#This Row],[Bowler]],$AV$6:AV590)),SUMIF($AR$6:AR590,Table9[[#This Row],[Bowler]],$AV$6:AV590))</f>
        <v>0</v>
      </c>
      <c r="BK493">
        <f ca="1">IFERROR(IF(MATCH(Table9[[#This Row],[Bowler]],OFFSET(AR494,0,0,BOWLROWS-ROW(AR493)-ROW(Table9[[#Headers],[BOWLER CUML WICKETS]])),0)&gt;0,0,SUMIF($AR$6:AR590,Table9[[#This Row],[Bowler]],$AU$6:AU590)),SUMIF($AR$6:AR590,Table9[[#This Row],[Bowler]],$AU$6:AU590))</f>
        <v>0</v>
      </c>
      <c r="BL493">
        <f ca="1">Table9[[#This Row],[BOWLER CUML WICKETS]]*100-Table9[[#This Row],[BOWLER CUML RUNS]]</f>
        <v>0</v>
      </c>
    </row>
    <row r="494" spans="1:64" x14ac:dyDescent="0.3">
      <c r="A494">
        <v>18</v>
      </c>
      <c r="B494" t="s">
        <v>145</v>
      </c>
      <c r="C494" t="s">
        <v>361</v>
      </c>
      <c r="D494" t="s">
        <v>662</v>
      </c>
      <c r="E494">
        <v>52</v>
      </c>
      <c r="F494">
        <v>104</v>
      </c>
      <c r="G494">
        <v>78</v>
      </c>
      <c r="H494">
        <v>3</v>
      </c>
      <c r="I494">
        <v>0</v>
      </c>
      <c r="J494">
        <v>66.66</v>
      </c>
      <c r="K494">
        <v>1</v>
      </c>
      <c r="L494" t="str">
        <f>CONCATENATE(T_BATTINGDATA[[#This Row],[Match]],T_BATTINGDATA[[#This Row],[Team]],T_BATTINGDATA[[#This Row],[Bat Number]])</f>
        <v>18Sri Lanka1</v>
      </c>
      <c r="M494" t="str">
        <f>IFERROR(IF(AND(T_BATTINGDATA[[#This Row],[Team]]=I_TEAM,IFERROR(IF(MATCH(T_BATTINGDATA[[#This Row],[BATSMAN NAME]],$O$5:O493,0)&gt;0,0),1)),1,0),"")</f>
        <v/>
      </c>
      <c r="N494" t="e">
        <f>IF(T_BATTINGDATA[[#This Row],[Team]]=I_TEAM,T_BATTINGDATA[[#This Row],[R]],0)</f>
        <v>#REF!</v>
      </c>
      <c r="O494" t="str">
        <f>LEFT(T_BATTINGDATA[[#This Row],[Batsman]],IFERROR(FIND("*",T_BATTINGDATA[[#This Row],[Batsman]])-1,IFERROR(FIND("†",T_BATTINGDATA[[#This Row],[Batsman]])-1,LEN(T_BATTINGDATA[[#This Row],[Batsman]]))))</f>
        <v>HDRL Thirimanne</v>
      </c>
      <c r="P494">
        <f ca="1">IFERROR(IF(MATCH(T_BATTINGDATA[[#This Row],[BATSMAN NAME]],OFFSET(O495,0,0,BATROWS-ROW(O494)-ROW(T_BATTINGDATA[[#Headers],[BATSMAN NAME]])),0)&gt;0,0,SUMIF($O$6:O494,T_BATTINGDATA[[#This Row],[BATSMAN NAME]],$E$6:E494)),SUMIF($O$6:O494,T_BATTINGDATA[[#This Row],[BATSMAN NAME]],$E$6:E494))</f>
        <v>0</v>
      </c>
      <c r="AP494">
        <v>33</v>
      </c>
      <c r="AQ494" t="s">
        <v>154</v>
      </c>
      <c r="AR494" t="s">
        <v>310</v>
      </c>
      <c r="AS494">
        <v>10</v>
      </c>
      <c r="AT494">
        <v>1</v>
      </c>
      <c r="AU494">
        <v>45</v>
      </c>
      <c r="AV494">
        <v>2</v>
      </c>
      <c r="AW494">
        <v>4.5</v>
      </c>
      <c r="AX494">
        <v>35</v>
      </c>
      <c r="AY494">
        <v>5</v>
      </c>
      <c r="AZ494">
        <v>0</v>
      </c>
      <c r="BA494">
        <v>0</v>
      </c>
      <c r="BB494">
        <v>0</v>
      </c>
      <c r="BC494">
        <v>1</v>
      </c>
      <c r="BD494" t="str">
        <f>CONCATENATE(Table9[[#This Row],[Match Number]],Table9[[#This Row],[Team]],Table9[[#This Row],[BOWL NUM]])</f>
        <v>33England1</v>
      </c>
      <c r="BE494" t="str">
        <f>IFERROR(IF(AND(Table9[[#This Row],[Team]]=I_TEAM,IFERROR(IF(MATCH(Table9[[#This Row],[Bowler]],$AR$5:AR493,0)&gt;0,0),1)),1,0),"")</f>
        <v/>
      </c>
      <c r="BF49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9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94" t="e">
        <f>IF(Table9[[#This Row],[Team]]=I_TEAM,Table9[[#This Row],[Wickets]]*100-Table9[[#This Row],[Runs]],0)</f>
        <v>#REF!</v>
      </c>
      <c r="BI494">
        <f>Table9[[#This Row],[Wickets]]*100-Table9[[#This Row],[Runs]]</f>
        <v>155</v>
      </c>
      <c r="BJ494">
        <f ca="1">IFERROR(IF(MATCH(Table9[[#This Row],[Bowler]],OFFSET(AR495,0,0,BOWLROWS-ROW(AR494)-ROW(Table9[[#Headers],[BOWLER CUML WICKETS]])),0)&gt;0,0,SUMIF($AR$6:AR494,Table9[[#This Row],[Bowler]],$AV$6:AV494)),SUMIF($AR$6:AR494,Table9[[#This Row],[Bowler]],$AV$6:AV494))</f>
        <v>0</v>
      </c>
      <c r="BK494">
        <f ca="1">IFERROR(IF(MATCH(Table9[[#This Row],[Bowler]],OFFSET(AR495,0,0,BOWLROWS-ROW(AR494)-ROW(Table9[[#Headers],[BOWLER CUML WICKETS]])),0)&gt;0,0,SUMIF($AR$6:AR494,Table9[[#This Row],[Bowler]],$AU$6:AU494)),SUMIF($AR$6:AR494,Table9[[#This Row],[Bowler]],$AU$6:AU494))</f>
        <v>0</v>
      </c>
      <c r="BL494">
        <f ca="1">Table9[[#This Row],[BOWLER CUML WICKETS]]*100-Table9[[#This Row],[BOWLER CUML RUNS]]</f>
        <v>0</v>
      </c>
    </row>
    <row r="495" spans="1:64" x14ac:dyDescent="0.3">
      <c r="A495">
        <v>18</v>
      </c>
      <c r="B495" t="s">
        <v>145</v>
      </c>
      <c r="C495" t="s">
        <v>290</v>
      </c>
      <c r="D495" t="s">
        <v>167</v>
      </c>
      <c r="E495">
        <v>161</v>
      </c>
      <c r="F495">
        <v>221</v>
      </c>
      <c r="G495">
        <v>146</v>
      </c>
      <c r="H495">
        <v>22</v>
      </c>
      <c r="I495">
        <v>0</v>
      </c>
      <c r="J495">
        <v>110.27</v>
      </c>
      <c r="K495">
        <v>2</v>
      </c>
      <c r="L495" t="str">
        <f>CONCATENATE(T_BATTINGDATA[[#This Row],[Match]],T_BATTINGDATA[[#This Row],[Team]],T_BATTINGDATA[[#This Row],[Bat Number]])</f>
        <v>18Sri Lanka2</v>
      </c>
      <c r="M495" t="str">
        <f>IFERROR(IF(AND(T_BATTINGDATA[[#This Row],[Team]]=I_TEAM,IFERROR(IF(MATCH(T_BATTINGDATA[[#This Row],[BATSMAN NAME]],$O$5:O494,0)&gt;0,0),1)),1,0),"")</f>
        <v/>
      </c>
      <c r="N495" t="e">
        <f>IF(T_BATTINGDATA[[#This Row],[Team]]=I_TEAM,T_BATTINGDATA[[#This Row],[R]],0)</f>
        <v>#REF!</v>
      </c>
      <c r="O495" t="str">
        <f>LEFT(T_BATTINGDATA[[#This Row],[Batsman]],IFERROR(FIND("*",T_BATTINGDATA[[#This Row],[Batsman]])-1,IFERROR(FIND("†",T_BATTINGDATA[[#This Row],[Batsman]])-1,LEN(T_BATTINGDATA[[#This Row],[Batsman]]))))</f>
        <v>TM Dilshan</v>
      </c>
      <c r="P495">
        <f ca="1">IFERROR(IF(MATCH(T_BATTINGDATA[[#This Row],[BATSMAN NAME]],OFFSET(O496,0,0,BATROWS-ROW(O495)-ROW(T_BATTINGDATA[[#Headers],[BATSMAN NAME]])),0)&gt;0,0,SUMIF($O$6:O495,T_BATTINGDATA[[#This Row],[BATSMAN NAME]],$E$6:E495)),SUMIF($O$6:O495,T_BATTINGDATA[[#This Row],[BATSMAN NAME]],$E$6:E495))</f>
        <v>0</v>
      </c>
      <c r="AP495">
        <v>33</v>
      </c>
      <c r="AQ495" t="s">
        <v>154</v>
      </c>
      <c r="AR495" t="s">
        <v>312</v>
      </c>
      <c r="AS495">
        <v>10</v>
      </c>
      <c r="AT495">
        <v>0</v>
      </c>
      <c r="AU495">
        <v>52</v>
      </c>
      <c r="AV495">
        <v>1</v>
      </c>
      <c r="AW495">
        <v>5.2</v>
      </c>
      <c r="AX495">
        <v>33</v>
      </c>
      <c r="AY495">
        <v>5</v>
      </c>
      <c r="AZ495">
        <v>1</v>
      </c>
      <c r="BA495">
        <v>0</v>
      </c>
      <c r="BB495">
        <v>0</v>
      </c>
      <c r="BC495">
        <v>2</v>
      </c>
      <c r="BD495" t="str">
        <f>CONCATENATE(Table9[[#This Row],[Match Number]],Table9[[#This Row],[Team]],Table9[[#This Row],[BOWL NUM]])</f>
        <v>33England2</v>
      </c>
      <c r="BE495" t="str">
        <f>IFERROR(IF(AND(Table9[[#This Row],[Team]]=I_TEAM,IFERROR(IF(MATCH(Table9[[#This Row],[Bowler]],$AR$5:AR494,0)&gt;0,0),1)),1,0),"")</f>
        <v/>
      </c>
      <c r="BF49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9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95" t="e">
        <f>IF(Table9[[#This Row],[Team]]=I_TEAM,Table9[[#This Row],[Wickets]]*100-Table9[[#This Row],[Runs]],0)</f>
        <v>#REF!</v>
      </c>
      <c r="BI495">
        <f>Table9[[#This Row],[Wickets]]*100-Table9[[#This Row],[Runs]]</f>
        <v>48</v>
      </c>
      <c r="BJ495">
        <f ca="1">IFERROR(IF(MATCH(Table9[[#This Row],[Bowler]],OFFSET(AR496,0,0,BOWLROWS-ROW(AR495)-ROW(Table9[[#Headers],[BOWLER CUML WICKETS]])),0)&gt;0,0,SUMIF($AR$6:AR495,Table9[[#This Row],[Bowler]],$AV$6:AV495)),SUMIF($AR$6:AR495,Table9[[#This Row],[Bowler]],$AV$6:AV495))</f>
        <v>0</v>
      </c>
      <c r="BK495">
        <f ca="1">IFERROR(IF(MATCH(Table9[[#This Row],[Bowler]],OFFSET(AR496,0,0,BOWLROWS-ROW(AR495)-ROW(Table9[[#Headers],[BOWLER CUML WICKETS]])),0)&gt;0,0,SUMIF($AR$6:AR495,Table9[[#This Row],[Bowler]],$AU$6:AU495)),SUMIF($AR$6:AR495,Table9[[#This Row],[Bowler]],$AU$6:AU495))</f>
        <v>0</v>
      </c>
      <c r="BL495">
        <f ca="1">Table9[[#This Row],[BOWLER CUML WICKETS]]*100-Table9[[#This Row],[BOWLER CUML RUNS]]</f>
        <v>0</v>
      </c>
    </row>
    <row r="496" spans="1:64" x14ac:dyDescent="0.3">
      <c r="A496">
        <v>18</v>
      </c>
      <c r="B496" t="s">
        <v>145</v>
      </c>
      <c r="C496" t="s">
        <v>364</v>
      </c>
      <c r="D496" t="s">
        <v>167</v>
      </c>
      <c r="E496">
        <v>105</v>
      </c>
      <c r="F496">
        <v>116</v>
      </c>
      <c r="G496">
        <v>76</v>
      </c>
      <c r="H496">
        <v>13</v>
      </c>
      <c r="I496">
        <v>1</v>
      </c>
      <c r="J496">
        <v>138.15</v>
      </c>
      <c r="K496">
        <v>3</v>
      </c>
      <c r="L496" t="str">
        <f>CONCATENATE(T_BATTINGDATA[[#This Row],[Match]],T_BATTINGDATA[[#This Row],[Team]],T_BATTINGDATA[[#This Row],[Bat Number]])</f>
        <v>18Sri Lanka3</v>
      </c>
      <c r="M496" t="str">
        <f>IFERROR(IF(AND(T_BATTINGDATA[[#This Row],[Team]]=I_TEAM,IFERROR(IF(MATCH(T_BATTINGDATA[[#This Row],[BATSMAN NAME]],$O$5:O495,0)&gt;0,0),1)),1,0),"")</f>
        <v/>
      </c>
      <c r="N496" t="e">
        <f>IF(T_BATTINGDATA[[#This Row],[Team]]=I_TEAM,T_BATTINGDATA[[#This Row],[R]],0)</f>
        <v>#REF!</v>
      </c>
      <c r="O496" t="str">
        <f>LEFT(T_BATTINGDATA[[#This Row],[Batsman]],IFERROR(FIND("*",T_BATTINGDATA[[#This Row],[Batsman]])-1,IFERROR(FIND("†",T_BATTINGDATA[[#This Row],[Batsman]])-1,LEN(T_BATTINGDATA[[#This Row],[Batsman]]))))</f>
        <v>KC Sangakkara</v>
      </c>
      <c r="P496">
        <f ca="1">IFERROR(IF(MATCH(T_BATTINGDATA[[#This Row],[BATSMAN NAME]],OFFSET(O497,0,0,BATROWS-ROW(O496)-ROW(T_BATTINGDATA[[#Headers],[BATSMAN NAME]])),0)&gt;0,0,SUMIF($O$6:O496,T_BATTINGDATA[[#This Row],[BATSMAN NAME]],$E$6:E496)),SUMIF($O$6:O496,T_BATTINGDATA[[#This Row],[BATSMAN NAME]],$E$6:E496))</f>
        <v>0</v>
      </c>
      <c r="AP496">
        <v>33</v>
      </c>
      <c r="AQ496" t="s">
        <v>154</v>
      </c>
      <c r="AR496" t="s">
        <v>663</v>
      </c>
      <c r="AS496">
        <v>10</v>
      </c>
      <c r="AT496">
        <v>0</v>
      </c>
      <c r="AU496">
        <v>59</v>
      </c>
      <c r="AV496">
        <v>2</v>
      </c>
      <c r="AW496">
        <v>5.9</v>
      </c>
      <c r="AX496">
        <v>31</v>
      </c>
      <c r="AY496">
        <v>5</v>
      </c>
      <c r="AZ496">
        <v>1</v>
      </c>
      <c r="BA496">
        <v>5</v>
      </c>
      <c r="BB496">
        <v>0</v>
      </c>
      <c r="BC496">
        <v>3</v>
      </c>
      <c r="BD496" t="str">
        <f>CONCATENATE(Table9[[#This Row],[Match Number]],Table9[[#This Row],[Team]],Table9[[#This Row],[BOWL NUM]])</f>
        <v>33England3</v>
      </c>
      <c r="BE496" t="str">
        <f>IFERROR(IF(AND(Table9[[#This Row],[Team]]=I_TEAM,IFERROR(IF(MATCH(Table9[[#This Row],[Bowler]],$AR$5:AR495,0)&gt;0,0),1)),1,0),"")</f>
        <v/>
      </c>
      <c r="BF49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9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96" t="e">
        <f>IF(Table9[[#This Row],[Team]]=I_TEAM,Table9[[#This Row],[Wickets]]*100-Table9[[#This Row],[Runs]],0)</f>
        <v>#REF!</v>
      </c>
      <c r="BI496">
        <f>Table9[[#This Row],[Wickets]]*100-Table9[[#This Row],[Runs]]</f>
        <v>141</v>
      </c>
      <c r="BJ496">
        <f ca="1">IFERROR(IF(MATCH(Table9[[#This Row],[Bowler]],OFFSET(AR497,0,0,BOWLROWS-ROW(AR496)-ROW(Table9[[#Headers],[BOWLER CUML WICKETS]])),0)&gt;0,0,SUMIF($AR$6:AR496,Table9[[#This Row],[Bowler]],$AV$6:AV496)),SUMIF($AR$6:AR496,Table9[[#This Row],[Bowler]],$AV$6:AV496))</f>
        <v>0</v>
      </c>
      <c r="BK496">
        <f ca="1">IFERROR(IF(MATCH(Table9[[#This Row],[Bowler]],OFFSET(AR497,0,0,BOWLROWS-ROW(AR496)-ROW(Table9[[#Headers],[BOWLER CUML WICKETS]])),0)&gt;0,0,SUMIF($AR$6:AR496,Table9[[#This Row],[Bowler]],$AU$6:AU496)),SUMIF($AR$6:AR496,Table9[[#This Row],[Bowler]],$AU$6:AU496))</f>
        <v>0</v>
      </c>
      <c r="BL496">
        <f ca="1">Table9[[#This Row],[BOWLER CUML WICKETS]]*100-Table9[[#This Row],[BOWLER CUML RUNS]]</f>
        <v>0</v>
      </c>
    </row>
    <row r="497" spans="1:64" x14ac:dyDescent="0.3">
      <c r="A497">
        <v>18</v>
      </c>
      <c r="B497" t="s">
        <v>181</v>
      </c>
      <c r="C497" t="s">
        <v>335</v>
      </c>
      <c r="D497" t="s">
        <v>533</v>
      </c>
      <c r="E497">
        <v>0</v>
      </c>
      <c r="F497">
        <v>1</v>
      </c>
      <c r="G497">
        <v>2</v>
      </c>
      <c r="H497">
        <v>0</v>
      </c>
      <c r="I497">
        <v>0</v>
      </c>
      <c r="J497">
        <v>0</v>
      </c>
      <c r="K497">
        <v>1</v>
      </c>
      <c r="L497" t="str">
        <f>CONCATENATE(T_BATTINGDATA[[#This Row],[Match]],T_BATTINGDATA[[#This Row],[Team]],T_BATTINGDATA[[#This Row],[Bat Number]])</f>
        <v>18Bangladesh1</v>
      </c>
      <c r="M497" t="str">
        <f>IFERROR(IF(AND(T_BATTINGDATA[[#This Row],[Team]]=I_TEAM,IFERROR(IF(MATCH(T_BATTINGDATA[[#This Row],[BATSMAN NAME]],$O$5:O496,0)&gt;0,0),1)),1,0),"")</f>
        <v/>
      </c>
      <c r="N497" t="e">
        <f>IF(T_BATTINGDATA[[#This Row],[Team]]=I_TEAM,T_BATTINGDATA[[#This Row],[R]],0)</f>
        <v>#REF!</v>
      </c>
      <c r="O497" t="str">
        <f>LEFT(T_BATTINGDATA[[#This Row],[Batsman]],IFERROR(FIND("*",T_BATTINGDATA[[#This Row],[Batsman]])-1,IFERROR(FIND("†",T_BATTINGDATA[[#This Row],[Batsman]])-1,LEN(T_BATTINGDATA[[#This Row],[Batsman]]))))</f>
        <v>Tamim Iqbal</v>
      </c>
      <c r="P497">
        <f ca="1">IFERROR(IF(MATCH(T_BATTINGDATA[[#This Row],[BATSMAN NAME]],OFFSET(O498,0,0,BATROWS-ROW(O497)-ROW(T_BATTINGDATA[[#Headers],[BATSMAN NAME]])),0)&gt;0,0,SUMIF($O$6:O497,T_BATTINGDATA[[#This Row],[BATSMAN NAME]],$E$6:E497)),SUMIF($O$6:O497,T_BATTINGDATA[[#This Row],[BATSMAN NAME]],$E$6:E497))</f>
        <v>0</v>
      </c>
      <c r="AP497">
        <v>33</v>
      </c>
      <c r="AQ497" t="s">
        <v>154</v>
      </c>
      <c r="AR497" t="s">
        <v>314</v>
      </c>
      <c r="AS497">
        <v>10</v>
      </c>
      <c r="AT497">
        <v>0</v>
      </c>
      <c r="AU497">
        <v>64</v>
      </c>
      <c r="AV497">
        <v>0</v>
      </c>
      <c r="AW497">
        <v>6.4</v>
      </c>
      <c r="AX497">
        <v>28</v>
      </c>
      <c r="AY497">
        <v>4</v>
      </c>
      <c r="AZ497">
        <v>2</v>
      </c>
      <c r="BA497">
        <v>2</v>
      </c>
      <c r="BB497">
        <v>1</v>
      </c>
      <c r="BC497">
        <v>4</v>
      </c>
      <c r="BD497" t="str">
        <f>CONCATENATE(Table9[[#This Row],[Match Number]],Table9[[#This Row],[Team]],Table9[[#This Row],[BOWL NUM]])</f>
        <v>33England4</v>
      </c>
      <c r="BE497" t="str">
        <f>IFERROR(IF(AND(Table9[[#This Row],[Team]]=I_TEAM,IFERROR(IF(MATCH(Table9[[#This Row],[Bowler]],$AR$5:AR496,0)&gt;0,0),1)),1,0),"")</f>
        <v/>
      </c>
      <c r="BF49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9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97" t="e">
        <f>IF(Table9[[#This Row],[Team]]=I_TEAM,Table9[[#This Row],[Wickets]]*100-Table9[[#This Row],[Runs]],0)</f>
        <v>#REF!</v>
      </c>
      <c r="BI497">
        <f>Table9[[#This Row],[Wickets]]*100-Table9[[#This Row],[Runs]]</f>
        <v>-64</v>
      </c>
      <c r="BJ497">
        <f ca="1">IFERROR(IF(MATCH(Table9[[#This Row],[Bowler]],OFFSET(AR498,0,0,BOWLROWS-ROW(AR497)-ROW(Table9[[#Headers],[BOWLER CUML WICKETS]])),0)&gt;0,0,SUMIF($AR$6:AR497,Table9[[#This Row],[Bowler]],$AV$6:AV497)),SUMIF($AR$6:AR497,Table9[[#This Row],[Bowler]],$AV$6:AV497))</f>
        <v>5</v>
      </c>
      <c r="BK497">
        <f ca="1">IFERROR(IF(MATCH(Table9[[#This Row],[Bowler]],OFFSET(AR498,0,0,BOWLROWS-ROW(AR497)-ROW(Table9[[#Headers],[BOWLER CUML WICKETS]])),0)&gt;0,0,SUMIF($AR$6:AR497,Table9[[#This Row],[Bowler]],$AU$6:AU497)),SUMIF($AR$6:AR497,Table9[[#This Row],[Bowler]],$AU$6:AU497))</f>
        <v>234</v>
      </c>
      <c r="BL497">
        <f ca="1">Table9[[#This Row],[BOWLER CUML WICKETS]]*100-Table9[[#This Row],[BOWLER CUML RUNS]]</f>
        <v>266</v>
      </c>
    </row>
    <row r="498" spans="1:64" x14ac:dyDescent="0.3">
      <c r="A498">
        <v>18</v>
      </c>
      <c r="B498" t="s">
        <v>181</v>
      </c>
      <c r="C498" t="s">
        <v>465</v>
      </c>
      <c r="D498" t="s">
        <v>664</v>
      </c>
      <c r="E498">
        <v>29</v>
      </c>
      <c r="F498">
        <v>66</v>
      </c>
      <c r="G498">
        <v>43</v>
      </c>
      <c r="H498">
        <v>1</v>
      </c>
      <c r="I498">
        <v>1</v>
      </c>
      <c r="J498">
        <v>67.44</v>
      </c>
      <c r="K498">
        <v>2</v>
      </c>
      <c r="L498" t="str">
        <f>CONCATENATE(T_BATTINGDATA[[#This Row],[Match]],T_BATTINGDATA[[#This Row],[Team]],T_BATTINGDATA[[#This Row],[Bat Number]])</f>
        <v>18Bangladesh2</v>
      </c>
      <c r="M498" t="str">
        <f>IFERROR(IF(AND(T_BATTINGDATA[[#This Row],[Team]]=I_TEAM,IFERROR(IF(MATCH(T_BATTINGDATA[[#This Row],[BATSMAN NAME]],$O$5:O497,0)&gt;0,0),1)),1,0),"")</f>
        <v/>
      </c>
      <c r="N498" t="e">
        <f>IF(T_BATTINGDATA[[#This Row],[Team]]=I_TEAM,T_BATTINGDATA[[#This Row],[R]],0)</f>
        <v>#REF!</v>
      </c>
      <c r="O498" t="str">
        <f>LEFT(T_BATTINGDATA[[#This Row],[Batsman]],IFERROR(FIND("*",T_BATTINGDATA[[#This Row],[Batsman]])-1,IFERROR(FIND("†",T_BATTINGDATA[[#This Row],[Batsman]])-1,LEN(T_BATTINGDATA[[#This Row],[Batsman]]))))</f>
        <v>Anamul Haque</v>
      </c>
      <c r="P498">
        <f ca="1">IFERROR(IF(MATCH(T_BATTINGDATA[[#This Row],[BATSMAN NAME]],OFFSET(O499,0,0,BATROWS-ROW(O498)-ROW(T_BATTINGDATA[[#Headers],[BATSMAN NAME]])),0)&gt;0,0,SUMIF($O$6:O498,T_BATTINGDATA[[#This Row],[BATSMAN NAME]],$E$6:E498)),SUMIF($O$6:O498,T_BATTINGDATA[[#This Row],[BATSMAN NAME]],$E$6:E498))</f>
        <v>58</v>
      </c>
      <c r="AP498">
        <v>33</v>
      </c>
      <c r="AQ498" t="s">
        <v>154</v>
      </c>
      <c r="AR498" t="s">
        <v>318</v>
      </c>
      <c r="AS498">
        <v>9</v>
      </c>
      <c r="AT498">
        <v>0</v>
      </c>
      <c r="AU498">
        <v>44</v>
      </c>
      <c r="AV498">
        <v>1</v>
      </c>
      <c r="AW498">
        <v>4.88</v>
      </c>
      <c r="AX498">
        <v>24</v>
      </c>
      <c r="AY498">
        <v>2</v>
      </c>
      <c r="AZ498">
        <v>1</v>
      </c>
      <c r="BA498">
        <v>1</v>
      </c>
      <c r="BB498">
        <v>0</v>
      </c>
      <c r="BC498">
        <v>5</v>
      </c>
      <c r="BD498" t="str">
        <f>CONCATENATE(Table9[[#This Row],[Match Number]],Table9[[#This Row],[Team]],Table9[[#This Row],[BOWL NUM]])</f>
        <v>33England5</v>
      </c>
      <c r="BE498" t="str">
        <f>IFERROR(IF(AND(Table9[[#This Row],[Team]]=I_TEAM,IFERROR(IF(MATCH(Table9[[#This Row],[Bowler]],$AR$5:AR497,0)&gt;0,0),1)),1,0),"")</f>
        <v/>
      </c>
      <c r="BF498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9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98" t="e">
        <f>IF(Table9[[#This Row],[Team]]=I_TEAM,Table9[[#This Row],[Wickets]]*100-Table9[[#This Row],[Runs]],0)</f>
        <v>#REF!</v>
      </c>
      <c r="BI498">
        <f>Table9[[#This Row],[Wickets]]*100-Table9[[#This Row],[Runs]]</f>
        <v>56</v>
      </c>
      <c r="BJ498">
        <f ca="1">IFERROR(IF(MATCH(Table9[[#This Row],[Bowler]],OFFSET(AR499,0,0,BOWLROWS-ROW(AR498)-ROW(Table9[[#Headers],[BOWLER CUML WICKETS]])),0)&gt;0,0,SUMIF($AR$6:AR498,Table9[[#This Row],[Bowler]],$AV$6:AV498)),SUMIF($AR$6:AR498,Table9[[#This Row],[Bowler]],$AV$6:AV498))</f>
        <v>4</v>
      </c>
      <c r="BK498">
        <f ca="1">IFERROR(IF(MATCH(Table9[[#This Row],[Bowler]],OFFSET(AR499,0,0,BOWLROWS-ROW(AR498)-ROW(Table9[[#Headers],[BOWLER CUML WICKETS]])),0)&gt;0,0,SUMIF($AR$6:AR498,Table9[[#This Row],[Bowler]],$AU$6:AU498)),SUMIF($AR$6:AR498,Table9[[#This Row],[Bowler]],$AU$6:AU498))</f>
        <v>201</v>
      </c>
      <c r="BL498">
        <f ca="1">Table9[[#This Row],[BOWLER CUML WICKETS]]*100-Table9[[#This Row],[BOWLER CUML RUNS]]</f>
        <v>199</v>
      </c>
    </row>
    <row r="499" spans="1:64" x14ac:dyDescent="0.3">
      <c r="A499">
        <v>18</v>
      </c>
      <c r="B499" t="s">
        <v>181</v>
      </c>
      <c r="C499" t="s">
        <v>339</v>
      </c>
      <c r="D499" t="s">
        <v>665</v>
      </c>
      <c r="E499">
        <v>25</v>
      </c>
      <c r="F499">
        <v>24</v>
      </c>
      <c r="G499">
        <v>15</v>
      </c>
      <c r="H499">
        <v>5</v>
      </c>
      <c r="I499">
        <v>0</v>
      </c>
      <c r="J499">
        <v>166.66</v>
      </c>
      <c r="K499">
        <v>3</v>
      </c>
      <c r="L499" t="str">
        <f>CONCATENATE(T_BATTINGDATA[[#This Row],[Match]],T_BATTINGDATA[[#This Row],[Team]],T_BATTINGDATA[[#This Row],[Bat Number]])</f>
        <v>18Bangladesh3</v>
      </c>
      <c r="M499" t="str">
        <f>IFERROR(IF(AND(T_BATTINGDATA[[#This Row],[Team]]=I_TEAM,IFERROR(IF(MATCH(T_BATTINGDATA[[#This Row],[BATSMAN NAME]],$O$5:O498,0)&gt;0,0),1)),1,0),"")</f>
        <v/>
      </c>
      <c r="N499" t="e">
        <f>IF(T_BATTINGDATA[[#This Row],[Team]]=I_TEAM,T_BATTINGDATA[[#This Row],[R]],0)</f>
        <v>#REF!</v>
      </c>
      <c r="O499" t="str">
        <f>LEFT(T_BATTINGDATA[[#This Row],[Batsman]],IFERROR(FIND("*",T_BATTINGDATA[[#This Row],[Batsman]])-1,IFERROR(FIND("†",T_BATTINGDATA[[#This Row],[Batsman]])-1,LEN(T_BATTINGDATA[[#This Row],[Batsman]]))))</f>
        <v>Soumya Sarkar</v>
      </c>
      <c r="P499">
        <f ca="1">IFERROR(IF(MATCH(T_BATTINGDATA[[#This Row],[BATSMAN NAME]],OFFSET(O500,0,0,BATROWS-ROW(O499)-ROW(T_BATTINGDATA[[#Headers],[BATSMAN NAME]])),0)&gt;0,0,SUMIF($O$6:O499,T_BATTINGDATA[[#This Row],[BATSMAN NAME]],$E$6:E499)),SUMIF($O$6:O499,T_BATTINGDATA[[#This Row],[BATSMAN NAME]],$E$6:E499))</f>
        <v>0</v>
      </c>
      <c r="AP499">
        <v>33</v>
      </c>
      <c r="AQ499" t="s">
        <v>154</v>
      </c>
      <c r="AR499" t="s">
        <v>320</v>
      </c>
      <c r="AS499">
        <v>1</v>
      </c>
      <c r="AT499">
        <v>0</v>
      </c>
      <c r="AU499">
        <v>6</v>
      </c>
      <c r="AV499">
        <v>0</v>
      </c>
      <c r="AW499">
        <v>6</v>
      </c>
      <c r="AX499">
        <v>1</v>
      </c>
      <c r="AY499">
        <v>0</v>
      </c>
      <c r="AZ499">
        <v>0</v>
      </c>
      <c r="BA499">
        <v>0</v>
      </c>
      <c r="BB499">
        <v>0</v>
      </c>
      <c r="BC499">
        <v>6</v>
      </c>
      <c r="BD499" t="str">
        <f>CONCATENATE(Table9[[#This Row],[Match Number]],Table9[[#This Row],[Team]],Table9[[#This Row],[BOWL NUM]])</f>
        <v>33England6</v>
      </c>
      <c r="BE499" t="str">
        <f>IFERROR(IF(AND(Table9[[#This Row],[Team]]=I_TEAM,IFERROR(IF(MATCH(Table9[[#This Row],[Bowler]],$AR$5:AR498,0)&gt;0,0),1)),1,0),"")</f>
        <v/>
      </c>
      <c r="BF499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49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99" t="e">
        <f>IF(Table9[[#This Row],[Team]]=I_TEAM,Table9[[#This Row],[Wickets]]*100-Table9[[#This Row],[Runs]],0)</f>
        <v>#REF!</v>
      </c>
      <c r="BI499">
        <f>Table9[[#This Row],[Wickets]]*100-Table9[[#This Row],[Runs]]</f>
        <v>-6</v>
      </c>
      <c r="BJ499">
        <f ca="1">IFERROR(IF(MATCH(Table9[[#This Row],[Bowler]],OFFSET(AR500,0,0,BOWLROWS-ROW(AR499)-ROW(Table9[[#Headers],[BOWLER CUML WICKETS]])),0)&gt;0,0,SUMIF($AR$6:AR590,Table9[[#This Row],[Bowler]],$AV$6:AV590)),SUMIF($AR$6:AR590,Table9[[#This Row],[Bowler]],$AV$6:AV590))</f>
        <v>1</v>
      </c>
      <c r="BK499">
        <f ca="1">IFERROR(IF(MATCH(Table9[[#This Row],[Bowler]],OFFSET(AR500,0,0,BOWLROWS-ROW(AR499)-ROW(Table9[[#Headers],[BOWLER CUML WICKETS]])),0)&gt;0,0,SUMIF($AR$6:AR590,Table9[[#This Row],[Bowler]],$AU$6:AU590)),SUMIF($AR$6:AR590,Table9[[#This Row],[Bowler]],$AU$6:AU590))</f>
        <v>56</v>
      </c>
      <c r="BL499">
        <f ca="1">Table9[[#This Row],[BOWLER CUML WICKETS]]*100-Table9[[#This Row],[BOWLER CUML RUNS]]</f>
        <v>44</v>
      </c>
    </row>
    <row r="500" spans="1:64" x14ac:dyDescent="0.3">
      <c r="A500">
        <v>18</v>
      </c>
      <c r="B500" t="s">
        <v>181</v>
      </c>
      <c r="C500" t="s">
        <v>473</v>
      </c>
      <c r="D500" t="s">
        <v>666</v>
      </c>
      <c r="E500">
        <v>1</v>
      </c>
      <c r="F500">
        <v>5</v>
      </c>
      <c r="G500">
        <v>3</v>
      </c>
      <c r="H500">
        <v>0</v>
      </c>
      <c r="I500">
        <v>0</v>
      </c>
      <c r="J500">
        <v>33.33</v>
      </c>
      <c r="K500">
        <v>4</v>
      </c>
      <c r="L500" t="str">
        <f>CONCATENATE(T_BATTINGDATA[[#This Row],[Match]],T_BATTINGDATA[[#This Row],[Team]],T_BATTINGDATA[[#This Row],[Bat Number]])</f>
        <v>18Bangladesh4</v>
      </c>
      <c r="M500" t="str">
        <f>IFERROR(IF(AND(T_BATTINGDATA[[#This Row],[Team]]=I_TEAM,IFERROR(IF(MATCH(T_BATTINGDATA[[#This Row],[BATSMAN NAME]],$O$5:O499,0)&gt;0,0),1)),1,0),"")</f>
        <v/>
      </c>
      <c r="N500" t="e">
        <f>IF(T_BATTINGDATA[[#This Row],[Team]]=I_TEAM,T_BATTINGDATA[[#This Row],[R]],0)</f>
        <v>#REF!</v>
      </c>
      <c r="O500" t="str">
        <f>LEFT(T_BATTINGDATA[[#This Row],[Batsman]],IFERROR(FIND("*",T_BATTINGDATA[[#This Row],[Batsman]])-1,IFERROR(FIND("†",T_BATTINGDATA[[#This Row],[Batsman]])-1,LEN(T_BATTINGDATA[[#This Row],[Batsman]]))))</f>
        <v>Mominul Haque</v>
      </c>
      <c r="P500">
        <f ca="1">IFERROR(IF(MATCH(T_BATTINGDATA[[#This Row],[BATSMAN NAME]],OFFSET(O501,0,0,BATROWS-ROW(O500)-ROW(T_BATTINGDATA[[#Headers],[BATSMAN NAME]])),0)&gt;0,0,SUMIF($O$6:O500,T_BATTINGDATA[[#This Row],[BATSMAN NAME]],$E$6:E500)),SUMIF($O$6:O500,T_BATTINGDATA[[#This Row],[BATSMAN NAME]],$E$6:E500))</f>
        <v>4</v>
      </c>
      <c r="AP500">
        <v>33</v>
      </c>
      <c r="AQ500" t="s">
        <v>181</v>
      </c>
      <c r="AR500" t="s">
        <v>268</v>
      </c>
      <c r="AS500">
        <v>10</v>
      </c>
      <c r="AT500">
        <v>0</v>
      </c>
      <c r="AU500">
        <v>48</v>
      </c>
      <c r="AV500">
        <v>2</v>
      </c>
      <c r="AW500">
        <v>4.8</v>
      </c>
      <c r="AX500">
        <v>35</v>
      </c>
      <c r="AY500">
        <v>6</v>
      </c>
      <c r="AZ500">
        <v>0</v>
      </c>
      <c r="BA500">
        <v>0</v>
      </c>
      <c r="BB500">
        <v>0</v>
      </c>
      <c r="BC500">
        <v>1</v>
      </c>
      <c r="BD500" t="str">
        <f>CONCATENATE(Table9[[#This Row],[Match Number]],Table9[[#This Row],[Team]],Table9[[#This Row],[BOWL NUM]])</f>
        <v>33Bangladesh1</v>
      </c>
      <c r="BE500" t="str">
        <f>IFERROR(IF(AND(Table9[[#This Row],[Team]]=I_TEAM,IFERROR(IF(MATCH(Table9[[#This Row],[Bowler]],$AR$5:AR499,0)&gt;0,0),1)),1,0),"")</f>
        <v/>
      </c>
      <c r="BF50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0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00" t="e">
        <f>IF(Table9[[#This Row],[Team]]=I_TEAM,Table9[[#This Row],[Wickets]]*100-Table9[[#This Row],[Runs]],0)</f>
        <v>#REF!</v>
      </c>
      <c r="BI500">
        <f>Table9[[#This Row],[Wickets]]*100-Table9[[#This Row],[Runs]]</f>
        <v>152</v>
      </c>
      <c r="BJ500">
        <f ca="1">IFERROR(IF(MATCH(Table9[[#This Row],[Bowler]],OFFSET(AR501,0,0,BOWLROWS-ROW(AR500)-ROW(Table9[[#Headers],[BOWLER CUML WICKETS]])),0)&gt;0,0,SUMIF($AR$6:AR500,Table9[[#This Row],[Bowler]],$AV$6:AV500)),SUMIF($AR$6:AR500,Table9[[#This Row],[Bowler]],$AV$6:AV500))</f>
        <v>7</v>
      </c>
      <c r="BK500">
        <f ca="1">IFERROR(IF(MATCH(Table9[[#This Row],[Bowler]],OFFSET(AR501,0,0,BOWLROWS-ROW(AR500)-ROW(Table9[[#Headers],[BOWLER CUML WICKETS]])),0)&gt;0,0,SUMIF($AR$6:AR500,Table9[[#This Row],[Bowler]],$AU$6:AU500)),SUMIF($AR$6:AR500,Table9[[#This Row],[Bowler]],$AU$6:AU500))</f>
        <v>250</v>
      </c>
      <c r="BL500">
        <f ca="1">Table9[[#This Row],[BOWLER CUML WICKETS]]*100-Table9[[#This Row],[BOWLER CUML RUNS]]</f>
        <v>450</v>
      </c>
    </row>
    <row r="501" spans="1:64" x14ac:dyDescent="0.3">
      <c r="A501">
        <v>18</v>
      </c>
      <c r="B501" t="s">
        <v>181</v>
      </c>
      <c r="C501" t="s">
        <v>275</v>
      </c>
      <c r="D501" t="s">
        <v>667</v>
      </c>
      <c r="E501">
        <v>28</v>
      </c>
      <c r="F501">
        <v>54</v>
      </c>
      <c r="G501">
        <v>46</v>
      </c>
      <c r="H501">
        <v>3</v>
      </c>
      <c r="I501">
        <v>0</v>
      </c>
      <c r="J501">
        <v>60.86</v>
      </c>
      <c r="K501">
        <v>5</v>
      </c>
      <c r="L501" t="str">
        <f>CONCATENATE(T_BATTINGDATA[[#This Row],[Match]],T_BATTINGDATA[[#This Row],[Team]],T_BATTINGDATA[[#This Row],[Bat Number]])</f>
        <v>18Bangladesh5</v>
      </c>
      <c r="M501" t="str">
        <f>IFERROR(IF(AND(T_BATTINGDATA[[#This Row],[Team]]=I_TEAM,IFERROR(IF(MATCH(T_BATTINGDATA[[#This Row],[BATSMAN NAME]],$O$5:O500,0)&gt;0,0),1)),1,0),"")</f>
        <v/>
      </c>
      <c r="N501" t="e">
        <f>IF(T_BATTINGDATA[[#This Row],[Team]]=I_TEAM,T_BATTINGDATA[[#This Row],[R]],0)</f>
        <v>#REF!</v>
      </c>
      <c r="O501" t="str">
        <f>LEFT(T_BATTINGDATA[[#This Row],[Batsman]],IFERROR(FIND("*",T_BATTINGDATA[[#This Row],[Batsman]])-1,IFERROR(FIND("†",T_BATTINGDATA[[#This Row],[Batsman]])-1,LEN(T_BATTINGDATA[[#This Row],[Batsman]]))))</f>
        <v>Mahmudullah</v>
      </c>
      <c r="P501">
        <f ca="1">IFERROR(IF(MATCH(T_BATTINGDATA[[#This Row],[BATSMAN NAME]],OFFSET(O502,0,0,BATROWS-ROW(O501)-ROW(T_BATTINGDATA[[#Headers],[BATSMAN NAME]])),0)&gt;0,0,SUMIF($O$6:O501,T_BATTINGDATA[[#This Row],[BATSMAN NAME]],$E$6:E501)),SUMIF($O$6:O501,T_BATTINGDATA[[#This Row],[BATSMAN NAME]],$E$6:E501))</f>
        <v>0</v>
      </c>
      <c r="AP501">
        <v>33</v>
      </c>
      <c r="AQ501" t="s">
        <v>181</v>
      </c>
      <c r="AR501" t="s">
        <v>277</v>
      </c>
      <c r="AS501">
        <v>9.3000000000000007</v>
      </c>
      <c r="AT501">
        <v>0</v>
      </c>
      <c r="AU501">
        <v>53</v>
      </c>
      <c r="AV501">
        <v>4</v>
      </c>
      <c r="AW501">
        <v>5.57</v>
      </c>
      <c r="AX501">
        <v>32</v>
      </c>
      <c r="AY501">
        <v>8</v>
      </c>
      <c r="AZ501">
        <v>0</v>
      </c>
      <c r="BA501">
        <v>0</v>
      </c>
      <c r="BB501">
        <v>0</v>
      </c>
      <c r="BC501">
        <v>2</v>
      </c>
      <c r="BD501" t="str">
        <f>CONCATENATE(Table9[[#This Row],[Match Number]],Table9[[#This Row],[Team]],Table9[[#This Row],[BOWL NUM]])</f>
        <v>33Bangladesh2</v>
      </c>
      <c r="BE501" t="str">
        <f>IFERROR(IF(AND(Table9[[#This Row],[Team]]=I_TEAM,IFERROR(IF(MATCH(Table9[[#This Row],[Bowler]],$AR$5:AR500,0)&gt;0,0),1)),1,0),"")</f>
        <v/>
      </c>
      <c r="BF501">
        <f>(LEFT(Table9[[#This Row],[Overs]],IFERROR(FIND(".",Table9[[#This Row],[Overs]])-1,LEN(Table9[[#This Row],[Overs]])))*6) + IFERROR(IF(FIND(".",Table9[[#This Row],[Overs]])+1&gt;0,RIGHT(Table9[[#This Row],[Overs]],1),0),0)</f>
        <v>57</v>
      </c>
      <c r="BG50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01" t="e">
        <f>IF(Table9[[#This Row],[Team]]=I_TEAM,Table9[[#This Row],[Wickets]]*100-Table9[[#This Row],[Runs]],0)</f>
        <v>#REF!</v>
      </c>
      <c r="BI501">
        <f>Table9[[#This Row],[Wickets]]*100-Table9[[#This Row],[Runs]]</f>
        <v>347</v>
      </c>
      <c r="BJ501">
        <f ca="1">IFERROR(IF(MATCH(Table9[[#This Row],[Bowler]],OFFSET(AR502,0,0,BOWLROWS-ROW(AR501)-ROW(Table9[[#Headers],[BOWLER CUML WICKETS]])),0)&gt;0,0,SUMIF($AR$6:AR501,Table9[[#This Row],[Bowler]],$AV$6:AV501)),SUMIF($AR$6:AR501,Table9[[#This Row],[Bowler]],$AV$6:AV501))</f>
        <v>0</v>
      </c>
      <c r="BK501">
        <f ca="1">IFERROR(IF(MATCH(Table9[[#This Row],[Bowler]],OFFSET(AR502,0,0,BOWLROWS-ROW(AR501)-ROW(Table9[[#Headers],[BOWLER CUML WICKETS]])),0)&gt;0,0,SUMIF($AR$6:AR501,Table9[[#This Row],[Bowler]],$AU$6:AU501)),SUMIF($AR$6:AR501,Table9[[#This Row],[Bowler]],$AU$6:AU501))</f>
        <v>0</v>
      </c>
      <c r="BL501">
        <f ca="1">Table9[[#This Row],[BOWLER CUML WICKETS]]*100-Table9[[#This Row],[BOWLER CUML RUNS]]</f>
        <v>0</v>
      </c>
    </row>
    <row r="502" spans="1:64" x14ac:dyDescent="0.3">
      <c r="A502">
        <v>18</v>
      </c>
      <c r="B502" t="s">
        <v>181</v>
      </c>
      <c r="C502" t="s">
        <v>280</v>
      </c>
      <c r="D502" t="s">
        <v>668</v>
      </c>
      <c r="E502">
        <v>46</v>
      </c>
      <c r="F502">
        <v>57</v>
      </c>
      <c r="G502">
        <v>59</v>
      </c>
      <c r="H502">
        <v>4</v>
      </c>
      <c r="I502">
        <v>1</v>
      </c>
      <c r="J502">
        <v>77.959999999999994</v>
      </c>
      <c r="K502">
        <v>6</v>
      </c>
      <c r="L502" t="str">
        <f>CONCATENATE(T_BATTINGDATA[[#This Row],[Match]],T_BATTINGDATA[[#This Row],[Team]],T_BATTINGDATA[[#This Row],[Bat Number]])</f>
        <v>18Bangladesh6</v>
      </c>
      <c r="M502" t="str">
        <f>IFERROR(IF(AND(T_BATTINGDATA[[#This Row],[Team]]=I_TEAM,IFERROR(IF(MATCH(T_BATTINGDATA[[#This Row],[BATSMAN NAME]],$O$5:O501,0)&gt;0,0),1)),1,0),"")</f>
        <v/>
      </c>
      <c r="N502" t="e">
        <f>IF(T_BATTINGDATA[[#This Row],[Team]]=I_TEAM,T_BATTINGDATA[[#This Row],[R]],0)</f>
        <v>#REF!</v>
      </c>
      <c r="O502" t="str">
        <f>LEFT(T_BATTINGDATA[[#This Row],[Batsman]],IFERROR(FIND("*",T_BATTINGDATA[[#This Row],[Batsman]])-1,IFERROR(FIND("†",T_BATTINGDATA[[#This Row],[Batsman]])-1,LEN(T_BATTINGDATA[[#This Row],[Batsman]]))))</f>
        <v>Shakib Al Hasan</v>
      </c>
      <c r="P502">
        <f ca="1">IFERROR(IF(MATCH(T_BATTINGDATA[[#This Row],[BATSMAN NAME]],OFFSET(O503,0,0,BATROWS-ROW(O502)-ROW(T_BATTINGDATA[[#Headers],[BATSMAN NAME]])),0)&gt;0,0,SUMIF($O$6:O502,T_BATTINGDATA[[#This Row],[BATSMAN NAME]],$E$6:E502)),SUMIF($O$6:O502,T_BATTINGDATA[[#This Row],[BATSMAN NAME]],$E$6:E502))</f>
        <v>0</v>
      </c>
      <c r="AP502">
        <v>33</v>
      </c>
      <c r="AQ502" t="s">
        <v>181</v>
      </c>
      <c r="AR502" t="s">
        <v>669</v>
      </c>
      <c r="AS502">
        <v>8</v>
      </c>
      <c r="AT502">
        <v>0</v>
      </c>
      <c r="AU502">
        <v>42</v>
      </c>
      <c r="AV502">
        <v>0</v>
      </c>
      <c r="AW502">
        <v>5.25</v>
      </c>
      <c r="AX502">
        <v>23</v>
      </c>
      <c r="AY502">
        <v>3</v>
      </c>
      <c r="AZ502">
        <v>1</v>
      </c>
      <c r="BA502">
        <v>0</v>
      </c>
      <c r="BB502">
        <v>0</v>
      </c>
      <c r="BC502">
        <v>3</v>
      </c>
      <c r="BD502" t="str">
        <f>CONCATENATE(Table9[[#This Row],[Match Number]],Table9[[#This Row],[Team]],Table9[[#This Row],[BOWL NUM]])</f>
        <v>33Bangladesh3</v>
      </c>
      <c r="BE502" t="str">
        <f>IFERROR(IF(AND(Table9[[#This Row],[Team]]=I_TEAM,IFERROR(IF(MATCH(Table9[[#This Row],[Bowler]],$AR$5:AR501,0)&gt;0,0),1)),1,0),"")</f>
        <v/>
      </c>
      <c r="BF502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0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02" t="e">
        <f>IF(Table9[[#This Row],[Team]]=I_TEAM,Table9[[#This Row],[Wickets]]*100-Table9[[#This Row],[Runs]],0)</f>
        <v>#REF!</v>
      </c>
      <c r="BI502">
        <f>Table9[[#This Row],[Wickets]]*100-Table9[[#This Row],[Runs]]</f>
        <v>-42</v>
      </c>
      <c r="BJ502">
        <f ca="1">IFERROR(IF(MATCH(Table9[[#This Row],[Bowler]],OFFSET(AR503,0,0,BOWLROWS-ROW(AR502)-ROW(Table9[[#Headers],[BOWLER CUML WICKETS]])),0)&gt;0,0,SUMIF($AR$6:AR502,Table9[[#This Row],[Bowler]],$AV$6:AV502)),SUMIF($AR$6:AR502,Table9[[#This Row],[Bowler]],$AV$6:AV502))</f>
        <v>0</v>
      </c>
      <c r="BK502">
        <f ca="1">IFERROR(IF(MATCH(Table9[[#This Row],[Bowler]],OFFSET(AR503,0,0,BOWLROWS-ROW(AR502)-ROW(Table9[[#Headers],[BOWLER CUML WICKETS]])),0)&gt;0,0,SUMIF($AR$6:AR502,Table9[[#This Row],[Bowler]],$AU$6:AU502)),SUMIF($AR$6:AR502,Table9[[#This Row],[Bowler]],$AU$6:AU502))</f>
        <v>42</v>
      </c>
      <c r="BL502">
        <f ca="1">Table9[[#This Row],[BOWLER CUML WICKETS]]*100-Table9[[#This Row],[BOWLER CUML RUNS]]</f>
        <v>-42</v>
      </c>
    </row>
    <row r="503" spans="1:64" x14ac:dyDescent="0.3">
      <c r="A503">
        <v>18</v>
      </c>
      <c r="B503" t="s">
        <v>181</v>
      </c>
      <c r="C503" t="s">
        <v>341</v>
      </c>
      <c r="D503" t="s">
        <v>670</v>
      </c>
      <c r="E503">
        <v>36</v>
      </c>
      <c r="F503">
        <v>75</v>
      </c>
      <c r="G503">
        <v>39</v>
      </c>
      <c r="H503">
        <v>2</v>
      </c>
      <c r="I503">
        <v>1</v>
      </c>
      <c r="J503">
        <v>92.3</v>
      </c>
      <c r="K503">
        <v>7</v>
      </c>
      <c r="L503" t="str">
        <f>CONCATENATE(T_BATTINGDATA[[#This Row],[Match]],T_BATTINGDATA[[#This Row],[Team]],T_BATTINGDATA[[#This Row],[Bat Number]])</f>
        <v>18Bangladesh7</v>
      </c>
      <c r="M503" t="str">
        <f>IFERROR(IF(AND(T_BATTINGDATA[[#This Row],[Team]]=I_TEAM,IFERROR(IF(MATCH(T_BATTINGDATA[[#This Row],[BATSMAN NAME]],$O$5:O502,0)&gt;0,0),1)),1,0),"")</f>
        <v/>
      </c>
      <c r="N503" t="e">
        <f>IF(T_BATTINGDATA[[#This Row],[Team]]=I_TEAM,T_BATTINGDATA[[#This Row],[R]],0)</f>
        <v>#REF!</v>
      </c>
      <c r="O503" t="str">
        <f>LEFT(T_BATTINGDATA[[#This Row],[Batsman]],IFERROR(FIND("*",T_BATTINGDATA[[#This Row],[Batsman]])-1,IFERROR(FIND("†",T_BATTINGDATA[[#This Row],[Batsman]])-1,LEN(T_BATTINGDATA[[#This Row],[Batsman]]))))</f>
        <v>Mushfiqur Rahim</v>
      </c>
      <c r="P503">
        <f ca="1">IFERROR(IF(MATCH(T_BATTINGDATA[[#This Row],[BATSMAN NAME]],OFFSET(O504,0,0,BATROWS-ROW(O503)-ROW(T_BATTINGDATA[[#Headers],[BATSMAN NAME]])),0)&gt;0,0,SUMIF($O$6:O503,T_BATTINGDATA[[#This Row],[BATSMAN NAME]],$E$6:E503)),SUMIF($O$6:O503,T_BATTINGDATA[[#This Row],[BATSMAN NAME]],$E$6:E503))</f>
        <v>0</v>
      </c>
      <c r="AP503">
        <v>33</v>
      </c>
      <c r="AQ503" t="s">
        <v>181</v>
      </c>
      <c r="AR503" t="s">
        <v>280</v>
      </c>
      <c r="AS503">
        <v>10</v>
      </c>
      <c r="AT503">
        <v>0</v>
      </c>
      <c r="AU503">
        <v>41</v>
      </c>
      <c r="AV503">
        <v>0</v>
      </c>
      <c r="AW503">
        <v>4.0999999999999996</v>
      </c>
      <c r="AX503">
        <v>28</v>
      </c>
      <c r="AY503">
        <v>1</v>
      </c>
      <c r="AZ503">
        <v>0</v>
      </c>
      <c r="BA503">
        <v>0</v>
      </c>
      <c r="BB503">
        <v>0</v>
      </c>
      <c r="BC503">
        <v>4</v>
      </c>
      <c r="BD503" t="str">
        <f>CONCATENATE(Table9[[#This Row],[Match Number]],Table9[[#This Row],[Team]],Table9[[#This Row],[BOWL NUM]])</f>
        <v>33Bangladesh4</v>
      </c>
      <c r="BE503" t="str">
        <f>IFERROR(IF(AND(Table9[[#This Row],[Team]]=I_TEAM,IFERROR(IF(MATCH(Table9[[#This Row],[Bowler]],$AR$5:AR502,0)&gt;0,0),1)),1,0),"")</f>
        <v/>
      </c>
      <c r="BF50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0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03" t="e">
        <f>IF(Table9[[#This Row],[Team]]=I_TEAM,Table9[[#This Row],[Wickets]]*100-Table9[[#This Row],[Runs]],0)</f>
        <v>#REF!</v>
      </c>
      <c r="BI503">
        <f>Table9[[#This Row],[Wickets]]*100-Table9[[#This Row],[Runs]]</f>
        <v>-41</v>
      </c>
      <c r="BJ503">
        <f ca="1">IFERROR(IF(MATCH(Table9[[#This Row],[Bowler]],OFFSET(AR504,0,0,BOWLROWS-ROW(AR503)-ROW(Table9[[#Headers],[BOWLER CUML WICKETS]])),0)&gt;0,0,SUMIF($AR$6:AR503,Table9[[#This Row],[Bowler]],$AV$6:AV503)),SUMIF($AR$6:AR503,Table9[[#This Row],[Bowler]],$AV$6:AV503))</f>
        <v>0</v>
      </c>
      <c r="BK503">
        <f ca="1">IFERROR(IF(MATCH(Table9[[#This Row],[Bowler]],OFFSET(AR504,0,0,BOWLROWS-ROW(AR503)-ROW(Table9[[#Headers],[BOWLER CUML WICKETS]])),0)&gt;0,0,SUMIF($AR$6:AR503,Table9[[#This Row],[Bowler]],$AU$6:AU503)),SUMIF($AR$6:AR503,Table9[[#This Row],[Bowler]],$AU$6:AU503))</f>
        <v>0</v>
      </c>
      <c r="BL503">
        <f ca="1">Table9[[#This Row],[BOWLER CUML WICKETS]]*100-Table9[[#This Row],[BOWLER CUML RUNS]]</f>
        <v>0</v>
      </c>
    </row>
    <row r="504" spans="1:64" x14ac:dyDescent="0.3">
      <c r="A504">
        <v>18</v>
      </c>
      <c r="B504" t="s">
        <v>181</v>
      </c>
      <c r="C504" t="s">
        <v>342</v>
      </c>
      <c r="D504" t="s">
        <v>671</v>
      </c>
      <c r="E504">
        <v>53</v>
      </c>
      <c r="F504">
        <v>63</v>
      </c>
      <c r="G504">
        <v>62</v>
      </c>
      <c r="H504">
        <v>7</v>
      </c>
      <c r="I504">
        <v>0</v>
      </c>
      <c r="J504">
        <v>85.48</v>
      </c>
      <c r="K504">
        <v>8</v>
      </c>
      <c r="L504" t="str">
        <f>CONCATENATE(T_BATTINGDATA[[#This Row],[Match]],T_BATTINGDATA[[#This Row],[Team]],T_BATTINGDATA[[#This Row],[Bat Number]])</f>
        <v>18Bangladesh8</v>
      </c>
      <c r="M504" t="str">
        <f>IFERROR(IF(AND(T_BATTINGDATA[[#This Row],[Team]]=I_TEAM,IFERROR(IF(MATCH(T_BATTINGDATA[[#This Row],[BATSMAN NAME]],$O$5:O503,0)&gt;0,0),1)),1,0),"")</f>
        <v/>
      </c>
      <c r="N504" t="e">
        <f>IF(T_BATTINGDATA[[#This Row],[Team]]=I_TEAM,T_BATTINGDATA[[#This Row],[R]],0)</f>
        <v>#REF!</v>
      </c>
      <c r="O504" t="str">
        <f>LEFT(T_BATTINGDATA[[#This Row],[Batsman]],IFERROR(FIND("*",T_BATTINGDATA[[#This Row],[Batsman]])-1,IFERROR(FIND("†",T_BATTINGDATA[[#This Row],[Batsman]])-1,LEN(T_BATTINGDATA[[#This Row],[Batsman]]))))</f>
        <v>Sabbir Rahman</v>
      </c>
      <c r="P504">
        <f ca="1">IFERROR(IF(MATCH(T_BATTINGDATA[[#This Row],[BATSMAN NAME]],OFFSET(O505,0,0,BATROWS-ROW(O504)-ROW(T_BATTINGDATA[[#Headers],[BATSMAN NAME]])),0)&gt;0,0,SUMIF($O$6:O504,T_BATTINGDATA[[#This Row],[BATSMAN NAME]],$E$6:E504)),SUMIF($O$6:O504,T_BATTINGDATA[[#This Row],[BATSMAN NAME]],$E$6:E504))</f>
        <v>0</v>
      </c>
      <c r="AP504">
        <v>33</v>
      </c>
      <c r="AQ504" t="s">
        <v>181</v>
      </c>
      <c r="AR504" t="s">
        <v>270</v>
      </c>
      <c r="AS504">
        <v>9</v>
      </c>
      <c r="AT504">
        <v>0</v>
      </c>
      <c r="AU504">
        <v>59</v>
      </c>
      <c r="AV504">
        <v>2</v>
      </c>
      <c r="AW504">
        <v>6.55</v>
      </c>
      <c r="AX504">
        <v>27</v>
      </c>
      <c r="AY504">
        <v>6</v>
      </c>
      <c r="AZ504">
        <v>1</v>
      </c>
      <c r="BA504">
        <v>0</v>
      </c>
      <c r="BB504">
        <v>1</v>
      </c>
      <c r="BC504">
        <v>5</v>
      </c>
      <c r="BD504" t="str">
        <f>CONCATENATE(Table9[[#This Row],[Match Number]],Table9[[#This Row],[Team]],Table9[[#This Row],[BOWL NUM]])</f>
        <v>33Bangladesh5</v>
      </c>
      <c r="BE504" t="str">
        <f>IFERROR(IF(AND(Table9[[#This Row],[Team]]=I_TEAM,IFERROR(IF(MATCH(Table9[[#This Row],[Bowler]],$AR$5:AR503,0)&gt;0,0),1)),1,0),"")</f>
        <v/>
      </c>
      <c r="BF504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50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04" t="e">
        <f>IF(Table9[[#This Row],[Team]]=I_TEAM,Table9[[#This Row],[Wickets]]*100-Table9[[#This Row],[Runs]],0)</f>
        <v>#REF!</v>
      </c>
      <c r="BI504">
        <f>Table9[[#This Row],[Wickets]]*100-Table9[[#This Row],[Runs]]</f>
        <v>141</v>
      </c>
      <c r="BJ504">
        <f ca="1">IFERROR(IF(MATCH(Table9[[#This Row],[Bowler]],OFFSET(AR505,0,0,BOWLROWS-ROW(AR504)-ROW(Table9[[#Headers],[BOWLER CUML WICKETS]])),0)&gt;0,0,SUMIF($AR$6:AR504,Table9[[#This Row],[Bowler]],$AV$6:AV504)),SUMIF($AR$6:AR504,Table9[[#This Row],[Bowler]],$AV$6:AV504))</f>
        <v>0</v>
      </c>
      <c r="BK504">
        <f ca="1">IFERROR(IF(MATCH(Table9[[#This Row],[Bowler]],OFFSET(AR505,0,0,BOWLROWS-ROW(AR504)-ROW(Table9[[#Headers],[BOWLER CUML WICKETS]])),0)&gt;0,0,SUMIF($AR$6:AR504,Table9[[#This Row],[Bowler]],$AU$6:AU504)),SUMIF($AR$6:AR504,Table9[[#This Row],[Bowler]],$AU$6:AU504))</f>
        <v>0</v>
      </c>
      <c r="BL504">
        <f ca="1">Table9[[#This Row],[BOWLER CUML WICKETS]]*100-Table9[[#This Row],[BOWLER CUML RUNS]]</f>
        <v>0</v>
      </c>
    </row>
    <row r="505" spans="1:64" x14ac:dyDescent="0.3">
      <c r="A505">
        <v>18</v>
      </c>
      <c r="B505" t="s">
        <v>181</v>
      </c>
      <c r="C505" t="s">
        <v>346</v>
      </c>
      <c r="D505" t="s">
        <v>672</v>
      </c>
      <c r="E505">
        <v>7</v>
      </c>
      <c r="F505">
        <v>14</v>
      </c>
      <c r="G505">
        <v>7</v>
      </c>
      <c r="H505">
        <v>1</v>
      </c>
      <c r="I505">
        <v>0</v>
      </c>
      <c r="J505">
        <v>100</v>
      </c>
      <c r="K505">
        <v>9</v>
      </c>
      <c r="L505" t="str">
        <f>CONCATENATE(T_BATTINGDATA[[#This Row],[Match]],T_BATTINGDATA[[#This Row],[Team]],T_BATTINGDATA[[#This Row],[Bat Number]])</f>
        <v>18Bangladesh9</v>
      </c>
      <c r="M505" t="str">
        <f>IFERROR(IF(AND(T_BATTINGDATA[[#This Row],[Team]]=I_TEAM,IFERROR(IF(MATCH(T_BATTINGDATA[[#This Row],[BATSMAN NAME]],$O$5:O504,0)&gt;0,0),1)),1,0),"")</f>
        <v/>
      </c>
      <c r="N505" t="e">
        <f>IF(T_BATTINGDATA[[#This Row],[Team]]=I_TEAM,T_BATTINGDATA[[#This Row],[R]],0)</f>
        <v>#REF!</v>
      </c>
      <c r="O505" t="str">
        <f>LEFT(T_BATTINGDATA[[#This Row],[Batsman]],IFERROR(FIND("*",T_BATTINGDATA[[#This Row],[Batsman]])-1,IFERROR(FIND("†",T_BATTINGDATA[[#This Row],[Batsman]])-1,LEN(T_BATTINGDATA[[#This Row],[Batsman]]))))</f>
        <v>Mashrafe Mortaza</v>
      </c>
      <c r="P505">
        <f ca="1">IFERROR(IF(MATCH(T_BATTINGDATA[[#This Row],[BATSMAN NAME]],OFFSET(O506,0,0,BATROWS-ROW(O505)-ROW(T_BATTINGDATA[[#Headers],[BATSMAN NAME]])),0)&gt;0,0,SUMIF($O$6:O505,T_BATTINGDATA[[#This Row],[BATSMAN NAME]],$E$6:E505)),SUMIF($O$6:O505,T_BATTINGDATA[[#This Row],[BATSMAN NAME]],$E$6:E505))</f>
        <v>0</v>
      </c>
      <c r="AP505">
        <v>33</v>
      </c>
      <c r="AQ505" t="s">
        <v>181</v>
      </c>
      <c r="AR505" t="s">
        <v>342</v>
      </c>
      <c r="AS505">
        <v>2</v>
      </c>
      <c r="AT505">
        <v>0</v>
      </c>
      <c r="AU505">
        <v>13</v>
      </c>
      <c r="AV505">
        <v>0</v>
      </c>
      <c r="AW505">
        <v>6.5</v>
      </c>
      <c r="AX505">
        <v>2</v>
      </c>
      <c r="AY505">
        <v>1</v>
      </c>
      <c r="AZ505">
        <v>0</v>
      </c>
      <c r="BA505">
        <v>0</v>
      </c>
      <c r="BB505">
        <v>0</v>
      </c>
      <c r="BC505">
        <v>6</v>
      </c>
      <c r="BD505" t="str">
        <f>CONCATENATE(Table9[[#This Row],[Match Number]],Table9[[#This Row],[Team]],Table9[[#This Row],[BOWL NUM]])</f>
        <v>33Bangladesh6</v>
      </c>
      <c r="BE505" t="str">
        <f>IFERROR(IF(AND(Table9[[#This Row],[Team]]=I_TEAM,IFERROR(IF(MATCH(Table9[[#This Row],[Bowler]],$AR$5:AR504,0)&gt;0,0),1)),1,0),"")</f>
        <v/>
      </c>
      <c r="BF505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50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05" t="e">
        <f>IF(Table9[[#This Row],[Team]]=I_TEAM,Table9[[#This Row],[Wickets]]*100-Table9[[#This Row],[Runs]],0)</f>
        <v>#REF!</v>
      </c>
      <c r="BI505">
        <f>Table9[[#This Row],[Wickets]]*100-Table9[[#This Row],[Runs]]</f>
        <v>-13</v>
      </c>
      <c r="BJ505">
        <f ca="1">IFERROR(IF(MATCH(Table9[[#This Row],[Bowler]],OFFSET(AR506,0,0,BOWLROWS-ROW(AR505)-ROW(Table9[[#Headers],[BOWLER CUML WICKETS]])),0)&gt;0,0,SUMIF($AR$6:AR590,Table9[[#This Row],[Bowler]],$AV$6:AV590)),SUMIF($AR$6:AR590,Table9[[#This Row],[Bowler]],$AV$6:AV590))</f>
        <v>0</v>
      </c>
      <c r="BK505">
        <f ca="1">IFERROR(IF(MATCH(Table9[[#This Row],[Bowler]],OFFSET(AR506,0,0,BOWLROWS-ROW(AR505)-ROW(Table9[[#Headers],[BOWLER CUML WICKETS]])),0)&gt;0,0,SUMIF($AR$6:AR590,Table9[[#This Row],[Bowler]],$AU$6:AU590)),SUMIF($AR$6:AR590,Table9[[#This Row],[Bowler]],$AU$6:AU590))</f>
        <v>0</v>
      </c>
      <c r="BL505">
        <f ca="1">Table9[[#This Row],[BOWLER CUML WICKETS]]*100-Table9[[#This Row],[BOWLER CUML RUNS]]</f>
        <v>0</v>
      </c>
    </row>
    <row r="506" spans="1:64" x14ac:dyDescent="0.3">
      <c r="A506">
        <v>18</v>
      </c>
      <c r="B506" t="s">
        <v>181</v>
      </c>
      <c r="C506" t="s">
        <v>277</v>
      </c>
      <c r="D506" t="s">
        <v>167</v>
      </c>
      <c r="E506">
        <v>0</v>
      </c>
      <c r="F506">
        <v>13</v>
      </c>
      <c r="G506">
        <v>5</v>
      </c>
      <c r="H506">
        <v>0</v>
      </c>
      <c r="I506">
        <v>0</v>
      </c>
      <c r="J506">
        <v>0</v>
      </c>
      <c r="K506">
        <v>10</v>
      </c>
      <c r="L506" t="str">
        <f>CONCATENATE(T_BATTINGDATA[[#This Row],[Match]],T_BATTINGDATA[[#This Row],[Team]],T_BATTINGDATA[[#This Row],[Bat Number]])</f>
        <v>18Bangladesh10</v>
      </c>
      <c r="M506" t="str">
        <f>IFERROR(IF(AND(T_BATTINGDATA[[#This Row],[Team]]=I_TEAM,IFERROR(IF(MATCH(T_BATTINGDATA[[#This Row],[BATSMAN NAME]],$O$5:O505,0)&gt;0,0),1)),1,0),"")</f>
        <v/>
      </c>
      <c r="N506" t="e">
        <f>IF(T_BATTINGDATA[[#This Row],[Team]]=I_TEAM,T_BATTINGDATA[[#This Row],[R]],0)</f>
        <v>#REF!</v>
      </c>
      <c r="O506" t="str">
        <f>LEFT(T_BATTINGDATA[[#This Row],[Batsman]],IFERROR(FIND("*",T_BATTINGDATA[[#This Row],[Batsman]])-1,IFERROR(FIND("†",T_BATTINGDATA[[#This Row],[Batsman]])-1,LEN(T_BATTINGDATA[[#This Row],[Batsman]]))))</f>
        <v>Rubel Hossain</v>
      </c>
      <c r="P506">
        <f ca="1">IFERROR(IF(MATCH(T_BATTINGDATA[[#This Row],[BATSMAN NAME]],OFFSET(O507,0,0,BATROWS-ROW(O506)-ROW(T_BATTINGDATA[[#Headers],[BATSMAN NAME]])),0)&gt;0,0,SUMIF($O$6:O506,T_BATTINGDATA[[#This Row],[BATSMAN NAME]],$E$6:E506)),SUMIF($O$6:O506,T_BATTINGDATA[[#This Row],[BATSMAN NAME]],$E$6:E506))</f>
        <v>0</v>
      </c>
      <c r="AP506">
        <v>35</v>
      </c>
      <c r="AQ506" t="s">
        <v>176</v>
      </c>
      <c r="AR506" t="s">
        <v>382</v>
      </c>
      <c r="AS506">
        <v>10</v>
      </c>
      <c r="AT506">
        <v>0</v>
      </c>
      <c r="AU506">
        <v>46</v>
      </c>
      <c r="AV506">
        <v>1</v>
      </c>
      <c r="AW506">
        <v>4.5999999999999996</v>
      </c>
      <c r="AX506">
        <v>32</v>
      </c>
      <c r="AY506">
        <v>2</v>
      </c>
      <c r="AZ506">
        <v>1</v>
      </c>
      <c r="BA506">
        <v>0</v>
      </c>
      <c r="BB506">
        <v>0</v>
      </c>
      <c r="BC506">
        <v>1</v>
      </c>
      <c r="BD506" t="str">
        <f>CONCATENATE(Table9[[#This Row],[Match Number]],Table9[[#This Row],[Team]],Table9[[#This Row],[BOWL NUM]])</f>
        <v>35Scotland1</v>
      </c>
      <c r="BE506" t="str">
        <f>IFERROR(IF(AND(Table9[[#This Row],[Team]]=I_TEAM,IFERROR(IF(MATCH(Table9[[#This Row],[Bowler]],$AR$5:AR505,0)&gt;0,0),1)),1,0),"")</f>
        <v/>
      </c>
      <c r="BF50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0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506" t="e">
        <f>IF(Table9[[#This Row],[Team]]=I_TEAM,Table9[[#This Row],[Wickets]]*100-Table9[[#This Row],[Runs]],0)</f>
        <v>#REF!</v>
      </c>
      <c r="BI506">
        <f>Table9[[#This Row],[Wickets]]*100-Table9[[#This Row],[Runs]]</f>
        <v>54</v>
      </c>
      <c r="BJ506">
        <f ca="1">IFERROR(IF(MATCH(Table9[[#This Row],[Bowler]],OFFSET(AR507,0,0,BOWLROWS-ROW(AR506)-ROW(Table9[[#Headers],[BOWLER CUML WICKETS]])),0)&gt;0,0,SUMIF($AR$6:AR506,Table9[[#This Row],[Bowler]],$AV$6:AV506)),SUMIF($AR$6:AR506,Table9[[#This Row],[Bowler]],$AV$6:AV506))</f>
        <v>0</v>
      </c>
      <c r="BK506">
        <f ca="1">IFERROR(IF(MATCH(Table9[[#This Row],[Bowler]],OFFSET(AR507,0,0,BOWLROWS-ROW(AR506)-ROW(Table9[[#Headers],[BOWLER CUML WICKETS]])),0)&gt;0,0,SUMIF($AR$6:AR506,Table9[[#This Row],[Bowler]],$AU$6:AU506)),SUMIF($AR$6:AR506,Table9[[#This Row],[Bowler]],$AU$6:AU506))</f>
        <v>0</v>
      </c>
      <c r="BL506">
        <f ca="1">Table9[[#This Row],[BOWLER CUML WICKETS]]*100-Table9[[#This Row],[BOWLER CUML RUNS]]</f>
        <v>0</v>
      </c>
    </row>
    <row r="507" spans="1:64" x14ac:dyDescent="0.3">
      <c r="A507">
        <v>18</v>
      </c>
      <c r="B507" t="s">
        <v>181</v>
      </c>
      <c r="C507" t="s">
        <v>270</v>
      </c>
      <c r="D507" t="s">
        <v>673</v>
      </c>
      <c r="E507">
        <v>0</v>
      </c>
      <c r="F507">
        <v>1</v>
      </c>
      <c r="G507">
        <v>1</v>
      </c>
      <c r="H507">
        <v>0</v>
      </c>
      <c r="I507">
        <v>0</v>
      </c>
      <c r="J507">
        <v>0</v>
      </c>
      <c r="K507">
        <v>11</v>
      </c>
      <c r="L507" t="str">
        <f>CONCATENATE(T_BATTINGDATA[[#This Row],[Match]],T_BATTINGDATA[[#This Row],[Team]],T_BATTINGDATA[[#This Row],[Bat Number]])</f>
        <v>18Bangladesh11</v>
      </c>
      <c r="M507" t="str">
        <f>IFERROR(IF(AND(T_BATTINGDATA[[#This Row],[Team]]=I_TEAM,IFERROR(IF(MATCH(T_BATTINGDATA[[#This Row],[BATSMAN NAME]],$O$5:O506,0)&gt;0,0),1)),1,0),"")</f>
        <v/>
      </c>
      <c r="N507" t="e">
        <f>IF(T_BATTINGDATA[[#This Row],[Team]]=I_TEAM,T_BATTINGDATA[[#This Row],[R]],0)</f>
        <v>#REF!</v>
      </c>
      <c r="O507" t="str">
        <f>LEFT(T_BATTINGDATA[[#This Row],[Batsman]],IFERROR(FIND("*",T_BATTINGDATA[[#This Row],[Batsman]])-1,IFERROR(FIND("†",T_BATTINGDATA[[#This Row],[Batsman]])-1,LEN(T_BATTINGDATA[[#This Row],[Batsman]]))))</f>
        <v>Taskin Ahmed</v>
      </c>
      <c r="P507">
        <f ca="1">IFERROR(IF(MATCH(T_BATTINGDATA[[#This Row],[BATSMAN NAME]],OFFSET(O508,0,0,BATROWS-ROW(O507)-ROW(T_BATTINGDATA[[#Headers],[BATSMAN NAME]])),0)&gt;0,0,SUMIF($O$6:O507,T_BATTINGDATA[[#This Row],[BATSMAN NAME]],$E$6:E507)),SUMIF($O$6:O507,T_BATTINGDATA[[#This Row],[BATSMAN NAME]],$E$6:E507))</f>
        <v>1</v>
      </c>
      <c r="AP507">
        <v>35</v>
      </c>
      <c r="AQ507" t="s">
        <v>176</v>
      </c>
      <c r="AR507" t="s">
        <v>461</v>
      </c>
      <c r="AS507">
        <v>10</v>
      </c>
      <c r="AT507">
        <v>0</v>
      </c>
      <c r="AU507">
        <v>72</v>
      </c>
      <c r="AV507">
        <v>2</v>
      </c>
      <c r="AW507">
        <v>7.2</v>
      </c>
      <c r="AX507">
        <v>30</v>
      </c>
      <c r="AY507">
        <v>8</v>
      </c>
      <c r="AZ507">
        <v>2</v>
      </c>
      <c r="BA507">
        <v>3</v>
      </c>
      <c r="BB507">
        <v>0</v>
      </c>
      <c r="BC507">
        <v>2</v>
      </c>
      <c r="BD507" t="str">
        <f>CONCATENATE(Table9[[#This Row],[Match Number]],Table9[[#This Row],[Team]],Table9[[#This Row],[BOWL NUM]])</f>
        <v>35Scotland2</v>
      </c>
      <c r="BE507" t="str">
        <f>IFERROR(IF(AND(Table9[[#This Row],[Team]]=I_TEAM,IFERROR(IF(MATCH(Table9[[#This Row],[Bowler]],$AR$5:AR506,0)&gt;0,0),1)),1,0),"")</f>
        <v/>
      </c>
      <c r="BF50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0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507" t="e">
        <f>IF(Table9[[#This Row],[Team]]=I_TEAM,Table9[[#This Row],[Wickets]]*100-Table9[[#This Row],[Runs]],0)</f>
        <v>#REF!</v>
      </c>
      <c r="BI507">
        <f>Table9[[#This Row],[Wickets]]*100-Table9[[#This Row],[Runs]]</f>
        <v>128</v>
      </c>
      <c r="BJ507">
        <f ca="1">IFERROR(IF(MATCH(Table9[[#This Row],[Bowler]],OFFSET(AR508,0,0,BOWLROWS-ROW(AR507)-ROW(Table9[[#Headers],[BOWLER CUML WICKETS]])),0)&gt;0,0,SUMIF($AR$6:AR507,Table9[[#This Row],[Bowler]],$AV$6:AV507)),SUMIF($AR$6:AR507,Table9[[#This Row],[Bowler]],$AV$6:AV507))</f>
        <v>6</v>
      </c>
      <c r="BK507">
        <f ca="1">IFERROR(IF(MATCH(Table9[[#This Row],[Bowler]],OFFSET(AR508,0,0,BOWLROWS-ROW(AR507)-ROW(Table9[[#Headers],[BOWLER CUML WICKETS]])),0)&gt;0,0,SUMIF($AR$6:AR507,Table9[[#This Row],[Bowler]],$AU$6:AU507)),SUMIF($AR$6:AR507,Table9[[#This Row],[Bowler]],$AU$6:AU507))</f>
        <v>215</v>
      </c>
      <c r="BL507">
        <f ca="1">Table9[[#This Row],[BOWLER CUML WICKETS]]*100-Table9[[#This Row],[BOWLER CUML RUNS]]</f>
        <v>385</v>
      </c>
    </row>
    <row r="508" spans="1:64" x14ac:dyDescent="0.3">
      <c r="A508">
        <v>19</v>
      </c>
      <c r="B508" t="s">
        <v>141</v>
      </c>
      <c r="C508" t="s">
        <v>174</v>
      </c>
      <c r="D508" t="s">
        <v>674</v>
      </c>
      <c r="E508">
        <v>12</v>
      </c>
      <c r="F508">
        <v>24</v>
      </c>
      <c r="G508">
        <v>19</v>
      </c>
      <c r="H508">
        <v>3</v>
      </c>
      <c r="I508">
        <v>0</v>
      </c>
      <c r="J508">
        <v>63.15</v>
      </c>
      <c r="K508">
        <v>1</v>
      </c>
      <c r="L508" t="str">
        <f>CONCATENATE(T_BATTINGDATA[[#This Row],[Match]],T_BATTINGDATA[[#This Row],[Team]],T_BATTINGDATA[[#This Row],[Bat Number]])</f>
        <v>19South Africa1</v>
      </c>
      <c r="M508" t="str">
        <f>IFERROR(IF(AND(T_BATTINGDATA[[#This Row],[Team]]=I_TEAM,IFERROR(IF(MATCH(T_BATTINGDATA[[#This Row],[BATSMAN NAME]],$O$5:O507,0)&gt;0,0),1)),1,0),"")</f>
        <v/>
      </c>
      <c r="N508" t="e">
        <f>IF(T_BATTINGDATA[[#This Row],[Team]]=I_TEAM,T_BATTINGDATA[[#This Row],[R]],0)</f>
        <v>#REF!</v>
      </c>
      <c r="O508" t="str">
        <f>LEFT(T_BATTINGDATA[[#This Row],[Batsman]],IFERROR(FIND("*",T_BATTINGDATA[[#This Row],[Batsman]])-1,IFERROR(FIND("†",T_BATTINGDATA[[#This Row],[Batsman]])-1,LEN(T_BATTINGDATA[[#This Row],[Batsman]]))))</f>
        <v>Q de Kock</v>
      </c>
      <c r="P508">
        <f ca="1">IFERROR(IF(MATCH(T_BATTINGDATA[[#This Row],[BATSMAN NAME]],OFFSET(O509,0,0,BATROWS-ROW(O508)-ROW(T_BATTINGDATA[[#Headers],[BATSMAN NAME]])),0)&gt;0,0,SUMIF($O$6:O508,T_BATTINGDATA[[#This Row],[BATSMAN NAME]],$E$6:E508)),SUMIF($O$6:O508,T_BATTINGDATA[[#This Row],[BATSMAN NAME]],$E$6:E508))</f>
        <v>0</v>
      </c>
      <c r="AP508">
        <v>35</v>
      </c>
      <c r="AQ508" t="s">
        <v>176</v>
      </c>
      <c r="AR508" t="s">
        <v>384</v>
      </c>
      <c r="AS508">
        <v>8</v>
      </c>
      <c r="AT508">
        <v>0</v>
      </c>
      <c r="AU508">
        <v>63</v>
      </c>
      <c r="AV508">
        <v>3</v>
      </c>
      <c r="AW508">
        <v>7.87</v>
      </c>
      <c r="AX508">
        <v>23</v>
      </c>
      <c r="AY508">
        <v>8</v>
      </c>
      <c r="AZ508">
        <v>1</v>
      </c>
      <c r="BA508">
        <v>5</v>
      </c>
      <c r="BB508">
        <v>0</v>
      </c>
      <c r="BC508">
        <v>3</v>
      </c>
      <c r="BD508" t="str">
        <f>CONCATENATE(Table9[[#This Row],[Match Number]],Table9[[#This Row],[Team]],Table9[[#This Row],[BOWL NUM]])</f>
        <v>35Scotland3</v>
      </c>
      <c r="BE508" t="str">
        <f>IFERROR(IF(AND(Table9[[#This Row],[Team]]=I_TEAM,IFERROR(IF(MATCH(Table9[[#This Row],[Bowler]],$AR$5:AR507,0)&gt;0,0),1)),1,0),"")</f>
        <v/>
      </c>
      <c r="BF508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0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508" t="e">
        <f>IF(Table9[[#This Row],[Team]]=I_TEAM,Table9[[#This Row],[Wickets]]*100-Table9[[#This Row],[Runs]],0)</f>
        <v>#REF!</v>
      </c>
      <c r="BI508">
        <f>Table9[[#This Row],[Wickets]]*100-Table9[[#This Row],[Runs]]</f>
        <v>237</v>
      </c>
      <c r="BJ508">
        <f ca="1">IFERROR(IF(MATCH(Table9[[#This Row],[Bowler]],OFFSET(AR509,0,0,BOWLROWS-ROW(AR508)-ROW(Table9[[#Headers],[BOWLER CUML WICKETS]])),0)&gt;0,0,SUMIF($AR$6:AR508,Table9[[#This Row],[Bowler]],$AV$6:AV508)),SUMIF($AR$6:AR508,Table9[[#This Row],[Bowler]],$AV$6:AV508))</f>
        <v>0</v>
      </c>
      <c r="BK508">
        <f ca="1">IFERROR(IF(MATCH(Table9[[#This Row],[Bowler]],OFFSET(AR509,0,0,BOWLROWS-ROW(AR508)-ROW(Table9[[#Headers],[BOWLER CUML WICKETS]])),0)&gt;0,0,SUMIF($AR$6:AR508,Table9[[#This Row],[Bowler]],$AU$6:AU508)),SUMIF($AR$6:AR508,Table9[[#This Row],[Bowler]],$AU$6:AU508))</f>
        <v>0</v>
      </c>
      <c r="BL508">
        <f ca="1">Table9[[#This Row],[BOWLER CUML WICKETS]]*100-Table9[[#This Row],[BOWLER CUML RUNS]]</f>
        <v>0</v>
      </c>
    </row>
    <row r="509" spans="1:64" x14ac:dyDescent="0.3">
      <c r="A509">
        <v>19</v>
      </c>
      <c r="B509" t="s">
        <v>141</v>
      </c>
      <c r="C509" t="s">
        <v>172</v>
      </c>
      <c r="D509" t="s">
        <v>563</v>
      </c>
      <c r="E509">
        <v>65</v>
      </c>
      <c r="F509">
        <v>122</v>
      </c>
      <c r="G509">
        <v>88</v>
      </c>
      <c r="H509">
        <v>1</v>
      </c>
      <c r="I509">
        <v>1</v>
      </c>
      <c r="J509">
        <v>73.86</v>
      </c>
      <c r="K509">
        <v>2</v>
      </c>
      <c r="L509" t="str">
        <f>CONCATENATE(T_BATTINGDATA[[#This Row],[Match]],T_BATTINGDATA[[#This Row],[Team]],T_BATTINGDATA[[#This Row],[Bat Number]])</f>
        <v>19South Africa2</v>
      </c>
      <c r="M509" t="str">
        <f>IFERROR(IF(AND(T_BATTINGDATA[[#This Row],[Team]]=I_TEAM,IFERROR(IF(MATCH(T_BATTINGDATA[[#This Row],[BATSMAN NAME]],$O$5:O508,0)&gt;0,0),1)),1,0),"")</f>
        <v/>
      </c>
      <c r="N509" t="e">
        <f>IF(T_BATTINGDATA[[#This Row],[Team]]=I_TEAM,T_BATTINGDATA[[#This Row],[R]],0)</f>
        <v>#REF!</v>
      </c>
      <c r="O509" t="str">
        <f>LEFT(T_BATTINGDATA[[#This Row],[Batsman]],IFERROR(FIND("*",T_BATTINGDATA[[#This Row],[Batsman]])-1,IFERROR(FIND("†",T_BATTINGDATA[[#This Row],[Batsman]])-1,LEN(T_BATTINGDATA[[#This Row],[Batsman]]))))</f>
        <v>HM Amla</v>
      </c>
      <c r="P509">
        <f ca="1">IFERROR(IF(MATCH(T_BATTINGDATA[[#This Row],[BATSMAN NAME]],OFFSET(O510,0,0,BATROWS-ROW(O509)-ROW(T_BATTINGDATA[[#Headers],[BATSMAN NAME]])),0)&gt;0,0,SUMIF($O$6:O509,T_BATTINGDATA[[#This Row],[BATSMAN NAME]],$E$6:E509)),SUMIF($O$6:O509,T_BATTINGDATA[[#This Row],[BATSMAN NAME]],$E$6:E509))</f>
        <v>0</v>
      </c>
      <c r="AP509">
        <v>35</v>
      </c>
      <c r="AQ509" t="s">
        <v>176</v>
      </c>
      <c r="AR509" t="s">
        <v>452</v>
      </c>
      <c r="AS509">
        <v>6.1</v>
      </c>
      <c r="AT509">
        <v>0</v>
      </c>
      <c r="AU509">
        <v>31</v>
      </c>
      <c r="AV509">
        <v>2</v>
      </c>
      <c r="AW509">
        <v>5.0199999999999996</v>
      </c>
      <c r="AX509">
        <v>17</v>
      </c>
      <c r="AY509">
        <v>1</v>
      </c>
      <c r="AZ509">
        <v>1</v>
      </c>
      <c r="BA509">
        <v>0</v>
      </c>
      <c r="BB509">
        <v>0</v>
      </c>
      <c r="BC509">
        <v>4</v>
      </c>
      <c r="BD509" t="str">
        <f>CONCATENATE(Table9[[#This Row],[Match Number]],Table9[[#This Row],[Team]],Table9[[#This Row],[BOWL NUM]])</f>
        <v>35Scotland4</v>
      </c>
      <c r="BE509" t="str">
        <f>IFERROR(IF(AND(Table9[[#This Row],[Team]]=I_TEAM,IFERROR(IF(MATCH(Table9[[#This Row],[Bowler]],$AR$5:AR508,0)&gt;0,0),1)),1,0),"")</f>
        <v/>
      </c>
      <c r="BF509">
        <f>(LEFT(Table9[[#This Row],[Overs]],IFERROR(FIND(".",Table9[[#This Row],[Overs]])-1,LEN(Table9[[#This Row],[Overs]])))*6) + IFERROR(IF(FIND(".",Table9[[#This Row],[Overs]])+1&gt;0,RIGHT(Table9[[#This Row],[Overs]],1),0),0)</f>
        <v>37</v>
      </c>
      <c r="BG50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509" t="e">
        <f>IF(Table9[[#This Row],[Team]]=I_TEAM,Table9[[#This Row],[Wickets]]*100-Table9[[#This Row],[Runs]],0)</f>
        <v>#REF!</v>
      </c>
      <c r="BI509">
        <f>Table9[[#This Row],[Wickets]]*100-Table9[[#This Row],[Runs]]</f>
        <v>169</v>
      </c>
      <c r="BJ509">
        <f ca="1">IFERROR(IF(MATCH(Table9[[#This Row],[Bowler]],OFFSET(AR510,0,0,BOWLROWS-ROW(AR509)-ROW(Table9[[#Headers],[BOWLER CUML WICKETS]])),0)&gt;0,0,SUMIF($AR$6:AR509,Table9[[#This Row],[Bowler]],$AV$6:AV509)),SUMIF($AR$6:AR509,Table9[[#This Row],[Bowler]],$AV$6:AV509))</f>
        <v>7</v>
      </c>
      <c r="BK509">
        <f ca="1">IFERROR(IF(MATCH(Table9[[#This Row],[Bowler]],OFFSET(AR510,0,0,BOWLROWS-ROW(AR509)-ROW(Table9[[#Headers],[BOWLER CUML WICKETS]])),0)&gt;0,0,SUMIF($AR$6:AR509,Table9[[#This Row],[Bowler]],$AU$6:AU509)),SUMIF($AR$6:AR509,Table9[[#This Row],[Bowler]],$AU$6:AU509))</f>
        <v>132</v>
      </c>
      <c r="BL509">
        <f ca="1">Table9[[#This Row],[BOWLER CUML WICKETS]]*100-Table9[[#This Row],[BOWLER CUML RUNS]]</f>
        <v>568</v>
      </c>
    </row>
    <row r="510" spans="1:64" x14ac:dyDescent="0.3">
      <c r="A510">
        <v>19</v>
      </c>
      <c r="B510" t="s">
        <v>141</v>
      </c>
      <c r="C510" t="s">
        <v>177</v>
      </c>
      <c r="D510" t="s">
        <v>436</v>
      </c>
      <c r="E510">
        <v>62</v>
      </c>
      <c r="F510">
        <v>93</v>
      </c>
      <c r="G510">
        <v>70</v>
      </c>
      <c r="H510">
        <v>3</v>
      </c>
      <c r="I510">
        <v>0</v>
      </c>
      <c r="J510">
        <v>88.57</v>
      </c>
      <c r="K510">
        <v>3</v>
      </c>
      <c r="L510" t="str">
        <f>CONCATENATE(T_BATTINGDATA[[#This Row],[Match]],T_BATTINGDATA[[#This Row],[Team]],T_BATTINGDATA[[#This Row],[Bat Number]])</f>
        <v>19South Africa3</v>
      </c>
      <c r="M510" t="str">
        <f>IFERROR(IF(AND(T_BATTINGDATA[[#This Row],[Team]]=I_TEAM,IFERROR(IF(MATCH(T_BATTINGDATA[[#This Row],[BATSMAN NAME]],$O$5:O509,0)&gt;0,0),1)),1,0),"")</f>
        <v/>
      </c>
      <c r="N510" t="e">
        <f>IF(T_BATTINGDATA[[#This Row],[Team]]=I_TEAM,T_BATTINGDATA[[#This Row],[R]],0)</f>
        <v>#REF!</v>
      </c>
      <c r="O510" t="str">
        <f>LEFT(T_BATTINGDATA[[#This Row],[Batsman]],IFERROR(FIND("*",T_BATTINGDATA[[#This Row],[Batsman]])-1,IFERROR(FIND("†",T_BATTINGDATA[[#This Row],[Batsman]])-1,LEN(T_BATTINGDATA[[#This Row],[Batsman]]))))</f>
        <v>F du Plessis</v>
      </c>
      <c r="P510">
        <f ca="1">IFERROR(IF(MATCH(T_BATTINGDATA[[#This Row],[BATSMAN NAME]],OFFSET(O511,0,0,BATROWS-ROW(O510)-ROW(T_BATTINGDATA[[#Headers],[BATSMAN NAME]])),0)&gt;0,0,SUMIF($O$6:O510,T_BATTINGDATA[[#This Row],[BATSMAN NAME]],$E$6:E510)),SUMIF($O$6:O510,T_BATTINGDATA[[#This Row],[BATSMAN NAME]],$E$6:E510))</f>
        <v>0</v>
      </c>
      <c r="AP510">
        <v>35</v>
      </c>
      <c r="AQ510" t="s">
        <v>176</v>
      </c>
      <c r="AR510" t="s">
        <v>675</v>
      </c>
      <c r="AS510">
        <v>7</v>
      </c>
      <c r="AT510">
        <v>0</v>
      </c>
      <c r="AU510">
        <v>63</v>
      </c>
      <c r="AV510">
        <v>0</v>
      </c>
      <c r="AW510">
        <v>9</v>
      </c>
      <c r="AX510">
        <v>11</v>
      </c>
      <c r="AY510">
        <v>4</v>
      </c>
      <c r="AZ510">
        <v>3</v>
      </c>
      <c r="BA510">
        <v>0</v>
      </c>
      <c r="BB510">
        <v>0</v>
      </c>
      <c r="BC510">
        <v>5</v>
      </c>
      <c r="BD510" t="str">
        <f>CONCATENATE(Table9[[#This Row],[Match Number]],Table9[[#This Row],[Team]],Table9[[#This Row],[BOWL NUM]])</f>
        <v>35Scotland5</v>
      </c>
      <c r="BE510" t="str">
        <f>IFERROR(IF(AND(Table9[[#This Row],[Team]]=I_TEAM,IFERROR(IF(MATCH(Table9[[#This Row],[Bowler]],$AR$5:AR509,0)&gt;0,0),1)),1,0),"")</f>
        <v/>
      </c>
      <c r="BF510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51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510" t="e">
        <f>IF(Table9[[#This Row],[Team]]=I_TEAM,Table9[[#This Row],[Wickets]]*100-Table9[[#This Row],[Runs]],0)</f>
        <v>#REF!</v>
      </c>
      <c r="BI510">
        <f>Table9[[#This Row],[Wickets]]*100-Table9[[#This Row],[Runs]]</f>
        <v>-63</v>
      </c>
      <c r="BJ510">
        <f ca="1">IFERROR(IF(MATCH(Table9[[#This Row],[Bowler]],OFFSET(AR511,0,0,BOWLROWS-ROW(AR510)-ROW(Table9[[#Headers],[BOWLER CUML WICKETS]])),0)&gt;0,0,SUMIF($AR$6:AR510,Table9[[#This Row],[Bowler]],$AV$6:AV510)),SUMIF($AR$6:AR510,Table9[[#This Row],[Bowler]],$AV$6:AV510))</f>
        <v>0</v>
      </c>
      <c r="BK510">
        <f ca="1">IFERROR(IF(MATCH(Table9[[#This Row],[Bowler]],OFFSET(AR511,0,0,BOWLROWS-ROW(AR510)-ROW(Table9[[#Headers],[BOWLER CUML WICKETS]])),0)&gt;0,0,SUMIF($AR$6:AR510,Table9[[#This Row],[Bowler]],$AU$6:AU510)),SUMIF($AR$6:AR510,Table9[[#This Row],[Bowler]],$AU$6:AU510))</f>
        <v>0</v>
      </c>
      <c r="BL510">
        <f ca="1">Table9[[#This Row],[BOWLER CUML WICKETS]]*100-Table9[[#This Row],[BOWLER CUML RUNS]]</f>
        <v>0</v>
      </c>
    </row>
    <row r="511" spans="1:64" x14ac:dyDescent="0.3">
      <c r="A511">
        <v>19</v>
      </c>
      <c r="B511" t="s">
        <v>141</v>
      </c>
      <c r="C511" t="s">
        <v>604</v>
      </c>
      <c r="D511" t="s">
        <v>527</v>
      </c>
      <c r="E511">
        <v>61</v>
      </c>
      <c r="F511">
        <v>64</v>
      </c>
      <c r="G511">
        <v>39</v>
      </c>
      <c r="H511">
        <v>6</v>
      </c>
      <c r="I511">
        <v>1</v>
      </c>
      <c r="J511">
        <v>156.41</v>
      </c>
      <c r="K511">
        <v>4</v>
      </c>
      <c r="L511" t="str">
        <f>CONCATENATE(T_BATTINGDATA[[#This Row],[Match]],T_BATTINGDATA[[#This Row],[Team]],T_BATTINGDATA[[#This Row],[Bat Number]])</f>
        <v>19South Africa4</v>
      </c>
      <c r="M511" t="str">
        <f>IFERROR(IF(AND(T_BATTINGDATA[[#This Row],[Team]]=I_TEAM,IFERROR(IF(MATCH(T_BATTINGDATA[[#This Row],[BATSMAN NAME]],$O$5:O510,0)&gt;0,0),1)),1,0),"")</f>
        <v/>
      </c>
      <c r="N511" t="e">
        <f>IF(T_BATTINGDATA[[#This Row],[Team]]=I_TEAM,T_BATTINGDATA[[#This Row],[R]],0)</f>
        <v>#REF!</v>
      </c>
      <c r="O511" t="str">
        <f>LEFT(T_BATTINGDATA[[#This Row],[Batsman]],IFERROR(FIND("*",T_BATTINGDATA[[#This Row],[Batsman]])-1,IFERROR(FIND("†",T_BATTINGDATA[[#This Row],[Batsman]])-1,LEN(T_BATTINGDATA[[#This Row],[Batsman]]))))</f>
        <v>RR Rossouw</v>
      </c>
      <c r="P511">
        <f ca="1">IFERROR(IF(MATCH(T_BATTINGDATA[[#This Row],[BATSMAN NAME]],OFFSET(O512,0,0,BATROWS-ROW(O511)-ROW(T_BATTINGDATA[[#Headers],[BATSMAN NAME]])),0)&gt;0,0,SUMIF($O$6:O511,T_BATTINGDATA[[#This Row],[BATSMAN NAME]],$E$6:E511)),SUMIF($O$6:O511,T_BATTINGDATA[[#This Row],[BATSMAN NAME]],$E$6:E511))</f>
        <v>0</v>
      </c>
      <c r="AP511">
        <v>35</v>
      </c>
      <c r="AQ511" t="s">
        <v>176</v>
      </c>
      <c r="AR511" t="s">
        <v>442</v>
      </c>
      <c r="AS511">
        <v>4.5</v>
      </c>
      <c r="AT511">
        <v>0</v>
      </c>
      <c r="AU511">
        <v>39</v>
      </c>
      <c r="AV511">
        <v>0</v>
      </c>
      <c r="AW511">
        <v>8.06</v>
      </c>
      <c r="AX511">
        <v>9</v>
      </c>
      <c r="AY511">
        <v>4</v>
      </c>
      <c r="AZ511">
        <v>1</v>
      </c>
      <c r="BA511">
        <v>0</v>
      </c>
      <c r="BB511">
        <v>0</v>
      </c>
      <c r="BC511">
        <v>6</v>
      </c>
      <c r="BD511" t="str">
        <f>CONCATENATE(Table9[[#This Row],[Match Number]],Table9[[#This Row],[Team]],Table9[[#This Row],[BOWL NUM]])</f>
        <v>35Scotland6</v>
      </c>
      <c r="BE511" t="str">
        <f>IFERROR(IF(AND(Table9[[#This Row],[Team]]=I_TEAM,IFERROR(IF(MATCH(Table9[[#This Row],[Bowler]],$AR$5:AR510,0)&gt;0,0),1)),1,0),"")</f>
        <v/>
      </c>
      <c r="BF511">
        <f>(LEFT(Table9[[#This Row],[Overs]],IFERROR(FIND(".",Table9[[#This Row],[Overs]])-1,LEN(Table9[[#This Row],[Overs]])))*6) + IFERROR(IF(FIND(".",Table9[[#This Row],[Overs]])+1&gt;0,RIGHT(Table9[[#This Row],[Overs]],1),0),0)</f>
        <v>29</v>
      </c>
      <c r="BG51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511" t="e">
        <f>IF(Table9[[#This Row],[Team]]=I_TEAM,Table9[[#This Row],[Wickets]]*100-Table9[[#This Row],[Runs]],0)</f>
        <v>#REF!</v>
      </c>
      <c r="BI511">
        <f>Table9[[#This Row],[Wickets]]*100-Table9[[#This Row],[Runs]]</f>
        <v>-39</v>
      </c>
      <c r="BJ511">
        <f ca="1">IFERROR(IF(MATCH(Table9[[#This Row],[Bowler]],OFFSET(AR512,0,0,BOWLROWS-ROW(AR511)-ROW(Table9[[#Headers],[BOWLER CUML WICKETS]])),0)&gt;0,0,SUMIF($AR$6:AR511,Table9[[#This Row],[Bowler]],$AV$6:AV511)),SUMIF($AR$6:AR511,Table9[[#This Row],[Bowler]],$AV$6:AV511))</f>
        <v>0</v>
      </c>
      <c r="BK511">
        <f ca="1">IFERROR(IF(MATCH(Table9[[#This Row],[Bowler]],OFFSET(AR512,0,0,BOWLROWS-ROW(AR511)-ROW(Table9[[#Headers],[BOWLER CUML WICKETS]])),0)&gt;0,0,SUMIF($AR$6:AR511,Table9[[#This Row],[Bowler]],$AU$6:AU511)),SUMIF($AR$6:AR511,Table9[[#This Row],[Bowler]],$AU$6:AU511))</f>
        <v>58</v>
      </c>
      <c r="BL511">
        <f ca="1">Table9[[#This Row],[BOWLER CUML WICKETS]]*100-Table9[[#This Row],[BOWLER CUML RUNS]]</f>
        <v>-58</v>
      </c>
    </row>
    <row r="512" spans="1:64" x14ac:dyDescent="0.3">
      <c r="A512">
        <v>19</v>
      </c>
      <c r="B512" t="s">
        <v>141</v>
      </c>
      <c r="C512" t="s">
        <v>179</v>
      </c>
      <c r="D512" t="s">
        <v>167</v>
      </c>
      <c r="E512">
        <v>162</v>
      </c>
      <c r="F512">
        <v>103</v>
      </c>
      <c r="G512">
        <v>66</v>
      </c>
      <c r="H512">
        <v>17</v>
      </c>
      <c r="I512">
        <v>8</v>
      </c>
      <c r="J512">
        <v>245.45</v>
      </c>
      <c r="K512">
        <v>5</v>
      </c>
      <c r="L512" t="str">
        <f>CONCATENATE(T_BATTINGDATA[[#This Row],[Match]],T_BATTINGDATA[[#This Row],[Team]],T_BATTINGDATA[[#This Row],[Bat Number]])</f>
        <v>19South Africa5</v>
      </c>
      <c r="M512" t="str">
        <f>IFERROR(IF(AND(T_BATTINGDATA[[#This Row],[Team]]=I_TEAM,IFERROR(IF(MATCH(T_BATTINGDATA[[#This Row],[BATSMAN NAME]],$O$5:O511,0)&gt;0,0),1)),1,0),"")</f>
        <v/>
      </c>
      <c r="N512" t="e">
        <f>IF(T_BATTINGDATA[[#This Row],[Team]]=I_TEAM,T_BATTINGDATA[[#This Row],[R]],0)</f>
        <v>#REF!</v>
      </c>
      <c r="O512" t="str">
        <f>LEFT(T_BATTINGDATA[[#This Row],[Batsman]],IFERROR(FIND("*",T_BATTINGDATA[[#This Row],[Batsman]])-1,IFERROR(FIND("†",T_BATTINGDATA[[#This Row],[Batsman]])-1,LEN(T_BATTINGDATA[[#This Row],[Batsman]]))))</f>
        <v>AB de Villiers</v>
      </c>
      <c r="P512">
        <f ca="1">IFERROR(IF(MATCH(T_BATTINGDATA[[#This Row],[BATSMAN NAME]],OFFSET(O513,0,0,BATROWS-ROW(O512)-ROW(T_BATTINGDATA[[#Headers],[BATSMAN NAME]])),0)&gt;0,0,SUMIF($O$6:O512,T_BATTINGDATA[[#This Row],[BATSMAN NAME]],$E$6:E512)),SUMIF($O$6:O512,T_BATTINGDATA[[#This Row],[BATSMAN NAME]],$E$6:E512))</f>
        <v>0</v>
      </c>
      <c r="AP512">
        <v>35</v>
      </c>
      <c r="AQ512" t="s">
        <v>176</v>
      </c>
      <c r="AR512" t="s">
        <v>447</v>
      </c>
      <c r="AS512">
        <v>4</v>
      </c>
      <c r="AT512">
        <v>0</v>
      </c>
      <c r="AU512">
        <v>46</v>
      </c>
      <c r="AV512">
        <v>1</v>
      </c>
      <c r="AW512">
        <v>11.5</v>
      </c>
      <c r="AX512">
        <v>8</v>
      </c>
      <c r="AY512">
        <v>1</v>
      </c>
      <c r="AZ512">
        <v>5</v>
      </c>
      <c r="BA512">
        <v>1</v>
      </c>
      <c r="BB512">
        <v>0</v>
      </c>
      <c r="BC512">
        <v>7</v>
      </c>
      <c r="BD512" t="str">
        <f>CONCATENATE(Table9[[#This Row],[Match Number]],Table9[[#This Row],[Team]],Table9[[#This Row],[BOWL NUM]])</f>
        <v>35Scotland7</v>
      </c>
      <c r="BE512" t="str">
        <f>IFERROR(IF(AND(Table9[[#This Row],[Team]]=I_TEAM,IFERROR(IF(MATCH(Table9[[#This Row],[Bowler]],$AR$5:AR511,0)&gt;0,0),1)),1,0),"")</f>
        <v/>
      </c>
      <c r="BF512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51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512" t="e">
        <f>IF(Table9[[#This Row],[Team]]=I_TEAM,Table9[[#This Row],[Wickets]]*100-Table9[[#This Row],[Runs]],0)</f>
        <v>#REF!</v>
      </c>
      <c r="BI512">
        <f>Table9[[#This Row],[Wickets]]*100-Table9[[#This Row],[Runs]]</f>
        <v>54</v>
      </c>
      <c r="BJ512">
        <f ca="1">IFERROR(IF(MATCH(Table9[[#This Row],[Bowler]],OFFSET(AR513,0,0,BOWLROWS-ROW(AR512)-ROW(Table9[[#Headers],[BOWLER CUML WICKETS]])),0)&gt;0,0,SUMIF($AR$6:AR590,Table9[[#This Row],[Bowler]],$AV$6:AV590)),SUMIF($AR$6:AR590,Table9[[#This Row],[Bowler]],$AV$6:AV590))</f>
        <v>1</v>
      </c>
      <c r="BK512">
        <f ca="1">IFERROR(IF(MATCH(Table9[[#This Row],[Bowler]],OFFSET(AR513,0,0,BOWLROWS-ROW(AR512)-ROW(Table9[[#Headers],[BOWLER CUML WICKETS]])),0)&gt;0,0,SUMIF($AR$6:AR590,Table9[[#This Row],[Bowler]],$AU$6:AU590)),SUMIF($AR$6:AR590,Table9[[#This Row],[Bowler]],$AU$6:AU590))</f>
        <v>102</v>
      </c>
      <c r="BL512">
        <f ca="1">Table9[[#This Row],[BOWLER CUML WICKETS]]*100-Table9[[#This Row],[BOWLER CUML RUNS]]</f>
        <v>-2</v>
      </c>
    </row>
    <row r="513" spans="1:64" x14ac:dyDescent="0.3">
      <c r="A513">
        <v>19</v>
      </c>
      <c r="B513" t="s">
        <v>141</v>
      </c>
      <c r="C513" t="s">
        <v>183</v>
      </c>
      <c r="D513" t="s">
        <v>676</v>
      </c>
      <c r="E513">
        <v>20</v>
      </c>
      <c r="F513">
        <v>21</v>
      </c>
      <c r="G513">
        <v>16</v>
      </c>
      <c r="H513">
        <v>0</v>
      </c>
      <c r="I513">
        <v>0</v>
      </c>
      <c r="J513">
        <v>125</v>
      </c>
      <c r="K513">
        <v>6</v>
      </c>
      <c r="L513" t="str">
        <f>CONCATENATE(T_BATTINGDATA[[#This Row],[Match]],T_BATTINGDATA[[#This Row],[Team]],T_BATTINGDATA[[#This Row],[Bat Number]])</f>
        <v>19South Africa6</v>
      </c>
      <c r="M513" t="str">
        <f>IFERROR(IF(AND(T_BATTINGDATA[[#This Row],[Team]]=I_TEAM,IFERROR(IF(MATCH(T_BATTINGDATA[[#This Row],[BATSMAN NAME]],$O$5:O512,0)&gt;0,0),1)),1,0),"")</f>
        <v/>
      </c>
      <c r="N513" t="e">
        <f>IF(T_BATTINGDATA[[#This Row],[Team]]=I_TEAM,T_BATTINGDATA[[#This Row],[R]],0)</f>
        <v>#REF!</v>
      </c>
      <c r="O513" t="str">
        <f>LEFT(T_BATTINGDATA[[#This Row],[Batsman]],IFERROR(FIND("*",T_BATTINGDATA[[#This Row],[Batsman]])-1,IFERROR(FIND("†",T_BATTINGDATA[[#This Row],[Batsman]])-1,LEN(T_BATTINGDATA[[#This Row],[Batsman]]))))</f>
        <v>DA Miller</v>
      </c>
      <c r="P513">
        <f ca="1">IFERROR(IF(MATCH(T_BATTINGDATA[[#This Row],[BATSMAN NAME]],OFFSET(O514,0,0,BATROWS-ROW(O513)-ROW(T_BATTINGDATA[[#Headers],[BATSMAN NAME]])),0)&gt;0,0,SUMIF($O$6:O513,T_BATTINGDATA[[#This Row],[BATSMAN NAME]],$E$6:E513)),SUMIF($O$6:O513,T_BATTINGDATA[[#This Row],[BATSMAN NAME]],$E$6:E513))</f>
        <v>0</v>
      </c>
      <c r="AP513">
        <v>35</v>
      </c>
      <c r="AQ513" t="s">
        <v>145</v>
      </c>
      <c r="AR513" t="s">
        <v>287</v>
      </c>
      <c r="AS513">
        <v>9</v>
      </c>
      <c r="AT513">
        <v>0</v>
      </c>
      <c r="AU513">
        <v>29</v>
      </c>
      <c r="AV513">
        <v>2</v>
      </c>
      <c r="AW513">
        <v>3.22</v>
      </c>
      <c r="AX513">
        <v>35</v>
      </c>
      <c r="AY513">
        <v>0</v>
      </c>
      <c r="AZ513">
        <v>0</v>
      </c>
      <c r="BA513">
        <v>2</v>
      </c>
      <c r="BB513">
        <v>0</v>
      </c>
      <c r="BC513">
        <v>1</v>
      </c>
      <c r="BD513" t="str">
        <f>CONCATENATE(Table9[[#This Row],[Match Number]],Table9[[#This Row],[Team]],Table9[[#This Row],[BOWL NUM]])</f>
        <v>35Sri Lanka1</v>
      </c>
      <c r="BE513" t="str">
        <f>IFERROR(IF(AND(Table9[[#This Row],[Team]]=I_TEAM,IFERROR(IF(MATCH(Table9[[#This Row],[Bowler]],$AR$5:AR512,0)&gt;0,0),1)),1,0),"")</f>
        <v/>
      </c>
      <c r="BF513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51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13" t="e">
        <f>IF(Table9[[#This Row],[Team]]=I_TEAM,Table9[[#This Row],[Wickets]]*100-Table9[[#This Row],[Runs]],0)</f>
        <v>#REF!</v>
      </c>
      <c r="BI513">
        <f>Table9[[#This Row],[Wickets]]*100-Table9[[#This Row],[Runs]]</f>
        <v>171</v>
      </c>
      <c r="BJ513">
        <f ca="1">IFERROR(IF(MATCH(Table9[[#This Row],[Bowler]],OFFSET(AR514,0,0,BOWLROWS-ROW(AR513)-ROW(Table9[[#Headers],[BOWLER CUML WICKETS]])),0)&gt;0,0,SUMIF($AR$6:AR513,Table9[[#This Row],[Bowler]],$AV$6:AV513)),SUMIF($AR$6:AR513,Table9[[#This Row],[Bowler]],$AV$6:AV513))</f>
        <v>12</v>
      </c>
      <c r="BK513">
        <f ca="1">IFERROR(IF(MATCH(Table9[[#This Row],[Bowler]],OFFSET(AR514,0,0,BOWLROWS-ROW(AR513)-ROW(Table9[[#Headers],[BOWLER CUML WICKETS]])),0)&gt;0,0,SUMIF($AR$6:AR513,Table9[[#This Row],[Bowler]],$AU$6:AU513)),SUMIF($AR$6:AR513,Table9[[#This Row],[Bowler]],$AU$6:AU513))</f>
        <v>354</v>
      </c>
      <c r="BL513">
        <f ca="1">Table9[[#This Row],[BOWLER CUML WICKETS]]*100-Table9[[#This Row],[BOWLER CUML RUNS]]</f>
        <v>846</v>
      </c>
    </row>
    <row r="514" spans="1:64" x14ac:dyDescent="0.3">
      <c r="A514">
        <v>19</v>
      </c>
      <c r="B514" t="s">
        <v>141</v>
      </c>
      <c r="C514" t="s">
        <v>345</v>
      </c>
      <c r="D514" t="s">
        <v>167</v>
      </c>
      <c r="E514">
        <v>10</v>
      </c>
      <c r="F514">
        <v>18</v>
      </c>
      <c r="G514">
        <v>5</v>
      </c>
      <c r="H514">
        <v>0</v>
      </c>
      <c r="I514">
        <v>1</v>
      </c>
      <c r="J514">
        <v>200</v>
      </c>
      <c r="K514">
        <v>7</v>
      </c>
      <c r="L514" t="str">
        <f>CONCATENATE(T_BATTINGDATA[[#This Row],[Match]],T_BATTINGDATA[[#This Row],[Team]],T_BATTINGDATA[[#This Row],[Bat Number]])</f>
        <v>19South Africa7</v>
      </c>
      <c r="M514" t="str">
        <f>IFERROR(IF(AND(T_BATTINGDATA[[#This Row],[Team]]=I_TEAM,IFERROR(IF(MATCH(T_BATTINGDATA[[#This Row],[BATSMAN NAME]],$O$5:O513,0)&gt;0,0),1)),1,0),"")</f>
        <v/>
      </c>
      <c r="N514" t="e">
        <f>IF(T_BATTINGDATA[[#This Row],[Team]]=I_TEAM,T_BATTINGDATA[[#This Row],[R]],0)</f>
        <v>#REF!</v>
      </c>
      <c r="O514" t="str">
        <f>LEFT(T_BATTINGDATA[[#This Row],[Batsman]],IFERROR(FIND("*",T_BATTINGDATA[[#This Row],[Batsman]])-1,IFERROR(FIND("†",T_BATTINGDATA[[#This Row],[Batsman]])-1,LEN(T_BATTINGDATA[[#This Row],[Batsman]]))))</f>
        <v>F Behardien</v>
      </c>
      <c r="P514">
        <f ca="1">IFERROR(IF(MATCH(T_BATTINGDATA[[#This Row],[BATSMAN NAME]],OFFSET(O515,0,0,BATROWS-ROW(O514)-ROW(T_BATTINGDATA[[#Headers],[BATSMAN NAME]])),0)&gt;0,0,SUMIF($O$6:O514,T_BATTINGDATA[[#This Row],[BATSMAN NAME]],$E$6:E514)),SUMIF($O$6:O514,T_BATTINGDATA[[#This Row],[BATSMAN NAME]],$E$6:E514))</f>
        <v>0</v>
      </c>
      <c r="AP514">
        <v>35</v>
      </c>
      <c r="AQ514" t="s">
        <v>145</v>
      </c>
      <c r="AR514" t="s">
        <v>285</v>
      </c>
      <c r="AS514">
        <v>7</v>
      </c>
      <c r="AT514">
        <v>0</v>
      </c>
      <c r="AU514">
        <v>20</v>
      </c>
      <c r="AV514">
        <v>3</v>
      </c>
      <c r="AW514">
        <v>2.85</v>
      </c>
      <c r="AX514">
        <v>30</v>
      </c>
      <c r="AY514">
        <v>1</v>
      </c>
      <c r="AZ514">
        <v>0</v>
      </c>
      <c r="BA514">
        <v>1</v>
      </c>
      <c r="BB514">
        <v>0</v>
      </c>
      <c r="BC514">
        <v>2</v>
      </c>
      <c r="BD514" t="str">
        <f>CONCATENATE(Table9[[#This Row],[Match Number]],Table9[[#This Row],[Team]],Table9[[#This Row],[BOWL NUM]])</f>
        <v>35Sri Lanka2</v>
      </c>
      <c r="BE514" t="str">
        <f>IFERROR(IF(AND(Table9[[#This Row],[Team]]=I_TEAM,IFERROR(IF(MATCH(Table9[[#This Row],[Bowler]],$AR$5:AR513,0)&gt;0,0),1)),1,0),"")</f>
        <v/>
      </c>
      <c r="BF514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51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14" t="e">
        <f>IF(Table9[[#This Row],[Team]]=I_TEAM,Table9[[#This Row],[Wickets]]*100-Table9[[#This Row],[Runs]],0)</f>
        <v>#REF!</v>
      </c>
      <c r="BI514">
        <f>Table9[[#This Row],[Wickets]]*100-Table9[[#This Row],[Runs]]</f>
        <v>280</v>
      </c>
      <c r="BJ514">
        <f ca="1">IFERROR(IF(MATCH(Table9[[#This Row],[Bowler]],OFFSET(AR515,0,0,BOWLROWS-ROW(AR514)-ROW(Table9[[#Headers],[BOWLER CUML WICKETS]])),0)&gt;0,0,SUMIF($AR$6:AR514,Table9[[#This Row],[Bowler]],$AV$6:AV514)),SUMIF($AR$6:AR514,Table9[[#This Row],[Bowler]],$AV$6:AV514))</f>
        <v>4</v>
      </c>
      <c r="BK514">
        <f ca="1">IFERROR(IF(MATCH(Table9[[#This Row],[Bowler]],OFFSET(AR515,0,0,BOWLROWS-ROW(AR514)-ROW(Table9[[#Headers],[BOWLER CUML WICKETS]])),0)&gt;0,0,SUMIF($AR$6:AR514,Table9[[#This Row],[Bowler]],$AU$6:AU514)),SUMIF($AR$6:AR514,Table9[[#This Row],[Bowler]],$AU$6:AU514))</f>
        <v>111</v>
      </c>
      <c r="BL514">
        <f ca="1">Table9[[#This Row],[BOWLER CUML WICKETS]]*100-Table9[[#This Row],[BOWLER CUML RUNS]]</f>
        <v>289</v>
      </c>
    </row>
    <row r="515" spans="1:64" x14ac:dyDescent="0.3">
      <c r="A515">
        <v>19</v>
      </c>
      <c r="B515" t="s">
        <v>170</v>
      </c>
      <c r="C515" t="s">
        <v>265</v>
      </c>
      <c r="D515" t="s">
        <v>573</v>
      </c>
      <c r="E515">
        <v>31</v>
      </c>
      <c r="F515">
        <v>51</v>
      </c>
      <c r="G515">
        <v>34</v>
      </c>
      <c r="H515">
        <v>4</v>
      </c>
      <c r="I515">
        <v>1</v>
      </c>
      <c r="J515">
        <v>91.17</v>
      </c>
      <c r="K515">
        <v>1</v>
      </c>
      <c r="L515" t="str">
        <f>CONCATENATE(T_BATTINGDATA[[#This Row],[Match]],T_BATTINGDATA[[#This Row],[Team]],T_BATTINGDATA[[#This Row],[Bat Number]])</f>
        <v>19West Indies1</v>
      </c>
      <c r="M515" t="str">
        <f>IFERROR(IF(AND(T_BATTINGDATA[[#This Row],[Team]]=I_TEAM,IFERROR(IF(MATCH(T_BATTINGDATA[[#This Row],[BATSMAN NAME]],$O$5:O514,0)&gt;0,0),1)),1,0),"")</f>
        <v/>
      </c>
      <c r="N515" t="e">
        <f>IF(T_BATTINGDATA[[#This Row],[Team]]=I_TEAM,T_BATTINGDATA[[#This Row],[R]],0)</f>
        <v>#REF!</v>
      </c>
      <c r="O515" t="str">
        <f>LEFT(T_BATTINGDATA[[#This Row],[Batsman]],IFERROR(FIND("*",T_BATTINGDATA[[#This Row],[Batsman]])-1,IFERROR(FIND("†",T_BATTINGDATA[[#This Row],[Batsman]])-1,LEN(T_BATTINGDATA[[#This Row],[Batsman]]))))</f>
        <v>DR Smith</v>
      </c>
      <c r="P515">
        <f ca="1">IFERROR(IF(MATCH(T_BATTINGDATA[[#This Row],[BATSMAN NAME]],OFFSET(O516,0,0,BATROWS-ROW(O515)-ROW(T_BATTINGDATA[[#Headers],[BATSMAN NAME]])),0)&gt;0,0,SUMIF($O$6:O515,T_BATTINGDATA[[#This Row],[BATSMAN NAME]],$E$6:E515)),SUMIF($O$6:O515,T_BATTINGDATA[[#This Row],[BATSMAN NAME]],$E$6:E515))</f>
        <v>0</v>
      </c>
      <c r="AP515">
        <v>35</v>
      </c>
      <c r="AQ515" t="s">
        <v>145</v>
      </c>
      <c r="AR515" t="s">
        <v>445</v>
      </c>
      <c r="AS515">
        <v>7</v>
      </c>
      <c r="AT515">
        <v>0</v>
      </c>
      <c r="AU515">
        <v>41</v>
      </c>
      <c r="AV515">
        <v>1</v>
      </c>
      <c r="AW515">
        <v>5.85</v>
      </c>
      <c r="AX515">
        <v>21</v>
      </c>
      <c r="AY515">
        <v>5</v>
      </c>
      <c r="AZ515">
        <v>0</v>
      </c>
      <c r="BA515">
        <v>2</v>
      </c>
      <c r="BB515">
        <v>0</v>
      </c>
      <c r="BC515">
        <v>3</v>
      </c>
      <c r="BD515" t="str">
        <f>CONCATENATE(Table9[[#This Row],[Match Number]],Table9[[#This Row],[Team]],Table9[[#This Row],[BOWL NUM]])</f>
        <v>35Sri Lanka3</v>
      </c>
      <c r="BE515" t="str">
        <f>IFERROR(IF(AND(Table9[[#This Row],[Team]]=I_TEAM,IFERROR(IF(MATCH(Table9[[#This Row],[Bowler]],$AR$5:AR514,0)&gt;0,0),1)),1,0),"")</f>
        <v/>
      </c>
      <c r="BF515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51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15" t="e">
        <f>IF(Table9[[#This Row],[Team]]=I_TEAM,Table9[[#This Row],[Wickets]]*100-Table9[[#This Row],[Runs]],0)</f>
        <v>#REF!</v>
      </c>
      <c r="BI515">
        <f>Table9[[#This Row],[Wickets]]*100-Table9[[#This Row],[Runs]]</f>
        <v>59</v>
      </c>
      <c r="BJ515">
        <f ca="1">IFERROR(IF(MATCH(Table9[[#This Row],[Bowler]],OFFSET(AR516,0,0,BOWLROWS-ROW(AR515)-ROW(Table9[[#Headers],[BOWLER CUML WICKETS]])),0)&gt;0,0,SUMIF($AR$6:AR515,Table9[[#This Row],[Bowler]],$AV$6:AV515)),SUMIF($AR$6:AR515,Table9[[#This Row],[Bowler]],$AV$6:AV515))</f>
        <v>6</v>
      </c>
      <c r="BK515">
        <f ca="1">IFERROR(IF(MATCH(Table9[[#This Row],[Bowler]],OFFSET(AR516,0,0,BOWLROWS-ROW(AR515)-ROW(Table9[[#Headers],[BOWLER CUML WICKETS]])),0)&gt;0,0,SUMIF($AR$6:AR515,Table9[[#This Row],[Bowler]],$AU$6:AU515)),SUMIF($AR$6:AR515,Table9[[#This Row],[Bowler]],$AU$6:AU515))</f>
        <v>280</v>
      </c>
      <c r="BL515">
        <f ca="1">Table9[[#This Row],[BOWLER CUML WICKETS]]*100-Table9[[#This Row],[BOWLER CUML RUNS]]</f>
        <v>320</v>
      </c>
    </row>
    <row r="516" spans="1:64" x14ac:dyDescent="0.3">
      <c r="A516">
        <v>19</v>
      </c>
      <c r="B516" t="s">
        <v>170</v>
      </c>
      <c r="C516" t="s">
        <v>291</v>
      </c>
      <c r="D516" t="s">
        <v>677</v>
      </c>
      <c r="E516">
        <v>3</v>
      </c>
      <c r="F516">
        <v>6</v>
      </c>
      <c r="G516">
        <v>4</v>
      </c>
      <c r="H516">
        <v>0</v>
      </c>
      <c r="I516">
        <v>0</v>
      </c>
      <c r="J516">
        <v>75</v>
      </c>
      <c r="K516">
        <v>2</v>
      </c>
      <c r="L516" t="str">
        <f>CONCATENATE(T_BATTINGDATA[[#This Row],[Match]],T_BATTINGDATA[[#This Row],[Team]],T_BATTINGDATA[[#This Row],[Bat Number]])</f>
        <v>19West Indies2</v>
      </c>
      <c r="M516" t="str">
        <f>IFERROR(IF(AND(T_BATTINGDATA[[#This Row],[Team]]=I_TEAM,IFERROR(IF(MATCH(T_BATTINGDATA[[#This Row],[BATSMAN NAME]],$O$5:O515,0)&gt;0,0),1)),1,0),"")</f>
        <v/>
      </c>
      <c r="N516" t="e">
        <f>IF(T_BATTINGDATA[[#This Row],[Team]]=I_TEAM,T_BATTINGDATA[[#This Row],[R]],0)</f>
        <v>#REF!</v>
      </c>
      <c r="O516" t="str">
        <f>LEFT(T_BATTINGDATA[[#This Row],[Batsman]],IFERROR(FIND("*",T_BATTINGDATA[[#This Row],[Batsman]])-1,IFERROR(FIND("†",T_BATTINGDATA[[#This Row],[Batsman]])-1,LEN(T_BATTINGDATA[[#This Row],[Batsman]]))))</f>
        <v>CH Gayle</v>
      </c>
      <c r="P516">
        <f ca="1">IFERROR(IF(MATCH(T_BATTINGDATA[[#This Row],[BATSMAN NAME]],OFFSET(O517,0,0,BATROWS-ROW(O516)-ROW(T_BATTINGDATA[[#Headers],[BATSMAN NAME]])),0)&gt;0,0,SUMIF($O$6:O516,T_BATTINGDATA[[#This Row],[BATSMAN NAME]],$E$6:E516)),SUMIF($O$6:O516,T_BATTINGDATA[[#This Row],[BATSMAN NAME]],$E$6:E516))</f>
        <v>340</v>
      </c>
      <c r="AP516">
        <v>35</v>
      </c>
      <c r="AQ516" t="s">
        <v>145</v>
      </c>
      <c r="AR516" t="s">
        <v>290</v>
      </c>
      <c r="AS516">
        <v>5</v>
      </c>
      <c r="AT516">
        <v>0</v>
      </c>
      <c r="AU516">
        <v>15</v>
      </c>
      <c r="AV516">
        <v>1</v>
      </c>
      <c r="AW516">
        <v>3</v>
      </c>
      <c r="AX516">
        <v>19</v>
      </c>
      <c r="AY516">
        <v>1</v>
      </c>
      <c r="AZ516">
        <v>0</v>
      </c>
      <c r="BA516">
        <v>0</v>
      </c>
      <c r="BB516">
        <v>0</v>
      </c>
      <c r="BC516">
        <v>4</v>
      </c>
      <c r="BD516" t="str">
        <f>CONCATENATE(Table9[[#This Row],[Match Number]],Table9[[#This Row],[Team]],Table9[[#This Row],[BOWL NUM]])</f>
        <v>35Sri Lanka4</v>
      </c>
      <c r="BE516" t="str">
        <f>IFERROR(IF(AND(Table9[[#This Row],[Team]]=I_TEAM,IFERROR(IF(MATCH(Table9[[#This Row],[Bowler]],$AR$5:AR515,0)&gt;0,0),1)),1,0),"")</f>
        <v/>
      </c>
      <c r="BF516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51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16" t="e">
        <f>IF(Table9[[#This Row],[Team]]=I_TEAM,Table9[[#This Row],[Wickets]]*100-Table9[[#This Row],[Runs]],0)</f>
        <v>#REF!</v>
      </c>
      <c r="BI516">
        <f>Table9[[#This Row],[Wickets]]*100-Table9[[#This Row],[Runs]]</f>
        <v>85</v>
      </c>
      <c r="BJ516">
        <f ca="1">IFERROR(IF(MATCH(Table9[[#This Row],[Bowler]],OFFSET(AR517,0,0,BOWLROWS-ROW(AR516)-ROW(Table9[[#Headers],[BOWLER CUML WICKETS]])),0)&gt;0,0,SUMIF($AR$6:AR516,Table9[[#This Row],[Bowler]],$AV$6:AV516)),SUMIF($AR$6:AR516,Table9[[#This Row],[Bowler]],$AV$6:AV516))</f>
        <v>5</v>
      </c>
      <c r="BK516">
        <f ca="1">IFERROR(IF(MATCH(Table9[[#This Row],[Bowler]],OFFSET(AR517,0,0,BOWLROWS-ROW(AR516)-ROW(Table9[[#Headers],[BOWLER CUML WICKETS]])),0)&gt;0,0,SUMIF($AR$6:AR516,Table9[[#This Row],[Bowler]],$AU$6:AU516)),SUMIF($AR$6:AR516,Table9[[#This Row],[Bowler]],$AU$6:AU516))</f>
        <v>163</v>
      </c>
      <c r="BL516">
        <f ca="1">Table9[[#This Row],[BOWLER CUML WICKETS]]*100-Table9[[#This Row],[BOWLER CUML RUNS]]</f>
        <v>337</v>
      </c>
    </row>
    <row r="517" spans="1:64" x14ac:dyDescent="0.3">
      <c r="A517">
        <v>19</v>
      </c>
      <c r="B517" t="s">
        <v>170</v>
      </c>
      <c r="C517" t="s">
        <v>267</v>
      </c>
      <c r="D517" t="s">
        <v>566</v>
      </c>
      <c r="E517">
        <v>0</v>
      </c>
      <c r="F517">
        <v>9</v>
      </c>
      <c r="G517">
        <v>9</v>
      </c>
      <c r="H517">
        <v>0</v>
      </c>
      <c r="I517">
        <v>0</v>
      </c>
      <c r="J517">
        <v>0</v>
      </c>
      <c r="K517">
        <v>3</v>
      </c>
      <c r="L517" t="str">
        <f>CONCATENATE(T_BATTINGDATA[[#This Row],[Match]],T_BATTINGDATA[[#This Row],[Team]],T_BATTINGDATA[[#This Row],[Bat Number]])</f>
        <v>19West Indies3</v>
      </c>
      <c r="M517" t="str">
        <f>IFERROR(IF(AND(T_BATTINGDATA[[#This Row],[Team]]=I_TEAM,IFERROR(IF(MATCH(T_BATTINGDATA[[#This Row],[BATSMAN NAME]],$O$5:O516,0)&gt;0,0),1)),1,0),"")</f>
        <v/>
      </c>
      <c r="N517" t="e">
        <f>IF(T_BATTINGDATA[[#This Row],[Team]]=I_TEAM,T_BATTINGDATA[[#This Row],[R]],0)</f>
        <v>#REF!</v>
      </c>
      <c r="O517" t="str">
        <f>LEFT(T_BATTINGDATA[[#This Row],[Batsman]],IFERROR(FIND("*",T_BATTINGDATA[[#This Row],[Batsman]])-1,IFERROR(FIND("†",T_BATTINGDATA[[#This Row],[Batsman]])-1,LEN(T_BATTINGDATA[[#This Row],[Batsman]]))))</f>
        <v>MN Samuels</v>
      </c>
      <c r="P517">
        <f ca="1">IFERROR(IF(MATCH(T_BATTINGDATA[[#This Row],[BATSMAN NAME]],OFFSET(O518,0,0,BATROWS-ROW(O517)-ROW(T_BATTINGDATA[[#Headers],[BATSMAN NAME]])),0)&gt;0,0,SUMIF($O$6:O517,T_BATTINGDATA[[#This Row],[BATSMAN NAME]],$E$6:E517)),SUMIF($O$6:O517,T_BATTINGDATA[[#This Row],[BATSMAN NAME]],$E$6:E517))</f>
        <v>0</v>
      </c>
      <c r="AP517">
        <v>35</v>
      </c>
      <c r="AQ517" t="s">
        <v>145</v>
      </c>
      <c r="AR517" t="s">
        <v>654</v>
      </c>
      <c r="AS517">
        <v>8</v>
      </c>
      <c r="AT517">
        <v>0</v>
      </c>
      <c r="AU517">
        <v>57</v>
      </c>
      <c r="AV517">
        <v>0</v>
      </c>
      <c r="AW517">
        <v>7.12</v>
      </c>
      <c r="AX517">
        <v>15</v>
      </c>
      <c r="AY517">
        <v>3</v>
      </c>
      <c r="AZ517">
        <v>2</v>
      </c>
      <c r="BA517">
        <v>0</v>
      </c>
      <c r="BB517">
        <v>0</v>
      </c>
      <c r="BC517">
        <v>5</v>
      </c>
      <c r="BD517" t="str">
        <f>CONCATENATE(Table9[[#This Row],[Match Number]],Table9[[#This Row],[Team]],Table9[[#This Row],[BOWL NUM]])</f>
        <v>35Sri Lanka5</v>
      </c>
      <c r="BE517" t="str">
        <f>IFERROR(IF(AND(Table9[[#This Row],[Team]]=I_TEAM,IFERROR(IF(MATCH(Table9[[#This Row],[Bowler]],$AR$5:AR516,0)&gt;0,0),1)),1,0),"")</f>
        <v/>
      </c>
      <c r="BF517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1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17" t="e">
        <f>IF(Table9[[#This Row],[Team]]=I_TEAM,Table9[[#This Row],[Wickets]]*100-Table9[[#This Row],[Runs]],0)</f>
        <v>#REF!</v>
      </c>
      <c r="BI517">
        <f>Table9[[#This Row],[Wickets]]*100-Table9[[#This Row],[Runs]]</f>
        <v>-57</v>
      </c>
      <c r="BJ517">
        <f ca="1">IFERROR(IF(MATCH(Table9[[#This Row],[Bowler]],OFFSET(AR518,0,0,BOWLROWS-ROW(AR517)-ROW(Table9[[#Headers],[BOWLER CUML WICKETS]])),0)&gt;0,0,SUMIF($AR$6:AR517,Table9[[#This Row],[Bowler]],$AV$6:AV517)),SUMIF($AR$6:AR517,Table9[[#This Row],[Bowler]],$AV$6:AV517))</f>
        <v>1</v>
      </c>
      <c r="BK517">
        <f ca="1">IFERROR(IF(MATCH(Table9[[#This Row],[Bowler]],OFFSET(AR518,0,0,BOWLROWS-ROW(AR517)-ROW(Table9[[#Headers],[BOWLER CUML WICKETS]])),0)&gt;0,0,SUMIF($AR$6:AR517,Table9[[#This Row],[Bowler]],$AU$6:AU517)),SUMIF($AR$6:AR517,Table9[[#This Row],[Bowler]],$AU$6:AU517))</f>
        <v>134</v>
      </c>
      <c r="BL517">
        <f ca="1">Table9[[#This Row],[BOWLER CUML WICKETS]]*100-Table9[[#This Row],[BOWLER CUML RUNS]]</f>
        <v>-34</v>
      </c>
    </row>
    <row r="518" spans="1:64" x14ac:dyDescent="0.3">
      <c r="A518">
        <v>19</v>
      </c>
      <c r="B518" t="s">
        <v>170</v>
      </c>
      <c r="C518" t="s">
        <v>296</v>
      </c>
      <c r="D518" t="s">
        <v>678</v>
      </c>
      <c r="E518">
        <v>10</v>
      </c>
      <c r="F518">
        <v>31</v>
      </c>
      <c r="G518">
        <v>20</v>
      </c>
      <c r="H518">
        <v>1</v>
      </c>
      <c r="I518">
        <v>0</v>
      </c>
      <c r="J518">
        <v>50</v>
      </c>
      <c r="K518">
        <v>4</v>
      </c>
      <c r="L518" t="str">
        <f>CONCATENATE(T_BATTINGDATA[[#This Row],[Match]],T_BATTINGDATA[[#This Row],[Team]],T_BATTINGDATA[[#This Row],[Bat Number]])</f>
        <v>19West Indies4</v>
      </c>
      <c r="M518" t="str">
        <f>IFERROR(IF(AND(T_BATTINGDATA[[#This Row],[Team]]=I_TEAM,IFERROR(IF(MATCH(T_BATTINGDATA[[#This Row],[BATSMAN NAME]],$O$5:O517,0)&gt;0,0),1)),1,0),"")</f>
        <v/>
      </c>
      <c r="N518" t="e">
        <f>IF(T_BATTINGDATA[[#This Row],[Team]]=I_TEAM,T_BATTINGDATA[[#This Row],[R]],0)</f>
        <v>#REF!</v>
      </c>
      <c r="O518" t="str">
        <f>LEFT(T_BATTINGDATA[[#This Row],[Batsman]],IFERROR(FIND("*",T_BATTINGDATA[[#This Row],[Batsman]])-1,IFERROR(FIND("†",T_BATTINGDATA[[#This Row],[Batsman]])-1,LEN(T_BATTINGDATA[[#This Row],[Batsman]]))))</f>
        <v>JL Carter</v>
      </c>
      <c r="P518">
        <f ca="1">IFERROR(IF(MATCH(T_BATTINGDATA[[#This Row],[BATSMAN NAME]],OFFSET(O519,0,0,BATROWS-ROW(O518)-ROW(T_BATTINGDATA[[#Headers],[BATSMAN NAME]])),0)&gt;0,0,SUMIF($O$6:O518,T_BATTINGDATA[[#This Row],[BATSMAN NAME]],$E$6:E518)),SUMIF($O$6:O518,T_BATTINGDATA[[#This Row],[BATSMAN NAME]],$E$6:E518))</f>
        <v>0</v>
      </c>
      <c r="AP518">
        <v>35</v>
      </c>
      <c r="AQ518" t="s">
        <v>145</v>
      </c>
      <c r="AR518" t="s">
        <v>497</v>
      </c>
      <c r="AS518">
        <v>7.1</v>
      </c>
      <c r="AT518">
        <v>0</v>
      </c>
      <c r="AU518">
        <v>51</v>
      </c>
      <c r="AV518">
        <v>3</v>
      </c>
      <c r="AW518">
        <v>7.11</v>
      </c>
      <c r="AX518">
        <v>20</v>
      </c>
      <c r="AY518">
        <v>7</v>
      </c>
      <c r="AZ518">
        <v>0</v>
      </c>
      <c r="BA518">
        <v>1</v>
      </c>
      <c r="BB518">
        <v>1</v>
      </c>
      <c r="BC518">
        <v>6</v>
      </c>
      <c r="BD518" t="str">
        <f>CONCATENATE(Table9[[#This Row],[Match Number]],Table9[[#This Row],[Team]],Table9[[#This Row],[BOWL NUM]])</f>
        <v>35Sri Lanka6</v>
      </c>
      <c r="BE518" t="str">
        <f>IFERROR(IF(AND(Table9[[#This Row],[Team]]=I_TEAM,IFERROR(IF(MATCH(Table9[[#This Row],[Bowler]],$AR$5:AR517,0)&gt;0,0),1)),1,0),"")</f>
        <v/>
      </c>
      <c r="BF518">
        <f>(LEFT(Table9[[#This Row],[Overs]],IFERROR(FIND(".",Table9[[#This Row],[Overs]])-1,LEN(Table9[[#This Row],[Overs]])))*6) + IFERROR(IF(FIND(".",Table9[[#This Row],[Overs]])+1&gt;0,RIGHT(Table9[[#This Row],[Overs]],1),0),0)</f>
        <v>43</v>
      </c>
      <c r="BG51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18" t="e">
        <f>IF(Table9[[#This Row],[Team]]=I_TEAM,Table9[[#This Row],[Wickets]]*100-Table9[[#This Row],[Runs]],0)</f>
        <v>#REF!</v>
      </c>
      <c r="BI518">
        <f>Table9[[#This Row],[Wickets]]*100-Table9[[#This Row],[Runs]]</f>
        <v>249</v>
      </c>
      <c r="BJ518">
        <f ca="1">IFERROR(IF(MATCH(Table9[[#This Row],[Bowler]],OFFSET(AR519,0,0,BOWLROWS-ROW(AR518)-ROW(Table9[[#Headers],[BOWLER CUML WICKETS]])),0)&gt;0,0,SUMIF($AR$6:AR590,Table9[[#This Row],[Bowler]],$AV$6:AV590)),SUMIF($AR$6:AR590,Table9[[#This Row],[Bowler]],$AV$6:AV590))</f>
        <v>3</v>
      </c>
      <c r="BK518">
        <f ca="1">IFERROR(IF(MATCH(Table9[[#This Row],[Bowler]],OFFSET(AR519,0,0,BOWLROWS-ROW(AR518)-ROW(Table9[[#Headers],[BOWLER CUML WICKETS]])),0)&gt;0,0,SUMIF($AR$6:AR590,Table9[[#This Row],[Bowler]],$AU$6:AU590)),SUMIF($AR$6:AR590,Table9[[#This Row],[Bowler]],$AU$6:AU590))</f>
        <v>80</v>
      </c>
      <c r="BL518">
        <f ca="1">Table9[[#This Row],[BOWLER CUML WICKETS]]*100-Table9[[#This Row],[BOWLER CUML RUNS]]</f>
        <v>220</v>
      </c>
    </row>
    <row r="519" spans="1:64" x14ac:dyDescent="0.3">
      <c r="A519">
        <v>19</v>
      </c>
      <c r="B519" t="s">
        <v>170</v>
      </c>
      <c r="C519" t="s">
        <v>298</v>
      </c>
      <c r="D519" t="s">
        <v>679</v>
      </c>
      <c r="E519">
        <v>22</v>
      </c>
      <c r="F519">
        <v>61</v>
      </c>
      <c r="G519">
        <v>47</v>
      </c>
      <c r="H519">
        <v>2</v>
      </c>
      <c r="I519">
        <v>0</v>
      </c>
      <c r="J519">
        <v>46.8</v>
      </c>
      <c r="K519">
        <v>5</v>
      </c>
      <c r="L519" t="str">
        <f>CONCATENATE(T_BATTINGDATA[[#This Row],[Match]],T_BATTINGDATA[[#This Row],[Team]],T_BATTINGDATA[[#This Row],[Bat Number]])</f>
        <v>19West Indies5</v>
      </c>
      <c r="M519" t="str">
        <f>IFERROR(IF(AND(T_BATTINGDATA[[#This Row],[Team]]=I_TEAM,IFERROR(IF(MATCH(T_BATTINGDATA[[#This Row],[BATSMAN NAME]],$O$5:O518,0)&gt;0,0),1)),1,0),"")</f>
        <v/>
      </c>
      <c r="N519" t="e">
        <f>IF(T_BATTINGDATA[[#This Row],[Team]]=I_TEAM,T_BATTINGDATA[[#This Row],[R]],0)</f>
        <v>#REF!</v>
      </c>
      <c r="O519" t="str">
        <f>LEFT(T_BATTINGDATA[[#This Row],[Batsman]],IFERROR(FIND("*",T_BATTINGDATA[[#This Row],[Batsman]])-1,IFERROR(FIND("†",T_BATTINGDATA[[#This Row],[Batsman]])-1,LEN(T_BATTINGDATA[[#This Row],[Batsman]]))))</f>
        <v>D Ramdin</v>
      </c>
      <c r="P519">
        <f ca="1">IFERROR(IF(MATCH(T_BATTINGDATA[[#This Row],[BATSMAN NAME]],OFFSET(O520,0,0,BATROWS-ROW(O519)-ROW(T_BATTINGDATA[[#Headers],[BATSMAN NAME]])),0)&gt;0,0,SUMIF($O$6:O519,T_BATTINGDATA[[#This Row],[BATSMAN NAME]],$E$6:E519)),SUMIF($O$6:O519,T_BATTINGDATA[[#This Row],[BATSMAN NAME]],$E$6:E519))</f>
        <v>0</v>
      </c>
      <c r="AP519">
        <v>36</v>
      </c>
      <c r="AQ519" t="s">
        <v>164</v>
      </c>
      <c r="AR519" t="s">
        <v>223</v>
      </c>
      <c r="AS519">
        <v>10</v>
      </c>
      <c r="AT519">
        <v>0</v>
      </c>
      <c r="AU519">
        <v>63</v>
      </c>
      <c r="AV519">
        <v>3</v>
      </c>
      <c r="AW519">
        <v>6.3</v>
      </c>
      <c r="AX519">
        <v>32</v>
      </c>
      <c r="AY519">
        <v>7</v>
      </c>
      <c r="AZ519">
        <v>1</v>
      </c>
      <c r="BA519">
        <v>1</v>
      </c>
      <c r="BB519">
        <v>3</v>
      </c>
      <c r="BC519">
        <v>1</v>
      </c>
      <c r="BD519" t="str">
        <f>CONCATENATE(Table9[[#This Row],[Match Number]],Table9[[#This Row],[Team]],Table9[[#This Row],[BOWL NUM]])</f>
        <v>36UAE1</v>
      </c>
      <c r="BE519" t="str">
        <f>IFERROR(IF(AND(Table9[[#This Row],[Team]]=I_TEAM,IFERROR(IF(MATCH(Table9[[#This Row],[Bowler]],$AR$5:AR518,0)&gt;0,0),1)),1,0),"")</f>
        <v/>
      </c>
      <c r="BF51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1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519" t="e">
        <f>IF(Table9[[#This Row],[Team]]=I_TEAM,Table9[[#This Row],[Wickets]]*100-Table9[[#This Row],[Runs]],0)</f>
        <v>#REF!</v>
      </c>
      <c r="BI519">
        <f>Table9[[#This Row],[Wickets]]*100-Table9[[#This Row],[Runs]]</f>
        <v>237</v>
      </c>
      <c r="BJ519">
        <f ca="1">IFERROR(IF(MATCH(Table9[[#This Row],[Bowler]],OFFSET(AR520,0,0,BOWLROWS-ROW(AR519)-ROW(Table9[[#Headers],[BOWLER CUML WICKETS]])),0)&gt;0,0,SUMIF($AR$6:AR519,Table9[[#This Row],[Bowler]],$AV$6:AV519)),SUMIF($AR$6:AR519,Table9[[#This Row],[Bowler]],$AV$6:AV519))</f>
        <v>0</v>
      </c>
      <c r="BK519">
        <f ca="1">IFERROR(IF(MATCH(Table9[[#This Row],[Bowler]],OFFSET(AR520,0,0,BOWLROWS-ROW(AR519)-ROW(Table9[[#Headers],[BOWLER CUML WICKETS]])),0)&gt;0,0,SUMIF($AR$6:AR519,Table9[[#This Row],[Bowler]],$AU$6:AU519)),SUMIF($AR$6:AR519,Table9[[#This Row],[Bowler]],$AU$6:AU519))</f>
        <v>0</v>
      </c>
      <c r="BL519">
        <f ca="1">Table9[[#This Row],[BOWLER CUML WICKETS]]*100-Table9[[#This Row],[BOWLER CUML RUNS]]</f>
        <v>0</v>
      </c>
    </row>
    <row r="520" spans="1:64" x14ac:dyDescent="0.3">
      <c r="A520">
        <v>19</v>
      </c>
      <c r="B520" t="s">
        <v>170</v>
      </c>
      <c r="C520" t="s">
        <v>300</v>
      </c>
      <c r="D520" t="s">
        <v>680</v>
      </c>
      <c r="E520">
        <v>0</v>
      </c>
      <c r="F520">
        <v>2</v>
      </c>
      <c r="G520">
        <v>2</v>
      </c>
      <c r="H520">
        <v>0</v>
      </c>
      <c r="I520">
        <v>0</v>
      </c>
      <c r="J520">
        <v>0</v>
      </c>
      <c r="K520">
        <v>6</v>
      </c>
      <c r="L520" t="str">
        <f>CONCATENATE(T_BATTINGDATA[[#This Row],[Match]],T_BATTINGDATA[[#This Row],[Team]],T_BATTINGDATA[[#This Row],[Bat Number]])</f>
        <v>19West Indies6</v>
      </c>
      <c r="M520" t="str">
        <f>IFERROR(IF(AND(T_BATTINGDATA[[#This Row],[Team]]=I_TEAM,IFERROR(IF(MATCH(T_BATTINGDATA[[#This Row],[BATSMAN NAME]],$O$5:O519,0)&gt;0,0),1)),1,0),"")</f>
        <v/>
      </c>
      <c r="N520" t="e">
        <f>IF(T_BATTINGDATA[[#This Row],[Team]]=I_TEAM,T_BATTINGDATA[[#This Row],[R]],0)</f>
        <v>#REF!</v>
      </c>
      <c r="O520" t="str">
        <f>LEFT(T_BATTINGDATA[[#This Row],[Batsman]],IFERROR(FIND("*",T_BATTINGDATA[[#This Row],[Batsman]])-1,IFERROR(FIND("†",T_BATTINGDATA[[#This Row],[Batsman]])-1,LEN(T_BATTINGDATA[[#This Row],[Batsman]]))))</f>
        <v>LMP Simmons</v>
      </c>
      <c r="P520">
        <f ca="1">IFERROR(IF(MATCH(T_BATTINGDATA[[#This Row],[BATSMAN NAME]],OFFSET(O521,0,0,BATROWS-ROW(O520)-ROW(T_BATTINGDATA[[#Headers],[BATSMAN NAME]])),0)&gt;0,0,SUMIF($O$6:O520,T_BATTINGDATA[[#This Row],[BATSMAN NAME]],$E$6:E520)),SUMIF($O$6:O520,T_BATTINGDATA[[#This Row],[BATSMAN NAME]],$E$6:E520))</f>
        <v>173</v>
      </c>
      <c r="AP520">
        <v>36</v>
      </c>
      <c r="AQ520" t="s">
        <v>164</v>
      </c>
      <c r="AR520" t="s">
        <v>681</v>
      </c>
      <c r="AS520">
        <v>8</v>
      </c>
      <c r="AT520">
        <v>0</v>
      </c>
      <c r="AU520">
        <v>59</v>
      </c>
      <c r="AV520">
        <v>1</v>
      </c>
      <c r="AW520">
        <v>7.37</v>
      </c>
      <c r="AX520">
        <v>23</v>
      </c>
      <c r="AY520">
        <v>10</v>
      </c>
      <c r="AZ520">
        <v>0</v>
      </c>
      <c r="BA520">
        <v>0</v>
      </c>
      <c r="BB520">
        <v>1</v>
      </c>
      <c r="BC520">
        <v>2</v>
      </c>
      <c r="BD520" t="str">
        <f>CONCATENATE(Table9[[#This Row],[Match Number]],Table9[[#This Row],[Team]],Table9[[#This Row],[BOWL NUM]])</f>
        <v>36UAE2</v>
      </c>
      <c r="BE520" t="str">
        <f>IFERROR(IF(AND(Table9[[#This Row],[Team]]=I_TEAM,IFERROR(IF(MATCH(Table9[[#This Row],[Bowler]],$AR$5:AR519,0)&gt;0,0),1)),1,0),"")</f>
        <v/>
      </c>
      <c r="BF52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2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520" t="e">
        <f>IF(Table9[[#This Row],[Team]]=I_TEAM,Table9[[#This Row],[Wickets]]*100-Table9[[#This Row],[Runs]],0)</f>
        <v>#REF!</v>
      </c>
      <c r="BI520">
        <f>Table9[[#This Row],[Wickets]]*100-Table9[[#This Row],[Runs]]</f>
        <v>41</v>
      </c>
      <c r="BJ520">
        <f ca="1">IFERROR(IF(MATCH(Table9[[#This Row],[Bowler]],OFFSET(AR521,0,0,BOWLROWS-ROW(AR520)-ROW(Table9[[#Headers],[BOWLER CUML WICKETS]])),0)&gt;0,0,SUMIF($AR$6:AR520,Table9[[#This Row],[Bowler]],$AV$6:AV520)),SUMIF($AR$6:AR520,Table9[[#This Row],[Bowler]],$AV$6:AV520))</f>
        <v>1</v>
      </c>
      <c r="BK520">
        <f ca="1">IFERROR(IF(MATCH(Table9[[#This Row],[Bowler]],OFFSET(AR521,0,0,BOWLROWS-ROW(AR520)-ROW(Table9[[#Headers],[BOWLER CUML WICKETS]])),0)&gt;0,0,SUMIF($AR$6:AR520,Table9[[#This Row],[Bowler]],$AU$6:AU520)),SUMIF($AR$6:AR520,Table9[[#This Row],[Bowler]],$AU$6:AU520))</f>
        <v>59</v>
      </c>
      <c r="BL520">
        <f ca="1">Table9[[#This Row],[BOWLER CUML WICKETS]]*100-Table9[[#This Row],[BOWLER CUML RUNS]]</f>
        <v>41</v>
      </c>
    </row>
    <row r="521" spans="1:64" x14ac:dyDescent="0.3">
      <c r="A521">
        <v>19</v>
      </c>
      <c r="B521" t="s">
        <v>170</v>
      </c>
      <c r="C521" t="s">
        <v>302</v>
      </c>
      <c r="D521" t="s">
        <v>682</v>
      </c>
      <c r="E521">
        <v>5</v>
      </c>
      <c r="F521">
        <v>21</v>
      </c>
      <c r="G521">
        <v>11</v>
      </c>
      <c r="H521">
        <v>0</v>
      </c>
      <c r="I521">
        <v>0</v>
      </c>
      <c r="J521">
        <v>45.45</v>
      </c>
      <c r="K521">
        <v>7</v>
      </c>
      <c r="L521" t="str">
        <f>CONCATENATE(T_BATTINGDATA[[#This Row],[Match]],T_BATTINGDATA[[#This Row],[Team]],T_BATTINGDATA[[#This Row],[Bat Number]])</f>
        <v>19West Indies7</v>
      </c>
      <c r="M521" t="str">
        <f>IFERROR(IF(AND(T_BATTINGDATA[[#This Row],[Team]]=I_TEAM,IFERROR(IF(MATCH(T_BATTINGDATA[[#This Row],[BATSMAN NAME]],$O$5:O520,0)&gt;0,0),1)),1,0),"")</f>
        <v/>
      </c>
      <c r="N521" t="e">
        <f>IF(T_BATTINGDATA[[#This Row],[Team]]=I_TEAM,T_BATTINGDATA[[#This Row],[R]],0)</f>
        <v>#REF!</v>
      </c>
      <c r="O521" t="str">
        <f>LEFT(T_BATTINGDATA[[#This Row],[Batsman]],IFERROR(FIND("*",T_BATTINGDATA[[#This Row],[Batsman]])-1,IFERROR(FIND("†",T_BATTINGDATA[[#This Row],[Batsman]])-1,LEN(T_BATTINGDATA[[#This Row],[Batsman]]))))</f>
        <v>DJG Sammy</v>
      </c>
      <c r="P521">
        <f ca="1">IFERROR(IF(MATCH(T_BATTINGDATA[[#This Row],[BATSMAN NAME]],OFFSET(O522,0,0,BATROWS-ROW(O521)-ROW(T_BATTINGDATA[[#Headers],[BATSMAN NAME]])),0)&gt;0,0,SUMIF($O$6:O521,T_BATTINGDATA[[#This Row],[BATSMAN NAME]],$E$6:E521)),SUMIF($O$6:O521,T_BATTINGDATA[[#This Row],[BATSMAN NAME]],$E$6:E521))</f>
        <v>177</v>
      </c>
      <c r="AP521">
        <v>36</v>
      </c>
      <c r="AQ521" t="s">
        <v>164</v>
      </c>
      <c r="AR521" t="s">
        <v>228</v>
      </c>
      <c r="AS521">
        <v>10</v>
      </c>
      <c r="AT521">
        <v>0</v>
      </c>
      <c r="AU521">
        <v>87</v>
      </c>
      <c r="AV521">
        <v>1</v>
      </c>
      <c r="AW521">
        <v>8.6999999999999993</v>
      </c>
      <c r="AX521">
        <v>20</v>
      </c>
      <c r="AY521">
        <v>6</v>
      </c>
      <c r="AZ521">
        <v>4</v>
      </c>
      <c r="BA521">
        <v>2</v>
      </c>
      <c r="BB521">
        <v>1</v>
      </c>
      <c r="BC521">
        <v>3</v>
      </c>
      <c r="BD521" t="str">
        <f>CONCATENATE(Table9[[#This Row],[Match Number]],Table9[[#This Row],[Team]],Table9[[#This Row],[BOWL NUM]])</f>
        <v>36UAE3</v>
      </c>
      <c r="BE521" t="str">
        <f>IFERROR(IF(AND(Table9[[#This Row],[Team]]=I_TEAM,IFERROR(IF(MATCH(Table9[[#This Row],[Bowler]],$AR$5:AR520,0)&gt;0,0),1)),1,0),"")</f>
        <v/>
      </c>
      <c r="BF52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2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521" t="e">
        <f>IF(Table9[[#This Row],[Team]]=I_TEAM,Table9[[#This Row],[Wickets]]*100-Table9[[#This Row],[Runs]],0)</f>
        <v>#REF!</v>
      </c>
      <c r="BI521">
        <f>Table9[[#This Row],[Wickets]]*100-Table9[[#This Row],[Runs]]</f>
        <v>13</v>
      </c>
      <c r="BJ521">
        <f ca="1">IFERROR(IF(MATCH(Table9[[#This Row],[Bowler]],OFFSET(AR522,0,0,BOWLROWS-ROW(AR521)-ROW(Table9[[#Headers],[BOWLER CUML WICKETS]])),0)&gt;0,0,SUMIF($AR$6:AR521,Table9[[#This Row],[Bowler]],$AV$6:AV521)),SUMIF($AR$6:AR521,Table9[[#This Row],[Bowler]],$AV$6:AV521))</f>
        <v>0</v>
      </c>
      <c r="BK521">
        <f ca="1">IFERROR(IF(MATCH(Table9[[#This Row],[Bowler]],OFFSET(AR522,0,0,BOWLROWS-ROW(AR521)-ROW(Table9[[#Headers],[BOWLER CUML WICKETS]])),0)&gt;0,0,SUMIF($AR$6:AR521,Table9[[#This Row],[Bowler]],$AU$6:AU521)),SUMIF($AR$6:AR521,Table9[[#This Row],[Bowler]],$AU$6:AU521))</f>
        <v>0</v>
      </c>
      <c r="BL521">
        <f ca="1">Table9[[#This Row],[BOWLER CUML WICKETS]]*100-Table9[[#This Row],[BOWLER CUML RUNS]]</f>
        <v>0</v>
      </c>
    </row>
    <row r="522" spans="1:64" x14ac:dyDescent="0.3">
      <c r="A522">
        <v>19</v>
      </c>
      <c r="B522" t="s">
        <v>170</v>
      </c>
      <c r="C522" t="s">
        <v>264</v>
      </c>
      <c r="D522" t="s">
        <v>683</v>
      </c>
      <c r="E522">
        <v>0</v>
      </c>
      <c r="F522">
        <v>2</v>
      </c>
      <c r="G522">
        <v>3</v>
      </c>
      <c r="H522">
        <v>0</v>
      </c>
      <c r="I522">
        <v>0</v>
      </c>
      <c r="J522">
        <v>0</v>
      </c>
      <c r="K522">
        <v>8</v>
      </c>
      <c r="L522" t="str">
        <f>CONCATENATE(T_BATTINGDATA[[#This Row],[Match]],T_BATTINGDATA[[#This Row],[Team]],T_BATTINGDATA[[#This Row],[Bat Number]])</f>
        <v>19West Indies8</v>
      </c>
      <c r="M522" t="str">
        <f>IFERROR(IF(AND(T_BATTINGDATA[[#This Row],[Team]]=I_TEAM,IFERROR(IF(MATCH(T_BATTINGDATA[[#This Row],[BATSMAN NAME]],$O$5:O521,0)&gt;0,0),1)),1,0),"")</f>
        <v/>
      </c>
      <c r="N522" t="e">
        <f>IF(T_BATTINGDATA[[#This Row],[Team]]=I_TEAM,T_BATTINGDATA[[#This Row],[R]],0)</f>
        <v>#REF!</v>
      </c>
      <c r="O522" t="str">
        <f>LEFT(T_BATTINGDATA[[#This Row],[Batsman]],IFERROR(FIND("*",T_BATTINGDATA[[#This Row],[Batsman]])-1,IFERROR(FIND("†",T_BATTINGDATA[[#This Row],[Batsman]])-1,LEN(T_BATTINGDATA[[#This Row],[Batsman]]))))</f>
        <v>AD Russell</v>
      </c>
      <c r="P522">
        <f ca="1">IFERROR(IF(MATCH(T_BATTINGDATA[[#This Row],[BATSMAN NAME]],OFFSET(O523,0,0,BATROWS-ROW(O522)-ROW(T_BATTINGDATA[[#Headers],[BATSMAN NAME]])),0)&gt;0,0,SUMIF($O$6:O522,T_BATTINGDATA[[#This Row],[BATSMAN NAME]],$E$6:E522)),SUMIF($O$6:O522,T_BATTINGDATA[[#This Row],[BATSMAN NAME]],$E$6:E522))</f>
        <v>0</v>
      </c>
      <c r="AP522">
        <v>36</v>
      </c>
      <c r="AQ522" t="s">
        <v>164</v>
      </c>
      <c r="AR522" t="s">
        <v>233</v>
      </c>
      <c r="AS522">
        <v>10</v>
      </c>
      <c r="AT522">
        <v>0</v>
      </c>
      <c r="AU522">
        <v>47</v>
      </c>
      <c r="AV522">
        <v>1</v>
      </c>
      <c r="AW522">
        <v>4.7</v>
      </c>
      <c r="AX522">
        <v>26</v>
      </c>
      <c r="AY522">
        <v>1</v>
      </c>
      <c r="AZ522">
        <v>1</v>
      </c>
      <c r="BA522">
        <v>1</v>
      </c>
      <c r="BB522">
        <v>0</v>
      </c>
      <c r="BC522">
        <v>4</v>
      </c>
      <c r="BD522" t="str">
        <f>CONCATENATE(Table9[[#This Row],[Match Number]],Table9[[#This Row],[Team]],Table9[[#This Row],[BOWL NUM]])</f>
        <v>36UAE4</v>
      </c>
      <c r="BE522" t="str">
        <f>IFERROR(IF(AND(Table9[[#This Row],[Team]]=I_TEAM,IFERROR(IF(MATCH(Table9[[#This Row],[Bowler]],$AR$5:AR521,0)&gt;0,0),1)),1,0),"")</f>
        <v/>
      </c>
      <c r="BF52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2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522" t="e">
        <f>IF(Table9[[#This Row],[Team]]=I_TEAM,Table9[[#This Row],[Wickets]]*100-Table9[[#This Row],[Runs]],0)</f>
        <v>#REF!</v>
      </c>
      <c r="BI522">
        <f>Table9[[#This Row],[Wickets]]*100-Table9[[#This Row],[Runs]]</f>
        <v>53</v>
      </c>
      <c r="BJ522">
        <f ca="1">IFERROR(IF(MATCH(Table9[[#This Row],[Bowler]],OFFSET(AR523,0,0,BOWLROWS-ROW(AR522)-ROW(Table9[[#Headers],[BOWLER CUML WICKETS]])),0)&gt;0,0,SUMIF($AR$6:AR522,Table9[[#This Row],[Bowler]],$AV$6:AV522)),SUMIF($AR$6:AR522,Table9[[#This Row],[Bowler]],$AV$6:AV522))</f>
        <v>0</v>
      </c>
      <c r="BK522">
        <f ca="1">IFERROR(IF(MATCH(Table9[[#This Row],[Bowler]],OFFSET(AR523,0,0,BOWLROWS-ROW(AR522)-ROW(Table9[[#Headers],[BOWLER CUML WICKETS]])),0)&gt;0,0,SUMIF($AR$6:AR522,Table9[[#This Row],[Bowler]],$AU$6:AU522)),SUMIF($AR$6:AR522,Table9[[#This Row],[Bowler]],$AU$6:AU522))</f>
        <v>0</v>
      </c>
      <c r="BL522">
        <f ca="1">Table9[[#This Row],[BOWLER CUML WICKETS]]*100-Table9[[#This Row],[BOWLER CUML RUNS]]</f>
        <v>0</v>
      </c>
    </row>
    <row r="523" spans="1:64" x14ac:dyDescent="0.3">
      <c r="A523">
        <v>19</v>
      </c>
      <c r="B523" t="s">
        <v>170</v>
      </c>
      <c r="C523" t="s">
        <v>306</v>
      </c>
      <c r="D523" t="s">
        <v>684</v>
      </c>
      <c r="E523">
        <v>56</v>
      </c>
      <c r="F523">
        <v>56</v>
      </c>
      <c r="G523">
        <v>48</v>
      </c>
      <c r="H523">
        <v>3</v>
      </c>
      <c r="I523">
        <v>4</v>
      </c>
      <c r="J523">
        <v>116.66</v>
      </c>
      <c r="K523">
        <v>9</v>
      </c>
      <c r="L523" t="str">
        <f>CONCATENATE(T_BATTINGDATA[[#This Row],[Match]],T_BATTINGDATA[[#This Row],[Team]],T_BATTINGDATA[[#This Row],[Bat Number]])</f>
        <v>19West Indies9</v>
      </c>
      <c r="M523" t="str">
        <f>IFERROR(IF(AND(T_BATTINGDATA[[#This Row],[Team]]=I_TEAM,IFERROR(IF(MATCH(T_BATTINGDATA[[#This Row],[BATSMAN NAME]],$O$5:O522,0)&gt;0,0),1)),1,0),"")</f>
        <v/>
      </c>
      <c r="N523" t="e">
        <f>IF(T_BATTINGDATA[[#This Row],[Team]]=I_TEAM,T_BATTINGDATA[[#This Row],[R]],0)</f>
        <v>#REF!</v>
      </c>
      <c r="O523" t="str">
        <f>LEFT(T_BATTINGDATA[[#This Row],[Batsman]],IFERROR(FIND("*",T_BATTINGDATA[[#This Row],[Batsman]])-1,IFERROR(FIND("†",T_BATTINGDATA[[#This Row],[Batsman]])-1,LEN(T_BATTINGDATA[[#This Row],[Batsman]]))))</f>
        <v>JO Holder</v>
      </c>
      <c r="P523">
        <f ca="1">IFERROR(IF(MATCH(T_BATTINGDATA[[#This Row],[BATSMAN NAME]],OFFSET(O524,0,0,BATROWS-ROW(O523)-ROW(T_BATTINGDATA[[#Headers],[BATSMAN NAME]])),0)&gt;0,0,SUMIF($O$6:O523,T_BATTINGDATA[[#This Row],[BATSMAN NAME]],$E$6:E523)),SUMIF($O$6:O523,T_BATTINGDATA[[#This Row],[BATSMAN NAME]],$E$6:E523))</f>
        <v>155</v>
      </c>
      <c r="AP523">
        <v>36</v>
      </c>
      <c r="AQ523" t="s">
        <v>164</v>
      </c>
      <c r="AR523" t="s">
        <v>685</v>
      </c>
      <c r="AS523">
        <v>7.2</v>
      </c>
      <c r="AT523">
        <v>0</v>
      </c>
      <c r="AU523">
        <v>45</v>
      </c>
      <c r="AV523">
        <v>0</v>
      </c>
      <c r="AW523">
        <v>6.13</v>
      </c>
      <c r="AX523">
        <v>17</v>
      </c>
      <c r="AY523">
        <v>3</v>
      </c>
      <c r="AZ523">
        <v>0</v>
      </c>
      <c r="BA523">
        <v>1</v>
      </c>
      <c r="BB523">
        <v>0</v>
      </c>
      <c r="BC523">
        <v>5</v>
      </c>
      <c r="BD523" t="str">
        <f>CONCATENATE(Table9[[#This Row],[Match Number]],Table9[[#This Row],[Team]],Table9[[#This Row],[BOWL NUM]])</f>
        <v>36UAE5</v>
      </c>
      <c r="BE523" t="str">
        <f>IFERROR(IF(AND(Table9[[#This Row],[Team]]=I_TEAM,IFERROR(IF(MATCH(Table9[[#This Row],[Bowler]],$AR$5:AR522,0)&gt;0,0),1)),1,0),"")</f>
        <v/>
      </c>
      <c r="BF523">
        <f>(LEFT(Table9[[#This Row],[Overs]],IFERROR(FIND(".",Table9[[#This Row],[Overs]])-1,LEN(Table9[[#This Row],[Overs]])))*6) + IFERROR(IF(FIND(".",Table9[[#This Row],[Overs]])+1&gt;0,RIGHT(Table9[[#This Row],[Overs]],1),0),0)</f>
        <v>44</v>
      </c>
      <c r="BG52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523" t="e">
        <f>IF(Table9[[#This Row],[Team]]=I_TEAM,Table9[[#This Row],[Wickets]]*100-Table9[[#This Row],[Runs]],0)</f>
        <v>#REF!</v>
      </c>
      <c r="BI523">
        <f>Table9[[#This Row],[Wickets]]*100-Table9[[#This Row],[Runs]]</f>
        <v>-45</v>
      </c>
      <c r="BJ523">
        <f ca="1">IFERROR(IF(MATCH(Table9[[#This Row],[Bowler]],OFFSET(AR524,0,0,BOWLROWS-ROW(AR523)-ROW(Table9[[#Headers],[BOWLER CUML WICKETS]])),0)&gt;0,0,SUMIF($AR$6:AR523,Table9[[#This Row],[Bowler]],$AV$6:AV523)),SUMIF($AR$6:AR523,Table9[[#This Row],[Bowler]],$AV$6:AV523))</f>
        <v>0</v>
      </c>
      <c r="BK523">
        <f ca="1">IFERROR(IF(MATCH(Table9[[#This Row],[Bowler]],OFFSET(AR524,0,0,BOWLROWS-ROW(AR523)-ROW(Table9[[#Headers],[BOWLER CUML WICKETS]])),0)&gt;0,0,SUMIF($AR$6:AR523,Table9[[#This Row],[Bowler]],$AU$6:AU523)),SUMIF($AR$6:AR523,Table9[[#This Row],[Bowler]],$AU$6:AU523))</f>
        <v>45</v>
      </c>
      <c r="BL523">
        <f ca="1">Table9[[#This Row],[BOWLER CUML WICKETS]]*100-Table9[[#This Row],[BOWLER CUML RUNS]]</f>
        <v>-45</v>
      </c>
    </row>
    <row r="524" spans="1:64" x14ac:dyDescent="0.3">
      <c r="A524">
        <v>19</v>
      </c>
      <c r="B524" t="s">
        <v>170</v>
      </c>
      <c r="C524" t="s">
        <v>259</v>
      </c>
      <c r="D524" t="s">
        <v>167</v>
      </c>
      <c r="E524">
        <v>15</v>
      </c>
      <c r="F524">
        <v>30</v>
      </c>
      <c r="G524">
        <v>18</v>
      </c>
      <c r="H524">
        <v>2</v>
      </c>
      <c r="I524">
        <v>0</v>
      </c>
      <c r="J524">
        <v>83.33</v>
      </c>
      <c r="K524">
        <v>10</v>
      </c>
      <c r="L524" t="str">
        <f>CONCATENATE(T_BATTINGDATA[[#This Row],[Match]],T_BATTINGDATA[[#This Row],[Team]],T_BATTINGDATA[[#This Row],[Bat Number]])</f>
        <v>19West Indies10</v>
      </c>
      <c r="M524" t="str">
        <f>IFERROR(IF(AND(T_BATTINGDATA[[#This Row],[Team]]=I_TEAM,IFERROR(IF(MATCH(T_BATTINGDATA[[#This Row],[BATSMAN NAME]],$O$5:O523,0)&gt;0,0),1)),1,0),"")</f>
        <v/>
      </c>
      <c r="N524" t="e">
        <f>IF(T_BATTINGDATA[[#This Row],[Team]]=I_TEAM,T_BATTINGDATA[[#This Row],[R]],0)</f>
        <v>#REF!</v>
      </c>
      <c r="O524" t="str">
        <f>LEFT(T_BATTINGDATA[[#This Row],[Batsman]],IFERROR(FIND("*",T_BATTINGDATA[[#This Row],[Batsman]])-1,IFERROR(FIND("†",T_BATTINGDATA[[#This Row],[Batsman]])-1,LEN(T_BATTINGDATA[[#This Row],[Batsman]]))))</f>
        <v>JE Taylor</v>
      </c>
      <c r="P524">
        <f ca="1">IFERROR(IF(MATCH(T_BATTINGDATA[[#This Row],[BATSMAN NAME]],OFFSET(O525,0,0,BATROWS-ROW(O524)-ROW(T_BATTINGDATA[[#Headers],[BATSMAN NAME]])),0)&gt;0,0,SUMIF($O$6:O524,T_BATTINGDATA[[#This Row],[BATSMAN NAME]],$E$6:E524)),SUMIF($O$6:O524,T_BATTINGDATA[[#This Row],[BATSMAN NAME]],$E$6:E524))</f>
        <v>37</v>
      </c>
      <c r="AP524">
        <v>36</v>
      </c>
      <c r="AQ524" t="s">
        <v>164</v>
      </c>
      <c r="AR524" t="s">
        <v>252</v>
      </c>
      <c r="AS524">
        <v>4</v>
      </c>
      <c r="AT524">
        <v>0</v>
      </c>
      <c r="AU524">
        <v>31</v>
      </c>
      <c r="AV524">
        <v>0</v>
      </c>
      <c r="AW524">
        <v>7.75</v>
      </c>
      <c r="AX524">
        <v>1</v>
      </c>
      <c r="AY524">
        <v>1</v>
      </c>
      <c r="AZ524">
        <v>1</v>
      </c>
      <c r="BA524">
        <v>0</v>
      </c>
      <c r="BB524">
        <v>0</v>
      </c>
      <c r="BC524">
        <v>6</v>
      </c>
      <c r="BD524" t="str">
        <f>CONCATENATE(Table9[[#This Row],[Match Number]],Table9[[#This Row],[Team]],Table9[[#This Row],[BOWL NUM]])</f>
        <v>36UAE6</v>
      </c>
      <c r="BE524" t="str">
        <f>IFERROR(IF(AND(Table9[[#This Row],[Team]]=I_TEAM,IFERROR(IF(MATCH(Table9[[#This Row],[Bowler]],$AR$5:AR523,0)&gt;0,0),1)),1,0),"")</f>
        <v/>
      </c>
      <c r="BF524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52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524" t="e">
        <f>IF(Table9[[#This Row],[Team]]=I_TEAM,Table9[[#This Row],[Wickets]]*100-Table9[[#This Row],[Runs]],0)</f>
        <v>#REF!</v>
      </c>
      <c r="BI524">
        <f>Table9[[#This Row],[Wickets]]*100-Table9[[#This Row],[Runs]]</f>
        <v>-31</v>
      </c>
      <c r="BJ524">
        <f ca="1">IFERROR(IF(MATCH(Table9[[#This Row],[Bowler]],OFFSET(AR525,0,0,BOWLROWS-ROW(AR524)-ROW(Table9[[#Headers],[BOWLER CUML WICKETS]])),0)&gt;0,0,SUMIF($AR$6:AR524,Table9[[#This Row],[Bowler]],$AV$6:AV524)),SUMIF($AR$6:AR524,Table9[[#This Row],[Bowler]],$AV$6:AV524))</f>
        <v>0</v>
      </c>
      <c r="BK524">
        <f ca="1">IFERROR(IF(MATCH(Table9[[#This Row],[Bowler]],OFFSET(AR525,0,0,BOWLROWS-ROW(AR524)-ROW(Table9[[#Headers],[BOWLER CUML WICKETS]])),0)&gt;0,0,SUMIF($AR$6:AR524,Table9[[#This Row],[Bowler]],$AU$6:AU524)),SUMIF($AR$6:AR524,Table9[[#This Row],[Bowler]],$AU$6:AU524))</f>
        <v>52</v>
      </c>
      <c r="BL524">
        <f ca="1">Table9[[#This Row],[BOWLER CUML WICKETS]]*100-Table9[[#This Row],[BOWLER CUML RUNS]]</f>
        <v>-52</v>
      </c>
    </row>
    <row r="525" spans="1:64" x14ac:dyDescent="0.3">
      <c r="A525">
        <v>19</v>
      </c>
      <c r="B525" t="s">
        <v>170</v>
      </c>
      <c r="C525" t="s">
        <v>440</v>
      </c>
      <c r="D525" t="s">
        <v>686</v>
      </c>
      <c r="E525">
        <v>1</v>
      </c>
      <c r="F525">
        <v>2</v>
      </c>
      <c r="G525">
        <v>3</v>
      </c>
      <c r="H525">
        <v>0</v>
      </c>
      <c r="I525">
        <v>0</v>
      </c>
      <c r="J525">
        <v>33.33</v>
      </c>
      <c r="K525">
        <v>11</v>
      </c>
      <c r="L525" t="str">
        <f>CONCATENATE(T_BATTINGDATA[[#This Row],[Match]],T_BATTINGDATA[[#This Row],[Team]],T_BATTINGDATA[[#This Row],[Bat Number]])</f>
        <v>19West Indies11</v>
      </c>
      <c r="M525" t="str">
        <f>IFERROR(IF(AND(T_BATTINGDATA[[#This Row],[Team]]=I_TEAM,IFERROR(IF(MATCH(T_BATTINGDATA[[#This Row],[BATSMAN NAME]],$O$5:O524,0)&gt;0,0),1)),1,0),"")</f>
        <v/>
      </c>
      <c r="N525" t="e">
        <f>IF(T_BATTINGDATA[[#This Row],[Team]]=I_TEAM,T_BATTINGDATA[[#This Row],[R]],0)</f>
        <v>#REF!</v>
      </c>
      <c r="O525" t="str">
        <f>LEFT(T_BATTINGDATA[[#This Row],[Batsman]],IFERROR(FIND("*",T_BATTINGDATA[[#This Row],[Batsman]])-1,IFERROR(FIND("†",T_BATTINGDATA[[#This Row],[Batsman]])-1,LEN(T_BATTINGDATA[[#This Row],[Batsman]]))))</f>
        <v>SJ Benn</v>
      </c>
      <c r="P525">
        <f ca="1">IFERROR(IF(MATCH(T_BATTINGDATA[[#This Row],[BATSMAN NAME]],OFFSET(O526,0,0,BATROWS-ROW(O525)-ROW(T_BATTINGDATA[[#Headers],[BATSMAN NAME]])),0)&gt;0,0,SUMIF($O$6:O525,T_BATTINGDATA[[#This Row],[BATSMAN NAME]],$E$6:E525)),SUMIF($O$6:O525,T_BATTINGDATA[[#This Row],[BATSMAN NAME]],$E$6:E525))</f>
        <v>10</v>
      </c>
      <c r="AP525">
        <v>36</v>
      </c>
      <c r="AQ525" t="s">
        <v>164</v>
      </c>
      <c r="AR525" t="s">
        <v>255</v>
      </c>
      <c r="AS525">
        <v>0.4</v>
      </c>
      <c r="AT525">
        <v>0</v>
      </c>
      <c r="AU525">
        <v>4</v>
      </c>
      <c r="AV525">
        <v>0</v>
      </c>
      <c r="AW525">
        <v>6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7</v>
      </c>
      <c r="BD525" t="str">
        <f>CONCATENATE(Table9[[#This Row],[Match Number]],Table9[[#This Row],[Team]],Table9[[#This Row],[BOWL NUM]])</f>
        <v>36UAE7</v>
      </c>
      <c r="BE525" t="str">
        <f>IFERROR(IF(AND(Table9[[#This Row],[Team]]=I_TEAM,IFERROR(IF(MATCH(Table9[[#This Row],[Bowler]],$AR$5:AR524,0)&gt;0,0),1)),1,0),"")</f>
        <v/>
      </c>
      <c r="BF525">
        <f>(LEFT(Table9[[#This Row],[Overs]],IFERROR(FIND(".",Table9[[#This Row],[Overs]])-1,LEN(Table9[[#This Row],[Overs]])))*6) + IFERROR(IF(FIND(".",Table9[[#This Row],[Overs]])+1&gt;0,RIGHT(Table9[[#This Row],[Overs]],1),0),0)</f>
        <v>4</v>
      </c>
      <c r="BG52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525" t="e">
        <f>IF(Table9[[#This Row],[Team]]=I_TEAM,Table9[[#This Row],[Wickets]]*100-Table9[[#This Row],[Runs]],0)</f>
        <v>#REF!</v>
      </c>
      <c r="BI525">
        <f>Table9[[#This Row],[Wickets]]*100-Table9[[#This Row],[Runs]]</f>
        <v>-4</v>
      </c>
      <c r="BJ525">
        <f ca="1">IFERROR(IF(MATCH(Table9[[#This Row],[Bowler]],OFFSET(AR526,0,0,BOWLROWS-ROW(AR525)-ROW(Table9[[#Headers],[BOWLER CUML WICKETS]])),0)&gt;0,0,SUMIF($AR$6:AR590,Table9[[#This Row],[Bowler]],$AV$6:AV590)),SUMIF($AR$6:AR590,Table9[[#This Row],[Bowler]],$AV$6:AV590))</f>
        <v>0</v>
      </c>
      <c r="BK525">
        <f ca="1">IFERROR(IF(MATCH(Table9[[#This Row],[Bowler]],OFFSET(AR526,0,0,BOWLROWS-ROW(AR525)-ROW(Table9[[#Headers],[BOWLER CUML WICKETS]])),0)&gt;0,0,SUMIF($AR$6:AR590,Table9[[#This Row],[Bowler]],$AU$6:AU590)),SUMIF($AR$6:AR590,Table9[[#This Row],[Bowler]],$AU$6:AU590))</f>
        <v>4</v>
      </c>
      <c r="BL525">
        <f ca="1">Table9[[#This Row],[BOWLER CUML WICKETS]]*100-Table9[[#This Row],[BOWLER CUML RUNS]]</f>
        <v>-4</v>
      </c>
    </row>
    <row r="526" spans="1:64" x14ac:dyDescent="0.3">
      <c r="A526">
        <v>20</v>
      </c>
      <c r="B526" t="s">
        <v>149</v>
      </c>
      <c r="C526" t="s">
        <v>378</v>
      </c>
      <c r="D526" t="s">
        <v>506</v>
      </c>
      <c r="E526">
        <v>14</v>
      </c>
      <c r="F526">
        <v>10</v>
      </c>
      <c r="G526">
        <v>7</v>
      </c>
      <c r="H526">
        <v>1</v>
      </c>
      <c r="I526">
        <v>1</v>
      </c>
      <c r="J526">
        <v>200</v>
      </c>
      <c r="K526">
        <v>1</v>
      </c>
      <c r="L526" t="str">
        <f>CONCATENATE(T_BATTINGDATA[[#This Row],[Match]],T_BATTINGDATA[[#This Row],[Team]],T_BATTINGDATA[[#This Row],[Bat Number]])</f>
        <v>20Australia1</v>
      </c>
      <c r="M526" t="str">
        <f>IFERROR(IF(AND(T_BATTINGDATA[[#This Row],[Team]]=I_TEAM,IFERROR(IF(MATCH(T_BATTINGDATA[[#This Row],[BATSMAN NAME]],$O$5:O525,0)&gt;0,0),1)),1,0),"")</f>
        <v/>
      </c>
      <c r="N526" t="e">
        <f>IF(T_BATTINGDATA[[#This Row],[Team]]=I_TEAM,T_BATTINGDATA[[#This Row],[R]],0)</f>
        <v>#REF!</v>
      </c>
      <c r="O526" t="str">
        <f>LEFT(T_BATTINGDATA[[#This Row],[Batsman]],IFERROR(FIND("*",T_BATTINGDATA[[#This Row],[Batsman]])-1,IFERROR(FIND("†",T_BATTINGDATA[[#This Row],[Batsman]])-1,LEN(T_BATTINGDATA[[#This Row],[Batsman]]))))</f>
        <v>AJ Finch</v>
      </c>
      <c r="P526">
        <f ca="1">IFERROR(IF(MATCH(T_BATTINGDATA[[#This Row],[BATSMAN NAME]],OFFSET(O527,0,0,BATROWS-ROW(O526)-ROW(T_BATTINGDATA[[#Headers],[BATSMAN NAME]])),0)&gt;0,0,SUMIF($O$6:O526,T_BATTINGDATA[[#This Row],[BATSMAN NAME]],$E$6:E526)),SUMIF($O$6:O526,T_BATTINGDATA[[#This Row],[BATSMAN NAME]],$E$6:E526))</f>
        <v>0</v>
      </c>
      <c r="AP526">
        <v>36</v>
      </c>
      <c r="AQ526" t="s">
        <v>141</v>
      </c>
      <c r="AR526" t="s">
        <v>142</v>
      </c>
      <c r="AS526">
        <v>9</v>
      </c>
      <c r="AT526">
        <v>1</v>
      </c>
      <c r="AU526">
        <v>40</v>
      </c>
      <c r="AV526">
        <v>1</v>
      </c>
      <c r="AW526">
        <v>4.4400000000000004</v>
      </c>
      <c r="AX526">
        <v>39</v>
      </c>
      <c r="AY526">
        <v>6</v>
      </c>
      <c r="AZ526">
        <v>1</v>
      </c>
      <c r="BA526">
        <v>0</v>
      </c>
      <c r="BB526">
        <v>0</v>
      </c>
      <c r="BC526">
        <v>1</v>
      </c>
      <c r="BD526" t="str">
        <f>CONCATENATE(Table9[[#This Row],[Match Number]],Table9[[#This Row],[Team]],Table9[[#This Row],[BOWL NUM]])</f>
        <v>36South Africa1</v>
      </c>
      <c r="BE526" t="str">
        <f>IFERROR(IF(AND(Table9[[#This Row],[Team]]=I_TEAM,IFERROR(IF(MATCH(Table9[[#This Row],[Bowler]],$AR$5:AR525,0)&gt;0,0),1)),1,0),"")</f>
        <v/>
      </c>
      <c r="BF526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52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26" t="e">
        <f>IF(Table9[[#This Row],[Team]]=I_TEAM,Table9[[#This Row],[Wickets]]*100-Table9[[#This Row],[Runs]],0)</f>
        <v>#REF!</v>
      </c>
      <c r="BI526">
        <f>Table9[[#This Row],[Wickets]]*100-Table9[[#This Row],[Runs]]</f>
        <v>60</v>
      </c>
      <c r="BJ526">
        <f ca="1">IFERROR(IF(MATCH(Table9[[#This Row],[Bowler]],OFFSET(AR527,0,0,BOWLROWS-ROW(AR526)-ROW(Table9[[#Headers],[BOWLER CUML WICKETS]])),0)&gt;0,0,SUMIF($AR$6:AR526,Table9[[#This Row],[Bowler]],$AV$6:AV526)),SUMIF($AR$6:AR526,Table9[[#This Row],[Bowler]],$AV$6:AV526))</f>
        <v>11</v>
      </c>
      <c r="BK526">
        <f ca="1">IFERROR(IF(MATCH(Table9[[#This Row],[Bowler]],OFFSET(AR527,0,0,BOWLROWS-ROW(AR526)-ROW(Table9[[#Headers],[BOWLER CUML WICKETS]])),0)&gt;0,0,SUMIF($AR$6:AR526,Table9[[#This Row],[Bowler]],$AU$6:AU526)),SUMIF($AR$6:AR526,Table9[[#This Row],[Bowler]],$AU$6:AU526))</f>
        <v>346</v>
      </c>
      <c r="BL526">
        <f ca="1">Table9[[#This Row],[BOWLER CUML WICKETS]]*100-Table9[[#This Row],[BOWLER CUML RUNS]]</f>
        <v>754</v>
      </c>
    </row>
    <row r="527" spans="1:64" x14ac:dyDescent="0.3">
      <c r="A527">
        <v>20</v>
      </c>
      <c r="B527" t="s">
        <v>149</v>
      </c>
      <c r="C527" t="s">
        <v>376</v>
      </c>
      <c r="D527" t="s">
        <v>450</v>
      </c>
      <c r="E527">
        <v>34</v>
      </c>
      <c r="F527">
        <v>58</v>
      </c>
      <c r="G527">
        <v>42</v>
      </c>
      <c r="H527">
        <v>2</v>
      </c>
      <c r="I527">
        <v>1</v>
      </c>
      <c r="J527">
        <v>80.95</v>
      </c>
      <c r="K527">
        <v>2</v>
      </c>
      <c r="L527" t="str">
        <f>CONCATENATE(T_BATTINGDATA[[#This Row],[Match]],T_BATTINGDATA[[#This Row],[Team]],T_BATTINGDATA[[#This Row],[Bat Number]])</f>
        <v>20Australia2</v>
      </c>
      <c r="M527" t="str">
        <f>IFERROR(IF(AND(T_BATTINGDATA[[#This Row],[Team]]=I_TEAM,IFERROR(IF(MATCH(T_BATTINGDATA[[#This Row],[BATSMAN NAME]],$O$5:O526,0)&gt;0,0),1)),1,0),"")</f>
        <v/>
      </c>
      <c r="N527" t="e">
        <f>IF(T_BATTINGDATA[[#This Row],[Team]]=I_TEAM,T_BATTINGDATA[[#This Row],[R]],0)</f>
        <v>#REF!</v>
      </c>
      <c r="O527" t="str">
        <f>LEFT(T_BATTINGDATA[[#This Row],[Batsman]],IFERROR(FIND("*",T_BATTINGDATA[[#This Row],[Batsman]])-1,IFERROR(FIND("†",T_BATTINGDATA[[#This Row],[Batsman]])-1,LEN(T_BATTINGDATA[[#This Row],[Batsman]]))))</f>
        <v>DA Warner</v>
      </c>
      <c r="P527">
        <f ca="1">IFERROR(IF(MATCH(T_BATTINGDATA[[#This Row],[BATSMAN NAME]],OFFSET(O528,0,0,BATROWS-ROW(O527)-ROW(T_BATTINGDATA[[#Headers],[BATSMAN NAME]])),0)&gt;0,0,SUMIF($O$6:O527,T_BATTINGDATA[[#This Row],[BATSMAN NAME]],$E$6:E527)),SUMIF($O$6:O527,T_BATTINGDATA[[#This Row],[BATSMAN NAME]],$E$6:E527))</f>
        <v>0</v>
      </c>
      <c r="AP527">
        <v>36</v>
      </c>
      <c r="AQ527" t="s">
        <v>141</v>
      </c>
      <c r="AR527" t="s">
        <v>146</v>
      </c>
      <c r="AS527">
        <v>8.3000000000000007</v>
      </c>
      <c r="AT527">
        <v>1</v>
      </c>
      <c r="AU527">
        <v>34</v>
      </c>
      <c r="AV527">
        <v>2</v>
      </c>
      <c r="AW527">
        <v>4</v>
      </c>
      <c r="AX527">
        <v>36</v>
      </c>
      <c r="AY527">
        <v>5</v>
      </c>
      <c r="AZ527">
        <v>0</v>
      </c>
      <c r="BA527">
        <v>1</v>
      </c>
      <c r="BB527">
        <v>1</v>
      </c>
      <c r="BC527">
        <v>2</v>
      </c>
      <c r="BD527" t="str">
        <f>CONCATENATE(Table9[[#This Row],[Match Number]],Table9[[#This Row],[Team]],Table9[[#This Row],[BOWL NUM]])</f>
        <v>36South Africa2</v>
      </c>
      <c r="BE527" t="str">
        <f>IFERROR(IF(AND(Table9[[#This Row],[Team]]=I_TEAM,IFERROR(IF(MATCH(Table9[[#This Row],[Bowler]],$AR$5:AR526,0)&gt;0,0),1)),1,0),"")</f>
        <v/>
      </c>
      <c r="BF527">
        <f>(LEFT(Table9[[#This Row],[Overs]],IFERROR(FIND(".",Table9[[#This Row],[Overs]])-1,LEN(Table9[[#This Row],[Overs]])))*6) + IFERROR(IF(FIND(".",Table9[[#This Row],[Overs]])+1&gt;0,RIGHT(Table9[[#This Row],[Overs]],1),0),0)</f>
        <v>51</v>
      </c>
      <c r="BG52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27" t="e">
        <f>IF(Table9[[#This Row],[Team]]=I_TEAM,Table9[[#This Row],[Wickets]]*100-Table9[[#This Row],[Runs]],0)</f>
        <v>#REF!</v>
      </c>
      <c r="BI527">
        <f>Table9[[#This Row],[Wickets]]*100-Table9[[#This Row],[Runs]]</f>
        <v>166</v>
      </c>
      <c r="BJ527">
        <f ca="1">IFERROR(IF(MATCH(Table9[[#This Row],[Bowler]],OFFSET(AR528,0,0,BOWLROWS-ROW(AR527)-ROW(Table9[[#Headers],[BOWLER CUML WICKETS]])),0)&gt;0,0,SUMIF($AR$6:AR527,Table9[[#This Row],[Bowler]],$AV$6:AV527)),SUMIF($AR$6:AR527,Table9[[#This Row],[Bowler]],$AV$6:AV527))</f>
        <v>4</v>
      </c>
      <c r="BK527">
        <f ca="1">IFERROR(IF(MATCH(Table9[[#This Row],[Bowler]],OFFSET(AR528,0,0,BOWLROWS-ROW(AR527)-ROW(Table9[[#Headers],[BOWLER CUML WICKETS]])),0)&gt;0,0,SUMIF($AR$6:AR527,Table9[[#This Row],[Bowler]],$AU$6:AU527)),SUMIF($AR$6:AR527,Table9[[#This Row],[Bowler]],$AU$6:AU527))</f>
        <v>135</v>
      </c>
      <c r="BL527">
        <f ca="1">Table9[[#This Row],[BOWLER CUML WICKETS]]*100-Table9[[#This Row],[BOWLER CUML RUNS]]</f>
        <v>265</v>
      </c>
    </row>
    <row r="528" spans="1:64" x14ac:dyDescent="0.3">
      <c r="A528">
        <v>20</v>
      </c>
      <c r="B528" t="s">
        <v>149</v>
      </c>
      <c r="C528" t="s">
        <v>327</v>
      </c>
      <c r="D528" t="s">
        <v>687</v>
      </c>
      <c r="E528">
        <v>23</v>
      </c>
      <c r="F528">
        <v>44</v>
      </c>
      <c r="G528">
        <v>30</v>
      </c>
      <c r="H528">
        <v>2</v>
      </c>
      <c r="I528">
        <v>0</v>
      </c>
      <c r="J528">
        <v>76.66</v>
      </c>
      <c r="K528">
        <v>3</v>
      </c>
      <c r="L528" t="str">
        <f>CONCATENATE(T_BATTINGDATA[[#This Row],[Match]],T_BATTINGDATA[[#This Row],[Team]],T_BATTINGDATA[[#This Row],[Bat Number]])</f>
        <v>20Australia3</v>
      </c>
      <c r="M528" t="str">
        <f>IFERROR(IF(AND(T_BATTINGDATA[[#This Row],[Team]]=I_TEAM,IFERROR(IF(MATCH(T_BATTINGDATA[[#This Row],[BATSMAN NAME]],$O$5:O527,0)&gt;0,0),1)),1,0),"")</f>
        <v/>
      </c>
      <c r="N528" t="e">
        <f>IF(T_BATTINGDATA[[#This Row],[Team]]=I_TEAM,T_BATTINGDATA[[#This Row],[R]],0)</f>
        <v>#REF!</v>
      </c>
      <c r="O528" t="str">
        <f>LEFT(T_BATTINGDATA[[#This Row],[Batsman]],IFERROR(FIND("*",T_BATTINGDATA[[#This Row],[Batsman]])-1,IFERROR(FIND("†",T_BATTINGDATA[[#This Row],[Batsman]])-1,LEN(T_BATTINGDATA[[#This Row],[Batsman]]))))</f>
        <v>SR Watson</v>
      </c>
      <c r="P528">
        <f ca="1">IFERROR(IF(MATCH(T_BATTINGDATA[[#This Row],[BATSMAN NAME]],OFFSET(O529,0,0,BATROWS-ROW(O528)-ROW(T_BATTINGDATA[[#Headers],[BATSMAN NAME]])),0)&gt;0,0,SUMIF($O$6:O528,T_BATTINGDATA[[#This Row],[BATSMAN NAME]],$E$6:E528)),SUMIF($O$6:O528,T_BATTINGDATA[[#This Row],[BATSMAN NAME]],$E$6:E528))</f>
        <v>0</v>
      </c>
      <c r="AP528">
        <v>36</v>
      </c>
      <c r="AQ528" t="s">
        <v>141</v>
      </c>
      <c r="AR528" t="s">
        <v>155</v>
      </c>
      <c r="AS528">
        <v>10</v>
      </c>
      <c r="AT528">
        <v>2</v>
      </c>
      <c r="AU528">
        <v>23</v>
      </c>
      <c r="AV528">
        <v>2</v>
      </c>
      <c r="AW528">
        <v>2.2999999999999998</v>
      </c>
      <c r="AX528">
        <v>45</v>
      </c>
      <c r="AY528">
        <v>1</v>
      </c>
      <c r="AZ528">
        <v>0</v>
      </c>
      <c r="BA528">
        <v>1</v>
      </c>
      <c r="BB528">
        <v>2</v>
      </c>
      <c r="BC528">
        <v>3</v>
      </c>
      <c r="BD528" t="str">
        <f>CONCATENATE(Table9[[#This Row],[Match Number]],Table9[[#This Row],[Team]],Table9[[#This Row],[BOWL NUM]])</f>
        <v>36South Africa3</v>
      </c>
      <c r="BE528" t="str">
        <f>IFERROR(IF(AND(Table9[[#This Row],[Team]]=I_TEAM,IFERROR(IF(MATCH(Table9[[#This Row],[Bowler]],$AR$5:AR527,0)&gt;0,0),1)),1,0),"")</f>
        <v/>
      </c>
      <c r="BF52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2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28" t="e">
        <f>IF(Table9[[#This Row],[Team]]=I_TEAM,Table9[[#This Row],[Wickets]]*100-Table9[[#This Row],[Runs]],0)</f>
        <v>#REF!</v>
      </c>
      <c r="BI528">
        <f>Table9[[#This Row],[Wickets]]*100-Table9[[#This Row],[Runs]]</f>
        <v>177</v>
      </c>
      <c r="BJ528">
        <f ca="1">IFERROR(IF(MATCH(Table9[[#This Row],[Bowler]],OFFSET(AR529,0,0,BOWLROWS-ROW(AR528)-ROW(Table9[[#Headers],[BOWLER CUML WICKETS]])),0)&gt;0,0,SUMIF($AR$6:AR528,Table9[[#This Row],[Bowler]],$AV$6:AV528)),SUMIF($AR$6:AR528,Table9[[#This Row],[Bowler]],$AV$6:AV528))</f>
        <v>17</v>
      </c>
      <c r="BK528">
        <f ca="1">IFERROR(IF(MATCH(Table9[[#This Row],[Bowler]],OFFSET(AR529,0,0,BOWLROWS-ROW(AR528)-ROW(Table9[[#Headers],[BOWLER CUML WICKETS]])),0)&gt;0,0,SUMIF($AR$6:AR528,Table9[[#This Row],[Bowler]],$AU$6:AU528)),SUMIF($AR$6:AR528,Table9[[#This Row],[Bowler]],$AU$6:AU528))</f>
        <v>299</v>
      </c>
      <c r="BL528">
        <f ca="1">Table9[[#This Row],[BOWLER CUML WICKETS]]*100-Table9[[#This Row],[BOWLER CUML RUNS]]</f>
        <v>1401</v>
      </c>
    </row>
    <row r="529" spans="1:64" x14ac:dyDescent="0.3">
      <c r="A529">
        <v>20</v>
      </c>
      <c r="B529" t="s">
        <v>149</v>
      </c>
      <c r="C529" t="s">
        <v>580</v>
      </c>
      <c r="D529" t="s">
        <v>507</v>
      </c>
      <c r="E529">
        <v>12</v>
      </c>
      <c r="F529">
        <v>37</v>
      </c>
      <c r="G529">
        <v>18</v>
      </c>
      <c r="H529">
        <v>1</v>
      </c>
      <c r="I529">
        <v>0</v>
      </c>
      <c r="J529">
        <v>66.66</v>
      </c>
      <c r="K529">
        <v>4</v>
      </c>
      <c r="L529" t="str">
        <f>CONCATENATE(T_BATTINGDATA[[#This Row],[Match]],T_BATTINGDATA[[#This Row],[Team]],T_BATTINGDATA[[#This Row],[Bat Number]])</f>
        <v>20Australia4</v>
      </c>
      <c r="M529" t="str">
        <f>IFERROR(IF(AND(T_BATTINGDATA[[#This Row],[Team]]=I_TEAM,IFERROR(IF(MATCH(T_BATTINGDATA[[#This Row],[BATSMAN NAME]],$O$5:O528,0)&gt;0,0),1)),1,0),"")</f>
        <v/>
      </c>
      <c r="N529" t="e">
        <f>IF(T_BATTINGDATA[[#This Row],[Team]]=I_TEAM,T_BATTINGDATA[[#This Row],[R]],0)</f>
        <v>#REF!</v>
      </c>
      <c r="O529" t="str">
        <f>LEFT(T_BATTINGDATA[[#This Row],[Batsman]],IFERROR(FIND("*",T_BATTINGDATA[[#This Row],[Batsman]])-1,IFERROR(FIND("†",T_BATTINGDATA[[#This Row],[Batsman]])-1,LEN(T_BATTINGDATA[[#This Row],[Batsman]]))))</f>
        <v>MJ Clarke</v>
      </c>
      <c r="P529">
        <f ca="1">IFERROR(IF(MATCH(T_BATTINGDATA[[#This Row],[BATSMAN NAME]],OFFSET(O530,0,0,BATROWS-ROW(O529)-ROW(T_BATTINGDATA[[#Headers],[BATSMAN NAME]])),0)&gt;0,0,SUMIF($O$6:O529,T_BATTINGDATA[[#This Row],[BATSMAN NAME]],$E$6:E529)),SUMIF($O$6:O529,T_BATTINGDATA[[#This Row],[BATSMAN NAME]],$E$6:E529))</f>
        <v>0</v>
      </c>
      <c r="AP529">
        <v>36</v>
      </c>
      <c r="AQ529" t="s">
        <v>141</v>
      </c>
      <c r="AR529" t="s">
        <v>150</v>
      </c>
      <c r="AS529">
        <v>3</v>
      </c>
      <c r="AT529">
        <v>1</v>
      </c>
      <c r="AU529">
        <v>12</v>
      </c>
      <c r="AV529">
        <v>1</v>
      </c>
      <c r="AW529">
        <v>4</v>
      </c>
      <c r="AX529">
        <v>13</v>
      </c>
      <c r="AY529">
        <v>2</v>
      </c>
      <c r="AZ529">
        <v>0</v>
      </c>
      <c r="BA529">
        <v>0</v>
      </c>
      <c r="BB529">
        <v>0</v>
      </c>
      <c r="BC529">
        <v>4</v>
      </c>
      <c r="BD529" t="str">
        <f>CONCATENATE(Table9[[#This Row],[Match Number]],Table9[[#This Row],[Team]],Table9[[#This Row],[BOWL NUM]])</f>
        <v>36South Africa4</v>
      </c>
      <c r="BE529" t="str">
        <f>IFERROR(IF(AND(Table9[[#This Row],[Team]]=I_TEAM,IFERROR(IF(MATCH(Table9[[#This Row],[Bowler]],$AR$5:AR528,0)&gt;0,0),1)),1,0),"")</f>
        <v/>
      </c>
      <c r="BF529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52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29" t="e">
        <f>IF(Table9[[#This Row],[Team]]=I_TEAM,Table9[[#This Row],[Wickets]]*100-Table9[[#This Row],[Runs]],0)</f>
        <v>#REF!</v>
      </c>
      <c r="BI529">
        <f>Table9[[#This Row],[Wickets]]*100-Table9[[#This Row],[Runs]]</f>
        <v>88</v>
      </c>
      <c r="BJ529">
        <f ca="1">IFERROR(IF(MATCH(Table9[[#This Row],[Bowler]],OFFSET(AR530,0,0,BOWLROWS-ROW(AR529)-ROW(Table9[[#Headers],[BOWLER CUML WICKETS]])),0)&gt;0,0,SUMIF($AR$6:AR529,Table9[[#This Row],[Bowler]],$AV$6:AV529)),SUMIF($AR$6:AR529,Table9[[#This Row],[Bowler]],$AV$6:AV529))</f>
        <v>6</v>
      </c>
      <c r="BK529">
        <f ca="1">IFERROR(IF(MATCH(Table9[[#This Row],[Bowler]],OFFSET(AR530,0,0,BOWLROWS-ROW(AR529)-ROW(Table9[[#Headers],[BOWLER CUML WICKETS]])),0)&gt;0,0,SUMIF($AR$6:AR529,Table9[[#This Row],[Bowler]],$AU$6:AU529)),SUMIF($AR$6:AR529,Table9[[#This Row],[Bowler]],$AU$6:AU529))</f>
        <v>202</v>
      </c>
      <c r="BL529">
        <f ca="1">Table9[[#This Row],[BOWLER CUML WICKETS]]*100-Table9[[#This Row],[BOWLER CUML RUNS]]</f>
        <v>398</v>
      </c>
    </row>
    <row r="530" spans="1:64" x14ac:dyDescent="0.3">
      <c r="A530">
        <v>20</v>
      </c>
      <c r="B530" t="s">
        <v>149</v>
      </c>
      <c r="C530" t="s">
        <v>331</v>
      </c>
      <c r="D530" t="s">
        <v>367</v>
      </c>
      <c r="E530">
        <v>4</v>
      </c>
      <c r="F530">
        <v>17</v>
      </c>
      <c r="G530">
        <v>11</v>
      </c>
      <c r="H530">
        <v>0</v>
      </c>
      <c r="I530">
        <v>0</v>
      </c>
      <c r="J530">
        <v>36.36</v>
      </c>
      <c r="K530">
        <v>5</v>
      </c>
      <c r="L530" t="str">
        <f>CONCATENATE(T_BATTINGDATA[[#This Row],[Match]],T_BATTINGDATA[[#This Row],[Team]],T_BATTINGDATA[[#This Row],[Bat Number]])</f>
        <v>20Australia5</v>
      </c>
      <c r="M530" t="str">
        <f>IFERROR(IF(AND(T_BATTINGDATA[[#This Row],[Team]]=I_TEAM,IFERROR(IF(MATCH(T_BATTINGDATA[[#This Row],[BATSMAN NAME]],$O$5:O529,0)&gt;0,0),1)),1,0),"")</f>
        <v/>
      </c>
      <c r="N530" t="e">
        <f>IF(T_BATTINGDATA[[#This Row],[Team]]=I_TEAM,T_BATTINGDATA[[#This Row],[R]],0)</f>
        <v>#REF!</v>
      </c>
      <c r="O530" t="str">
        <f>LEFT(T_BATTINGDATA[[#This Row],[Batsman]],IFERROR(FIND("*",T_BATTINGDATA[[#This Row],[Batsman]])-1,IFERROR(FIND("†",T_BATTINGDATA[[#This Row],[Batsman]])-1,LEN(T_BATTINGDATA[[#This Row],[Batsman]]))))</f>
        <v>SPD Smith</v>
      </c>
      <c r="P530">
        <f ca="1">IFERROR(IF(MATCH(T_BATTINGDATA[[#This Row],[BATSMAN NAME]],OFFSET(O531,0,0,BATROWS-ROW(O530)-ROW(T_BATTINGDATA[[#Headers],[BATSMAN NAME]])),0)&gt;0,0,SUMIF($O$6:O530,T_BATTINGDATA[[#This Row],[BATSMAN NAME]],$E$6:E530)),SUMIF($O$6:O530,T_BATTINGDATA[[#This Row],[BATSMAN NAME]],$E$6:E530))</f>
        <v>0</v>
      </c>
      <c r="AP530">
        <v>36</v>
      </c>
      <c r="AQ530" t="s">
        <v>141</v>
      </c>
      <c r="AR530" t="s">
        <v>345</v>
      </c>
      <c r="AS530">
        <v>4</v>
      </c>
      <c r="AT530">
        <v>1</v>
      </c>
      <c r="AU530">
        <v>11</v>
      </c>
      <c r="AV530">
        <v>0</v>
      </c>
      <c r="AW530">
        <v>2.75</v>
      </c>
      <c r="AX530">
        <v>16</v>
      </c>
      <c r="AY530">
        <v>0</v>
      </c>
      <c r="AZ530">
        <v>0</v>
      </c>
      <c r="BA530">
        <v>2</v>
      </c>
      <c r="BB530">
        <v>0</v>
      </c>
      <c r="BC530">
        <v>5</v>
      </c>
      <c r="BD530" t="str">
        <f>CONCATENATE(Table9[[#This Row],[Match Number]],Table9[[#This Row],[Team]],Table9[[#This Row],[BOWL NUM]])</f>
        <v>36South Africa5</v>
      </c>
      <c r="BE530" t="str">
        <f>IFERROR(IF(AND(Table9[[#This Row],[Team]]=I_TEAM,IFERROR(IF(MATCH(Table9[[#This Row],[Bowler]],$AR$5:AR529,0)&gt;0,0),1)),1,0),"")</f>
        <v/>
      </c>
      <c r="BF530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53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30" t="e">
        <f>IF(Table9[[#This Row],[Team]]=I_TEAM,Table9[[#This Row],[Wickets]]*100-Table9[[#This Row],[Runs]],0)</f>
        <v>#REF!</v>
      </c>
      <c r="BI530">
        <f>Table9[[#This Row],[Wickets]]*100-Table9[[#This Row],[Runs]]</f>
        <v>-11</v>
      </c>
      <c r="BJ530">
        <f ca="1">IFERROR(IF(MATCH(Table9[[#This Row],[Bowler]],OFFSET(AR531,0,0,BOWLROWS-ROW(AR530)-ROW(Table9[[#Headers],[BOWLER CUML WICKETS]])),0)&gt;0,0,SUMIF($AR$6:AR530,Table9[[#This Row],[Bowler]],$AV$6:AV530)),SUMIF($AR$6:AR530,Table9[[#This Row],[Bowler]],$AV$6:AV530))</f>
        <v>0</v>
      </c>
      <c r="BK530">
        <f ca="1">IFERROR(IF(MATCH(Table9[[#This Row],[Bowler]],OFFSET(AR531,0,0,BOWLROWS-ROW(AR530)-ROW(Table9[[#Headers],[BOWLER CUML WICKETS]])),0)&gt;0,0,SUMIF($AR$6:AR530,Table9[[#This Row],[Bowler]],$AU$6:AU530)),SUMIF($AR$6:AR530,Table9[[#This Row],[Bowler]],$AU$6:AU530))</f>
        <v>64</v>
      </c>
      <c r="BL530">
        <f ca="1">Table9[[#This Row],[BOWLER CUML WICKETS]]*100-Table9[[#This Row],[BOWLER CUML RUNS]]</f>
        <v>-64</v>
      </c>
    </row>
    <row r="531" spans="1:64" x14ac:dyDescent="0.3">
      <c r="A531">
        <v>20</v>
      </c>
      <c r="B531" t="s">
        <v>149</v>
      </c>
      <c r="C531" t="s">
        <v>329</v>
      </c>
      <c r="D531" t="s">
        <v>362</v>
      </c>
      <c r="E531">
        <v>1</v>
      </c>
      <c r="F531">
        <v>4</v>
      </c>
      <c r="G531">
        <v>3</v>
      </c>
      <c r="H531">
        <v>0</v>
      </c>
      <c r="I531">
        <v>0</v>
      </c>
      <c r="J531">
        <v>33.33</v>
      </c>
      <c r="K531">
        <v>6</v>
      </c>
      <c r="L531" t="str">
        <f>CONCATENATE(T_BATTINGDATA[[#This Row],[Match]],T_BATTINGDATA[[#This Row],[Team]],T_BATTINGDATA[[#This Row],[Bat Number]])</f>
        <v>20Australia6</v>
      </c>
      <c r="M531" t="str">
        <f>IFERROR(IF(AND(T_BATTINGDATA[[#This Row],[Team]]=I_TEAM,IFERROR(IF(MATCH(T_BATTINGDATA[[#This Row],[BATSMAN NAME]],$O$5:O530,0)&gt;0,0),1)),1,0),"")</f>
        <v/>
      </c>
      <c r="N531" t="e">
        <f>IF(T_BATTINGDATA[[#This Row],[Team]]=I_TEAM,T_BATTINGDATA[[#This Row],[R]],0)</f>
        <v>#REF!</v>
      </c>
      <c r="O531" t="str">
        <f>LEFT(T_BATTINGDATA[[#This Row],[Batsman]],IFERROR(FIND("*",T_BATTINGDATA[[#This Row],[Batsman]])-1,IFERROR(FIND("†",T_BATTINGDATA[[#This Row],[Batsman]])-1,LEN(T_BATTINGDATA[[#This Row],[Batsman]]))))</f>
        <v>GJ Maxwell</v>
      </c>
      <c r="P531">
        <f ca="1">IFERROR(IF(MATCH(T_BATTINGDATA[[#This Row],[BATSMAN NAME]],OFFSET(O532,0,0,BATROWS-ROW(O531)-ROW(T_BATTINGDATA[[#Headers],[BATSMAN NAME]])),0)&gt;0,0,SUMIF($O$6:O531,T_BATTINGDATA[[#This Row],[BATSMAN NAME]],$E$6:E531)),SUMIF($O$6:O531,T_BATTINGDATA[[#This Row],[BATSMAN NAME]],$E$6:E531))</f>
        <v>0</v>
      </c>
      <c r="AP531">
        <v>36</v>
      </c>
      <c r="AQ531" t="s">
        <v>141</v>
      </c>
      <c r="AR531" t="s">
        <v>159</v>
      </c>
      <c r="AS531">
        <v>10</v>
      </c>
      <c r="AT531">
        <v>0</v>
      </c>
      <c r="AU531">
        <v>40</v>
      </c>
      <c r="AV531">
        <v>1</v>
      </c>
      <c r="AW531">
        <v>4</v>
      </c>
      <c r="AX531">
        <v>35</v>
      </c>
      <c r="AY531">
        <v>4</v>
      </c>
      <c r="AZ531">
        <v>0</v>
      </c>
      <c r="BA531">
        <v>1</v>
      </c>
      <c r="BB531">
        <v>0</v>
      </c>
      <c r="BC531">
        <v>6</v>
      </c>
      <c r="BD531" t="str">
        <f>CONCATENATE(Table9[[#This Row],[Match Number]],Table9[[#This Row],[Team]],Table9[[#This Row],[BOWL NUM]])</f>
        <v>36South Africa6</v>
      </c>
      <c r="BE531" t="str">
        <f>IFERROR(IF(AND(Table9[[#This Row],[Team]]=I_TEAM,IFERROR(IF(MATCH(Table9[[#This Row],[Bowler]],$AR$5:AR530,0)&gt;0,0),1)),1,0),"")</f>
        <v/>
      </c>
      <c r="BF53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3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31" t="e">
        <f>IF(Table9[[#This Row],[Team]]=I_TEAM,Table9[[#This Row],[Wickets]]*100-Table9[[#This Row],[Runs]],0)</f>
        <v>#REF!</v>
      </c>
      <c r="BI531">
        <f>Table9[[#This Row],[Wickets]]*100-Table9[[#This Row],[Runs]]</f>
        <v>60</v>
      </c>
      <c r="BJ531">
        <f ca="1">IFERROR(IF(MATCH(Table9[[#This Row],[Bowler]],OFFSET(AR532,0,0,BOWLROWS-ROW(AR531)-ROW(Table9[[#Headers],[BOWLER CUML WICKETS]])),0)&gt;0,0,SUMIF($AR$6:AR531,Table9[[#This Row],[Bowler]],$AV$6:AV531)),SUMIF($AR$6:AR531,Table9[[#This Row],[Bowler]],$AV$6:AV531))</f>
        <v>15</v>
      </c>
      <c r="BK531">
        <f ca="1">IFERROR(IF(MATCH(Table9[[#This Row],[Bowler]],OFFSET(AR532,0,0,BOWLROWS-ROW(AR531)-ROW(Table9[[#Headers],[BOWLER CUML WICKETS]])),0)&gt;0,0,SUMIF($AR$6:AR531,Table9[[#This Row],[Bowler]],$AU$6:AU531)),SUMIF($AR$6:AR531,Table9[[#This Row],[Bowler]],$AU$6:AU531))</f>
        <v>323</v>
      </c>
      <c r="BL531">
        <f ca="1">Table9[[#This Row],[BOWLER CUML WICKETS]]*100-Table9[[#This Row],[BOWLER CUML RUNS]]</f>
        <v>1177</v>
      </c>
    </row>
    <row r="532" spans="1:64" x14ac:dyDescent="0.3">
      <c r="A532">
        <v>20</v>
      </c>
      <c r="B532" t="s">
        <v>149</v>
      </c>
      <c r="C532" t="s">
        <v>325</v>
      </c>
      <c r="D532" t="s">
        <v>362</v>
      </c>
      <c r="E532">
        <v>0</v>
      </c>
      <c r="F532">
        <v>3</v>
      </c>
      <c r="G532">
        <v>2</v>
      </c>
      <c r="H532">
        <v>0</v>
      </c>
      <c r="I532">
        <v>0</v>
      </c>
      <c r="J532">
        <v>0</v>
      </c>
      <c r="K532">
        <v>7</v>
      </c>
      <c r="L532" t="str">
        <f>CONCATENATE(T_BATTINGDATA[[#This Row],[Match]],T_BATTINGDATA[[#This Row],[Team]],T_BATTINGDATA[[#This Row],[Bat Number]])</f>
        <v>20Australia7</v>
      </c>
      <c r="M532" t="str">
        <f>IFERROR(IF(AND(T_BATTINGDATA[[#This Row],[Team]]=I_TEAM,IFERROR(IF(MATCH(T_BATTINGDATA[[#This Row],[BATSMAN NAME]],$O$5:O531,0)&gt;0,0),1)),1,0),"")</f>
        <v/>
      </c>
      <c r="N532" t="e">
        <f>IF(T_BATTINGDATA[[#This Row],[Team]]=I_TEAM,T_BATTINGDATA[[#This Row],[R]],0)</f>
        <v>#REF!</v>
      </c>
      <c r="O532" t="str">
        <f>LEFT(T_BATTINGDATA[[#This Row],[Batsman]],IFERROR(FIND("*",T_BATTINGDATA[[#This Row],[Batsman]])-1,IFERROR(FIND("†",T_BATTINGDATA[[#This Row],[Batsman]])-1,LEN(T_BATTINGDATA[[#This Row],[Batsman]]))))</f>
        <v>MR Marsh</v>
      </c>
      <c r="P532">
        <f ca="1">IFERROR(IF(MATCH(T_BATTINGDATA[[#This Row],[BATSMAN NAME]],OFFSET(O533,0,0,BATROWS-ROW(O532)-ROW(T_BATTINGDATA[[#Headers],[BATSMAN NAME]])),0)&gt;0,0,SUMIF($O$6:O532,T_BATTINGDATA[[#This Row],[BATSMAN NAME]],$E$6:E532)),SUMIF($O$6:O532,T_BATTINGDATA[[#This Row],[BATSMAN NAME]],$E$6:E532))</f>
        <v>0</v>
      </c>
      <c r="AP532">
        <v>36</v>
      </c>
      <c r="AQ532" t="s">
        <v>141</v>
      </c>
      <c r="AR532" t="s">
        <v>532</v>
      </c>
      <c r="AS532">
        <v>3</v>
      </c>
      <c r="AT532">
        <v>0</v>
      </c>
      <c r="AU532">
        <v>15</v>
      </c>
      <c r="AV532">
        <v>2</v>
      </c>
      <c r="AW532">
        <v>5</v>
      </c>
      <c r="AX532">
        <v>10</v>
      </c>
      <c r="AY532">
        <v>2</v>
      </c>
      <c r="AZ532">
        <v>0</v>
      </c>
      <c r="BA532">
        <v>1</v>
      </c>
      <c r="BB532">
        <v>0</v>
      </c>
      <c r="BC532">
        <v>7</v>
      </c>
      <c r="BD532" t="str">
        <f>CONCATENATE(Table9[[#This Row],[Match Number]],Table9[[#This Row],[Team]],Table9[[#This Row],[BOWL NUM]])</f>
        <v>36South Africa7</v>
      </c>
      <c r="BE532" t="str">
        <f>IFERROR(IF(AND(Table9[[#This Row],[Team]]=I_TEAM,IFERROR(IF(MATCH(Table9[[#This Row],[Bowler]],$AR$5:AR531,0)&gt;0,0),1)),1,0),"")</f>
        <v/>
      </c>
      <c r="BF532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53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32" t="e">
        <f>IF(Table9[[#This Row],[Team]]=I_TEAM,Table9[[#This Row],[Wickets]]*100-Table9[[#This Row],[Runs]],0)</f>
        <v>#REF!</v>
      </c>
      <c r="BI532">
        <f>Table9[[#This Row],[Wickets]]*100-Table9[[#This Row],[Runs]]</f>
        <v>185</v>
      </c>
      <c r="BJ532">
        <f ca="1">IFERROR(IF(MATCH(Table9[[#This Row],[Bowler]],OFFSET(AR533,0,0,BOWLROWS-ROW(AR532)-ROW(Table9[[#Headers],[BOWLER CUML WICKETS]])),0)&gt;0,0,SUMIF($AR$6:AR590,Table9[[#This Row],[Bowler]],$AV$6:AV590)),SUMIF($AR$6:AR590,Table9[[#This Row],[Bowler]],$AV$6:AV590))</f>
        <v>4</v>
      </c>
      <c r="BK532">
        <f ca="1">IFERROR(IF(MATCH(Table9[[#This Row],[Bowler]],OFFSET(AR533,0,0,BOWLROWS-ROW(AR532)-ROW(Table9[[#Headers],[BOWLER CUML WICKETS]])),0)&gt;0,0,SUMIF($AR$6:AR590,Table9[[#This Row],[Bowler]],$AU$6:AU590)),SUMIF($AR$6:AR590,Table9[[#This Row],[Bowler]],$AU$6:AU590))</f>
        <v>86</v>
      </c>
      <c r="BL532">
        <f ca="1">Table9[[#This Row],[BOWLER CUML WICKETS]]*100-Table9[[#This Row],[BOWLER CUML RUNS]]</f>
        <v>314</v>
      </c>
    </row>
    <row r="533" spans="1:64" x14ac:dyDescent="0.3">
      <c r="A533">
        <v>20</v>
      </c>
      <c r="B533" t="s">
        <v>149</v>
      </c>
      <c r="C533" t="s">
        <v>391</v>
      </c>
      <c r="D533" t="s">
        <v>688</v>
      </c>
      <c r="E533">
        <v>43</v>
      </c>
      <c r="F533">
        <v>70</v>
      </c>
      <c r="G533">
        <v>41</v>
      </c>
      <c r="H533">
        <v>4</v>
      </c>
      <c r="I533">
        <v>2</v>
      </c>
      <c r="J533">
        <v>104.87</v>
      </c>
      <c r="K533">
        <v>8</v>
      </c>
      <c r="L533" t="str">
        <f>CONCATENATE(T_BATTINGDATA[[#This Row],[Match]],T_BATTINGDATA[[#This Row],[Team]],T_BATTINGDATA[[#This Row],[Bat Number]])</f>
        <v>20Australia8</v>
      </c>
      <c r="M533" t="str">
        <f>IFERROR(IF(AND(T_BATTINGDATA[[#This Row],[Team]]=I_TEAM,IFERROR(IF(MATCH(T_BATTINGDATA[[#This Row],[BATSMAN NAME]],$O$5:O532,0)&gt;0,0),1)),1,0),"")</f>
        <v/>
      </c>
      <c r="N533" t="e">
        <f>IF(T_BATTINGDATA[[#This Row],[Team]]=I_TEAM,T_BATTINGDATA[[#This Row],[R]],0)</f>
        <v>#REF!</v>
      </c>
      <c r="O533" t="str">
        <f>LEFT(T_BATTINGDATA[[#This Row],[Batsman]],IFERROR(FIND("*",T_BATTINGDATA[[#This Row],[Batsman]])-1,IFERROR(FIND("†",T_BATTINGDATA[[#This Row],[Batsman]])-1,LEN(T_BATTINGDATA[[#This Row],[Batsman]]))))</f>
        <v>BJ Haddin</v>
      </c>
      <c r="P533">
        <f ca="1">IFERROR(IF(MATCH(T_BATTINGDATA[[#This Row],[BATSMAN NAME]],OFFSET(O534,0,0,BATROWS-ROW(O533)-ROW(T_BATTINGDATA[[#Headers],[BATSMAN NAME]])),0)&gt;0,0,SUMIF($O$6:O533,T_BATTINGDATA[[#This Row],[BATSMAN NAME]],$E$6:E533)),SUMIF($O$6:O533,T_BATTINGDATA[[#This Row],[BATSMAN NAME]],$E$6:E533))</f>
        <v>0</v>
      </c>
      <c r="AP533">
        <v>37</v>
      </c>
      <c r="AQ533" t="s">
        <v>140</v>
      </c>
      <c r="AR533" t="s">
        <v>297</v>
      </c>
      <c r="AS533">
        <v>10</v>
      </c>
      <c r="AT533">
        <v>1</v>
      </c>
      <c r="AU533">
        <v>51</v>
      </c>
      <c r="AV533">
        <v>0</v>
      </c>
      <c r="AW533">
        <v>5.0999999999999996</v>
      </c>
      <c r="AX533">
        <v>36</v>
      </c>
      <c r="AY533">
        <v>8</v>
      </c>
      <c r="AZ533">
        <v>0</v>
      </c>
      <c r="BA533">
        <v>0</v>
      </c>
      <c r="BB533">
        <v>0</v>
      </c>
      <c r="BC533">
        <v>1</v>
      </c>
      <c r="BD533" t="str">
        <f>CONCATENATE(Table9[[#This Row],[Match Number]],Table9[[#This Row],[Team]],Table9[[#This Row],[BOWL NUM]])</f>
        <v>37New Zealand1</v>
      </c>
      <c r="BE533" t="str">
        <f>IFERROR(IF(AND(Table9[[#This Row],[Team]]=I_TEAM,IFERROR(IF(MATCH(Table9[[#This Row],[Bowler]],$AR$5:AR532,0)&gt;0,0),1)),1,0),"")</f>
        <v/>
      </c>
      <c r="BF53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3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533" t="e">
        <f>IF(Table9[[#This Row],[Team]]=I_TEAM,Table9[[#This Row],[Wickets]]*100-Table9[[#This Row],[Runs]],0)</f>
        <v>#REF!</v>
      </c>
      <c r="BI533">
        <f>Table9[[#This Row],[Wickets]]*100-Table9[[#This Row],[Runs]]</f>
        <v>-51</v>
      </c>
      <c r="BJ533">
        <f ca="1">IFERROR(IF(MATCH(Table9[[#This Row],[Bowler]],OFFSET(AR534,0,0,BOWLROWS-ROW(AR533)-ROW(Table9[[#Headers],[BOWLER CUML WICKETS]])),0)&gt;0,0,SUMIF($AR$6:AR533,Table9[[#This Row],[Bowler]],$AV$6:AV533)),SUMIF($AR$6:AR533,Table9[[#This Row],[Bowler]],$AV$6:AV533))</f>
        <v>15</v>
      </c>
      <c r="BK533">
        <f ca="1">IFERROR(IF(MATCH(Table9[[#This Row],[Bowler]],OFFSET(AR534,0,0,BOWLROWS-ROW(AR533)-ROW(Table9[[#Headers],[BOWLER CUML WICKETS]])),0)&gt;0,0,SUMIF($AR$6:AR533,Table9[[#This Row],[Bowler]],$AU$6:AU533)),SUMIF($AR$6:AR533,Table9[[#This Row],[Bowler]],$AU$6:AU533))</f>
        <v>472</v>
      </c>
      <c r="BL533">
        <f ca="1">Table9[[#This Row],[BOWLER CUML WICKETS]]*100-Table9[[#This Row],[BOWLER CUML RUNS]]</f>
        <v>1028</v>
      </c>
    </row>
    <row r="534" spans="1:64" x14ac:dyDescent="0.3">
      <c r="A534">
        <v>20</v>
      </c>
      <c r="B534" t="s">
        <v>149</v>
      </c>
      <c r="C534" t="s">
        <v>323</v>
      </c>
      <c r="D534" t="s">
        <v>507</v>
      </c>
      <c r="E534">
        <v>1</v>
      </c>
      <c r="F534">
        <v>6</v>
      </c>
      <c r="G534">
        <v>7</v>
      </c>
      <c r="H534">
        <v>0</v>
      </c>
      <c r="I534">
        <v>0</v>
      </c>
      <c r="J534">
        <v>14.28</v>
      </c>
      <c r="K534">
        <v>9</v>
      </c>
      <c r="L534" t="str">
        <f>CONCATENATE(T_BATTINGDATA[[#This Row],[Match]],T_BATTINGDATA[[#This Row],[Team]],T_BATTINGDATA[[#This Row],[Bat Number]])</f>
        <v>20Australia9</v>
      </c>
      <c r="M534" t="str">
        <f>IFERROR(IF(AND(T_BATTINGDATA[[#This Row],[Team]]=I_TEAM,IFERROR(IF(MATCH(T_BATTINGDATA[[#This Row],[BATSMAN NAME]],$O$5:O533,0)&gt;0,0),1)),1,0),"")</f>
        <v/>
      </c>
      <c r="N534" t="e">
        <f>IF(T_BATTINGDATA[[#This Row],[Team]]=I_TEAM,T_BATTINGDATA[[#This Row],[R]],0)</f>
        <v>#REF!</v>
      </c>
      <c r="O534" t="str">
        <f>LEFT(T_BATTINGDATA[[#This Row],[Batsman]],IFERROR(FIND("*",T_BATTINGDATA[[#This Row],[Batsman]])-1,IFERROR(FIND("†",T_BATTINGDATA[[#This Row],[Batsman]])-1,LEN(T_BATTINGDATA[[#This Row],[Batsman]]))))</f>
        <v>MG Johnson</v>
      </c>
      <c r="P534">
        <f ca="1">IFERROR(IF(MATCH(T_BATTINGDATA[[#This Row],[BATSMAN NAME]],OFFSET(O535,0,0,BATROWS-ROW(O534)-ROW(T_BATTINGDATA[[#Headers],[BATSMAN NAME]])),0)&gt;0,0,SUMIF($O$6:O534,T_BATTINGDATA[[#This Row],[BATSMAN NAME]],$E$6:E534)),SUMIF($O$6:O534,T_BATTINGDATA[[#This Row],[BATSMAN NAME]],$E$6:E534))</f>
        <v>0</v>
      </c>
      <c r="AP534">
        <v>37</v>
      </c>
      <c r="AQ534" t="s">
        <v>140</v>
      </c>
      <c r="AR534" t="s">
        <v>299</v>
      </c>
      <c r="AS534">
        <v>10</v>
      </c>
      <c r="AT534">
        <v>3</v>
      </c>
      <c r="AU534">
        <v>56</v>
      </c>
      <c r="AV534">
        <v>2</v>
      </c>
      <c r="AW534">
        <v>5.6</v>
      </c>
      <c r="AX534">
        <v>37</v>
      </c>
      <c r="AY534">
        <v>9</v>
      </c>
      <c r="AZ534">
        <v>0</v>
      </c>
      <c r="BA534">
        <v>1</v>
      </c>
      <c r="BB534">
        <v>0</v>
      </c>
      <c r="BC534">
        <v>2</v>
      </c>
      <c r="BD534" t="str">
        <f>CONCATENATE(Table9[[#This Row],[Match Number]],Table9[[#This Row],[Team]],Table9[[#This Row],[BOWL NUM]])</f>
        <v>37New Zealand2</v>
      </c>
      <c r="BE534" t="str">
        <f>IFERROR(IF(AND(Table9[[#This Row],[Team]]=I_TEAM,IFERROR(IF(MATCH(Table9[[#This Row],[Bowler]],$AR$5:AR533,0)&gt;0,0),1)),1,0),"")</f>
        <v/>
      </c>
      <c r="BF53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3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534" t="e">
        <f>IF(Table9[[#This Row],[Team]]=I_TEAM,Table9[[#This Row],[Wickets]]*100-Table9[[#This Row],[Runs]],0)</f>
        <v>#REF!</v>
      </c>
      <c r="BI534">
        <f>Table9[[#This Row],[Wickets]]*100-Table9[[#This Row],[Runs]]</f>
        <v>144</v>
      </c>
      <c r="BJ534">
        <f ca="1">IFERROR(IF(MATCH(Table9[[#This Row],[Bowler]],OFFSET(AR535,0,0,BOWLROWS-ROW(AR534)-ROW(Table9[[#Headers],[BOWLER CUML WICKETS]])),0)&gt;0,0,SUMIF($AR$6:AR534,Table9[[#This Row],[Bowler]],$AV$6:AV534)),SUMIF($AR$6:AR534,Table9[[#This Row],[Bowler]],$AV$6:AV534))</f>
        <v>22</v>
      </c>
      <c r="BK534">
        <f ca="1">IFERROR(IF(MATCH(Table9[[#This Row],[Bowler]],OFFSET(AR535,0,0,BOWLROWS-ROW(AR534)-ROW(Table9[[#Headers],[BOWLER CUML WICKETS]])),0)&gt;0,0,SUMIF($AR$6:AR534,Table9[[#This Row],[Bowler]],$AU$6:AU534)),SUMIF($AR$6:AR534,Table9[[#This Row],[Bowler]],$AU$6:AU534))</f>
        <v>371</v>
      </c>
      <c r="BL534">
        <f ca="1">Table9[[#This Row],[BOWLER CUML WICKETS]]*100-Table9[[#This Row],[BOWLER CUML RUNS]]</f>
        <v>1829</v>
      </c>
    </row>
    <row r="535" spans="1:64" x14ac:dyDescent="0.3">
      <c r="A535">
        <v>20</v>
      </c>
      <c r="B535" t="s">
        <v>149</v>
      </c>
      <c r="C535" t="s">
        <v>321</v>
      </c>
      <c r="D535" t="s">
        <v>362</v>
      </c>
      <c r="E535">
        <v>0</v>
      </c>
      <c r="F535">
        <v>2</v>
      </c>
      <c r="G535">
        <v>3</v>
      </c>
      <c r="H535">
        <v>0</v>
      </c>
      <c r="I535">
        <v>0</v>
      </c>
      <c r="J535">
        <v>0</v>
      </c>
      <c r="K535">
        <v>10</v>
      </c>
      <c r="L535" t="str">
        <f>CONCATENATE(T_BATTINGDATA[[#This Row],[Match]],T_BATTINGDATA[[#This Row],[Team]],T_BATTINGDATA[[#This Row],[Bat Number]])</f>
        <v>20Australia10</v>
      </c>
      <c r="M535" t="str">
        <f>IFERROR(IF(AND(T_BATTINGDATA[[#This Row],[Team]]=I_TEAM,IFERROR(IF(MATCH(T_BATTINGDATA[[#This Row],[BATSMAN NAME]],$O$5:O534,0)&gt;0,0),1)),1,0),"")</f>
        <v/>
      </c>
      <c r="N535" t="e">
        <f>IF(T_BATTINGDATA[[#This Row],[Team]]=I_TEAM,T_BATTINGDATA[[#This Row],[R]],0)</f>
        <v>#REF!</v>
      </c>
      <c r="O535" t="str">
        <f>LEFT(T_BATTINGDATA[[#This Row],[Batsman]],IFERROR(FIND("*",T_BATTINGDATA[[#This Row],[Batsman]])-1,IFERROR(FIND("†",T_BATTINGDATA[[#This Row],[Batsman]])-1,LEN(T_BATTINGDATA[[#This Row],[Batsman]]))))</f>
        <v>MA Starc</v>
      </c>
      <c r="P535">
        <f ca="1">IFERROR(IF(MATCH(T_BATTINGDATA[[#This Row],[BATSMAN NAME]],OFFSET(O536,0,0,BATROWS-ROW(O535)-ROW(T_BATTINGDATA[[#Headers],[BATSMAN NAME]])),0)&gt;0,0,SUMIF($O$6:O535,T_BATTINGDATA[[#This Row],[BATSMAN NAME]],$E$6:E535)),SUMIF($O$6:O535,T_BATTINGDATA[[#This Row],[BATSMAN NAME]],$E$6:E535))</f>
        <v>0</v>
      </c>
      <c r="AP535">
        <v>37</v>
      </c>
      <c r="AQ535" t="s">
        <v>140</v>
      </c>
      <c r="AR535" t="s">
        <v>689</v>
      </c>
      <c r="AS535">
        <v>8</v>
      </c>
      <c r="AT535">
        <v>0</v>
      </c>
      <c r="AU535">
        <v>68</v>
      </c>
      <c r="AV535">
        <v>0</v>
      </c>
      <c r="AW535">
        <v>8.5</v>
      </c>
      <c r="AX535">
        <v>17</v>
      </c>
      <c r="AY535">
        <v>8</v>
      </c>
      <c r="AZ535">
        <v>2</v>
      </c>
      <c r="BA535">
        <v>0</v>
      </c>
      <c r="BB535">
        <v>0</v>
      </c>
      <c r="BC535">
        <v>3</v>
      </c>
      <c r="BD535" t="str">
        <f>CONCATENATE(Table9[[#This Row],[Match Number]],Table9[[#This Row],[Team]],Table9[[#This Row],[BOWL NUM]])</f>
        <v>37New Zealand3</v>
      </c>
      <c r="BE535" t="str">
        <f>IFERROR(IF(AND(Table9[[#This Row],[Team]]=I_TEAM,IFERROR(IF(MATCH(Table9[[#This Row],[Bowler]],$AR$5:AR534,0)&gt;0,0),1)),1,0),"")</f>
        <v/>
      </c>
      <c r="BF535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3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535" t="e">
        <f>IF(Table9[[#This Row],[Team]]=I_TEAM,Table9[[#This Row],[Wickets]]*100-Table9[[#This Row],[Runs]],0)</f>
        <v>#REF!</v>
      </c>
      <c r="BI535">
        <f>Table9[[#This Row],[Wickets]]*100-Table9[[#This Row],[Runs]]</f>
        <v>-68</v>
      </c>
      <c r="BJ535">
        <f ca="1">IFERROR(IF(MATCH(Table9[[#This Row],[Bowler]],OFFSET(AR536,0,0,BOWLROWS-ROW(AR535)-ROW(Table9[[#Headers],[BOWLER CUML WICKETS]])),0)&gt;0,0,SUMIF($AR$6:AR535,Table9[[#This Row],[Bowler]],$AV$6:AV535)),SUMIF($AR$6:AR535,Table9[[#This Row],[Bowler]],$AV$6:AV535))</f>
        <v>0</v>
      </c>
      <c r="BK535">
        <f ca="1">IFERROR(IF(MATCH(Table9[[#This Row],[Bowler]],OFFSET(AR536,0,0,BOWLROWS-ROW(AR535)-ROW(Table9[[#Headers],[BOWLER CUML WICKETS]])),0)&gt;0,0,SUMIF($AR$6:AR535,Table9[[#This Row],[Bowler]],$AU$6:AU535)),SUMIF($AR$6:AR535,Table9[[#This Row],[Bowler]],$AU$6:AU535))</f>
        <v>68</v>
      </c>
      <c r="BL535">
        <f ca="1">Table9[[#This Row],[BOWLER CUML WICKETS]]*100-Table9[[#This Row],[BOWLER CUML RUNS]]</f>
        <v>-68</v>
      </c>
    </row>
    <row r="536" spans="1:64" x14ac:dyDescent="0.3">
      <c r="A536">
        <v>20</v>
      </c>
      <c r="B536" t="s">
        <v>149</v>
      </c>
      <c r="C536" t="s">
        <v>577</v>
      </c>
      <c r="D536" t="s">
        <v>167</v>
      </c>
      <c r="E536">
        <v>7</v>
      </c>
      <c r="F536">
        <v>51</v>
      </c>
      <c r="G536">
        <v>30</v>
      </c>
      <c r="H536">
        <v>1</v>
      </c>
      <c r="I536">
        <v>0</v>
      </c>
      <c r="J536">
        <v>23.33</v>
      </c>
      <c r="K536">
        <v>11</v>
      </c>
      <c r="L536" t="str">
        <f>CONCATENATE(T_BATTINGDATA[[#This Row],[Match]],T_BATTINGDATA[[#This Row],[Team]],T_BATTINGDATA[[#This Row],[Bat Number]])</f>
        <v>20Australia11</v>
      </c>
      <c r="M536" t="str">
        <f>IFERROR(IF(AND(T_BATTINGDATA[[#This Row],[Team]]=I_TEAM,IFERROR(IF(MATCH(T_BATTINGDATA[[#This Row],[BATSMAN NAME]],$O$5:O535,0)&gt;0,0),1)),1,0),"")</f>
        <v/>
      </c>
      <c r="N536" t="e">
        <f>IF(T_BATTINGDATA[[#This Row],[Team]]=I_TEAM,T_BATTINGDATA[[#This Row],[R]],0)</f>
        <v>#REF!</v>
      </c>
      <c r="O536" t="str">
        <f>LEFT(T_BATTINGDATA[[#This Row],[Batsman]],IFERROR(FIND("*",T_BATTINGDATA[[#This Row],[Batsman]])-1,IFERROR(FIND("†",T_BATTINGDATA[[#This Row],[Batsman]])-1,LEN(T_BATTINGDATA[[#This Row],[Batsman]]))))</f>
        <v>PJ Cummins</v>
      </c>
      <c r="P536">
        <f ca="1">IFERROR(IF(MATCH(T_BATTINGDATA[[#This Row],[BATSMAN NAME]],OFFSET(O537,0,0,BATROWS-ROW(O536)-ROW(T_BATTINGDATA[[#Headers],[BATSMAN NAME]])),0)&gt;0,0,SUMIF($O$6:O536,T_BATTINGDATA[[#This Row],[BATSMAN NAME]],$E$6:E536)),SUMIF($O$6:O536,T_BATTINGDATA[[#This Row],[BATSMAN NAME]],$E$6:E536))</f>
        <v>7</v>
      </c>
      <c r="AP536">
        <v>37</v>
      </c>
      <c r="AQ536" t="s">
        <v>140</v>
      </c>
      <c r="AR536" t="s">
        <v>303</v>
      </c>
      <c r="AS536">
        <v>10</v>
      </c>
      <c r="AT536">
        <v>0</v>
      </c>
      <c r="AU536">
        <v>42</v>
      </c>
      <c r="AV536">
        <v>1</v>
      </c>
      <c r="AW536">
        <v>4.2</v>
      </c>
      <c r="AX536">
        <v>30</v>
      </c>
      <c r="AY536">
        <v>2</v>
      </c>
      <c r="AZ536">
        <v>1</v>
      </c>
      <c r="BA536">
        <v>0</v>
      </c>
      <c r="BB536">
        <v>0</v>
      </c>
      <c r="BC536">
        <v>4</v>
      </c>
      <c r="BD536" t="str">
        <f>CONCATENATE(Table9[[#This Row],[Match Number]],Table9[[#This Row],[Team]],Table9[[#This Row],[BOWL NUM]])</f>
        <v>37New Zealand4</v>
      </c>
      <c r="BE536" t="str">
        <f>IFERROR(IF(AND(Table9[[#This Row],[Team]]=I_TEAM,IFERROR(IF(MATCH(Table9[[#This Row],[Bowler]],$AR$5:AR535,0)&gt;0,0),1)),1,0),"")</f>
        <v/>
      </c>
      <c r="BF53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3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536" t="e">
        <f>IF(Table9[[#This Row],[Team]]=I_TEAM,Table9[[#This Row],[Wickets]]*100-Table9[[#This Row],[Runs]],0)</f>
        <v>#REF!</v>
      </c>
      <c r="BI536">
        <f>Table9[[#This Row],[Wickets]]*100-Table9[[#This Row],[Runs]]</f>
        <v>58</v>
      </c>
      <c r="BJ536">
        <f ca="1">IFERROR(IF(MATCH(Table9[[#This Row],[Bowler]],OFFSET(AR537,0,0,BOWLROWS-ROW(AR536)-ROW(Table9[[#Headers],[BOWLER CUML WICKETS]])),0)&gt;0,0,SUMIF($AR$6:AR536,Table9[[#This Row],[Bowler]],$AV$6:AV536)),SUMIF($AR$6:AR536,Table9[[#This Row],[Bowler]],$AV$6:AV536))</f>
        <v>15</v>
      </c>
      <c r="BK536">
        <f ca="1">IFERROR(IF(MATCH(Table9[[#This Row],[Bowler]],OFFSET(AR537,0,0,BOWLROWS-ROW(AR536)-ROW(Table9[[#Headers],[BOWLER CUML WICKETS]])),0)&gt;0,0,SUMIF($AR$6:AR536,Table9[[#This Row],[Bowler]],$AU$6:AU536)),SUMIF($AR$6:AR536,Table9[[#This Row],[Bowler]],$AU$6:AU536))</f>
        <v>307</v>
      </c>
      <c r="BL536">
        <f ca="1">Table9[[#This Row],[BOWLER CUML WICKETS]]*100-Table9[[#This Row],[BOWLER CUML RUNS]]</f>
        <v>1193</v>
      </c>
    </row>
    <row r="537" spans="1:64" x14ac:dyDescent="0.3">
      <c r="A537">
        <v>20</v>
      </c>
      <c r="B537" t="s">
        <v>140</v>
      </c>
      <c r="C537" t="s">
        <v>349</v>
      </c>
      <c r="D537" t="s">
        <v>690</v>
      </c>
      <c r="E537">
        <v>11</v>
      </c>
      <c r="G537">
        <v>14</v>
      </c>
      <c r="H537">
        <v>1</v>
      </c>
      <c r="I537">
        <v>1</v>
      </c>
      <c r="J537">
        <v>78.569999999999993</v>
      </c>
      <c r="K537">
        <v>1</v>
      </c>
      <c r="L537" t="str">
        <f>CONCATENATE(T_BATTINGDATA[[#This Row],[Match]],T_BATTINGDATA[[#This Row],[Team]],T_BATTINGDATA[[#This Row],[Bat Number]])</f>
        <v>20New Zealand1</v>
      </c>
      <c r="M537" t="str">
        <f>IFERROR(IF(AND(T_BATTINGDATA[[#This Row],[Team]]=I_TEAM,IFERROR(IF(MATCH(T_BATTINGDATA[[#This Row],[BATSMAN NAME]],$O$5:O536,0)&gt;0,0),1)),1,0),"")</f>
        <v/>
      </c>
      <c r="N537" t="e">
        <f>IF(T_BATTINGDATA[[#This Row],[Team]]=I_TEAM,T_BATTINGDATA[[#This Row],[R]],0)</f>
        <v>#REF!</v>
      </c>
      <c r="O537" t="str">
        <f>LEFT(T_BATTINGDATA[[#This Row],[Batsman]],IFERROR(FIND("*",T_BATTINGDATA[[#This Row],[Batsman]])-1,IFERROR(FIND("†",T_BATTINGDATA[[#This Row],[Batsman]])-1,LEN(T_BATTINGDATA[[#This Row],[Batsman]]))))</f>
        <v>MJ Guptill</v>
      </c>
      <c r="P537">
        <f ca="1">IFERROR(IF(MATCH(T_BATTINGDATA[[#This Row],[BATSMAN NAME]],OFFSET(O538,0,0,BATROWS-ROW(O537)-ROW(T_BATTINGDATA[[#Headers],[BATSMAN NAME]])),0)&gt;0,0,SUMIF($O$6:O537,T_BATTINGDATA[[#This Row],[BATSMAN NAME]],$E$6:E537)),SUMIF($O$6:O537,T_BATTINGDATA[[#This Row],[BATSMAN NAME]],$E$6:E537))</f>
        <v>0</v>
      </c>
      <c r="AP537">
        <v>37</v>
      </c>
      <c r="AQ537" t="s">
        <v>140</v>
      </c>
      <c r="AR537" t="s">
        <v>309</v>
      </c>
      <c r="AS537">
        <v>10</v>
      </c>
      <c r="AT537">
        <v>0</v>
      </c>
      <c r="AU537">
        <v>43</v>
      </c>
      <c r="AV537">
        <v>2</v>
      </c>
      <c r="AW537">
        <v>4.3</v>
      </c>
      <c r="AX537">
        <v>36</v>
      </c>
      <c r="AY537">
        <v>4</v>
      </c>
      <c r="AZ537">
        <v>0</v>
      </c>
      <c r="BA537">
        <v>2</v>
      </c>
      <c r="BB537">
        <v>0</v>
      </c>
      <c r="BC537">
        <v>5</v>
      </c>
      <c r="BD537" t="str">
        <f>CONCATENATE(Table9[[#This Row],[Match Number]],Table9[[#This Row],[Team]],Table9[[#This Row],[BOWL NUM]])</f>
        <v>37New Zealand5</v>
      </c>
      <c r="BE537" t="str">
        <f>IFERROR(IF(AND(Table9[[#This Row],[Team]]=I_TEAM,IFERROR(IF(MATCH(Table9[[#This Row],[Bowler]],$AR$5:AR536,0)&gt;0,0),1)),1,0),"")</f>
        <v/>
      </c>
      <c r="BF53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3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537" t="e">
        <f>IF(Table9[[#This Row],[Team]]=I_TEAM,Table9[[#This Row],[Wickets]]*100-Table9[[#This Row],[Runs]],0)</f>
        <v>#REF!</v>
      </c>
      <c r="BI537">
        <f>Table9[[#This Row],[Wickets]]*100-Table9[[#This Row],[Runs]]</f>
        <v>157</v>
      </c>
      <c r="BJ537">
        <f ca="1">IFERROR(IF(MATCH(Table9[[#This Row],[Bowler]],OFFSET(AR538,0,0,BOWLROWS-ROW(AR537)-ROW(Table9[[#Headers],[BOWLER CUML WICKETS]])),0)&gt;0,0,SUMIF($AR$6:AR537,Table9[[#This Row],[Bowler]],$AV$6:AV537)),SUMIF($AR$6:AR537,Table9[[#This Row],[Bowler]],$AV$6:AV537))</f>
        <v>14</v>
      </c>
      <c r="BK537">
        <f ca="1">IFERROR(IF(MATCH(Table9[[#This Row],[Bowler]],OFFSET(AR538,0,0,BOWLROWS-ROW(AR537)-ROW(Table9[[#Headers],[BOWLER CUML WICKETS]])),0)&gt;0,0,SUMIF($AR$6:AR537,Table9[[#This Row],[Bowler]],$AU$6:AU537)),SUMIF($AR$6:AR537,Table9[[#This Row],[Bowler]],$AU$6:AU537))</f>
        <v>234</v>
      </c>
      <c r="BL537">
        <f ca="1">Table9[[#This Row],[BOWLER CUML WICKETS]]*100-Table9[[#This Row],[BOWLER CUML RUNS]]</f>
        <v>1166</v>
      </c>
    </row>
    <row r="538" spans="1:64" x14ac:dyDescent="0.3">
      <c r="A538">
        <v>20</v>
      </c>
      <c r="B538" t="s">
        <v>140</v>
      </c>
      <c r="C538" t="s">
        <v>352</v>
      </c>
      <c r="D538" t="s">
        <v>691</v>
      </c>
      <c r="E538">
        <v>50</v>
      </c>
      <c r="G538">
        <v>24</v>
      </c>
      <c r="H538">
        <v>7</v>
      </c>
      <c r="I538">
        <v>3</v>
      </c>
      <c r="J538">
        <v>208.33</v>
      </c>
      <c r="K538">
        <v>2</v>
      </c>
      <c r="L538" t="str">
        <f>CONCATENATE(T_BATTINGDATA[[#This Row],[Match]],T_BATTINGDATA[[#This Row],[Team]],T_BATTINGDATA[[#This Row],[Bat Number]])</f>
        <v>20New Zealand2</v>
      </c>
      <c r="M538" t="str">
        <f>IFERROR(IF(AND(T_BATTINGDATA[[#This Row],[Team]]=I_TEAM,IFERROR(IF(MATCH(T_BATTINGDATA[[#This Row],[BATSMAN NAME]],$O$5:O537,0)&gt;0,0),1)),1,0),"")</f>
        <v/>
      </c>
      <c r="N538" t="e">
        <f>IF(T_BATTINGDATA[[#This Row],[Team]]=I_TEAM,T_BATTINGDATA[[#This Row],[R]],0)</f>
        <v>#REF!</v>
      </c>
      <c r="O538" t="str">
        <f>LEFT(T_BATTINGDATA[[#This Row],[Batsman]],IFERROR(FIND("*",T_BATTINGDATA[[#This Row],[Batsman]])-1,IFERROR(FIND("†",T_BATTINGDATA[[#This Row],[Batsman]])-1,LEN(T_BATTINGDATA[[#This Row],[Batsman]]))))</f>
        <v>BB McCullum</v>
      </c>
      <c r="P538">
        <f ca="1">IFERROR(IF(MATCH(T_BATTINGDATA[[#This Row],[BATSMAN NAME]],OFFSET(O539,0,0,BATROWS-ROW(O538)-ROW(T_BATTINGDATA[[#Headers],[BATSMAN NAME]])),0)&gt;0,0,SUMIF($O$6:O538,T_BATTINGDATA[[#This Row],[BATSMAN NAME]],$E$6:E538)),SUMIF($O$6:O538,T_BATTINGDATA[[#This Row],[BATSMAN NAME]],$E$6:E538))</f>
        <v>0</v>
      </c>
      <c r="AP538">
        <v>37</v>
      </c>
      <c r="AQ538" t="s">
        <v>140</v>
      </c>
      <c r="AR538" t="s">
        <v>305</v>
      </c>
      <c r="AS538">
        <v>2</v>
      </c>
      <c r="AT538">
        <v>0</v>
      </c>
      <c r="AU538">
        <v>27</v>
      </c>
      <c r="AV538">
        <v>2</v>
      </c>
      <c r="AW538">
        <v>13.5</v>
      </c>
      <c r="AX538">
        <v>2</v>
      </c>
      <c r="AY538">
        <v>0</v>
      </c>
      <c r="AZ538">
        <v>3</v>
      </c>
      <c r="BA538">
        <v>1</v>
      </c>
      <c r="BB538">
        <v>0</v>
      </c>
      <c r="BC538">
        <v>6</v>
      </c>
      <c r="BD538" t="str">
        <f>CONCATENATE(Table9[[#This Row],[Match Number]],Table9[[#This Row],[Team]],Table9[[#This Row],[BOWL NUM]])</f>
        <v>37New Zealand6</v>
      </c>
      <c r="BE538" t="str">
        <f>IFERROR(IF(AND(Table9[[#This Row],[Team]]=I_TEAM,IFERROR(IF(MATCH(Table9[[#This Row],[Bowler]],$AR$5:AR537,0)&gt;0,0),1)),1,0),"")</f>
        <v/>
      </c>
      <c r="BF538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53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538" t="e">
        <f>IF(Table9[[#This Row],[Team]]=I_TEAM,Table9[[#This Row],[Wickets]]*100-Table9[[#This Row],[Runs]],0)</f>
        <v>#REF!</v>
      </c>
      <c r="BI538">
        <f>Table9[[#This Row],[Wickets]]*100-Table9[[#This Row],[Runs]]</f>
        <v>173</v>
      </c>
      <c r="BJ538">
        <f ca="1">IFERROR(IF(MATCH(Table9[[#This Row],[Bowler]],OFFSET(AR539,0,0,BOWLROWS-ROW(AR538)-ROW(Table9[[#Headers],[BOWLER CUML WICKETS]])),0)&gt;0,0,SUMIF($AR$6:AR590,Table9[[#This Row],[Bowler]],$AV$6:AV590)),SUMIF($AR$6:AR590,Table9[[#This Row],[Bowler]],$AV$6:AV590))</f>
        <v>2</v>
      </c>
      <c r="BK538">
        <f ca="1">IFERROR(IF(MATCH(Table9[[#This Row],[Bowler]],OFFSET(AR539,0,0,BOWLROWS-ROW(AR538)-ROW(Table9[[#Headers],[BOWLER CUML WICKETS]])),0)&gt;0,0,SUMIF($AR$6:AR590,Table9[[#This Row],[Bowler]],$AU$6:AU590)),SUMIF($AR$6:AR590,Table9[[#This Row],[Bowler]],$AU$6:AU590))</f>
        <v>68</v>
      </c>
      <c r="BL538">
        <f ca="1">Table9[[#This Row],[BOWLER CUML WICKETS]]*100-Table9[[#This Row],[BOWLER CUML RUNS]]</f>
        <v>132</v>
      </c>
    </row>
    <row r="539" spans="1:64" x14ac:dyDescent="0.3">
      <c r="A539">
        <v>20</v>
      </c>
      <c r="B539" t="s">
        <v>140</v>
      </c>
      <c r="C539" t="s">
        <v>307</v>
      </c>
      <c r="D539" t="s">
        <v>167</v>
      </c>
      <c r="E539">
        <v>45</v>
      </c>
      <c r="G539">
        <v>42</v>
      </c>
      <c r="H539">
        <v>5</v>
      </c>
      <c r="I539">
        <v>1</v>
      </c>
      <c r="J539">
        <v>107.14</v>
      </c>
      <c r="K539">
        <v>3</v>
      </c>
      <c r="L539" t="str">
        <f>CONCATENATE(T_BATTINGDATA[[#This Row],[Match]],T_BATTINGDATA[[#This Row],[Team]],T_BATTINGDATA[[#This Row],[Bat Number]])</f>
        <v>20New Zealand3</v>
      </c>
      <c r="M539" t="str">
        <f>IFERROR(IF(AND(T_BATTINGDATA[[#This Row],[Team]]=I_TEAM,IFERROR(IF(MATCH(T_BATTINGDATA[[#This Row],[BATSMAN NAME]],$O$5:O538,0)&gt;0,0),1)),1,0),"")</f>
        <v/>
      </c>
      <c r="N539" t="e">
        <f>IF(T_BATTINGDATA[[#This Row],[Team]]=I_TEAM,T_BATTINGDATA[[#This Row],[R]],0)</f>
        <v>#REF!</v>
      </c>
      <c r="O539" t="str">
        <f>LEFT(T_BATTINGDATA[[#This Row],[Batsman]],IFERROR(FIND("*",T_BATTINGDATA[[#This Row],[Batsman]])-1,IFERROR(FIND("†",T_BATTINGDATA[[#This Row],[Batsman]])-1,LEN(T_BATTINGDATA[[#This Row],[Batsman]]))))</f>
        <v>KS Williamson</v>
      </c>
      <c r="P539">
        <f ca="1">IFERROR(IF(MATCH(T_BATTINGDATA[[#This Row],[BATSMAN NAME]],OFFSET(O540,0,0,BATROWS-ROW(O539)-ROW(T_BATTINGDATA[[#Headers],[BATSMAN NAME]])),0)&gt;0,0,SUMIF($O$6:O539,T_BATTINGDATA[[#This Row],[BATSMAN NAME]],$E$6:E539)),SUMIF($O$6:O539,T_BATTINGDATA[[#This Row],[BATSMAN NAME]],$E$6:E539))</f>
        <v>0</v>
      </c>
      <c r="AP539">
        <v>37</v>
      </c>
      <c r="AQ539" t="s">
        <v>181</v>
      </c>
      <c r="AR539" t="s">
        <v>280</v>
      </c>
      <c r="AS539">
        <v>8.5</v>
      </c>
      <c r="AT539">
        <v>1</v>
      </c>
      <c r="AU539">
        <v>55</v>
      </c>
      <c r="AV539">
        <v>4</v>
      </c>
      <c r="AW539">
        <v>6.22</v>
      </c>
      <c r="AX539">
        <v>31</v>
      </c>
      <c r="AY539">
        <v>4</v>
      </c>
      <c r="AZ539">
        <v>4</v>
      </c>
      <c r="BA539">
        <v>0</v>
      </c>
      <c r="BB539">
        <v>0</v>
      </c>
      <c r="BC539">
        <v>1</v>
      </c>
      <c r="BD539" t="str">
        <f>CONCATENATE(Table9[[#This Row],[Match Number]],Table9[[#This Row],[Team]],Table9[[#This Row],[BOWL NUM]])</f>
        <v>37Bangladesh1</v>
      </c>
      <c r="BE539" t="str">
        <f>IFERROR(IF(AND(Table9[[#This Row],[Team]]=I_TEAM,IFERROR(IF(MATCH(Table9[[#This Row],[Bowler]],$AR$5:AR538,0)&gt;0,0),1)),1,0),"")</f>
        <v/>
      </c>
      <c r="BF539">
        <f>(LEFT(Table9[[#This Row],[Overs]],IFERROR(FIND(".",Table9[[#This Row],[Overs]])-1,LEN(Table9[[#This Row],[Overs]])))*6) + IFERROR(IF(FIND(".",Table9[[#This Row],[Overs]])+1&gt;0,RIGHT(Table9[[#This Row],[Overs]],1),0),0)</f>
        <v>53</v>
      </c>
      <c r="BG53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539" t="e">
        <f>IF(Table9[[#This Row],[Team]]=I_TEAM,Table9[[#This Row],[Wickets]]*100-Table9[[#This Row],[Runs]],0)</f>
        <v>#REF!</v>
      </c>
      <c r="BI539">
        <f>Table9[[#This Row],[Wickets]]*100-Table9[[#This Row],[Runs]]</f>
        <v>345</v>
      </c>
      <c r="BJ539">
        <f ca="1">IFERROR(IF(MATCH(Table9[[#This Row],[Bowler]],OFFSET(AR540,0,0,BOWLROWS-ROW(AR539)-ROW(Table9[[#Headers],[BOWLER CUML WICKETS]])),0)&gt;0,0,SUMIF($AR$6:AR539,Table9[[#This Row],[Bowler]],$AV$6:AV539)),SUMIF($AR$6:AR539,Table9[[#This Row],[Bowler]],$AV$6:AV539))</f>
        <v>8</v>
      </c>
      <c r="BK539">
        <f ca="1">IFERROR(IF(MATCH(Table9[[#This Row],[Bowler]],OFFSET(AR540,0,0,BOWLROWS-ROW(AR539)-ROW(Table9[[#Headers],[BOWLER CUML WICKETS]])),0)&gt;0,0,SUMIF($AR$6:AR539,Table9[[#This Row],[Bowler]],$AU$6:AU539)),SUMIF($AR$6:AR539,Table9[[#This Row],[Bowler]],$AU$6:AU539))</f>
        <v>298</v>
      </c>
      <c r="BL539">
        <f ca="1">Table9[[#This Row],[BOWLER CUML WICKETS]]*100-Table9[[#This Row],[BOWLER CUML RUNS]]</f>
        <v>502</v>
      </c>
    </row>
    <row r="540" spans="1:64" x14ac:dyDescent="0.3">
      <c r="A540">
        <v>20</v>
      </c>
      <c r="B540" t="s">
        <v>140</v>
      </c>
      <c r="C540" t="s">
        <v>356</v>
      </c>
      <c r="D540" t="s">
        <v>410</v>
      </c>
      <c r="E540">
        <v>1</v>
      </c>
      <c r="G540">
        <v>2</v>
      </c>
      <c r="H540">
        <v>0</v>
      </c>
      <c r="I540">
        <v>0</v>
      </c>
      <c r="J540">
        <v>50</v>
      </c>
      <c r="K540">
        <v>4</v>
      </c>
      <c r="L540" t="str">
        <f>CONCATENATE(T_BATTINGDATA[[#This Row],[Match]],T_BATTINGDATA[[#This Row],[Team]],T_BATTINGDATA[[#This Row],[Bat Number]])</f>
        <v>20New Zealand4</v>
      </c>
      <c r="M540" t="str">
        <f>IFERROR(IF(AND(T_BATTINGDATA[[#This Row],[Team]]=I_TEAM,IFERROR(IF(MATCH(T_BATTINGDATA[[#This Row],[BATSMAN NAME]],$O$5:O539,0)&gt;0,0),1)),1,0),"")</f>
        <v/>
      </c>
      <c r="N540" t="e">
        <f>IF(T_BATTINGDATA[[#This Row],[Team]]=I_TEAM,T_BATTINGDATA[[#This Row],[R]],0)</f>
        <v>#REF!</v>
      </c>
      <c r="O540" t="str">
        <f>LEFT(T_BATTINGDATA[[#This Row],[Batsman]],IFERROR(FIND("*",T_BATTINGDATA[[#This Row],[Batsman]])-1,IFERROR(FIND("†",T_BATTINGDATA[[#This Row],[Batsman]])-1,LEN(T_BATTINGDATA[[#This Row],[Batsman]]))))</f>
        <v>LRPL Taylor</v>
      </c>
      <c r="P540">
        <f ca="1">IFERROR(IF(MATCH(T_BATTINGDATA[[#This Row],[BATSMAN NAME]],OFFSET(O541,0,0,BATROWS-ROW(O540)-ROW(T_BATTINGDATA[[#Headers],[BATSMAN NAME]])),0)&gt;0,0,SUMIF($O$6:O540,T_BATTINGDATA[[#This Row],[BATSMAN NAME]],$E$6:E540)),SUMIF($O$6:O540,T_BATTINGDATA[[#This Row],[BATSMAN NAME]],$E$6:E540))</f>
        <v>0</v>
      </c>
      <c r="AP540">
        <v>37</v>
      </c>
      <c r="AQ540" t="s">
        <v>181</v>
      </c>
      <c r="AR540" t="s">
        <v>692</v>
      </c>
      <c r="AS540">
        <v>10</v>
      </c>
      <c r="AT540">
        <v>0</v>
      </c>
      <c r="AU540">
        <v>58</v>
      </c>
      <c r="AV540">
        <v>0</v>
      </c>
      <c r="AW540">
        <v>5.8</v>
      </c>
      <c r="AX540">
        <v>29</v>
      </c>
      <c r="AY540">
        <v>6</v>
      </c>
      <c r="AZ540">
        <v>1</v>
      </c>
      <c r="BA540">
        <v>0</v>
      </c>
      <c r="BB540">
        <v>0</v>
      </c>
      <c r="BC540">
        <v>2</v>
      </c>
      <c r="BD540" t="str">
        <f>CONCATENATE(Table9[[#This Row],[Match Number]],Table9[[#This Row],[Team]],Table9[[#This Row],[BOWL NUM]])</f>
        <v>37Bangladesh2</v>
      </c>
      <c r="BE540" t="str">
        <f>IFERROR(IF(AND(Table9[[#This Row],[Team]]=I_TEAM,IFERROR(IF(MATCH(Table9[[#This Row],[Bowler]],$AR$5:AR539,0)&gt;0,0),1)),1,0),"")</f>
        <v/>
      </c>
      <c r="BF54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4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540" t="e">
        <f>IF(Table9[[#This Row],[Team]]=I_TEAM,Table9[[#This Row],[Wickets]]*100-Table9[[#This Row],[Runs]],0)</f>
        <v>#REF!</v>
      </c>
      <c r="BI540">
        <f>Table9[[#This Row],[Wickets]]*100-Table9[[#This Row],[Runs]]</f>
        <v>-58</v>
      </c>
      <c r="BJ540">
        <f ca="1">IFERROR(IF(MATCH(Table9[[#This Row],[Bowler]],OFFSET(AR541,0,0,BOWLROWS-ROW(AR540)-ROW(Table9[[#Headers],[BOWLER CUML WICKETS]])),0)&gt;0,0,SUMIF($AR$6:AR540,Table9[[#This Row],[Bowler]],$AV$6:AV540)),SUMIF($AR$6:AR540,Table9[[#This Row],[Bowler]],$AV$6:AV540))</f>
        <v>0</v>
      </c>
      <c r="BK540">
        <f ca="1">IFERROR(IF(MATCH(Table9[[#This Row],[Bowler]],OFFSET(AR541,0,0,BOWLROWS-ROW(AR540)-ROW(Table9[[#Headers],[BOWLER CUML WICKETS]])),0)&gt;0,0,SUMIF($AR$6:AR540,Table9[[#This Row],[Bowler]],$AU$6:AU540)),SUMIF($AR$6:AR540,Table9[[#This Row],[Bowler]],$AU$6:AU540))</f>
        <v>58</v>
      </c>
      <c r="BL540">
        <f ca="1">Table9[[#This Row],[BOWLER CUML WICKETS]]*100-Table9[[#This Row],[BOWLER CUML RUNS]]</f>
        <v>-58</v>
      </c>
    </row>
    <row r="541" spans="1:64" x14ac:dyDescent="0.3">
      <c r="A541">
        <v>20</v>
      </c>
      <c r="B541" t="s">
        <v>140</v>
      </c>
      <c r="C541" t="s">
        <v>305</v>
      </c>
      <c r="D541" t="s">
        <v>410</v>
      </c>
      <c r="E541">
        <v>0</v>
      </c>
      <c r="G541">
        <v>1</v>
      </c>
      <c r="H541">
        <v>0</v>
      </c>
      <c r="I541">
        <v>0</v>
      </c>
      <c r="J541">
        <v>0</v>
      </c>
      <c r="K541">
        <v>5</v>
      </c>
      <c r="L541" t="str">
        <f>CONCATENATE(T_BATTINGDATA[[#This Row],[Match]],T_BATTINGDATA[[#This Row],[Team]],T_BATTINGDATA[[#This Row],[Bat Number]])</f>
        <v>20New Zealand5</v>
      </c>
      <c r="M541" t="str">
        <f>IFERROR(IF(AND(T_BATTINGDATA[[#This Row],[Team]]=I_TEAM,IFERROR(IF(MATCH(T_BATTINGDATA[[#This Row],[BATSMAN NAME]],$O$5:O540,0)&gt;0,0),1)),1,0),"")</f>
        <v/>
      </c>
      <c r="N541" t="e">
        <f>IF(T_BATTINGDATA[[#This Row],[Team]]=I_TEAM,T_BATTINGDATA[[#This Row],[R]],0)</f>
        <v>#REF!</v>
      </c>
      <c r="O541" t="str">
        <f>LEFT(T_BATTINGDATA[[#This Row],[Batsman]],IFERROR(FIND("*",T_BATTINGDATA[[#This Row],[Batsman]])-1,IFERROR(FIND("†",T_BATTINGDATA[[#This Row],[Batsman]])-1,LEN(T_BATTINGDATA[[#This Row],[Batsman]]))))</f>
        <v>GD Elliott</v>
      </c>
      <c r="P541">
        <f ca="1">IFERROR(IF(MATCH(T_BATTINGDATA[[#This Row],[BATSMAN NAME]],OFFSET(O542,0,0,BATROWS-ROW(O541)-ROW(T_BATTINGDATA[[#Headers],[BATSMAN NAME]])),0)&gt;0,0,SUMIF($O$6:O541,T_BATTINGDATA[[#This Row],[BATSMAN NAME]],$E$6:E541)),SUMIF($O$6:O541,T_BATTINGDATA[[#This Row],[BATSMAN NAME]],$E$6:E541))</f>
        <v>0</v>
      </c>
      <c r="AP541">
        <v>37</v>
      </c>
      <c r="AQ541" t="s">
        <v>181</v>
      </c>
      <c r="AR541" t="s">
        <v>277</v>
      </c>
      <c r="AS541">
        <v>8</v>
      </c>
      <c r="AT541">
        <v>1</v>
      </c>
      <c r="AU541">
        <v>40</v>
      </c>
      <c r="AV541">
        <v>1</v>
      </c>
      <c r="AW541">
        <v>5</v>
      </c>
      <c r="AX541">
        <v>29</v>
      </c>
      <c r="AY541">
        <v>5</v>
      </c>
      <c r="AZ541">
        <v>0</v>
      </c>
      <c r="BA541">
        <v>0</v>
      </c>
      <c r="BB541">
        <v>0</v>
      </c>
      <c r="BC541">
        <v>3</v>
      </c>
      <c r="BD541" t="str">
        <f>CONCATENATE(Table9[[#This Row],[Match Number]],Table9[[#This Row],[Team]],Table9[[#This Row],[BOWL NUM]])</f>
        <v>37Bangladesh3</v>
      </c>
      <c r="BE541" t="str">
        <f>IFERROR(IF(AND(Table9[[#This Row],[Team]]=I_TEAM,IFERROR(IF(MATCH(Table9[[#This Row],[Bowler]],$AR$5:AR540,0)&gt;0,0),1)),1,0),"")</f>
        <v/>
      </c>
      <c r="BF541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4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541" t="e">
        <f>IF(Table9[[#This Row],[Team]]=I_TEAM,Table9[[#This Row],[Wickets]]*100-Table9[[#This Row],[Runs]],0)</f>
        <v>#REF!</v>
      </c>
      <c r="BI541">
        <f>Table9[[#This Row],[Wickets]]*100-Table9[[#This Row],[Runs]]</f>
        <v>60</v>
      </c>
      <c r="BJ541">
        <f ca="1">IFERROR(IF(MATCH(Table9[[#This Row],[Bowler]],OFFSET(AR542,0,0,BOWLROWS-ROW(AR541)-ROW(Table9[[#Headers],[BOWLER CUML WICKETS]])),0)&gt;0,0,SUMIF($AR$6:AR541,Table9[[#This Row],[Bowler]],$AV$6:AV541)),SUMIF($AR$6:AR541,Table9[[#This Row],[Bowler]],$AV$6:AV541))</f>
        <v>8</v>
      </c>
      <c r="BK541">
        <f ca="1">IFERROR(IF(MATCH(Table9[[#This Row],[Bowler]],OFFSET(AR542,0,0,BOWLROWS-ROW(AR541)-ROW(Table9[[#Headers],[BOWLER CUML WICKETS]])),0)&gt;0,0,SUMIF($AR$6:AR541,Table9[[#This Row],[Bowler]],$AU$6:AU541)),SUMIF($AR$6:AR541,Table9[[#This Row],[Bowler]],$AU$6:AU541))</f>
        <v>298</v>
      </c>
      <c r="BL541">
        <f ca="1">Table9[[#This Row],[BOWLER CUML WICKETS]]*100-Table9[[#This Row],[BOWLER CUML RUNS]]</f>
        <v>502</v>
      </c>
    </row>
    <row r="542" spans="1:64" x14ac:dyDescent="0.3">
      <c r="A542">
        <v>20</v>
      </c>
      <c r="B542" t="s">
        <v>140</v>
      </c>
      <c r="C542" t="s">
        <v>309</v>
      </c>
      <c r="D542" t="s">
        <v>693</v>
      </c>
      <c r="E542">
        <v>26</v>
      </c>
      <c r="G542">
        <v>42</v>
      </c>
      <c r="H542">
        <v>2</v>
      </c>
      <c r="I542">
        <v>1</v>
      </c>
      <c r="J542">
        <v>61.9</v>
      </c>
      <c r="K542">
        <v>6</v>
      </c>
      <c r="L542" t="str">
        <f>CONCATENATE(T_BATTINGDATA[[#This Row],[Match]],T_BATTINGDATA[[#This Row],[Team]],T_BATTINGDATA[[#This Row],[Bat Number]])</f>
        <v>20New Zealand6</v>
      </c>
      <c r="M542" t="str">
        <f>IFERROR(IF(AND(T_BATTINGDATA[[#This Row],[Team]]=I_TEAM,IFERROR(IF(MATCH(T_BATTINGDATA[[#This Row],[BATSMAN NAME]],$O$5:O541,0)&gt;0,0),1)),1,0),"")</f>
        <v/>
      </c>
      <c r="N542" t="e">
        <f>IF(T_BATTINGDATA[[#This Row],[Team]]=I_TEAM,T_BATTINGDATA[[#This Row],[R]],0)</f>
        <v>#REF!</v>
      </c>
      <c r="O542" t="str">
        <f>LEFT(T_BATTINGDATA[[#This Row],[Batsman]],IFERROR(FIND("*",T_BATTINGDATA[[#This Row],[Batsman]])-1,IFERROR(FIND("†",T_BATTINGDATA[[#This Row],[Batsman]])-1,LEN(T_BATTINGDATA[[#This Row],[Batsman]]))))</f>
        <v>CJ Anderson</v>
      </c>
      <c r="P542">
        <f ca="1">IFERROR(IF(MATCH(T_BATTINGDATA[[#This Row],[BATSMAN NAME]],OFFSET(O543,0,0,BATROWS-ROW(O542)-ROW(T_BATTINGDATA[[#Headers],[BATSMAN NAME]])),0)&gt;0,0,SUMIF($O$6:O542,T_BATTINGDATA[[#This Row],[BATSMAN NAME]],$E$6:E542)),SUMIF($O$6:O542,T_BATTINGDATA[[#This Row],[BATSMAN NAME]],$E$6:E542))</f>
        <v>0</v>
      </c>
      <c r="AP542">
        <v>37</v>
      </c>
      <c r="AQ542" t="s">
        <v>181</v>
      </c>
      <c r="AR542" t="s">
        <v>270</v>
      </c>
      <c r="AS542">
        <v>8</v>
      </c>
      <c r="AT542">
        <v>0</v>
      </c>
      <c r="AU542">
        <v>49</v>
      </c>
      <c r="AV542">
        <v>0</v>
      </c>
      <c r="AW542">
        <v>6.12</v>
      </c>
      <c r="AX542">
        <v>25</v>
      </c>
      <c r="AY542">
        <v>6</v>
      </c>
      <c r="AZ542">
        <v>1</v>
      </c>
      <c r="BA542">
        <v>2</v>
      </c>
      <c r="BB542">
        <v>0</v>
      </c>
      <c r="BC542">
        <v>4</v>
      </c>
      <c r="BD542" t="str">
        <f>CONCATENATE(Table9[[#This Row],[Match Number]],Table9[[#This Row],[Team]],Table9[[#This Row],[BOWL NUM]])</f>
        <v>37Bangladesh4</v>
      </c>
      <c r="BE542" t="str">
        <f>IFERROR(IF(AND(Table9[[#This Row],[Team]]=I_TEAM,IFERROR(IF(MATCH(Table9[[#This Row],[Bowler]],$AR$5:AR541,0)&gt;0,0),1)),1,0),"")</f>
        <v/>
      </c>
      <c r="BF542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4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542" t="e">
        <f>IF(Table9[[#This Row],[Team]]=I_TEAM,Table9[[#This Row],[Wickets]]*100-Table9[[#This Row],[Runs]],0)</f>
        <v>#REF!</v>
      </c>
      <c r="BI542">
        <f>Table9[[#This Row],[Wickets]]*100-Table9[[#This Row],[Runs]]</f>
        <v>-49</v>
      </c>
      <c r="BJ542">
        <f ca="1">IFERROR(IF(MATCH(Table9[[#This Row],[Bowler]],OFFSET(AR543,0,0,BOWLROWS-ROW(AR542)-ROW(Table9[[#Headers],[BOWLER CUML WICKETS]])),0)&gt;0,0,SUMIF($AR$6:AR542,Table9[[#This Row],[Bowler]],$AV$6:AV542)),SUMIF($AR$6:AR542,Table9[[#This Row],[Bowler]],$AV$6:AV542))</f>
        <v>9</v>
      </c>
      <c r="BK542">
        <f ca="1">IFERROR(IF(MATCH(Table9[[#This Row],[Bowler]],OFFSET(AR543,0,0,BOWLROWS-ROW(AR542)-ROW(Table9[[#Headers],[BOWLER CUML WICKETS]])),0)&gt;0,0,SUMIF($AR$6:AR542,Table9[[#This Row],[Bowler]],$AU$6:AU542)),SUMIF($AR$6:AR542,Table9[[#This Row],[Bowler]],$AU$6:AU542))</f>
        <v>325</v>
      </c>
      <c r="BL542">
        <f ca="1">Table9[[#This Row],[BOWLER CUML WICKETS]]*100-Table9[[#This Row],[BOWLER CUML RUNS]]</f>
        <v>575</v>
      </c>
    </row>
    <row r="543" spans="1:64" x14ac:dyDescent="0.3">
      <c r="A543">
        <v>20</v>
      </c>
      <c r="B543" t="s">
        <v>140</v>
      </c>
      <c r="C543" t="s">
        <v>360</v>
      </c>
      <c r="D543" t="s">
        <v>585</v>
      </c>
      <c r="E543">
        <v>6</v>
      </c>
      <c r="G543">
        <v>7</v>
      </c>
      <c r="H543">
        <v>0</v>
      </c>
      <c r="I543">
        <v>1</v>
      </c>
      <c r="J543">
        <v>85.71</v>
      </c>
      <c r="K543">
        <v>7</v>
      </c>
      <c r="L543" t="str">
        <f>CONCATENATE(T_BATTINGDATA[[#This Row],[Match]],T_BATTINGDATA[[#This Row],[Team]],T_BATTINGDATA[[#This Row],[Bat Number]])</f>
        <v>20New Zealand7</v>
      </c>
      <c r="M543" t="str">
        <f>IFERROR(IF(AND(T_BATTINGDATA[[#This Row],[Team]]=I_TEAM,IFERROR(IF(MATCH(T_BATTINGDATA[[#This Row],[BATSMAN NAME]],$O$5:O542,0)&gt;0,0),1)),1,0),"")</f>
        <v/>
      </c>
      <c r="N543" t="e">
        <f>IF(T_BATTINGDATA[[#This Row],[Team]]=I_TEAM,T_BATTINGDATA[[#This Row],[R]],0)</f>
        <v>#REF!</v>
      </c>
      <c r="O543" t="str">
        <f>LEFT(T_BATTINGDATA[[#This Row],[Batsman]],IFERROR(FIND("*",T_BATTINGDATA[[#This Row],[Batsman]])-1,IFERROR(FIND("†",T_BATTINGDATA[[#This Row],[Batsman]])-1,LEN(T_BATTINGDATA[[#This Row],[Batsman]]))))</f>
        <v>L Ronchi</v>
      </c>
      <c r="P543">
        <f ca="1">IFERROR(IF(MATCH(T_BATTINGDATA[[#This Row],[BATSMAN NAME]],OFFSET(O544,0,0,BATROWS-ROW(O543)-ROW(T_BATTINGDATA[[#Headers],[BATSMAN NAME]])),0)&gt;0,0,SUMIF($O$6:O543,T_BATTINGDATA[[#This Row],[BATSMAN NAME]],$E$6:E543)),SUMIF($O$6:O543,T_BATTINGDATA[[#This Row],[BATSMAN NAME]],$E$6:E543))</f>
        <v>0</v>
      </c>
      <c r="AP543">
        <v>37</v>
      </c>
      <c r="AQ543" t="s">
        <v>181</v>
      </c>
      <c r="AR543" t="s">
        <v>339</v>
      </c>
      <c r="AS543">
        <v>4</v>
      </c>
      <c r="AT543">
        <v>0</v>
      </c>
      <c r="AU543">
        <v>19</v>
      </c>
      <c r="AV543">
        <v>0</v>
      </c>
      <c r="AW543">
        <v>4.75</v>
      </c>
      <c r="AX543">
        <v>10</v>
      </c>
      <c r="AY543">
        <v>1</v>
      </c>
      <c r="AZ543">
        <v>0</v>
      </c>
      <c r="BA543">
        <v>1</v>
      </c>
      <c r="BB543">
        <v>0</v>
      </c>
      <c r="BC543">
        <v>5</v>
      </c>
      <c r="BD543" t="str">
        <f>CONCATENATE(Table9[[#This Row],[Match Number]],Table9[[#This Row],[Team]],Table9[[#This Row],[BOWL NUM]])</f>
        <v>37Bangladesh5</v>
      </c>
      <c r="BE543" t="str">
        <f>IFERROR(IF(AND(Table9[[#This Row],[Team]]=I_TEAM,IFERROR(IF(MATCH(Table9[[#This Row],[Bowler]],$AR$5:AR542,0)&gt;0,0),1)),1,0),"")</f>
        <v/>
      </c>
      <c r="BF543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54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543" t="e">
        <f>IF(Table9[[#This Row],[Team]]=I_TEAM,Table9[[#This Row],[Wickets]]*100-Table9[[#This Row],[Runs]],0)</f>
        <v>#REF!</v>
      </c>
      <c r="BI543">
        <f>Table9[[#This Row],[Wickets]]*100-Table9[[#This Row],[Runs]]</f>
        <v>-19</v>
      </c>
      <c r="BJ543">
        <f ca="1">IFERROR(IF(MATCH(Table9[[#This Row],[Bowler]],OFFSET(AR544,0,0,BOWLROWS-ROW(AR543)-ROW(Table9[[#Headers],[BOWLER CUML WICKETS]])),0)&gt;0,0,SUMIF($AR$6:AR543,Table9[[#This Row],[Bowler]],$AV$6:AV543)),SUMIF($AR$6:AR543,Table9[[#This Row],[Bowler]],$AV$6:AV543))</f>
        <v>0</v>
      </c>
      <c r="BK543">
        <f ca="1">IFERROR(IF(MATCH(Table9[[#This Row],[Bowler]],OFFSET(AR544,0,0,BOWLROWS-ROW(AR543)-ROW(Table9[[#Headers],[BOWLER CUML WICKETS]])),0)&gt;0,0,SUMIF($AR$6:AR543,Table9[[#This Row],[Bowler]],$AU$6:AU543)),SUMIF($AR$6:AR543,Table9[[#This Row],[Bowler]],$AU$6:AU543))</f>
        <v>32</v>
      </c>
      <c r="BL543">
        <f ca="1">Table9[[#This Row],[BOWLER CUML WICKETS]]*100-Table9[[#This Row],[BOWLER CUML RUNS]]</f>
        <v>-32</v>
      </c>
    </row>
    <row r="544" spans="1:64" x14ac:dyDescent="0.3">
      <c r="A544">
        <v>20</v>
      </c>
      <c r="B544" t="s">
        <v>140</v>
      </c>
      <c r="C544" t="s">
        <v>303</v>
      </c>
      <c r="D544" t="s">
        <v>694</v>
      </c>
      <c r="E544">
        <v>2</v>
      </c>
      <c r="G544">
        <v>3</v>
      </c>
      <c r="H544">
        <v>0</v>
      </c>
      <c r="I544">
        <v>0</v>
      </c>
      <c r="J544">
        <v>66.66</v>
      </c>
      <c r="K544">
        <v>8</v>
      </c>
      <c r="L544" t="str">
        <f>CONCATENATE(T_BATTINGDATA[[#This Row],[Match]],T_BATTINGDATA[[#This Row],[Team]],T_BATTINGDATA[[#This Row],[Bat Number]])</f>
        <v>20New Zealand8</v>
      </c>
      <c r="M544" t="str">
        <f>IFERROR(IF(AND(T_BATTINGDATA[[#This Row],[Team]]=I_TEAM,IFERROR(IF(MATCH(T_BATTINGDATA[[#This Row],[BATSMAN NAME]],$O$5:O543,0)&gt;0,0),1)),1,0),"")</f>
        <v/>
      </c>
      <c r="N544" t="e">
        <f>IF(T_BATTINGDATA[[#This Row],[Team]]=I_TEAM,T_BATTINGDATA[[#This Row],[R]],0)</f>
        <v>#REF!</v>
      </c>
      <c r="O544" t="str">
        <f>LEFT(T_BATTINGDATA[[#This Row],[Batsman]],IFERROR(FIND("*",T_BATTINGDATA[[#This Row],[Batsman]])-1,IFERROR(FIND("†",T_BATTINGDATA[[#This Row],[Batsman]])-1,LEN(T_BATTINGDATA[[#This Row],[Batsman]]))))</f>
        <v>DL Vettori</v>
      </c>
      <c r="P544">
        <f ca="1">IFERROR(IF(MATCH(T_BATTINGDATA[[#This Row],[BATSMAN NAME]],OFFSET(O545,0,0,BATROWS-ROW(O544)-ROW(T_BATTINGDATA[[#Headers],[BATSMAN NAME]])),0)&gt;0,0,SUMIF($O$6:O544,T_BATTINGDATA[[#This Row],[BATSMAN NAME]],$E$6:E544)),SUMIF($O$6:O544,T_BATTINGDATA[[#This Row],[BATSMAN NAME]],$E$6:E544))</f>
        <v>0</v>
      </c>
      <c r="AP544">
        <v>37</v>
      </c>
      <c r="AQ544" t="s">
        <v>181</v>
      </c>
      <c r="AR544" t="s">
        <v>342</v>
      </c>
      <c r="AS544">
        <v>2</v>
      </c>
      <c r="AT544">
        <v>0</v>
      </c>
      <c r="AU544">
        <v>14</v>
      </c>
      <c r="AV544">
        <v>0</v>
      </c>
      <c r="AW544">
        <v>7</v>
      </c>
      <c r="AX544">
        <v>4</v>
      </c>
      <c r="AY544">
        <v>2</v>
      </c>
      <c r="AZ544">
        <v>0</v>
      </c>
      <c r="BA544">
        <v>0</v>
      </c>
      <c r="BB544">
        <v>0</v>
      </c>
      <c r="BC544">
        <v>6</v>
      </c>
      <c r="BD544" t="str">
        <f>CONCATENATE(Table9[[#This Row],[Match Number]],Table9[[#This Row],[Team]],Table9[[#This Row],[BOWL NUM]])</f>
        <v>37Bangladesh6</v>
      </c>
      <c r="BE544" t="str">
        <f>IFERROR(IF(AND(Table9[[#This Row],[Team]]=I_TEAM,IFERROR(IF(MATCH(Table9[[#This Row],[Bowler]],$AR$5:AR543,0)&gt;0,0),1)),1,0),"")</f>
        <v/>
      </c>
      <c r="BF544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54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544" t="e">
        <f>IF(Table9[[#This Row],[Team]]=I_TEAM,Table9[[#This Row],[Wickets]]*100-Table9[[#This Row],[Runs]],0)</f>
        <v>#REF!</v>
      </c>
      <c r="BI544">
        <f>Table9[[#This Row],[Wickets]]*100-Table9[[#This Row],[Runs]]</f>
        <v>-14</v>
      </c>
      <c r="BJ544">
        <f ca="1">IFERROR(IF(MATCH(Table9[[#This Row],[Bowler]],OFFSET(AR545,0,0,BOWLROWS-ROW(AR544)-ROW(Table9[[#Headers],[BOWLER CUML WICKETS]])),0)&gt;0,0,SUMIF($AR$6:AR544,Table9[[#This Row],[Bowler]],$AV$6:AV544)),SUMIF($AR$6:AR544,Table9[[#This Row],[Bowler]],$AV$6:AV544))</f>
        <v>1</v>
      </c>
      <c r="BK544">
        <f ca="1">IFERROR(IF(MATCH(Table9[[#This Row],[Bowler]],OFFSET(AR545,0,0,BOWLROWS-ROW(AR544)-ROW(Table9[[#Headers],[BOWLER CUML WICKETS]])),0)&gt;0,0,SUMIF($AR$6:AR544,Table9[[#This Row],[Bowler]],$AU$6:AU544)),SUMIF($AR$6:AR544,Table9[[#This Row],[Bowler]],$AU$6:AU544))</f>
        <v>104</v>
      </c>
      <c r="BL544">
        <f ca="1">Table9[[#This Row],[BOWLER CUML WICKETS]]*100-Table9[[#This Row],[BOWLER CUML RUNS]]</f>
        <v>-4</v>
      </c>
    </row>
    <row r="545" spans="1:64" x14ac:dyDescent="0.3">
      <c r="A545">
        <v>20</v>
      </c>
      <c r="B545" t="s">
        <v>140</v>
      </c>
      <c r="C545" t="s">
        <v>301</v>
      </c>
      <c r="D545" t="s">
        <v>410</v>
      </c>
      <c r="E545">
        <v>0</v>
      </c>
      <c r="G545">
        <v>2</v>
      </c>
      <c r="H545">
        <v>0</v>
      </c>
      <c r="I545">
        <v>0</v>
      </c>
      <c r="J545">
        <v>0</v>
      </c>
      <c r="K545">
        <v>9</v>
      </c>
      <c r="L545" t="str">
        <f>CONCATENATE(T_BATTINGDATA[[#This Row],[Match]],T_BATTINGDATA[[#This Row],[Team]],T_BATTINGDATA[[#This Row],[Bat Number]])</f>
        <v>20New Zealand9</v>
      </c>
      <c r="M545" t="str">
        <f>IFERROR(IF(AND(T_BATTINGDATA[[#This Row],[Team]]=I_TEAM,IFERROR(IF(MATCH(T_BATTINGDATA[[#This Row],[BATSMAN NAME]],$O$5:O544,0)&gt;0,0),1)),1,0),"")</f>
        <v/>
      </c>
      <c r="N545" t="e">
        <f>IF(T_BATTINGDATA[[#This Row],[Team]]=I_TEAM,T_BATTINGDATA[[#This Row],[R]],0)</f>
        <v>#REF!</v>
      </c>
      <c r="O545" t="str">
        <f>LEFT(T_BATTINGDATA[[#This Row],[Batsman]],IFERROR(FIND("*",T_BATTINGDATA[[#This Row],[Batsman]])-1,IFERROR(FIND("†",T_BATTINGDATA[[#This Row],[Batsman]])-1,LEN(T_BATTINGDATA[[#This Row],[Batsman]]))))</f>
        <v>AF Milne</v>
      </c>
      <c r="P545">
        <f ca="1">IFERROR(IF(MATCH(T_BATTINGDATA[[#This Row],[BATSMAN NAME]],OFFSET(O546,0,0,BATROWS-ROW(O545)-ROW(T_BATTINGDATA[[#Headers],[BATSMAN NAME]])),0)&gt;0,0,SUMIF($O$6:O545,T_BATTINGDATA[[#This Row],[BATSMAN NAME]],$E$6:E545)),SUMIF($O$6:O545,T_BATTINGDATA[[#This Row],[BATSMAN NAME]],$E$6:E545))</f>
        <v>1</v>
      </c>
      <c r="AP545">
        <v>37</v>
      </c>
      <c r="AQ545" t="s">
        <v>181</v>
      </c>
      <c r="AR545" t="s">
        <v>275</v>
      </c>
      <c r="AS545">
        <v>3</v>
      </c>
      <c r="AT545">
        <v>0</v>
      </c>
      <c r="AU545">
        <v>22</v>
      </c>
      <c r="AV545">
        <v>0</v>
      </c>
      <c r="AW545">
        <v>7.33</v>
      </c>
      <c r="AX545">
        <v>5</v>
      </c>
      <c r="AY545">
        <v>2</v>
      </c>
      <c r="AZ545">
        <v>0</v>
      </c>
      <c r="BA545">
        <v>1</v>
      </c>
      <c r="BB545">
        <v>0</v>
      </c>
      <c r="BC545">
        <v>7</v>
      </c>
      <c r="BD545" t="str">
        <f>CONCATENATE(Table9[[#This Row],[Match Number]],Table9[[#This Row],[Team]],Table9[[#This Row],[BOWL NUM]])</f>
        <v>37Bangladesh7</v>
      </c>
      <c r="BE545" t="str">
        <f>IFERROR(IF(AND(Table9[[#This Row],[Team]]=I_TEAM,IFERROR(IF(MATCH(Table9[[#This Row],[Bowler]],$AR$5:AR544,0)&gt;0,0),1)),1,0),"")</f>
        <v/>
      </c>
      <c r="BF545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54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545" t="e">
        <f>IF(Table9[[#This Row],[Team]]=I_TEAM,Table9[[#This Row],[Wickets]]*100-Table9[[#This Row],[Runs]],0)</f>
        <v>#REF!</v>
      </c>
      <c r="BI545">
        <f>Table9[[#This Row],[Wickets]]*100-Table9[[#This Row],[Runs]]</f>
        <v>-22</v>
      </c>
      <c r="BJ545">
        <f ca="1">IFERROR(IF(MATCH(Table9[[#This Row],[Bowler]],OFFSET(AR546,0,0,BOWLROWS-ROW(AR545)-ROW(Table9[[#Headers],[BOWLER CUML WICKETS]])),0)&gt;0,0,SUMIF($AR$6:AR545,Table9[[#This Row],[Bowler]],$AV$6:AV545)),SUMIF($AR$6:AR545,Table9[[#This Row],[Bowler]],$AV$6:AV545))</f>
        <v>1</v>
      </c>
      <c r="BK545">
        <f ca="1">IFERROR(IF(MATCH(Table9[[#This Row],[Bowler]],OFFSET(AR546,0,0,BOWLROWS-ROW(AR545)-ROW(Table9[[#Headers],[BOWLER CUML WICKETS]])),0)&gt;0,0,SUMIF($AR$6:AR545,Table9[[#This Row],[Bowler]],$AU$6:AU545)),SUMIF($AR$6:AR545,Table9[[#This Row],[Bowler]],$AU$6:AU545))</f>
        <v>135</v>
      </c>
      <c r="BL545">
        <f ca="1">Table9[[#This Row],[BOWLER CUML WICKETS]]*100-Table9[[#This Row],[BOWLER CUML RUNS]]</f>
        <v>-35</v>
      </c>
    </row>
    <row r="546" spans="1:64" x14ac:dyDescent="0.3">
      <c r="A546">
        <v>20</v>
      </c>
      <c r="B546" t="s">
        <v>140</v>
      </c>
      <c r="C546" t="s">
        <v>297</v>
      </c>
      <c r="D546" t="s">
        <v>410</v>
      </c>
      <c r="E546">
        <v>0</v>
      </c>
      <c r="G546">
        <v>1</v>
      </c>
      <c r="H546">
        <v>0</v>
      </c>
      <c r="I546">
        <v>0</v>
      </c>
      <c r="J546">
        <v>0</v>
      </c>
      <c r="K546">
        <v>10</v>
      </c>
      <c r="L546" t="str">
        <f>CONCATENATE(T_BATTINGDATA[[#This Row],[Match]],T_BATTINGDATA[[#This Row],[Team]],T_BATTINGDATA[[#This Row],[Bat Number]])</f>
        <v>20New Zealand10</v>
      </c>
      <c r="M546" t="str">
        <f>IFERROR(IF(AND(T_BATTINGDATA[[#This Row],[Team]]=I_TEAM,IFERROR(IF(MATCH(T_BATTINGDATA[[#This Row],[BATSMAN NAME]],$O$5:O545,0)&gt;0,0),1)),1,0),"")</f>
        <v/>
      </c>
      <c r="N546" t="e">
        <f>IF(T_BATTINGDATA[[#This Row],[Team]]=I_TEAM,T_BATTINGDATA[[#This Row],[R]],0)</f>
        <v>#REF!</v>
      </c>
      <c r="O546" t="str">
        <f>LEFT(T_BATTINGDATA[[#This Row],[Batsman]],IFERROR(FIND("*",T_BATTINGDATA[[#This Row],[Batsman]])-1,IFERROR(FIND("†",T_BATTINGDATA[[#This Row],[Batsman]])-1,LEN(T_BATTINGDATA[[#This Row],[Batsman]]))))</f>
        <v>TG Southee</v>
      </c>
      <c r="P546">
        <f ca="1">IFERROR(IF(MATCH(T_BATTINGDATA[[#This Row],[BATSMAN NAME]],OFFSET(O547,0,0,BATROWS-ROW(O546)-ROW(T_BATTINGDATA[[#Headers],[BATSMAN NAME]])),0)&gt;0,0,SUMIF($O$6:O546,T_BATTINGDATA[[#This Row],[BATSMAN NAME]],$E$6:E546)),SUMIF($O$6:O546,T_BATTINGDATA[[#This Row],[BATSMAN NAME]],$E$6:E546))</f>
        <v>0</v>
      </c>
      <c r="AP546">
        <v>37</v>
      </c>
      <c r="AQ546" t="s">
        <v>181</v>
      </c>
      <c r="AR546" t="s">
        <v>272</v>
      </c>
      <c r="AS546">
        <v>5</v>
      </c>
      <c r="AT546">
        <v>0</v>
      </c>
      <c r="AU546">
        <v>32</v>
      </c>
      <c r="AV546">
        <v>2</v>
      </c>
      <c r="AW546">
        <v>6.4</v>
      </c>
      <c r="AX546">
        <v>18</v>
      </c>
      <c r="AY546">
        <v>3</v>
      </c>
      <c r="AZ546">
        <v>2</v>
      </c>
      <c r="BA546">
        <v>0</v>
      </c>
      <c r="BB546">
        <v>0</v>
      </c>
      <c r="BC546">
        <v>8</v>
      </c>
      <c r="BD546" t="str">
        <f>CONCATENATE(Table9[[#This Row],[Match Number]],Table9[[#This Row],[Team]],Table9[[#This Row],[BOWL NUM]])</f>
        <v>37Bangladesh8</v>
      </c>
      <c r="BE546" t="str">
        <f>IFERROR(IF(AND(Table9[[#This Row],[Team]]=I_TEAM,IFERROR(IF(MATCH(Table9[[#This Row],[Bowler]],$AR$5:AR545,0)&gt;0,0),1)),1,0),"")</f>
        <v/>
      </c>
      <c r="BF546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54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546" t="e">
        <f>IF(Table9[[#This Row],[Team]]=I_TEAM,Table9[[#This Row],[Wickets]]*100-Table9[[#This Row],[Runs]],0)</f>
        <v>#REF!</v>
      </c>
      <c r="BI546">
        <f>Table9[[#This Row],[Wickets]]*100-Table9[[#This Row],[Runs]]</f>
        <v>168</v>
      </c>
      <c r="BJ546">
        <f ca="1">IFERROR(IF(MATCH(Table9[[#This Row],[Bowler]],OFFSET(AR547,0,0,BOWLROWS-ROW(AR546)-ROW(Table9[[#Headers],[BOWLER CUML WICKETS]])),0)&gt;0,0,SUMIF($AR$6:AR590,Table9[[#This Row],[Bowler]],$AV$6:AV590)),SUMIF($AR$6:AR590,Table9[[#This Row],[Bowler]],$AV$6:AV590))</f>
        <v>4</v>
      </c>
      <c r="BK546">
        <f ca="1">IFERROR(IF(MATCH(Table9[[#This Row],[Bowler]],OFFSET(AR547,0,0,BOWLROWS-ROW(AR546)-ROW(Table9[[#Headers],[BOWLER CUML WICKETS]])),0)&gt;0,0,SUMIF($AR$6:AR590,Table9[[#This Row],[Bowler]],$AU$6:AU590)),SUMIF($AR$6:AR590,Table9[[#This Row],[Bowler]],$AU$6:AU590))</f>
        <v>99</v>
      </c>
      <c r="BL546">
        <f ca="1">Table9[[#This Row],[BOWLER CUML WICKETS]]*100-Table9[[#This Row],[BOWLER CUML RUNS]]</f>
        <v>301</v>
      </c>
    </row>
    <row r="547" spans="1:64" x14ac:dyDescent="0.3">
      <c r="A547">
        <v>20</v>
      </c>
      <c r="B547" t="s">
        <v>140</v>
      </c>
      <c r="C547" t="s">
        <v>299</v>
      </c>
      <c r="D547" t="s">
        <v>167</v>
      </c>
      <c r="E547">
        <v>0</v>
      </c>
      <c r="G547">
        <v>2</v>
      </c>
      <c r="H547">
        <v>0</v>
      </c>
      <c r="I547">
        <v>0</v>
      </c>
      <c r="J547">
        <v>0</v>
      </c>
      <c r="K547">
        <v>11</v>
      </c>
      <c r="L547" t="str">
        <f>CONCATENATE(T_BATTINGDATA[[#This Row],[Match]],T_BATTINGDATA[[#This Row],[Team]],T_BATTINGDATA[[#This Row],[Bat Number]])</f>
        <v>20New Zealand11</v>
      </c>
      <c r="M547" t="str">
        <f>IFERROR(IF(AND(T_BATTINGDATA[[#This Row],[Team]]=I_TEAM,IFERROR(IF(MATCH(T_BATTINGDATA[[#This Row],[BATSMAN NAME]],$O$5:O546,0)&gt;0,0),1)),1,0),"")</f>
        <v/>
      </c>
      <c r="N547" t="e">
        <f>IF(T_BATTINGDATA[[#This Row],[Team]]=I_TEAM,T_BATTINGDATA[[#This Row],[R]],0)</f>
        <v>#REF!</v>
      </c>
      <c r="O547" t="str">
        <f>LEFT(T_BATTINGDATA[[#This Row],[Batsman]],IFERROR(FIND("*",T_BATTINGDATA[[#This Row],[Batsman]])-1,IFERROR(FIND("†",T_BATTINGDATA[[#This Row],[Batsman]])-1,LEN(T_BATTINGDATA[[#This Row],[Batsman]]))))</f>
        <v>TA Boult</v>
      </c>
      <c r="P547">
        <f ca="1">IFERROR(IF(MATCH(T_BATTINGDATA[[#This Row],[BATSMAN NAME]],OFFSET(O548,0,0,BATROWS-ROW(O547)-ROW(T_BATTINGDATA[[#Headers],[BATSMAN NAME]])),0)&gt;0,0,SUMIF($O$6:O547,T_BATTINGDATA[[#This Row],[BATSMAN NAME]],$E$6:E547)),SUMIF($O$6:O547,T_BATTINGDATA[[#This Row],[BATSMAN NAME]],$E$6:E547))</f>
        <v>0</v>
      </c>
      <c r="AP547">
        <v>38</v>
      </c>
      <c r="AQ547" t="s">
        <v>154</v>
      </c>
      <c r="AR547" t="s">
        <v>310</v>
      </c>
      <c r="AS547">
        <v>7</v>
      </c>
      <c r="AT547">
        <v>0</v>
      </c>
      <c r="AU547">
        <v>18</v>
      </c>
      <c r="AV547">
        <v>1</v>
      </c>
      <c r="AW547">
        <v>2.57</v>
      </c>
      <c r="AX547">
        <v>32</v>
      </c>
      <c r="AY547">
        <v>1</v>
      </c>
      <c r="AZ547">
        <v>0</v>
      </c>
      <c r="BA547">
        <v>2</v>
      </c>
      <c r="BB547">
        <v>0</v>
      </c>
      <c r="BC547">
        <v>1</v>
      </c>
      <c r="BD547" t="str">
        <f>CONCATENATE(Table9[[#This Row],[Match Number]],Table9[[#This Row],[Team]],Table9[[#This Row],[BOWL NUM]])</f>
        <v>38England1</v>
      </c>
      <c r="BE547" t="str">
        <f>IFERROR(IF(AND(Table9[[#This Row],[Team]]=I_TEAM,IFERROR(IF(MATCH(Table9[[#This Row],[Bowler]],$AR$5:AR546,0)&gt;0,0),1)),1,0),"")</f>
        <v/>
      </c>
      <c r="BF547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54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547" t="e">
        <f>IF(Table9[[#This Row],[Team]]=I_TEAM,Table9[[#This Row],[Wickets]]*100-Table9[[#This Row],[Runs]],0)</f>
        <v>#REF!</v>
      </c>
      <c r="BI547">
        <f>Table9[[#This Row],[Wickets]]*100-Table9[[#This Row],[Runs]]</f>
        <v>82</v>
      </c>
      <c r="BJ547">
        <f ca="1">IFERROR(IF(MATCH(Table9[[#This Row],[Bowler]],OFFSET(AR548,0,0,BOWLROWS-ROW(AR547)-ROW(Table9[[#Headers],[BOWLER CUML WICKETS]])),0)&gt;0,0,SUMIF($AR$6:AR547,Table9[[#This Row],[Bowler]],$AV$6:AV547)),SUMIF($AR$6:AR547,Table9[[#This Row],[Bowler]],$AV$6:AV547))</f>
        <v>5</v>
      </c>
      <c r="BK547">
        <f ca="1">IFERROR(IF(MATCH(Table9[[#This Row],[Bowler]],OFFSET(AR548,0,0,BOWLROWS-ROW(AR547)-ROW(Table9[[#Headers],[BOWLER CUML WICKETS]])),0)&gt;0,0,SUMIF($AR$6:AR547,Table9[[#This Row],[Bowler]],$AU$6:AU547)),SUMIF($AR$6:AR547,Table9[[#This Row],[Bowler]],$AU$6:AU547))</f>
        <v>245</v>
      </c>
      <c r="BL547">
        <f ca="1">Table9[[#This Row],[BOWLER CUML WICKETS]]*100-Table9[[#This Row],[BOWLER CUML RUNS]]</f>
        <v>255</v>
      </c>
    </row>
    <row r="548" spans="1:64" x14ac:dyDescent="0.3">
      <c r="A548">
        <v>22</v>
      </c>
      <c r="B548" t="s">
        <v>154</v>
      </c>
      <c r="C548" t="s">
        <v>318</v>
      </c>
      <c r="D548" t="s">
        <v>695</v>
      </c>
      <c r="E548">
        <v>15</v>
      </c>
      <c r="F548">
        <v>43</v>
      </c>
      <c r="G548">
        <v>26</v>
      </c>
      <c r="H548">
        <v>3</v>
      </c>
      <c r="I548">
        <v>0</v>
      </c>
      <c r="J548">
        <v>57.69</v>
      </c>
      <c r="K548">
        <v>1</v>
      </c>
      <c r="L548" t="str">
        <f>CONCATENATE(T_BATTINGDATA[[#This Row],[Match]],T_BATTINGDATA[[#This Row],[Team]],T_BATTINGDATA[[#This Row],[Bat Number]])</f>
        <v>22England1</v>
      </c>
      <c r="M548" t="str">
        <f>IFERROR(IF(AND(T_BATTINGDATA[[#This Row],[Team]]=I_TEAM,IFERROR(IF(MATCH(T_BATTINGDATA[[#This Row],[BATSMAN NAME]],$O$5:O547,0)&gt;0,0),1)),1,0),"")</f>
        <v/>
      </c>
      <c r="N548" t="e">
        <f>IF(T_BATTINGDATA[[#This Row],[Team]]=I_TEAM,T_BATTINGDATA[[#This Row],[R]],0)</f>
        <v>#REF!</v>
      </c>
      <c r="O548" t="str">
        <f>LEFT(T_BATTINGDATA[[#This Row],[Batsman]],IFERROR(FIND("*",T_BATTINGDATA[[#This Row],[Batsman]])-1,IFERROR(FIND("†",T_BATTINGDATA[[#This Row],[Batsman]])-1,LEN(T_BATTINGDATA[[#This Row],[Batsman]]))))</f>
        <v>MM Ali</v>
      </c>
      <c r="P548">
        <f ca="1">IFERROR(IF(MATCH(T_BATTINGDATA[[#This Row],[BATSMAN NAME]],OFFSET(O549,0,0,BATROWS-ROW(O548)-ROW(T_BATTINGDATA[[#Headers],[BATSMAN NAME]])),0)&gt;0,0,SUMIF($O$6:O548,T_BATTINGDATA[[#This Row],[BATSMAN NAME]],$E$6:E548)),SUMIF($O$6:O548,T_BATTINGDATA[[#This Row],[BATSMAN NAME]],$E$6:E548))</f>
        <v>0</v>
      </c>
      <c r="AP548">
        <v>38</v>
      </c>
      <c r="AQ548" t="s">
        <v>154</v>
      </c>
      <c r="AR548" t="s">
        <v>312</v>
      </c>
      <c r="AS548">
        <v>8</v>
      </c>
      <c r="AT548">
        <v>1</v>
      </c>
      <c r="AU548">
        <v>18</v>
      </c>
      <c r="AV548">
        <v>1</v>
      </c>
      <c r="AW548">
        <v>2.25</v>
      </c>
      <c r="AX548">
        <v>36</v>
      </c>
      <c r="AY548">
        <v>0</v>
      </c>
      <c r="AZ548">
        <v>0</v>
      </c>
      <c r="BA548">
        <v>2</v>
      </c>
      <c r="BB548">
        <v>0</v>
      </c>
      <c r="BC548">
        <v>2</v>
      </c>
      <c r="BD548" t="str">
        <f>CONCATENATE(Table9[[#This Row],[Match Number]],Table9[[#This Row],[Team]],Table9[[#This Row],[BOWL NUM]])</f>
        <v>38England2</v>
      </c>
      <c r="BE548" t="str">
        <f>IFERROR(IF(AND(Table9[[#This Row],[Team]]=I_TEAM,IFERROR(IF(MATCH(Table9[[#This Row],[Bowler]],$AR$5:AR547,0)&gt;0,0),1)),1,0),"")</f>
        <v/>
      </c>
      <c r="BF548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4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548" t="e">
        <f>IF(Table9[[#This Row],[Team]]=I_TEAM,Table9[[#This Row],[Wickets]]*100-Table9[[#This Row],[Runs]],0)</f>
        <v>#REF!</v>
      </c>
      <c r="BI548">
        <f>Table9[[#This Row],[Wickets]]*100-Table9[[#This Row],[Runs]]</f>
        <v>82</v>
      </c>
      <c r="BJ548">
        <f ca="1">IFERROR(IF(MATCH(Table9[[#This Row],[Bowler]],OFFSET(AR549,0,0,BOWLROWS-ROW(AR548)-ROW(Table9[[#Headers],[BOWLER CUML WICKETS]])),0)&gt;0,0,SUMIF($AR$6:AR548,Table9[[#This Row],[Bowler]],$AV$6:AV548)),SUMIF($AR$6:AR548,Table9[[#This Row],[Bowler]],$AV$6:AV548))</f>
        <v>4</v>
      </c>
      <c r="BK548">
        <f ca="1">IFERROR(IF(MATCH(Table9[[#This Row],[Bowler]],OFFSET(AR549,0,0,BOWLROWS-ROW(AR548)-ROW(Table9[[#Headers],[BOWLER CUML WICKETS]])),0)&gt;0,0,SUMIF($AR$6:AR548,Table9[[#This Row],[Bowler]],$AU$6:AU548)),SUMIF($AR$6:AR548,Table9[[#This Row],[Bowler]],$AU$6:AU548))</f>
        <v>254</v>
      </c>
      <c r="BL548">
        <f ca="1">Table9[[#This Row],[BOWLER CUML WICKETS]]*100-Table9[[#This Row],[BOWLER CUML RUNS]]</f>
        <v>146</v>
      </c>
    </row>
    <row r="549" spans="1:64" x14ac:dyDescent="0.3">
      <c r="A549">
        <v>22</v>
      </c>
      <c r="B549" t="s">
        <v>154</v>
      </c>
      <c r="C549" t="s">
        <v>399</v>
      </c>
      <c r="D549" t="s">
        <v>670</v>
      </c>
      <c r="E549">
        <v>49</v>
      </c>
      <c r="F549">
        <v>87</v>
      </c>
      <c r="G549">
        <v>54</v>
      </c>
      <c r="H549">
        <v>7</v>
      </c>
      <c r="I549">
        <v>0</v>
      </c>
      <c r="J549">
        <v>90.74</v>
      </c>
      <c r="K549">
        <v>2</v>
      </c>
      <c r="L549" t="str">
        <f>CONCATENATE(T_BATTINGDATA[[#This Row],[Match]],T_BATTINGDATA[[#This Row],[Team]],T_BATTINGDATA[[#This Row],[Bat Number]])</f>
        <v>22England2</v>
      </c>
      <c r="M549" t="str">
        <f>IFERROR(IF(AND(T_BATTINGDATA[[#This Row],[Team]]=I_TEAM,IFERROR(IF(MATCH(T_BATTINGDATA[[#This Row],[BATSMAN NAME]],$O$5:O548,0)&gt;0,0),1)),1,0),"")</f>
        <v/>
      </c>
      <c r="N549" t="e">
        <f>IF(T_BATTINGDATA[[#This Row],[Team]]=I_TEAM,T_BATTINGDATA[[#This Row],[R]],0)</f>
        <v>#REF!</v>
      </c>
      <c r="O549" t="str">
        <f>LEFT(T_BATTINGDATA[[#This Row],[Batsman]],IFERROR(FIND("*",T_BATTINGDATA[[#This Row],[Batsman]])-1,IFERROR(FIND("†",T_BATTINGDATA[[#This Row],[Batsman]])-1,LEN(T_BATTINGDATA[[#This Row],[Batsman]]))))</f>
        <v>IR Bell</v>
      </c>
      <c r="P549">
        <f ca="1">IFERROR(IF(MATCH(T_BATTINGDATA[[#This Row],[BATSMAN NAME]],OFFSET(O550,0,0,BATROWS-ROW(O549)-ROW(T_BATTINGDATA[[#Headers],[BATSMAN NAME]])),0)&gt;0,0,SUMIF($O$6:O549,T_BATTINGDATA[[#This Row],[BATSMAN NAME]],$E$6:E549)),SUMIF($O$6:O549,T_BATTINGDATA[[#This Row],[BATSMAN NAME]],$E$6:E549))</f>
        <v>0</v>
      </c>
      <c r="AP549">
        <v>38</v>
      </c>
      <c r="AQ549" t="s">
        <v>154</v>
      </c>
      <c r="AR549" t="s">
        <v>663</v>
      </c>
      <c r="AS549">
        <v>6.2</v>
      </c>
      <c r="AT549">
        <v>2</v>
      </c>
      <c r="AU549">
        <v>13</v>
      </c>
      <c r="AV549">
        <v>2</v>
      </c>
      <c r="AW549">
        <v>2.0499999999999998</v>
      </c>
      <c r="AX549">
        <v>32</v>
      </c>
      <c r="AY549">
        <v>2</v>
      </c>
      <c r="AZ549">
        <v>0</v>
      </c>
      <c r="BA549">
        <v>1</v>
      </c>
      <c r="BB549">
        <v>0</v>
      </c>
      <c r="BC549">
        <v>3</v>
      </c>
      <c r="BD549" t="str">
        <f>CONCATENATE(Table9[[#This Row],[Match Number]],Table9[[#This Row],[Team]],Table9[[#This Row],[BOWL NUM]])</f>
        <v>38England3</v>
      </c>
      <c r="BE549" t="str">
        <f>IFERROR(IF(AND(Table9[[#This Row],[Team]]=I_TEAM,IFERROR(IF(MATCH(Table9[[#This Row],[Bowler]],$AR$5:AR548,0)&gt;0,0),1)),1,0),"")</f>
        <v/>
      </c>
      <c r="BF549">
        <f>(LEFT(Table9[[#This Row],[Overs]],IFERROR(FIND(".",Table9[[#This Row],[Overs]])-1,LEN(Table9[[#This Row],[Overs]])))*6) + IFERROR(IF(FIND(".",Table9[[#This Row],[Overs]])+1&gt;0,RIGHT(Table9[[#This Row],[Overs]],1),0),0)</f>
        <v>38</v>
      </c>
      <c r="BG54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549" t="e">
        <f>IF(Table9[[#This Row],[Team]]=I_TEAM,Table9[[#This Row],[Wickets]]*100-Table9[[#This Row],[Runs]],0)</f>
        <v>#REF!</v>
      </c>
      <c r="BI549">
        <f>Table9[[#This Row],[Wickets]]*100-Table9[[#This Row],[Runs]]</f>
        <v>187</v>
      </c>
      <c r="BJ549">
        <f ca="1">IFERROR(IF(MATCH(Table9[[#This Row],[Bowler]],OFFSET(AR550,0,0,BOWLROWS-ROW(AR549)-ROW(Table9[[#Headers],[BOWLER CUML WICKETS]])),0)&gt;0,0,SUMIF($AR$6:AR549,Table9[[#This Row],[Bowler]],$AV$6:AV549)),SUMIF($AR$6:AR549,Table9[[#This Row],[Bowler]],$AV$6:AV549))</f>
        <v>4</v>
      </c>
      <c r="BK549">
        <f ca="1">IFERROR(IF(MATCH(Table9[[#This Row],[Bowler]],OFFSET(AR550,0,0,BOWLROWS-ROW(AR549)-ROW(Table9[[#Headers],[BOWLER CUML WICKETS]])),0)&gt;0,0,SUMIF($AR$6:AR549,Table9[[#This Row],[Bowler]],$AU$6:AU549)),SUMIF($AR$6:AR549,Table9[[#This Row],[Bowler]],$AU$6:AU549))</f>
        <v>72</v>
      </c>
      <c r="BL549">
        <f ca="1">Table9[[#This Row],[BOWLER CUML WICKETS]]*100-Table9[[#This Row],[BOWLER CUML RUNS]]</f>
        <v>328</v>
      </c>
    </row>
    <row r="550" spans="1:64" x14ac:dyDescent="0.3">
      <c r="A550">
        <v>22</v>
      </c>
      <c r="B550" t="s">
        <v>154</v>
      </c>
      <c r="C550" t="s">
        <v>402</v>
      </c>
      <c r="D550" t="s">
        <v>696</v>
      </c>
      <c r="E550">
        <v>6</v>
      </c>
      <c r="F550">
        <v>10</v>
      </c>
      <c r="G550">
        <v>14</v>
      </c>
      <c r="H550">
        <v>1</v>
      </c>
      <c r="I550">
        <v>0</v>
      </c>
      <c r="J550">
        <v>42.85</v>
      </c>
      <c r="K550">
        <v>3</v>
      </c>
      <c r="L550" t="str">
        <f>CONCATENATE(T_BATTINGDATA[[#This Row],[Match]],T_BATTINGDATA[[#This Row],[Team]],T_BATTINGDATA[[#This Row],[Bat Number]])</f>
        <v>22England3</v>
      </c>
      <c r="M550" t="str">
        <f>IFERROR(IF(AND(T_BATTINGDATA[[#This Row],[Team]]=I_TEAM,IFERROR(IF(MATCH(T_BATTINGDATA[[#This Row],[BATSMAN NAME]],$O$5:O549,0)&gt;0,0),1)),1,0),"")</f>
        <v/>
      </c>
      <c r="N550" t="e">
        <f>IF(T_BATTINGDATA[[#This Row],[Team]]=I_TEAM,T_BATTINGDATA[[#This Row],[R]],0)</f>
        <v>#REF!</v>
      </c>
      <c r="O550" t="str">
        <f>LEFT(T_BATTINGDATA[[#This Row],[Batsman]],IFERROR(FIND("*",T_BATTINGDATA[[#This Row],[Batsman]])-1,IFERROR(FIND("†",T_BATTINGDATA[[#This Row],[Batsman]])-1,LEN(T_BATTINGDATA[[#This Row],[Batsman]]))))</f>
        <v>GS Ballance</v>
      </c>
      <c r="P550">
        <f ca="1">IFERROR(IF(MATCH(T_BATTINGDATA[[#This Row],[BATSMAN NAME]],OFFSET(O551,0,0,BATROWS-ROW(O550)-ROW(T_BATTINGDATA[[#Headers],[BATSMAN NAME]])),0)&gt;0,0,SUMIF($O$6:O550,T_BATTINGDATA[[#This Row],[BATSMAN NAME]],$E$6:E550)),SUMIF($O$6:O550,T_BATTINGDATA[[#This Row],[BATSMAN NAME]],$E$6:E550))</f>
        <v>36</v>
      </c>
      <c r="AP550">
        <v>38</v>
      </c>
      <c r="AQ550" t="s">
        <v>154</v>
      </c>
      <c r="AR550" t="s">
        <v>697</v>
      </c>
      <c r="AS550">
        <v>8</v>
      </c>
      <c r="AT550">
        <v>1</v>
      </c>
      <c r="AU550">
        <v>31</v>
      </c>
      <c r="AV550">
        <v>2</v>
      </c>
      <c r="AW550">
        <v>3.87</v>
      </c>
      <c r="AX550">
        <v>30</v>
      </c>
      <c r="AY550">
        <v>3</v>
      </c>
      <c r="AZ550">
        <v>0</v>
      </c>
      <c r="BA550">
        <v>1</v>
      </c>
      <c r="BB550">
        <v>0</v>
      </c>
      <c r="BC550">
        <v>4</v>
      </c>
      <c r="BD550" t="str">
        <f>CONCATENATE(Table9[[#This Row],[Match Number]],Table9[[#This Row],[Team]],Table9[[#This Row],[BOWL NUM]])</f>
        <v>38England4</v>
      </c>
      <c r="BE550" t="str">
        <f>IFERROR(IF(AND(Table9[[#This Row],[Team]]=I_TEAM,IFERROR(IF(MATCH(Table9[[#This Row],[Bowler]],$AR$5:AR549,0)&gt;0,0),1)),1,0),"")</f>
        <v/>
      </c>
      <c r="BF55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5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550" t="e">
        <f>IF(Table9[[#This Row],[Team]]=I_TEAM,Table9[[#This Row],[Wickets]]*100-Table9[[#This Row],[Runs]],0)</f>
        <v>#REF!</v>
      </c>
      <c r="BI550">
        <f>Table9[[#This Row],[Wickets]]*100-Table9[[#This Row],[Runs]]</f>
        <v>169</v>
      </c>
      <c r="BJ550">
        <f ca="1">IFERROR(IF(MATCH(Table9[[#This Row],[Bowler]],OFFSET(AR551,0,0,BOWLROWS-ROW(AR550)-ROW(Table9[[#Headers],[BOWLER CUML WICKETS]])),0)&gt;0,0,SUMIF($AR$6:AR550,Table9[[#This Row],[Bowler]],$AV$6:AV550)),SUMIF($AR$6:AR550,Table9[[#This Row],[Bowler]],$AV$6:AV550))</f>
        <v>2</v>
      </c>
      <c r="BK550">
        <f ca="1">IFERROR(IF(MATCH(Table9[[#This Row],[Bowler]],OFFSET(AR551,0,0,BOWLROWS-ROW(AR550)-ROW(Table9[[#Headers],[BOWLER CUML WICKETS]])),0)&gt;0,0,SUMIF($AR$6:AR550,Table9[[#This Row],[Bowler]],$AU$6:AU550)),SUMIF($AR$6:AR550,Table9[[#This Row],[Bowler]],$AU$6:AU550))</f>
        <v>31</v>
      </c>
      <c r="BL550">
        <f ca="1">Table9[[#This Row],[BOWLER CUML WICKETS]]*100-Table9[[#This Row],[BOWLER CUML RUNS]]</f>
        <v>169</v>
      </c>
    </row>
    <row r="551" spans="1:64" x14ac:dyDescent="0.3">
      <c r="A551">
        <v>22</v>
      </c>
      <c r="B551" t="s">
        <v>154</v>
      </c>
      <c r="C551" t="s">
        <v>320</v>
      </c>
      <c r="D551" t="s">
        <v>698</v>
      </c>
      <c r="E551">
        <v>121</v>
      </c>
      <c r="F551">
        <v>151</v>
      </c>
      <c r="G551">
        <v>108</v>
      </c>
      <c r="H551">
        <v>14</v>
      </c>
      <c r="I551">
        <v>2</v>
      </c>
      <c r="J551">
        <v>112.03</v>
      </c>
      <c r="K551">
        <v>4</v>
      </c>
      <c r="L551" t="str">
        <f>CONCATENATE(T_BATTINGDATA[[#This Row],[Match]],T_BATTINGDATA[[#This Row],[Team]],T_BATTINGDATA[[#This Row],[Bat Number]])</f>
        <v>22England4</v>
      </c>
      <c r="M551" t="str">
        <f>IFERROR(IF(AND(T_BATTINGDATA[[#This Row],[Team]]=I_TEAM,IFERROR(IF(MATCH(T_BATTINGDATA[[#This Row],[BATSMAN NAME]],$O$5:O550,0)&gt;0,0),1)),1,0),"")</f>
        <v/>
      </c>
      <c r="N551" t="e">
        <f>IF(T_BATTINGDATA[[#This Row],[Team]]=I_TEAM,T_BATTINGDATA[[#This Row],[R]],0)</f>
        <v>#REF!</v>
      </c>
      <c r="O551" t="str">
        <f>LEFT(T_BATTINGDATA[[#This Row],[Batsman]],IFERROR(FIND("*",T_BATTINGDATA[[#This Row],[Batsman]])-1,IFERROR(FIND("†",T_BATTINGDATA[[#This Row],[Batsman]])-1,LEN(T_BATTINGDATA[[#This Row],[Batsman]]))))</f>
        <v>JE Root</v>
      </c>
      <c r="P551">
        <f ca="1">IFERROR(IF(MATCH(T_BATTINGDATA[[#This Row],[BATSMAN NAME]],OFFSET(O552,0,0,BATROWS-ROW(O551)-ROW(T_BATTINGDATA[[#Headers],[BATSMAN NAME]])),0)&gt;0,0,SUMIF($O$6:O551,T_BATTINGDATA[[#This Row],[BATSMAN NAME]],$E$6:E551)),SUMIF($O$6:O551,T_BATTINGDATA[[#This Row],[BATSMAN NAME]],$E$6:E551))</f>
        <v>0</v>
      </c>
      <c r="AP551">
        <v>38</v>
      </c>
      <c r="AQ551" t="s">
        <v>154</v>
      </c>
      <c r="AR551" t="s">
        <v>699</v>
      </c>
      <c r="AS551">
        <v>7</v>
      </c>
      <c r="AT551">
        <v>0</v>
      </c>
      <c r="AU551">
        <v>25</v>
      </c>
      <c r="AV551">
        <v>1</v>
      </c>
      <c r="AW551">
        <v>3.57</v>
      </c>
      <c r="AX551">
        <v>27</v>
      </c>
      <c r="AY551">
        <v>1</v>
      </c>
      <c r="AZ551">
        <v>1</v>
      </c>
      <c r="BA551">
        <v>0</v>
      </c>
      <c r="BB551">
        <v>0</v>
      </c>
      <c r="BC551">
        <v>5</v>
      </c>
      <c r="BD551" t="str">
        <f>CONCATENATE(Table9[[#This Row],[Match Number]],Table9[[#This Row],[Team]],Table9[[#This Row],[BOWL NUM]])</f>
        <v>38England5</v>
      </c>
      <c r="BE551" t="str">
        <f>IFERROR(IF(AND(Table9[[#This Row],[Team]]=I_TEAM,IFERROR(IF(MATCH(Table9[[#This Row],[Bowler]],$AR$5:AR550,0)&gt;0,0),1)),1,0),"")</f>
        <v/>
      </c>
      <c r="BF551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55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551" t="e">
        <f>IF(Table9[[#This Row],[Team]]=I_TEAM,Table9[[#This Row],[Wickets]]*100-Table9[[#This Row],[Runs]],0)</f>
        <v>#REF!</v>
      </c>
      <c r="BI551">
        <f>Table9[[#This Row],[Wickets]]*100-Table9[[#This Row],[Runs]]</f>
        <v>75</v>
      </c>
      <c r="BJ551">
        <f ca="1">IFERROR(IF(MATCH(Table9[[#This Row],[Bowler]],OFFSET(AR552,0,0,BOWLROWS-ROW(AR551)-ROW(Table9[[#Headers],[BOWLER CUML WICKETS]])),0)&gt;0,0,SUMIF($AR$6:AR590,Table9[[#This Row],[Bowler]],$AV$6:AV590)),SUMIF($AR$6:AR590,Table9[[#This Row],[Bowler]],$AV$6:AV590))</f>
        <v>1</v>
      </c>
      <c r="BK551">
        <f ca="1">IFERROR(IF(MATCH(Table9[[#This Row],[Bowler]],OFFSET(AR552,0,0,BOWLROWS-ROW(AR551)-ROW(Table9[[#Headers],[BOWLER CUML WICKETS]])),0)&gt;0,0,SUMIF($AR$6:AR590,Table9[[#This Row],[Bowler]],$AU$6:AU590)),SUMIF($AR$6:AR590,Table9[[#This Row],[Bowler]],$AU$6:AU590))</f>
        <v>25</v>
      </c>
      <c r="BL551">
        <f ca="1">Table9[[#This Row],[BOWLER CUML WICKETS]]*100-Table9[[#This Row],[BOWLER CUML RUNS]]</f>
        <v>75</v>
      </c>
    </row>
    <row r="552" spans="1:64" x14ac:dyDescent="0.3">
      <c r="A552">
        <v>22</v>
      </c>
      <c r="B552" t="s">
        <v>154</v>
      </c>
      <c r="C552" t="s">
        <v>405</v>
      </c>
      <c r="D552" t="s">
        <v>700</v>
      </c>
      <c r="E552">
        <v>27</v>
      </c>
      <c r="F552">
        <v>54</v>
      </c>
      <c r="G552">
        <v>47</v>
      </c>
      <c r="H552">
        <v>2</v>
      </c>
      <c r="I552">
        <v>1</v>
      </c>
      <c r="J552">
        <v>57.44</v>
      </c>
      <c r="K552">
        <v>5</v>
      </c>
      <c r="L552" t="str">
        <f>CONCATENATE(T_BATTINGDATA[[#This Row],[Match]],T_BATTINGDATA[[#This Row],[Team]],T_BATTINGDATA[[#This Row],[Bat Number]])</f>
        <v>22England5</v>
      </c>
      <c r="M552" t="str">
        <f>IFERROR(IF(AND(T_BATTINGDATA[[#This Row],[Team]]=I_TEAM,IFERROR(IF(MATCH(T_BATTINGDATA[[#This Row],[BATSMAN NAME]],$O$5:O551,0)&gt;0,0),1)),1,0),"")</f>
        <v/>
      </c>
      <c r="N552" t="e">
        <f>IF(T_BATTINGDATA[[#This Row],[Team]]=I_TEAM,T_BATTINGDATA[[#This Row],[R]],0)</f>
        <v>#REF!</v>
      </c>
      <c r="O552" t="str">
        <f>LEFT(T_BATTINGDATA[[#This Row],[Batsman]],IFERROR(FIND("*",T_BATTINGDATA[[#This Row],[Batsman]])-1,IFERROR(FIND("†",T_BATTINGDATA[[#This Row],[Batsman]])-1,LEN(T_BATTINGDATA[[#This Row],[Batsman]]))))</f>
        <v>EJG Morgan</v>
      </c>
      <c r="P552">
        <f ca="1">IFERROR(IF(MATCH(T_BATTINGDATA[[#This Row],[BATSMAN NAME]],OFFSET(O553,0,0,BATROWS-ROW(O552)-ROW(T_BATTINGDATA[[#Headers],[BATSMAN NAME]])),0)&gt;0,0,SUMIF($O$6:O552,T_BATTINGDATA[[#This Row],[BATSMAN NAME]],$E$6:E552)),SUMIF($O$6:O552,T_BATTINGDATA[[#This Row],[BATSMAN NAME]],$E$6:E552))</f>
        <v>0</v>
      </c>
      <c r="AP552">
        <v>38</v>
      </c>
      <c r="AQ552" t="s">
        <v>185</v>
      </c>
      <c r="AR552" t="s">
        <v>390</v>
      </c>
      <c r="AS552">
        <v>4</v>
      </c>
      <c r="AT552">
        <v>0</v>
      </c>
      <c r="AU552">
        <v>25</v>
      </c>
      <c r="AV552">
        <v>0</v>
      </c>
      <c r="AW552">
        <v>6.25</v>
      </c>
      <c r="AX552">
        <v>12</v>
      </c>
      <c r="AY552">
        <v>4</v>
      </c>
      <c r="AZ552">
        <v>0</v>
      </c>
      <c r="BA552">
        <v>0</v>
      </c>
      <c r="BB552">
        <v>0</v>
      </c>
      <c r="BC552">
        <v>1</v>
      </c>
      <c r="BD552" t="str">
        <f>CONCATENATE(Table9[[#This Row],[Match Number]],Table9[[#This Row],[Team]],Table9[[#This Row],[BOWL NUM]])</f>
        <v>38Afghanistan1</v>
      </c>
      <c r="BE552" t="str">
        <f>IFERROR(IF(AND(Table9[[#This Row],[Team]]=I_TEAM,IFERROR(IF(MATCH(Table9[[#This Row],[Bowler]],$AR$5:AR551,0)&gt;0,0),1)),1,0),"")</f>
        <v/>
      </c>
      <c r="BF552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55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52" t="e">
        <f>IF(Table9[[#This Row],[Team]]=I_TEAM,Table9[[#This Row],[Wickets]]*100-Table9[[#This Row],[Runs]],0)</f>
        <v>#REF!</v>
      </c>
      <c r="BI552">
        <f>Table9[[#This Row],[Wickets]]*100-Table9[[#This Row],[Runs]]</f>
        <v>-25</v>
      </c>
      <c r="BJ552">
        <f ca="1">IFERROR(IF(MATCH(Table9[[#This Row],[Bowler]],OFFSET(AR553,0,0,BOWLROWS-ROW(AR552)-ROW(Table9[[#Headers],[BOWLER CUML WICKETS]])),0)&gt;0,0,SUMIF($AR$6:AR552,Table9[[#This Row],[Bowler]],$AV$6:AV552)),SUMIF($AR$6:AR552,Table9[[#This Row],[Bowler]],$AV$6:AV552))</f>
        <v>10</v>
      </c>
      <c r="BK552">
        <f ca="1">IFERROR(IF(MATCH(Table9[[#This Row],[Bowler]],OFFSET(AR553,0,0,BOWLROWS-ROW(AR552)-ROW(Table9[[#Headers],[BOWLER CUML WICKETS]])),0)&gt;0,0,SUMIF($AR$6:AR552,Table9[[#This Row],[Bowler]],$AU$6:AU552)),SUMIF($AR$6:AR552,Table9[[#This Row],[Bowler]],$AU$6:AU552))</f>
        <v>265</v>
      </c>
      <c r="BL552">
        <f ca="1">Table9[[#This Row],[BOWLER CUML WICKETS]]*100-Table9[[#This Row],[BOWLER CUML RUNS]]</f>
        <v>735</v>
      </c>
    </row>
    <row r="553" spans="1:64" x14ac:dyDescent="0.3">
      <c r="A553">
        <v>22</v>
      </c>
      <c r="B553" t="s">
        <v>154</v>
      </c>
      <c r="C553" t="s">
        <v>406</v>
      </c>
      <c r="D553" t="s">
        <v>701</v>
      </c>
      <c r="E553">
        <v>25</v>
      </c>
      <c r="F553">
        <v>54</v>
      </c>
      <c r="G553">
        <v>26</v>
      </c>
      <c r="H553">
        <v>1</v>
      </c>
      <c r="I553">
        <v>1</v>
      </c>
      <c r="J553">
        <v>96.15</v>
      </c>
      <c r="K553">
        <v>6</v>
      </c>
      <c r="L553" t="str">
        <f>CONCATENATE(T_BATTINGDATA[[#This Row],[Match]],T_BATTINGDATA[[#This Row],[Team]],T_BATTINGDATA[[#This Row],[Bat Number]])</f>
        <v>22England6</v>
      </c>
      <c r="M553" t="str">
        <f>IFERROR(IF(AND(T_BATTINGDATA[[#This Row],[Team]]=I_TEAM,IFERROR(IF(MATCH(T_BATTINGDATA[[#This Row],[BATSMAN NAME]],$O$5:O552,0)&gt;0,0),1)),1,0),"")</f>
        <v/>
      </c>
      <c r="N553" t="e">
        <f>IF(T_BATTINGDATA[[#This Row],[Team]]=I_TEAM,T_BATTINGDATA[[#This Row],[R]],0)</f>
        <v>#REF!</v>
      </c>
      <c r="O553" t="str">
        <f>LEFT(T_BATTINGDATA[[#This Row],[Batsman]],IFERROR(FIND("*",T_BATTINGDATA[[#This Row],[Batsman]])-1,IFERROR(FIND("†",T_BATTINGDATA[[#This Row],[Batsman]])-1,LEN(T_BATTINGDATA[[#This Row],[Batsman]]))))</f>
        <v>JWA Taylor</v>
      </c>
      <c r="P553">
        <f ca="1">IFERROR(IF(MATCH(T_BATTINGDATA[[#This Row],[BATSMAN NAME]],OFFSET(O554,0,0,BATROWS-ROW(O553)-ROW(T_BATTINGDATA[[#Headers],[BATSMAN NAME]])),0)&gt;0,0,SUMIF($O$6:O553,T_BATTINGDATA[[#This Row],[BATSMAN NAME]],$E$6:E553)),SUMIF($O$6:O553,T_BATTINGDATA[[#This Row],[BATSMAN NAME]],$E$6:E553))</f>
        <v>0</v>
      </c>
      <c r="AP553">
        <v>38</v>
      </c>
      <c r="AQ553" t="s">
        <v>185</v>
      </c>
      <c r="AR553" t="s">
        <v>451</v>
      </c>
      <c r="AS553">
        <v>3</v>
      </c>
      <c r="AT553">
        <v>0</v>
      </c>
      <c r="AU553">
        <v>23</v>
      </c>
      <c r="AV553">
        <v>0</v>
      </c>
      <c r="AW553">
        <v>7.66</v>
      </c>
      <c r="AX553">
        <v>10</v>
      </c>
      <c r="AY553">
        <v>3</v>
      </c>
      <c r="AZ553">
        <v>1</v>
      </c>
      <c r="BA553">
        <v>0</v>
      </c>
      <c r="BB553">
        <v>0</v>
      </c>
      <c r="BC553">
        <v>2</v>
      </c>
      <c r="BD553" t="str">
        <f>CONCATENATE(Table9[[#This Row],[Match Number]],Table9[[#This Row],[Team]],Table9[[#This Row],[BOWL NUM]])</f>
        <v>38Afghanistan2</v>
      </c>
      <c r="BE553" t="str">
        <f>IFERROR(IF(AND(Table9[[#This Row],[Team]]=I_TEAM,IFERROR(IF(MATCH(Table9[[#This Row],[Bowler]],$AR$5:AR552,0)&gt;0,0),1)),1,0),"")</f>
        <v/>
      </c>
      <c r="BF553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55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53" t="e">
        <f>IF(Table9[[#This Row],[Team]]=I_TEAM,Table9[[#This Row],[Wickets]]*100-Table9[[#This Row],[Runs]],0)</f>
        <v>#REF!</v>
      </c>
      <c r="BI553">
        <f>Table9[[#This Row],[Wickets]]*100-Table9[[#This Row],[Runs]]</f>
        <v>-23</v>
      </c>
      <c r="BJ553">
        <f ca="1">IFERROR(IF(MATCH(Table9[[#This Row],[Bowler]],OFFSET(AR554,0,0,BOWLROWS-ROW(AR553)-ROW(Table9[[#Headers],[BOWLER CUML WICKETS]])),0)&gt;0,0,SUMIF($AR$6:AR553,Table9[[#This Row],[Bowler]],$AV$6:AV553)),SUMIF($AR$6:AR553,Table9[[#This Row],[Bowler]],$AV$6:AV553))</f>
        <v>6</v>
      </c>
      <c r="BK553">
        <f ca="1">IFERROR(IF(MATCH(Table9[[#This Row],[Bowler]],OFFSET(AR554,0,0,BOWLROWS-ROW(AR553)-ROW(Table9[[#Headers],[BOWLER CUML WICKETS]])),0)&gt;0,0,SUMIF($AR$6:AR553,Table9[[#This Row],[Bowler]],$AU$6:AU553)),SUMIF($AR$6:AR553,Table9[[#This Row],[Bowler]],$AU$6:AU553))</f>
        <v>248</v>
      </c>
      <c r="BL553">
        <f ca="1">Table9[[#This Row],[BOWLER CUML WICKETS]]*100-Table9[[#This Row],[BOWLER CUML RUNS]]</f>
        <v>352</v>
      </c>
    </row>
    <row r="554" spans="1:64" x14ac:dyDescent="0.3">
      <c r="A554">
        <v>22</v>
      </c>
      <c r="B554" t="s">
        <v>154</v>
      </c>
      <c r="C554" t="s">
        <v>407</v>
      </c>
      <c r="D554" t="s">
        <v>167</v>
      </c>
      <c r="E554">
        <v>39</v>
      </c>
      <c r="F554">
        <v>28</v>
      </c>
      <c r="G554">
        <v>19</v>
      </c>
      <c r="H554">
        <v>6</v>
      </c>
      <c r="I554">
        <v>1</v>
      </c>
      <c r="J554">
        <v>205.26</v>
      </c>
      <c r="K554">
        <v>7</v>
      </c>
      <c r="L554" t="str">
        <f>CONCATENATE(T_BATTINGDATA[[#This Row],[Match]],T_BATTINGDATA[[#This Row],[Team]],T_BATTINGDATA[[#This Row],[Bat Number]])</f>
        <v>22England7</v>
      </c>
      <c r="M554" t="str">
        <f>IFERROR(IF(AND(T_BATTINGDATA[[#This Row],[Team]]=I_TEAM,IFERROR(IF(MATCH(T_BATTINGDATA[[#This Row],[BATSMAN NAME]],$O$5:O553,0)&gt;0,0),1)),1,0),"")</f>
        <v/>
      </c>
      <c r="N554" t="e">
        <f>IF(T_BATTINGDATA[[#This Row],[Team]]=I_TEAM,T_BATTINGDATA[[#This Row],[R]],0)</f>
        <v>#REF!</v>
      </c>
      <c r="O554" t="str">
        <f>LEFT(T_BATTINGDATA[[#This Row],[Batsman]],IFERROR(FIND("*",T_BATTINGDATA[[#This Row],[Batsman]])-1,IFERROR(FIND("†",T_BATTINGDATA[[#This Row],[Batsman]])-1,LEN(T_BATTINGDATA[[#This Row],[Batsman]]))))</f>
        <v>JC Buttler</v>
      </c>
      <c r="P554">
        <f ca="1">IFERROR(IF(MATCH(T_BATTINGDATA[[#This Row],[BATSMAN NAME]],OFFSET(O555,0,0,BATROWS-ROW(O554)-ROW(T_BATTINGDATA[[#Headers],[BATSMAN NAME]])),0)&gt;0,0,SUMIF($O$6:O554,T_BATTINGDATA[[#This Row],[BATSMAN NAME]],$E$6:E554)),SUMIF($O$6:O554,T_BATTINGDATA[[#This Row],[BATSMAN NAME]],$E$6:E554))</f>
        <v>0</v>
      </c>
      <c r="AP554">
        <v>38</v>
      </c>
      <c r="AQ554" t="s">
        <v>185</v>
      </c>
      <c r="AR554" t="s">
        <v>389</v>
      </c>
      <c r="AS554">
        <v>5</v>
      </c>
      <c r="AT554">
        <v>0</v>
      </c>
      <c r="AU554">
        <v>17</v>
      </c>
      <c r="AV554">
        <v>1</v>
      </c>
      <c r="AW554">
        <v>3.4</v>
      </c>
      <c r="AX554">
        <v>20</v>
      </c>
      <c r="AY554">
        <v>0</v>
      </c>
      <c r="AZ554">
        <v>0</v>
      </c>
      <c r="BA554">
        <v>1</v>
      </c>
      <c r="BB554">
        <v>0</v>
      </c>
      <c r="BC554">
        <v>3</v>
      </c>
      <c r="BD554" t="str">
        <f>CONCATENATE(Table9[[#This Row],[Match Number]],Table9[[#This Row],[Team]],Table9[[#This Row],[BOWL NUM]])</f>
        <v>38Afghanistan3</v>
      </c>
      <c r="BE554" t="str">
        <f>IFERROR(IF(AND(Table9[[#This Row],[Team]]=I_TEAM,IFERROR(IF(MATCH(Table9[[#This Row],[Bowler]],$AR$5:AR553,0)&gt;0,0),1)),1,0),"")</f>
        <v/>
      </c>
      <c r="BF554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55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54" t="e">
        <f>IF(Table9[[#This Row],[Team]]=I_TEAM,Table9[[#This Row],[Wickets]]*100-Table9[[#This Row],[Runs]],0)</f>
        <v>#REF!</v>
      </c>
      <c r="BI554">
        <f>Table9[[#This Row],[Wickets]]*100-Table9[[#This Row],[Runs]]</f>
        <v>83</v>
      </c>
      <c r="BJ554">
        <f ca="1">IFERROR(IF(MATCH(Table9[[#This Row],[Bowler]],OFFSET(AR555,0,0,BOWLROWS-ROW(AR554)-ROW(Table9[[#Headers],[BOWLER CUML WICKETS]])),0)&gt;0,0,SUMIF($AR$6:AR554,Table9[[#This Row],[Bowler]],$AV$6:AV554)),SUMIF($AR$6:AR554,Table9[[#This Row],[Bowler]],$AV$6:AV554))</f>
        <v>8</v>
      </c>
      <c r="BK554">
        <f ca="1">IFERROR(IF(MATCH(Table9[[#This Row],[Bowler]],OFFSET(AR555,0,0,BOWLROWS-ROW(AR554)-ROW(Table9[[#Headers],[BOWLER CUML WICKETS]])),0)&gt;0,0,SUMIF($AR$6:AR554,Table9[[#This Row],[Bowler]],$AU$6:AU554)),SUMIF($AR$6:AR554,Table9[[#This Row],[Bowler]],$AU$6:AU554))</f>
        <v>261</v>
      </c>
      <c r="BL554">
        <f ca="1">Table9[[#This Row],[BOWLER CUML WICKETS]]*100-Table9[[#This Row],[BOWLER CUML RUNS]]</f>
        <v>539</v>
      </c>
    </row>
    <row r="555" spans="1:64" x14ac:dyDescent="0.3">
      <c r="A555">
        <v>22</v>
      </c>
      <c r="B555" t="s">
        <v>154</v>
      </c>
      <c r="C555" t="s">
        <v>314</v>
      </c>
      <c r="D555" t="s">
        <v>167</v>
      </c>
      <c r="E555">
        <v>9</v>
      </c>
      <c r="F555">
        <v>19</v>
      </c>
      <c r="G555">
        <v>8</v>
      </c>
      <c r="H555">
        <v>1</v>
      </c>
      <c r="I555">
        <v>0</v>
      </c>
      <c r="J555">
        <v>112.5</v>
      </c>
      <c r="K555">
        <v>8</v>
      </c>
      <c r="L555" t="str">
        <f>CONCATENATE(T_BATTINGDATA[[#This Row],[Match]],T_BATTINGDATA[[#This Row],[Team]],T_BATTINGDATA[[#This Row],[Bat Number]])</f>
        <v>22England8</v>
      </c>
      <c r="M555" t="str">
        <f>IFERROR(IF(AND(T_BATTINGDATA[[#This Row],[Team]]=I_TEAM,IFERROR(IF(MATCH(T_BATTINGDATA[[#This Row],[BATSMAN NAME]],$O$5:O554,0)&gt;0,0),1)),1,0),"")</f>
        <v/>
      </c>
      <c r="N555" t="e">
        <f>IF(T_BATTINGDATA[[#This Row],[Team]]=I_TEAM,T_BATTINGDATA[[#This Row],[R]],0)</f>
        <v>#REF!</v>
      </c>
      <c r="O555" t="str">
        <f>LEFT(T_BATTINGDATA[[#This Row],[Batsman]],IFERROR(FIND("*",T_BATTINGDATA[[#This Row],[Batsman]])-1,IFERROR(FIND("†",T_BATTINGDATA[[#This Row],[Batsman]])-1,LEN(T_BATTINGDATA[[#This Row],[Batsman]]))))</f>
        <v>CR Woakes</v>
      </c>
      <c r="P555">
        <f ca="1">IFERROR(IF(MATCH(T_BATTINGDATA[[#This Row],[BATSMAN NAME]],OFFSET(O556,0,0,BATROWS-ROW(O555)-ROW(T_BATTINGDATA[[#Headers],[BATSMAN NAME]])),0)&gt;0,0,SUMIF($O$6:O555,T_BATTINGDATA[[#This Row],[BATSMAN NAME]],$E$6:E555)),SUMIF($O$6:O555,T_BATTINGDATA[[#This Row],[BATSMAN NAME]],$E$6:E555))</f>
        <v>0</v>
      </c>
      <c r="AP555">
        <v>38</v>
      </c>
      <c r="AQ555" t="s">
        <v>185</v>
      </c>
      <c r="AR555" t="s">
        <v>396</v>
      </c>
      <c r="AS555">
        <v>4.0999999999999996</v>
      </c>
      <c r="AT555">
        <v>0</v>
      </c>
      <c r="AU555">
        <v>14</v>
      </c>
      <c r="AV555">
        <v>0</v>
      </c>
      <c r="AW555">
        <v>3.36</v>
      </c>
      <c r="AX555">
        <v>13</v>
      </c>
      <c r="AY555">
        <v>0</v>
      </c>
      <c r="AZ555">
        <v>0</v>
      </c>
      <c r="BA555">
        <v>0</v>
      </c>
      <c r="BB555">
        <v>0</v>
      </c>
      <c r="BC555">
        <v>4</v>
      </c>
      <c r="BD555" t="str">
        <f>CONCATENATE(Table9[[#This Row],[Match Number]],Table9[[#This Row],[Team]],Table9[[#This Row],[BOWL NUM]])</f>
        <v>38Afghanistan4</v>
      </c>
      <c r="BE555" t="str">
        <f>IFERROR(IF(AND(Table9[[#This Row],[Team]]=I_TEAM,IFERROR(IF(MATCH(Table9[[#This Row],[Bowler]],$AR$5:AR554,0)&gt;0,0),1)),1,0),"")</f>
        <v/>
      </c>
      <c r="BF555">
        <f>(LEFT(Table9[[#This Row],[Overs]],IFERROR(FIND(".",Table9[[#This Row],[Overs]])-1,LEN(Table9[[#This Row],[Overs]])))*6) + IFERROR(IF(FIND(".",Table9[[#This Row],[Overs]])+1&gt;0,RIGHT(Table9[[#This Row],[Overs]],1),0),0)</f>
        <v>25</v>
      </c>
      <c r="BG55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55" t="e">
        <f>IF(Table9[[#This Row],[Team]]=I_TEAM,Table9[[#This Row],[Wickets]]*100-Table9[[#This Row],[Runs]],0)</f>
        <v>#REF!</v>
      </c>
      <c r="BI555">
        <f>Table9[[#This Row],[Wickets]]*100-Table9[[#This Row],[Runs]]</f>
        <v>-14</v>
      </c>
      <c r="BJ555">
        <f ca="1">IFERROR(IF(MATCH(Table9[[#This Row],[Bowler]],OFFSET(AR556,0,0,BOWLROWS-ROW(AR555)-ROW(Table9[[#Headers],[BOWLER CUML WICKETS]])),0)&gt;0,0,SUMIF($AR$6:AR555,Table9[[#This Row],[Bowler]],$AV$6:AV555)),SUMIF($AR$6:AR555,Table9[[#This Row],[Bowler]],$AV$6:AV555))</f>
        <v>3</v>
      </c>
      <c r="BK555">
        <f ca="1">IFERROR(IF(MATCH(Table9[[#This Row],[Bowler]],OFFSET(AR556,0,0,BOWLROWS-ROW(AR555)-ROW(Table9[[#Headers],[BOWLER CUML WICKETS]])),0)&gt;0,0,SUMIF($AR$6:AR555,Table9[[#This Row],[Bowler]],$AU$6:AU555)),SUMIF($AR$6:AR555,Table9[[#This Row],[Bowler]],$AU$6:AU555))</f>
        <v>261</v>
      </c>
      <c r="BL555">
        <f ca="1">Table9[[#This Row],[BOWLER CUML WICKETS]]*100-Table9[[#This Row],[BOWLER CUML RUNS]]</f>
        <v>39</v>
      </c>
    </row>
    <row r="556" spans="1:64" x14ac:dyDescent="0.3">
      <c r="A556">
        <v>22</v>
      </c>
      <c r="B556" t="s">
        <v>145</v>
      </c>
      <c r="C556" t="s">
        <v>361</v>
      </c>
      <c r="D556" t="s">
        <v>167</v>
      </c>
      <c r="E556">
        <v>139</v>
      </c>
      <c r="F556">
        <v>197</v>
      </c>
      <c r="G556">
        <v>143</v>
      </c>
      <c r="H556">
        <v>13</v>
      </c>
      <c r="I556">
        <v>2</v>
      </c>
      <c r="J556">
        <v>97.2</v>
      </c>
      <c r="K556">
        <v>1</v>
      </c>
      <c r="L556" t="str">
        <f>CONCATENATE(T_BATTINGDATA[[#This Row],[Match]],T_BATTINGDATA[[#This Row],[Team]],T_BATTINGDATA[[#This Row],[Bat Number]])</f>
        <v>22Sri Lanka1</v>
      </c>
      <c r="M556" t="str">
        <f>IFERROR(IF(AND(T_BATTINGDATA[[#This Row],[Team]]=I_TEAM,IFERROR(IF(MATCH(T_BATTINGDATA[[#This Row],[BATSMAN NAME]],$O$5:O555,0)&gt;0,0),1)),1,0),"")</f>
        <v/>
      </c>
      <c r="N556" t="e">
        <f>IF(T_BATTINGDATA[[#This Row],[Team]]=I_TEAM,T_BATTINGDATA[[#This Row],[R]],0)</f>
        <v>#REF!</v>
      </c>
      <c r="O556" t="str">
        <f>LEFT(T_BATTINGDATA[[#This Row],[Batsman]],IFERROR(FIND("*",T_BATTINGDATA[[#This Row],[Batsman]])-1,IFERROR(FIND("†",T_BATTINGDATA[[#This Row],[Batsman]])-1,LEN(T_BATTINGDATA[[#This Row],[Batsman]]))))</f>
        <v>HDRL Thirimanne</v>
      </c>
      <c r="P556">
        <f ca="1">IFERROR(IF(MATCH(T_BATTINGDATA[[#This Row],[BATSMAN NAME]],OFFSET(O557,0,0,BATROWS-ROW(O556)-ROW(T_BATTINGDATA[[#Headers],[BATSMAN NAME]])),0)&gt;0,0,SUMIF($O$6:O556,T_BATTINGDATA[[#This Row],[BATSMAN NAME]],$E$6:E556)),SUMIF($O$6:O556,T_BATTINGDATA[[#This Row],[BATSMAN NAME]],$E$6:E556))</f>
        <v>0</v>
      </c>
      <c r="AP556">
        <v>38</v>
      </c>
      <c r="AQ556" t="s">
        <v>185</v>
      </c>
      <c r="AR556" t="s">
        <v>401</v>
      </c>
      <c r="AS556">
        <v>2</v>
      </c>
      <c r="AT556">
        <v>0</v>
      </c>
      <c r="AU556">
        <v>19</v>
      </c>
      <c r="AV556">
        <v>0</v>
      </c>
      <c r="AW556">
        <v>9.5</v>
      </c>
      <c r="AX556">
        <v>5</v>
      </c>
      <c r="AY556">
        <v>2</v>
      </c>
      <c r="AZ556">
        <v>1</v>
      </c>
      <c r="BA556">
        <v>0</v>
      </c>
      <c r="BB556">
        <v>0</v>
      </c>
      <c r="BC556">
        <v>5</v>
      </c>
      <c r="BD556" t="str">
        <f>CONCATENATE(Table9[[#This Row],[Match Number]],Table9[[#This Row],[Team]],Table9[[#This Row],[BOWL NUM]])</f>
        <v>38Afghanistan5</v>
      </c>
      <c r="BE556" t="str">
        <f>IFERROR(IF(AND(Table9[[#This Row],[Team]]=I_TEAM,IFERROR(IF(MATCH(Table9[[#This Row],[Bowler]],$AR$5:AR555,0)&gt;0,0),1)),1,0),"")</f>
        <v/>
      </c>
      <c r="BF556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55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56" t="e">
        <f>IF(Table9[[#This Row],[Team]]=I_TEAM,Table9[[#This Row],[Wickets]]*100-Table9[[#This Row],[Runs]],0)</f>
        <v>#REF!</v>
      </c>
      <c r="BI556">
        <f>Table9[[#This Row],[Wickets]]*100-Table9[[#This Row],[Runs]]</f>
        <v>-19</v>
      </c>
      <c r="BJ556">
        <f ca="1">IFERROR(IF(MATCH(Table9[[#This Row],[Bowler]],OFFSET(AR557,0,0,BOWLROWS-ROW(AR556)-ROW(Table9[[#Headers],[BOWLER CUML WICKETS]])),0)&gt;0,0,SUMIF($AR$6:AR590,Table9[[#This Row],[Bowler]],$AV$6:AV590)),SUMIF($AR$6:AR590,Table9[[#This Row],[Bowler]],$AV$6:AV590))</f>
        <v>0</v>
      </c>
      <c r="BK556">
        <f ca="1">IFERROR(IF(MATCH(Table9[[#This Row],[Bowler]],OFFSET(AR557,0,0,BOWLROWS-ROW(AR556)-ROW(Table9[[#Headers],[BOWLER CUML WICKETS]])),0)&gt;0,0,SUMIF($AR$6:AR590,Table9[[#This Row],[Bowler]],$AU$6:AU590)),SUMIF($AR$6:AR590,Table9[[#This Row],[Bowler]],$AU$6:AU590))</f>
        <v>102</v>
      </c>
      <c r="BL556">
        <f ca="1">Table9[[#This Row],[BOWLER CUML WICKETS]]*100-Table9[[#This Row],[BOWLER CUML RUNS]]</f>
        <v>-102</v>
      </c>
    </row>
    <row r="557" spans="1:64" x14ac:dyDescent="0.3">
      <c r="A557">
        <v>22</v>
      </c>
      <c r="B557" t="s">
        <v>145</v>
      </c>
      <c r="C557" t="s">
        <v>290</v>
      </c>
      <c r="D557" t="s">
        <v>555</v>
      </c>
      <c r="E557">
        <v>44</v>
      </c>
      <c r="F557">
        <v>81</v>
      </c>
      <c r="G557">
        <v>55</v>
      </c>
      <c r="H557">
        <v>4</v>
      </c>
      <c r="I557">
        <v>2</v>
      </c>
      <c r="J557">
        <v>80</v>
      </c>
      <c r="K557">
        <v>2</v>
      </c>
      <c r="L557" t="str">
        <f>CONCATENATE(T_BATTINGDATA[[#This Row],[Match]],T_BATTINGDATA[[#This Row],[Team]],T_BATTINGDATA[[#This Row],[Bat Number]])</f>
        <v>22Sri Lanka2</v>
      </c>
      <c r="M557" t="str">
        <f>IFERROR(IF(AND(T_BATTINGDATA[[#This Row],[Team]]=I_TEAM,IFERROR(IF(MATCH(T_BATTINGDATA[[#This Row],[BATSMAN NAME]],$O$5:O556,0)&gt;0,0),1)),1,0),"")</f>
        <v/>
      </c>
      <c r="N557" t="e">
        <f>IF(T_BATTINGDATA[[#This Row],[Team]]=I_TEAM,T_BATTINGDATA[[#This Row],[R]],0)</f>
        <v>#REF!</v>
      </c>
      <c r="O557" t="str">
        <f>LEFT(T_BATTINGDATA[[#This Row],[Batsman]],IFERROR(FIND("*",T_BATTINGDATA[[#This Row],[Batsman]])-1,IFERROR(FIND("†",T_BATTINGDATA[[#This Row],[Batsman]])-1,LEN(T_BATTINGDATA[[#This Row],[Batsman]]))))</f>
        <v>TM Dilshan</v>
      </c>
      <c r="P557">
        <f ca="1">IFERROR(IF(MATCH(T_BATTINGDATA[[#This Row],[BATSMAN NAME]],OFFSET(O558,0,0,BATROWS-ROW(O557)-ROW(T_BATTINGDATA[[#Headers],[BATSMAN NAME]])),0)&gt;0,0,SUMIF($O$6:O557,T_BATTINGDATA[[#This Row],[BATSMAN NAME]],$E$6:E557)),SUMIF($O$6:O557,T_BATTINGDATA[[#This Row],[BATSMAN NAME]],$E$6:E557))</f>
        <v>0</v>
      </c>
      <c r="AP557">
        <v>40</v>
      </c>
      <c r="AQ557" t="s">
        <v>149</v>
      </c>
      <c r="AR557" t="s">
        <v>321</v>
      </c>
      <c r="AS557">
        <v>4.4000000000000004</v>
      </c>
      <c r="AT557">
        <v>1</v>
      </c>
      <c r="AU557">
        <v>14</v>
      </c>
      <c r="AV557">
        <v>4</v>
      </c>
      <c r="AW557">
        <v>3</v>
      </c>
      <c r="AX557">
        <v>22</v>
      </c>
      <c r="AY557">
        <v>2</v>
      </c>
      <c r="AZ557">
        <v>0</v>
      </c>
      <c r="BA557">
        <v>1</v>
      </c>
      <c r="BB557">
        <v>0</v>
      </c>
      <c r="BC557">
        <v>1</v>
      </c>
      <c r="BD557" t="str">
        <f>CONCATENATE(Table9[[#This Row],[Match Number]],Table9[[#This Row],[Team]],Table9[[#This Row],[BOWL NUM]])</f>
        <v>40Australia1</v>
      </c>
      <c r="BE557" t="str">
        <f>IFERROR(IF(AND(Table9[[#This Row],[Team]]=I_TEAM,IFERROR(IF(MATCH(Table9[[#This Row],[Bowler]],$AR$5:AR556,0)&gt;0,0),1)),1,0),"")</f>
        <v/>
      </c>
      <c r="BF557">
        <f>(LEFT(Table9[[#This Row],[Overs]],IFERROR(FIND(".",Table9[[#This Row],[Overs]])-1,LEN(Table9[[#This Row],[Overs]])))*6) + IFERROR(IF(FIND(".",Table9[[#This Row],[Overs]])+1&gt;0,RIGHT(Table9[[#This Row],[Overs]],1),0),0)</f>
        <v>28</v>
      </c>
      <c r="BG55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57" t="e">
        <f>IF(Table9[[#This Row],[Team]]=I_TEAM,Table9[[#This Row],[Wickets]]*100-Table9[[#This Row],[Runs]],0)</f>
        <v>#REF!</v>
      </c>
      <c r="BI557">
        <f>Table9[[#This Row],[Wickets]]*100-Table9[[#This Row],[Runs]]</f>
        <v>386</v>
      </c>
      <c r="BJ557">
        <f ca="1">IFERROR(IF(MATCH(Table9[[#This Row],[Bowler]],OFFSET(AR558,0,0,BOWLROWS-ROW(AR557)-ROW(Table9[[#Headers],[BOWLER CUML WICKETS]])),0)&gt;0,0,SUMIF($AR$6:AR557,Table9[[#This Row],[Bowler]],$AV$6:AV557)),SUMIF($AR$6:AR557,Table9[[#This Row],[Bowler]],$AV$6:AV557))</f>
        <v>22</v>
      </c>
      <c r="BK557">
        <f ca="1">IFERROR(IF(MATCH(Table9[[#This Row],[Bowler]],OFFSET(AR558,0,0,BOWLROWS-ROW(AR557)-ROW(Table9[[#Headers],[BOWLER CUML WICKETS]])),0)&gt;0,0,SUMIF($AR$6:AR557,Table9[[#This Row],[Bowler]],$AU$6:AU557)),SUMIF($AR$6:AR557,Table9[[#This Row],[Bowler]],$AU$6:AU557))</f>
        <v>224</v>
      </c>
      <c r="BL557">
        <f ca="1">Table9[[#This Row],[BOWLER CUML WICKETS]]*100-Table9[[#This Row],[BOWLER CUML RUNS]]</f>
        <v>1976</v>
      </c>
    </row>
    <row r="558" spans="1:64" x14ac:dyDescent="0.3">
      <c r="A558">
        <v>22</v>
      </c>
      <c r="B558" t="s">
        <v>145</v>
      </c>
      <c r="C558" t="s">
        <v>364</v>
      </c>
      <c r="D558" t="s">
        <v>167</v>
      </c>
      <c r="E558">
        <v>117</v>
      </c>
      <c r="F558">
        <v>116</v>
      </c>
      <c r="G558">
        <v>86</v>
      </c>
      <c r="H558">
        <v>11</v>
      </c>
      <c r="I558">
        <v>2</v>
      </c>
      <c r="J558">
        <v>136.04</v>
      </c>
      <c r="K558">
        <v>3</v>
      </c>
      <c r="L558" t="str">
        <f>CONCATENATE(T_BATTINGDATA[[#This Row],[Match]],T_BATTINGDATA[[#This Row],[Team]],T_BATTINGDATA[[#This Row],[Bat Number]])</f>
        <v>22Sri Lanka3</v>
      </c>
      <c r="M558" t="str">
        <f>IFERROR(IF(AND(T_BATTINGDATA[[#This Row],[Team]]=I_TEAM,IFERROR(IF(MATCH(T_BATTINGDATA[[#This Row],[BATSMAN NAME]],$O$5:O557,0)&gt;0,0),1)),1,0),"")</f>
        <v/>
      </c>
      <c r="N558" t="e">
        <f>IF(T_BATTINGDATA[[#This Row],[Team]]=I_TEAM,T_BATTINGDATA[[#This Row],[R]],0)</f>
        <v>#REF!</v>
      </c>
      <c r="O558" t="str">
        <f>LEFT(T_BATTINGDATA[[#This Row],[Batsman]],IFERROR(FIND("*",T_BATTINGDATA[[#This Row],[Batsman]])-1,IFERROR(FIND("†",T_BATTINGDATA[[#This Row],[Batsman]])-1,LEN(T_BATTINGDATA[[#This Row],[Batsman]]))))</f>
        <v>KC Sangakkara</v>
      </c>
      <c r="P558">
        <f ca="1">IFERROR(IF(MATCH(T_BATTINGDATA[[#This Row],[BATSMAN NAME]],OFFSET(O559,0,0,BATROWS-ROW(O558)-ROW(T_BATTINGDATA[[#Headers],[BATSMAN NAME]])),0)&gt;0,0,SUMIF($O$6:O558,T_BATTINGDATA[[#This Row],[BATSMAN NAME]],$E$6:E558)),SUMIF($O$6:O558,T_BATTINGDATA[[#This Row],[BATSMAN NAME]],$E$6:E558))</f>
        <v>0</v>
      </c>
      <c r="AP558">
        <v>40</v>
      </c>
      <c r="AQ558" t="s">
        <v>149</v>
      </c>
      <c r="AR558" t="s">
        <v>577</v>
      </c>
      <c r="AS558">
        <v>7</v>
      </c>
      <c r="AT558">
        <v>1</v>
      </c>
      <c r="AU558">
        <v>42</v>
      </c>
      <c r="AV558">
        <v>3</v>
      </c>
      <c r="AW558">
        <v>6</v>
      </c>
      <c r="AX558">
        <v>28</v>
      </c>
      <c r="AY558">
        <v>9</v>
      </c>
      <c r="AZ558">
        <v>0</v>
      </c>
      <c r="BA558">
        <v>1</v>
      </c>
      <c r="BB558">
        <v>0</v>
      </c>
      <c r="BC558">
        <v>2</v>
      </c>
      <c r="BD558" t="str">
        <f>CONCATENATE(Table9[[#This Row],[Match Number]],Table9[[#This Row],[Team]],Table9[[#This Row],[BOWL NUM]])</f>
        <v>40Australia2</v>
      </c>
      <c r="BE558" t="str">
        <f>IFERROR(IF(AND(Table9[[#This Row],[Team]]=I_TEAM,IFERROR(IF(MATCH(Table9[[#This Row],[Bowler]],$AR$5:AR557,0)&gt;0,0),1)),1,0),"")</f>
        <v/>
      </c>
      <c r="BF558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55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58" t="e">
        <f>IF(Table9[[#This Row],[Team]]=I_TEAM,Table9[[#This Row],[Wickets]]*100-Table9[[#This Row],[Runs]],0)</f>
        <v>#REF!</v>
      </c>
      <c r="BI558">
        <f>Table9[[#This Row],[Wickets]]*100-Table9[[#This Row],[Runs]]</f>
        <v>258</v>
      </c>
      <c r="BJ558">
        <f ca="1">IFERROR(IF(MATCH(Table9[[#This Row],[Bowler]],OFFSET(AR559,0,0,BOWLROWS-ROW(AR558)-ROW(Table9[[#Headers],[BOWLER CUML WICKETS]])),0)&gt;0,0,SUMIF($AR$6:AR558,Table9[[#This Row],[Bowler]],$AV$6:AV558)),SUMIF($AR$6:AR558,Table9[[#This Row],[Bowler]],$AV$6:AV558))</f>
        <v>5</v>
      </c>
      <c r="BK558">
        <f ca="1">IFERROR(IF(MATCH(Table9[[#This Row],[Bowler]],OFFSET(AR559,0,0,BOWLROWS-ROW(AR558)-ROW(Table9[[#Headers],[BOWLER CUML WICKETS]])),0)&gt;0,0,SUMIF($AR$6:AR558,Table9[[#This Row],[Bowler]],$AU$6:AU558)),SUMIF($AR$6:AR558,Table9[[#This Row],[Bowler]],$AU$6:AU558))</f>
        <v>80</v>
      </c>
      <c r="BL558">
        <f ca="1">Table9[[#This Row],[BOWLER CUML WICKETS]]*100-Table9[[#This Row],[BOWLER CUML RUNS]]</f>
        <v>420</v>
      </c>
    </row>
    <row r="559" spans="1:64" x14ac:dyDescent="0.3">
      <c r="A559">
        <v>23</v>
      </c>
      <c r="B559" t="s">
        <v>153</v>
      </c>
      <c r="C559" t="s">
        <v>518</v>
      </c>
      <c r="D559" t="s">
        <v>702</v>
      </c>
      <c r="E559">
        <v>1</v>
      </c>
      <c r="F559">
        <v>8</v>
      </c>
      <c r="G559">
        <v>9</v>
      </c>
      <c r="H559">
        <v>0</v>
      </c>
      <c r="I559">
        <v>0</v>
      </c>
      <c r="J559">
        <v>11.11</v>
      </c>
      <c r="K559">
        <v>1</v>
      </c>
      <c r="L559" t="str">
        <f>CONCATENATE(T_BATTINGDATA[[#This Row],[Match]],T_BATTINGDATA[[#This Row],[Team]],T_BATTINGDATA[[#This Row],[Bat Number]])</f>
        <v>23Pakistan1</v>
      </c>
      <c r="M559" t="str">
        <f>IFERROR(IF(AND(T_BATTINGDATA[[#This Row],[Team]]=I_TEAM,IFERROR(IF(MATCH(T_BATTINGDATA[[#This Row],[BATSMAN NAME]],$O$5:O558,0)&gt;0,0),1)),1,0),"")</f>
        <v/>
      </c>
      <c r="N559" t="e">
        <f>IF(T_BATTINGDATA[[#This Row],[Team]]=I_TEAM,T_BATTINGDATA[[#This Row],[R]],0)</f>
        <v>#REF!</v>
      </c>
      <c r="O559" t="str">
        <f>LEFT(T_BATTINGDATA[[#This Row],[Batsman]],IFERROR(FIND("*",T_BATTINGDATA[[#This Row],[Batsman]])-1,IFERROR(FIND("†",T_BATTINGDATA[[#This Row],[Batsman]])-1,LEN(T_BATTINGDATA[[#This Row],[Batsman]]))))</f>
        <v>Nasir Jamshed</v>
      </c>
      <c r="P559">
        <f ca="1">IFERROR(IF(MATCH(T_BATTINGDATA[[#This Row],[BATSMAN NAME]],OFFSET(O560,0,0,BATROWS-ROW(O559)-ROW(T_BATTINGDATA[[#Headers],[BATSMAN NAME]])),0)&gt;0,0,SUMIF($O$6:O559,T_BATTINGDATA[[#This Row],[BATSMAN NAME]],$E$6:E559)),SUMIF($O$6:O559,T_BATTINGDATA[[#This Row],[BATSMAN NAME]],$E$6:E559))</f>
        <v>0</v>
      </c>
      <c r="AP559">
        <v>40</v>
      </c>
      <c r="AQ559" t="s">
        <v>149</v>
      </c>
      <c r="AR559" t="s">
        <v>327</v>
      </c>
      <c r="AS559">
        <v>3</v>
      </c>
      <c r="AT559">
        <v>0</v>
      </c>
      <c r="AU559">
        <v>18</v>
      </c>
      <c r="AV559">
        <v>1</v>
      </c>
      <c r="AW559">
        <v>6</v>
      </c>
      <c r="AX559">
        <v>11</v>
      </c>
      <c r="AY559">
        <v>3</v>
      </c>
      <c r="AZ559">
        <v>0</v>
      </c>
      <c r="BA559">
        <v>0</v>
      </c>
      <c r="BB559">
        <v>0</v>
      </c>
      <c r="BC559">
        <v>3</v>
      </c>
      <c r="BD559" t="str">
        <f>CONCATENATE(Table9[[#This Row],[Match Number]],Table9[[#This Row],[Team]],Table9[[#This Row],[BOWL NUM]])</f>
        <v>40Australia3</v>
      </c>
      <c r="BE559" t="str">
        <f>IFERROR(IF(AND(Table9[[#This Row],[Team]]=I_TEAM,IFERROR(IF(MATCH(Table9[[#This Row],[Bowler]],$AR$5:AR558,0)&gt;0,0),1)),1,0),"")</f>
        <v/>
      </c>
      <c r="BF559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55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59" t="e">
        <f>IF(Table9[[#This Row],[Team]]=I_TEAM,Table9[[#This Row],[Wickets]]*100-Table9[[#This Row],[Runs]],0)</f>
        <v>#REF!</v>
      </c>
      <c r="BI559">
        <f>Table9[[#This Row],[Wickets]]*100-Table9[[#This Row],[Runs]]</f>
        <v>82</v>
      </c>
      <c r="BJ559">
        <f ca="1">IFERROR(IF(MATCH(Table9[[#This Row],[Bowler]],OFFSET(AR560,0,0,BOWLROWS-ROW(AR559)-ROW(Table9[[#Headers],[BOWLER CUML WICKETS]])),0)&gt;0,0,SUMIF($AR$6:AR559,Table9[[#This Row],[Bowler]],$AV$6:AV559)),SUMIF($AR$6:AR559,Table9[[#This Row],[Bowler]],$AV$6:AV559))</f>
        <v>2</v>
      </c>
      <c r="BK559">
        <f ca="1">IFERROR(IF(MATCH(Table9[[#This Row],[Bowler]],OFFSET(AR560,0,0,BOWLROWS-ROW(AR559)-ROW(Table9[[#Headers],[BOWLER CUML WICKETS]])),0)&gt;0,0,SUMIF($AR$6:AR559,Table9[[#This Row],[Bowler]],$AU$6:AU559)),SUMIF($AR$6:AR559,Table9[[#This Row],[Bowler]],$AU$6:AU559))</f>
        <v>171</v>
      </c>
      <c r="BL559">
        <f ca="1">Table9[[#This Row],[BOWLER CUML WICKETS]]*100-Table9[[#This Row],[BOWLER CUML RUNS]]</f>
        <v>29</v>
      </c>
    </row>
    <row r="560" spans="1:64" x14ac:dyDescent="0.3">
      <c r="A560">
        <v>23</v>
      </c>
      <c r="B560" t="s">
        <v>153</v>
      </c>
      <c r="C560" t="s">
        <v>202</v>
      </c>
      <c r="D560" t="s">
        <v>498</v>
      </c>
      <c r="E560">
        <v>0</v>
      </c>
      <c r="F560">
        <v>17</v>
      </c>
      <c r="G560">
        <v>11</v>
      </c>
      <c r="H560">
        <v>0</v>
      </c>
      <c r="I560">
        <v>0</v>
      </c>
      <c r="J560">
        <v>0</v>
      </c>
      <c r="K560">
        <v>2</v>
      </c>
      <c r="L560" t="str">
        <f>CONCATENATE(T_BATTINGDATA[[#This Row],[Match]],T_BATTINGDATA[[#This Row],[Team]],T_BATTINGDATA[[#This Row],[Bat Number]])</f>
        <v>23Pakistan2</v>
      </c>
      <c r="M560" t="str">
        <f>IFERROR(IF(AND(T_BATTINGDATA[[#This Row],[Team]]=I_TEAM,IFERROR(IF(MATCH(T_BATTINGDATA[[#This Row],[BATSMAN NAME]],$O$5:O559,0)&gt;0,0),1)),1,0),"")</f>
        <v/>
      </c>
      <c r="N560" t="e">
        <f>IF(T_BATTINGDATA[[#This Row],[Team]]=I_TEAM,T_BATTINGDATA[[#This Row],[R]],0)</f>
        <v>#REF!</v>
      </c>
      <c r="O560" t="str">
        <f>LEFT(T_BATTINGDATA[[#This Row],[Batsman]],IFERROR(FIND("*",T_BATTINGDATA[[#This Row],[Batsman]])-1,IFERROR(FIND("†",T_BATTINGDATA[[#This Row],[Batsman]])-1,LEN(T_BATTINGDATA[[#This Row],[Batsman]]))))</f>
        <v>Ahmed Shehzad</v>
      </c>
      <c r="P560">
        <f ca="1">IFERROR(IF(MATCH(T_BATTINGDATA[[#This Row],[BATSMAN NAME]],OFFSET(O561,0,0,BATROWS-ROW(O560)-ROW(T_BATTINGDATA[[#Headers],[BATSMAN NAME]])),0)&gt;0,0,SUMIF($O$6:O560,T_BATTINGDATA[[#This Row],[BATSMAN NAME]],$E$6:E560)),SUMIF($O$6:O560,T_BATTINGDATA[[#This Row],[BATSMAN NAME]],$E$6:E560))</f>
        <v>0</v>
      </c>
      <c r="AP560">
        <v>40</v>
      </c>
      <c r="AQ560" t="s">
        <v>149</v>
      </c>
      <c r="AR560" t="s">
        <v>323</v>
      </c>
      <c r="AS560">
        <v>4</v>
      </c>
      <c r="AT560">
        <v>1</v>
      </c>
      <c r="AU560">
        <v>16</v>
      </c>
      <c r="AV560">
        <v>1</v>
      </c>
      <c r="AW560">
        <v>4</v>
      </c>
      <c r="AX560">
        <v>19</v>
      </c>
      <c r="AY560">
        <v>3</v>
      </c>
      <c r="AZ560">
        <v>0</v>
      </c>
      <c r="BA560">
        <v>1</v>
      </c>
      <c r="BB560">
        <v>0</v>
      </c>
      <c r="BC560">
        <v>4</v>
      </c>
      <c r="BD560" t="str">
        <f>CONCATENATE(Table9[[#This Row],[Match Number]],Table9[[#This Row],[Team]],Table9[[#This Row],[BOWL NUM]])</f>
        <v>40Australia4</v>
      </c>
      <c r="BE560" t="str">
        <f>IFERROR(IF(AND(Table9[[#This Row],[Team]]=I_TEAM,IFERROR(IF(MATCH(Table9[[#This Row],[Bowler]],$AR$5:AR559,0)&gt;0,0),1)),1,0),"")</f>
        <v/>
      </c>
      <c r="BF560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56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60" t="e">
        <f>IF(Table9[[#This Row],[Team]]=I_TEAM,Table9[[#This Row],[Wickets]]*100-Table9[[#This Row],[Runs]],0)</f>
        <v>#REF!</v>
      </c>
      <c r="BI560">
        <f>Table9[[#This Row],[Wickets]]*100-Table9[[#This Row],[Runs]]</f>
        <v>84</v>
      </c>
      <c r="BJ560">
        <f ca="1">IFERROR(IF(MATCH(Table9[[#This Row],[Bowler]],OFFSET(AR561,0,0,BOWLROWS-ROW(AR560)-ROW(Table9[[#Headers],[BOWLER CUML WICKETS]])),0)&gt;0,0,SUMIF($AR$6:AR560,Table9[[#This Row],[Bowler]],$AV$6:AV560)),SUMIF($AR$6:AR560,Table9[[#This Row],[Bowler]],$AV$6:AV560))</f>
        <v>15</v>
      </c>
      <c r="BK560">
        <f ca="1">IFERROR(IF(MATCH(Table9[[#This Row],[Bowler]],OFFSET(AR561,0,0,BOWLROWS-ROW(AR560)-ROW(Table9[[#Headers],[BOWLER CUML WICKETS]])),0)&gt;0,0,SUMIF($AR$6:AR560,Table9[[#This Row],[Bowler]],$AU$6:AU560)),SUMIF($AR$6:AR560,Table9[[#This Row],[Bowler]],$AU$6:AU560))</f>
        <v>326</v>
      </c>
      <c r="BL560">
        <f ca="1">Table9[[#This Row],[BOWLER CUML WICKETS]]*100-Table9[[#This Row],[BOWLER CUML RUNS]]</f>
        <v>1174</v>
      </c>
    </row>
    <row r="561" spans="1:64" x14ac:dyDescent="0.3">
      <c r="A561">
        <v>23</v>
      </c>
      <c r="B561" t="s">
        <v>153</v>
      </c>
      <c r="C561" t="s">
        <v>193</v>
      </c>
      <c r="D561" t="s">
        <v>703</v>
      </c>
      <c r="E561">
        <v>27</v>
      </c>
      <c r="F561">
        <v>85</v>
      </c>
      <c r="G561">
        <v>44</v>
      </c>
      <c r="H561">
        <v>2</v>
      </c>
      <c r="I561">
        <v>0</v>
      </c>
      <c r="J561">
        <v>61.36</v>
      </c>
      <c r="K561">
        <v>3</v>
      </c>
      <c r="L561" t="str">
        <f>CONCATENATE(T_BATTINGDATA[[#This Row],[Match]],T_BATTINGDATA[[#This Row],[Team]],T_BATTINGDATA[[#This Row],[Bat Number]])</f>
        <v>23Pakistan3</v>
      </c>
      <c r="M561" t="str">
        <f>IFERROR(IF(AND(T_BATTINGDATA[[#This Row],[Team]]=I_TEAM,IFERROR(IF(MATCH(T_BATTINGDATA[[#This Row],[BATSMAN NAME]],$O$5:O560,0)&gt;0,0),1)),1,0),"")</f>
        <v/>
      </c>
      <c r="N561" t="e">
        <f>IF(T_BATTINGDATA[[#This Row],[Team]]=I_TEAM,T_BATTINGDATA[[#This Row],[R]],0)</f>
        <v>#REF!</v>
      </c>
      <c r="O561" t="str">
        <f>LEFT(T_BATTINGDATA[[#This Row],[Batsman]],IFERROR(FIND("*",T_BATTINGDATA[[#This Row],[Batsman]])-1,IFERROR(FIND("†",T_BATTINGDATA[[#This Row],[Batsman]])-1,LEN(T_BATTINGDATA[[#This Row],[Batsman]]))))</f>
        <v>Haris Sohail</v>
      </c>
      <c r="P561">
        <f ca="1">IFERROR(IF(MATCH(T_BATTINGDATA[[#This Row],[BATSMAN NAME]],OFFSET(O562,0,0,BATROWS-ROW(O561)-ROW(T_BATTINGDATA[[#Headers],[BATSMAN NAME]])),0)&gt;0,0,SUMIF($O$6:O561,T_BATTINGDATA[[#This Row],[BATSMAN NAME]],$E$6:E561)),SUMIF($O$6:O561,T_BATTINGDATA[[#This Row],[BATSMAN NAME]],$E$6:E561))</f>
        <v>0</v>
      </c>
      <c r="AP561">
        <v>40</v>
      </c>
      <c r="AQ561" t="s">
        <v>149</v>
      </c>
      <c r="AR561" t="s">
        <v>329</v>
      </c>
      <c r="AS561">
        <v>4</v>
      </c>
      <c r="AT561">
        <v>0</v>
      </c>
      <c r="AU561">
        <v>24</v>
      </c>
      <c r="AV561">
        <v>1</v>
      </c>
      <c r="AW561">
        <v>6</v>
      </c>
      <c r="AX561">
        <v>15</v>
      </c>
      <c r="AY561">
        <v>3</v>
      </c>
      <c r="AZ561">
        <v>0</v>
      </c>
      <c r="BA561">
        <v>1</v>
      </c>
      <c r="BB561">
        <v>0</v>
      </c>
      <c r="BC561">
        <v>5</v>
      </c>
      <c r="BD561" t="str">
        <f>CONCATENATE(Table9[[#This Row],[Match Number]],Table9[[#This Row],[Team]],Table9[[#This Row],[BOWL NUM]])</f>
        <v>40Australia5</v>
      </c>
      <c r="BE561" t="str">
        <f>IFERROR(IF(AND(Table9[[#This Row],[Team]]=I_TEAM,IFERROR(IF(MATCH(Table9[[#This Row],[Bowler]],$AR$5:AR560,0)&gt;0,0),1)),1,0),"")</f>
        <v/>
      </c>
      <c r="BF561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56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61" t="e">
        <f>IF(Table9[[#This Row],[Team]]=I_TEAM,Table9[[#This Row],[Wickets]]*100-Table9[[#This Row],[Runs]],0)</f>
        <v>#REF!</v>
      </c>
      <c r="BI561">
        <f>Table9[[#This Row],[Wickets]]*100-Table9[[#This Row],[Runs]]</f>
        <v>76</v>
      </c>
      <c r="BJ561">
        <f ca="1">IFERROR(IF(MATCH(Table9[[#This Row],[Bowler]],OFFSET(AR562,0,0,BOWLROWS-ROW(AR561)-ROW(Table9[[#Headers],[BOWLER CUML WICKETS]])),0)&gt;0,0,SUMIF($AR$6:AR561,Table9[[#This Row],[Bowler]],$AV$6:AV561)),SUMIF($AR$6:AR561,Table9[[#This Row],[Bowler]],$AV$6:AV561))</f>
        <v>6</v>
      </c>
      <c r="BK561">
        <f ca="1">IFERROR(IF(MATCH(Table9[[#This Row],[Bowler]],OFFSET(AR562,0,0,BOWLROWS-ROW(AR561)-ROW(Table9[[#Headers],[BOWLER CUML WICKETS]])),0)&gt;0,0,SUMIF($AR$6:AR561,Table9[[#This Row],[Bowler]],$AU$6:AU561)),SUMIF($AR$6:AR561,Table9[[#This Row],[Bowler]],$AU$6:AU561))</f>
        <v>218</v>
      </c>
      <c r="BL561">
        <f ca="1">Table9[[#This Row],[BOWLER CUML WICKETS]]*100-Table9[[#This Row],[BOWLER CUML RUNS]]</f>
        <v>382</v>
      </c>
    </row>
    <row r="562" spans="1:64" x14ac:dyDescent="0.3">
      <c r="A562">
        <v>23</v>
      </c>
      <c r="B562" t="s">
        <v>153</v>
      </c>
      <c r="C562" t="s">
        <v>209</v>
      </c>
      <c r="D562" t="s">
        <v>493</v>
      </c>
      <c r="E562">
        <v>73</v>
      </c>
      <c r="F562">
        <v>191</v>
      </c>
      <c r="G562">
        <v>121</v>
      </c>
      <c r="H562">
        <v>3</v>
      </c>
      <c r="I562">
        <v>0</v>
      </c>
      <c r="J562">
        <v>60.33</v>
      </c>
      <c r="K562">
        <v>4</v>
      </c>
      <c r="L562" t="str">
        <f>CONCATENATE(T_BATTINGDATA[[#This Row],[Match]],T_BATTINGDATA[[#This Row],[Team]],T_BATTINGDATA[[#This Row],[Bat Number]])</f>
        <v>23Pakistan4</v>
      </c>
      <c r="M562" t="str">
        <f>IFERROR(IF(AND(T_BATTINGDATA[[#This Row],[Team]]=I_TEAM,IFERROR(IF(MATCH(T_BATTINGDATA[[#This Row],[BATSMAN NAME]],$O$5:O561,0)&gt;0,0),1)),1,0),"")</f>
        <v/>
      </c>
      <c r="N562" t="e">
        <f>IF(T_BATTINGDATA[[#This Row],[Team]]=I_TEAM,T_BATTINGDATA[[#This Row],[R]],0)</f>
        <v>#REF!</v>
      </c>
      <c r="O562" t="str">
        <f>LEFT(T_BATTINGDATA[[#This Row],[Batsman]],IFERROR(FIND("*",T_BATTINGDATA[[#This Row],[Batsman]])-1,IFERROR(FIND("†",T_BATTINGDATA[[#This Row],[Batsman]])-1,LEN(T_BATTINGDATA[[#This Row],[Batsman]]))))</f>
        <v>Misbah-ul-Haq</v>
      </c>
      <c r="P562">
        <f ca="1">IFERROR(IF(MATCH(T_BATTINGDATA[[#This Row],[BATSMAN NAME]],OFFSET(O563,0,0,BATROWS-ROW(O562)-ROW(T_BATTINGDATA[[#Headers],[BATSMAN NAME]])),0)&gt;0,0,SUMIF($O$6:O562,T_BATTINGDATA[[#This Row],[BATSMAN NAME]],$E$6:E562)),SUMIF($O$6:O562,T_BATTINGDATA[[#This Row],[BATSMAN NAME]],$E$6:E562))</f>
        <v>0</v>
      </c>
      <c r="AP562">
        <v>40</v>
      </c>
      <c r="AQ562" t="s">
        <v>149</v>
      </c>
      <c r="AR562" t="s">
        <v>505</v>
      </c>
      <c r="AS562">
        <v>3</v>
      </c>
      <c r="AT562">
        <v>0</v>
      </c>
      <c r="AU562">
        <v>15</v>
      </c>
      <c r="AV562">
        <v>0</v>
      </c>
      <c r="AW562">
        <v>5</v>
      </c>
      <c r="AX562">
        <v>14</v>
      </c>
      <c r="AY562">
        <v>1</v>
      </c>
      <c r="AZ562">
        <v>0</v>
      </c>
      <c r="BA562">
        <v>1</v>
      </c>
      <c r="BB562">
        <v>0</v>
      </c>
      <c r="BC562">
        <v>6</v>
      </c>
      <c r="BD562" t="str">
        <f>CONCATENATE(Table9[[#This Row],[Match Number]],Table9[[#This Row],[Team]],Table9[[#This Row],[BOWL NUM]])</f>
        <v>40Australia6</v>
      </c>
      <c r="BE562" t="str">
        <f>IFERROR(IF(AND(Table9[[#This Row],[Team]]=I_TEAM,IFERROR(IF(MATCH(Table9[[#This Row],[Bowler]],$AR$5:AR561,0)&gt;0,0),1)),1,0),"")</f>
        <v/>
      </c>
      <c r="BF562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56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62" t="e">
        <f>IF(Table9[[#This Row],[Team]]=I_TEAM,Table9[[#This Row],[Wickets]]*100-Table9[[#This Row],[Runs]],0)</f>
        <v>#REF!</v>
      </c>
      <c r="BI562">
        <f>Table9[[#This Row],[Wickets]]*100-Table9[[#This Row],[Runs]]</f>
        <v>-15</v>
      </c>
      <c r="BJ562">
        <f ca="1">IFERROR(IF(MATCH(Table9[[#This Row],[Bowler]],OFFSET(AR563,0,0,BOWLROWS-ROW(AR562)-ROW(Table9[[#Headers],[BOWLER CUML WICKETS]])),0)&gt;0,0,SUMIF($AR$6:AR590,Table9[[#This Row],[Bowler]],$AV$6:AV590)),SUMIF($AR$6:AR590,Table9[[#This Row],[Bowler]],$AV$6:AV590))</f>
        <v>10</v>
      </c>
      <c r="BK562">
        <f ca="1">IFERROR(IF(MATCH(Table9[[#This Row],[Bowler]],OFFSET(AR563,0,0,BOWLROWS-ROW(AR562)-ROW(Table9[[#Headers],[BOWLER CUML WICKETS]])),0)&gt;0,0,SUMIF($AR$6:AR590,Table9[[#This Row],[Bowler]],$AU$6:AU590)),SUMIF($AR$6:AR590,Table9[[#This Row],[Bowler]],$AU$6:AU590))</f>
        <v>197</v>
      </c>
      <c r="BL562">
        <f ca="1">Table9[[#This Row],[BOWLER CUML WICKETS]]*100-Table9[[#This Row],[BOWLER CUML RUNS]]</f>
        <v>803</v>
      </c>
    </row>
    <row r="563" spans="1:64" x14ac:dyDescent="0.3">
      <c r="A563">
        <v>23</v>
      </c>
      <c r="B563" t="s">
        <v>153</v>
      </c>
      <c r="C563" t="s">
        <v>215</v>
      </c>
      <c r="D563" t="s">
        <v>704</v>
      </c>
      <c r="E563">
        <v>33</v>
      </c>
      <c r="F563">
        <v>53</v>
      </c>
      <c r="G563">
        <v>42</v>
      </c>
      <c r="H563">
        <v>3</v>
      </c>
      <c r="I563">
        <v>0</v>
      </c>
      <c r="J563">
        <v>78.569999999999993</v>
      </c>
      <c r="K563">
        <v>5</v>
      </c>
      <c r="L563" t="str">
        <f>CONCATENATE(T_BATTINGDATA[[#This Row],[Match]],T_BATTINGDATA[[#This Row],[Team]],T_BATTINGDATA[[#This Row],[Bat Number]])</f>
        <v>23Pakistan5</v>
      </c>
      <c r="M563" t="str">
        <f>IFERROR(IF(AND(T_BATTINGDATA[[#This Row],[Team]]=I_TEAM,IFERROR(IF(MATCH(T_BATTINGDATA[[#This Row],[BATSMAN NAME]],$O$5:O562,0)&gt;0,0),1)),1,0),"")</f>
        <v/>
      </c>
      <c r="N563" t="e">
        <f>IF(T_BATTINGDATA[[#This Row],[Team]]=I_TEAM,T_BATTINGDATA[[#This Row],[R]],0)</f>
        <v>#REF!</v>
      </c>
      <c r="O563" t="str">
        <f>LEFT(T_BATTINGDATA[[#This Row],[Batsman]],IFERROR(FIND("*",T_BATTINGDATA[[#This Row],[Batsman]])-1,IFERROR(FIND("†",T_BATTINGDATA[[#This Row],[Batsman]])-1,LEN(T_BATTINGDATA[[#This Row],[Batsman]]))))</f>
        <v>Umar Akmal</v>
      </c>
      <c r="P563">
        <f ca="1">IFERROR(IF(MATCH(T_BATTINGDATA[[#This Row],[BATSMAN NAME]],OFFSET(O564,0,0,BATROWS-ROW(O563)-ROW(T_BATTINGDATA[[#Headers],[BATSMAN NAME]])),0)&gt;0,0,SUMIF($O$6:O563,T_BATTINGDATA[[#This Row],[BATSMAN NAME]],$E$6:E563)),SUMIF($O$6:O563,T_BATTINGDATA[[#This Row],[BATSMAN NAME]],$E$6:E563))</f>
        <v>0</v>
      </c>
      <c r="AP563">
        <v>40</v>
      </c>
      <c r="AQ563" t="s">
        <v>176</v>
      </c>
      <c r="AR563" t="s">
        <v>380</v>
      </c>
      <c r="AS563">
        <v>5</v>
      </c>
      <c r="AT563">
        <v>0</v>
      </c>
      <c r="AU563">
        <v>57</v>
      </c>
      <c r="AV563">
        <v>1</v>
      </c>
      <c r="AW563">
        <v>11.4</v>
      </c>
      <c r="AX563">
        <v>13</v>
      </c>
      <c r="AY563">
        <v>6</v>
      </c>
      <c r="AZ563">
        <v>4</v>
      </c>
      <c r="BA563">
        <v>1</v>
      </c>
      <c r="BB563">
        <v>0</v>
      </c>
      <c r="BC563">
        <v>1</v>
      </c>
      <c r="BD563" t="str">
        <f>CONCATENATE(Table9[[#This Row],[Match Number]],Table9[[#This Row],[Team]],Table9[[#This Row],[BOWL NUM]])</f>
        <v>40Scotland1</v>
      </c>
      <c r="BE563" t="str">
        <f>IFERROR(IF(AND(Table9[[#This Row],[Team]]=I_TEAM,IFERROR(IF(MATCH(Table9[[#This Row],[Bowler]],$AR$5:AR562,0)&gt;0,0),1)),1,0),"")</f>
        <v/>
      </c>
      <c r="BF563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56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563" t="e">
        <f>IF(Table9[[#This Row],[Team]]=I_TEAM,Table9[[#This Row],[Wickets]]*100-Table9[[#This Row],[Runs]],0)</f>
        <v>#REF!</v>
      </c>
      <c r="BI563">
        <f>Table9[[#This Row],[Wickets]]*100-Table9[[#This Row],[Runs]]</f>
        <v>43</v>
      </c>
      <c r="BJ563">
        <f ca="1">IFERROR(IF(MATCH(Table9[[#This Row],[Bowler]],OFFSET(AR564,0,0,BOWLROWS-ROW(AR563)-ROW(Table9[[#Headers],[BOWLER CUML WICKETS]])),0)&gt;0,0,SUMIF($AR$6:AR563,Table9[[#This Row],[Bowler]],$AV$6:AV563)),SUMIF($AR$6:AR563,Table9[[#This Row],[Bowler]],$AV$6:AV563))</f>
        <v>6</v>
      </c>
      <c r="BK563">
        <f ca="1">IFERROR(IF(MATCH(Table9[[#This Row],[Bowler]],OFFSET(AR564,0,0,BOWLROWS-ROW(AR563)-ROW(Table9[[#Headers],[BOWLER CUML WICKETS]])),0)&gt;0,0,SUMIF($AR$6:AR563,Table9[[#This Row],[Bowler]],$AU$6:AU563)),SUMIF($AR$6:AR563,Table9[[#This Row],[Bowler]],$AU$6:AU563))</f>
        <v>310</v>
      </c>
      <c r="BL563">
        <f ca="1">Table9[[#This Row],[BOWLER CUML WICKETS]]*100-Table9[[#This Row],[BOWLER CUML RUNS]]</f>
        <v>290</v>
      </c>
    </row>
    <row r="564" spans="1:64" x14ac:dyDescent="0.3">
      <c r="A564">
        <v>23</v>
      </c>
      <c r="B564" t="s">
        <v>153</v>
      </c>
      <c r="C564" t="s">
        <v>188</v>
      </c>
      <c r="D564" t="s">
        <v>704</v>
      </c>
      <c r="E564">
        <v>0</v>
      </c>
      <c r="F564">
        <v>2</v>
      </c>
      <c r="G564">
        <v>2</v>
      </c>
      <c r="H564">
        <v>0</v>
      </c>
      <c r="I564">
        <v>0</v>
      </c>
      <c r="J564">
        <v>0</v>
      </c>
      <c r="K564">
        <v>6</v>
      </c>
      <c r="L564" t="str">
        <f>CONCATENATE(T_BATTINGDATA[[#This Row],[Match]],T_BATTINGDATA[[#This Row],[Team]],T_BATTINGDATA[[#This Row],[Bat Number]])</f>
        <v>23Pakistan6</v>
      </c>
      <c r="M564" t="str">
        <f>IFERROR(IF(AND(T_BATTINGDATA[[#This Row],[Team]]=I_TEAM,IFERROR(IF(MATCH(T_BATTINGDATA[[#This Row],[BATSMAN NAME]],$O$5:O563,0)&gt;0,0),1)),1,0),"")</f>
        <v/>
      </c>
      <c r="N564" t="e">
        <f>IF(T_BATTINGDATA[[#This Row],[Team]]=I_TEAM,T_BATTINGDATA[[#This Row],[R]],0)</f>
        <v>#REF!</v>
      </c>
      <c r="O564" t="str">
        <f>LEFT(T_BATTINGDATA[[#This Row],[Batsman]],IFERROR(FIND("*",T_BATTINGDATA[[#This Row],[Batsman]])-1,IFERROR(FIND("†",T_BATTINGDATA[[#This Row],[Batsman]])-1,LEN(T_BATTINGDATA[[#This Row],[Batsman]]))))</f>
        <v>Shahid Afridi</v>
      </c>
      <c r="P564">
        <f ca="1">IFERROR(IF(MATCH(T_BATTINGDATA[[#This Row],[BATSMAN NAME]],OFFSET(O565,0,0,BATROWS-ROW(O564)-ROW(T_BATTINGDATA[[#Headers],[BATSMAN NAME]])),0)&gt;0,0,SUMIF($O$6:O564,T_BATTINGDATA[[#This Row],[BATSMAN NAME]],$E$6:E564)),SUMIF($O$6:O564,T_BATTINGDATA[[#This Row],[BATSMAN NAME]],$E$6:E564))</f>
        <v>0</v>
      </c>
      <c r="AP564">
        <v>40</v>
      </c>
      <c r="AQ564" t="s">
        <v>176</v>
      </c>
      <c r="AR564" t="s">
        <v>382</v>
      </c>
      <c r="AS564">
        <v>5</v>
      </c>
      <c r="AT564">
        <v>0</v>
      </c>
      <c r="AU564">
        <v>29</v>
      </c>
      <c r="AV564">
        <v>1</v>
      </c>
      <c r="AW564">
        <v>5.8</v>
      </c>
      <c r="AX564">
        <v>19</v>
      </c>
      <c r="AY564">
        <v>6</v>
      </c>
      <c r="AZ564">
        <v>0</v>
      </c>
      <c r="BA564">
        <v>0</v>
      </c>
      <c r="BB564">
        <v>0</v>
      </c>
      <c r="BC564">
        <v>2</v>
      </c>
      <c r="BD564" t="str">
        <f>CONCATENATE(Table9[[#This Row],[Match Number]],Table9[[#This Row],[Team]],Table9[[#This Row],[BOWL NUM]])</f>
        <v>40Scotland2</v>
      </c>
      <c r="BE564" t="str">
        <f>IFERROR(IF(AND(Table9[[#This Row],[Team]]=I_TEAM,IFERROR(IF(MATCH(Table9[[#This Row],[Bowler]],$AR$5:AR563,0)&gt;0,0),1)),1,0),"")</f>
        <v/>
      </c>
      <c r="BF564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56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564" t="e">
        <f>IF(Table9[[#This Row],[Team]]=I_TEAM,Table9[[#This Row],[Wickets]]*100-Table9[[#This Row],[Runs]],0)</f>
        <v>#REF!</v>
      </c>
      <c r="BI564">
        <f>Table9[[#This Row],[Wickets]]*100-Table9[[#This Row],[Runs]]</f>
        <v>71</v>
      </c>
      <c r="BJ564">
        <f ca="1">IFERROR(IF(MATCH(Table9[[#This Row],[Bowler]],OFFSET(AR565,0,0,BOWLROWS-ROW(AR564)-ROW(Table9[[#Headers],[BOWLER CUML WICKETS]])),0)&gt;0,0,SUMIF($AR$6:AR564,Table9[[#This Row],[Bowler]],$AV$6:AV564)),SUMIF($AR$6:AR564,Table9[[#This Row],[Bowler]],$AV$6:AV564))</f>
        <v>2</v>
      </c>
      <c r="BK564">
        <f ca="1">IFERROR(IF(MATCH(Table9[[#This Row],[Bowler]],OFFSET(AR565,0,0,BOWLROWS-ROW(AR564)-ROW(Table9[[#Headers],[BOWLER CUML WICKETS]])),0)&gt;0,0,SUMIF($AR$6:AR564,Table9[[#This Row],[Bowler]],$AU$6:AU564)),SUMIF($AR$6:AR564,Table9[[#This Row],[Bowler]],$AU$6:AU564))</f>
        <v>102</v>
      </c>
      <c r="BL564">
        <f ca="1">Table9[[#This Row],[BOWLER CUML WICKETS]]*100-Table9[[#This Row],[BOWLER CUML RUNS]]</f>
        <v>98</v>
      </c>
    </row>
    <row r="565" spans="1:64" x14ac:dyDescent="0.3">
      <c r="A565">
        <v>23</v>
      </c>
      <c r="B565" t="s">
        <v>153</v>
      </c>
      <c r="C565" t="s">
        <v>212</v>
      </c>
      <c r="D565" t="s">
        <v>705</v>
      </c>
      <c r="E565">
        <v>21</v>
      </c>
      <c r="F565">
        <v>19</v>
      </c>
      <c r="G565">
        <v>17</v>
      </c>
      <c r="H565">
        <v>2</v>
      </c>
      <c r="I565">
        <v>0</v>
      </c>
      <c r="J565">
        <v>123.52</v>
      </c>
      <c r="K565">
        <v>7</v>
      </c>
      <c r="L565" t="str">
        <f>CONCATENATE(T_BATTINGDATA[[#This Row],[Match]],T_BATTINGDATA[[#This Row],[Team]],T_BATTINGDATA[[#This Row],[Bat Number]])</f>
        <v>23Pakistan7</v>
      </c>
      <c r="M565" t="str">
        <f>IFERROR(IF(AND(T_BATTINGDATA[[#This Row],[Team]]=I_TEAM,IFERROR(IF(MATCH(T_BATTINGDATA[[#This Row],[BATSMAN NAME]],$O$5:O564,0)&gt;0,0),1)),1,0),"")</f>
        <v/>
      </c>
      <c r="N565" t="e">
        <f>IF(T_BATTINGDATA[[#This Row],[Team]]=I_TEAM,T_BATTINGDATA[[#This Row],[R]],0)</f>
        <v>#REF!</v>
      </c>
      <c r="O565" t="str">
        <f>LEFT(T_BATTINGDATA[[#This Row],[Batsman]],IFERROR(FIND("*",T_BATTINGDATA[[#This Row],[Batsman]])-1,IFERROR(FIND("†",T_BATTINGDATA[[#This Row],[Batsman]])-1,LEN(T_BATTINGDATA[[#This Row],[Batsman]]))))</f>
        <v>Sohaib Maqsood</v>
      </c>
      <c r="P565">
        <f ca="1">IFERROR(IF(MATCH(T_BATTINGDATA[[#This Row],[BATSMAN NAME]],OFFSET(O566,0,0,BATROWS-ROW(O565)-ROW(T_BATTINGDATA[[#Headers],[BATSMAN NAME]])),0)&gt;0,0,SUMIF($O$6:O565,T_BATTINGDATA[[#This Row],[BATSMAN NAME]],$E$6:E565)),SUMIF($O$6:O565,T_BATTINGDATA[[#This Row],[BATSMAN NAME]],$E$6:E565))</f>
        <v>0</v>
      </c>
      <c r="AP565">
        <v>40</v>
      </c>
      <c r="AQ565" t="s">
        <v>176</v>
      </c>
      <c r="AR565" t="s">
        <v>384</v>
      </c>
      <c r="AS565">
        <v>5</v>
      </c>
      <c r="AT565">
        <v>1</v>
      </c>
      <c r="AU565">
        <v>38</v>
      </c>
      <c r="AV565">
        <v>1</v>
      </c>
      <c r="AW565">
        <v>7.6</v>
      </c>
      <c r="AX565">
        <v>16</v>
      </c>
      <c r="AY565">
        <v>6</v>
      </c>
      <c r="AZ565">
        <v>1</v>
      </c>
      <c r="BA565">
        <v>1</v>
      </c>
      <c r="BB565">
        <v>0</v>
      </c>
      <c r="BC565">
        <v>3</v>
      </c>
      <c r="BD565" t="str">
        <f>CONCATENATE(Table9[[#This Row],[Match Number]],Table9[[#This Row],[Team]],Table9[[#This Row],[BOWL NUM]])</f>
        <v>40Scotland3</v>
      </c>
      <c r="BE565" t="str">
        <f>IFERROR(IF(AND(Table9[[#This Row],[Team]]=I_TEAM,IFERROR(IF(MATCH(Table9[[#This Row],[Bowler]],$AR$5:AR564,0)&gt;0,0),1)),1,0),"")</f>
        <v/>
      </c>
      <c r="BF565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56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565" t="e">
        <f>IF(Table9[[#This Row],[Team]]=I_TEAM,Table9[[#This Row],[Wickets]]*100-Table9[[#This Row],[Runs]],0)</f>
        <v>#REF!</v>
      </c>
      <c r="BI565">
        <f>Table9[[#This Row],[Wickets]]*100-Table9[[#This Row],[Runs]]</f>
        <v>62</v>
      </c>
      <c r="BJ565">
        <f ca="1">IFERROR(IF(MATCH(Table9[[#This Row],[Bowler]],OFFSET(AR566,0,0,BOWLROWS-ROW(AR565)-ROW(Table9[[#Headers],[BOWLER CUML WICKETS]])),0)&gt;0,0,SUMIF($AR$6:AR565,Table9[[#This Row],[Bowler]],$AV$6:AV565)),SUMIF($AR$6:AR565,Table9[[#This Row],[Bowler]],$AV$6:AV565))</f>
        <v>15</v>
      </c>
      <c r="BK565">
        <f ca="1">IFERROR(IF(MATCH(Table9[[#This Row],[Bowler]],OFFSET(AR566,0,0,BOWLROWS-ROW(AR565)-ROW(Table9[[#Headers],[BOWLER CUML WICKETS]])),0)&gt;0,0,SUMIF($AR$6:AR565,Table9[[#This Row],[Bowler]],$AU$6:AU565)),SUMIF($AR$6:AR565,Table9[[#This Row],[Bowler]],$AU$6:AU565))</f>
        <v>311</v>
      </c>
      <c r="BL565">
        <f ca="1">Table9[[#This Row],[BOWLER CUML WICKETS]]*100-Table9[[#This Row],[BOWLER CUML RUNS]]</f>
        <v>1189</v>
      </c>
    </row>
    <row r="566" spans="1:64" x14ac:dyDescent="0.3">
      <c r="A566">
        <v>23</v>
      </c>
      <c r="B566" t="s">
        <v>153</v>
      </c>
      <c r="C566" t="s">
        <v>189</v>
      </c>
      <c r="D566" t="s">
        <v>167</v>
      </c>
      <c r="E566">
        <v>54</v>
      </c>
      <c r="F566">
        <v>56</v>
      </c>
      <c r="G566">
        <v>46</v>
      </c>
      <c r="H566">
        <v>6</v>
      </c>
      <c r="I566">
        <v>1</v>
      </c>
      <c r="J566">
        <v>117.39</v>
      </c>
      <c r="K566">
        <v>8</v>
      </c>
      <c r="L566" t="str">
        <f>CONCATENATE(T_BATTINGDATA[[#This Row],[Match]],T_BATTINGDATA[[#This Row],[Team]],T_BATTINGDATA[[#This Row],[Bat Number]])</f>
        <v>23Pakistan8</v>
      </c>
      <c r="M566" t="str">
        <f>IFERROR(IF(AND(T_BATTINGDATA[[#This Row],[Team]]=I_TEAM,IFERROR(IF(MATCH(T_BATTINGDATA[[#This Row],[BATSMAN NAME]],$O$5:O565,0)&gt;0,0),1)),1,0),"")</f>
        <v/>
      </c>
      <c r="N566" t="e">
        <f>IF(T_BATTINGDATA[[#This Row],[Team]]=I_TEAM,T_BATTINGDATA[[#This Row],[R]],0)</f>
        <v>#REF!</v>
      </c>
      <c r="O566" t="str">
        <f>LEFT(T_BATTINGDATA[[#This Row],[Batsman]],IFERROR(FIND("*",T_BATTINGDATA[[#This Row],[Batsman]])-1,IFERROR(FIND("†",T_BATTINGDATA[[#This Row],[Batsman]])-1,LEN(T_BATTINGDATA[[#This Row],[Batsman]]))))</f>
        <v>Wahab Riaz</v>
      </c>
      <c r="P566">
        <f ca="1">IFERROR(IF(MATCH(T_BATTINGDATA[[#This Row],[BATSMAN NAME]],OFFSET(O567,0,0,BATROWS-ROW(O566)-ROW(T_BATTINGDATA[[#Headers],[BATSMAN NAME]])),0)&gt;0,0,SUMIF($O$6:O566,T_BATTINGDATA[[#This Row],[BATSMAN NAME]],$E$6:E566)),SUMIF($O$6:O566,T_BATTINGDATA[[#This Row],[BATSMAN NAME]],$E$6:E566))</f>
        <v>0</v>
      </c>
      <c r="AP566">
        <v>40</v>
      </c>
      <c r="AQ566" t="s">
        <v>176</v>
      </c>
      <c r="AR566" t="s">
        <v>675</v>
      </c>
      <c r="AS566">
        <v>0.2</v>
      </c>
      <c r="AT566">
        <v>0</v>
      </c>
      <c r="AU566">
        <v>7</v>
      </c>
      <c r="AV566">
        <v>0</v>
      </c>
      <c r="AW566">
        <v>21</v>
      </c>
      <c r="AX566">
        <v>1</v>
      </c>
      <c r="AY566">
        <v>0</v>
      </c>
      <c r="AZ566">
        <v>1</v>
      </c>
      <c r="BA566">
        <v>1</v>
      </c>
      <c r="BB566">
        <v>0</v>
      </c>
      <c r="BC566">
        <v>4</v>
      </c>
      <c r="BD566" t="str">
        <f>CONCATENATE(Table9[[#This Row],[Match Number]],Table9[[#This Row],[Team]],Table9[[#This Row],[BOWL NUM]])</f>
        <v>40Scotland4</v>
      </c>
      <c r="BE566" t="str">
        <f>IFERROR(IF(AND(Table9[[#This Row],[Team]]=I_TEAM,IFERROR(IF(MATCH(Table9[[#This Row],[Bowler]],$AR$5:AR565,0)&gt;0,0),1)),1,0),"")</f>
        <v/>
      </c>
      <c r="BF566">
        <f>(LEFT(Table9[[#This Row],[Overs]],IFERROR(FIND(".",Table9[[#This Row],[Overs]])-1,LEN(Table9[[#This Row],[Overs]])))*6) + IFERROR(IF(FIND(".",Table9[[#This Row],[Overs]])+1&gt;0,RIGHT(Table9[[#This Row],[Overs]],1),0),0)</f>
        <v>2</v>
      </c>
      <c r="BG56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566" t="e">
        <f>IF(Table9[[#This Row],[Team]]=I_TEAM,Table9[[#This Row],[Wickets]]*100-Table9[[#This Row],[Runs]],0)</f>
        <v>#REF!</v>
      </c>
      <c r="BI566">
        <f>Table9[[#This Row],[Wickets]]*100-Table9[[#This Row],[Runs]]</f>
        <v>-7</v>
      </c>
      <c r="BJ566">
        <f ca="1">IFERROR(IF(MATCH(Table9[[#This Row],[Bowler]],OFFSET(AR567,0,0,BOWLROWS-ROW(AR566)-ROW(Table9[[#Headers],[BOWLER CUML WICKETS]])),0)&gt;0,0,SUMIF($AR$6:AR590,Table9[[#This Row],[Bowler]],$AV$6:AV590)),SUMIF($AR$6:AR590,Table9[[#This Row],[Bowler]],$AV$6:AV590))</f>
        <v>0</v>
      </c>
      <c r="BK566">
        <f ca="1">IFERROR(IF(MATCH(Table9[[#This Row],[Bowler]],OFFSET(AR567,0,0,BOWLROWS-ROW(AR566)-ROW(Table9[[#Headers],[BOWLER CUML WICKETS]])),0)&gt;0,0,SUMIF($AR$6:AR590,Table9[[#This Row],[Bowler]],$AU$6:AU590)),SUMIF($AR$6:AR590,Table9[[#This Row],[Bowler]],$AU$6:AU590))</f>
        <v>70</v>
      </c>
      <c r="BL566">
        <f ca="1">Table9[[#This Row],[BOWLER CUML WICKETS]]*100-Table9[[#This Row],[BOWLER CUML RUNS]]</f>
        <v>-70</v>
      </c>
    </row>
    <row r="567" spans="1:64" x14ac:dyDescent="0.3">
      <c r="A567">
        <v>23</v>
      </c>
      <c r="B567" t="s">
        <v>153</v>
      </c>
      <c r="C567" t="s">
        <v>186</v>
      </c>
      <c r="D567" t="s">
        <v>167</v>
      </c>
      <c r="E567">
        <v>6</v>
      </c>
      <c r="F567">
        <v>18</v>
      </c>
      <c r="G567">
        <v>8</v>
      </c>
      <c r="H567">
        <v>0</v>
      </c>
      <c r="I567">
        <v>0</v>
      </c>
      <c r="J567">
        <v>75</v>
      </c>
      <c r="K567">
        <v>9</v>
      </c>
      <c r="L567" t="str">
        <f>CONCATENATE(T_BATTINGDATA[[#This Row],[Match]],T_BATTINGDATA[[#This Row],[Team]],T_BATTINGDATA[[#This Row],[Bat Number]])</f>
        <v>23Pakistan9</v>
      </c>
      <c r="M567" t="str">
        <f>IFERROR(IF(AND(T_BATTINGDATA[[#This Row],[Team]]=I_TEAM,IFERROR(IF(MATCH(T_BATTINGDATA[[#This Row],[BATSMAN NAME]],$O$5:O566,0)&gt;0,0),1)),1,0),"")</f>
        <v/>
      </c>
      <c r="N567" t="e">
        <f>IF(T_BATTINGDATA[[#This Row],[Team]]=I_TEAM,T_BATTINGDATA[[#This Row],[R]],0)</f>
        <v>#REF!</v>
      </c>
      <c r="O567" t="str">
        <f>LEFT(T_BATTINGDATA[[#This Row],[Batsman]],IFERROR(FIND("*",T_BATTINGDATA[[#This Row],[Batsman]])-1,IFERROR(FIND("†",T_BATTINGDATA[[#This Row],[Batsman]])-1,LEN(T_BATTINGDATA[[#This Row],[Batsman]]))))</f>
        <v>Sohail Khan</v>
      </c>
      <c r="P567">
        <f ca="1">IFERROR(IF(MATCH(T_BATTINGDATA[[#This Row],[BATSMAN NAME]],OFFSET(O568,0,0,BATROWS-ROW(O567)-ROW(T_BATTINGDATA[[#Headers],[BATSMAN NAME]])),0)&gt;0,0,SUMIF($O$6:O567,T_BATTINGDATA[[#This Row],[BATSMAN NAME]],$E$6:E567)),SUMIF($O$6:O567,T_BATTINGDATA[[#This Row],[BATSMAN NAME]],$E$6:E567))</f>
        <v>0</v>
      </c>
      <c r="AP567">
        <v>41</v>
      </c>
      <c r="AQ567" t="s">
        <v>170</v>
      </c>
      <c r="AR567" t="s">
        <v>259</v>
      </c>
      <c r="AS567">
        <v>8.4</v>
      </c>
      <c r="AT567">
        <v>0</v>
      </c>
      <c r="AU567">
        <v>36</v>
      </c>
      <c r="AV567">
        <v>3</v>
      </c>
      <c r="AW567">
        <v>4.1500000000000004</v>
      </c>
      <c r="AX567">
        <v>33</v>
      </c>
      <c r="AY567">
        <v>2</v>
      </c>
      <c r="AZ567">
        <v>1</v>
      </c>
      <c r="BA567">
        <v>2</v>
      </c>
      <c r="BB567">
        <v>0</v>
      </c>
      <c r="BC567">
        <v>1</v>
      </c>
      <c r="BD567" t="str">
        <f>CONCATENATE(Table9[[#This Row],[Match Number]],Table9[[#This Row],[Team]],Table9[[#This Row],[BOWL NUM]])</f>
        <v>41West Indies1</v>
      </c>
      <c r="BE567" t="str">
        <f>IFERROR(IF(AND(Table9[[#This Row],[Team]]=I_TEAM,IFERROR(IF(MATCH(Table9[[#This Row],[Bowler]],$AR$5:AR566,0)&gt;0,0),1)),1,0),"")</f>
        <v/>
      </c>
      <c r="BF567">
        <f>(LEFT(Table9[[#This Row],[Overs]],IFERROR(FIND(".",Table9[[#This Row],[Overs]])-1,LEN(Table9[[#This Row],[Overs]])))*6) + IFERROR(IF(FIND(".",Table9[[#This Row],[Overs]])+1&gt;0,RIGHT(Table9[[#This Row],[Overs]],1),0),0)</f>
        <v>52</v>
      </c>
      <c r="BG56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67" t="e">
        <f>IF(Table9[[#This Row],[Team]]=I_TEAM,Table9[[#This Row],[Wickets]]*100-Table9[[#This Row],[Runs]],0)</f>
        <v>#REF!</v>
      </c>
      <c r="BI567">
        <f>Table9[[#This Row],[Wickets]]*100-Table9[[#This Row],[Runs]]</f>
        <v>264</v>
      </c>
      <c r="BJ567">
        <f ca="1">IFERROR(IF(MATCH(Table9[[#This Row],[Bowler]],OFFSET(AR568,0,0,BOWLROWS-ROW(AR567)-ROW(Table9[[#Headers],[BOWLER CUML WICKETS]])),0)&gt;0,0,SUMIF($AR$6:AR567,Table9[[#This Row],[Bowler]],$AV$6:AV567)),SUMIF($AR$6:AR567,Table9[[#This Row],[Bowler]],$AV$6:AV567))</f>
        <v>17</v>
      </c>
      <c r="BK567">
        <f ca="1">IFERROR(IF(MATCH(Table9[[#This Row],[Bowler]],OFFSET(AR568,0,0,BOWLROWS-ROW(AR567)-ROW(Table9[[#Headers],[BOWLER CUML WICKETS]])),0)&gt;0,0,SUMIF($AR$6:AR567,Table9[[#This Row],[Bowler]],$AU$6:AU567)),SUMIF($AR$6:AR567,Table9[[#This Row],[Bowler]],$AU$6:AU567))</f>
        <v>328</v>
      </c>
      <c r="BL567">
        <f ca="1">Table9[[#This Row],[BOWLER CUML WICKETS]]*100-Table9[[#This Row],[BOWLER CUML RUNS]]</f>
        <v>1372</v>
      </c>
    </row>
    <row r="568" spans="1:64" x14ac:dyDescent="0.3">
      <c r="A568">
        <v>23</v>
      </c>
      <c r="B568" t="s">
        <v>158</v>
      </c>
      <c r="C568" t="s">
        <v>221</v>
      </c>
      <c r="D568" t="s">
        <v>706</v>
      </c>
      <c r="E568">
        <v>9</v>
      </c>
      <c r="F568">
        <v>19</v>
      </c>
      <c r="G568">
        <v>18</v>
      </c>
      <c r="H568">
        <v>2</v>
      </c>
      <c r="I568">
        <v>0</v>
      </c>
      <c r="J568">
        <v>50</v>
      </c>
      <c r="K568">
        <v>1</v>
      </c>
      <c r="L568" t="str">
        <f>CONCATENATE(T_BATTINGDATA[[#This Row],[Match]],T_BATTINGDATA[[#This Row],[Team]],T_BATTINGDATA[[#This Row],[Bat Number]])</f>
        <v>23Zimbabwe1</v>
      </c>
      <c r="M568" t="str">
        <f>IFERROR(IF(AND(T_BATTINGDATA[[#This Row],[Team]]=I_TEAM,IFERROR(IF(MATCH(T_BATTINGDATA[[#This Row],[BATSMAN NAME]],$O$5:O567,0)&gt;0,0),1)),1,0),"")</f>
        <v/>
      </c>
      <c r="N568" t="e">
        <f>IF(T_BATTINGDATA[[#This Row],[Team]]=I_TEAM,T_BATTINGDATA[[#This Row],[R]],0)</f>
        <v>#REF!</v>
      </c>
      <c r="O568" t="str">
        <f>LEFT(T_BATTINGDATA[[#This Row],[Batsman]],IFERROR(FIND("*",T_BATTINGDATA[[#This Row],[Batsman]])-1,IFERROR(FIND("†",T_BATTINGDATA[[#This Row],[Batsman]])-1,LEN(T_BATTINGDATA[[#This Row],[Batsman]]))))</f>
        <v>CJ Chibhabha</v>
      </c>
      <c r="P568">
        <f ca="1">IFERROR(IF(MATCH(T_BATTINGDATA[[#This Row],[BATSMAN NAME]],OFFSET(O569,0,0,BATROWS-ROW(O568)-ROW(T_BATTINGDATA[[#Headers],[BATSMAN NAME]])),0)&gt;0,0,SUMIF($O$6:O568,T_BATTINGDATA[[#This Row],[BATSMAN NAME]],$E$6:E568)),SUMIF($O$6:O568,T_BATTINGDATA[[#This Row],[BATSMAN NAME]],$E$6:E568))</f>
        <v>0</v>
      </c>
      <c r="AP568">
        <v>41</v>
      </c>
      <c r="AQ568" t="s">
        <v>170</v>
      </c>
      <c r="AR568" t="s">
        <v>260</v>
      </c>
      <c r="AS568">
        <v>10</v>
      </c>
      <c r="AT568">
        <v>1</v>
      </c>
      <c r="AU568">
        <v>27</v>
      </c>
      <c r="AV568">
        <v>4</v>
      </c>
      <c r="AW568">
        <v>2.7</v>
      </c>
      <c r="AX568">
        <v>45</v>
      </c>
      <c r="AY568">
        <v>2</v>
      </c>
      <c r="AZ568">
        <v>0</v>
      </c>
      <c r="BA568">
        <v>4</v>
      </c>
      <c r="BB568">
        <v>0</v>
      </c>
      <c r="BC568">
        <v>2</v>
      </c>
      <c r="BD568" t="str">
        <f>CONCATENATE(Table9[[#This Row],[Match Number]],Table9[[#This Row],[Team]],Table9[[#This Row],[BOWL NUM]])</f>
        <v>41West Indies2</v>
      </c>
      <c r="BE568" t="str">
        <f>IFERROR(IF(AND(Table9[[#This Row],[Team]]=I_TEAM,IFERROR(IF(MATCH(Table9[[#This Row],[Bowler]],$AR$5:AR567,0)&gt;0,0),1)),1,0),"")</f>
        <v/>
      </c>
      <c r="BF56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6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68" t="e">
        <f>IF(Table9[[#This Row],[Team]]=I_TEAM,Table9[[#This Row],[Wickets]]*100-Table9[[#This Row],[Runs]],0)</f>
        <v>#REF!</v>
      </c>
      <c r="BI568">
        <f>Table9[[#This Row],[Wickets]]*100-Table9[[#This Row],[Runs]]</f>
        <v>373</v>
      </c>
      <c r="BJ568">
        <f ca="1">IFERROR(IF(MATCH(Table9[[#This Row],[Bowler]],OFFSET(AR569,0,0,BOWLROWS-ROW(AR568)-ROW(Table9[[#Headers],[BOWLER CUML WICKETS]])),0)&gt;0,0,SUMIF($AR$6:AR568,Table9[[#This Row],[Bowler]],$AV$6:AV568)),SUMIF($AR$6:AR568,Table9[[#This Row],[Bowler]],$AV$6:AV568))</f>
        <v>9</v>
      </c>
      <c r="BK568">
        <f ca="1">IFERROR(IF(MATCH(Table9[[#This Row],[Bowler]],OFFSET(AR569,0,0,BOWLROWS-ROW(AR568)-ROW(Table9[[#Headers],[BOWLER CUML WICKETS]])),0)&gt;0,0,SUMIF($AR$6:AR568,Table9[[#This Row],[Bowler]],$AU$6:AU568)),SUMIF($AR$6:AR568,Table9[[#This Row],[Bowler]],$AU$6:AU568))</f>
        <v>351</v>
      </c>
      <c r="BL568">
        <f ca="1">Table9[[#This Row],[BOWLER CUML WICKETS]]*100-Table9[[#This Row],[BOWLER CUML RUNS]]</f>
        <v>549</v>
      </c>
    </row>
    <row r="569" spans="1:64" x14ac:dyDescent="0.3">
      <c r="A569">
        <v>23</v>
      </c>
      <c r="B569" t="s">
        <v>158</v>
      </c>
      <c r="C569" t="s">
        <v>217</v>
      </c>
      <c r="D569" t="s">
        <v>706</v>
      </c>
      <c r="E569">
        <v>8</v>
      </c>
      <c r="F569">
        <v>29</v>
      </c>
      <c r="G569">
        <v>15</v>
      </c>
      <c r="H569">
        <v>0</v>
      </c>
      <c r="I569">
        <v>0</v>
      </c>
      <c r="J569">
        <v>53.33</v>
      </c>
      <c r="K569">
        <v>2</v>
      </c>
      <c r="L569" t="str">
        <f>CONCATENATE(T_BATTINGDATA[[#This Row],[Match]],T_BATTINGDATA[[#This Row],[Team]],T_BATTINGDATA[[#This Row],[Bat Number]])</f>
        <v>23Zimbabwe2</v>
      </c>
      <c r="M569" t="str">
        <f>IFERROR(IF(AND(T_BATTINGDATA[[#This Row],[Team]]=I_TEAM,IFERROR(IF(MATCH(T_BATTINGDATA[[#This Row],[BATSMAN NAME]],$O$5:O568,0)&gt;0,0),1)),1,0),"")</f>
        <v/>
      </c>
      <c r="N569" t="e">
        <f>IF(T_BATTINGDATA[[#This Row],[Team]]=I_TEAM,T_BATTINGDATA[[#This Row],[R]],0)</f>
        <v>#REF!</v>
      </c>
      <c r="O569" t="str">
        <f>LEFT(T_BATTINGDATA[[#This Row],[Batsman]],IFERROR(FIND("*",T_BATTINGDATA[[#This Row],[Batsman]])-1,IFERROR(FIND("†",T_BATTINGDATA[[#This Row],[Batsman]])-1,LEN(T_BATTINGDATA[[#This Row],[Batsman]]))))</f>
        <v>Sikandar Raza</v>
      </c>
      <c r="P569">
        <f ca="1">IFERROR(IF(MATCH(T_BATTINGDATA[[#This Row],[BATSMAN NAME]],OFFSET(O570,0,0,BATROWS-ROW(O569)-ROW(T_BATTINGDATA[[#Headers],[BATSMAN NAME]])),0)&gt;0,0,SUMIF($O$6:O569,T_BATTINGDATA[[#This Row],[BATSMAN NAME]],$E$6:E569)),SUMIF($O$6:O569,T_BATTINGDATA[[#This Row],[BATSMAN NAME]],$E$6:E569))</f>
        <v>0</v>
      </c>
      <c r="AP569">
        <v>41</v>
      </c>
      <c r="AQ569" t="s">
        <v>170</v>
      </c>
      <c r="AR569" t="s">
        <v>263</v>
      </c>
      <c r="AS569">
        <v>8</v>
      </c>
      <c r="AT569">
        <v>0</v>
      </c>
      <c r="AU569">
        <v>54</v>
      </c>
      <c r="AV569">
        <v>0</v>
      </c>
      <c r="AW569">
        <v>6.75</v>
      </c>
      <c r="AX569">
        <v>28</v>
      </c>
      <c r="AY569">
        <v>9</v>
      </c>
      <c r="AZ569">
        <v>0</v>
      </c>
      <c r="BA569">
        <v>2</v>
      </c>
      <c r="BB569">
        <v>0</v>
      </c>
      <c r="BC569">
        <v>3</v>
      </c>
      <c r="BD569" t="str">
        <f>CONCATENATE(Table9[[#This Row],[Match Number]],Table9[[#This Row],[Team]],Table9[[#This Row],[BOWL NUM]])</f>
        <v>41West Indies3</v>
      </c>
      <c r="BE569" t="str">
        <f>IFERROR(IF(AND(Table9[[#This Row],[Team]]=I_TEAM,IFERROR(IF(MATCH(Table9[[#This Row],[Bowler]],$AR$5:AR568,0)&gt;0,0),1)),1,0),"")</f>
        <v/>
      </c>
      <c r="BF569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6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69" t="e">
        <f>IF(Table9[[#This Row],[Team]]=I_TEAM,Table9[[#This Row],[Wickets]]*100-Table9[[#This Row],[Runs]],0)</f>
        <v>#REF!</v>
      </c>
      <c r="BI569">
        <f>Table9[[#This Row],[Wickets]]*100-Table9[[#This Row],[Runs]]</f>
        <v>-54</v>
      </c>
      <c r="BJ569">
        <f ca="1">IFERROR(IF(MATCH(Table9[[#This Row],[Bowler]],OFFSET(AR570,0,0,BOWLROWS-ROW(AR569)-ROW(Table9[[#Headers],[BOWLER CUML WICKETS]])),0)&gt;0,0,SUMIF($AR$6:AR569,Table9[[#This Row],[Bowler]],$AV$6:AV569)),SUMIF($AR$6:AR569,Table9[[#This Row],[Bowler]],$AV$6:AV569))</f>
        <v>1</v>
      </c>
      <c r="BK569">
        <f ca="1">IFERROR(IF(MATCH(Table9[[#This Row],[Bowler]],OFFSET(AR570,0,0,BOWLROWS-ROW(AR569)-ROW(Table9[[#Headers],[BOWLER CUML WICKETS]])),0)&gt;0,0,SUMIF($AR$6:AR569,Table9[[#This Row],[Bowler]],$AU$6:AU569)),SUMIF($AR$6:AR569,Table9[[#This Row],[Bowler]],$AU$6:AU569))</f>
        <v>150</v>
      </c>
      <c r="BL569">
        <f ca="1">Table9[[#This Row],[BOWLER CUML WICKETS]]*100-Table9[[#This Row],[BOWLER CUML RUNS]]</f>
        <v>-50</v>
      </c>
    </row>
    <row r="570" spans="1:64" x14ac:dyDescent="0.3">
      <c r="A570">
        <v>23</v>
      </c>
      <c r="B570" t="s">
        <v>158</v>
      </c>
      <c r="C570" t="s">
        <v>218</v>
      </c>
      <c r="D570" t="s">
        <v>707</v>
      </c>
      <c r="E570">
        <v>29</v>
      </c>
      <c r="F570">
        <v>71</v>
      </c>
      <c r="G570">
        <v>54</v>
      </c>
      <c r="H570">
        <v>4</v>
      </c>
      <c r="I570">
        <v>0</v>
      </c>
      <c r="J570">
        <v>53.7</v>
      </c>
      <c r="K570">
        <v>3</v>
      </c>
      <c r="L570" t="str">
        <f>CONCATENATE(T_BATTINGDATA[[#This Row],[Match]],T_BATTINGDATA[[#This Row],[Team]],T_BATTINGDATA[[#This Row],[Bat Number]])</f>
        <v>23Zimbabwe3</v>
      </c>
      <c r="M570" t="str">
        <f>IFERROR(IF(AND(T_BATTINGDATA[[#This Row],[Team]]=I_TEAM,IFERROR(IF(MATCH(T_BATTINGDATA[[#This Row],[BATSMAN NAME]],$O$5:O569,0)&gt;0,0),1)),1,0),"")</f>
        <v/>
      </c>
      <c r="N570" t="e">
        <f>IF(T_BATTINGDATA[[#This Row],[Team]]=I_TEAM,T_BATTINGDATA[[#This Row],[R]],0)</f>
        <v>#REF!</v>
      </c>
      <c r="O570" t="str">
        <f>LEFT(T_BATTINGDATA[[#This Row],[Batsman]],IFERROR(FIND("*",T_BATTINGDATA[[#This Row],[Batsman]])-1,IFERROR(FIND("†",T_BATTINGDATA[[#This Row],[Batsman]])-1,LEN(T_BATTINGDATA[[#This Row],[Batsman]]))))</f>
        <v>H Masakadza</v>
      </c>
      <c r="P570">
        <f ca="1">IFERROR(IF(MATCH(T_BATTINGDATA[[#This Row],[BATSMAN NAME]],OFFSET(O571,0,0,BATROWS-ROW(O570)-ROW(T_BATTINGDATA[[#Headers],[BATSMAN NAME]])),0)&gt;0,0,SUMIF($O$6:O570,T_BATTINGDATA[[#This Row],[BATSMAN NAME]],$E$6:E570)),SUMIF($O$6:O570,T_BATTINGDATA[[#This Row],[BATSMAN NAME]],$E$6:E570))</f>
        <v>0</v>
      </c>
      <c r="AP570">
        <v>41</v>
      </c>
      <c r="AQ570" t="s">
        <v>170</v>
      </c>
      <c r="AR570" t="s">
        <v>264</v>
      </c>
      <c r="AS570">
        <v>8</v>
      </c>
      <c r="AT570">
        <v>3</v>
      </c>
      <c r="AU570">
        <v>20</v>
      </c>
      <c r="AV570">
        <v>2</v>
      </c>
      <c r="AW570">
        <v>2.5</v>
      </c>
      <c r="AX570">
        <v>38</v>
      </c>
      <c r="AY570">
        <v>1</v>
      </c>
      <c r="AZ570">
        <v>1</v>
      </c>
      <c r="BA570">
        <v>2</v>
      </c>
      <c r="BB570">
        <v>0</v>
      </c>
      <c r="BC570">
        <v>4</v>
      </c>
      <c r="BD570" t="str">
        <f>CONCATENATE(Table9[[#This Row],[Match Number]],Table9[[#This Row],[Team]],Table9[[#This Row],[BOWL NUM]])</f>
        <v>41West Indies4</v>
      </c>
      <c r="BE570" t="str">
        <f>IFERROR(IF(AND(Table9[[#This Row],[Team]]=I_TEAM,IFERROR(IF(MATCH(Table9[[#This Row],[Bowler]],$AR$5:AR569,0)&gt;0,0),1)),1,0),"")</f>
        <v/>
      </c>
      <c r="BF57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7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70" t="e">
        <f>IF(Table9[[#This Row],[Team]]=I_TEAM,Table9[[#This Row],[Wickets]]*100-Table9[[#This Row],[Runs]],0)</f>
        <v>#REF!</v>
      </c>
      <c r="BI570">
        <f>Table9[[#This Row],[Wickets]]*100-Table9[[#This Row],[Runs]]</f>
        <v>180</v>
      </c>
      <c r="BJ570">
        <f ca="1">IFERROR(IF(MATCH(Table9[[#This Row],[Bowler]],OFFSET(AR571,0,0,BOWLROWS-ROW(AR570)-ROW(Table9[[#Headers],[BOWLER CUML WICKETS]])),0)&gt;0,0,SUMIF($AR$6:AR570,Table9[[#This Row],[Bowler]],$AV$6:AV570)),SUMIF($AR$6:AR570,Table9[[#This Row],[Bowler]],$AV$6:AV570))</f>
        <v>11</v>
      </c>
      <c r="BK570">
        <f ca="1">IFERROR(IF(MATCH(Table9[[#This Row],[Bowler]],OFFSET(AR571,0,0,BOWLROWS-ROW(AR570)-ROW(Table9[[#Headers],[BOWLER CUML WICKETS]])),0)&gt;0,0,SUMIF($AR$6:AR570,Table9[[#This Row],[Bowler]],$AU$6:AU570)),SUMIF($AR$6:AR570,Table9[[#This Row],[Bowler]],$AU$6:AU570))</f>
        <v>343</v>
      </c>
      <c r="BL570">
        <f ca="1">Table9[[#This Row],[BOWLER CUML WICKETS]]*100-Table9[[#This Row],[BOWLER CUML RUNS]]</f>
        <v>757</v>
      </c>
    </row>
    <row r="571" spans="1:64" x14ac:dyDescent="0.3">
      <c r="A571">
        <v>23</v>
      </c>
      <c r="B571" t="s">
        <v>158</v>
      </c>
      <c r="C571" t="s">
        <v>420</v>
      </c>
      <c r="D571" t="s">
        <v>708</v>
      </c>
      <c r="E571">
        <v>50</v>
      </c>
      <c r="F571">
        <v>95</v>
      </c>
      <c r="G571">
        <v>72</v>
      </c>
      <c r="H571">
        <v>6</v>
      </c>
      <c r="I571">
        <v>0</v>
      </c>
      <c r="J571">
        <v>69.44</v>
      </c>
      <c r="K571">
        <v>4</v>
      </c>
      <c r="L571" t="str">
        <f>CONCATENATE(T_BATTINGDATA[[#This Row],[Match]],T_BATTINGDATA[[#This Row],[Team]],T_BATTINGDATA[[#This Row],[Bat Number]])</f>
        <v>23Zimbabwe4</v>
      </c>
      <c r="M571" t="str">
        <f>IFERROR(IF(AND(T_BATTINGDATA[[#This Row],[Team]]=I_TEAM,IFERROR(IF(MATCH(T_BATTINGDATA[[#This Row],[BATSMAN NAME]],$O$5:O570,0)&gt;0,0),1)),1,0),"")</f>
        <v/>
      </c>
      <c r="N571" t="e">
        <f>IF(T_BATTINGDATA[[#This Row],[Team]]=I_TEAM,T_BATTINGDATA[[#This Row],[R]],0)</f>
        <v>#REF!</v>
      </c>
      <c r="O571" t="str">
        <f>LEFT(T_BATTINGDATA[[#This Row],[Batsman]],IFERROR(FIND("*",T_BATTINGDATA[[#This Row],[Batsman]])-1,IFERROR(FIND("†",T_BATTINGDATA[[#This Row],[Batsman]])-1,LEN(T_BATTINGDATA[[#This Row],[Batsman]]))))</f>
        <v>BRM Taylor</v>
      </c>
      <c r="P571">
        <f ca="1">IFERROR(IF(MATCH(T_BATTINGDATA[[#This Row],[BATSMAN NAME]],OFFSET(O572,0,0,BATROWS-ROW(O571)-ROW(T_BATTINGDATA[[#Headers],[BATSMAN NAME]])),0)&gt;0,0,SUMIF($O$6:O571,T_BATTINGDATA[[#This Row],[BATSMAN NAME]],$E$6:E571)),SUMIF($O$6:O571,T_BATTINGDATA[[#This Row],[BATSMAN NAME]],$E$6:E571))</f>
        <v>0</v>
      </c>
      <c r="AP571">
        <v>41</v>
      </c>
      <c r="AQ571" t="s">
        <v>170</v>
      </c>
      <c r="AR571" t="s">
        <v>267</v>
      </c>
      <c r="AS571">
        <v>10</v>
      </c>
      <c r="AT571">
        <v>4</v>
      </c>
      <c r="AU571">
        <v>25</v>
      </c>
      <c r="AV571">
        <v>1</v>
      </c>
      <c r="AW571">
        <v>2.5</v>
      </c>
      <c r="AX571">
        <v>50</v>
      </c>
      <c r="AY571">
        <v>4</v>
      </c>
      <c r="AZ571">
        <v>0</v>
      </c>
      <c r="BA571">
        <v>0</v>
      </c>
      <c r="BB571">
        <v>0</v>
      </c>
      <c r="BC571">
        <v>5</v>
      </c>
      <c r="BD571" t="str">
        <f>CONCATENATE(Table9[[#This Row],[Match Number]],Table9[[#This Row],[Team]],Table9[[#This Row],[BOWL NUM]])</f>
        <v>41West Indies5</v>
      </c>
      <c r="BE571" t="str">
        <f>IFERROR(IF(AND(Table9[[#This Row],[Team]]=I_TEAM,IFERROR(IF(MATCH(Table9[[#This Row],[Bowler]],$AR$5:AR570,0)&gt;0,0),1)),1,0),"")</f>
        <v/>
      </c>
      <c r="BF57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7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71" t="e">
        <f>IF(Table9[[#This Row],[Team]]=I_TEAM,Table9[[#This Row],[Wickets]]*100-Table9[[#This Row],[Runs]],0)</f>
        <v>#REF!</v>
      </c>
      <c r="BI571">
        <f>Table9[[#This Row],[Wickets]]*100-Table9[[#This Row],[Runs]]</f>
        <v>75</v>
      </c>
      <c r="BJ571">
        <f ca="1">IFERROR(IF(MATCH(Table9[[#This Row],[Bowler]],OFFSET(AR572,0,0,BOWLROWS-ROW(AR571)-ROW(Table9[[#Headers],[BOWLER CUML WICKETS]])),0)&gt;0,0,SUMIF($AR$6:AR571,Table9[[#This Row],[Bowler]],$AV$6:AV571)),SUMIF($AR$6:AR571,Table9[[#This Row],[Bowler]],$AV$6:AV571))</f>
        <v>3</v>
      </c>
      <c r="BK571">
        <f ca="1">IFERROR(IF(MATCH(Table9[[#This Row],[Bowler]],OFFSET(AR572,0,0,BOWLROWS-ROW(AR571)-ROW(Table9[[#Headers],[BOWLER CUML WICKETS]])),0)&gt;0,0,SUMIF($AR$6:AR571,Table9[[#This Row],[Bowler]],$AU$6:AU571)),SUMIF($AR$6:AR571,Table9[[#This Row],[Bowler]],$AU$6:AU571))</f>
        <v>177</v>
      </c>
      <c r="BL571">
        <f ca="1">Table9[[#This Row],[BOWLER CUML WICKETS]]*100-Table9[[#This Row],[BOWLER CUML RUNS]]</f>
        <v>123</v>
      </c>
    </row>
    <row r="572" spans="1:64" x14ac:dyDescent="0.3">
      <c r="A572">
        <v>23</v>
      </c>
      <c r="B572" t="s">
        <v>158</v>
      </c>
      <c r="C572" t="s">
        <v>214</v>
      </c>
      <c r="D572" t="s">
        <v>709</v>
      </c>
      <c r="E572">
        <v>33</v>
      </c>
      <c r="F572">
        <v>53</v>
      </c>
      <c r="G572">
        <v>32</v>
      </c>
      <c r="H572">
        <v>2</v>
      </c>
      <c r="I572">
        <v>0</v>
      </c>
      <c r="J572">
        <v>103.12</v>
      </c>
      <c r="K572">
        <v>5</v>
      </c>
      <c r="L572" t="str">
        <f>CONCATENATE(T_BATTINGDATA[[#This Row],[Match]],T_BATTINGDATA[[#This Row],[Team]],T_BATTINGDATA[[#This Row],[Bat Number]])</f>
        <v>23Zimbabwe5</v>
      </c>
      <c r="M572" t="str">
        <f>IFERROR(IF(AND(T_BATTINGDATA[[#This Row],[Team]]=I_TEAM,IFERROR(IF(MATCH(T_BATTINGDATA[[#This Row],[BATSMAN NAME]],$O$5:O571,0)&gt;0,0),1)),1,0),"")</f>
        <v/>
      </c>
      <c r="N572" t="e">
        <f>IF(T_BATTINGDATA[[#This Row],[Team]]=I_TEAM,T_BATTINGDATA[[#This Row],[R]],0)</f>
        <v>#REF!</v>
      </c>
      <c r="O572" t="str">
        <f>LEFT(T_BATTINGDATA[[#This Row],[Batsman]],IFERROR(FIND("*",T_BATTINGDATA[[#This Row],[Batsman]])-1,IFERROR(FIND("†",T_BATTINGDATA[[#This Row],[Batsman]])-1,LEN(T_BATTINGDATA[[#This Row],[Batsman]]))))</f>
        <v>SC Williams</v>
      </c>
      <c r="P572">
        <f ca="1">IFERROR(IF(MATCH(T_BATTINGDATA[[#This Row],[BATSMAN NAME]],OFFSET(O573,0,0,BATROWS-ROW(O572)-ROW(T_BATTINGDATA[[#Headers],[BATSMAN NAME]])),0)&gt;0,0,SUMIF($O$6:O572,T_BATTINGDATA[[#This Row],[BATSMAN NAME]],$E$6:E572)),SUMIF($O$6:O572,T_BATTINGDATA[[#This Row],[BATSMAN NAME]],$E$6:E572))</f>
        <v>0</v>
      </c>
      <c r="AP572">
        <v>41</v>
      </c>
      <c r="AQ572" t="s">
        <v>170</v>
      </c>
      <c r="AR572" t="s">
        <v>302</v>
      </c>
      <c r="AS572">
        <v>1</v>
      </c>
      <c r="AT572">
        <v>0</v>
      </c>
      <c r="AU572">
        <v>4</v>
      </c>
      <c r="AV572">
        <v>0</v>
      </c>
      <c r="AW572">
        <v>4</v>
      </c>
      <c r="AX572">
        <v>3</v>
      </c>
      <c r="AY572">
        <v>0</v>
      </c>
      <c r="AZ572">
        <v>0</v>
      </c>
      <c r="BA572">
        <v>0</v>
      </c>
      <c r="BB572">
        <v>0</v>
      </c>
      <c r="BC572">
        <v>6</v>
      </c>
      <c r="BD572" t="str">
        <f>CONCATENATE(Table9[[#This Row],[Match Number]],Table9[[#This Row],[Team]],Table9[[#This Row],[BOWL NUM]])</f>
        <v>41West Indies6</v>
      </c>
      <c r="BE572" t="str">
        <f>IFERROR(IF(AND(Table9[[#This Row],[Team]]=I_TEAM,IFERROR(IF(MATCH(Table9[[#This Row],[Bowler]],$AR$5:AR571,0)&gt;0,0),1)),1,0),"")</f>
        <v/>
      </c>
      <c r="BF572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57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72" t="e">
        <f>IF(Table9[[#This Row],[Team]]=I_TEAM,Table9[[#This Row],[Wickets]]*100-Table9[[#This Row],[Runs]],0)</f>
        <v>#REF!</v>
      </c>
      <c r="BI572">
        <f>Table9[[#This Row],[Wickets]]*100-Table9[[#This Row],[Runs]]</f>
        <v>-4</v>
      </c>
      <c r="BJ572">
        <f ca="1">IFERROR(IF(MATCH(Table9[[#This Row],[Bowler]],OFFSET(AR573,0,0,BOWLROWS-ROW(AR572)-ROW(Table9[[#Headers],[BOWLER CUML WICKETS]])),0)&gt;0,0,SUMIF($AR$6:AR572,Table9[[#This Row],[Bowler]],$AV$6:AV572)),SUMIF($AR$6:AR572,Table9[[#This Row],[Bowler]],$AV$6:AV572))</f>
        <v>1</v>
      </c>
      <c r="BK572">
        <f ca="1">IFERROR(IF(MATCH(Table9[[#This Row],[Bowler]],OFFSET(AR573,0,0,BOWLROWS-ROW(AR572)-ROW(Table9[[#Headers],[BOWLER CUML WICKETS]])),0)&gt;0,0,SUMIF($AR$6:AR572,Table9[[#This Row],[Bowler]],$AU$6:AU572)),SUMIF($AR$6:AR572,Table9[[#This Row],[Bowler]],$AU$6:AU572))</f>
        <v>172</v>
      </c>
      <c r="BL572">
        <f ca="1">Table9[[#This Row],[BOWLER CUML WICKETS]]*100-Table9[[#This Row],[BOWLER CUML RUNS]]</f>
        <v>-72</v>
      </c>
    </row>
    <row r="573" spans="1:64" x14ac:dyDescent="0.3">
      <c r="A573">
        <v>23</v>
      </c>
      <c r="B573" t="s">
        <v>158</v>
      </c>
      <c r="C573" t="s">
        <v>231</v>
      </c>
      <c r="D573" t="s">
        <v>708</v>
      </c>
      <c r="E573">
        <v>14</v>
      </c>
      <c r="F573">
        <v>45</v>
      </c>
      <c r="G573">
        <v>29</v>
      </c>
      <c r="H573">
        <v>1</v>
      </c>
      <c r="I573">
        <v>0</v>
      </c>
      <c r="J573">
        <v>48.27</v>
      </c>
      <c r="K573">
        <v>6</v>
      </c>
      <c r="L573" t="str">
        <f>CONCATENATE(T_BATTINGDATA[[#This Row],[Match]],T_BATTINGDATA[[#This Row],[Team]],T_BATTINGDATA[[#This Row],[Bat Number]])</f>
        <v>23Zimbabwe6</v>
      </c>
      <c r="M573" t="str">
        <f>IFERROR(IF(AND(T_BATTINGDATA[[#This Row],[Team]]=I_TEAM,IFERROR(IF(MATCH(T_BATTINGDATA[[#This Row],[BATSMAN NAME]],$O$5:O572,0)&gt;0,0),1)),1,0),"")</f>
        <v/>
      </c>
      <c r="N573" t="e">
        <f>IF(T_BATTINGDATA[[#This Row],[Team]]=I_TEAM,T_BATTINGDATA[[#This Row],[R]],0)</f>
        <v>#REF!</v>
      </c>
      <c r="O573" t="str">
        <f>LEFT(T_BATTINGDATA[[#This Row],[Batsman]],IFERROR(FIND("*",T_BATTINGDATA[[#This Row],[Batsman]])-1,IFERROR(FIND("†",T_BATTINGDATA[[#This Row],[Batsman]])-1,LEN(T_BATTINGDATA[[#This Row],[Batsman]]))))</f>
        <v>CR Ervine</v>
      </c>
      <c r="P573">
        <f ca="1">IFERROR(IF(MATCH(T_BATTINGDATA[[#This Row],[BATSMAN NAME]],OFFSET(O574,0,0,BATROWS-ROW(O573)-ROW(T_BATTINGDATA[[#Headers],[BATSMAN NAME]])),0)&gt;0,0,SUMIF($O$6:O573,T_BATTINGDATA[[#This Row],[BATSMAN NAME]],$E$6:E573)),SUMIF($O$6:O573,T_BATTINGDATA[[#This Row],[BATSMAN NAME]],$E$6:E573))</f>
        <v>0</v>
      </c>
      <c r="AP573">
        <v>41</v>
      </c>
      <c r="AQ573" t="s">
        <v>170</v>
      </c>
      <c r="AR573" t="s">
        <v>265</v>
      </c>
      <c r="AS573">
        <v>2</v>
      </c>
      <c r="AT573">
        <v>0</v>
      </c>
      <c r="AU573">
        <v>5</v>
      </c>
      <c r="AV573">
        <v>0</v>
      </c>
      <c r="AW573">
        <v>2.5</v>
      </c>
      <c r="AX573">
        <v>7</v>
      </c>
      <c r="AY573">
        <v>0</v>
      </c>
      <c r="AZ573">
        <v>0</v>
      </c>
      <c r="BA573">
        <v>0</v>
      </c>
      <c r="BB573">
        <v>0</v>
      </c>
      <c r="BC573">
        <v>7</v>
      </c>
      <c r="BD573" t="str">
        <f>CONCATENATE(Table9[[#This Row],[Match Number]],Table9[[#This Row],[Team]],Table9[[#This Row],[BOWL NUM]])</f>
        <v>41West Indies7</v>
      </c>
      <c r="BE573" t="str">
        <f>IFERROR(IF(AND(Table9[[#This Row],[Team]]=I_TEAM,IFERROR(IF(MATCH(Table9[[#This Row],[Bowler]],$AR$5:AR572,0)&gt;0,0),1)),1,0),"")</f>
        <v/>
      </c>
      <c r="BF573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57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73" t="e">
        <f>IF(Table9[[#This Row],[Team]]=I_TEAM,Table9[[#This Row],[Wickets]]*100-Table9[[#This Row],[Runs]],0)</f>
        <v>#REF!</v>
      </c>
      <c r="BI573">
        <f>Table9[[#This Row],[Wickets]]*100-Table9[[#This Row],[Runs]]</f>
        <v>-5</v>
      </c>
      <c r="BJ573">
        <f ca="1">IFERROR(IF(MATCH(Table9[[#This Row],[Bowler]],OFFSET(AR574,0,0,BOWLROWS-ROW(AR573)-ROW(Table9[[#Headers],[BOWLER CUML WICKETS]])),0)&gt;0,0,SUMIF($AR$6:AR590,Table9[[#This Row],[Bowler]],$AV$6:AV590)),SUMIF($AR$6:AR590,Table9[[#This Row],[Bowler]],$AV$6:AV590))</f>
        <v>1</v>
      </c>
      <c r="BK573">
        <f ca="1">IFERROR(IF(MATCH(Table9[[#This Row],[Bowler]],OFFSET(AR574,0,0,BOWLROWS-ROW(AR573)-ROW(Table9[[#Headers],[BOWLER CUML WICKETS]])),0)&gt;0,0,SUMIF($AR$6:AR590,Table9[[#This Row],[Bowler]],$AU$6:AU590)),SUMIF($AR$6:AR590,Table9[[#This Row],[Bowler]],$AU$6:AU590))</f>
        <v>27</v>
      </c>
      <c r="BL573">
        <f ca="1">Table9[[#This Row],[BOWLER CUML WICKETS]]*100-Table9[[#This Row],[BOWLER CUML RUNS]]</f>
        <v>73</v>
      </c>
    </row>
    <row r="574" spans="1:64" x14ac:dyDescent="0.3">
      <c r="A574">
        <v>23</v>
      </c>
      <c r="B574" t="s">
        <v>158</v>
      </c>
      <c r="C574" t="s">
        <v>211</v>
      </c>
      <c r="D574" t="s">
        <v>710</v>
      </c>
      <c r="E574">
        <v>8</v>
      </c>
      <c r="F574">
        <v>14</v>
      </c>
      <c r="G574">
        <v>14</v>
      </c>
      <c r="H574">
        <v>0</v>
      </c>
      <c r="I574">
        <v>0</v>
      </c>
      <c r="J574">
        <v>57.14</v>
      </c>
      <c r="K574">
        <v>7</v>
      </c>
      <c r="L574" t="str">
        <f>CONCATENATE(T_BATTINGDATA[[#This Row],[Match]],T_BATTINGDATA[[#This Row],[Team]],T_BATTINGDATA[[#This Row],[Bat Number]])</f>
        <v>23Zimbabwe7</v>
      </c>
      <c r="M574" t="str">
        <f>IFERROR(IF(AND(T_BATTINGDATA[[#This Row],[Team]]=I_TEAM,IFERROR(IF(MATCH(T_BATTINGDATA[[#This Row],[BATSMAN NAME]],$O$5:O573,0)&gt;0,0),1)),1,0),"")</f>
        <v/>
      </c>
      <c r="N574" t="e">
        <f>IF(T_BATTINGDATA[[#This Row],[Team]]=I_TEAM,T_BATTINGDATA[[#This Row],[R]],0)</f>
        <v>#REF!</v>
      </c>
      <c r="O574" t="str">
        <f>LEFT(T_BATTINGDATA[[#This Row],[Batsman]],IFERROR(FIND("*",T_BATTINGDATA[[#This Row],[Batsman]])-1,IFERROR(FIND("†",T_BATTINGDATA[[#This Row],[Batsman]])-1,LEN(T_BATTINGDATA[[#This Row],[Batsman]]))))</f>
        <v>SF Mire</v>
      </c>
      <c r="P574">
        <f ca="1">IFERROR(IF(MATCH(T_BATTINGDATA[[#This Row],[BATSMAN NAME]],OFFSET(O575,0,0,BATROWS-ROW(O574)-ROW(T_BATTINGDATA[[#Headers],[BATSMAN NAME]])),0)&gt;0,0,SUMIF($O$6:O574,T_BATTINGDATA[[#This Row],[BATSMAN NAME]],$E$6:E574)),SUMIF($O$6:O574,T_BATTINGDATA[[#This Row],[BATSMAN NAME]],$E$6:E574))</f>
        <v>0</v>
      </c>
      <c r="AP574">
        <v>41</v>
      </c>
      <c r="AQ574" t="s">
        <v>164</v>
      </c>
      <c r="AR574" t="s">
        <v>419</v>
      </c>
      <c r="AS574">
        <v>6</v>
      </c>
      <c r="AT574">
        <v>0</v>
      </c>
      <c r="AU574">
        <v>47</v>
      </c>
      <c r="AV574">
        <v>0</v>
      </c>
      <c r="AW574">
        <v>7.83</v>
      </c>
      <c r="AX574">
        <v>17</v>
      </c>
      <c r="AY574">
        <v>5</v>
      </c>
      <c r="AZ574">
        <v>2</v>
      </c>
      <c r="BA574">
        <v>0</v>
      </c>
      <c r="BB574">
        <v>0</v>
      </c>
      <c r="BC574">
        <v>1</v>
      </c>
      <c r="BD574" t="str">
        <f>CONCATENATE(Table9[[#This Row],[Match Number]],Table9[[#This Row],[Team]],Table9[[#This Row],[BOWL NUM]])</f>
        <v>41UAE1</v>
      </c>
      <c r="BE574" t="str">
        <f>IFERROR(IF(AND(Table9[[#This Row],[Team]]=I_TEAM,IFERROR(IF(MATCH(Table9[[#This Row],[Bowler]],$AR$5:AR573,0)&gt;0,0),1)),1,0),"")</f>
        <v/>
      </c>
      <c r="BF574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57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574" t="e">
        <f>IF(Table9[[#This Row],[Team]]=I_TEAM,Table9[[#This Row],[Wickets]]*100-Table9[[#This Row],[Runs]],0)</f>
        <v>#REF!</v>
      </c>
      <c r="BI574">
        <f>Table9[[#This Row],[Wickets]]*100-Table9[[#This Row],[Runs]]</f>
        <v>-47</v>
      </c>
      <c r="BJ574">
        <f ca="1">IFERROR(IF(MATCH(Table9[[#This Row],[Bowler]],OFFSET(AR575,0,0,BOWLROWS-ROW(AR574)-ROW(Table9[[#Headers],[BOWLER CUML WICKETS]])),0)&gt;0,0,SUMIF($AR$6:AR574,Table9[[#This Row],[Bowler]],$AV$6:AV574)),SUMIF($AR$6:AR574,Table9[[#This Row],[Bowler]],$AV$6:AV574))</f>
        <v>1</v>
      </c>
      <c r="BK574">
        <f ca="1">IFERROR(IF(MATCH(Table9[[#This Row],[Bowler]],OFFSET(AR575,0,0,BOWLROWS-ROW(AR574)-ROW(Table9[[#Headers],[BOWLER CUML WICKETS]])),0)&gt;0,0,SUMIF($AR$6:AR574,Table9[[#This Row],[Bowler]],$AU$6:AU574)),SUMIF($AR$6:AR574,Table9[[#This Row],[Bowler]],$AU$6:AU574))</f>
        <v>100</v>
      </c>
      <c r="BL574">
        <f ca="1">Table9[[#This Row],[BOWLER CUML WICKETS]]*100-Table9[[#This Row],[BOWLER CUML RUNS]]</f>
        <v>0</v>
      </c>
    </row>
    <row r="575" spans="1:64" x14ac:dyDescent="0.3">
      <c r="A575">
        <v>23</v>
      </c>
      <c r="B575" t="s">
        <v>158</v>
      </c>
      <c r="C575" t="s">
        <v>424</v>
      </c>
      <c r="D575" t="s">
        <v>708</v>
      </c>
      <c r="E575">
        <v>35</v>
      </c>
      <c r="F575">
        <v>60</v>
      </c>
      <c r="G575">
        <v>35</v>
      </c>
      <c r="H575">
        <v>4</v>
      </c>
      <c r="I575">
        <v>0</v>
      </c>
      <c r="J575">
        <v>100</v>
      </c>
      <c r="K575">
        <v>8</v>
      </c>
      <c r="L575" t="str">
        <f>CONCATENATE(T_BATTINGDATA[[#This Row],[Match]],T_BATTINGDATA[[#This Row],[Team]],T_BATTINGDATA[[#This Row],[Bat Number]])</f>
        <v>23Zimbabwe8</v>
      </c>
      <c r="M575" t="str">
        <f>IFERROR(IF(AND(T_BATTINGDATA[[#This Row],[Team]]=I_TEAM,IFERROR(IF(MATCH(T_BATTINGDATA[[#This Row],[BATSMAN NAME]],$O$5:O574,0)&gt;0,0),1)),1,0),"")</f>
        <v/>
      </c>
      <c r="N575" t="e">
        <f>IF(T_BATTINGDATA[[#This Row],[Team]]=I_TEAM,T_BATTINGDATA[[#This Row],[R]],0)</f>
        <v>#REF!</v>
      </c>
      <c r="O575" t="str">
        <f>LEFT(T_BATTINGDATA[[#This Row],[Batsman]],IFERROR(FIND("*",T_BATTINGDATA[[#This Row],[Batsman]])-1,IFERROR(FIND("†",T_BATTINGDATA[[#This Row],[Batsman]])-1,LEN(T_BATTINGDATA[[#This Row],[Batsman]]))))</f>
        <v>E Chigumbura</v>
      </c>
      <c r="P575">
        <f ca="1">IFERROR(IF(MATCH(T_BATTINGDATA[[#This Row],[BATSMAN NAME]],OFFSET(O576,0,0,BATROWS-ROW(O575)-ROW(T_BATTINGDATA[[#Headers],[BATSMAN NAME]])),0)&gt;0,0,SUMIF($O$6:O575,T_BATTINGDATA[[#This Row],[BATSMAN NAME]],$E$6:E575)),SUMIF($O$6:O575,T_BATTINGDATA[[#This Row],[BATSMAN NAME]],$E$6:E575))</f>
        <v>78</v>
      </c>
      <c r="AP575">
        <v>41</v>
      </c>
      <c r="AQ575" t="s">
        <v>164</v>
      </c>
      <c r="AR575" t="s">
        <v>223</v>
      </c>
      <c r="AS575">
        <v>6</v>
      </c>
      <c r="AT575">
        <v>0</v>
      </c>
      <c r="AU575">
        <v>34</v>
      </c>
      <c r="AV575">
        <v>0</v>
      </c>
      <c r="AW575">
        <v>5.66</v>
      </c>
      <c r="AX575">
        <v>23</v>
      </c>
      <c r="AY575">
        <v>4</v>
      </c>
      <c r="AZ575">
        <v>0</v>
      </c>
      <c r="BA575">
        <v>1</v>
      </c>
      <c r="BB575">
        <v>0</v>
      </c>
      <c r="BC575">
        <v>2</v>
      </c>
      <c r="BD575" t="str">
        <f>CONCATENATE(Table9[[#This Row],[Match Number]],Table9[[#This Row],[Team]],Table9[[#This Row],[BOWL NUM]])</f>
        <v>41UAE2</v>
      </c>
      <c r="BE575" t="str">
        <f>IFERROR(IF(AND(Table9[[#This Row],[Team]]=I_TEAM,IFERROR(IF(MATCH(Table9[[#This Row],[Bowler]],$AR$5:AR574,0)&gt;0,0),1)),1,0),"")</f>
        <v/>
      </c>
      <c r="BF575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57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575" t="e">
        <f>IF(Table9[[#This Row],[Team]]=I_TEAM,Table9[[#This Row],[Wickets]]*100-Table9[[#This Row],[Runs]],0)</f>
        <v>#REF!</v>
      </c>
      <c r="BI575">
        <f>Table9[[#This Row],[Wickets]]*100-Table9[[#This Row],[Runs]]</f>
        <v>-34</v>
      </c>
      <c r="BJ575">
        <f ca="1">IFERROR(IF(MATCH(Table9[[#This Row],[Bowler]],OFFSET(AR576,0,0,BOWLROWS-ROW(AR575)-ROW(Table9[[#Headers],[BOWLER CUML WICKETS]])),0)&gt;0,0,SUMIF($AR$6:AR575,Table9[[#This Row],[Bowler]],$AV$6:AV575)),SUMIF($AR$6:AR575,Table9[[#This Row],[Bowler]],$AV$6:AV575))</f>
        <v>8</v>
      </c>
      <c r="BK575">
        <f ca="1">IFERROR(IF(MATCH(Table9[[#This Row],[Bowler]],OFFSET(AR576,0,0,BOWLROWS-ROW(AR575)-ROW(Table9[[#Headers],[BOWLER CUML WICKETS]])),0)&gt;0,0,SUMIF($AR$6:AR575,Table9[[#This Row],[Bowler]],$AU$6:AU575)),SUMIF($AR$6:AR575,Table9[[#This Row],[Bowler]],$AU$6:AU575))</f>
        <v>307</v>
      </c>
      <c r="BL575">
        <f ca="1">Table9[[#This Row],[BOWLER CUML WICKETS]]*100-Table9[[#This Row],[BOWLER CUML RUNS]]</f>
        <v>493</v>
      </c>
    </row>
    <row r="576" spans="1:64" x14ac:dyDescent="0.3">
      <c r="A576">
        <v>23</v>
      </c>
      <c r="B576" t="s">
        <v>158</v>
      </c>
      <c r="C576" t="s">
        <v>208</v>
      </c>
      <c r="D576" t="s">
        <v>708</v>
      </c>
      <c r="E576">
        <v>0</v>
      </c>
      <c r="F576">
        <v>2</v>
      </c>
      <c r="G576">
        <v>2</v>
      </c>
      <c r="H576">
        <v>0</v>
      </c>
      <c r="I576">
        <v>0</v>
      </c>
      <c r="J576">
        <v>0</v>
      </c>
      <c r="K576">
        <v>9</v>
      </c>
      <c r="L576" t="str">
        <f>CONCATENATE(T_BATTINGDATA[[#This Row],[Match]],T_BATTINGDATA[[#This Row],[Team]],T_BATTINGDATA[[#This Row],[Bat Number]])</f>
        <v>23Zimbabwe9</v>
      </c>
      <c r="M576" t="str">
        <f>IFERROR(IF(AND(T_BATTINGDATA[[#This Row],[Team]]=I_TEAM,IFERROR(IF(MATCH(T_BATTINGDATA[[#This Row],[BATSMAN NAME]],$O$5:O575,0)&gt;0,0),1)),1,0),"")</f>
        <v/>
      </c>
      <c r="N576" t="e">
        <f>IF(T_BATTINGDATA[[#This Row],[Team]]=I_TEAM,T_BATTINGDATA[[#This Row],[R]],0)</f>
        <v>#REF!</v>
      </c>
      <c r="O576" t="str">
        <f>LEFT(T_BATTINGDATA[[#This Row],[Batsman]],IFERROR(FIND("*",T_BATTINGDATA[[#This Row],[Batsman]])-1,IFERROR(FIND("†",T_BATTINGDATA[[#This Row],[Batsman]])-1,LEN(T_BATTINGDATA[[#This Row],[Batsman]]))))</f>
        <v>T Mupariwa</v>
      </c>
      <c r="P576">
        <f ca="1">IFERROR(IF(MATCH(T_BATTINGDATA[[#This Row],[BATSMAN NAME]],OFFSET(O577,0,0,BATROWS-ROW(O576)-ROW(T_BATTINGDATA[[#Headers],[BATSMAN NAME]])),0)&gt;0,0,SUMIF($O$6:O576,T_BATTINGDATA[[#This Row],[BATSMAN NAME]],$E$6:E576)),SUMIF($O$6:O576,T_BATTINGDATA[[#This Row],[BATSMAN NAME]],$E$6:E576))</f>
        <v>0</v>
      </c>
      <c r="AP576">
        <v>41</v>
      </c>
      <c r="AQ576" t="s">
        <v>164</v>
      </c>
      <c r="AR576" t="s">
        <v>225</v>
      </c>
      <c r="AS576">
        <v>7.3</v>
      </c>
      <c r="AT576">
        <v>1</v>
      </c>
      <c r="AU576">
        <v>40</v>
      </c>
      <c r="AV576">
        <v>2</v>
      </c>
      <c r="AW576">
        <v>5.33</v>
      </c>
      <c r="AX576">
        <v>27</v>
      </c>
      <c r="AY576">
        <v>4</v>
      </c>
      <c r="AZ576">
        <v>1</v>
      </c>
      <c r="BA576">
        <v>0</v>
      </c>
      <c r="BB576">
        <v>0</v>
      </c>
      <c r="BC576">
        <v>3</v>
      </c>
      <c r="BD576" t="str">
        <f>CONCATENATE(Table9[[#This Row],[Match Number]],Table9[[#This Row],[Team]],Table9[[#This Row],[BOWL NUM]])</f>
        <v>41UAE3</v>
      </c>
      <c r="BE576" t="str">
        <f>IFERROR(IF(AND(Table9[[#This Row],[Team]]=I_TEAM,IFERROR(IF(MATCH(Table9[[#This Row],[Bowler]],$AR$5:AR575,0)&gt;0,0),1)),1,0),"")</f>
        <v/>
      </c>
      <c r="BF576">
        <f>(LEFT(Table9[[#This Row],[Overs]],IFERROR(FIND(".",Table9[[#This Row],[Overs]])-1,LEN(Table9[[#This Row],[Overs]])))*6) + IFERROR(IF(FIND(".",Table9[[#This Row],[Overs]])+1&gt;0,RIGHT(Table9[[#This Row],[Overs]],1),0),0)</f>
        <v>45</v>
      </c>
      <c r="BG57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576" t="e">
        <f>IF(Table9[[#This Row],[Team]]=I_TEAM,Table9[[#This Row],[Wickets]]*100-Table9[[#This Row],[Runs]],0)</f>
        <v>#REF!</v>
      </c>
      <c r="BI576">
        <f>Table9[[#This Row],[Wickets]]*100-Table9[[#This Row],[Runs]]</f>
        <v>160</v>
      </c>
      <c r="BJ576">
        <f ca="1">IFERROR(IF(MATCH(Table9[[#This Row],[Bowler]],OFFSET(AR577,0,0,BOWLROWS-ROW(AR576)-ROW(Table9[[#Headers],[BOWLER CUML WICKETS]])),0)&gt;0,0,SUMIF($AR$6:AR576,Table9[[#This Row],[Bowler]],$AV$6:AV576)),SUMIF($AR$6:AR576,Table9[[#This Row],[Bowler]],$AV$6:AV576))</f>
        <v>7</v>
      </c>
      <c r="BK576">
        <f ca="1">IFERROR(IF(MATCH(Table9[[#This Row],[Bowler]],OFFSET(AR577,0,0,BOWLROWS-ROW(AR576)-ROW(Table9[[#Headers],[BOWLER CUML WICKETS]])),0)&gt;0,0,SUMIF($AR$6:AR576,Table9[[#This Row],[Bowler]],$AU$6:AU576)),SUMIF($AR$6:AR576,Table9[[#This Row],[Bowler]],$AU$6:AU576))</f>
        <v>136</v>
      </c>
      <c r="BL576">
        <f ca="1">Table9[[#This Row],[BOWLER CUML WICKETS]]*100-Table9[[#This Row],[BOWLER CUML RUNS]]</f>
        <v>564</v>
      </c>
    </row>
    <row r="577" spans="1:64" x14ac:dyDescent="0.3">
      <c r="A577">
        <v>23</v>
      </c>
      <c r="B577" t="s">
        <v>158</v>
      </c>
      <c r="C577" t="s">
        <v>204</v>
      </c>
      <c r="D577" t="s">
        <v>711</v>
      </c>
      <c r="E577">
        <v>10</v>
      </c>
      <c r="F577">
        <v>43</v>
      </c>
      <c r="G577">
        <v>28</v>
      </c>
      <c r="H577">
        <v>0</v>
      </c>
      <c r="I577">
        <v>0</v>
      </c>
      <c r="J577">
        <v>35.71</v>
      </c>
      <c r="K577">
        <v>10</v>
      </c>
      <c r="L577" t="str">
        <f>CONCATENATE(T_BATTINGDATA[[#This Row],[Match]],T_BATTINGDATA[[#This Row],[Team]],T_BATTINGDATA[[#This Row],[Bat Number]])</f>
        <v>23Zimbabwe10</v>
      </c>
      <c r="M577" t="str">
        <f>IFERROR(IF(AND(T_BATTINGDATA[[#This Row],[Team]]=I_TEAM,IFERROR(IF(MATCH(T_BATTINGDATA[[#This Row],[BATSMAN NAME]],$O$5:O576,0)&gt;0,0),1)),1,0),"")</f>
        <v/>
      </c>
      <c r="N577" t="e">
        <f>IF(T_BATTINGDATA[[#This Row],[Team]]=I_TEAM,T_BATTINGDATA[[#This Row],[R]],0)</f>
        <v>#REF!</v>
      </c>
      <c r="O577" t="str">
        <f>LEFT(T_BATTINGDATA[[#This Row],[Batsman]],IFERROR(FIND("*",T_BATTINGDATA[[#This Row],[Batsman]])-1,IFERROR(FIND("†",T_BATTINGDATA[[#This Row],[Batsman]])-1,LEN(T_BATTINGDATA[[#This Row],[Batsman]]))))</f>
        <v>T Panyangara</v>
      </c>
      <c r="P577">
        <f ca="1">IFERROR(IF(MATCH(T_BATTINGDATA[[#This Row],[BATSMAN NAME]],OFFSET(O578,0,0,BATROWS-ROW(O577)-ROW(T_BATTINGDATA[[#Headers],[BATSMAN NAME]])),0)&gt;0,0,SUMIF($O$6:O577,T_BATTINGDATA[[#This Row],[BATSMAN NAME]],$E$6:E577)),SUMIF($O$6:O577,T_BATTINGDATA[[#This Row],[BATSMAN NAME]],$E$6:E577))</f>
        <v>0</v>
      </c>
      <c r="AP577">
        <v>41</v>
      </c>
      <c r="AQ577" t="s">
        <v>164</v>
      </c>
      <c r="AR577" t="s">
        <v>233</v>
      </c>
      <c r="AS577">
        <v>3</v>
      </c>
      <c r="AT577">
        <v>0</v>
      </c>
      <c r="AU577">
        <v>22</v>
      </c>
      <c r="AV577">
        <v>0</v>
      </c>
      <c r="AW577">
        <v>7.33</v>
      </c>
      <c r="AX577">
        <v>10</v>
      </c>
      <c r="AY577">
        <v>3</v>
      </c>
      <c r="AZ577">
        <v>1</v>
      </c>
      <c r="BA577">
        <v>0</v>
      </c>
      <c r="BB577">
        <v>0</v>
      </c>
      <c r="BC577">
        <v>4</v>
      </c>
      <c r="BD577" t="str">
        <f>CONCATENATE(Table9[[#This Row],[Match Number]],Table9[[#This Row],[Team]],Table9[[#This Row],[BOWL NUM]])</f>
        <v>41UAE4</v>
      </c>
      <c r="BE577" t="str">
        <f>IFERROR(IF(AND(Table9[[#This Row],[Team]]=I_TEAM,IFERROR(IF(MATCH(Table9[[#This Row],[Bowler]],$AR$5:AR576,0)&gt;0,0),1)),1,0),"")</f>
        <v/>
      </c>
      <c r="BF577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57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577" t="e">
        <f>IF(Table9[[#This Row],[Team]]=I_TEAM,Table9[[#This Row],[Wickets]]*100-Table9[[#This Row],[Runs]],0)</f>
        <v>#REF!</v>
      </c>
      <c r="BI577">
        <f>Table9[[#This Row],[Wickets]]*100-Table9[[#This Row],[Runs]]</f>
        <v>-22</v>
      </c>
      <c r="BJ577">
        <f ca="1">IFERROR(IF(MATCH(Table9[[#This Row],[Bowler]],OFFSET(AR578,0,0,BOWLROWS-ROW(AR577)-ROW(Table9[[#Headers],[BOWLER CUML WICKETS]])),0)&gt;0,0,SUMIF($AR$6:AR577,Table9[[#This Row],[Bowler]],$AV$6:AV577)),SUMIF($AR$6:AR577,Table9[[#This Row],[Bowler]],$AV$6:AV577))</f>
        <v>5</v>
      </c>
      <c r="BK577">
        <f ca="1">IFERROR(IF(MATCH(Table9[[#This Row],[Bowler]],OFFSET(AR578,0,0,BOWLROWS-ROW(AR577)-ROW(Table9[[#Headers],[BOWLER CUML WICKETS]])),0)&gt;0,0,SUMIF($AR$6:AR577,Table9[[#This Row],[Bowler]],$AU$6:AU577)),SUMIF($AR$6:AR577,Table9[[#This Row],[Bowler]],$AU$6:AU577))</f>
        <v>231</v>
      </c>
      <c r="BL577">
        <f ca="1">Table9[[#This Row],[BOWLER CUML WICKETS]]*100-Table9[[#This Row],[BOWLER CUML RUNS]]</f>
        <v>269</v>
      </c>
    </row>
    <row r="578" spans="1:64" x14ac:dyDescent="0.3">
      <c r="A578">
        <v>23</v>
      </c>
      <c r="B578" t="s">
        <v>158</v>
      </c>
      <c r="C578" t="s">
        <v>207</v>
      </c>
      <c r="D578" t="s">
        <v>167</v>
      </c>
      <c r="E578">
        <v>0</v>
      </c>
      <c r="F578">
        <v>1</v>
      </c>
      <c r="G578">
        <v>0</v>
      </c>
      <c r="H578">
        <v>0</v>
      </c>
      <c r="I578">
        <v>0</v>
      </c>
      <c r="J578" t="s">
        <v>348</v>
      </c>
      <c r="K578">
        <v>11</v>
      </c>
      <c r="L578" t="str">
        <f>CONCATENATE(T_BATTINGDATA[[#This Row],[Match]],T_BATTINGDATA[[#This Row],[Team]],T_BATTINGDATA[[#This Row],[Bat Number]])</f>
        <v>23Zimbabwe11</v>
      </c>
      <c r="M578" t="str">
        <f>IFERROR(IF(AND(T_BATTINGDATA[[#This Row],[Team]]=I_TEAM,IFERROR(IF(MATCH(T_BATTINGDATA[[#This Row],[BATSMAN NAME]],$O$5:O577,0)&gt;0,0),1)),1,0),"")</f>
        <v/>
      </c>
      <c r="N578" t="e">
        <f>IF(T_BATTINGDATA[[#This Row],[Team]]=I_TEAM,T_BATTINGDATA[[#This Row],[R]],0)</f>
        <v>#REF!</v>
      </c>
      <c r="O578" t="str">
        <f>LEFT(T_BATTINGDATA[[#This Row],[Batsman]],IFERROR(FIND("*",T_BATTINGDATA[[#This Row],[Batsman]])-1,IFERROR(FIND("†",T_BATTINGDATA[[#This Row],[Batsman]])-1,LEN(T_BATTINGDATA[[#This Row],[Batsman]]))))</f>
        <v>TL Chatara</v>
      </c>
      <c r="P578">
        <f ca="1">IFERROR(IF(MATCH(T_BATTINGDATA[[#This Row],[BATSMAN NAME]],OFFSET(O579,0,0,BATROWS-ROW(O578)-ROW(T_BATTINGDATA[[#Headers],[BATSMAN NAME]])),0)&gt;0,0,SUMIF($O$6:O578,T_BATTINGDATA[[#This Row],[BATSMAN NAME]],$E$6:E578)),SUMIF($O$6:O578,T_BATTINGDATA[[#This Row],[BATSMAN NAME]],$E$6:E578))</f>
        <v>0</v>
      </c>
      <c r="AP578">
        <v>41</v>
      </c>
      <c r="AQ578" t="s">
        <v>164</v>
      </c>
      <c r="AR578" t="s">
        <v>228</v>
      </c>
      <c r="AS578">
        <v>8</v>
      </c>
      <c r="AT578">
        <v>0</v>
      </c>
      <c r="AU578">
        <v>29</v>
      </c>
      <c r="AV578">
        <v>2</v>
      </c>
      <c r="AW578">
        <v>3.62</v>
      </c>
      <c r="AX578">
        <v>30</v>
      </c>
      <c r="AY578">
        <v>2</v>
      </c>
      <c r="AZ578">
        <v>0</v>
      </c>
      <c r="BA578">
        <v>2</v>
      </c>
      <c r="BB578">
        <v>0</v>
      </c>
      <c r="BC578">
        <v>5</v>
      </c>
      <c r="BD578" t="str">
        <f>CONCATENATE(Table9[[#This Row],[Match Number]],Table9[[#This Row],[Team]],Table9[[#This Row],[BOWL NUM]])</f>
        <v>41UAE5</v>
      </c>
      <c r="BE578" t="str">
        <f>IFERROR(IF(AND(Table9[[#This Row],[Team]]=I_TEAM,IFERROR(IF(MATCH(Table9[[#This Row],[Bowler]],$AR$5:AR577,0)&gt;0,0),1)),1,0),"")</f>
        <v/>
      </c>
      <c r="BF578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7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578" t="e">
        <f>IF(Table9[[#This Row],[Team]]=I_TEAM,Table9[[#This Row],[Wickets]]*100-Table9[[#This Row],[Runs]],0)</f>
        <v>#REF!</v>
      </c>
      <c r="BI578">
        <f>Table9[[#This Row],[Wickets]]*100-Table9[[#This Row],[Runs]]</f>
        <v>171</v>
      </c>
      <c r="BJ578">
        <f ca="1">IFERROR(IF(MATCH(Table9[[#This Row],[Bowler]],OFFSET(AR579,0,0,BOWLROWS-ROW(AR578)-ROW(Table9[[#Headers],[BOWLER CUML WICKETS]])),0)&gt;0,0,SUMIF($AR$6:AR590,Table9[[#This Row],[Bowler]],$AV$6:AV590)),SUMIF($AR$6:AR590,Table9[[#This Row],[Bowler]],$AV$6:AV590))</f>
        <v>7</v>
      </c>
      <c r="BK578">
        <f ca="1">IFERROR(IF(MATCH(Table9[[#This Row],[Bowler]],OFFSET(AR579,0,0,BOWLROWS-ROW(AR578)-ROW(Table9[[#Headers],[BOWLER CUML WICKETS]])),0)&gt;0,0,SUMIF($AR$6:AR590,Table9[[#This Row],[Bowler]],$AU$6:AU590)),SUMIF($AR$6:AR590,Table9[[#This Row],[Bowler]],$AU$6:AU590))</f>
        <v>313</v>
      </c>
      <c r="BL578">
        <f ca="1">Table9[[#This Row],[BOWLER CUML WICKETS]]*100-Table9[[#This Row],[BOWLER CUML RUNS]]</f>
        <v>387</v>
      </c>
    </row>
    <row r="579" spans="1:64" x14ac:dyDescent="0.3">
      <c r="A579">
        <v>24</v>
      </c>
      <c r="B579" t="s">
        <v>141</v>
      </c>
      <c r="C579" t="s">
        <v>172</v>
      </c>
      <c r="D579" t="s">
        <v>712</v>
      </c>
      <c r="E579">
        <v>159</v>
      </c>
      <c r="F579">
        <v>168</v>
      </c>
      <c r="G579">
        <v>128</v>
      </c>
      <c r="H579">
        <v>16</v>
      </c>
      <c r="I579">
        <v>4</v>
      </c>
      <c r="J579">
        <v>124.21</v>
      </c>
      <c r="K579">
        <v>1</v>
      </c>
      <c r="L579" t="str">
        <f>CONCATENATE(T_BATTINGDATA[[#This Row],[Match]],T_BATTINGDATA[[#This Row],[Team]],T_BATTINGDATA[[#This Row],[Bat Number]])</f>
        <v>24South Africa1</v>
      </c>
      <c r="M579" t="str">
        <f>IFERROR(IF(AND(T_BATTINGDATA[[#This Row],[Team]]=I_TEAM,IFERROR(IF(MATCH(T_BATTINGDATA[[#This Row],[BATSMAN NAME]],$O$5:O578,0)&gt;0,0),1)),1,0),"")</f>
        <v/>
      </c>
      <c r="N579" t="e">
        <f>IF(T_BATTINGDATA[[#This Row],[Team]]=I_TEAM,T_BATTINGDATA[[#This Row],[R]],0)</f>
        <v>#REF!</v>
      </c>
      <c r="O579" t="str">
        <f>LEFT(T_BATTINGDATA[[#This Row],[Batsman]],IFERROR(FIND("*",T_BATTINGDATA[[#This Row],[Batsman]])-1,IFERROR(FIND("†",T_BATTINGDATA[[#This Row],[Batsman]])-1,LEN(T_BATTINGDATA[[#This Row],[Batsman]]))))</f>
        <v>HM Amla</v>
      </c>
      <c r="P579">
        <f ca="1">IFERROR(IF(MATCH(T_BATTINGDATA[[#This Row],[BATSMAN NAME]],OFFSET(O580,0,0,BATROWS-ROW(O579)-ROW(T_BATTINGDATA[[#Headers],[BATSMAN NAME]])),0)&gt;0,0,SUMIF($O$6:O579,T_BATTINGDATA[[#This Row],[BATSMAN NAME]],$E$6:E579)),SUMIF($O$6:O579,T_BATTINGDATA[[#This Row],[BATSMAN NAME]],$E$6:E579))</f>
        <v>0</v>
      </c>
      <c r="AP579">
        <v>42</v>
      </c>
      <c r="AQ579" t="s">
        <v>153</v>
      </c>
      <c r="AR579" t="s">
        <v>186</v>
      </c>
      <c r="AS579">
        <v>10</v>
      </c>
      <c r="AT579">
        <v>0</v>
      </c>
      <c r="AU579">
        <v>44</v>
      </c>
      <c r="AV579">
        <v>2</v>
      </c>
      <c r="AW579">
        <v>4.4000000000000004</v>
      </c>
      <c r="AX579">
        <v>34</v>
      </c>
      <c r="AY579">
        <v>3</v>
      </c>
      <c r="AZ579">
        <v>1</v>
      </c>
      <c r="BA579">
        <v>2</v>
      </c>
      <c r="BB579">
        <v>0</v>
      </c>
      <c r="BC579">
        <v>1</v>
      </c>
      <c r="BD579" t="str">
        <f>CONCATENATE(Table9[[#This Row],[Match Number]],Table9[[#This Row],[Team]],Table9[[#This Row],[BOWL NUM]])</f>
        <v>42Pakistan1</v>
      </c>
      <c r="BE579" t="str">
        <f>IFERROR(IF(AND(Table9[[#This Row],[Team]]=I_TEAM,IFERROR(IF(MATCH(Table9[[#This Row],[Bowler]],$AR$5:AR578,0)&gt;0,0),1)),1,0),"")</f>
        <v/>
      </c>
      <c r="BF57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7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79" t="e">
        <f>IF(Table9[[#This Row],[Team]]=I_TEAM,Table9[[#This Row],[Wickets]]*100-Table9[[#This Row],[Runs]],0)</f>
        <v>#REF!</v>
      </c>
      <c r="BI579">
        <f>Table9[[#This Row],[Wickets]]*100-Table9[[#This Row],[Runs]]</f>
        <v>156</v>
      </c>
      <c r="BJ579">
        <f ca="1">IFERROR(IF(MATCH(Table9[[#This Row],[Bowler]],OFFSET(AR580,0,0,BOWLROWS-ROW(AR579)-ROW(Table9[[#Headers],[BOWLER CUML WICKETS]])),0)&gt;0,0,SUMIF($AR$6:AR579,Table9[[#This Row],[Bowler]],$AV$6:AV579)),SUMIF($AR$6:AR579,Table9[[#This Row],[Bowler]],$AV$6:AV579))</f>
        <v>12</v>
      </c>
      <c r="BK579">
        <f ca="1">IFERROR(IF(MATCH(Table9[[#This Row],[Bowler]],OFFSET(AR580,0,0,BOWLROWS-ROW(AR579)-ROW(Table9[[#Headers],[BOWLER CUML WICKETS]])),0)&gt;0,0,SUMIF($AR$6:AR579,Table9[[#This Row],[Bowler]],$AU$6:AU579)),SUMIF($AR$6:AR579,Table9[[#This Row],[Bowler]],$AU$6:AU579))</f>
        <v>364</v>
      </c>
      <c r="BL579">
        <f ca="1">Table9[[#This Row],[BOWLER CUML WICKETS]]*100-Table9[[#This Row],[BOWLER CUML RUNS]]</f>
        <v>836</v>
      </c>
    </row>
    <row r="580" spans="1:64" x14ac:dyDescent="0.3">
      <c r="A580">
        <v>24</v>
      </c>
      <c r="B580" t="s">
        <v>141</v>
      </c>
      <c r="C580" t="s">
        <v>174</v>
      </c>
      <c r="D580" t="s">
        <v>713</v>
      </c>
      <c r="E580">
        <v>1</v>
      </c>
      <c r="F580">
        <v>11</v>
      </c>
      <c r="G580">
        <v>4</v>
      </c>
      <c r="H580">
        <v>0</v>
      </c>
      <c r="I580">
        <v>0</v>
      </c>
      <c r="J580">
        <v>25</v>
      </c>
      <c r="K580">
        <v>2</v>
      </c>
      <c r="L580" t="str">
        <f>CONCATENATE(T_BATTINGDATA[[#This Row],[Match]],T_BATTINGDATA[[#This Row],[Team]],T_BATTINGDATA[[#This Row],[Bat Number]])</f>
        <v>24South Africa2</v>
      </c>
      <c r="M580" t="str">
        <f>IFERROR(IF(AND(T_BATTINGDATA[[#This Row],[Team]]=I_TEAM,IFERROR(IF(MATCH(T_BATTINGDATA[[#This Row],[BATSMAN NAME]],$O$5:O579,0)&gt;0,0),1)),1,0),"")</f>
        <v/>
      </c>
      <c r="N580" t="e">
        <f>IF(T_BATTINGDATA[[#This Row],[Team]]=I_TEAM,T_BATTINGDATA[[#This Row],[R]],0)</f>
        <v>#REF!</v>
      </c>
      <c r="O580" t="str">
        <f>LEFT(T_BATTINGDATA[[#This Row],[Batsman]],IFERROR(FIND("*",T_BATTINGDATA[[#This Row],[Batsman]])-1,IFERROR(FIND("†",T_BATTINGDATA[[#This Row],[Batsman]])-1,LEN(T_BATTINGDATA[[#This Row],[Batsman]]))))</f>
        <v>Q de Kock</v>
      </c>
      <c r="P580">
        <f ca="1">IFERROR(IF(MATCH(T_BATTINGDATA[[#This Row],[BATSMAN NAME]],OFFSET(O581,0,0,BATROWS-ROW(O580)-ROW(T_BATTINGDATA[[#Headers],[BATSMAN NAME]])),0)&gt;0,0,SUMIF($O$6:O580,T_BATTINGDATA[[#This Row],[BATSMAN NAME]],$E$6:E580)),SUMIF($O$6:O580,T_BATTINGDATA[[#This Row],[BATSMAN NAME]],$E$6:E580))</f>
        <v>0</v>
      </c>
      <c r="AP580">
        <v>42</v>
      </c>
      <c r="AQ580" t="s">
        <v>153</v>
      </c>
      <c r="AR580" t="s">
        <v>511</v>
      </c>
      <c r="AS580">
        <v>7</v>
      </c>
      <c r="AT580">
        <v>0</v>
      </c>
      <c r="AU580">
        <v>31</v>
      </c>
      <c r="AV580">
        <v>1</v>
      </c>
      <c r="AW580">
        <v>4.42</v>
      </c>
      <c r="AX580">
        <v>28</v>
      </c>
      <c r="AY580">
        <v>3</v>
      </c>
      <c r="AZ580">
        <v>0</v>
      </c>
      <c r="BA580">
        <v>2</v>
      </c>
      <c r="BB580">
        <v>0</v>
      </c>
      <c r="BC580">
        <v>2</v>
      </c>
      <c r="BD580" t="str">
        <f>CONCATENATE(Table9[[#This Row],[Match Number]],Table9[[#This Row],[Team]],Table9[[#This Row],[BOWL NUM]])</f>
        <v>42Pakistan2</v>
      </c>
      <c r="BE580" t="str">
        <f>IFERROR(IF(AND(Table9[[#This Row],[Team]]=I_TEAM,IFERROR(IF(MATCH(Table9[[#This Row],[Bowler]],$AR$5:AR579,0)&gt;0,0),1)),1,0),"")</f>
        <v/>
      </c>
      <c r="BF580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58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80" t="e">
        <f>IF(Table9[[#This Row],[Team]]=I_TEAM,Table9[[#This Row],[Wickets]]*100-Table9[[#This Row],[Runs]],0)</f>
        <v>#REF!</v>
      </c>
      <c r="BI580">
        <f>Table9[[#This Row],[Wickets]]*100-Table9[[#This Row],[Runs]]</f>
        <v>69</v>
      </c>
      <c r="BJ580">
        <f ca="1">IFERROR(IF(MATCH(Table9[[#This Row],[Bowler]],OFFSET(AR581,0,0,BOWLROWS-ROW(AR580)-ROW(Table9[[#Headers],[BOWLER CUML WICKETS]])),0)&gt;0,0,SUMIF($AR$6:AR580,Table9[[#This Row],[Bowler]],$AV$6:AV580)),SUMIF($AR$6:AR580,Table9[[#This Row],[Bowler]],$AV$6:AV580))</f>
        <v>2</v>
      </c>
      <c r="BK580">
        <f ca="1">IFERROR(IF(MATCH(Table9[[#This Row],[Bowler]],OFFSET(AR581,0,0,BOWLROWS-ROW(AR580)-ROW(Table9[[#Headers],[BOWLER CUML WICKETS]])),0)&gt;0,0,SUMIF($AR$6:AR580,Table9[[#This Row],[Bowler]],$AU$6:AU580)),SUMIF($AR$6:AR580,Table9[[#This Row],[Bowler]],$AU$6:AU580))</f>
        <v>62</v>
      </c>
      <c r="BL580">
        <f ca="1">Table9[[#This Row],[BOWLER CUML WICKETS]]*100-Table9[[#This Row],[BOWLER CUML RUNS]]</f>
        <v>138</v>
      </c>
    </row>
    <row r="581" spans="1:64" x14ac:dyDescent="0.3">
      <c r="A581">
        <v>24</v>
      </c>
      <c r="B581" t="s">
        <v>141</v>
      </c>
      <c r="C581" t="s">
        <v>177</v>
      </c>
      <c r="D581" t="s">
        <v>714</v>
      </c>
      <c r="E581">
        <v>109</v>
      </c>
      <c r="F581">
        <v>139</v>
      </c>
      <c r="G581">
        <v>109</v>
      </c>
      <c r="H581">
        <v>10</v>
      </c>
      <c r="I581">
        <v>1</v>
      </c>
      <c r="J581">
        <v>100</v>
      </c>
      <c r="K581">
        <v>3</v>
      </c>
      <c r="L581" t="str">
        <f>CONCATENATE(T_BATTINGDATA[[#This Row],[Match]],T_BATTINGDATA[[#This Row],[Team]],T_BATTINGDATA[[#This Row],[Bat Number]])</f>
        <v>24South Africa3</v>
      </c>
      <c r="M581" t="str">
        <f>IFERROR(IF(AND(T_BATTINGDATA[[#This Row],[Team]]=I_TEAM,IFERROR(IF(MATCH(T_BATTINGDATA[[#This Row],[BATSMAN NAME]],$O$5:O580,0)&gt;0,0),1)),1,0),"")</f>
        <v/>
      </c>
      <c r="N581" t="e">
        <f>IF(T_BATTINGDATA[[#This Row],[Team]]=I_TEAM,T_BATTINGDATA[[#This Row],[R]],0)</f>
        <v>#REF!</v>
      </c>
      <c r="O581" t="str">
        <f>LEFT(T_BATTINGDATA[[#This Row],[Batsman]],IFERROR(FIND("*",T_BATTINGDATA[[#This Row],[Batsman]])-1,IFERROR(FIND("†",T_BATTINGDATA[[#This Row],[Batsman]])-1,LEN(T_BATTINGDATA[[#This Row],[Batsman]]))))</f>
        <v>F du Plessis</v>
      </c>
      <c r="P581">
        <f ca="1">IFERROR(IF(MATCH(T_BATTINGDATA[[#This Row],[BATSMAN NAME]],OFFSET(O582,0,0,BATROWS-ROW(O581)-ROW(T_BATTINGDATA[[#Headers],[BATSMAN NAME]])),0)&gt;0,0,SUMIF($O$6:O581,T_BATTINGDATA[[#This Row],[BATSMAN NAME]],$E$6:E581)),SUMIF($O$6:O581,T_BATTINGDATA[[#This Row],[BATSMAN NAME]],$E$6:E581))</f>
        <v>0</v>
      </c>
      <c r="AP581">
        <v>42</v>
      </c>
      <c r="AQ581" t="s">
        <v>153</v>
      </c>
      <c r="AR581" t="s">
        <v>512</v>
      </c>
      <c r="AS581">
        <v>10</v>
      </c>
      <c r="AT581">
        <v>0</v>
      </c>
      <c r="AU581">
        <v>48</v>
      </c>
      <c r="AV581">
        <v>2</v>
      </c>
      <c r="AW581">
        <v>4.8</v>
      </c>
      <c r="AX581">
        <v>34</v>
      </c>
      <c r="AY581">
        <v>5</v>
      </c>
      <c r="AZ581">
        <v>0</v>
      </c>
      <c r="BA581">
        <v>2</v>
      </c>
      <c r="BB581">
        <v>0</v>
      </c>
      <c r="BC581">
        <v>3</v>
      </c>
      <c r="BD581" t="str">
        <f>CONCATENATE(Table9[[#This Row],[Match Number]],Table9[[#This Row],[Team]],Table9[[#This Row],[BOWL NUM]])</f>
        <v>42Pakistan3</v>
      </c>
      <c r="BE581" t="str">
        <f>IFERROR(IF(AND(Table9[[#This Row],[Team]]=I_TEAM,IFERROR(IF(MATCH(Table9[[#This Row],[Bowler]],$AR$5:AR580,0)&gt;0,0),1)),1,0),"")</f>
        <v/>
      </c>
      <c r="BF58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8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81" t="e">
        <f>IF(Table9[[#This Row],[Team]]=I_TEAM,Table9[[#This Row],[Wickets]]*100-Table9[[#This Row],[Runs]],0)</f>
        <v>#REF!</v>
      </c>
      <c r="BI581">
        <f>Table9[[#This Row],[Wickets]]*100-Table9[[#This Row],[Runs]]</f>
        <v>152</v>
      </c>
      <c r="BJ581">
        <f ca="1">IFERROR(IF(MATCH(Table9[[#This Row],[Bowler]],OFFSET(AR582,0,0,BOWLROWS-ROW(AR581)-ROW(Table9[[#Headers],[BOWLER CUML WICKETS]])),0)&gt;0,0,SUMIF($AR$6:AR581,Table9[[#This Row],[Bowler]],$AV$6:AV581)),SUMIF($AR$6:AR581,Table9[[#This Row],[Bowler]],$AV$6:AV581))</f>
        <v>7</v>
      </c>
      <c r="BK581">
        <f ca="1">IFERROR(IF(MATCH(Table9[[#This Row],[Bowler]],OFFSET(AR582,0,0,BOWLROWS-ROW(AR581)-ROW(Table9[[#Headers],[BOWLER CUML WICKETS]])),0)&gt;0,0,SUMIF($AR$6:AR581,Table9[[#This Row],[Bowler]],$AU$6:AU581)),SUMIF($AR$6:AR581,Table9[[#This Row],[Bowler]],$AU$6:AU581))</f>
        <v>192</v>
      </c>
      <c r="BL581">
        <f ca="1">Table9[[#This Row],[BOWLER CUML WICKETS]]*100-Table9[[#This Row],[BOWLER CUML RUNS]]</f>
        <v>508</v>
      </c>
    </row>
    <row r="582" spans="1:64" x14ac:dyDescent="0.3">
      <c r="A582">
        <v>24</v>
      </c>
      <c r="B582" t="s">
        <v>141</v>
      </c>
      <c r="C582" t="s">
        <v>179</v>
      </c>
      <c r="D582" t="s">
        <v>715</v>
      </c>
      <c r="E582">
        <v>24</v>
      </c>
      <c r="F582">
        <v>16</v>
      </c>
      <c r="G582">
        <v>9</v>
      </c>
      <c r="H582">
        <v>1</v>
      </c>
      <c r="I582">
        <v>2</v>
      </c>
      <c r="J582">
        <v>266.66000000000003</v>
      </c>
      <c r="K582">
        <v>4</v>
      </c>
      <c r="L582" t="str">
        <f>CONCATENATE(T_BATTINGDATA[[#This Row],[Match]],T_BATTINGDATA[[#This Row],[Team]],T_BATTINGDATA[[#This Row],[Bat Number]])</f>
        <v>24South Africa4</v>
      </c>
      <c r="M582" t="str">
        <f>IFERROR(IF(AND(T_BATTINGDATA[[#This Row],[Team]]=I_TEAM,IFERROR(IF(MATCH(T_BATTINGDATA[[#This Row],[BATSMAN NAME]],$O$5:O581,0)&gt;0,0),1)),1,0),"")</f>
        <v/>
      </c>
      <c r="N582" t="e">
        <f>IF(T_BATTINGDATA[[#This Row],[Team]]=I_TEAM,T_BATTINGDATA[[#This Row],[R]],0)</f>
        <v>#REF!</v>
      </c>
      <c r="O582" t="str">
        <f>LEFT(T_BATTINGDATA[[#This Row],[Batsman]],IFERROR(FIND("*",T_BATTINGDATA[[#This Row],[Batsman]])-1,IFERROR(FIND("†",T_BATTINGDATA[[#This Row],[Batsman]])-1,LEN(T_BATTINGDATA[[#This Row],[Batsman]]))))</f>
        <v>AB de Villiers</v>
      </c>
      <c r="P582">
        <f ca="1">IFERROR(IF(MATCH(T_BATTINGDATA[[#This Row],[BATSMAN NAME]],OFFSET(O583,0,0,BATROWS-ROW(O582)-ROW(T_BATTINGDATA[[#Headers],[BATSMAN NAME]])),0)&gt;0,0,SUMIF($O$6:O582,T_BATTINGDATA[[#This Row],[BATSMAN NAME]],$E$6:E582)),SUMIF($O$6:O582,T_BATTINGDATA[[#This Row],[BATSMAN NAME]],$E$6:E582))</f>
        <v>0</v>
      </c>
      <c r="AP582">
        <v>42</v>
      </c>
      <c r="AQ582" t="s">
        <v>153</v>
      </c>
      <c r="AR582" t="s">
        <v>189</v>
      </c>
      <c r="AS582">
        <v>10</v>
      </c>
      <c r="AT582">
        <v>0</v>
      </c>
      <c r="AU582">
        <v>54</v>
      </c>
      <c r="AV582">
        <v>3</v>
      </c>
      <c r="AW582">
        <v>5.4</v>
      </c>
      <c r="AX582">
        <v>30</v>
      </c>
      <c r="AY582">
        <v>4</v>
      </c>
      <c r="AZ582">
        <v>1</v>
      </c>
      <c r="BA582">
        <v>3</v>
      </c>
      <c r="BB582">
        <v>0</v>
      </c>
      <c r="BC582">
        <v>4</v>
      </c>
      <c r="BD582" t="str">
        <f>CONCATENATE(Table9[[#This Row],[Match Number]],Table9[[#This Row],[Team]],Table9[[#This Row],[BOWL NUM]])</f>
        <v>42Pakistan4</v>
      </c>
      <c r="BE582" t="str">
        <f>IFERROR(IF(AND(Table9[[#This Row],[Team]]=I_TEAM,IFERROR(IF(MATCH(Table9[[#This Row],[Bowler]],$AR$5:AR581,0)&gt;0,0),1)),1,0),"")</f>
        <v/>
      </c>
      <c r="BF58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8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82" t="e">
        <f>IF(Table9[[#This Row],[Team]]=I_TEAM,Table9[[#This Row],[Wickets]]*100-Table9[[#This Row],[Runs]],0)</f>
        <v>#REF!</v>
      </c>
      <c r="BI582">
        <f>Table9[[#This Row],[Wickets]]*100-Table9[[#This Row],[Runs]]</f>
        <v>246</v>
      </c>
      <c r="BJ582">
        <f ca="1">IFERROR(IF(MATCH(Table9[[#This Row],[Bowler]],OFFSET(AR583,0,0,BOWLROWS-ROW(AR582)-ROW(Table9[[#Headers],[BOWLER CUML WICKETS]])),0)&gt;0,0,SUMIF($AR$6:AR582,Table9[[#This Row],[Bowler]],$AV$6:AV582)),SUMIF($AR$6:AR582,Table9[[#This Row],[Bowler]],$AV$6:AV582))</f>
        <v>0</v>
      </c>
      <c r="BK582">
        <f ca="1">IFERROR(IF(MATCH(Table9[[#This Row],[Bowler]],OFFSET(AR583,0,0,BOWLROWS-ROW(AR582)-ROW(Table9[[#Headers],[BOWLER CUML WICKETS]])),0)&gt;0,0,SUMIF($AR$6:AR582,Table9[[#This Row],[Bowler]],$AU$6:AU582)),SUMIF($AR$6:AR582,Table9[[#This Row],[Bowler]],$AU$6:AU582))</f>
        <v>0</v>
      </c>
      <c r="BL582">
        <f ca="1">Table9[[#This Row],[BOWLER CUML WICKETS]]*100-Table9[[#This Row],[BOWLER CUML RUNS]]</f>
        <v>0</v>
      </c>
    </row>
    <row r="583" spans="1:64" x14ac:dyDescent="0.3">
      <c r="A583">
        <v>24</v>
      </c>
      <c r="B583" t="s">
        <v>141</v>
      </c>
      <c r="C583" t="s">
        <v>183</v>
      </c>
      <c r="D583" t="s">
        <v>167</v>
      </c>
      <c r="E583">
        <v>46</v>
      </c>
      <c r="F583">
        <v>43</v>
      </c>
      <c r="G583">
        <v>23</v>
      </c>
      <c r="H583">
        <v>4</v>
      </c>
      <c r="I583">
        <v>2</v>
      </c>
      <c r="J583">
        <v>200</v>
      </c>
      <c r="K583">
        <v>5</v>
      </c>
      <c r="L583" t="str">
        <f>CONCATENATE(T_BATTINGDATA[[#This Row],[Match]],T_BATTINGDATA[[#This Row],[Team]],T_BATTINGDATA[[#This Row],[Bat Number]])</f>
        <v>24South Africa5</v>
      </c>
      <c r="M583" t="str">
        <f>IFERROR(IF(AND(T_BATTINGDATA[[#This Row],[Team]]=I_TEAM,IFERROR(IF(MATCH(T_BATTINGDATA[[#This Row],[BATSMAN NAME]],$O$5:O582,0)&gt;0,0),1)),1,0),"")</f>
        <v/>
      </c>
      <c r="N583" t="e">
        <f>IF(T_BATTINGDATA[[#This Row],[Team]]=I_TEAM,T_BATTINGDATA[[#This Row],[R]],0)</f>
        <v>#REF!</v>
      </c>
      <c r="O583" t="str">
        <f>LEFT(T_BATTINGDATA[[#This Row],[Batsman]],IFERROR(FIND("*",T_BATTINGDATA[[#This Row],[Batsman]])-1,IFERROR(FIND("†",T_BATTINGDATA[[#This Row],[Batsman]])-1,LEN(T_BATTINGDATA[[#This Row],[Batsman]]))))</f>
        <v>DA Miller</v>
      </c>
      <c r="P583">
        <f ca="1">IFERROR(IF(MATCH(T_BATTINGDATA[[#This Row],[BATSMAN NAME]],OFFSET(O584,0,0,BATROWS-ROW(O583)-ROW(T_BATTINGDATA[[#Headers],[BATSMAN NAME]])),0)&gt;0,0,SUMIF($O$6:O583,T_BATTINGDATA[[#This Row],[BATSMAN NAME]],$E$6:E583)),SUMIF($O$6:O583,T_BATTINGDATA[[#This Row],[BATSMAN NAME]],$E$6:E583))</f>
        <v>0</v>
      </c>
      <c r="AP583">
        <v>42</v>
      </c>
      <c r="AQ583" t="s">
        <v>153</v>
      </c>
      <c r="AR583" t="s">
        <v>188</v>
      </c>
      <c r="AS583">
        <v>10</v>
      </c>
      <c r="AT583">
        <v>0</v>
      </c>
      <c r="AU583">
        <v>38</v>
      </c>
      <c r="AV583">
        <v>0</v>
      </c>
      <c r="AW583">
        <v>3.8</v>
      </c>
      <c r="AX583">
        <v>32</v>
      </c>
      <c r="AY583">
        <v>3</v>
      </c>
      <c r="AZ583">
        <v>0</v>
      </c>
      <c r="BA583">
        <v>0</v>
      </c>
      <c r="BB583">
        <v>0</v>
      </c>
      <c r="BC583">
        <v>5</v>
      </c>
      <c r="BD583" t="str">
        <f>CONCATENATE(Table9[[#This Row],[Match Number]],Table9[[#This Row],[Team]],Table9[[#This Row],[BOWL NUM]])</f>
        <v>42Pakistan5</v>
      </c>
      <c r="BE583" t="str">
        <f>IFERROR(IF(AND(Table9[[#This Row],[Team]]=I_TEAM,IFERROR(IF(MATCH(Table9[[#This Row],[Bowler]],$AR$5:AR582,0)&gt;0,0),1)),1,0),"")</f>
        <v/>
      </c>
      <c r="BF58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8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83" t="e">
        <f>IF(Table9[[#This Row],[Team]]=I_TEAM,Table9[[#This Row],[Wickets]]*100-Table9[[#This Row],[Runs]],0)</f>
        <v>#REF!</v>
      </c>
      <c r="BI583">
        <f>Table9[[#This Row],[Wickets]]*100-Table9[[#This Row],[Runs]]</f>
        <v>-38</v>
      </c>
      <c r="BJ583">
        <f ca="1">IFERROR(IF(MATCH(Table9[[#This Row],[Bowler]],OFFSET(AR584,0,0,BOWLROWS-ROW(AR583)-ROW(Table9[[#Headers],[BOWLER CUML WICKETS]])),0)&gt;0,0,SUMIF($AR$6:AR583,Table9[[#This Row],[Bowler]],$AV$6:AV583)),SUMIF($AR$6:AR583,Table9[[#This Row],[Bowler]],$AV$6:AV583))</f>
        <v>0</v>
      </c>
      <c r="BK583">
        <f ca="1">IFERROR(IF(MATCH(Table9[[#This Row],[Bowler]],OFFSET(AR584,0,0,BOWLROWS-ROW(AR583)-ROW(Table9[[#Headers],[BOWLER CUML WICKETS]])),0)&gt;0,0,SUMIF($AR$6:AR583,Table9[[#This Row],[Bowler]],$AU$6:AU583)),SUMIF($AR$6:AR583,Table9[[#This Row],[Bowler]],$AU$6:AU583))</f>
        <v>0</v>
      </c>
      <c r="BL583">
        <f ca="1">Table9[[#This Row],[BOWLER CUML WICKETS]]*100-Table9[[#This Row],[BOWLER CUML RUNS]]</f>
        <v>0</v>
      </c>
    </row>
    <row r="584" spans="1:64" x14ac:dyDescent="0.3">
      <c r="A584">
        <v>24</v>
      </c>
      <c r="B584" t="s">
        <v>141</v>
      </c>
      <c r="C584" t="s">
        <v>604</v>
      </c>
      <c r="D584" t="s">
        <v>167</v>
      </c>
      <c r="E584">
        <v>61</v>
      </c>
      <c r="F584">
        <v>40</v>
      </c>
      <c r="G584">
        <v>30</v>
      </c>
      <c r="H584">
        <v>6</v>
      </c>
      <c r="I584">
        <v>3</v>
      </c>
      <c r="J584">
        <v>203.33</v>
      </c>
      <c r="K584">
        <v>6</v>
      </c>
      <c r="L584" t="str">
        <f>CONCATENATE(T_BATTINGDATA[[#This Row],[Match]],T_BATTINGDATA[[#This Row],[Team]],T_BATTINGDATA[[#This Row],[Bat Number]])</f>
        <v>24South Africa6</v>
      </c>
      <c r="M584" t="str">
        <f>IFERROR(IF(AND(T_BATTINGDATA[[#This Row],[Team]]=I_TEAM,IFERROR(IF(MATCH(T_BATTINGDATA[[#This Row],[BATSMAN NAME]],$O$5:O583,0)&gt;0,0),1)),1,0),"")</f>
        <v/>
      </c>
      <c r="N584" t="e">
        <f>IF(T_BATTINGDATA[[#This Row],[Team]]=I_TEAM,T_BATTINGDATA[[#This Row],[R]],0)</f>
        <v>#REF!</v>
      </c>
      <c r="O584" t="str">
        <f>LEFT(T_BATTINGDATA[[#This Row],[Batsman]],IFERROR(FIND("*",T_BATTINGDATA[[#This Row],[Batsman]])-1,IFERROR(FIND("†",T_BATTINGDATA[[#This Row],[Batsman]])-1,LEN(T_BATTINGDATA[[#This Row],[Batsman]]))))</f>
        <v>RR Rossouw</v>
      </c>
      <c r="P584">
        <f ca="1">IFERROR(IF(MATCH(T_BATTINGDATA[[#This Row],[BATSMAN NAME]],OFFSET(O585,0,0,BATROWS-ROW(O584)-ROW(T_BATTINGDATA[[#Headers],[BATSMAN NAME]])),0)&gt;0,0,SUMIF($O$6:O584,T_BATTINGDATA[[#This Row],[BATSMAN NAME]],$E$6:E584)),SUMIF($O$6:O584,T_BATTINGDATA[[#This Row],[BATSMAN NAME]],$E$6:E584))</f>
        <v>0</v>
      </c>
      <c r="AP584">
        <v>42</v>
      </c>
      <c r="AQ584" t="s">
        <v>153</v>
      </c>
      <c r="AR584" t="s">
        <v>193</v>
      </c>
      <c r="AS584">
        <v>3</v>
      </c>
      <c r="AT584">
        <v>0</v>
      </c>
      <c r="AU584">
        <v>20</v>
      </c>
      <c r="AV584">
        <v>1</v>
      </c>
      <c r="AW584">
        <v>6.66</v>
      </c>
      <c r="AX584">
        <v>5</v>
      </c>
      <c r="AY584">
        <v>1</v>
      </c>
      <c r="AZ584">
        <v>0</v>
      </c>
      <c r="BA584">
        <v>1</v>
      </c>
      <c r="BB584">
        <v>0</v>
      </c>
      <c r="BC584">
        <v>6</v>
      </c>
      <c r="BD584" t="str">
        <f>CONCATENATE(Table9[[#This Row],[Match Number]],Table9[[#This Row],[Team]],Table9[[#This Row],[BOWL NUM]])</f>
        <v>42Pakistan6</v>
      </c>
      <c r="BE584" t="str">
        <f>IFERROR(IF(AND(Table9[[#This Row],[Team]]=I_TEAM,IFERROR(IF(MATCH(Table9[[#This Row],[Bowler]],$AR$5:AR583,0)&gt;0,0),1)),1,0),"")</f>
        <v/>
      </c>
      <c r="BF584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58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84" t="e">
        <f>IF(Table9[[#This Row],[Team]]=I_TEAM,Table9[[#This Row],[Wickets]]*100-Table9[[#This Row],[Runs]],0)</f>
        <v>#REF!</v>
      </c>
      <c r="BI584">
        <f>Table9[[#This Row],[Wickets]]*100-Table9[[#This Row],[Runs]]</f>
        <v>80</v>
      </c>
      <c r="BJ584">
        <f ca="1">IFERROR(IF(MATCH(Table9[[#This Row],[Bowler]],OFFSET(AR585,0,0,BOWLROWS-ROW(AR584)-ROW(Table9[[#Headers],[BOWLER CUML WICKETS]])),0)&gt;0,0,SUMIF($AR$6:AR590,Table9[[#This Row],[Bowler]],$AV$6:AV590)),SUMIF($AR$6:AR590,Table9[[#This Row],[Bowler]],$AV$6:AV590))</f>
        <v>0</v>
      </c>
      <c r="BK584">
        <f ca="1">IFERROR(IF(MATCH(Table9[[#This Row],[Bowler]],OFFSET(AR585,0,0,BOWLROWS-ROW(AR584)-ROW(Table9[[#Headers],[BOWLER CUML WICKETS]])),0)&gt;0,0,SUMIF($AR$6:AR590,Table9[[#This Row],[Bowler]],$AU$6:AU590)),SUMIF($AR$6:AR590,Table9[[#This Row],[Bowler]],$AU$6:AU590))</f>
        <v>0</v>
      </c>
      <c r="BL584">
        <f ca="1">Table9[[#This Row],[BOWLER CUML WICKETS]]*100-Table9[[#This Row],[BOWLER CUML RUNS]]</f>
        <v>0</v>
      </c>
    </row>
    <row r="585" spans="1:64" x14ac:dyDescent="0.3">
      <c r="A585">
        <v>24</v>
      </c>
      <c r="B585" t="s">
        <v>169</v>
      </c>
      <c r="C585" t="s">
        <v>269</v>
      </c>
      <c r="D585" t="s">
        <v>716</v>
      </c>
      <c r="E585">
        <v>12</v>
      </c>
      <c r="F585">
        <v>17</v>
      </c>
      <c r="G585">
        <v>17</v>
      </c>
      <c r="H585">
        <v>2</v>
      </c>
      <c r="I585">
        <v>0</v>
      </c>
      <c r="J585">
        <v>70.58</v>
      </c>
      <c r="K585">
        <v>1</v>
      </c>
      <c r="L585" t="str">
        <f>CONCATENATE(T_BATTINGDATA[[#This Row],[Match]],T_BATTINGDATA[[#This Row],[Team]],T_BATTINGDATA[[#This Row],[Bat Number]])</f>
        <v>24Ireland1</v>
      </c>
      <c r="M585" t="str">
        <f>IFERROR(IF(AND(T_BATTINGDATA[[#This Row],[Team]]=I_TEAM,IFERROR(IF(MATCH(T_BATTINGDATA[[#This Row],[BATSMAN NAME]],$O$5:O584,0)&gt;0,0),1)),1,0),"")</f>
        <v/>
      </c>
      <c r="N585" t="e">
        <f>IF(T_BATTINGDATA[[#This Row],[Team]]=I_TEAM,T_BATTINGDATA[[#This Row],[R]],0)</f>
        <v>#REF!</v>
      </c>
      <c r="O585" t="str">
        <f>LEFT(T_BATTINGDATA[[#This Row],[Batsman]],IFERROR(FIND("*",T_BATTINGDATA[[#This Row],[Batsman]])-1,IFERROR(FIND("†",T_BATTINGDATA[[#This Row],[Batsman]])-1,LEN(T_BATTINGDATA[[#This Row],[Batsman]]))))</f>
        <v>WTS Porterfield</v>
      </c>
      <c r="P585">
        <f ca="1">IFERROR(IF(MATCH(T_BATTINGDATA[[#This Row],[BATSMAN NAME]],OFFSET(O586,0,0,BATROWS-ROW(O585)-ROW(T_BATTINGDATA[[#Headers],[BATSMAN NAME]])),0)&gt;0,0,SUMIF($O$6:O585,T_BATTINGDATA[[#This Row],[BATSMAN NAME]],$E$6:E585)),SUMIF($O$6:O585,T_BATTINGDATA[[#This Row],[BATSMAN NAME]],$E$6:E585))</f>
        <v>0</v>
      </c>
      <c r="AP585">
        <v>42</v>
      </c>
      <c r="AQ585" t="s">
        <v>169</v>
      </c>
      <c r="AR585" t="s">
        <v>244</v>
      </c>
      <c r="AS585">
        <v>10</v>
      </c>
      <c r="AT585">
        <v>1</v>
      </c>
      <c r="AU585">
        <v>43</v>
      </c>
      <c r="AV585">
        <v>1</v>
      </c>
      <c r="AW585">
        <v>4.3</v>
      </c>
      <c r="AX585">
        <v>33</v>
      </c>
      <c r="AY585">
        <v>3</v>
      </c>
      <c r="AZ585">
        <v>0</v>
      </c>
      <c r="BA585">
        <v>3</v>
      </c>
      <c r="BB585">
        <v>0</v>
      </c>
      <c r="BC585">
        <v>1</v>
      </c>
      <c r="BD585" t="str">
        <f>CONCATENATE(Table9[[#This Row],[Match Number]],Table9[[#This Row],[Team]],Table9[[#This Row],[BOWL NUM]])</f>
        <v>42Ireland1</v>
      </c>
      <c r="BE585" t="str">
        <f>IFERROR(IF(AND(Table9[[#This Row],[Team]]=I_TEAM,IFERROR(IF(MATCH(Table9[[#This Row],[Bowler]],$AR$5:AR584,0)&gt;0,0),1)),1,0),"")</f>
        <v/>
      </c>
      <c r="BF58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8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585" t="e">
        <f>IF(Table9[[#This Row],[Team]]=I_TEAM,Table9[[#This Row],[Wickets]]*100-Table9[[#This Row],[Runs]],0)</f>
        <v>#REF!</v>
      </c>
      <c r="BI585">
        <f>Table9[[#This Row],[Wickets]]*100-Table9[[#This Row],[Runs]]</f>
        <v>57</v>
      </c>
      <c r="BJ585">
        <f ca="1">IFERROR(IF(MATCH(Table9[[#This Row],[Bowler]],OFFSET(AR586,0,0,BOWLROWS-ROW(AR585)-ROW(Table9[[#Headers],[BOWLER CUML WICKETS]])),0)&gt;0,0,SUMIF($AR$6:AR585,Table9[[#This Row],[Bowler]],$AV$6:AV585)),SUMIF($AR$6:AR585,Table9[[#This Row],[Bowler]],$AV$6:AV585))</f>
        <v>0</v>
      </c>
      <c r="BK585">
        <f ca="1">IFERROR(IF(MATCH(Table9[[#This Row],[Bowler]],OFFSET(AR586,0,0,BOWLROWS-ROW(AR585)-ROW(Table9[[#Headers],[BOWLER CUML WICKETS]])),0)&gt;0,0,SUMIF($AR$6:AR585,Table9[[#This Row],[Bowler]],$AU$6:AU585)),SUMIF($AR$6:AR585,Table9[[#This Row],[Bowler]],$AU$6:AU585))</f>
        <v>0</v>
      </c>
      <c r="BL585">
        <f ca="1">Table9[[#This Row],[BOWLER CUML WICKETS]]*100-Table9[[#This Row],[BOWLER CUML RUNS]]</f>
        <v>0</v>
      </c>
    </row>
    <row r="586" spans="1:64" x14ac:dyDescent="0.3">
      <c r="A586">
        <v>24</v>
      </c>
      <c r="B586" t="s">
        <v>169</v>
      </c>
      <c r="C586" t="s">
        <v>249</v>
      </c>
      <c r="D586" t="s">
        <v>717</v>
      </c>
      <c r="E586">
        <v>9</v>
      </c>
      <c r="F586">
        <v>11</v>
      </c>
      <c r="G586">
        <v>6</v>
      </c>
      <c r="H586">
        <v>2</v>
      </c>
      <c r="I586">
        <v>0</v>
      </c>
      <c r="J586">
        <v>150</v>
      </c>
      <c r="K586">
        <v>2</v>
      </c>
      <c r="L586" t="str">
        <f>CONCATENATE(T_BATTINGDATA[[#This Row],[Match]],T_BATTINGDATA[[#This Row],[Team]],T_BATTINGDATA[[#This Row],[Bat Number]])</f>
        <v>24Ireland2</v>
      </c>
      <c r="M586" t="str">
        <f>IFERROR(IF(AND(T_BATTINGDATA[[#This Row],[Team]]=I_TEAM,IFERROR(IF(MATCH(T_BATTINGDATA[[#This Row],[BATSMAN NAME]],$O$5:O585,0)&gt;0,0),1)),1,0),"")</f>
        <v/>
      </c>
      <c r="N586" t="e">
        <f>IF(T_BATTINGDATA[[#This Row],[Team]]=I_TEAM,T_BATTINGDATA[[#This Row],[R]],0)</f>
        <v>#REF!</v>
      </c>
      <c r="O586" t="str">
        <f>LEFT(T_BATTINGDATA[[#This Row],[Batsman]],IFERROR(FIND("*",T_BATTINGDATA[[#This Row],[Batsman]])-1,IFERROR(FIND("†",T_BATTINGDATA[[#This Row],[Batsman]])-1,LEN(T_BATTINGDATA[[#This Row],[Batsman]]))))</f>
        <v>PR Stirling</v>
      </c>
      <c r="P586">
        <f ca="1">IFERROR(IF(MATCH(T_BATTINGDATA[[#This Row],[BATSMAN NAME]],OFFSET(O587,0,0,BATROWS-ROW(O586)-ROW(T_BATTINGDATA[[#Headers],[BATSMAN NAME]])),0)&gt;0,0,SUMIF($O$6:O586,T_BATTINGDATA[[#This Row],[BATSMAN NAME]],$E$6:E586)),SUMIF($O$6:O586,T_BATTINGDATA[[#This Row],[BATSMAN NAME]],$E$6:E586))</f>
        <v>0</v>
      </c>
      <c r="AP586">
        <v>42</v>
      </c>
      <c r="AQ586" t="s">
        <v>169</v>
      </c>
      <c r="AR586" t="s">
        <v>242</v>
      </c>
      <c r="AS586">
        <v>9</v>
      </c>
      <c r="AT586">
        <v>1</v>
      </c>
      <c r="AU586">
        <v>40</v>
      </c>
      <c r="AV586">
        <v>0</v>
      </c>
      <c r="AW586">
        <v>4.4400000000000004</v>
      </c>
      <c r="AX586">
        <v>38</v>
      </c>
      <c r="AY586">
        <v>2</v>
      </c>
      <c r="AZ586">
        <v>0</v>
      </c>
      <c r="BA586">
        <v>3</v>
      </c>
      <c r="BB586">
        <v>0</v>
      </c>
      <c r="BC586">
        <v>2</v>
      </c>
      <c r="BD586" t="str">
        <f>CONCATENATE(Table9[[#This Row],[Match Number]],Table9[[#This Row],[Team]],Table9[[#This Row],[BOWL NUM]])</f>
        <v>42Ireland2</v>
      </c>
      <c r="BE586" t="str">
        <f>IFERROR(IF(AND(Table9[[#This Row],[Team]]=I_TEAM,IFERROR(IF(MATCH(Table9[[#This Row],[Bowler]],$AR$5:AR585,0)&gt;0,0),1)),1,0),"")</f>
        <v/>
      </c>
      <c r="BF586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58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586" t="e">
        <f>IF(Table9[[#This Row],[Team]]=I_TEAM,Table9[[#This Row],[Wickets]]*100-Table9[[#This Row],[Runs]],0)</f>
        <v>#REF!</v>
      </c>
      <c r="BI586">
        <f>Table9[[#This Row],[Wickets]]*100-Table9[[#This Row],[Runs]]</f>
        <v>-40</v>
      </c>
      <c r="BJ586">
        <f ca="1">IFERROR(IF(MATCH(Table9[[#This Row],[Bowler]],OFFSET(AR587,0,0,BOWLROWS-ROW(AR586)-ROW(Table9[[#Headers],[BOWLER CUML WICKETS]])),0)&gt;0,0,SUMIF($AR$6:AR586,Table9[[#This Row],[Bowler]],$AV$6:AV586)),SUMIF($AR$6:AR586,Table9[[#This Row],[Bowler]],$AV$6:AV586))</f>
        <v>0</v>
      </c>
      <c r="BK586">
        <f ca="1">IFERROR(IF(MATCH(Table9[[#This Row],[Bowler]],OFFSET(AR587,0,0,BOWLROWS-ROW(AR586)-ROW(Table9[[#Headers],[BOWLER CUML WICKETS]])),0)&gt;0,0,SUMIF($AR$6:AR586,Table9[[#This Row],[Bowler]],$AU$6:AU586)),SUMIF($AR$6:AR586,Table9[[#This Row],[Bowler]],$AU$6:AU586))</f>
        <v>0</v>
      </c>
      <c r="BL586">
        <f ca="1">Table9[[#This Row],[BOWLER CUML WICKETS]]*100-Table9[[#This Row],[BOWLER CUML RUNS]]</f>
        <v>0</v>
      </c>
    </row>
    <row r="587" spans="1:64" x14ac:dyDescent="0.3">
      <c r="A587">
        <v>24</v>
      </c>
      <c r="B587" t="s">
        <v>169</v>
      </c>
      <c r="C587" t="s">
        <v>273</v>
      </c>
      <c r="D587" t="s">
        <v>684</v>
      </c>
      <c r="E587">
        <v>0</v>
      </c>
      <c r="F587">
        <v>7</v>
      </c>
      <c r="G587">
        <v>4</v>
      </c>
      <c r="H587">
        <v>0</v>
      </c>
      <c r="I587">
        <v>0</v>
      </c>
      <c r="J587">
        <v>0</v>
      </c>
      <c r="K587">
        <v>3</v>
      </c>
      <c r="L587" t="str">
        <f>CONCATENATE(T_BATTINGDATA[[#This Row],[Match]],T_BATTINGDATA[[#This Row],[Team]],T_BATTINGDATA[[#This Row],[Bat Number]])</f>
        <v>24Ireland3</v>
      </c>
      <c r="M587" t="str">
        <f>IFERROR(IF(AND(T_BATTINGDATA[[#This Row],[Team]]=I_TEAM,IFERROR(IF(MATCH(T_BATTINGDATA[[#This Row],[BATSMAN NAME]],$O$5:O586,0)&gt;0,0),1)),1,0),"")</f>
        <v/>
      </c>
      <c r="N587" t="e">
        <f>IF(T_BATTINGDATA[[#This Row],[Team]]=I_TEAM,T_BATTINGDATA[[#This Row],[R]],0)</f>
        <v>#REF!</v>
      </c>
      <c r="O587" t="str">
        <f>LEFT(T_BATTINGDATA[[#This Row],[Batsman]],IFERROR(FIND("*",T_BATTINGDATA[[#This Row],[Batsman]])-1,IFERROR(FIND("†",T_BATTINGDATA[[#This Row],[Batsman]])-1,LEN(T_BATTINGDATA[[#This Row],[Batsman]]))))</f>
        <v>EC Joyce</v>
      </c>
      <c r="P587">
        <f ca="1">IFERROR(IF(MATCH(T_BATTINGDATA[[#This Row],[BATSMAN NAME]],OFFSET(O588,0,0,BATROWS-ROW(O587)-ROW(T_BATTINGDATA[[#Headers],[BATSMAN NAME]])),0)&gt;0,0,SUMIF($O$6:O587,T_BATTINGDATA[[#This Row],[BATSMAN NAME]],$E$6:E587)),SUMIF($O$6:O587,T_BATTINGDATA[[#This Row],[BATSMAN NAME]],$E$6:E587))</f>
        <v>0</v>
      </c>
      <c r="AP587">
        <v>42</v>
      </c>
      <c r="AQ587" t="s">
        <v>169</v>
      </c>
      <c r="AR587" t="s">
        <v>245</v>
      </c>
      <c r="AS587">
        <v>10</v>
      </c>
      <c r="AT587">
        <v>0</v>
      </c>
      <c r="AU587">
        <v>59</v>
      </c>
      <c r="AV587">
        <v>1</v>
      </c>
      <c r="AW587">
        <v>5.9</v>
      </c>
      <c r="AX587">
        <v>29</v>
      </c>
      <c r="AY587">
        <v>4</v>
      </c>
      <c r="AZ587">
        <v>0</v>
      </c>
      <c r="BA587">
        <v>3</v>
      </c>
      <c r="BB587">
        <v>0</v>
      </c>
      <c r="BC587">
        <v>3</v>
      </c>
      <c r="BD587" t="str">
        <f>CONCATENATE(Table9[[#This Row],[Match Number]],Table9[[#This Row],[Team]],Table9[[#This Row],[BOWL NUM]])</f>
        <v>42Ireland3</v>
      </c>
      <c r="BE587" t="str">
        <f>IFERROR(IF(AND(Table9[[#This Row],[Team]]=I_TEAM,IFERROR(IF(MATCH(Table9[[#This Row],[Bowler]],$AR$5:AR586,0)&gt;0,0),1)),1,0),"")</f>
        <v/>
      </c>
      <c r="BF58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8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587" t="e">
        <f>IF(Table9[[#This Row],[Team]]=I_TEAM,Table9[[#This Row],[Wickets]]*100-Table9[[#This Row],[Runs]],0)</f>
        <v>#REF!</v>
      </c>
      <c r="BI587">
        <f>Table9[[#This Row],[Wickets]]*100-Table9[[#This Row],[Runs]]</f>
        <v>41</v>
      </c>
      <c r="BJ587">
        <f ca="1">IFERROR(IF(MATCH(Table9[[#This Row],[Bowler]],OFFSET(AR588,0,0,BOWLROWS-ROW(AR587)-ROW(Table9[[#Headers],[BOWLER CUML WICKETS]])),0)&gt;0,0,SUMIF($AR$6:AR587,Table9[[#This Row],[Bowler]],$AV$6:AV587)),SUMIF($AR$6:AR587,Table9[[#This Row],[Bowler]],$AV$6:AV587))</f>
        <v>0</v>
      </c>
      <c r="BK587">
        <f ca="1">IFERROR(IF(MATCH(Table9[[#This Row],[Bowler]],OFFSET(AR588,0,0,BOWLROWS-ROW(AR587)-ROW(Table9[[#Headers],[BOWLER CUML WICKETS]])),0)&gt;0,0,SUMIF($AR$6:AR587,Table9[[#This Row],[Bowler]],$AU$6:AU587)),SUMIF($AR$6:AR587,Table9[[#This Row],[Bowler]],$AU$6:AU587))</f>
        <v>0</v>
      </c>
      <c r="BL587">
        <f ca="1">Table9[[#This Row],[BOWLER CUML WICKETS]]*100-Table9[[#This Row],[BOWLER CUML RUNS]]</f>
        <v>0</v>
      </c>
    </row>
    <row r="588" spans="1:64" x14ac:dyDescent="0.3">
      <c r="A588">
        <v>24</v>
      </c>
      <c r="B588" t="s">
        <v>169</v>
      </c>
      <c r="C588" t="s">
        <v>276</v>
      </c>
      <c r="D588" t="s">
        <v>718</v>
      </c>
      <c r="E588">
        <v>14</v>
      </c>
      <c r="F588">
        <v>21</v>
      </c>
      <c r="G588">
        <v>9</v>
      </c>
      <c r="H588">
        <v>2</v>
      </c>
      <c r="I588">
        <v>0</v>
      </c>
      <c r="J588">
        <v>155.55000000000001</v>
      </c>
      <c r="K588">
        <v>4</v>
      </c>
      <c r="L588" t="str">
        <f>CONCATENATE(T_BATTINGDATA[[#This Row],[Match]],T_BATTINGDATA[[#This Row],[Team]],T_BATTINGDATA[[#This Row],[Bat Number]])</f>
        <v>24Ireland4</v>
      </c>
      <c r="M588" t="str">
        <f>IFERROR(IF(AND(T_BATTINGDATA[[#This Row],[Team]]=I_TEAM,IFERROR(IF(MATCH(T_BATTINGDATA[[#This Row],[BATSMAN NAME]],$O$5:O587,0)&gt;0,0),1)),1,0),"")</f>
        <v/>
      </c>
      <c r="N588" t="e">
        <f>IF(T_BATTINGDATA[[#This Row],[Team]]=I_TEAM,T_BATTINGDATA[[#This Row],[R]],0)</f>
        <v>#REF!</v>
      </c>
      <c r="O588" t="str">
        <f>LEFT(T_BATTINGDATA[[#This Row],[Batsman]],IFERROR(FIND("*",T_BATTINGDATA[[#This Row],[Batsman]])-1,IFERROR(FIND("†",T_BATTINGDATA[[#This Row],[Batsman]])-1,LEN(T_BATTINGDATA[[#This Row],[Batsman]]))))</f>
        <v>NJ O'Brien</v>
      </c>
      <c r="P588">
        <f ca="1">IFERROR(IF(MATCH(T_BATTINGDATA[[#This Row],[BATSMAN NAME]],OFFSET(O589,0,0,BATROWS-ROW(O588)-ROW(T_BATTINGDATA[[#Headers],[BATSMAN NAME]])),0)&gt;0,0,SUMIF($O$6:O588,T_BATTINGDATA[[#This Row],[BATSMAN NAME]],$E$6:E588)),SUMIF($O$6:O588,T_BATTINGDATA[[#This Row],[BATSMAN NAME]],$E$6:E588))</f>
        <v>0</v>
      </c>
      <c r="AP588">
        <v>42</v>
      </c>
      <c r="AQ588" t="s">
        <v>169</v>
      </c>
      <c r="AR588" t="s">
        <v>246</v>
      </c>
      <c r="AS588">
        <v>6</v>
      </c>
      <c r="AT588">
        <v>0</v>
      </c>
      <c r="AU588">
        <v>43</v>
      </c>
      <c r="AV588">
        <v>0</v>
      </c>
      <c r="AW588">
        <v>7.16</v>
      </c>
      <c r="AX588">
        <v>17</v>
      </c>
      <c r="AY588">
        <v>6</v>
      </c>
      <c r="AZ588">
        <v>1</v>
      </c>
      <c r="BA588">
        <v>0</v>
      </c>
      <c r="BB588">
        <v>0</v>
      </c>
      <c r="BC588">
        <v>4</v>
      </c>
      <c r="BD588" t="str">
        <f>CONCATENATE(Table9[[#This Row],[Match Number]],Table9[[#This Row],[Team]],Table9[[#This Row],[BOWL NUM]])</f>
        <v>42Ireland4</v>
      </c>
      <c r="BE588" t="str">
        <f>IFERROR(IF(AND(Table9[[#This Row],[Team]]=I_TEAM,IFERROR(IF(MATCH(Table9[[#This Row],[Bowler]],$AR$5:AR587,0)&gt;0,0),1)),1,0),"")</f>
        <v/>
      </c>
      <c r="BF588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58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588" t="e">
        <f>IF(Table9[[#This Row],[Team]]=I_TEAM,Table9[[#This Row],[Wickets]]*100-Table9[[#This Row],[Runs]],0)</f>
        <v>#REF!</v>
      </c>
      <c r="BI588">
        <f>Table9[[#This Row],[Wickets]]*100-Table9[[#This Row],[Runs]]</f>
        <v>-43</v>
      </c>
      <c r="BJ588">
        <f ca="1">IFERROR(IF(MATCH(Table9[[#This Row],[Bowler]],OFFSET(AR589,0,0,BOWLROWS-ROW(AR588)-ROW(Table9[[#Headers],[BOWLER CUML WICKETS]])),0)&gt;0,0,SUMIF($AR$6:AR588,Table9[[#This Row],[Bowler]],$AV$6:AV588)),SUMIF($AR$6:AR588,Table9[[#This Row],[Bowler]],$AV$6:AV588))</f>
        <v>0</v>
      </c>
      <c r="BK588">
        <f ca="1">IFERROR(IF(MATCH(Table9[[#This Row],[Bowler]],OFFSET(AR589,0,0,BOWLROWS-ROW(AR588)-ROW(Table9[[#Headers],[BOWLER CUML WICKETS]])),0)&gt;0,0,SUMIF($AR$6:AR588,Table9[[#This Row],[Bowler]],$AU$6:AU588)),SUMIF($AR$6:AR588,Table9[[#This Row],[Bowler]],$AU$6:AU588))</f>
        <v>0</v>
      </c>
      <c r="BL588">
        <f ca="1">Table9[[#This Row],[BOWLER CUML WICKETS]]*100-Table9[[#This Row],[BOWLER CUML RUNS]]</f>
        <v>0</v>
      </c>
    </row>
    <row r="589" spans="1:64" x14ac:dyDescent="0.3">
      <c r="A589">
        <v>24</v>
      </c>
      <c r="B589" t="s">
        <v>169</v>
      </c>
      <c r="C589" t="s">
        <v>278</v>
      </c>
      <c r="D589" t="s">
        <v>719</v>
      </c>
      <c r="E589">
        <v>58</v>
      </c>
      <c r="F589">
        <v>81</v>
      </c>
      <c r="G589">
        <v>71</v>
      </c>
      <c r="H589">
        <v>7</v>
      </c>
      <c r="I589">
        <v>0</v>
      </c>
      <c r="J589">
        <v>81.69</v>
      </c>
      <c r="K589">
        <v>5</v>
      </c>
      <c r="L589" t="str">
        <f>CONCATENATE(T_BATTINGDATA[[#This Row],[Match]],T_BATTINGDATA[[#This Row],[Team]],T_BATTINGDATA[[#This Row],[Bat Number]])</f>
        <v>24Ireland5</v>
      </c>
      <c r="M589" t="str">
        <f>IFERROR(IF(AND(T_BATTINGDATA[[#This Row],[Team]]=I_TEAM,IFERROR(IF(MATCH(T_BATTINGDATA[[#This Row],[BATSMAN NAME]],$O$5:O588,0)&gt;0,0),1)),1,0),"")</f>
        <v/>
      </c>
      <c r="N589" t="e">
        <f>IF(T_BATTINGDATA[[#This Row],[Team]]=I_TEAM,T_BATTINGDATA[[#This Row],[R]],0)</f>
        <v>#REF!</v>
      </c>
      <c r="O589" t="str">
        <f>LEFT(T_BATTINGDATA[[#This Row],[Batsman]],IFERROR(FIND("*",T_BATTINGDATA[[#This Row],[Batsman]])-1,IFERROR(FIND("†",T_BATTINGDATA[[#This Row],[Batsman]])-1,LEN(T_BATTINGDATA[[#This Row],[Batsman]]))))</f>
        <v>A Balbirnie</v>
      </c>
      <c r="P589">
        <f ca="1">IFERROR(IF(MATCH(T_BATTINGDATA[[#This Row],[BATSMAN NAME]],OFFSET(O590,0,0,BATROWS-ROW(O589)-ROW(T_BATTINGDATA[[#Headers],[BATSMAN NAME]])),0)&gt;0,0,SUMIF($O$6:O589,T_BATTINGDATA[[#This Row],[BATSMAN NAME]],$E$6:E589)),SUMIF($O$6:O589,T_BATTINGDATA[[#This Row],[BATSMAN NAME]],$E$6:E589))</f>
        <v>0</v>
      </c>
      <c r="AP589">
        <v>42</v>
      </c>
      <c r="AQ589" t="s">
        <v>169</v>
      </c>
      <c r="AR589" t="s">
        <v>251</v>
      </c>
      <c r="AS589">
        <v>10</v>
      </c>
      <c r="AT589">
        <v>0</v>
      </c>
      <c r="AU589">
        <v>49</v>
      </c>
      <c r="AV589">
        <v>0</v>
      </c>
      <c r="AW589">
        <v>4.9000000000000004</v>
      </c>
      <c r="AX589">
        <v>35</v>
      </c>
      <c r="AY589">
        <v>4</v>
      </c>
      <c r="AZ589">
        <v>1</v>
      </c>
      <c r="BA589">
        <v>1</v>
      </c>
      <c r="BB589">
        <v>0</v>
      </c>
      <c r="BC589">
        <v>5</v>
      </c>
      <c r="BD589" t="str">
        <f>CONCATENATE(Table9[[#This Row],[Match Number]],Table9[[#This Row],[Team]],Table9[[#This Row],[BOWL NUM]])</f>
        <v>42Ireland5</v>
      </c>
      <c r="BE589" t="str">
        <f>IFERROR(IF(AND(Table9[[#This Row],[Team]]=I_TEAM,IFERROR(IF(MATCH(Table9[[#This Row],[Bowler]],$AR$5:AR588,0)&gt;0,0),1)),1,0),"")</f>
        <v/>
      </c>
      <c r="BF58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8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589" t="e">
        <f>IF(Table9[[#This Row],[Team]]=I_TEAM,Table9[[#This Row],[Wickets]]*100-Table9[[#This Row],[Runs]],0)</f>
        <v>#REF!</v>
      </c>
      <c r="BI589">
        <f>Table9[[#This Row],[Wickets]]*100-Table9[[#This Row],[Runs]]</f>
        <v>-49</v>
      </c>
      <c r="BJ589">
        <f ca="1">IFERROR(IF(MATCH(Table9[[#This Row],[Bowler]],OFFSET(AR590,0,0,BOWLROWS-ROW(AR589)-ROW(Table9[[#Headers],[BOWLER CUML WICKETS]])),0)&gt;0,0,SUMIF($AR$6:AR589,Table9[[#This Row],[Bowler]],$AV$6:AV589)),SUMIF($AR$6:AR589,Table9[[#This Row],[Bowler]],$AV$6:AV589))</f>
        <v>0</v>
      </c>
      <c r="BK589">
        <f ca="1">IFERROR(IF(MATCH(Table9[[#This Row],[Bowler]],OFFSET(AR590,0,0,BOWLROWS-ROW(AR589)-ROW(Table9[[#Headers],[BOWLER CUML WICKETS]])),0)&gt;0,0,SUMIF($AR$6:AR589,Table9[[#This Row],[Bowler]],$AU$6:AU589)),SUMIF($AR$6:AR589,Table9[[#This Row],[Bowler]],$AU$6:AU589))</f>
        <v>0</v>
      </c>
      <c r="BL589">
        <f ca="1">Table9[[#This Row],[BOWLER CUML WICKETS]]*100-Table9[[#This Row],[BOWLER CUML RUNS]]</f>
        <v>0</v>
      </c>
    </row>
    <row r="590" spans="1:64" x14ac:dyDescent="0.3">
      <c r="A590">
        <v>24</v>
      </c>
      <c r="B590" t="s">
        <v>169</v>
      </c>
      <c r="C590" t="s">
        <v>281</v>
      </c>
      <c r="D590" t="s">
        <v>720</v>
      </c>
      <c r="E590">
        <v>0</v>
      </c>
      <c r="F590">
        <v>6</v>
      </c>
      <c r="G590">
        <v>3</v>
      </c>
      <c r="H590">
        <v>0</v>
      </c>
      <c r="I590">
        <v>0</v>
      </c>
      <c r="J590">
        <v>0</v>
      </c>
      <c r="K590">
        <v>6</v>
      </c>
      <c r="L590" t="str">
        <f>CONCATENATE(T_BATTINGDATA[[#This Row],[Match]],T_BATTINGDATA[[#This Row],[Team]],T_BATTINGDATA[[#This Row],[Bat Number]])</f>
        <v>24Ireland6</v>
      </c>
      <c r="M590" t="str">
        <f>IFERROR(IF(AND(T_BATTINGDATA[[#This Row],[Team]]=I_TEAM,IFERROR(IF(MATCH(T_BATTINGDATA[[#This Row],[BATSMAN NAME]],$O$5:O589,0)&gt;0,0),1)),1,0),"")</f>
        <v/>
      </c>
      <c r="N590" t="e">
        <f>IF(T_BATTINGDATA[[#This Row],[Team]]=I_TEAM,T_BATTINGDATA[[#This Row],[R]],0)</f>
        <v>#REF!</v>
      </c>
      <c r="O590" t="str">
        <f>LEFT(T_BATTINGDATA[[#This Row],[Batsman]],IFERROR(FIND("*",T_BATTINGDATA[[#This Row],[Batsman]])-1,IFERROR(FIND("†",T_BATTINGDATA[[#This Row],[Batsman]])-1,LEN(T_BATTINGDATA[[#This Row],[Batsman]]))))</f>
        <v>GC Wilson</v>
      </c>
      <c r="P590">
        <f ca="1">IFERROR(IF(MATCH(T_BATTINGDATA[[#This Row],[BATSMAN NAME]],OFFSET(O591,0,0,BATROWS-ROW(O590)-ROW(T_BATTINGDATA[[#Headers],[BATSMAN NAME]])),0)&gt;0,0,SUMIF($O$6:O590,T_BATTINGDATA[[#This Row],[BATSMAN NAME]],$E$6:E590)),SUMIF($O$6:O590,T_BATTINGDATA[[#This Row],[BATSMAN NAME]],$E$6:E590))</f>
        <v>0</v>
      </c>
      <c r="AP590">
        <v>42</v>
      </c>
      <c r="AQ590" t="s">
        <v>169</v>
      </c>
      <c r="AR590" t="s">
        <v>249</v>
      </c>
      <c r="AS590">
        <v>1.1000000000000001</v>
      </c>
      <c r="AT590">
        <v>0</v>
      </c>
      <c r="AU590">
        <v>5</v>
      </c>
      <c r="AV590">
        <v>0</v>
      </c>
      <c r="AW590">
        <v>4.28</v>
      </c>
      <c r="AX590">
        <v>5</v>
      </c>
      <c r="AY590">
        <v>1</v>
      </c>
      <c r="AZ590">
        <v>0</v>
      </c>
      <c r="BA590">
        <v>0</v>
      </c>
      <c r="BB590">
        <v>0</v>
      </c>
      <c r="BC590">
        <v>6</v>
      </c>
      <c r="BD590" t="str">
        <f>CONCATENATE(Table9[[#This Row],[Match Number]],Table9[[#This Row],[Team]],Table9[[#This Row],[BOWL NUM]])</f>
        <v>42Ireland6</v>
      </c>
      <c r="BE590" t="str">
        <f>IFERROR(IF(AND(Table9[[#This Row],[Team]]=I_TEAM,IFERROR(IF(MATCH(Table9[[#This Row],[Bowler]],$AR$5:AR589,0)&gt;0,0),1)),1,0),"")</f>
        <v/>
      </c>
      <c r="BF590">
        <f>(LEFT(Table9[[#This Row],[Overs]],IFERROR(FIND(".",Table9[[#This Row],[Overs]])-1,LEN(Table9[[#This Row],[Overs]])))*6) + IFERROR(IF(FIND(".",Table9[[#This Row],[Overs]])+1&gt;0,RIGHT(Table9[[#This Row],[Overs]],1),0),0)</f>
        <v>7</v>
      </c>
      <c r="BG59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590" t="e">
        <f>IF(Table9[[#This Row],[Team]]=I_TEAM,Table9[[#This Row],[Wickets]]*100-Table9[[#This Row],[Runs]],0)</f>
        <v>#REF!</v>
      </c>
      <c r="BI590">
        <f>Table9[[#This Row],[Wickets]]*100-Table9[[#This Row],[Runs]]</f>
        <v>-5</v>
      </c>
      <c r="BJ590">
        <f ca="1">IFERROR(IF(MATCH(Table9[[#This Row],[Bowler]],OFFSET(AR591,0,0,BOWLROWS-ROW(AR590)-ROW(Table9[[#Headers],[BOWLER CUML WICKETS]])),0)&gt;0,0,SUMIF($AR$6:AR590,Table9[[#This Row],[Bowler]],$AV$6:AV590)),SUMIF($AR$6:AR590,Table9[[#This Row],[Bowler]],$AV$6:AV590))</f>
        <v>0</v>
      </c>
      <c r="BK590">
        <f ca="1">IFERROR(IF(MATCH(Table9[[#This Row],[Bowler]],OFFSET(AR591,0,0,BOWLROWS-ROW(AR590)-ROW(Table9[[#Headers],[BOWLER CUML WICKETS]])),0)&gt;0,0,SUMIF($AR$6:AR590,Table9[[#This Row],[Bowler]],$AU$6:AU590)),SUMIF($AR$6:AR590,Table9[[#This Row],[Bowler]],$AU$6:AU590))</f>
        <v>0</v>
      </c>
      <c r="BL590">
        <f ca="1">Table9[[#This Row],[BOWLER CUML WICKETS]]*100-Table9[[#This Row],[BOWLER CUML RUNS]]</f>
        <v>0</v>
      </c>
    </row>
    <row r="591" spans="1:64" x14ac:dyDescent="0.3">
      <c r="A591">
        <v>24</v>
      </c>
      <c r="B591" t="s">
        <v>169</v>
      </c>
      <c r="C591" t="s">
        <v>251</v>
      </c>
      <c r="D591" t="s">
        <v>721</v>
      </c>
      <c r="E591">
        <v>48</v>
      </c>
      <c r="F591">
        <v>90</v>
      </c>
      <c r="G591">
        <v>65</v>
      </c>
      <c r="H591">
        <v>3</v>
      </c>
      <c r="I591">
        <v>1</v>
      </c>
      <c r="J591">
        <v>73.84</v>
      </c>
      <c r="K591">
        <v>7</v>
      </c>
      <c r="L591" t="str">
        <f>CONCATENATE(T_BATTINGDATA[[#This Row],[Match]],T_BATTINGDATA[[#This Row],[Team]],T_BATTINGDATA[[#This Row],[Bat Number]])</f>
        <v>24Ireland7</v>
      </c>
      <c r="M591" t="str">
        <f>IFERROR(IF(AND(T_BATTINGDATA[[#This Row],[Team]]=I_TEAM,IFERROR(IF(MATCH(T_BATTINGDATA[[#This Row],[BATSMAN NAME]],$O$5:O590,0)&gt;0,0),1)),1,0),"")</f>
        <v/>
      </c>
      <c r="N591" t="e">
        <f>IF(T_BATTINGDATA[[#This Row],[Team]]=I_TEAM,T_BATTINGDATA[[#This Row],[R]],0)</f>
        <v>#REF!</v>
      </c>
      <c r="O591" t="str">
        <f>LEFT(T_BATTINGDATA[[#This Row],[Batsman]],IFERROR(FIND("*",T_BATTINGDATA[[#This Row],[Batsman]])-1,IFERROR(FIND("†",T_BATTINGDATA[[#This Row],[Batsman]])-1,LEN(T_BATTINGDATA[[#This Row],[Batsman]]))))</f>
        <v>KJ O'Brien</v>
      </c>
      <c r="P591">
        <f ca="1">IFERROR(IF(MATCH(T_BATTINGDATA[[#This Row],[BATSMAN NAME]],OFFSET(O592,0,0,BATROWS-ROW(O591)-ROW(T_BATTINGDATA[[#Headers],[BATSMAN NAME]])),0)&gt;0,0,SUMIF($O$6:O591,T_BATTINGDATA[[#This Row],[BATSMAN NAME]],$E$6:E591)),SUMIF($O$6:O591,T_BATTINGDATA[[#This Row],[BATSMAN NAME]],$E$6:E591))</f>
        <v>0</v>
      </c>
    </row>
    <row r="592" spans="1:64" x14ac:dyDescent="0.3">
      <c r="A592">
        <v>24</v>
      </c>
      <c r="B592" t="s">
        <v>169</v>
      </c>
      <c r="C592" t="s">
        <v>242</v>
      </c>
      <c r="D592" t="s">
        <v>722</v>
      </c>
      <c r="E592">
        <v>8</v>
      </c>
      <c r="F592">
        <v>16</v>
      </c>
      <c r="G592">
        <v>15</v>
      </c>
      <c r="H592">
        <v>0</v>
      </c>
      <c r="I592">
        <v>0</v>
      </c>
      <c r="J592">
        <v>53.33</v>
      </c>
      <c r="K592">
        <v>8</v>
      </c>
      <c r="L592" t="str">
        <f>CONCATENATE(T_BATTINGDATA[[#This Row],[Match]],T_BATTINGDATA[[#This Row],[Team]],T_BATTINGDATA[[#This Row],[Bat Number]])</f>
        <v>24Ireland8</v>
      </c>
      <c r="M592" t="str">
        <f>IFERROR(IF(AND(T_BATTINGDATA[[#This Row],[Team]]=I_TEAM,IFERROR(IF(MATCH(T_BATTINGDATA[[#This Row],[BATSMAN NAME]],$O$5:O591,0)&gt;0,0),1)),1,0),"")</f>
        <v/>
      </c>
      <c r="N592" t="e">
        <f>IF(T_BATTINGDATA[[#This Row],[Team]]=I_TEAM,T_BATTINGDATA[[#This Row],[R]],0)</f>
        <v>#REF!</v>
      </c>
      <c r="O592" t="str">
        <f>LEFT(T_BATTINGDATA[[#This Row],[Batsman]],IFERROR(FIND("*",T_BATTINGDATA[[#This Row],[Batsman]])-1,IFERROR(FIND("†",T_BATTINGDATA[[#This Row],[Batsman]])-1,LEN(T_BATTINGDATA[[#This Row],[Batsman]]))))</f>
        <v>JF Mooney</v>
      </c>
      <c r="P592">
        <f ca="1">IFERROR(IF(MATCH(T_BATTINGDATA[[#This Row],[BATSMAN NAME]],OFFSET(O593,0,0,BATROWS-ROW(O592)-ROW(T_BATTINGDATA[[#Headers],[BATSMAN NAME]])),0)&gt;0,0,SUMIF($O$6:O592,T_BATTINGDATA[[#This Row],[BATSMAN NAME]],$E$6:E592)),SUMIF($O$6:O592,T_BATTINGDATA[[#This Row],[BATSMAN NAME]],$E$6:E592))</f>
        <v>0</v>
      </c>
    </row>
    <row r="593" spans="1:16" x14ac:dyDescent="0.3">
      <c r="A593">
        <v>24</v>
      </c>
      <c r="B593" t="s">
        <v>169</v>
      </c>
      <c r="C593" t="s">
        <v>246</v>
      </c>
      <c r="D593" t="s">
        <v>616</v>
      </c>
      <c r="E593">
        <v>25</v>
      </c>
      <c r="F593">
        <v>61</v>
      </c>
      <c r="G593">
        <v>57</v>
      </c>
      <c r="H593">
        <v>1</v>
      </c>
      <c r="I593">
        <v>1</v>
      </c>
      <c r="J593">
        <v>43.85</v>
      </c>
      <c r="K593">
        <v>9</v>
      </c>
      <c r="L593" t="str">
        <f>CONCATENATE(T_BATTINGDATA[[#This Row],[Match]],T_BATTINGDATA[[#This Row],[Team]],T_BATTINGDATA[[#This Row],[Bat Number]])</f>
        <v>24Ireland9</v>
      </c>
      <c r="M593" t="str">
        <f>IFERROR(IF(AND(T_BATTINGDATA[[#This Row],[Team]]=I_TEAM,IFERROR(IF(MATCH(T_BATTINGDATA[[#This Row],[BATSMAN NAME]],$O$5:O592,0)&gt;0,0),1)),1,0),"")</f>
        <v/>
      </c>
      <c r="N593" t="e">
        <f>IF(T_BATTINGDATA[[#This Row],[Team]]=I_TEAM,T_BATTINGDATA[[#This Row],[R]],0)</f>
        <v>#REF!</v>
      </c>
      <c r="O593" t="str">
        <f>LEFT(T_BATTINGDATA[[#This Row],[Batsman]],IFERROR(FIND("*",T_BATTINGDATA[[#This Row],[Batsman]])-1,IFERROR(FIND("†",T_BATTINGDATA[[#This Row],[Batsman]])-1,LEN(T_BATTINGDATA[[#This Row],[Batsman]]))))</f>
        <v>GH Dockrell</v>
      </c>
      <c r="P593">
        <f ca="1">IFERROR(IF(MATCH(T_BATTINGDATA[[#This Row],[BATSMAN NAME]],OFFSET(O594,0,0,BATROWS-ROW(O593)-ROW(T_BATTINGDATA[[#Headers],[BATSMAN NAME]])),0)&gt;0,0,SUMIF($O$6:O593,T_BATTINGDATA[[#This Row],[BATSMAN NAME]],$E$6:E593)),SUMIF($O$6:O593,T_BATTINGDATA[[#This Row],[BATSMAN NAME]],$E$6:E593))</f>
        <v>0</v>
      </c>
    </row>
    <row r="594" spans="1:16" x14ac:dyDescent="0.3">
      <c r="A594">
        <v>24</v>
      </c>
      <c r="B594" t="s">
        <v>169</v>
      </c>
      <c r="C594" t="s">
        <v>351</v>
      </c>
      <c r="D594" t="s">
        <v>161</v>
      </c>
      <c r="E594">
        <v>22</v>
      </c>
      <c r="F594">
        <v>31</v>
      </c>
      <c r="G594">
        <v>19</v>
      </c>
      <c r="H594">
        <v>3</v>
      </c>
      <c r="I594">
        <v>1</v>
      </c>
      <c r="J594">
        <v>115.78</v>
      </c>
      <c r="K594">
        <v>10</v>
      </c>
      <c r="L594" t="str">
        <f>CONCATENATE(T_BATTINGDATA[[#This Row],[Match]],T_BATTINGDATA[[#This Row],[Team]],T_BATTINGDATA[[#This Row],[Bat Number]])</f>
        <v>24Ireland10</v>
      </c>
      <c r="M594" t="str">
        <f>IFERROR(IF(AND(T_BATTINGDATA[[#This Row],[Team]]=I_TEAM,IFERROR(IF(MATCH(T_BATTINGDATA[[#This Row],[BATSMAN NAME]],$O$5:O593,0)&gt;0,0),1)),1,0),"")</f>
        <v/>
      </c>
      <c r="N594" t="e">
        <f>IF(T_BATTINGDATA[[#This Row],[Team]]=I_TEAM,T_BATTINGDATA[[#This Row],[R]],0)</f>
        <v>#REF!</v>
      </c>
      <c r="O594" t="str">
        <f>LEFT(T_BATTINGDATA[[#This Row],[Batsman]],IFERROR(FIND("*",T_BATTINGDATA[[#This Row],[Batsman]])-1,IFERROR(FIND("†",T_BATTINGDATA[[#This Row],[Batsman]])-1,LEN(T_BATTINGDATA[[#This Row],[Batsman]]))))</f>
        <v>MC Sorensen</v>
      </c>
      <c r="P594">
        <f ca="1">IFERROR(IF(MATCH(T_BATTINGDATA[[#This Row],[BATSMAN NAME]],OFFSET(O595,0,0,BATROWS-ROW(O594)-ROW(T_BATTINGDATA[[#Headers],[BATSMAN NAME]])),0)&gt;0,0,SUMIF($O$6:O594,T_BATTINGDATA[[#This Row],[BATSMAN NAME]],$E$6:E594)),SUMIF($O$6:O594,T_BATTINGDATA[[#This Row],[BATSMAN NAME]],$E$6:E594))</f>
        <v>22</v>
      </c>
    </row>
    <row r="595" spans="1:16" x14ac:dyDescent="0.3">
      <c r="A595">
        <v>24</v>
      </c>
      <c r="B595" t="s">
        <v>169</v>
      </c>
      <c r="C595" t="s">
        <v>354</v>
      </c>
      <c r="D595" t="s">
        <v>167</v>
      </c>
      <c r="E595">
        <v>2</v>
      </c>
      <c r="F595">
        <v>9</v>
      </c>
      <c r="G595">
        <v>4</v>
      </c>
      <c r="H595">
        <v>0</v>
      </c>
      <c r="I595">
        <v>0</v>
      </c>
      <c r="J595">
        <v>50</v>
      </c>
      <c r="K595">
        <v>11</v>
      </c>
      <c r="L595" t="str">
        <f>CONCATENATE(T_BATTINGDATA[[#This Row],[Match]],T_BATTINGDATA[[#This Row],[Team]],T_BATTINGDATA[[#This Row],[Bat Number]])</f>
        <v>24Ireland11</v>
      </c>
      <c r="M595" t="str">
        <f>IFERROR(IF(AND(T_BATTINGDATA[[#This Row],[Team]]=I_TEAM,IFERROR(IF(MATCH(T_BATTINGDATA[[#This Row],[BATSMAN NAME]],$O$5:O594,0)&gt;0,0),1)),1,0),"")</f>
        <v/>
      </c>
      <c r="N595" t="e">
        <f>IF(T_BATTINGDATA[[#This Row],[Team]]=I_TEAM,T_BATTINGDATA[[#This Row],[R]],0)</f>
        <v>#REF!</v>
      </c>
      <c r="O595" t="str">
        <f>LEFT(T_BATTINGDATA[[#This Row],[Batsman]],IFERROR(FIND("*",T_BATTINGDATA[[#This Row],[Batsman]])-1,IFERROR(FIND("†",T_BATTINGDATA[[#This Row],[Batsman]])-1,LEN(T_BATTINGDATA[[#This Row],[Batsman]]))))</f>
        <v>AR McBrine</v>
      </c>
      <c r="P595">
        <f ca="1">IFERROR(IF(MATCH(T_BATTINGDATA[[#This Row],[BATSMAN NAME]],OFFSET(O596,0,0,BATROWS-ROW(O595)-ROW(T_BATTINGDATA[[#Headers],[BATSMAN NAME]])),0)&gt;0,0,SUMIF($O$6:O595,T_BATTINGDATA[[#This Row],[BATSMAN NAME]],$E$6:E595)),SUMIF($O$6:O595,T_BATTINGDATA[[#This Row],[BATSMAN NAME]],$E$6:E595))</f>
        <v>2</v>
      </c>
    </row>
    <row r="596" spans="1:16" x14ac:dyDescent="0.3">
      <c r="A596">
        <v>25</v>
      </c>
      <c r="B596" t="s">
        <v>153</v>
      </c>
      <c r="C596" t="s">
        <v>518</v>
      </c>
      <c r="D596" t="s">
        <v>723</v>
      </c>
      <c r="E596">
        <v>4</v>
      </c>
      <c r="F596">
        <v>15</v>
      </c>
      <c r="G596">
        <v>12</v>
      </c>
      <c r="H596">
        <v>0</v>
      </c>
      <c r="I596">
        <v>0</v>
      </c>
      <c r="J596">
        <v>33.33</v>
      </c>
      <c r="K596">
        <v>1</v>
      </c>
      <c r="L596" t="str">
        <f>CONCATENATE(T_BATTINGDATA[[#This Row],[Match]],T_BATTINGDATA[[#This Row],[Team]],T_BATTINGDATA[[#This Row],[Bat Number]])</f>
        <v>25Pakistan1</v>
      </c>
      <c r="M596" t="str">
        <f>IFERROR(IF(AND(T_BATTINGDATA[[#This Row],[Team]]=I_TEAM,IFERROR(IF(MATCH(T_BATTINGDATA[[#This Row],[BATSMAN NAME]],$O$5:O595,0)&gt;0,0),1)),1,0),"")</f>
        <v/>
      </c>
      <c r="N596" t="e">
        <f>IF(T_BATTINGDATA[[#This Row],[Team]]=I_TEAM,T_BATTINGDATA[[#This Row],[R]],0)</f>
        <v>#REF!</v>
      </c>
      <c r="O596" t="str">
        <f>LEFT(T_BATTINGDATA[[#This Row],[Batsman]],IFERROR(FIND("*",T_BATTINGDATA[[#This Row],[Batsman]])-1,IFERROR(FIND("†",T_BATTINGDATA[[#This Row],[Batsman]])-1,LEN(T_BATTINGDATA[[#This Row],[Batsman]]))))</f>
        <v>Nasir Jamshed</v>
      </c>
      <c r="P596">
        <f ca="1">IFERROR(IF(MATCH(T_BATTINGDATA[[#This Row],[BATSMAN NAME]],OFFSET(O597,0,0,BATROWS-ROW(O596)-ROW(T_BATTINGDATA[[#Headers],[BATSMAN NAME]])),0)&gt;0,0,SUMIF($O$6:O596,T_BATTINGDATA[[#This Row],[BATSMAN NAME]],$E$6:E596)),SUMIF($O$6:O596,T_BATTINGDATA[[#This Row],[BATSMAN NAME]],$E$6:E596))</f>
        <v>5</v>
      </c>
    </row>
    <row r="597" spans="1:16" x14ac:dyDescent="0.3">
      <c r="A597">
        <v>25</v>
      </c>
      <c r="B597" t="s">
        <v>153</v>
      </c>
      <c r="C597" t="s">
        <v>202</v>
      </c>
      <c r="D597" t="s">
        <v>724</v>
      </c>
      <c r="E597">
        <v>93</v>
      </c>
      <c r="F597">
        <v>148</v>
      </c>
      <c r="G597">
        <v>105</v>
      </c>
      <c r="H597">
        <v>8</v>
      </c>
      <c r="I597">
        <v>1</v>
      </c>
      <c r="J597">
        <v>88.57</v>
      </c>
      <c r="K597">
        <v>2</v>
      </c>
      <c r="L597" t="str">
        <f>CONCATENATE(T_BATTINGDATA[[#This Row],[Match]],T_BATTINGDATA[[#This Row],[Team]],T_BATTINGDATA[[#This Row],[Bat Number]])</f>
        <v>25Pakistan2</v>
      </c>
      <c r="M597" t="str">
        <f>IFERROR(IF(AND(T_BATTINGDATA[[#This Row],[Team]]=I_TEAM,IFERROR(IF(MATCH(T_BATTINGDATA[[#This Row],[BATSMAN NAME]],$O$5:O596,0)&gt;0,0),1)),1,0),"")</f>
        <v/>
      </c>
      <c r="N597" t="e">
        <f>IF(T_BATTINGDATA[[#This Row],[Team]]=I_TEAM,T_BATTINGDATA[[#This Row],[R]],0)</f>
        <v>#REF!</v>
      </c>
      <c r="O597" t="str">
        <f>LEFT(T_BATTINGDATA[[#This Row],[Batsman]],IFERROR(FIND("*",T_BATTINGDATA[[#This Row],[Batsman]])-1,IFERROR(FIND("†",T_BATTINGDATA[[#This Row],[Batsman]])-1,LEN(T_BATTINGDATA[[#This Row],[Batsman]]))))</f>
        <v>Ahmed Shehzad</v>
      </c>
      <c r="P597">
        <f ca="1">IFERROR(IF(MATCH(T_BATTINGDATA[[#This Row],[BATSMAN NAME]],OFFSET(O598,0,0,BATROWS-ROW(O597)-ROW(T_BATTINGDATA[[#Headers],[BATSMAN NAME]])),0)&gt;0,0,SUMIF($O$6:O597,T_BATTINGDATA[[#This Row],[BATSMAN NAME]],$E$6:E597)),SUMIF($O$6:O597,T_BATTINGDATA[[#This Row],[BATSMAN NAME]],$E$6:E597))</f>
        <v>0</v>
      </c>
    </row>
    <row r="598" spans="1:16" x14ac:dyDescent="0.3">
      <c r="A598">
        <v>25</v>
      </c>
      <c r="B598" t="s">
        <v>153</v>
      </c>
      <c r="C598" t="s">
        <v>193</v>
      </c>
      <c r="D598" t="s">
        <v>725</v>
      </c>
      <c r="E598">
        <v>70</v>
      </c>
      <c r="F598">
        <v>124</v>
      </c>
      <c r="G598">
        <v>83</v>
      </c>
      <c r="H598">
        <v>5</v>
      </c>
      <c r="I598">
        <v>1</v>
      </c>
      <c r="J598">
        <v>84.33</v>
      </c>
      <c r="K598">
        <v>3</v>
      </c>
      <c r="L598" t="str">
        <f>CONCATENATE(T_BATTINGDATA[[#This Row],[Match]],T_BATTINGDATA[[#This Row],[Team]],T_BATTINGDATA[[#This Row],[Bat Number]])</f>
        <v>25Pakistan3</v>
      </c>
      <c r="M598" t="str">
        <f>IFERROR(IF(AND(T_BATTINGDATA[[#This Row],[Team]]=I_TEAM,IFERROR(IF(MATCH(T_BATTINGDATA[[#This Row],[BATSMAN NAME]],$O$5:O597,0)&gt;0,0),1)),1,0),"")</f>
        <v/>
      </c>
      <c r="N598" t="e">
        <f>IF(T_BATTINGDATA[[#This Row],[Team]]=I_TEAM,T_BATTINGDATA[[#This Row],[R]],0)</f>
        <v>#REF!</v>
      </c>
      <c r="O598" t="str">
        <f>LEFT(T_BATTINGDATA[[#This Row],[Batsman]],IFERROR(FIND("*",T_BATTINGDATA[[#This Row],[Batsman]])-1,IFERROR(FIND("†",T_BATTINGDATA[[#This Row],[Batsman]])-1,LEN(T_BATTINGDATA[[#This Row],[Batsman]]))))</f>
        <v>Haris Sohail</v>
      </c>
      <c r="P598">
        <f ca="1">IFERROR(IF(MATCH(T_BATTINGDATA[[#This Row],[BATSMAN NAME]],OFFSET(O599,0,0,BATROWS-ROW(O598)-ROW(T_BATTINGDATA[[#Headers],[BATSMAN NAME]])),0)&gt;0,0,SUMIF($O$6:O598,T_BATTINGDATA[[#This Row],[BATSMAN NAME]],$E$6:E598)),SUMIF($O$6:O598,T_BATTINGDATA[[#This Row],[BATSMAN NAME]],$E$6:E598))</f>
        <v>174</v>
      </c>
    </row>
    <row r="599" spans="1:16" x14ac:dyDescent="0.3">
      <c r="A599">
        <v>25</v>
      </c>
      <c r="B599" t="s">
        <v>153</v>
      </c>
      <c r="C599" t="s">
        <v>212</v>
      </c>
      <c r="D599" t="s">
        <v>726</v>
      </c>
      <c r="E599">
        <v>45</v>
      </c>
      <c r="F599">
        <v>48</v>
      </c>
      <c r="G599">
        <v>31</v>
      </c>
      <c r="H599">
        <v>4</v>
      </c>
      <c r="I599">
        <v>2</v>
      </c>
      <c r="J599">
        <v>145.16</v>
      </c>
      <c r="K599">
        <v>4</v>
      </c>
      <c r="L599" t="str">
        <f>CONCATENATE(T_BATTINGDATA[[#This Row],[Match]],T_BATTINGDATA[[#This Row],[Team]],T_BATTINGDATA[[#This Row],[Bat Number]])</f>
        <v>25Pakistan4</v>
      </c>
      <c r="M599" t="str">
        <f>IFERROR(IF(AND(T_BATTINGDATA[[#This Row],[Team]]=I_TEAM,IFERROR(IF(MATCH(T_BATTINGDATA[[#This Row],[BATSMAN NAME]],$O$5:O598,0)&gt;0,0),1)),1,0),"")</f>
        <v/>
      </c>
      <c r="N599" t="e">
        <f>IF(T_BATTINGDATA[[#This Row],[Team]]=I_TEAM,T_BATTINGDATA[[#This Row],[R]],0)</f>
        <v>#REF!</v>
      </c>
      <c r="O599" t="str">
        <f>LEFT(T_BATTINGDATA[[#This Row],[Batsman]],IFERROR(FIND("*",T_BATTINGDATA[[#This Row],[Batsman]])-1,IFERROR(FIND("†",T_BATTINGDATA[[#This Row],[Batsman]])-1,LEN(T_BATTINGDATA[[#This Row],[Batsman]]))))</f>
        <v>Sohaib Maqsood</v>
      </c>
      <c r="P599">
        <f ca="1">IFERROR(IF(MATCH(T_BATTINGDATA[[#This Row],[BATSMAN NAME]],OFFSET(O600,0,0,BATROWS-ROW(O599)-ROW(T_BATTINGDATA[[#Headers],[BATSMAN NAME]])),0)&gt;0,0,SUMIF($O$6:O599,T_BATTINGDATA[[#This Row],[BATSMAN NAME]],$E$6:E599)),SUMIF($O$6:O599,T_BATTINGDATA[[#This Row],[BATSMAN NAME]],$E$6:E599))</f>
        <v>0</v>
      </c>
    </row>
    <row r="600" spans="1:16" x14ac:dyDescent="0.3">
      <c r="A600">
        <v>25</v>
      </c>
      <c r="B600" t="s">
        <v>153</v>
      </c>
      <c r="C600" t="s">
        <v>209</v>
      </c>
      <c r="D600" t="s">
        <v>726</v>
      </c>
      <c r="E600">
        <v>65</v>
      </c>
      <c r="F600">
        <v>68</v>
      </c>
      <c r="G600">
        <v>49</v>
      </c>
      <c r="H600">
        <v>4</v>
      </c>
      <c r="I600">
        <v>2</v>
      </c>
      <c r="J600">
        <v>132.65</v>
      </c>
      <c r="K600">
        <v>5</v>
      </c>
      <c r="L600" t="str">
        <f>CONCATENATE(T_BATTINGDATA[[#This Row],[Match]],T_BATTINGDATA[[#This Row],[Team]],T_BATTINGDATA[[#This Row],[Bat Number]])</f>
        <v>25Pakistan5</v>
      </c>
      <c r="M600" t="str">
        <f>IFERROR(IF(AND(T_BATTINGDATA[[#This Row],[Team]]=I_TEAM,IFERROR(IF(MATCH(T_BATTINGDATA[[#This Row],[BATSMAN NAME]],$O$5:O599,0)&gt;0,0),1)),1,0),"")</f>
        <v/>
      </c>
      <c r="N600" t="e">
        <f>IF(T_BATTINGDATA[[#This Row],[Team]]=I_TEAM,T_BATTINGDATA[[#This Row],[R]],0)</f>
        <v>#REF!</v>
      </c>
      <c r="O600" t="str">
        <f>LEFT(T_BATTINGDATA[[#This Row],[Batsman]],IFERROR(FIND("*",T_BATTINGDATA[[#This Row],[Batsman]])-1,IFERROR(FIND("†",T_BATTINGDATA[[#This Row],[Batsman]])-1,LEN(T_BATTINGDATA[[#This Row],[Batsman]]))))</f>
        <v>Misbah-ul-Haq</v>
      </c>
      <c r="P600">
        <f ca="1">IFERROR(IF(MATCH(T_BATTINGDATA[[#This Row],[BATSMAN NAME]],OFFSET(O601,0,0,BATROWS-ROW(O600)-ROW(T_BATTINGDATA[[#Headers],[BATSMAN NAME]])),0)&gt;0,0,SUMIF($O$6:O600,T_BATTINGDATA[[#This Row],[BATSMAN NAME]],$E$6:E600)),SUMIF($O$6:O600,T_BATTINGDATA[[#This Row],[BATSMAN NAME]],$E$6:E600))</f>
        <v>0</v>
      </c>
    </row>
    <row r="601" spans="1:16" x14ac:dyDescent="0.3">
      <c r="A601">
        <v>25</v>
      </c>
      <c r="B601" t="s">
        <v>153</v>
      </c>
      <c r="C601" t="s">
        <v>215</v>
      </c>
      <c r="D601" t="s">
        <v>727</v>
      </c>
      <c r="E601">
        <v>19</v>
      </c>
      <c r="F601">
        <v>27</v>
      </c>
      <c r="G601">
        <v>13</v>
      </c>
      <c r="H601">
        <v>1</v>
      </c>
      <c r="I601">
        <v>1</v>
      </c>
      <c r="J601">
        <v>146.15</v>
      </c>
      <c r="K601">
        <v>6</v>
      </c>
      <c r="L601" t="str">
        <f>CONCATENATE(T_BATTINGDATA[[#This Row],[Match]],T_BATTINGDATA[[#This Row],[Team]],T_BATTINGDATA[[#This Row],[Bat Number]])</f>
        <v>25Pakistan6</v>
      </c>
      <c r="M601" t="str">
        <f>IFERROR(IF(AND(T_BATTINGDATA[[#This Row],[Team]]=I_TEAM,IFERROR(IF(MATCH(T_BATTINGDATA[[#This Row],[BATSMAN NAME]],$O$5:O600,0)&gt;0,0),1)),1,0),"")</f>
        <v/>
      </c>
      <c r="N601" t="e">
        <f>IF(T_BATTINGDATA[[#This Row],[Team]]=I_TEAM,T_BATTINGDATA[[#This Row],[R]],0)</f>
        <v>#REF!</v>
      </c>
      <c r="O601" t="str">
        <f>LEFT(T_BATTINGDATA[[#This Row],[Batsman]],IFERROR(FIND("*",T_BATTINGDATA[[#This Row],[Batsman]])-1,IFERROR(FIND("†",T_BATTINGDATA[[#This Row],[Batsman]])-1,LEN(T_BATTINGDATA[[#This Row],[Batsman]]))))</f>
        <v>Umar Akmal</v>
      </c>
      <c r="P601">
        <f ca="1">IFERROR(IF(MATCH(T_BATTINGDATA[[#This Row],[BATSMAN NAME]],OFFSET(O602,0,0,BATROWS-ROW(O601)-ROW(T_BATTINGDATA[[#Headers],[BATSMAN NAME]])),0)&gt;0,0,SUMIF($O$6:O601,T_BATTINGDATA[[#This Row],[BATSMAN NAME]],$E$6:E601)),SUMIF($O$6:O601,T_BATTINGDATA[[#This Row],[BATSMAN NAME]],$E$6:E601))</f>
        <v>0</v>
      </c>
    </row>
    <row r="602" spans="1:16" x14ac:dyDescent="0.3">
      <c r="A602">
        <v>25</v>
      </c>
      <c r="B602" t="s">
        <v>153</v>
      </c>
      <c r="C602" t="s">
        <v>188</v>
      </c>
      <c r="D602" t="s">
        <v>167</v>
      </c>
      <c r="E602">
        <v>21</v>
      </c>
      <c r="F602">
        <v>8</v>
      </c>
      <c r="G602">
        <v>7</v>
      </c>
      <c r="H602">
        <v>1</v>
      </c>
      <c r="I602">
        <v>2</v>
      </c>
      <c r="J602">
        <v>300</v>
      </c>
      <c r="K602">
        <v>7</v>
      </c>
      <c r="L602" t="str">
        <f>CONCATENATE(T_BATTINGDATA[[#This Row],[Match]],T_BATTINGDATA[[#This Row],[Team]],T_BATTINGDATA[[#This Row],[Bat Number]])</f>
        <v>25Pakistan7</v>
      </c>
      <c r="M602" t="str">
        <f>IFERROR(IF(AND(T_BATTINGDATA[[#This Row],[Team]]=I_TEAM,IFERROR(IF(MATCH(T_BATTINGDATA[[#This Row],[BATSMAN NAME]],$O$5:O601,0)&gt;0,0),1)),1,0),"")</f>
        <v/>
      </c>
      <c r="N602" t="e">
        <f>IF(T_BATTINGDATA[[#This Row],[Team]]=I_TEAM,T_BATTINGDATA[[#This Row],[R]],0)</f>
        <v>#REF!</v>
      </c>
      <c r="O602" t="str">
        <f>LEFT(T_BATTINGDATA[[#This Row],[Batsman]],IFERROR(FIND("*",T_BATTINGDATA[[#This Row],[Batsman]])-1,IFERROR(FIND("†",T_BATTINGDATA[[#This Row],[Batsman]])-1,LEN(T_BATTINGDATA[[#This Row],[Batsman]]))))</f>
        <v>Shahid Afridi</v>
      </c>
      <c r="P602">
        <f ca="1">IFERROR(IF(MATCH(T_BATTINGDATA[[#This Row],[BATSMAN NAME]],OFFSET(O603,0,0,BATROWS-ROW(O602)-ROW(T_BATTINGDATA[[#Headers],[BATSMAN NAME]])),0)&gt;0,0,SUMIF($O$6:O602,T_BATTINGDATA[[#This Row],[BATSMAN NAME]],$E$6:E602)),SUMIF($O$6:O602,T_BATTINGDATA[[#This Row],[BATSMAN NAME]],$E$6:E602))</f>
        <v>0</v>
      </c>
    </row>
    <row r="603" spans="1:16" x14ac:dyDescent="0.3">
      <c r="A603">
        <v>25</v>
      </c>
      <c r="B603" t="s">
        <v>153</v>
      </c>
      <c r="C603" t="s">
        <v>189</v>
      </c>
      <c r="D603" t="s">
        <v>167</v>
      </c>
      <c r="E603">
        <v>6</v>
      </c>
      <c r="F603">
        <v>6</v>
      </c>
      <c r="G603">
        <v>1</v>
      </c>
      <c r="H603">
        <v>0</v>
      </c>
      <c r="I603">
        <v>1</v>
      </c>
      <c r="J603">
        <v>600</v>
      </c>
      <c r="K603">
        <v>8</v>
      </c>
      <c r="L603" t="str">
        <f>CONCATENATE(T_BATTINGDATA[[#This Row],[Match]],T_BATTINGDATA[[#This Row],[Team]],T_BATTINGDATA[[#This Row],[Bat Number]])</f>
        <v>25Pakistan8</v>
      </c>
      <c r="M603" t="str">
        <f>IFERROR(IF(AND(T_BATTINGDATA[[#This Row],[Team]]=I_TEAM,IFERROR(IF(MATCH(T_BATTINGDATA[[#This Row],[BATSMAN NAME]],$O$5:O602,0)&gt;0,0),1)),1,0),"")</f>
        <v/>
      </c>
      <c r="N603" t="e">
        <f>IF(T_BATTINGDATA[[#This Row],[Team]]=I_TEAM,T_BATTINGDATA[[#This Row],[R]],0)</f>
        <v>#REF!</v>
      </c>
      <c r="O603" t="str">
        <f>LEFT(T_BATTINGDATA[[#This Row],[Batsman]],IFERROR(FIND("*",T_BATTINGDATA[[#This Row],[Batsman]])-1,IFERROR(FIND("†",T_BATTINGDATA[[#This Row],[Batsman]])-1,LEN(T_BATTINGDATA[[#This Row],[Batsman]]))))</f>
        <v>Wahab Riaz</v>
      </c>
      <c r="P603">
        <f ca="1">IFERROR(IF(MATCH(T_BATTINGDATA[[#This Row],[BATSMAN NAME]],OFFSET(O604,0,0,BATROWS-ROW(O603)-ROW(T_BATTINGDATA[[#Headers],[BATSMAN NAME]])),0)&gt;0,0,SUMIF($O$6:O603,T_BATTINGDATA[[#This Row],[BATSMAN NAME]],$E$6:E603)),SUMIF($O$6:O603,T_BATTINGDATA[[#This Row],[BATSMAN NAME]],$E$6:E603))</f>
        <v>0</v>
      </c>
    </row>
    <row r="604" spans="1:16" x14ac:dyDescent="0.3">
      <c r="A604">
        <v>25</v>
      </c>
      <c r="B604" t="s">
        <v>164</v>
      </c>
      <c r="C604" t="s">
        <v>247</v>
      </c>
      <c r="D604" t="s">
        <v>728</v>
      </c>
      <c r="E604">
        <v>14</v>
      </c>
      <c r="F604">
        <v>29</v>
      </c>
      <c r="G604">
        <v>30</v>
      </c>
      <c r="H604">
        <v>2</v>
      </c>
      <c r="I604">
        <v>0</v>
      </c>
      <c r="J604">
        <v>46.66</v>
      </c>
      <c r="K604">
        <v>1</v>
      </c>
      <c r="L604" t="str">
        <f>CONCATENATE(T_BATTINGDATA[[#This Row],[Match]],T_BATTINGDATA[[#This Row],[Team]],T_BATTINGDATA[[#This Row],[Bat Number]])</f>
        <v>25UAE1</v>
      </c>
      <c r="M604" t="str">
        <f>IFERROR(IF(AND(T_BATTINGDATA[[#This Row],[Team]]=I_TEAM,IFERROR(IF(MATCH(T_BATTINGDATA[[#This Row],[BATSMAN NAME]],$O$5:O603,0)&gt;0,0),1)),1,0),"")</f>
        <v/>
      </c>
      <c r="N604" t="e">
        <f>IF(T_BATTINGDATA[[#This Row],[Team]]=I_TEAM,T_BATTINGDATA[[#This Row],[R]],0)</f>
        <v>#REF!</v>
      </c>
      <c r="O604" t="str">
        <f>LEFT(T_BATTINGDATA[[#This Row],[Batsman]],IFERROR(FIND("*",T_BATTINGDATA[[#This Row],[Batsman]])-1,IFERROR(FIND("†",T_BATTINGDATA[[#This Row],[Batsman]])-1,LEN(T_BATTINGDATA[[#This Row],[Batsman]]))))</f>
        <v>Amjad Ali</v>
      </c>
      <c r="P604">
        <f ca="1">IFERROR(IF(MATCH(T_BATTINGDATA[[#This Row],[BATSMAN NAME]],OFFSET(O605,0,0,BATROWS-ROW(O604)-ROW(T_BATTINGDATA[[#Headers],[BATSMAN NAME]])),0)&gt;0,0,SUMIF($O$6:O604,T_BATTINGDATA[[#This Row],[BATSMAN NAME]],$E$6:E604)),SUMIF($O$6:O604,T_BATTINGDATA[[#This Row],[BATSMAN NAME]],$E$6:E604))</f>
        <v>0</v>
      </c>
    </row>
    <row r="605" spans="1:16" x14ac:dyDescent="0.3">
      <c r="A605">
        <v>25</v>
      </c>
      <c r="B605" t="s">
        <v>164</v>
      </c>
      <c r="C605" t="s">
        <v>250</v>
      </c>
      <c r="D605" t="s">
        <v>198</v>
      </c>
      <c r="E605">
        <v>2</v>
      </c>
      <c r="F605">
        <v>34</v>
      </c>
      <c r="G605">
        <v>13</v>
      </c>
      <c r="H605">
        <v>0</v>
      </c>
      <c r="I605">
        <v>0</v>
      </c>
      <c r="J605">
        <v>15.38</v>
      </c>
      <c r="K605">
        <v>2</v>
      </c>
      <c r="L605" t="str">
        <f>CONCATENATE(T_BATTINGDATA[[#This Row],[Match]],T_BATTINGDATA[[#This Row],[Team]],T_BATTINGDATA[[#This Row],[Bat Number]])</f>
        <v>25UAE2</v>
      </c>
      <c r="M605" t="str">
        <f>IFERROR(IF(AND(T_BATTINGDATA[[#This Row],[Team]]=I_TEAM,IFERROR(IF(MATCH(T_BATTINGDATA[[#This Row],[BATSMAN NAME]],$O$5:O604,0)&gt;0,0),1)),1,0),"")</f>
        <v/>
      </c>
      <c r="N605" t="e">
        <f>IF(T_BATTINGDATA[[#This Row],[Team]]=I_TEAM,T_BATTINGDATA[[#This Row],[R]],0)</f>
        <v>#REF!</v>
      </c>
      <c r="O605" t="str">
        <f>LEFT(T_BATTINGDATA[[#This Row],[Batsman]],IFERROR(FIND("*",T_BATTINGDATA[[#This Row],[Batsman]])-1,IFERROR(FIND("†",T_BATTINGDATA[[#This Row],[Batsman]])-1,LEN(T_BATTINGDATA[[#This Row],[Batsman]]))))</f>
        <v>AR Berenger</v>
      </c>
      <c r="P605">
        <f ca="1">IFERROR(IF(MATCH(T_BATTINGDATA[[#This Row],[BATSMAN NAME]],OFFSET(O606,0,0,BATROWS-ROW(O605)-ROW(T_BATTINGDATA[[#Headers],[BATSMAN NAME]])),0)&gt;0,0,SUMIF($O$6:O605,T_BATTINGDATA[[#This Row],[BATSMAN NAME]],$E$6:E605)),SUMIF($O$6:O605,T_BATTINGDATA[[#This Row],[BATSMAN NAME]],$E$6:E605))</f>
        <v>0</v>
      </c>
    </row>
    <row r="606" spans="1:16" x14ac:dyDescent="0.3">
      <c r="A606">
        <v>25</v>
      </c>
      <c r="B606" t="s">
        <v>164</v>
      </c>
      <c r="C606" t="s">
        <v>230</v>
      </c>
      <c r="D606" t="s">
        <v>198</v>
      </c>
      <c r="E606">
        <v>0</v>
      </c>
      <c r="F606">
        <v>18</v>
      </c>
      <c r="G606">
        <v>11</v>
      </c>
      <c r="H606">
        <v>0</v>
      </c>
      <c r="I606">
        <v>0</v>
      </c>
      <c r="J606">
        <v>0</v>
      </c>
      <c r="K606">
        <v>3</v>
      </c>
      <c r="L606" t="str">
        <f>CONCATENATE(T_BATTINGDATA[[#This Row],[Match]],T_BATTINGDATA[[#This Row],[Team]],T_BATTINGDATA[[#This Row],[Bat Number]])</f>
        <v>25UAE3</v>
      </c>
      <c r="M606" t="str">
        <f>IFERROR(IF(AND(T_BATTINGDATA[[#This Row],[Team]]=I_TEAM,IFERROR(IF(MATCH(T_BATTINGDATA[[#This Row],[BATSMAN NAME]],$O$5:O605,0)&gt;0,0),1)),1,0),"")</f>
        <v/>
      </c>
      <c r="N606" t="e">
        <f>IF(T_BATTINGDATA[[#This Row],[Team]]=I_TEAM,T_BATTINGDATA[[#This Row],[R]],0)</f>
        <v>#REF!</v>
      </c>
      <c r="O606" t="str">
        <f>LEFT(T_BATTINGDATA[[#This Row],[Batsman]],IFERROR(FIND("*",T_BATTINGDATA[[#This Row],[Batsman]])-1,IFERROR(FIND("†",T_BATTINGDATA[[#This Row],[Batsman]])-1,LEN(T_BATTINGDATA[[#This Row],[Batsman]]))))</f>
        <v>Krishna Chandran</v>
      </c>
      <c r="P606">
        <f ca="1">IFERROR(IF(MATCH(T_BATTINGDATA[[#This Row],[BATSMAN NAME]],OFFSET(O607,0,0,BATROWS-ROW(O606)-ROW(T_BATTINGDATA[[#Headers],[BATSMAN NAME]])),0)&gt;0,0,SUMIF($O$6:O606,T_BATTINGDATA[[#This Row],[BATSMAN NAME]],$E$6:E606)),SUMIF($O$6:O606,T_BATTINGDATA[[#This Row],[BATSMAN NAME]],$E$6:E606))</f>
        <v>0</v>
      </c>
    </row>
    <row r="607" spans="1:16" x14ac:dyDescent="0.3">
      <c r="A607">
        <v>25</v>
      </c>
      <c r="B607" t="s">
        <v>164</v>
      </c>
      <c r="C607" t="s">
        <v>252</v>
      </c>
      <c r="D607" t="s">
        <v>729</v>
      </c>
      <c r="E607">
        <v>43</v>
      </c>
      <c r="F607">
        <v>85</v>
      </c>
      <c r="G607">
        <v>54</v>
      </c>
      <c r="H607">
        <v>3</v>
      </c>
      <c r="I607">
        <v>1</v>
      </c>
      <c r="J607">
        <v>79.62</v>
      </c>
      <c r="K607">
        <v>4</v>
      </c>
      <c r="L607" t="str">
        <f>CONCATENATE(T_BATTINGDATA[[#This Row],[Match]],T_BATTINGDATA[[#This Row],[Team]],T_BATTINGDATA[[#This Row],[Bat Number]])</f>
        <v>25UAE4</v>
      </c>
      <c r="M607" t="str">
        <f>IFERROR(IF(AND(T_BATTINGDATA[[#This Row],[Team]]=I_TEAM,IFERROR(IF(MATCH(T_BATTINGDATA[[#This Row],[BATSMAN NAME]],$O$5:O606,0)&gt;0,0),1)),1,0),"")</f>
        <v/>
      </c>
      <c r="N607" t="e">
        <f>IF(T_BATTINGDATA[[#This Row],[Team]]=I_TEAM,T_BATTINGDATA[[#This Row],[R]],0)</f>
        <v>#REF!</v>
      </c>
      <c r="O607" t="str">
        <f>LEFT(T_BATTINGDATA[[#This Row],[Batsman]],IFERROR(FIND("*",T_BATTINGDATA[[#This Row],[Batsman]])-1,IFERROR(FIND("†",T_BATTINGDATA[[#This Row],[Batsman]])-1,LEN(T_BATTINGDATA[[#This Row],[Batsman]]))))</f>
        <v>Khurram Khan</v>
      </c>
      <c r="P607">
        <f ca="1">IFERROR(IF(MATCH(T_BATTINGDATA[[#This Row],[BATSMAN NAME]],OFFSET(O608,0,0,BATROWS-ROW(O607)-ROW(T_BATTINGDATA[[#Headers],[BATSMAN NAME]])),0)&gt;0,0,SUMIF($O$6:O607,T_BATTINGDATA[[#This Row],[BATSMAN NAME]],$E$6:E607)),SUMIF($O$6:O607,T_BATTINGDATA[[#This Row],[BATSMAN NAME]],$E$6:E607))</f>
        <v>0</v>
      </c>
    </row>
    <row r="608" spans="1:16" x14ac:dyDescent="0.3">
      <c r="A608">
        <v>25</v>
      </c>
      <c r="B608" t="s">
        <v>164</v>
      </c>
      <c r="C608" t="s">
        <v>255</v>
      </c>
      <c r="D608" t="s">
        <v>730</v>
      </c>
      <c r="E608">
        <v>62</v>
      </c>
      <c r="F608">
        <v>104</v>
      </c>
      <c r="G608">
        <v>88</v>
      </c>
      <c r="H608">
        <v>4</v>
      </c>
      <c r="I608">
        <v>2</v>
      </c>
      <c r="J608">
        <v>70.45</v>
      </c>
      <c r="K608">
        <v>5</v>
      </c>
      <c r="L608" t="str">
        <f>CONCATENATE(T_BATTINGDATA[[#This Row],[Match]],T_BATTINGDATA[[#This Row],[Team]],T_BATTINGDATA[[#This Row],[Bat Number]])</f>
        <v>25UAE5</v>
      </c>
      <c r="M608" t="str">
        <f>IFERROR(IF(AND(T_BATTINGDATA[[#This Row],[Team]]=I_TEAM,IFERROR(IF(MATCH(T_BATTINGDATA[[#This Row],[BATSMAN NAME]],$O$5:O607,0)&gt;0,0),1)),1,0),"")</f>
        <v/>
      </c>
      <c r="N608" t="e">
        <f>IF(T_BATTINGDATA[[#This Row],[Team]]=I_TEAM,T_BATTINGDATA[[#This Row],[R]],0)</f>
        <v>#REF!</v>
      </c>
      <c r="O608" t="str">
        <f>LEFT(T_BATTINGDATA[[#This Row],[Batsman]],IFERROR(FIND("*",T_BATTINGDATA[[#This Row],[Batsman]])-1,IFERROR(FIND("†",T_BATTINGDATA[[#This Row],[Batsman]])-1,LEN(T_BATTINGDATA[[#This Row],[Batsman]]))))</f>
        <v>Shaiman Anwar</v>
      </c>
      <c r="P608">
        <f ca="1">IFERROR(IF(MATCH(T_BATTINGDATA[[#This Row],[BATSMAN NAME]],OFFSET(O609,0,0,BATROWS-ROW(O608)-ROW(T_BATTINGDATA[[#Headers],[BATSMAN NAME]])),0)&gt;0,0,SUMIF($O$6:O608,T_BATTINGDATA[[#This Row],[BATSMAN NAME]],$E$6:E608)),SUMIF($O$6:O608,T_BATTINGDATA[[#This Row],[BATSMAN NAME]],$E$6:E608))</f>
        <v>0</v>
      </c>
    </row>
    <row r="609" spans="1:16" x14ac:dyDescent="0.3">
      <c r="A609">
        <v>25</v>
      </c>
      <c r="B609" t="s">
        <v>164</v>
      </c>
      <c r="C609" t="s">
        <v>253</v>
      </c>
      <c r="D609" t="s">
        <v>200</v>
      </c>
      <c r="E609">
        <v>36</v>
      </c>
      <c r="F609">
        <v>84</v>
      </c>
      <c r="G609">
        <v>68</v>
      </c>
      <c r="H609">
        <v>2</v>
      </c>
      <c r="I609">
        <v>0</v>
      </c>
      <c r="J609">
        <v>52.94</v>
      </c>
      <c r="K609">
        <v>6</v>
      </c>
      <c r="L609" t="str">
        <f>CONCATENATE(T_BATTINGDATA[[#This Row],[Match]],T_BATTINGDATA[[#This Row],[Team]],T_BATTINGDATA[[#This Row],[Bat Number]])</f>
        <v>25UAE6</v>
      </c>
      <c r="M609" t="str">
        <f>IFERROR(IF(AND(T_BATTINGDATA[[#This Row],[Team]]=I_TEAM,IFERROR(IF(MATCH(T_BATTINGDATA[[#This Row],[BATSMAN NAME]],$O$5:O608,0)&gt;0,0),1)),1,0),"")</f>
        <v/>
      </c>
      <c r="N609" t="e">
        <f>IF(T_BATTINGDATA[[#This Row],[Team]]=I_TEAM,T_BATTINGDATA[[#This Row],[R]],0)</f>
        <v>#REF!</v>
      </c>
      <c r="O609" t="str">
        <f>LEFT(T_BATTINGDATA[[#This Row],[Batsman]],IFERROR(FIND("*",T_BATTINGDATA[[#This Row],[Batsman]])-1,IFERROR(FIND("†",T_BATTINGDATA[[#This Row],[Batsman]])-1,LEN(T_BATTINGDATA[[#This Row],[Batsman]]))))</f>
        <v>SP Patil</v>
      </c>
      <c r="P609">
        <f ca="1">IFERROR(IF(MATCH(T_BATTINGDATA[[#This Row],[BATSMAN NAME]],OFFSET(O610,0,0,BATROWS-ROW(O609)-ROW(T_BATTINGDATA[[#Headers],[BATSMAN NAME]])),0)&gt;0,0,SUMIF($O$6:O609,T_BATTINGDATA[[#This Row],[BATSMAN NAME]],$E$6:E609)),SUMIF($O$6:O609,T_BATTINGDATA[[#This Row],[BATSMAN NAME]],$E$6:E609))</f>
        <v>0</v>
      </c>
    </row>
    <row r="610" spans="1:16" x14ac:dyDescent="0.3">
      <c r="A610">
        <v>25</v>
      </c>
      <c r="B610" t="s">
        <v>164</v>
      </c>
      <c r="C610" t="s">
        <v>256</v>
      </c>
      <c r="D610" t="s">
        <v>731</v>
      </c>
      <c r="E610">
        <v>0</v>
      </c>
      <c r="F610">
        <v>2</v>
      </c>
      <c r="G610">
        <v>2</v>
      </c>
      <c r="H610">
        <v>0</v>
      </c>
      <c r="I610">
        <v>0</v>
      </c>
      <c r="J610">
        <v>0</v>
      </c>
      <c r="K610">
        <v>7</v>
      </c>
      <c r="L610" t="str">
        <f>CONCATENATE(T_BATTINGDATA[[#This Row],[Match]],T_BATTINGDATA[[#This Row],[Team]],T_BATTINGDATA[[#This Row],[Bat Number]])</f>
        <v>25UAE7</v>
      </c>
      <c r="M610" t="str">
        <f>IFERROR(IF(AND(T_BATTINGDATA[[#This Row],[Team]]=I_TEAM,IFERROR(IF(MATCH(T_BATTINGDATA[[#This Row],[BATSMAN NAME]],$O$5:O609,0)&gt;0,0),1)),1,0),"")</f>
        <v/>
      </c>
      <c r="N610" t="e">
        <f>IF(T_BATTINGDATA[[#This Row],[Team]]=I_TEAM,T_BATTINGDATA[[#This Row],[R]],0)</f>
        <v>#REF!</v>
      </c>
      <c r="O610" t="str">
        <f>LEFT(T_BATTINGDATA[[#This Row],[Batsman]],IFERROR(FIND("*",T_BATTINGDATA[[#This Row],[Batsman]])-1,IFERROR(FIND("†",T_BATTINGDATA[[#This Row],[Batsman]])-1,LEN(T_BATTINGDATA[[#This Row],[Batsman]]))))</f>
        <v>Rohan Mustafa</v>
      </c>
      <c r="P610">
        <f ca="1">IFERROR(IF(MATCH(T_BATTINGDATA[[#This Row],[BATSMAN NAME]],OFFSET(O611,0,0,BATROWS-ROW(O610)-ROW(T_BATTINGDATA[[#Headers],[BATSMAN NAME]])),0)&gt;0,0,SUMIF($O$6:O610,T_BATTINGDATA[[#This Row],[BATSMAN NAME]],$E$6:E610)),SUMIF($O$6:O610,T_BATTINGDATA[[#This Row],[BATSMAN NAME]],$E$6:E610))</f>
        <v>8</v>
      </c>
    </row>
    <row r="611" spans="1:16" x14ac:dyDescent="0.3">
      <c r="A611">
        <v>25</v>
      </c>
      <c r="B611" t="s">
        <v>164</v>
      </c>
      <c r="C611" t="s">
        <v>228</v>
      </c>
      <c r="D611" t="s">
        <v>732</v>
      </c>
      <c r="E611">
        <v>40</v>
      </c>
      <c r="F611">
        <v>48</v>
      </c>
      <c r="G611">
        <v>33</v>
      </c>
      <c r="H611">
        <v>5</v>
      </c>
      <c r="I611">
        <v>2</v>
      </c>
      <c r="J611">
        <v>121.21</v>
      </c>
      <c r="K611">
        <v>8</v>
      </c>
      <c r="L611" t="str">
        <f>CONCATENATE(T_BATTINGDATA[[#This Row],[Match]],T_BATTINGDATA[[#This Row],[Team]],T_BATTINGDATA[[#This Row],[Bat Number]])</f>
        <v>25UAE8</v>
      </c>
      <c r="M611" t="str">
        <f>IFERROR(IF(AND(T_BATTINGDATA[[#This Row],[Team]]=I_TEAM,IFERROR(IF(MATCH(T_BATTINGDATA[[#This Row],[BATSMAN NAME]],$O$5:O610,0)&gt;0,0),1)),1,0),"")</f>
        <v/>
      </c>
      <c r="N611" t="e">
        <f>IF(T_BATTINGDATA[[#This Row],[Team]]=I_TEAM,T_BATTINGDATA[[#This Row],[R]],0)</f>
        <v>#REF!</v>
      </c>
      <c r="O611" t="str">
        <f>LEFT(T_BATTINGDATA[[#This Row],[Batsman]],IFERROR(FIND("*",T_BATTINGDATA[[#This Row],[Batsman]])-1,IFERROR(FIND("†",T_BATTINGDATA[[#This Row],[Batsman]])-1,LEN(T_BATTINGDATA[[#This Row],[Batsman]]))))</f>
        <v>Amjad Javed</v>
      </c>
      <c r="P611">
        <f ca="1">IFERROR(IF(MATCH(T_BATTINGDATA[[#This Row],[BATSMAN NAME]],OFFSET(O612,0,0,BATROWS-ROW(O611)-ROW(T_BATTINGDATA[[#Headers],[BATSMAN NAME]])),0)&gt;0,0,SUMIF($O$6:O611,T_BATTINGDATA[[#This Row],[BATSMAN NAME]],$E$6:E611)),SUMIF($O$6:O611,T_BATTINGDATA[[#This Row],[BATSMAN NAME]],$E$6:E611))</f>
        <v>0</v>
      </c>
    </row>
    <row r="612" spans="1:16" x14ac:dyDescent="0.3">
      <c r="A612">
        <v>25</v>
      </c>
      <c r="B612" t="s">
        <v>164</v>
      </c>
      <c r="C612" t="s">
        <v>223</v>
      </c>
      <c r="D612" t="s">
        <v>167</v>
      </c>
      <c r="E612">
        <v>0</v>
      </c>
      <c r="F612">
        <v>4</v>
      </c>
      <c r="G612">
        <v>0</v>
      </c>
      <c r="H612">
        <v>0</v>
      </c>
      <c r="I612">
        <v>0</v>
      </c>
      <c r="J612" t="s">
        <v>348</v>
      </c>
      <c r="K612">
        <v>9</v>
      </c>
      <c r="L612" t="str">
        <f>CONCATENATE(T_BATTINGDATA[[#This Row],[Match]],T_BATTINGDATA[[#This Row],[Team]],T_BATTINGDATA[[#This Row],[Bat Number]])</f>
        <v>25UAE9</v>
      </c>
      <c r="M612" t="str">
        <f>IFERROR(IF(AND(T_BATTINGDATA[[#This Row],[Team]]=I_TEAM,IFERROR(IF(MATCH(T_BATTINGDATA[[#This Row],[BATSMAN NAME]],$O$5:O611,0)&gt;0,0),1)),1,0),"")</f>
        <v/>
      </c>
      <c r="N612" t="e">
        <f>IF(T_BATTINGDATA[[#This Row],[Team]]=I_TEAM,T_BATTINGDATA[[#This Row],[R]],0)</f>
        <v>#REF!</v>
      </c>
      <c r="O612" t="str">
        <f>LEFT(T_BATTINGDATA[[#This Row],[Batsman]],IFERROR(FIND("*",T_BATTINGDATA[[#This Row],[Batsman]])-1,IFERROR(FIND("†",T_BATTINGDATA[[#This Row],[Batsman]])-1,LEN(T_BATTINGDATA[[#This Row],[Batsman]]))))</f>
        <v>Mohammad Naveed</v>
      </c>
      <c r="P612">
        <f ca="1">IFERROR(IF(MATCH(T_BATTINGDATA[[#This Row],[BATSMAN NAME]],OFFSET(O613,0,0,BATROWS-ROW(O612)-ROW(T_BATTINGDATA[[#Headers],[BATSMAN NAME]])),0)&gt;0,0,SUMIF($O$6:O612,T_BATTINGDATA[[#This Row],[BATSMAN NAME]],$E$6:E612)),SUMIF($O$6:O612,T_BATTINGDATA[[#This Row],[BATSMAN NAME]],$E$6:E612))</f>
        <v>0</v>
      </c>
    </row>
    <row r="613" spans="1:16" x14ac:dyDescent="0.3">
      <c r="A613">
        <v>25</v>
      </c>
      <c r="B613" t="s">
        <v>164</v>
      </c>
      <c r="C613" t="s">
        <v>261</v>
      </c>
      <c r="D613" t="s">
        <v>167</v>
      </c>
      <c r="E613">
        <v>0</v>
      </c>
      <c r="F613">
        <v>1</v>
      </c>
      <c r="G613">
        <v>1</v>
      </c>
      <c r="H613">
        <v>0</v>
      </c>
      <c r="I613">
        <v>0</v>
      </c>
      <c r="J613">
        <v>0</v>
      </c>
      <c r="K613">
        <v>10</v>
      </c>
      <c r="L613" t="str">
        <f>CONCATENATE(T_BATTINGDATA[[#This Row],[Match]],T_BATTINGDATA[[#This Row],[Team]],T_BATTINGDATA[[#This Row],[Bat Number]])</f>
        <v>25UAE10</v>
      </c>
      <c r="M613" t="str">
        <f>IFERROR(IF(AND(T_BATTINGDATA[[#This Row],[Team]]=I_TEAM,IFERROR(IF(MATCH(T_BATTINGDATA[[#This Row],[BATSMAN NAME]],$O$5:O612,0)&gt;0,0),1)),1,0),"")</f>
        <v/>
      </c>
      <c r="N613" t="e">
        <f>IF(T_BATTINGDATA[[#This Row],[Team]]=I_TEAM,T_BATTINGDATA[[#This Row],[R]],0)</f>
        <v>#REF!</v>
      </c>
      <c r="O613" t="str">
        <f>LEFT(T_BATTINGDATA[[#This Row],[Batsman]],IFERROR(FIND("*",T_BATTINGDATA[[#This Row],[Batsman]])-1,IFERROR(FIND("†",T_BATTINGDATA[[#This Row],[Batsman]])-1,LEN(T_BATTINGDATA[[#This Row],[Batsman]]))))</f>
        <v>Mohammad Tauqir</v>
      </c>
      <c r="P613">
        <f ca="1">IFERROR(IF(MATCH(T_BATTINGDATA[[#This Row],[BATSMAN NAME]],OFFSET(O614,0,0,BATROWS-ROW(O613)-ROW(T_BATTINGDATA[[#Headers],[BATSMAN NAME]])),0)&gt;0,0,SUMIF($O$6:O613,T_BATTINGDATA[[#This Row],[BATSMAN NAME]],$E$6:E613)),SUMIF($O$6:O613,T_BATTINGDATA[[#This Row],[BATSMAN NAME]],$E$6:E613))</f>
        <v>0</v>
      </c>
    </row>
    <row r="614" spans="1:16" x14ac:dyDescent="0.3">
      <c r="A614">
        <v>26</v>
      </c>
      <c r="B614" t="s">
        <v>149</v>
      </c>
      <c r="C614" t="s">
        <v>376</v>
      </c>
      <c r="D614" t="s">
        <v>650</v>
      </c>
      <c r="E614">
        <v>178</v>
      </c>
      <c r="F614">
        <v>164</v>
      </c>
      <c r="G614">
        <v>133</v>
      </c>
      <c r="H614">
        <v>19</v>
      </c>
      <c r="I614">
        <v>5</v>
      </c>
      <c r="J614">
        <v>133.83000000000001</v>
      </c>
      <c r="K614">
        <v>1</v>
      </c>
      <c r="L614" t="str">
        <f>CONCATENATE(T_BATTINGDATA[[#This Row],[Match]],T_BATTINGDATA[[#This Row],[Team]],T_BATTINGDATA[[#This Row],[Bat Number]])</f>
        <v>26Australia1</v>
      </c>
      <c r="M614" t="str">
        <f>IFERROR(IF(AND(T_BATTINGDATA[[#This Row],[Team]]=I_TEAM,IFERROR(IF(MATCH(T_BATTINGDATA[[#This Row],[BATSMAN NAME]],$O$5:O613,0)&gt;0,0),1)),1,0),"")</f>
        <v/>
      </c>
      <c r="N614" t="e">
        <f>IF(T_BATTINGDATA[[#This Row],[Team]]=I_TEAM,T_BATTINGDATA[[#This Row],[R]],0)</f>
        <v>#REF!</v>
      </c>
      <c r="O614" t="str">
        <f>LEFT(T_BATTINGDATA[[#This Row],[Batsman]],IFERROR(FIND("*",T_BATTINGDATA[[#This Row],[Batsman]])-1,IFERROR(FIND("†",T_BATTINGDATA[[#This Row],[Batsman]])-1,LEN(T_BATTINGDATA[[#This Row],[Batsman]]))))</f>
        <v>DA Warner</v>
      </c>
      <c r="P614">
        <f ca="1">IFERROR(IF(MATCH(T_BATTINGDATA[[#This Row],[BATSMAN NAME]],OFFSET(O615,0,0,BATROWS-ROW(O614)-ROW(T_BATTINGDATA[[#Headers],[BATSMAN NAME]])),0)&gt;0,0,SUMIF($O$6:O614,T_BATTINGDATA[[#This Row],[BATSMAN NAME]],$E$6:E614)),SUMIF($O$6:O614,T_BATTINGDATA[[#This Row],[BATSMAN NAME]],$E$6:E614))</f>
        <v>0</v>
      </c>
    </row>
    <row r="615" spans="1:16" x14ac:dyDescent="0.3">
      <c r="A615">
        <v>26</v>
      </c>
      <c r="B615" t="s">
        <v>149</v>
      </c>
      <c r="C615" t="s">
        <v>378</v>
      </c>
      <c r="D615" t="s">
        <v>733</v>
      </c>
      <c r="E615">
        <v>4</v>
      </c>
      <c r="F615">
        <v>14</v>
      </c>
      <c r="G615">
        <v>9</v>
      </c>
      <c r="H615">
        <v>0</v>
      </c>
      <c r="I615">
        <v>0</v>
      </c>
      <c r="J615">
        <v>44.44</v>
      </c>
      <c r="K615">
        <v>2</v>
      </c>
      <c r="L615" t="str">
        <f>CONCATENATE(T_BATTINGDATA[[#This Row],[Match]],T_BATTINGDATA[[#This Row],[Team]],T_BATTINGDATA[[#This Row],[Bat Number]])</f>
        <v>26Australia2</v>
      </c>
      <c r="M615" t="str">
        <f>IFERROR(IF(AND(T_BATTINGDATA[[#This Row],[Team]]=I_TEAM,IFERROR(IF(MATCH(T_BATTINGDATA[[#This Row],[BATSMAN NAME]],$O$5:O614,0)&gt;0,0),1)),1,0),"")</f>
        <v/>
      </c>
      <c r="N615" t="e">
        <f>IF(T_BATTINGDATA[[#This Row],[Team]]=I_TEAM,T_BATTINGDATA[[#This Row],[R]],0)</f>
        <v>#REF!</v>
      </c>
      <c r="O615" t="str">
        <f>LEFT(T_BATTINGDATA[[#This Row],[Batsman]],IFERROR(FIND("*",T_BATTINGDATA[[#This Row],[Batsman]])-1,IFERROR(FIND("†",T_BATTINGDATA[[#This Row],[Batsman]])-1,LEN(T_BATTINGDATA[[#This Row],[Batsman]]))))</f>
        <v>AJ Finch</v>
      </c>
      <c r="P615">
        <f ca="1">IFERROR(IF(MATCH(T_BATTINGDATA[[#This Row],[BATSMAN NAME]],OFFSET(O616,0,0,BATROWS-ROW(O615)-ROW(T_BATTINGDATA[[#Headers],[BATSMAN NAME]])),0)&gt;0,0,SUMIF($O$6:O615,T_BATTINGDATA[[#This Row],[BATSMAN NAME]],$E$6:E615)),SUMIF($O$6:O615,T_BATTINGDATA[[#This Row],[BATSMAN NAME]],$E$6:E615))</f>
        <v>0</v>
      </c>
    </row>
    <row r="616" spans="1:16" x14ac:dyDescent="0.3">
      <c r="A616">
        <v>26</v>
      </c>
      <c r="B616" t="s">
        <v>149</v>
      </c>
      <c r="C616" t="s">
        <v>331</v>
      </c>
      <c r="D616" t="s">
        <v>734</v>
      </c>
      <c r="E616">
        <v>95</v>
      </c>
      <c r="F616">
        <v>173</v>
      </c>
      <c r="G616">
        <v>98</v>
      </c>
      <c r="H616">
        <v>8</v>
      </c>
      <c r="I616">
        <v>1</v>
      </c>
      <c r="J616">
        <v>96.93</v>
      </c>
      <c r="K616">
        <v>3</v>
      </c>
      <c r="L616" t="str">
        <f>CONCATENATE(T_BATTINGDATA[[#This Row],[Match]],T_BATTINGDATA[[#This Row],[Team]],T_BATTINGDATA[[#This Row],[Bat Number]])</f>
        <v>26Australia3</v>
      </c>
      <c r="M616" t="str">
        <f>IFERROR(IF(AND(T_BATTINGDATA[[#This Row],[Team]]=I_TEAM,IFERROR(IF(MATCH(T_BATTINGDATA[[#This Row],[BATSMAN NAME]],$O$5:O615,0)&gt;0,0),1)),1,0),"")</f>
        <v/>
      </c>
      <c r="N616" t="e">
        <f>IF(T_BATTINGDATA[[#This Row],[Team]]=I_TEAM,T_BATTINGDATA[[#This Row],[R]],0)</f>
        <v>#REF!</v>
      </c>
      <c r="O616" t="str">
        <f>LEFT(T_BATTINGDATA[[#This Row],[Batsman]],IFERROR(FIND("*",T_BATTINGDATA[[#This Row],[Batsman]])-1,IFERROR(FIND("†",T_BATTINGDATA[[#This Row],[Batsman]])-1,LEN(T_BATTINGDATA[[#This Row],[Batsman]]))))</f>
        <v>SPD Smith</v>
      </c>
      <c r="P616">
        <f ca="1">IFERROR(IF(MATCH(T_BATTINGDATA[[#This Row],[BATSMAN NAME]],OFFSET(O617,0,0,BATROWS-ROW(O616)-ROW(T_BATTINGDATA[[#Headers],[BATSMAN NAME]])),0)&gt;0,0,SUMIF($O$6:O616,T_BATTINGDATA[[#This Row],[BATSMAN NAME]],$E$6:E616)),SUMIF($O$6:O616,T_BATTINGDATA[[#This Row],[BATSMAN NAME]],$E$6:E616))</f>
        <v>0</v>
      </c>
    </row>
    <row r="617" spans="1:16" x14ac:dyDescent="0.3">
      <c r="A617">
        <v>26</v>
      </c>
      <c r="B617" t="s">
        <v>149</v>
      </c>
      <c r="C617" t="s">
        <v>329</v>
      </c>
      <c r="D617" t="s">
        <v>735</v>
      </c>
      <c r="E617">
        <v>88</v>
      </c>
      <c r="F617">
        <v>45</v>
      </c>
      <c r="G617">
        <v>39</v>
      </c>
      <c r="H617">
        <v>6</v>
      </c>
      <c r="I617">
        <v>7</v>
      </c>
      <c r="J617">
        <v>225.64</v>
      </c>
      <c r="K617">
        <v>4</v>
      </c>
      <c r="L617" t="str">
        <f>CONCATENATE(T_BATTINGDATA[[#This Row],[Match]],T_BATTINGDATA[[#This Row],[Team]],T_BATTINGDATA[[#This Row],[Bat Number]])</f>
        <v>26Australia4</v>
      </c>
      <c r="M617" t="str">
        <f>IFERROR(IF(AND(T_BATTINGDATA[[#This Row],[Team]]=I_TEAM,IFERROR(IF(MATCH(T_BATTINGDATA[[#This Row],[BATSMAN NAME]],$O$5:O616,0)&gt;0,0),1)),1,0),"")</f>
        <v/>
      </c>
      <c r="N617" t="e">
        <f>IF(T_BATTINGDATA[[#This Row],[Team]]=I_TEAM,T_BATTINGDATA[[#This Row],[R]],0)</f>
        <v>#REF!</v>
      </c>
      <c r="O617" t="str">
        <f>LEFT(T_BATTINGDATA[[#This Row],[Batsman]],IFERROR(FIND("*",T_BATTINGDATA[[#This Row],[Batsman]])-1,IFERROR(FIND("†",T_BATTINGDATA[[#This Row],[Batsman]])-1,LEN(T_BATTINGDATA[[#This Row],[Batsman]]))))</f>
        <v>GJ Maxwell</v>
      </c>
      <c r="P617">
        <f ca="1">IFERROR(IF(MATCH(T_BATTINGDATA[[#This Row],[BATSMAN NAME]],OFFSET(O618,0,0,BATROWS-ROW(O617)-ROW(T_BATTINGDATA[[#Headers],[BATSMAN NAME]])),0)&gt;0,0,SUMIF($O$6:O617,T_BATTINGDATA[[#This Row],[BATSMAN NAME]],$E$6:E617)),SUMIF($O$6:O617,T_BATTINGDATA[[#This Row],[BATSMAN NAME]],$E$6:E617))</f>
        <v>0</v>
      </c>
    </row>
    <row r="618" spans="1:16" x14ac:dyDescent="0.3">
      <c r="A618">
        <v>26</v>
      </c>
      <c r="B618" t="s">
        <v>149</v>
      </c>
      <c r="C618" t="s">
        <v>505</v>
      </c>
      <c r="D618" t="s">
        <v>470</v>
      </c>
      <c r="E618">
        <v>7</v>
      </c>
      <c r="F618">
        <v>15</v>
      </c>
      <c r="G618">
        <v>6</v>
      </c>
      <c r="H618">
        <v>1</v>
      </c>
      <c r="I618">
        <v>0</v>
      </c>
      <c r="J618">
        <v>116.66</v>
      </c>
      <c r="K618">
        <v>5</v>
      </c>
      <c r="L618" t="str">
        <f>CONCATENATE(T_BATTINGDATA[[#This Row],[Match]],T_BATTINGDATA[[#This Row],[Team]],T_BATTINGDATA[[#This Row],[Bat Number]])</f>
        <v>26Australia5</v>
      </c>
      <c r="M618" t="str">
        <f>IFERROR(IF(AND(T_BATTINGDATA[[#This Row],[Team]]=I_TEAM,IFERROR(IF(MATCH(T_BATTINGDATA[[#This Row],[BATSMAN NAME]],$O$5:O617,0)&gt;0,0),1)),1,0),"")</f>
        <v/>
      </c>
      <c r="N618" t="e">
        <f>IF(T_BATTINGDATA[[#This Row],[Team]]=I_TEAM,T_BATTINGDATA[[#This Row],[R]],0)</f>
        <v>#REF!</v>
      </c>
      <c r="O618" t="str">
        <f>LEFT(T_BATTINGDATA[[#This Row],[Batsman]],IFERROR(FIND("*",T_BATTINGDATA[[#This Row],[Batsman]])-1,IFERROR(FIND("†",T_BATTINGDATA[[#This Row],[Batsman]])-1,LEN(T_BATTINGDATA[[#This Row],[Batsman]]))))</f>
        <v>JP Faulkner</v>
      </c>
      <c r="P618">
        <f ca="1">IFERROR(IF(MATCH(T_BATTINGDATA[[#This Row],[BATSMAN NAME]],OFFSET(O619,0,0,BATROWS-ROW(O618)-ROW(T_BATTINGDATA[[#Headers],[BATSMAN NAME]])),0)&gt;0,0,SUMIF($O$6:O618,T_BATTINGDATA[[#This Row],[BATSMAN NAME]],$E$6:E618)),SUMIF($O$6:O618,T_BATTINGDATA[[#This Row],[BATSMAN NAME]],$E$6:E618))</f>
        <v>0</v>
      </c>
    </row>
    <row r="619" spans="1:16" x14ac:dyDescent="0.3">
      <c r="A619">
        <v>26</v>
      </c>
      <c r="B619" t="s">
        <v>149</v>
      </c>
      <c r="C619" t="s">
        <v>325</v>
      </c>
      <c r="D619" t="s">
        <v>736</v>
      </c>
      <c r="E619">
        <v>8</v>
      </c>
      <c r="F619">
        <v>17</v>
      </c>
      <c r="G619">
        <v>9</v>
      </c>
      <c r="H619">
        <v>0</v>
      </c>
      <c r="I619">
        <v>0</v>
      </c>
      <c r="J619">
        <v>88.88</v>
      </c>
      <c r="K619">
        <v>6</v>
      </c>
      <c r="L619" t="str">
        <f>CONCATENATE(T_BATTINGDATA[[#This Row],[Match]],T_BATTINGDATA[[#This Row],[Team]],T_BATTINGDATA[[#This Row],[Bat Number]])</f>
        <v>26Australia6</v>
      </c>
      <c r="M619" t="str">
        <f>IFERROR(IF(AND(T_BATTINGDATA[[#This Row],[Team]]=I_TEAM,IFERROR(IF(MATCH(T_BATTINGDATA[[#This Row],[BATSMAN NAME]],$O$5:O618,0)&gt;0,0),1)),1,0),"")</f>
        <v/>
      </c>
      <c r="N619" t="e">
        <f>IF(T_BATTINGDATA[[#This Row],[Team]]=I_TEAM,T_BATTINGDATA[[#This Row],[R]],0)</f>
        <v>#REF!</v>
      </c>
      <c r="O619" t="str">
        <f>LEFT(T_BATTINGDATA[[#This Row],[Batsman]],IFERROR(FIND("*",T_BATTINGDATA[[#This Row],[Batsman]])-1,IFERROR(FIND("†",T_BATTINGDATA[[#This Row],[Batsman]])-1,LEN(T_BATTINGDATA[[#This Row],[Batsman]]))))</f>
        <v>MR Marsh</v>
      </c>
      <c r="P619">
        <f ca="1">IFERROR(IF(MATCH(T_BATTINGDATA[[#This Row],[BATSMAN NAME]],OFFSET(O620,0,0,BATROWS-ROW(O619)-ROW(T_BATTINGDATA[[#Headers],[BATSMAN NAME]])),0)&gt;0,0,SUMIF($O$6:O619,T_BATTINGDATA[[#This Row],[BATSMAN NAME]],$E$6:E619)),SUMIF($O$6:O619,T_BATTINGDATA[[#This Row],[BATSMAN NAME]],$E$6:E619))</f>
        <v>31</v>
      </c>
    </row>
    <row r="620" spans="1:16" x14ac:dyDescent="0.3">
      <c r="A620">
        <v>26</v>
      </c>
      <c r="B620" t="s">
        <v>149</v>
      </c>
      <c r="C620" t="s">
        <v>391</v>
      </c>
      <c r="D620" t="s">
        <v>167</v>
      </c>
      <c r="E620">
        <v>20</v>
      </c>
      <c r="F620">
        <v>10</v>
      </c>
      <c r="G620">
        <v>9</v>
      </c>
      <c r="H620">
        <v>2</v>
      </c>
      <c r="I620">
        <v>1</v>
      </c>
      <c r="J620">
        <v>222.22</v>
      </c>
      <c r="K620">
        <v>7</v>
      </c>
      <c r="L620" t="str">
        <f>CONCATENATE(T_BATTINGDATA[[#This Row],[Match]],T_BATTINGDATA[[#This Row],[Team]],T_BATTINGDATA[[#This Row],[Bat Number]])</f>
        <v>26Australia7</v>
      </c>
      <c r="M620" t="str">
        <f>IFERROR(IF(AND(T_BATTINGDATA[[#This Row],[Team]]=I_TEAM,IFERROR(IF(MATCH(T_BATTINGDATA[[#This Row],[BATSMAN NAME]],$O$5:O619,0)&gt;0,0),1)),1,0),"")</f>
        <v/>
      </c>
      <c r="N620" t="e">
        <f>IF(T_BATTINGDATA[[#This Row],[Team]]=I_TEAM,T_BATTINGDATA[[#This Row],[R]],0)</f>
        <v>#REF!</v>
      </c>
      <c r="O620" t="str">
        <f>LEFT(T_BATTINGDATA[[#This Row],[Batsman]],IFERROR(FIND("*",T_BATTINGDATA[[#This Row],[Batsman]])-1,IFERROR(FIND("†",T_BATTINGDATA[[#This Row],[Batsman]])-1,LEN(T_BATTINGDATA[[#This Row],[Batsman]]))))</f>
        <v>BJ Haddin</v>
      </c>
      <c r="P620">
        <f ca="1">IFERROR(IF(MATCH(T_BATTINGDATA[[#This Row],[BATSMAN NAME]],OFFSET(O621,0,0,BATROWS-ROW(O620)-ROW(T_BATTINGDATA[[#Headers],[BATSMAN NAME]])),0)&gt;0,0,SUMIF($O$6:O620,T_BATTINGDATA[[#This Row],[BATSMAN NAME]],$E$6:E620)),SUMIF($O$6:O620,T_BATTINGDATA[[#This Row],[BATSMAN NAME]],$E$6:E620))</f>
        <v>0</v>
      </c>
    </row>
    <row r="621" spans="1:16" x14ac:dyDescent="0.3">
      <c r="A621">
        <v>26</v>
      </c>
      <c r="B621" t="s">
        <v>185</v>
      </c>
      <c r="C621" t="s">
        <v>398</v>
      </c>
      <c r="D621" t="s">
        <v>589</v>
      </c>
      <c r="E621">
        <v>13</v>
      </c>
      <c r="F621">
        <v>34</v>
      </c>
      <c r="G621">
        <v>24</v>
      </c>
      <c r="H621">
        <v>1</v>
      </c>
      <c r="I621">
        <v>0</v>
      </c>
      <c r="J621">
        <v>54.16</v>
      </c>
      <c r="K621">
        <v>1</v>
      </c>
      <c r="L621" t="str">
        <f>CONCATENATE(T_BATTINGDATA[[#This Row],[Match]],T_BATTINGDATA[[#This Row],[Team]],T_BATTINGDATA[[#This Row],[Bat Number]])</f>
        <v>26Afghanistan1</v>
      </c>
      <c r="M621" t="str">
        <f>IFERROR(IF(AND(T_BATTINGDATA[[#This Row],[Team]]=I_TEAM,IFERROR(IF(MATCH(T_BATTINGDATA[[#This Row],[BATSMAN NAME]],$O$5:O620,0)&gt;0,0),1)),1,0),"")</f>
        <v/>
      </c>
      <c r="N621" t="e">
        <f>IF(T_BATTINGDATA[[#This Row],[Team]]=I_TEAM,T_BATTINGDATA[[#This Row],[R]],0)</f>
        <v>#REF!</v>
      </c>
      <c r="O621" t="str">
        <f>LEFT(T_BATTINGDATA[[#This Row],[Batsman]],IFERROR(FIND("*",T_BATTINGDATA[[#This Row],[Batsman]])-1,IFERROR(FIND("†",T_BATTINGDATA[[#This Row],[Batsman]])-1,LEN(T_BATTINGDATA[[#This Row],[Batsman]]))))</f>
        <v>Javed Ahmadi</v>
      </c>
      <c r="P621">
        <f ca="1">IFERROR(IF(MATCH(T_BATTINGDATA[[#This Row],[BATSMAN NAME]],OFFSET(O622,0,0,BATROWS-ROW(O621)-ROW(T_BATTINGDATA[[#Headers],[BATSMAN NAME]])),0)&gt;0,0,SUMIF($O$6:O621,T_BATTINGDATA[[#This Row],[BATSMAN NAME]],$E$6:E621)),SUMIF($O$6:O621,T_BATTINGDATA[[#This Row],[BATSMAN NAME]],$E$6:E621))</f>
        <v>0</v>
      </c>
    </row>
    <row r="622" spans="1:16" x14ac:dyDescent="0.3">
      <c r="A622">
        <v>26</v>
      </c>
      <c r="B622" t="s">
        <v>185</v>
      </c>
      <c r="C622" t="s">
        <v>737</v>
      </c>
      <c r="D622" t="s">
        <v>738</v>
      </c>
      <c r="E622">
        <v>12</v>
      </c>
      <c r="F622">
        <v>28</v>
      </c>
      <c r="G622">
        <v>19</v>
      </c>
      <c r="H622">
        <v>0</v>
      </c>
      <c r="I622">
        <v>0</v>
      </c>
      <c r="J622">
        <v>63.15</v>
      </c>
      <c r="K622">
        <v>2</v>
      </c>
      <c r="L622" t="str">
        <f>CONCATENATE(T_BATTINGDATA[[#This Row],[Match]],T_BATTINGDATA[[#This Row],[Team]],T_BATTINGDATA[[#This Row],[Bat Number]])</f>
        <v>26Afghanistan2</v>
      </c>
      <c r="M622" t="str">
        <f>IFERROR(IF(AND(T_BATTINGDATA[[#This Row],[Team]]=I_TEAM,IFERROR(IF(MATCH(T_BATTINGDATA[[#This Row],[BATSMAN NAME]],$O$5:O621,0)&gt;0,0),1)),1,0),"")</f>
        <v/>
      </c>
      <c r="N622" t="e">
        <f>IF(T_BATTINGDATA[[#This Row],[Team]]=I_TEAM,T_BATTINGDATA[[#This Row],[R]],0)</f>
        <v>#REF!</v>
      </c>
      <c r="O622" t="str">
        <f>LEFT(T_BATTINGDATA[[#This Row],[Batsman]],IFERROR(FIND("*",T_BATTINGDATA[[#This Row],[Batsman]])-1,IFERROR(FIND("†",T_BATTINGDATA[[#This Row],[Batsman]])-1,LEN(T_BATTINGDATA[[#This Row],[Batsman]]))))</f>
        <v>Usman Ghani</v>
      </c>
      <c r="P622">
        <f ca="1">IFERROR(IF(MATCH(T_BATTINGDATA[[#This Row],[BATSMAN NAME]],OFFSET(O623,0,0,BATROWS-ROW(O622)-ROW(T_BATTINGDATA[[#Headers],[BATSMAN NAME]])),0)&gt;0,0,SUMIF($O$6:O622,T_BATTINGDATA[[#This Row],[BATSMAN NAME]],$E$6:E622)),SUMIF($O$6:O622,T_BATTINGDATA[[#This Row],[BATSMAN NAME]],$E$6:E622))</f>
        <v>0</v>
      </c>
    </row>
    <row r="623" spans="1:16" x14ac:dyDescent="0.3">
      <c r="A623">
        <v>26</v>
      </c>
      <c r="B623" t="s">
        <v>185</v>
      </c>
      <c r="C623" t="s">
        <v>478</v>
      </c>
      <c r="D623" t="s">
        <v>739</v>
      </c>
      <c r="E623">
        <v>33</v>
      </c>
      <c r="F623">
        <v>54</v>
      </c>
      <c r="G623">
        <v>35</v>
      </c>
      <c r="H623">
        <v>2</v>
      </c>
      <c r="I623">
        <v>2</v>
      </c>
      <c r="J623">
        <v>94.28</v>
      </c>
      <c r="K623">
        <v>3</v>
      </c>
      <c r="L623" t="str">
        <f>CONCATENATE(T_BATTINGDATA[[#This Row],[Match]],T_BATTINGDATA[[#This Row],[Team]],T_BATTINGDATA[[#This Row],[Bat Number]])</f>
        <v>26Afghanistan3</v>
      </c>
      <c r="M623" t="str">
        <f>IFERROR(IF(AND(T_BATTINGDATA[[#This Row],[Team]]=I_TEAM,IFERROR(IF(MATCH(T_BATTINGDATA[[#This Row],[BATSMAN NAME]],$O$5:O622,0)&gt;0,0),1)),1,0),"")</f>
        <v/>
      </c>
      <c r="N623" t="e">
        <f>IF(T_BATTINGDATA[[#This Row],[Team]]=I_TEAM,T_BATTINGDATA[[#This Row],[R]],0)</f>
        <v>#REF!</v>
      </c>
      <c r="O623" t="str">
        <f>LEFT(T_BATTINGDATA[[#This Row],[Batsman]],IFERROR(FIND("*",T_BATTINGDATA[[#This Row],[Batsman]])-1,IFERROR(FIND("†",T_BATTINGDATA[[#This Row],[Batsman]])-1,LEN(T_BATTINGDATA[[#This Row],[Batsman]]))))</f>
        <v>Nawroz Mangal</v>
      </c>
      <c r="P623">
        <f ca="1">IFERROR(IF(MATCH(T_BATTINGDATA[[#This Row],[BATSMAN NAME]],OFFSET(O624,0,0,BATROWS-ROW(O623)-ROW(T_BATTINGDATA[[#Headers],[BATSMAN NAME]])),0)&gt;0,0,SUMIF($O$6:O623,T_BATTINGDATA[[#This Row],[BATSMAN NAME]],$E$6:E623)),SUMIF($O$6:O623,T_BATTINGDATA[[#This Row],[BATSMAN NAME]],$E$6:E623))</f>
        <v>0</v>
      </c>
    </row>
    <row r="624" spans="1:16" x14ac:dyDescent="0.3">
      <c r="A624">
        <v>26</v>
      </c>
      <c r="B624" t="s">
        <v>185</v>
      </c>
      <c r="C624" t="s">
        <v>457</v>
      </c>
      <c r="D624" t="s">
        <v>409</v>
      </c>
      <c r="E624">
        <v>4</v>
      </c>
      <c r="F624">
        <v>12</v>
      </c>
      <c r="G624">
        <v>10</v>
      </c>
      <c r="H624">
        <v>0</v>
      </c>
      <c r="I624">
        <v>0</v>
      </c>
      <c r="J624">
        <v>40</v>
      </c>
      <c r="K624">
        <v>4</v>
      </c>
      <c r="L624" t="str">
        <f>CONCATENATE(T_BATTINGDATA[[#This Row],[Match]],T_BATTINGDATA[[#This Row],[Team]],T_BATTINGDATA[[#This Row],[Bat Number]])</f>
        <v>26Afghanistan4</v>
      </c>
      <c r="M624" t="str">
        <f>IFERROR(IF(AND(T_BATTINGDATA[[#This Row],[Team]]=I_TEAM,IFERROR(IF(MATCH(T_BATTINGDATA[[#This Row],[BATSMAN NAME]],$O$5:O623,0)&gt;0,0),1)),1,0),"")</f>
        <v/>
      </c>
      <c r="N624" t="e">
        <f>IF(T_BATTINGDATA[[#This Row],[Team]]=I_TEAM,T_BATTINGDATA[[#This Row],[R]],0)</f>
        <v>#REF!</v>
      </c>
      <c r="O624" t="str">
        <f>LEFT(T_BATTINGDATA[[#This Row],[Batsman]],IFERROR(FIND("*",T_BATTINGDATA[[#This Row],[Batsman]])-1,IFERROR(FIND("†",T_BATTINGDATA[[#This Row],[Batsman]])-1,LEN(T_BATTINGDATA[[#This Row],[Batsman]]))))</f>
        <v>Asghar Stanikzai</v>
      </c>
      <c r="P624">
        <f ca="1">IFERROR(IF(MATCH(T_BATTINGDATA[[#This Row],[BATSMAN NAME]],OFFSET(O625,0,0,BATROWS-ROW(O624)-ROW(T_BATTINGDATA[[#Headers],[BATSMAN NAME]])),0)&gt;0,0,SUMIF($O$6:O624,T_BATTINGDATA[[#This Row],[BATSMAN NAME]],$E$6:E624)),SUMIF($O$6:O624,T_BATTINGDATA[[#This Row],[BATSMAN NAME]],$E$6:E624))</f>
        <v>0</v>
      </c>
    </row>
    <row r="625" spans="1:16" x14ac:dyDescent="0.3">
      <c r="A625">
        <v>26</v>
      </c>
      <c r="B625" t="s">
        <v>185</v>
      </c>
      <c r="C625" t="s">
        <v>401</v>
      </c>
      <c r="D625" t="s">
        <v>740</v>
      </c>
      <c r="E625">
        <v>17</v>
      </c>
      <c r="F625">
        <v>33</v>
      </c>
      <c r="G625">
        <v>31</v>
      </c>
      <c r="H625">
        <v>2</v>
      </c>
      <c r="I625">
        <v>0</v>
      </c>
      <c r="J625">
        <v>54.83</v>
      </c>
      <c r="K625">
        <v>5</v>
      </c>
      <c r="L625" t="str">
        <f>CONCATENATE(T_BATTINGDATA[[#This Row],[Match]],T_BATTINGDATA[[#This Row],[Team]],T_BATTINGDATA[[#This Row],[Bat Number]])</f>
        <v>26Afghanistan5</v>
      </c>
      <c r="M625" t="str">
        <f>IFERROR(IF(AND(T_BATTINGDATA[[#This Row],[Team]]=I_TEAM,IFERROR(IF(MATCH(T_BATTINGDATA[[#This Row],[BATSMAN NAME]],$O$5:O624,0)&gt;0,0),1)),1,0),"")</f>
        <v/>
      </c>
      <c r="N625" t="e">
        <f>IF(T_BATTINGDATA[[#This Row],[Team]]=I_TEAM,T_BATTINGDATA[[#This Row],[R]],0)</f>
        <v>#REF!</v>
      </c>
      <c r="O625" t="str">
        <f>LEFT(T_BATTINGDATA[[#This Row],[Batsman]],IFERROR(FIND("*",T_BATTINGDATA[[#This Row],[Batsman]])-1,IFERROR(FIND("†",T_BATTINGDATA[[#This Row],[Batsman]])-1,LEN(T_BATTINGDATA[[#This Row],[Batsman]]))))</f>
        <v>Samiullah Shenwari</v>
      </c>
      <c r="P625">
        <f ca="1">IFERROR(IF(MATCH(T_BATTINGDATA[[#This Row],[BATSMAN NAME]],OFFSET(O626,0,0,BATROWS-ROW(O625)-ROW(T_BATTINGDATA[[#Headers],[BATSMAN NAME]])),0)&gt;0,0,SUMIF($O$6:O625,T_BATTINGDATA[[#This Row],[BATSMAN NAME]],$E$6:E625)),SUMIF($O$6:O625,T_BATTINGDATA[[#This Row],[BATSMAN NAME]],$E$6:E625))</f>
        <v>0</v>
      </c>
    </row>
    <row r="626" spans="1:16" x14ac:dyDescent="0.3">
      <c r="A626">
        <v>26</v>
      </c>
      <c r="B626" t="s">
        <v>185</v>
      </c>
      <c r="C626" t="s">
        <v>483</v>
      </c>
      <c r="D626" t="s">
        <v>741</v>
      </c>
      <c r="E626">
        <v>2</v>
      </c>
      <c r="F626">
        <v>20</v>
      </c>
      <c r="G626">
        <v>10</v>
      </c>
      <c r="H626">
        <v>0</v>
      </c>
      <c r="I626">
        <v>0</v>
      </c>
      <c r="J626">
        <v>20</v>
      </c>
      <c r="K626">
        <v>6</v>
      </c>
      <c r="L626" t="str">
        <f>CONCATENATE(T_BATTINGDATA[[#This Row],[Match]],T_BATTINGDATA[[#This Row],[Team]],T_BATTINGDATA[[#This Row],[Bat Number]])</f>
        <v>26Afghanistan6</v>
      </c>
      <c r="M626" t="str">
        <f>IFERROR(IF(AND(T_BATTINGDATA[[#This Row],[Team]]=I_TEAM,IFERROR(IF(MATCH(T_BATTINGDATA[[#This Row],[BATSMAN NAME]],$O$5:O625,0)&gt;0,0),1)),1,0),"")</f>
        <v/>
      </c>
      <c r="N626" t="e">
        <f>IF(T_BATTINGDATA[[#This Row],[Team]]=I_TEAM,T_BATTINGDATA[[#This Row],[R]],0)</f>
        <v>#REF!</v>
      </c>
      <c r="O626" t="str">
        <f>LEFT(T_BATTINGDATA[[#This Row],[Batsman]],IFERROR(FIND("*",T_BATTINGDATA[[#This Row],[Batsman]])-1,IFERROR(FIND("†",T_BATTINGDATA[[#This Row],[Batsman]])-1,LEN(T_BATTINGDATA[[#This Row],[Batsman]]))))</f>
        <v>Mohammad Nabi</v>
      </c>
      <c r="P626">
        <f ca="1">IFERROR(IF(MATCH(T_BATTINGDATA[[#This Row],[BATSMAN NAME]],OFFSET(O627,0,0,BATROWS-ROW(O626)-ROW(T_BATTINGDATA[[#Headers],[BATSMAN NAME]])),0)&gt;0,0,SUMIF($O$6:O626,T_BATTINGDATA[[#This Row],[BATSMAN NAME]],$E$6:E626)),SUMIF($O$6:O626,T_BATTINGDATA[[#This Row],[BATSMAN NAME]],$E$6:E626))</f>
        <v>0</v>
      </c>
    </row>
    <row r="627" spans="1:16" x14ac:dyDescent="0.3">
      <c r="A627">
        <v>26</v>
      </c>
      <c r="B627" t="s">
        <v>185</v>
      </c>
      <c r="C627" t="s">
        <v>485</v>
      </c>
      <c r="D627" t="s">
        <v>410</v>
      </c>
      <c r="E627">
        <v>24</v>
      </c>
      <c r="F627">
        <v>42</v>
      </c>
      <c r="G627">
        <v>31</v>
      </c>
      <c r="H627">
        <v>1</v>
      </c>
      <c r="I627">
        <v>1</v>
      </c>
      <c r="J627">
        <v>77.41</v>
      </c>
      <c r="K627">
        <v>7</v>
      </c>
      <c r="L627" t="str">
        <f>CONCATENATE(T_BATTINGDATA[[#This Row],[Match]],T_BATTINGDATA[[#This Row],[Team]],T_BATTINGDATA[[#This Row],[Bat Number]])</f>
        <v>26Afghanistan7</v>
      </c>
      <c r="M627" t="str">
        <f>IFERROR(IF(AND(T_BATTINGDATA[[#This Row],[Team]]=I_TEAM,IFERROR(IF(MATCH(T_BATTINGDATA[[#This Row],[BATSMAN NAME]],$O$5:O626,0)&gt;0,0),1)),1,0),"")</f>
        <v/>
      </c>
      <c r="N627" t="e">
        <f>IF(T_BATTINGDATA[[#This Row],[Team]]=I_TEAM,T_BATTINGDATA[[#This Row],[R]],0)</f>
        <v>#REF!</v>
      </c>
      <c r="O627" t="str">
        <f>LEFT(T_BATTINGDATA[[#This Row],[Batsman]],IFERROR(FIND("*",T_BATTINGDATA[[#This Row],[Batsman]])-1,IFERROR(FIND("†",T_BATTINGDATA[[#This Row],[Batsman]])-1,LEN(T_BATTINGDATA[[#This Row],[Batsman]]))))</f>
        <v>Najibullah Zadran</v>
      </c>
      <c r="P627">
        <f ca="1">IFERROR(IF(MATCH(T_BATTINGDATA[[#This Row],[BATSMAN NAME]],OFFSET(O628,0,0,BATROWS-ROW(O627)-ROW(T_BATTINGDATA[[#Headers],[BATSMAN NAME]])),0)&gt;0,0,SUMIF($O$6:O627,T_BATTINGDATA[[#This Row],[BATSMAN NAME]],$E$6:E627)),SUMIF($O$6:O627,T_BATTINGDATA[[#This Row],[BATSMAN NAME]],$E$6:E627))</f>
        <v>0</v>
      </c>
    </row>
    <row r="628" spans="1:16" x14ac:dyDescent="0.3">
      <c r="A628">
        <v>26</v>
      </c>
      <c r="B628" t="s">
        <v>185</v>
      </c>
      <c r="C628" t="s">
        <v>476</v>
      </c>
      <c r="D628" t="s">
        <v>597</v>
      </c>
      <c r="E628">
        <v>10</v>
      </c>
      <c r="F628">
        <v>47</v>
      </c>
      <c r="G628">
        <v>40</v>
      </c>
      <c r="H628">
        <v>0</v>
      </c>
      <c r="I628">
        <v>0</v>
      </c>
      <c r="J628">
        <v>25</v>
      </c>
      <c r="K628">
        <v>8</v>
      </c>
      <c r="L628" t="str">
        <f>CONCATENATE(T_BATTINGDATA[[#This Row],[Match]],T_BATTINGDATA[[#This Row],[Team]],T_BATTINGDATA[[#This Row],[Bat Number]])</f>
        <v>26Afghanistan8</v>
      </c>
      <c r="M628" t="str">
        <f>IFERROR(IF(AND(T_BATTINGDATA[[#This Row],[Team]]=I_TEAM,IFERROR(IF(MATCH(T_BATTINGDATA[[#This Row],[BATSMAN NAME]],$O$5:O627,0)&gt;0,0),1)),1,0),"")</f>
        <v/>
      </c>
      <c r="N628" t="e">
        <f>IF(T_BATTINGDATA[[#This Row],[Team]]=I_TEAM,T_BATTINGDATA[[#This Row],[R]],0)</f>
        <v>#REF!</v>
      </c>
      <c r="O628" t="str">
        <f>LEFT(T_BATTINGDATA[[#This Row],[Batsman]],IFERROR(FIND("*",T_BATTINGDATA[[#This Row],[Batsman]])-1,IFERROR(FIND("†",T_BATTINGDATA[[#This Row],[Batsman]])-1,LEN(T_BATTINGDATA[[#This Row],[Batsman]]))))</f>
        <v>Afsar Zazai</v>
      </c>
      <c r="P628">
        <f ca="1">IFERROR(IF(MATCH(T_BATTINGDATA[[#This Row],[BATSMAN NAME]],OFFSET(O629,0,0,BATROWS-ROW(O628)-ROW(T_BATTINGDATA[[#Headers],[BATSMAN NAME]])),0)&gt;0,0,SUMIF($O$6:O628,T_BATTINGDATA[[#This Row],[BATSMAN NAME]],$E$6:E628)),SUMIF($O$6:O628,T_BATTINGDATA[[#This Row],[BATSMAN NAME]],$E$6:E628))</f>
        <v>0</v>
      </c>
    </row>
    <row r="629" spans="1:16" x14ac:dyDescent="0.3">
      <c r="A629">
        <v>26</v>
      </c>
      <c r="B629" t="s">
        <v>185</v>
      </c>
      <c r="C629" t="s">
        <v>451</v>
      </c>
      <c r="D629" t="s">
        <v>410</v>
      </c>
      <c r="E629">
        <v>0</v>
      </c>
      <c r="F629">
        <v>3</v>
      </c>
      <c r="G629">
        <v>4</v>
      </c>
      <c r="H629">
        <v>0</v>
      </c>
      <c r="I629">
        <v>0</v>
      </c>
      <c r="J629">
        <v>0</v>
      </c>
      <c r="K629">
        <v>9</v>
      </c>
      <c r="L629" t="str">
        <f>CONCATENATE(T_BATTINGDATA[[#This Row],[Match]],T_BATTINGDATA[[#This Row],[Team]],T_BATTINGDATA[[#This Row],[Bat Number]])</f>
        <v>26Afghanistan9</v>
      </c>
      <c r="M629" t="str">
        <f>IFERROR(IF(AND(T_BATTINGDATA[[#This Row],[Team]]=I_TEAM,IFERROR(IF(MATCH(T_BATTINGDATA[[#This Row],[BATSMAN NAME]],$O$5:O628,0)&gt;0,0),1)),1,0),"")</f>
        <v/>
      </c>
      <c r="N629" t="e">
        <f>IF(T_BATTINGDATA[[#This Row],[Team]]=I_TEAM,T_BATTINGDATA[[#This Row],[R]],0)</f>
        <v>#REF!</v>
      </c>
      <c r="O629" t="str">
        <f>LEFT(T_BATTINGDATA[[#This Row],[Batsman]],IFERROR(FIND("*",T_BATTINGDATA[[#This Row],[Batsman]])-1,IFERROR(FIND("†",T_BATTINGDATA[[#This Row],[Batsman]])-1,LEN(T_BATTINGDATA[[#This Row],[Batsman]]))))</f>
        <v>Dawlat Zadran</v>
      </c>
      <c r="P629">
        <f ca="1">IFERROR(IF(MATCH(T_BATTINGDATA[[#This Row],[BATSMAN NAME]],OFFSET(O630,0,0,BATROWS-ROW(O629)-ROW(T_BATTINGDATA[[#Headers],[BATSMAN NAME]])),0)&gt;0,0,SUMIF($O$6:O629,T_BATTINGDATA[[#This Row],[BATSMAN NAME]],$E$6:E629)),SUMIF($O$6:O629,T_BATTINGDATA[[#This Row],[BATSMAN NAME]],$E$6:E629))</f>
        <v>0</v>
      </c>
    </row>
    <row r="630" spans="1:16" x14ac:dyDescent="0.3">
      <c r="A630">
        <v>26</v>
      </c>
      <c r="B630" t="s">
        <v>185</v>
      </c>
      <c r="C630" t="s">
        <v>389</v>
      </c>
      <c r="D630" t="s">
        <v>742</v>
      </c>
      <c r="E630">
        <v>7</v>
      </c>
      <c r="F630">
        <v>27</v>
      </c>
      <c r="G630">
        <v>18</v>
      </c>
      <c r="H630">
        <v>0</v>
      </c>
      <c r="I630">
        <v>0</v>
      </c>
      <c r="J630">
        <v>38.880000000000003</v>
      </c>
      <c r="K630">
        <v>10</v>
      </c>
      <c r="L630" t="str">
        <f>CONCATENATE(T_BATTINGDATA[[#This Row],[Match]],T_BATTINGDATA[[#This Row],[Team]],T_BATTINGDATA[[#This Row],[Bat Number]])</f>
        <v>26Afghanistan10</v>
      </c>
      <c r="M630" t="str">
        <f>IFERROR(IF(AND(T_BATTINGDATA[[#This Row],[Team]]=I_TEAM,IFERROR(IF(MATCH(T_BATTINGDATA[[#This Row],[BATSMAN NAME]],$O$5:O629,0)&gt;0,0),1)),1,0),"")</f>
        <v/>
      </c>
      <c r="N630" t="e">
        <f>IF(T_BATTINGDATA[[#This Row],[Team]]=I_TEAM,T_BATTINGDATA[[#This Row],[R]],0)</f>
        <v>#REF!</v>
      </c>
      <c r="O630" t="str">
        <f>LEFT(T_BATTINGDATA[[#This Row],[Batsman]],IFERROR(FIND("*",T_BATTINGDATA[[#This Row],[Batsman]])-1,IFERROR(FIND("†",T_BATTINGDATA[[#This Row],[Batsman]])-1,LEN(T_BATTINGDATA[[#This Row],[Batsman]]))))</f>
        <v>Hamid Hassan</v>
      </c>
      <c r="P630">
        <f ca="1">IFERROR(IF(MATCH(T_BATTINGDATA[[#This Row],[BATSMAN NAME]],OFFSET(O631,0,0,BATROWS-ROW(O630)-ROW(T_BATTINGDATA[[#Headers],[BATSMAN NAME]])),0)&gt;0,0,SUMIF($O$6:O630,T_BATTINGDATA[[#This Row],[BATSMAN NAME]],$E$6:E630)),SUMIF($O$6:O630,T_BATTINGDATA[[#This Row],[BATSMAN NAME]],$E$6:E630))</f>
        <v>0</v>
      </c>
    </row>
    <row r="631" spans="1:16" x14ac:dyDescent="0.3">
      <c r="A631">
        <v>26</v>
      </c>
      <c r="B631" t="s">
        <v>185</v>
      </c>
      <c r="C631" t="s">
        <v>390</v>
      </c>
      <c r="D631" t="s">
        <v>167</v>
      </c>
      <c r="E631">
        <v>0</v>
      </c>
      <c r="F631">
        <v>5</v>
      </c>
      <c r="G631">
        <v>4</v>
      </c>
      <c r="H631">
        <v>0</v>
      </c>
      <c r="I631">
        <v>0</v>
      </c>
      <c r="J631">
        <v>0</v>
      </c>
      <c r="K631">
        <v>11</v>
      </c>
      <c r="L631" t="str">
        <f>CONCATENATE(T_BATTINGDATA[[#This Row],[Match]],T_BATTINGDATA[[#This Row],[Team]],T_BATTINGDATA[[#This Row],[Bat Number]])</f>
        <v>26Afghanistan11</v>
      </c>
      <c r="M631" t="str">
        <f>IFERROR(IF(AND(T_BATTINGDATA[[#This Row],[Team]]=I_TEAM,IFERROR(IF(MATCH(T_BATTINGDATA[[#This Row],[BATSMAN NAME]],$O$5:O630,0)&gt;0,0),1)),1,0),"")</f>
        <v/>
      </c>
      <c r="N631" t="e">
        <f>IF(T_BATTINGDATA[[#This Row],[Team]]=I_TEAM,T_BATTINGDATA[[#This Row],[R]],0)</f>
        <v>#REF!</v>
      </c>
      <c r="O631" t="str">
        <f>LEFT(T_BATTINGDATA[[#This Row],[Batsman]],IFERROR(FIND("*",T_BATTINGDATA[[#This Row],[Batsman]])-1,IFERROR(FIND("†",T_BATTINGDATA[[#This Row],[Batsman]])-1,LEN(T_BATTINGDATA[[#This Row],[Batsman]]))))</f>
        <v>Shapoor Zadran</v>
      </c>
      <c r="P631">
        <f ca="1">IFERROR(IF(MATCH(T_BATTINGDATA[[#This Row],[BATSMAN NAME]],OFFSET(O632,0,0,BATROWS-ROW(O631)-ROW(T_BATTINGDATA[[#Headers],[BATSMAN NAME]])),0)&gt;0,0,SUMIF($O$6:O631,T_BATTINGDATA[[#This Row],[BATSMAN NAME]],$E$6:E631)),SUMIF($O$6:O631,T_BATTINGDATA[[#This Row],[BATSMAN NAME]],$E$6:E631))</f>
        <v>0</v>
      </c>
    </row>
    <row r="632" spans="1:16" x14ac:dyDescent="0.3">
      <c r="A632">
        <v>27</v>
      </c>
      <c r="B632" t="s">
        <v>176</v>
      </c>
      <c r="C632" t="s">
        <v>442</v>
      </c>
      <c r="D632" t="s">
        <v>743</v>
      </c>
      <c r="E632">
        <v>156</v>
      </c>
      <c r="F632">
        <v>198</v>
      </c>
      <c r="G632">
        <v>134</v>
      </c>
      <c r="H632">
        <v>17</v>
      </c>
      <c r="I632">
        <v>4</v>
      </c>
      <c r="J632">
        <v>116.41</v>
      </c>
      <c r="K632">
        <v>1</v>
      </c>
      <c r="L632" t="str">
        <f>CONCATENATE(T_BATTINGDATA[[#This Row],[Match]],T_BATTINGDATA[[#This Row],[Team]],T_BATTINGDATA[[#This Row],[Bat Number]])</f>
        <v>27Scotland1</v>
      </c>
      <c r="M632" t="str">
        <f>IFERROR(IF(AND(T_BATTINGDATA[[#This Row],[Team]]=I_TEAM,IFERROR(IF(MATCH(T_BATTINGDATA[[#This Row],[BATSMAN NAME]],$O$5:O631,0)&gt;0,0),1)),1,0),"")</f>
        <v/>
      </c>
      <c r="N632" t="e">
        <f>IF(T_BATTINGDATA[[#This Row],[Team]]=I_TEAM,T_BATTINGDATA[[#This Row],[R]],0)</f>
        <v>#REF!</v>
      </c>
      <c r="O632" t="str">
        <f>LEFT(T_BATTINGDATA[[#This Row],[Batsman]],IFERROR(FIND("*",T_BATTINGDATA[[#This Row],[Batsman]])-1,IFERROR(FIND("†",T_BATTINGDATA[[#This Row],[Batsman]])-1,LEN(T_BATTINGDATA[[#This Row],[Batsman]]))))</f>
        <v>KJ Coetzer</v>
      </c>
      <c r="P632">
        <f ca="1">IFERROR(IF(MATCH(T_BATTINGDATA[[#This Row],[BATSMAN NAME]],OFFSET(O633,0,0,BATROWS-ROW(O632)-ROW(T_BATTINGDATA[[#Headers],[BATSMAN NAME]])),0)&gt;0,0,SUMIF($O$6:O632,T_BATTINGDATA[[#This Row],[BATSMAN NAME]],$E$6:E632)),SUMIF($O$6:O632,T_BATTINGDATA[[#This Row],[BATSMAN NAME]],$E$6:E632))</f>
        <v>0</v>
      </c>
    </row>
    <row r="633" spans="1:16" x14ac:dyDescent="0.3">
      <c r="A633">
        <v>27</v>
      </c>
      <c r="B633" t="s">
        <v>176</v>
      </c>
      <c r="C633" t="s">
        <v>444</v>
      </c>
      <c r="D633" t="s">
        <v>481</v>
      </c>
      <c r="E633">
        <v>11</v>
      </c>
      <c r="F633">
        <v>9</v>
      </c>
      <c r="G633">
        <v>11</v>
      </c>
      <c r="H633">
        <v>2</v>
      </c>
      <c r="I633">
        <v>0</v>
      </c>
      <c r="J633">
        <v>100</v>
      </c>
      <c r="K633">
        <v>2</v>
      </c>
      <c r="L633" t="str">
        <f>CONCATENATE(T_BATTINGDATA[[#This Row],[Match]],T_BATTINGDATA[[#This Row],[Team]],T_BATTINGDATA[[#This Row],[Bat Number]])</f>
        <v>27Scotland2</v>
      </c>
      <c r="M633" t="str">
        <f>IFERROR(IF(AND(T_BATTINGDATA[[#This Row],[Team]]=I_TEAM,IFERROR(IF(MATCH(T_BATTINGDATA[[#This Row],[BATSMAN NAME]],$O$5:O632,0)&gt;0,0),1)),1,0),"")</f>
        <v/>
      </c>
      <c r="N633" t="e">
        <f>IF(T_BATTINGDATA[[#This Row],[Team]]=I_TEAM,T_BATTINGDATA[[#This Row],[R]],0)</f>
        <v>#REF!</v>
      </c>
      <c r="O633" t="str">
        <f>LEFT(T_BATTINGDATA[[#This Row],[Batsman]],IFERROR(FIND("*",T_BATTINGDATA[[#This Row],[Batsman]])-1,IFERROR(FIND("†",T_BATTINGDATA[[#This Row],[Batsman]])-1,LEN(T_BATTINGDATA[[#This Row],[Batsman]]))))</f>
        <v>CS MacLeod</v>
      </c>
      <c r="P633">
        <f ca="1">IFERROR(IF(MATCH(T_BATTINGDATA[[#This Row],[BATSMAN NAME]],OFFSET(O634,0,0,BATROWS-ROW(O633)-ROW(T_BATTINGDATA[[#Headers],[BATSMAN NAME]])),0)&gt;0,0,SUMIF($O$6:O633,T_BATTINGDATA[[#This Row],[BATSMAN NAME]],$E$6:E633)),SUMIF($O$6:O633,T_BATTINGDATA[[#This Row],[BATSMAN NAME]],$E$6:E633))</f>
        <v>0</v>
      </c>
    </row>
    <row r="634" spans="1:16" x14ac:dyDescent="0.3">
      <c r="A634">
        <v>27</v>
      </c>
      <c r="B634" t="s">
        <v>176</v>
      </c>
      <c r="C634" t="s">
        <v>446</v>
      </c>
      <c r="D634" t="s">
        <v>744</v>
      </c>
      <c r="E634">
        <v>19</v>
      </c>
      <c r="F634">
        <v>29</v>
      </c>
      <c r="G634">
        <v>32</v>
      </c>
      <c r="H634">
        <v>3</v>
      </c>
      <c r="I634">
        <v>0</v>
      </c>
      <c r="J634">
        <v>59.37</v>
      </c>
      <c r="K634">
        <v>3</v>
      </c>
      <c r="L634" t="str">
        <f>CONCATENATE(T_BATTINGDATA[[#This Row],[Match]],T_BATTINGDATA[[#This Row],[Team]],T_BATTINGDATA[[#This Row],[Bat Number]])</f>
        <v>27Scotland3</v>
      </c>
      <c r="M634" t="str">
        <f>IFERROR(IF(AND(T_BATTINGDATA[[#This Row],[Team]]=I_TEAM,IFERROR(IF(MATCH(T_BATTINGDATA[[#This Row],[BATSMAN NAME]],$O$5:O633,0)&gt;0,0),1)),1,0),"")</f>
        <v/>
      </c>
      <c r="N634" t="e">
        <f>IF(T_BATTINGDATA[[#This Row],[Team]]=I_TEAM,T_BATTINGDATA[[#This Row],[R]],0)</f>
        <v>#REF!</v>
      </c>
      <c r="O634" t="str">
        <f>LEFT(T_BATTINGDATA[[#This Row],[Batsman]],IFERROR(FIND("*",T_BATTINGDATA[[#This Row],[Batsman]])-1,IFERROR(FIND("†",T_BATTINGDATA[[#This Row],[Batsman]])-1,LEN(T_BATTINGDATA[[#This Row],[Batsman]]))))</f>
        <v>HJW Gardiner</v>
      </c>
      <c r="P634">
        <f ca="1">IFERROR(IF(MATCH(T_BATTINGDATA[[#This Row],[BATSMAN NAME]],OFFSET(O635,0,0,BATROWS-ROW(O634)-ROW(T_BATTINGDATA[[#Headers],[BATSMAN NAME]])),0)&gt;0,0,SUMIF($O$6:O634,T_BATTINGDATA[[#This Row],[BATSMAN NAME]],$E$6:E634)),SUMIF($O$6:O634,T_BATTINGDATA[[#This Row],[BATSMAN NAME]],$E$6:E634))</f>
        <v>24</v>
      </c>
    </row>
    <row r="635" spans="1:16" x14ac:dyDescent="0.3">
      <c r="A635">
        <v>27</v>
      </c>
      <c r="B635" t="s">
        <v>176</v>
      </c>
      <c r="C635" t="s">
        <v>447</v>
      </c>
      <c r="D635" t="s">
        <v>745</v>
      </c>
      <c r="E635">
        <v>35</v>
      </c>
      <c r="F635">
        <v>65</v>
      </c>
      <c r="G635">
        <v>50</v>
      </c>
      <c r="H635">
        <v>2</v>
      </c>
      <c r="I635">
        <v>1</v>
      </c>
      <c r="J635">
        <v>70</v>
      </c>
      <c r="K635">
        <v>4</v>
      </c>
      <c r="L635" t="str">
        <f>CONCATENATE(T_BATTINGDATA[[#This Row],[Match]],T_BATTINGDATA[[#This Row],[Team]],T_BATTINGDATA[[#This Row],[Bat Number]])</f>
        <v>27Scotland4</v>
      </c>
      <c r="M635" t="str">
        <f>IFERROR(IF(AND(T_BATTINGDATA[[#This Row],[Team]]=I_TEAM,IFERROR(IF(MATCH(T_BATTINGDATA[[#This Row],[BATSMAN NAME]],$O$5:O634,0)&gt;0,0),1)),1,0),"")</f>
        <v/>
      </c>
      <c r="N635" t="e">
        <f>IF(T_BATTINGDATA[[#This Row],[Team]]=I_TEAM,T_BATTINGDATA[[#This Row],[R]],0)</f>
        <v>#REF!</v>
      </c>
      <c r="O635" t="str">
        <f>LEFT(T_BATTINGDATA[[#This Row],[Batsman]],IFERROR(FIND("*",T_BATTINGDATA[[#This Row],[Batsman]])-1,IFERROR(FIND("†",T_BATTINGDATA[[#This Row],[Batsman]])-1,LEN(T_BATTINGDATA[[#This Row],[Batsman]]))))</f>
        <v>MW Machan</v>
      </c>
      <c r="P635">
        <f ca="1">IFERROR(IF(MATCH(T_BATTINGDATA[[#This Row],[BATSMAN NAME]],OFFSET(O636,0,0,BATROWS-ROW(O635)-ROW(T_BATTINGDATA[[#Headers],[BATSMAN NAME]])),0)&gt;0,0,SUMIF($O$6:O635,T_BATTINGDATA[[#This Row],[BATSMAN NAME]],$E$6:E635)),SUMIF($O$6:O635,T_BATTINGDATA[[#This Row],[BATSMAN NAME]],$E$6:E635))</f>
        <v>0</v>
      </c>
    </row>
    <row r="636" spans="1:16" x14ac:dyDescent="0.3">
      <c r="A636">
        <v>27</v>
      </c>
      <c r="B636" t="s">
        <v>176</v>
      </c>
      <c r="C636" t="s">
        <v>449</v>
      </c>
      <c r="D636" t="s">
        <v>743</v>
      </c>
      <c r="E636">
        <v>39</v>
      </c>
      <c r="F636">
        <v>84</v>
      </c>
      <c r="G636">
        <v>38</v>
      </c>
      <c r="H636">
        <v>2</v>
      </c>
      <c r="I636">
        <v>1</v>
      </c>
      <c r="J636">
        <v>102.63</v>
      </c>
      <c r="K636">
        <v>5</v>
      </c>
      <c r="L636" t="str">
        <f>CONCATENATE(T_BATTINGDATA[[#This Row],[Match]],T_BATTINGDATA[[#This Row],[Team]],T_BATTINGDATA[[#This Row],[Bat Number]])</f>
        <v>27Scotland5</v>
      </c>
      <c r="M636" t="str">
        <f>IFERROR(IF(AND(T_BATTINGDATA[[#This Row],[Team]]=I_TEAM,IFERROR(IF(MATCH(T_BATTINGDATA[[#This Row],[BATSMAN NAME]],$O$5:O635,0)&gt;0,0),1)),1,0),"")</f>
        <v/>
      </c>
      <c r="N636" t="e">
        <f>IF(T_BATTINGDATA[[#This Row],[Team]]=I_TEAM,T_BATTINGDATA[[#This Row],[R]],0)</f>
        <v>#REF!</v>
      </c>
      <c r="O636" t="str">
        <f>LEFT(T_BATTINGDATA[[#This Row],[Batsman]],IFERROR(FIND("*",T_BATTINGDATA[[#This Row],[Batsman]])-1,IFERROR(FIND("†",T_BATTINGDATA[[#This Row],[Batsman]])-1,LEN(T_BATTINGDATA[[#This Row],[Batsman]]))))</f>
        <v>PL Mommsen</v>
      </c>
      <c r="P636">
        <f ca="1">IFERROR(IF(MATCH(T_BATTINGDATA[[#This Row],[BATSMAN NAME]],OFFSET(O637,0,0,BATROWS-ROW(O636)-ROW(T_BATTINGDATA[[#Headers],[BATSMAN NAME]])),0)&gt;0,0,SUMIF($O$6:O636,T_BATTINGDATA[[#This Row],[BATSMAN NAME]],$E$6:E636)),SUMIF($O$6:O636,T_BATTINGDATA[[#This Row],[BATSMAN NAME]],$E$6:E636))</f>
        <v>0</v>
      </c>
    </row>
    <row r="637" spans="1:16" x14ac:dyDescent="0.3">
      <c r="A637">
        <v>27</v>
      </c>
      <c r="B637" t="s">
        <v>176</v>
      </c>
      <c r="C637" t="s">
        <v>452</v>
      </c>
      <c r="D637" t="s">
        <v>746</v>
      </c>
      <c r="E637">
        <v>26</v>
      </c>
      <c r="F637">
        <v>27</v>
      </c>
      <c r="G637">
        <v>16</v>
      </c>
      <c r="H637">
        <v>1</v>
      </c>
      <c r="I637">
        <v>2</v>
      </c>
      <c r="J637">
        <v>162.5</v>
      </c>
      <c r="K637">
        <v>6</v>
      </c>
      <c r="L637" t="str">
        <f>CONCATENATE(T_BATTINGDATA[[#This Row],[Match]],T_BATTINGDATA[[#This Row],[Team]],T_BATTINGDATA[[#This Row],[Bat Number]])</f>
        <v>27Scotland6</v>
      </c>
      <c r="M637" t="str">
        <f>IFERROR(IF(AND(T_BATTINGDATA[[#This Row],[Team]]=I_TEAM,IFERROR(IF(MATCH(T_BATTINGDATA[[#This Row],[BATSMAN NAME]],$O$5:O636,0)&gt;0,0),1)),1,0),"")</f>
        <v/>
      </c>
      <c r="N637" t="e">
        <f>IF(T_BATTINGDATA[[#This Row],[Team]]=I_TEAM,T_BATTINGDATA[[#This Row],[R]],0)</f>
        <v>#REF!</v>
      </c>
      <c r="O637" t="str">
        <f>LEFT(T_BATTINGDATA[[#This Row],[Batsman]],IFERROR(FIND("*",T_BATTINGDATA[[#This Row],[Batsman]])-1,IFERROR(FIND("†",T_BATTINGDATA[[#This Row],[Batsman]])-1,LEN(T_BATTINGDATA[[#This Row],[Batsman]]))))</f>
        <v>RD Berrington</v>
      </c>
      <c r="P637">
        <f ca="1">IFERROR(IF(MATCH(T_BATTINGDATA[[#This Row],[BATSMAN NAME]],OFFSET(O638,0,0,BATROWS-ROW(O637)-ROW(T_BATTINGDATA[[#Headers],[BATSMAN NAME]])),0)&gt;0,0,SUMIF($O$6:O637,T_BATTINGDATA[[#This Row],[BATSMAN NAME]],$E$6:E637)),SUMIF($O$6:O637,T_BATTINGDATA[[#This Row],[BATSMAN NAME]],$E$6:E637))</f>
        <v>0</v>
      </c>
    </row>
    <row r="638" spans="1:16" x14ac:dyDescent="0.3">
      <c r="A638">
        <v>27</v>
      </c>
      <c r="B638" t="s">
        <v>176</v>
      </c>
      <c r="C638" t="s">
        <v>453</v>
      </c>
      <c r="D638" t="s">
        <v>747</v>
      </c>
      <c r="E638">
        <v>20</v>
      </c>
      <c r="F638">
        <v>23</v>
      </c>
      <c r="G638">
        <v>14</v>
      </c>
      <c r="H638">
        <v>1</v>
      </c>
      <c r="I638">
        <v>1</v>
      </c>
      <c r="J638">
        <v>142.85</v>
      </c>
      <c r="K638">
        <v>7</v>
      </c>
      <c r="L638" t="str">
        <f>CONCATENATE(T_BATTINGDATA[[#This Row],[Match]],T_BATTINGDATA[[#This Row],[Team]],T_BATTINGDATA[[#This Row],[Bat Number]])</f>
        <v>27Scotland7</v>
      </c>
      <c r="M638" t="str">
        <f>IFERROR(IF(AND(T_BATTINGDATA[[#This Row],[Team]]=I_TEAM,IFERROR(IF(MATCH(T_BATTINGDATA[[#This Row],[BATSMAN NAME]],$O$5:O637,0)&gt;0,0),1)),1,0),"")</f>
        <v/>
      </c>
      <c r="N638" t="e">
        <f>IF(T_BATTINGDATA[[#This Row],[Team]]=I_TEAM,T_BATTINGDATA[[#This Row],[R]],0)</f>
        <v>#REF!</v>
      </c>
      <c r="O638" t="str">
        <f>LEFT(T_BATTINGDATA[[#This Row],[Batsman]],IFERROR(FIND("*",T_BATTINGDATA[[#This Row],[Batsman]])-1,IFERROR(FIND("†",T_BATTINGDATA[[#This Row],[Batsman]])-1,LEN(T_BATTINGDATA[[#This Row],[Batsman]]))))</f>
        <v>MH Cross</v>
      </c>
      <c r="P638">
        <f ca="1">IFERROR(IF(MATCH(T_BATTINGDATA[[#This Row],[BATSMAN NAME]],OFFSET(O639,0,0,BATROWS-ROW(O638)-ROW(T_BATTINGDATA[[#Headers],[BATSMAN NAME]])),0)&gt;0,0,SUMIF($O$6:O638,T_BATTINGDATA[[#This Row],[BATSMAN NAME]],$E$6:E638)),SUMIF($O$6:O638,T_BATTINGDATA[[#This Row],[BATSMAN NAME]],$E$6:E638))</f>
        <v>0</v>
      </c>
    </row>
    <row r="639" spans="1:16" x14ac:dyDescent="0.3">
      <c r="A639">
        <v>27</v>
      </c>
      <c r="B639" t="s">
        <v>176</v>
      </c>
      <c r="C639" t="s">
        <v>384</v>
      </c>
      <c r="D639" t="s">
        <v>167</v>
      </c>
      <c r="E639">
        <v>4</v>
      </c>
      <c r="F639">
        <v>8</v>
      </c>
      <c r="G639">
        <v>3</v>
      </c>
      <c r="H639">
        <v>0</v>
      </c>
      <c r="I639">
        <v>0</v>
      </c>
      <c r="J639">
        <v>133.33000000000001</v>
      </c>
      <c r="K639">
        <v>8</v>
      </c>
      <c r="L639" t="str">
        <f>CONCATENATE(T_BATTINGDATA[[#This Row],[Match]],T_BATTINGDATA[[#This Row],[Team]],T_BATTINGDATA[[#This Row],[Bat Number]])</f>
        <v>27Scotland8</v>
      </c>
      <c r="M639" t="str">
        <f>IFERROR(IF(AND(T_BATTINGDATA[[#This Row],[Team]]=I_TEAM,IFERROR(IF(MATCH(T_BATTINGDATA[[#This Row],[BATSMAN NAME]],$O$5:O638,0)&gt;0,0),1)),1,0),"")</f>
        <v/>
      </c>
      <c r="N639" t="e">
        <f>IF(T_BATTINGDATA[[#This Row],[Team]]=I_TEAM,T_BATTINGDATA[[#This Row],[R]],0)</f>
        <v>#REF!</v>
      </c>
      <c r="O639" t="str">
        <f>LEFT(T_BATTINGDATA[[#This Row],[Batsman]],IFERROR(FIND("*",T_BATTINGDATA[[#This Row],[Batsman]])-1,IFERROR(FIND("†",T_BATTINGDATA[[#This Row],[Batsman]])-1,LEN(T_BATTINGDATA[[#This Row],[Batsman]]))))</f>
        <v>JH Davey</v>
      </c>
      <c r="P639">
        <f ca="1">IFERROR(IF(MATCH(T_BATTINGDATA[[#This Row],[BATSMAN NAME]],OFFSET(O640,0,0,BATROWS-ROW(O639)-ROW(T_BATTINGDATA[[#Headers],[BATSMAN NAME]])),0)&gt;0,0,SUMIF($O$6:O639,T_BATTINGDATA[[#This Row],[BATSMAN NAME]],$E$6:E639)),SUMIF($O$6:O639,T_BATTINGDATA[[#This Row],[BATSMAN NAME]],$E$6:E639))</f>
        <v>0</v>
      </c>
    </row>
    <row r="640" spans="1:16" x14ac:dyDescent="0.3">
      <c r="A640">
        <v>27</v>
      </c>
      <c r="B640" t="s">
        <v>176</v>
      </c>
      <c r="C640" t="s">
        <v>387</v>
      </c>
      <c r="D640" t="s">
        <v>748</v>
      </c>
      <c r="E640">
        <v>1</v>
      </c>
      <c r="F640">
        <v>2</v>
      </c>
      <c r="G640">
        <v>3</v>
      </c>
      <c r="H640">
        <v>0</v>
      </c>
      <c r="I640">
        <v>0</v>
      </c>
      <c r="J640">
        <v>33.33</v>
      </c>
      <c r="K640">
        <v>9</v>
      </c>
      <c r="L640" t="str">
        <f>CONCATENATE(T_BATTINGDATA[[#This Row],[Match]],T_BATTINGDATA[[#This Row],[Team]],T_BATTINGDATA[[#This Row],[Bat Number]])</f>
        <v>27Scotland9</v>
      </c>
      <c r="M640" t="str">
        <f>IFERROR(IF(AND(T_BATTINGDATA[[#This Row],[Team]]=I_TEAM,IFERROR(IF(MATCH(T_BATTINGDATA[[#This Row],[BATSMAN NAME]],$O$5:O639,0)&gt;0,0),1)),1,0),"")</f>
        <v/>
      </c>
      <c r="N640" t="e">
        <f>IF(T_BATTINGDATA[[#This Row],[Team]]=I_TEAM,T_BATTINGDATA[[#This Row],[R]],0)</f>
        <v>#REF!</v>
      </c>
      <c r="O640" t="str">
        <f>LEFT(T_BATTINGDATA[[#This Row],[Batsman]],IFERROR(FIND("*",T_BATTINGDATA[[#This Row],[Batsman]])-1,IFERROR(FIND("†",T_BATTINGDATA[[#This Row],[Batsman]])-1,LEN(T_BATTINGDATA[[#This Row],[Batsman]]))))</f>
        <v>RM Haq</v>
      </c>
      <c r="P640">
        <f ca="1">IFERROR(IF(MATCH(T_BATTINGDATA[[#This Row],[BATSMAN NAME]],OFFSET(O641,0,0,BATROWS-ROW(O640)-ROW(T_BATTINGDATA[[#Headers],[BATSMAN NAME]])),0)&gt;0,0,SUMIF($O$6:O640,T_BATTINGDATA[[#This Row],[BATSMAN NAME]],$E$6:E640)),SUMIF($O$6:O640,T_BATTINGDATA[[#This Row],[BATSMAN NAME]],$E$6:E640))</f>
        <v>47</v>
      </c>
    </row>
    <row r="641" spans="1:16" x14ac:dyDescent="0.3">
      <c r="A641">
        <v>27</v>
      </c>
      <c r="B641" t="s">
        <v>176</v>
      </c>
      <c r="C641" t="s">
        <v>461</v>
      </c>
      <c r="D641" t="s">
        <v>167</v>
      </c>
      <c r="E641">
        <v>0</v>
      </c>
      <c r="F641">
        <v>1</v>
      </c>
      <c r="G641">
        <v>0</v>
      </c>
      <c r="H641">
        <v>0</v>
      </c>
      <c r="I641">
        <v>0</v>
      </c>
      <c r="J641" t="s">
        <v>348</v>
      </c>
      <c r="K641">
        <v>10</v>
      </c>
      <c r="L641" t="str">
        <f>CONCATENATE(T_BATTINGDATA[[#This Row],[Match]],T_BATTINGDATA[[#This Row],[Team]],T_BATTINGDATA[[#This Row],[Bat Number]])</f>
        <v>27Scotland10</v>
      </c>
      <c r="M641" t="str">
        <f>IFERROR(IF(AND(T_BATTINGDATA[[#This Row],[Team]]=I_TEAM,IFERROR(IF(MATCH(T_BATTINGDATA[[#This Row],[BATSMAN NAME]],$O$5:O640,0)&gt;0,0),1)),1,0),"")</f>
        <v/>
      </c>
      <c r="N641" t="e">
        <f>IF(T_BATTINGDATA[[#This Row],[Team]]=I_TEAM,T_BATTINGDATA[[#This Row],[R]],0)</f>
        <v>#REF!</v>
      </c>
      <c r="O641" t="str">
        <f>LEFT(T_BATTINGDATA[[#This Row],[Batsman]],IFERROR(FIND("*",T_BATTINGDATA[[#This Row],[Batsman]])-1,IFERROR(FIND("†",T_BATTINGDATA[[#This Row],[Batsman]])-1,LEN(T_BATTINGDATA[[#This Row],[Batsman]]))))</f>
        <v>AC Evans</v>
      </c>
      <c r="P641">
        <f ca="1">IFERROR(IF(MATCH(T_BATTINGDATA[[#This Row],[BATSMAN NAME]],OFFSET(O642,0,0,BATROWS-ROW(O641)-ROW(T_BATTINGDATA[[#Headers],[BATSMAN NAME]])),0)&gt;0,0,SUMIF($O$6:O641,T_BATTINGDATA[[#This Row],[BATSMAN NAME]],$E$6:E641)),SUMIF($O$6:O641,T_BATTINGDATA[[#This Row],[BATSMAN NAME]],$E$6:E641))</f>
        <v>0</v>
      </c>
    </row>
    <row r="642" spans="1:16" x14ac:dyDescent="0.3">
      <c r="A642">
        <v>27</v>
      </c>
      <c r="B642" t="s">
        <v>181</v>
      </c>
      <c r="C642" t="s">
        <v>335</v>
      </c>
      <c r="D642" t="s">
        <v>656</v>
      </c>
      <c r="E642">
        <v>95</v>
      </c>
      <c r="F642">
        <v>132</v>
      </c>
      <c r="G642">
        <v>100</v>
      </c>
      <c r="H642">
        <v>9</v>
      </c>
      <c r="I642">
        <v>1</v>
      </c>
      <c r="J642">
        <v>95</v>
      </c>
      <c r="K642">
        <v>1</v>
      </c>
      <c r="L642" t="str">
        <f>CONCATENATE(T_BATTINGDATA[[#This Row],[Match]],T_BATTINGDATA[[#This Row],[Team]],T_BATTINGDATA[[#This Row],[Bat Number]])</f>
        <v>27Bangladesh1</v>
      </c>
      <c r="M642" t="str">
        <f>IFERROR(IF(AND(T_BATTINGDATA[[#This Row],[Team]]=I_TEAM,IFERROR(IF(MATCH(T_BATTINGDATA[[#This Row],[BATSMAN NAME]],$O$5:O641,0)&gt;0,0),1)),1,0),"")</f>
        <v/>
      </c>
      <c r="N642" t="e">
        <f>IF(T_BATTINGDATA[[#This Row],[Team]]=I_TEAM,T_BATTINGDATA[[#This Row],[R]],0)</f>
        <v>#REF!</v>
      </c>
      <c r="O642" t="str">
        <f>LEFT(T_BATTINGDATA[[#This Row],[Batsman]],IFERROR(FIND("*",T_BATTINGDATA[[#This Row],[Batsman]])-1,IFERROR(FIND("†",T_BATTINGDATA[[#This Row],[Batsman]])-1,LEN(T_BATTINGDATA[[#This Row],[Batsman]]))))</f>
        <v>Tamim Iqbal</v>
      </c>
      <c r="P642">
        <f ca="1">IFERROR(IF(MATCH(T_BATTINGDATA[[#This Row],[BATSMAN NAME]],OFFSET(O643,0,0,BATROWS-ROW(O642)-ROW(T_BATTINGDATA[[#Headers],[BATSMAN NAME]])),0)&gt;0,0,SUMIF($O$6:O642,T_BATTINGDATA[[#This Row],[BATSMAN NAME]],$E$6:E642)),SUMIF($O$6:O642,T_BATTINGDATA[[#This Row],[BATSMAN NAME]],$E$6:E642))</f>
        <v>0</v>
      </c>
    </row>
    <row r="643" spans="1:16" x14ac:dyDescent="0.3">
      <c r="A643">
        <v>27</v>
      </c>
      <c r="B643" t="s">
        <v>181</v>
      </c>
      <c r="C643" t="s">
        <v>339</v>
      </c>
      <c r="D643" t="s">
        <v>460</v>
      </c>
      <c r="E643">
        <v>2</v>
      </c>
      <c r="F643">
        <v>7</v>
      </c>
      <c r="G643">
        <v>5</v>
      </c>
      <c r="H643">
        <v>0</v>
      </c>
      <c r="I643">
        <v>0</v>
      </c>
      <c r="J643">
        <v>40</v>
      </c>
      <c r="K643">
        <v>2</v>
      </c>
      <c r="L643" t="str">
        <f>CONCATENATE(T_BATTINGDATA[[#This Row],[Match]],T_BATTINGDATA[[#This Row],[Team]],T_BATTINGDATA[[#This Row],[Bat Number]])</f>
        <v>27Bangladesh2</v>
      </c>
      <c r="M643" t="str">
        <f>IFERROR(IF(AND(T_BATTINGDATA[[#This Row],[Team]]=I_TEAM,IFERROR(IF(MATCH(T_BATTINGDATA[[#This Row],[BATSMAN NAME]],$O$5:O642,0)&gt;0,0),1)),1,0),"")</f>
        <v/>
      </c>
      <c r="N643" t="e">
        <f>IF(T_BATTINGDATA[[#This Row],[Team]]=I_TEAM,T_BATTINGDATA[[#This Row],[R]],0)</f>
        <v>#REF!</v>
      </c>
      <c r="O643" t="str">
        <f>LEFT(T_BATTINGDATA[[#This Row],[Batsman]],IFERROR(FIND("*",T_BATTINGDATA[[#This Row],[Batsman]])-1,IFERROR(FIND("†",T_BATTINGDATA[[#This Row],[Batsman]])-1,LEN(T_BATTINGDATA[[#This Row],[Batsman]]))))</f>
        <v>Soumya Sarkar</v>
      </c>
      <c r="P643">
        <f ca="1">IFERROR(IF(MATCH(T_BATTINGDATA[[#This Row],[BATSMAN NAME]],OFFSET(O644,0,0,BATROWS-ROW(O643)-ROW(T_BATTINGDATA[[#Headers],[BATSMAN NAME]])),0)&gt;0,0,SUMIF($O$6:O643,T_BATTINGDATA[[#This Row],[BATSMAN NAME]],$E$6:E643)),SUMIF($O$6:O643,T_BATTINGDATA[[#This Row],[BATSMAN NAME]],$E$6:E643))</f>
        <v>0</v>
      </c>
    </row>
    <row r="644" spans="1:16" x14ac:dyDescent="0.3">
      <c r="A644">
        <v>27</v>
      </c>
      <c r="B644" t="s">
        <v>181</v>
      </c>
      <c r="C644" t="s">
        <v>275</v>
      </c>
      <c r="D644" t="s">
        <v>749</v>
      </c>
      <c r="E644">
        <v>62</v>
      </c>
      <c r="F644">
        <v>87</v>
      </c>
      <c r="G644">
        <v>62</v>
      </c>
      <c r="H644">
        <v>6</v>
      </c>
      <c r="I644">
        <v>1</v>
      </c>
      <c r="J644">
        <v>100</v>
      </c>
      <c r="K644">
        <v>3</v>
      </c>
      <c r="L644" t="str">
        <f>CONCATENATE(T_BATTINGDATA[[#This Row],[Match]],T_BATTINGDATA[[#This Row],[Team]],T_BATTINGDATA[[#This Row],[Bat Number]])</f>
        <v>27Bangladesh3</v>
      </c>
      <c r="M644" t="str">
        <f>IFERROR(IF(AND(T_BATTINGDATA[[#This Row],[Team]]=I_TEAM,IFERROR(IF(MATCH(T_BATTINGDATA[[#This Row],[BATSMAN NAME]],$O$5:O643,0)&gt;0,0),1)),1,0),"")</f>
        <v/>
      </c>
      <c r="N644" t="e">
        <f>IF(T_BATTINGDATA[[#This Row],[Team]]=I_TEAM,T_BATTINGDATA[[#This Row],[R]],0)</f>
        <v>#REF!</v>
      </c>
      <c r="O644" t="str">
        <f>LEFT(T_BATTINGDATA[[#This Row],[Batsman]],IFERROR(FIND("*",T_BATTINGDATA[[#This Row],[Batsman]])-1,IFERROR(FIND("†",T_BATTINGDATA[[#This Row],[Batsman]])-1,LEN(T_BATTINGDATA[[#This Row],[Batsman]]))))</f>
        <v>Mahmudullah</v>
      </c>
      <c r="P644">
        <f ca="1">IFERROR(IF(MATCH(T_BATTINGDATA[[#This Row],[BATSMAN NAME]],OFFSET(O645,0,0,BATROWS-ROW(O644)-ROW(T_BATTINGDATA[[#Headers],[BATSMAN NAME]])),0)&gt;0,0,SUMIF($O$6:O644,T_BATTINGDATA[[#This Row],[BATSMAN NAME]],$E$6:E644)),SUMIF($O$6:O644,T_BATTINGDATA[[#This Row],[BATSMAN NAME]],$E$6:E644))</f>
        <v>0</v>
      </c>
    </row>
    <row r="645" spans="1:16" x14ac:dyDescent="0.3">
      <c r="A645">
        <v>27</v>
      </c>
      <c r="B645" t="s">
        <v>181</v>
      </c>
      <c r="C645" t="s">
        <v>341</v>
      </c>
      <c r="D645" t="s">
        <v>750</v>
      </c>
      <c r="E645">
        <v>60</v>
      </c>
      <c r="F645">
        <v>68</v>
      </c>
      <c r="G645">
        <v>42</v>
      </c>
      <c r="H645">
        <v>6</v>
      </c>
      <c r="I645">
        <v>2</v>
      </c>
      <c r="J645">
        <v>142.85</v>
      </c>
      <c r="K645">
        <v>4</v>
      </c>
      <c r="L645" t="str">
        <f>CONCATENATE(T_BATTINGDATA[[#This Row],[Match]],T_BATTINGDATA[[#This Row],[Team]],T_BATTINGDATA[[#This Row],[Bat Number]])</f>
        <v>27Bangladesh4</v>
      </c>
      <c r="M645" t="str">
        <f>IFERROR(IF(AND(T_BATTINGDATA[[#This Row],[Team]]=I_TEAM,IFERROR(IF(MATCH(T_BATTINGDATA[[#This Row],[BATSMAN NAME]],$O$5:O644,0)&gt;0,0),1)),1,0),"")</f>
        <v/>
      </c>
      <c r="N645" t="e">
        <f>IF(T_BATTINGDATA[[#This Row],[Team]]=I_TEAM,T_BATTINGDATA[[#This Row],[R]],0)</f>
        <v>#REF!</v>
      </c>
      <c r="O645" t="str">
        <f>LEFT(T_BATTINGDATA[[#This Row],[Batsman]],IFERROR(FIND("*",T_BATTINGDATA[[#This Row],[Batsman]])-1,IFERROR(FIND("†",T_BATTINGDATA[[#This Row],[Batsman]])-1,LEN(T_BATTINGDATA[[#This Row],[Batsman]]))))</f>
        <v>Mushfiqur Rahim</v>
      </c>
      <c r="P645">
        <f ca="1">IFERROR(IF(MATCH(T_BATTINGDATA[[#This Row],[BATSMAN NAME]],OFFSET(O646,0,0,BATROWS-ROW(O645)-ROW(T_BATTINGDATA[[#Headers],[BATSMAN NAME]])),0)&gt;0,0,SUMIF($O$6:O645,T_BATTINGDATA[[#This Row],[BATSMAN NAME]],$E$6:E645)),SUMIF($O$6:O645,T_BATTINGDATA[[#This Row],[BATSMAN NAME]],$E$6:E645))</f>
        <v>0</v>
      </c>
    </row>
    <row r="646" spans="1:16" x14ac:dyDescent="0.3">
      <c r="A646">
        <v>27</v>
      </c>
      <c r="B646" t="s">
        <v>181</v>
      </c>
      <c r="C646" t="s">
        <v>280</v>
      </c>
      <c r="D646" t="s">
        <v>167</v>
      </c>
      <c r="E646">
        <v>52</v>
      </c>
      <c r="F646">
        <v>77</v>
      </c>
      <c r="G646">
        <v>41</v>
      </c>
      <c r="H646">
        <v>5</v>
      </c>
      <c r="I646">
        <v>1</v>
      </c>
      <c r="J646">
        <v>126.82</v>
      </c>
      <c r="K646">
        <v>5</v>
      </c>
      <c r="L646" t="str">
        <f>CONCATENATE(T_BATTINGDATA[[#This Row],[Match]],T_BATTINGDATA[[#This Row],[Team]],T_BATTINGDATA[[#This Row],[Bat Number]])</f>
        <v>27Bangladesh5</v>
      </c>
      <c r="M646" t="str">
        <f>IFERROR(IF(AND(T_BATTINGDATA[[#This Row],[Team]]=I_TEAM,IFERROR(IF(MATCH(T_BATTINGDATA[[#This Row],[BATSMAN NAME]],$O$5:O645,0)&gt;0,0),1)),1,0),"")</f>
        <v/>
      </c>
      <c r="N646" t="e">
        <f>IF(T_BATTINGDATA[[#This Row],[Team]]=I_TEAM,T_BATTINGDATA[[#This Row],[R]],0)</f>
        <v>#REF!</v>
      </c>
      <c r="O646" t="str">
        <f>LEFT(T_BATTINGDATA[[#This Row],[Batsman]],IFERROR(FIND("*",T_BATTINGDATA[[#This Row],[Batsman]])-1,IFERROR(FIND("†",T_BATTINGDATA[[#This Row],[Batsman]])-1,LEN(T_BATTINGDATA[[#This Row],[Batsman]]))))</f>
        <v>Shakib Al Hasan</v>
      </c>
      <c r="P646">
        <f ca="1">IFERROR(IF(MATCH(T_BATTINGDATA[[#This Row],[BATSMAN NAME]],OFFSET(O647,0,0,BATROWS-ROW(O646)-ROW(T_BATTINGDATA[[#Headers],[BATSMAN NAME]])),0)&gt;0,0,SUMIF($O$6:O646,T_BATTINGDATA[[#This Row],[BATSMAN NAME]],$E$6:E646)),SUMIF($O$6:O646,T_BATTINGDATA[[#This Row],[BATSMAN NAME]],$E$6:E646))</f>
        <v>0</v>
      </c>
    </row>
    <row r="647" spans="1:16" x14ac:dyDescent="0.3">
      <c r="A647">
        <v>27</v>
      </c>
      <c r="B647" t="s">
        <v>181</v>
      </c>
      <c r="C647" t="s">
        <v>342</v>
      </c>
      <c r="D647" t="s">
        <v>167</v>
      </c>
      <c r="E647">
        <v>42</v>
      </c>
      <c r="F647">
        <v>46</v>
      </c>
      <c r="G647">
        <v>40</v>
      </c>
      <c r="H647">
        <v>4</v>
      </c>
      <c r="I647">
        <v>2</v>
      </c>
      <c r="J647">
        <v>105</v>
      </c>
      <c r="K647">
        <v>6</v>
      </c>
      <c r="L647" t="str">
        <f>CONCATENATE(T_BATTINGDATA[[#This Row],[Match]],T_BATTINGDATA[[#This Row],[Team]],T_BATTINGDATA[[#This Row],[Bat Number]])</f>
        <v>27Bangladesh6</v>
      </c>
      <c r="M647" t="str">
        <f>IFERROR(IF(AND(T_BATTINGDATA[[#This Row],[Team]]=I_TEAM,IFERROR(IF(MATCH(T_BATTINGDATA[[#This Row],[BATSMAN NAME]],$O$5:O646,0)&gt;0,0),1)),1,0),"")</f>
        <v/>
      </c>
      <c r="N647" t="e">
        <f>IF(T_BATTINGDATA[[#This Row],[Team]]=I_TEAM,T_BATTINGDATA[[#This Row],[R]],0)</f>
        <v>#REF!</v>
      </c>
      <c r="O647" t="str">
        <f>LEFT(T_BATTINGDATA[[#This Row],[Batsman]],IFERROR(FIND("*",T_BATTINGDATA[[#This Row],[Batsman]])-1,IFERROR(FIND("†",T_BATTINGDATA[[#This Row],[Batsman]])-1,LEN(T_BATTINGDATA[[#This Row],[Batsman]]))))</f>
        <v>Sabbir Rahman</v>
      </c>
      <c r="P647">
        <f ca="1">IFERROR(IF(MATCH(T_BATTINGDATA[[#This Row],[BATSMAN NAME]],OFFSET(O648,0,0,BATROWS-ROW(O647)-ROW(T_BATTINGDATA[[#Headers],[BATSMAN NAME]])),0)&gt;0,0,SUMIF($O$6:O647,T_BATTINGDATA[[#This Row],[BATSMAN NAME]],$E$6:E647)),SUMIF($O$6:O647,T_BATTINGDATA[[#This Row],[BATSMAN NAME]],$E$6:E647))</f>
        <v>0</v>
      </c>
    </row>
    <row r="648" spans="1:16" x14ac:dyDescent="0.3">
      <c r="A648">
        <v>29</v>
      </c>
      <c r="B648" t="s">
        <v>153</v>
      </c>
      <c r="C648" t="s">
        <v>590</v>
      </c>
      <c r="D648" t="s">
        <v>751</v>
      </c>
      <c r="E648">
        <v>49</v>
      </c>
      <c r="F648">
        <v>62</v>
      </c>
      <c r="G648">
        <v>49</v>
      </c>
      <c r="H648">
        <v>5</v>
      </c>
      <c r="I648">
        <v>3</v>
      </c>
      <c r="J648">
        <v>100</v>
      </c>
      <c r="K648">
        <v>1</v>
      </c>
      <c r="L648" t="str">
        <f>CONCATENATE(T_BATTINGDATA[[#This Row],[Match]],T_BATTINGDATA[[#This Row],[Team]],T_BATTINGDATA[[#This Row],[Bat Number]])</f>
        <v>29Pakistan1</v>
      </c>
      <c r="M648" t="str">
        <f>IFERROR(IF(AND(T_BATTINGDATA[[#This Row],[Team]]=I_TEAM,IFERROR(IF(MATCH(T_BATTINGDATA[[#This Row],[BATSMAN NAME]],$O$5:O647,0)&gt;0,0),1)),1,0),"")</f>
        <v/>
      </c>
      <c r="N648" t="e">
        <f>IF(T_BATTINGDATA[[#This Row],[Team]]=I_TEAM,T_BATTINGDATA[[#This Row],[R]],0)</f>
        <v>#REF!</v>
      </c>
      <c r="O648" t="str">
        <f>LEFT(T_BATTINGDATA[[#This Row],[Batsman]],IFERROR(FIND("*",T_BATTINGDATA[[#This Row],[Batsman]])-1,IFERROR(FIND("†",T_BATTINGDATA[[#This Row],[Batsman]])-1,LEN(T_BATTINGDATA[[#This Row],[Batsman]]))))</f>
        <v>Sarfraz Ahmed</v>
      </c>
      <c r="P648">
        <f ca="1">IFERROR(IF(MATCH(T_BATTINGDATA[[#This Row],[BATSMAN NAME]],OFFSET(O649,0,0,BATROWS-ROW(O648)-ROW(T_BATTINGDATA[[#Headers],[BATSMAN NAME]])),0)&gt;0,0,SUMIF($O$6:O648,T_BATTINGDATA[[#This Row],[BATSMAN NAME]],$E$6:E648)),SUMIF($O$6:O648,T_BATTINGDATA[[#This Row],[BATSMAN NAME]],$E$6:E648))</f>
        <v>59</v>
      </c>
    </row>
    <row r="649" spans="1:16" x14ac:dyDescent="0.3">
      <c r="A649">
        <v>29</v>
      </c>
      <c r="B649" t="s">
        <v>153</v>
      </c>
      <c r="C649" t="s">
        <v>202</v>
      </c>
      <c r="D649" t="s">
        <v>752</v>
      </c>
      <c r="E649">
        <v>18</v>
      </c>
      <c r="F649">
        <v>34</v>
      </c>
      <c r="G649">
        <v>30</v>
      </c>
      <c r="H649">
        <v>4</v>
      </c>
      <c r="I649">
        <v>0</v>
      </c>
      <c r="J649">
        <v>60</v>
      </c>
      <c r="K649">
        <v>2</v>
      </c>
      <c r="L649" t="str">
        <f>CONCATENATE(T_BATTINGDATA[[#This Row],[Match]],T_BATTINGDATA[[#This Row],[Team]],T_BATTINGDATA[[#This Row],[Bat Number]])</f>
        <v>29Pakistan2</v>
      </c>
      <c r="M649" t="str">
        <f>IFERROR(IF(AND(T_BATTINGDATA[[#This Row],[Team]]=I_TEAM,IFERROR(IF(MATCH(T_BATTINGDATA[[#This Row],[BATSMAN NAME]],$O$5:O648,0)&gt;0,0),1)),1,0),"")</f>
        <v/>
      </c>
      <c r="N649" t="e">
        <f>IF(T_BATTINGDATA[[#This Row],[Team]]=I_TEAM,T_BATTINGDATA[[#This Row],[R]],0)</f>
        <v>#REF!</v>
      </c>
      <c r="O649" t="str">
        <f>LEFT(T_BATTINGDATA[[#This Row],[Batsman]],IFERROR(FIND("*",T_BATTINGDATA[[#This Row],[Batsman]])-1,IFERROR(FIND("†",T_BATTINGDATA[[#This Row],[Batsman]])-1,LEN(T_BATTINGDATA[[#This Row],[Batsman]]))))</f>
        <v>Ahmed Shehzad</v>
      </c>
      <c r="P649">
        <f ca="1">IFERROR(IF(MATCH(T_BATTINGDATA[[#This Row],[BATSMAN NAME]],OFFSET(O650,0,0,BATROWS-ROW(O649)-ROW(T_BATTINGDATA[[#Headers],[BATSMAN NAME]])),0)&gt;0,0,SUMIF($O$6:O649,T_BATTINGDATA[[#This Row],[BATSMAN NAME]],$E$6:E649)),SUMIF($O$6:O649,T_BATTINGDATA[[#This Row],[BATSMAN NAME]],$E$6:E649))</f>
        <v>164</v>
      </c>
    </row>
    <row r="650" spans="1:16" x14ac:dyDescent="0.3">
      <c r="A650">
        <v>29</v>
      </c>
      <c r="B650" t="s">
        <v>153</v>
      </c>
      <c r="C650" t="s">
        <v>205</v>
      </c>
      <c r="D650" t="s">
        <v>753</v>
      </c>
      <c r="E650">
        <v>37</v>
      </c>
      <c r="F650">
        <v>68</v>
      </c>
      <c r="G650">
        <v>44</v>
      </c>
      <c r="H650">
        <v>4</v>
      </c>
      <c r="I650">
        <v>0</v>
      </c>
      <c r="J650">
        <v>84.09</v>
      </c>
      <c r="K650">
        <v>3</v>
      </c>
      <c r="L650" t="str">
        <f>CONCATENATE(T_BATTINGDATA[[#This Row],[Match]],T_BATTINGDATA[[#This Row],[Team]],T_BATTINGDATA[[#This Row],[Bat Number]])</f>
        <v>29Pakistan3</v>
      </c>
      <c r="M650" t="str">
        <f>IFERROR(IF(AND(T_BATTINGDATA[[#This Row],[Team]]=I_TEAM,IFERROR(IF(MATCH(T_BATTINGDATA[[#This Row],[BATSMAN NAME]],$O$5:O649,0)&gt;0,0),1)),1,0),"")</f>
        <v/>
      </c>
      <c r="N650" t="e">
        <f>IF(T_BATTINGDATA[[#This Row],[Team]]=I_TEAM,T_BATTINGDATA[[#This Row],[R]],0)</f>
        <v>#REF!</v>
      </c>
      <c r="O650" t="str">
        <f>LEFT(T_BATTINGDATA[[#This Row],[Batsman]],IFERROR(FIND("*",T_BATTINGDATA[[#This Row],[Batsman]])-1,IFERROR(FIND("†",T_BATTINGDATA[[#This Row],[Batsman]])-1,LEN(T_BATTINGDATA[[#This Row],[Batsman]]))))</f>
        <v>Younis Khan</v>
      </c>
      <c r="P650">
        <f ca="1">IFERROR(IF(MATCH(T_BATTINGDATA[[#This Row],[BATSMAN NAME]],OFFSET(O651,0,0,BATROWS-ROW(O650)-ROW(T_BATTINGDATA[[#Headers],[BATSMAN NAME]])),0)&gt;0,0,SUMIF($O$6:O650,T_BATTINGDATA[[#This Row],[BATSMAN NAME]],$E$6:E650)),SUMIF($O$6:O650,T_BATTINGDATA[[#This Row],[BATSMAN NAME]],$E$6:E650))</f>
        <v>43</v>
      </c>
    </row>
    <row r="651" spans="1:16" x14ac:dyDescent="0.3">
      <c r="A651">
        <v>29</v>
      </c>
      <c r="B651" t="s">
        <v>153</v>
      </c>
      <c r="C651" t="s">
        <v>209</v>
      </c>
      <c r="D651" t="s">
        <v>754</v>
      </c>
      <c r="E651">
        <v>56</v>
      </c>
      <c r="F651">
        <v>119</v>
      </c>
      <c r="G651">
        <v>86</v>
      </c>
      <c r="H651">
        <v>4</v>
      </c>
      <c r="I651">
        <v>0</v>
      </c>
      <c r="J651">
        <v>65.11</v>
      </c>
      <c r="K651">
        <v>4</v>
      </c>
      <c r="L651" t="str">
        <f>CONCATENATE(T_BATTINGDATA[[#This Row],[Match]],T_BATTINGDATA[[#This Row],[Team]],T_BATTINGDATA[[#This Row],[Bat Number]])</f>
        <v>29Pakistan4</v>
      </c>
      <c r="M651" t="str">
        <f>IFERROR(IF(AND(T_BATTINGDATA[[#This Row],[Team]]=I_TEAM,IFERROR(IF(MATCH(T_BATTINGDATA[[#This Row],[BATSMAN NAME]],$O$5:O650,0)&gt;0,0),1)),1,0),"")</f>
        <v/>
      </c>
      <c r="N651" t="e">
        <f>IF(T_BATTINGDATA[[#This Row],[Team]]=I_TEAM,T_BATTINGDATA[[#This Row],[R]],0)</f>
        <v>#REF!</v>
      </c>
      <c r="O651" t="str">
        <f>LEFT(T_BATTINGDATA[[#This Row],[Batsman]],IFERROR(FIND("*",T_BATTINGDATA[[#This Row],[Batsman]])-1,IFERROR(FIND("†",T_BATTINGDATA[[#This Row],[Batsman]])-1,LEN(T_BATTINGDATA[[#This Row],[Batsman]]))))</f>
        <v>Misbah-ul-Haq</v>
      </c>
      <c r="P651">
        <f ca="1">IFERROR(IF(MATCH(T_BATTINGDATA[[#This Row],[BATSMAN NAME]],OFFSET(O652,0,0,BATROWS-ROW(O651)-ROW(T_BATTINGDATA[[#Headers],[BATSMAN NAME]])),0)&gt;0,0,SUMIF($O$6:O651,T_BATTINGDATA[[#This Row],[BATSMAN NAME]],$E$6:E651)),SUMIF($O$6:O651,T_BATTINGDATA[[#This Row],[BATSMAN NAME]],$E$6:E651))</f>
        <v>311</v>
      </c>
    </row>
    <row r="652" spans="1:16" x14ac:dyDescent="0.3">
      <c r="A652">
        <v>29</v>
      </c>
      <c r="B652" t="s">
        <v>153</v>
      </c>
      <c r="C652" t="s">
        <v>212</v>
      </c>
      <c r="D652" t="s">
        <v>721</v>
      </c>
      <c r="E652">
        <v>8</v>
      </c>
      <c r="F652">
        <v>20</v>
      </c>
      <c r="G652">
        <v>16</v>
      </c>
      <c r="H652">
        <v>1</v>
      </c>
      <c r="I652">
        <v>0</v>
      </c>
      <c r="J652">
        <v>50</v>
      </c>
      <c r="K652">
        <v>5</v>
      </c>
      <c r="L652" t="str">
        <f>CONCATENATE(T_BATTINGDATA[[#This Row],[Match]],T_BATTINGDATA[[#This Row],[Team]],T_BATTINGDATA[[#This Row],[Bat Number]])</f>
        <v>29Pakistan5</v>
      </c>
      <c r="M652" t="str">
        <f>IFERROR(IF(AND(T_BATTINGDATA[[#This Row],[Team]]=I_TEAM,IFERROR(IF(MATCH(T_BATTINGDATA[[#This Row],[BATSMAN NAME]],$O$5:O651,0)&gt;0,0),1)),1,0),"")</f>
        <v/>
      </c>
      <c r="N652" t="e">
        <f>IF(T_BATTINGDATA[[#This Row],[Team]]=I_TEAM,T_BATTINGDATA[[#This Row],[R]],0)</f>
        <v>#REF!</v>
      </c>
      <c r="O652" t="str">
        <f>LEFT(T_BATTINGDATA[[#This Row],[Batsman]],IFERROR(FIND("*",T_BATTINGDATA[[#This Row],[Batsman]])-1,IFERROR(FIND("†",T_BATTINGDATA[[#This Row],[Batsman]])-1,LEN(T_BATTINGDATA[[#This Row],[Batsman]]))))</f>
        <v>Sohaib Maqsood</v>
      </c>
      <c r="P652">
        <f ca="1">IFERROR(IF(MATCH(T_BATTINGDATA[[#This Row],[BATSMAN NAME]],OFFSET(O653,0,0,BATROWS-ROW(O652)-ROW(T_BATTINGDATA[[#Headers],[BATSMAN NAME]])),0)&gt;0,0,SUMIF($O$6:O652,T_BATTINGDATA[[#This Row],[BATSMAN NAME]],$E$6:E652)),SUMIF($O$6:O652,T_BATTINGDATA[[#This Row],[BATSMAN NAME]],$E$6:E652))</f>
        <v>153</v>
      </c>
    </row>
    <row r="653" spans="1:16" x14ac:dyDescent="0.3">
      <c r="A653">
        <v>29</v>
      </c>
      <c r="B653" t="s">
        <v>153</v>
      </c>
      <c r="C653" t="s">
        <v>593</v>
      </c>
      <c r="D653" t="s">
        <v>678</v>
      </c>
      <c r="E653">
        <v>13</v>
      </c>
      <c r="F653">
        <v>22</v>
      </c>
      <c r="G653">
        <v>20</v>
      </c>
      <c r="H653">
        <v>2</v>
      </c>
      <c r="I653">
        <v>0</v>
      </c>
      <c r="J653">
        <v>65</v>
      </c>
      <c r="K653">
        <v>6</v>
      </c>
      <c r="L653" t="str">
        <f>CONCATENATE(T_BATTINGDATA[[#This Row],[Match]],T_BATTINGDATA[[#This Row],[Team]],T_BATTINGDATA[[#This Row],[Bat Number]])</f>
        <v>29Pakistan6</v>
      </c>
      <c r="M653" t="str">
        <f>IFERROR(IF(AND(T_BATTINGDATA[[#This Row],[Team]]=I_TEAM,IFERROR(IF(MATCH(T_BATTINGDATA[[#This Row],[BATSMAN NAME]],$O$5:O652,0)&gt;0,0),1)),1,0),"")</f>
        <v/>
      </c>
      <c r="N653" t="e">
        <f>IF(T_BATTINGDATA[[#This Row],[Team]]=I_TEAM,T_BATTINGDATA[[#This Row],[R]],0)</f>
        <v>#REF!</v>
      </c>
      <c r="O653" t="str">
        <f>LEFT(T_BATTINGDATA[[#This Row],[Batsman]],IFERROR(FIND("*",T_BATTINGDATA[[#This Row],[Batsman]])-1,IFERROR(FIND("†",T_BATTINGDATA[[#This Row],[Batsman]])-1,LEN(T_BATTINGDATA[[#This Row],[Batsman]]))))</f>
        <v>Umar Akmal</v>
      </c>
      <c r="P653">
        <f ca="1">IFERROR(IF(MATCH(T_BATTINGDATA[[#This Row],[BATSMAN NAME]],OFFSET(O654,0,0,BATROWS-ROW(O653)-ROW(T_BATTINGDATA[[#Headers],[BATSMAN NAME]])),0)&gt;0,0,SUMIF($O$6:O653,T_BATTINGDATA[[#This Row],[BATSMAN NAME]],$E$6:E653)),SUMIF($O$6:O653,T_BATTINGDATA[[#This Row],[BATSMAN NAME]],$E$6:E653))</f>
        <v>144</v>
      </c>
    </row>
    <row r="654" spans="1:16" x14ac:dyDescent="0.3">
      <c r="A654">
        <v>29</v>
      </c>
      <c r="B654" t="s">
        <v>153</v>
      </c>
      <c r="C654" t="s">
        <v>188</v>
      </c>
      <c r="D654" t="s">
        <v>755</v>
      </c>
      <c r="E654">
        <v>22</v>
      </c>
      <c r="F654">
        <v>21</v>
      </c>
      <c r="G654">
        <v>15</v>
      </c>
      <c r="H654">
        <v>1</v>
      </c>
      <c r="I654">
        <v>2</v>
      </c>
      <c r="J654">
        <v>146.66</v>
      </c>
      <c r="K654">
        <v>7</v>
      </c>
      <c r="L654" t="str">
        <f>CONCATENATE(T_BATTINGDATA[[#This Row],[Match]],T_BATTINGDATA[[#This Row],[Team]],T_BATTINGDATA[[#This Row],[Bat Number]])</f>
        <v>29Pakistan7</v>
      </c>
      <c r="M654" t="str">
        <f>IFERROR(IF(AND(T_BATTINGDATA[[#This Row],[Team]]=I_TEAM,IFERROR(IF(MATCH(T_BATTINGDATA[[#This Row],[BATSMAN NAME]],$O$5:O653,0)&gt;0,0),1)),1,0),"")</f>
        <v/>
      </c>
      <c r="N654" t="e">
        <f>IF(T_BATTINGDATA[[#This Row],[Team]]=I_TEAM,T_BATTINGDATA[[#This Row],[R]],0)</f>
        <v>#REF!</v>
      </c>
      <c r="O654" t="str">
        <f>LEFT(T_BATTINGDATA[[#This Row],[Batsman]],IFERROR(FIND("*",T_BATTINGDATA[[#This Row],[Batsman]])-1,IFERROR(FIND("†",T_BATTINGDATA[[#This Row],[Batsman]])-1,LEN(T_BATTINGDATA[[#This Row],[Batsman]]))))</f>
        <v>Shahid Afridi</v>
      </c>
      <c r="P654">
        <f ca="1">IFERROR(IF(MATCH(T_BATTINGDATA[[#This Row],[BATSMAN NAME]],OFFSET(O655,0,0,BATROWS-ROW(O654)-ROW(T_BATTINGDATA[[#Headers],[BATSMAN NAME]])),0)&gt;0,0,SUMIF($O$6:O654,T_BATTINGDATA[[#This Row],[BATSMAN NAME]],$E$6:E654)),SUMIF($O$6:O654,T_BATTINGDATA[[#This Row],[BATSMAN NAME]],$E$6:E654))</f>
        <v>116</v>
      </c>
    </row>
    <row r="655" spans="1:16" x14ac:dyDescent="0.3">
      <c r="A655">
        <v>29</v>
      </c>
      <c r="B655" t="s">
        <v>153</v>
      </c>
      <c r="C655" t="s">
        <v>189</v>
      </c>
      <c r="D655" t="s">
        <v>680</v>
      </c>
      <c r="E655">
        <v>0</v>
      </c>
      <c r="F655">
        <v>5</v>
      </c>
      <c r="G655">
        <v>1</v>
      </c>
      <c r="H655">
        <v>0</v>
      </c>
      <c r="I655">
        <v>0</v>
      </c>
      <c r="J655">
        <v>0</v>
      </c>
      <c r="K655">
        <v>8</v>
      </c>
      <c r="L655" t="str">
        <f>CONCATENATE(T_BATTINGDATA[[#This Row],[Match]],T_BATTINGDATA[[#This Row],[Team]],T_BATTINGDATA[[#This Row],[Bat Number]])</f>
        <v>29Pakistan8</v>
      </c>
      <c r="M655" t="str">
        <f>IFERROR(IF(AND(T_BATTINGDATA[[#This Row],[Team]]=I_TEAM,IFERROR(IF(MATCH(T_BATTINGDATA[[#This Row],[BATSMAN NAME]],$O$5:O654,0)&gt;0,0),1)),1,0),"")</f>
        <v/>
      </c>
      <c r="N655" t="e">
        <f>IF(T_BATTINGDATA[[#This Row],[Team]]=I_TEAM,T_BATTINGDATA[[#This Row],[R]],0)</f>
        <v>#REF!</v>
      </c>
      <c r="O655" t="str">
        <f>LEFT(T_BATTINGDATA[[#This Row],[Batsman]],IFERROR(FIND("*",T_BATTINGDATA[[#This Row],[Batsman]])-1,IFERROR(FIND("†",T_BATTINGDATA[[#This Row],[Batsman]])-1,LEN(T_BATTINGDATA[[#This Row],[Batsman]]))))</f>
        <v>Wahab Riaz</v>
      </c>
      <c r="P655">
        <f ca="1">IFERROR(IF(MATCH(T_BATTINGDATA[[#This Row],[BATSMAN NAME]],OFFSET(O656,0,0,BATROWS-ROW(O655)-ROW(T_BATTINGDATA[[#Headers],[BATSMAN NAME]])),0)&gt;0,0,SUMIF($O$6:O655,T_BATTINGDATA[[#This Row],[BATSMAN NAME]],$E$6:E655)),SUMIF($O$6:O655,T_BATTINGDATA[[#This Row],[BATSMAN NAME]],$E$6:E655))</f>
        <v>83</v>
      </c>
    </row>
    <row r="656" spans="1:16" x14ac:dyDescent="0.3">
      <c r="A656">
        <v>29</v>
      </c>
      <c r="B656" t="s">
        <v>153</v>
      </c>
      <c r="C656" t="s">
        <v>186</v>
      </c>
      <c r="D656" t="s">
        <v>756</v>
      </c>
      <c r="E656">
        <v>3</v>
      </c>
      <c r="F656">
        <v>21</v>
      </c>
      <c r="G656">
        <v>11</v>
      </c>
      <c r="H656">
        <v>0</v>
      </c>
      <c r="I656">
        <v>0</v>
      </c>
      <c r="J656">
        <v>27.27</v>
      </c>
      <c r="K656">
        <v>9</v>
      </c>
      <c r="L656" t="str">
        <f>CONCATENATE(T_BATTINGDATA[[#This Row],[Match]],T_BATTINGDATA[[#This Row],[Team]],T_BATTINGDATA[[#This Row],[Bat Number]])</f>
        <v>29Pakistan9</v>
      </c>
      <c r="M656" t="str">
        <f>IFERROR(IF(AND(T_BATTINGDATA[[#This Row],[Team]]=I_TEAM,IFERROR(IF(MATCH(T_BATTINGDATA[[#This Row],[BATSMAN NAME]],$O$5:O655,0)&gt;0,0),1)),1,0),"")</f>
        <v/>
      </c>
      <c r="N656" t="e">
        <f>IF(T_BATTINGDATA[[#This Row],[Team]]=I_TEAM,T_BATTINGDATA[[#This Row],[R]],0)</f>
        <v>#REF!</v>
      </c>
      <c r="O656" t="str">
        <f>LEFT(T_BATTINGDATA[[#This Row],[Batsman]],IFERROR(FIND("*",T_BATTINGDATA[[#This Row],[Batsman]])-1,IFERROR(FIND("†",T_BATTINGDATA[[#This Row],[Batsman]])-1,LEN(T_BATTINGDATA[[#This Row],[Batsman]]))))</f>
        <v>Sohail Khan</v>
      </c>
      <c r="P656">
        <f ca="1">IFERROR(IF(MATCH(T_BATTINGDATA[[#This Row],[BATSMAN NAME]],OFFSET(O657,0,0,BATROWS-ROW(O656)-ROW(T_BATTINGDATA[[#Headers],[BATSMAN NAME]])),0)&gt;0,0,SUMIF($O$6:O656,T_BATTINGDATA[[#This Row],[BATSMAN NAME]],$E$6:E656)),SUMIF($O$6:O656,T_BATTINGDATA[[#This Row],[BATSMAN NAME]],$E$6:E656))</f>
        <v>21</v>
      </c>
    </row>
    <row r="657" spans="1:16" x14ac:dyDescent="0.3">
      <c r="A657">
        <v>29</v>
      </c>
      <c r="B657" t="s">
        <v>153</v>
      </c>
      <c r="C657" t="s">
        <v>512</v>
      </c>
      <c r="D657" t="s">
        <v>757</v>
      </c>
      <c r="E657">
        <v>1</v>
      </c>
      <c r="F657">
        <v>8</v>
      </c>
      <c r="G657">
        <v>6</v>
      </c>
      <c r="H657">
        <v>0</v>
      </c>
      <c r="I657">
        <v>0</v>
      </c>
      <c r="J657">
        <v>16.66</v>
      </c>
      <c r="K657">
        <v>10</v>
      </c>
      <c r="L657" t="str">
        <f>CONCATENATE(T_BATTINGDATA[[#This Row],[Match]],T_BATTINGDATA[[#This Row],[Team]],T_BATTINGDATA[[#This Row],[Bat Number]])</f>
        <v>29Pakistan10</v>
      </c>
      <c r="M657" t="str">
        <f>IFERROR(IF(AND(T_BATTINGDATA[[#This Row],[Team]]=I_TEAM,IFERROR(IF(MATCH(T_BATTINGDATA[[#This Row],[BATSMAN NAME]],$O$5:O656,0)&gt;0,0),1)),1,0),"")</f>
        <v/>
      </c>
      <c r="N657" t="e">
        <f>IF(T_BATTINGDATA[[#This Row],[Team]]=I_TEAM,T_BATTINGDATA[[#This Row],[R]],0)</f>
        <v>#REF!</v>
      </c>
      <c r="O657" t="str">
        <f>LEFT(T_BATTINGDATA[[#This Row],[Batsman]],IFERROR(FIND("*",T_BATTINGDATA[[#This Row],[Batsman]])-1,IFERROR(FIND("†",T_BATTINGDATA[[#This Row],[Batsman]])-1,LEN(T_BATTINGDATA[[#This Row],[Batsman]]))))</f>
        <v>Rahat Ali</v>
      </c>
      <c r="P657">
        <f ca="1">IFERROR(IF(MATCH(T_BATTINGDATA[[#This Row],[BATSMAN NAME]],OFFSET(O658,0,0,BATROWS-ROW(O657)-ROW(T_BATTINGDATA[[#Headers],[BATSMAN NAME]])),0)&gt;0,0,SUMIF($O$6:O657,T_BATTINGDATA[[#This Row],[BATSMAN NAME]],$E$6:E657)),SUMIF($O$6:O657,T_BATTINGDATA[[#This Row],[BATSMAN NAME]],$E$6:E657))</f>
        <v>7</v>
      </c>
    </row>
    <row r="658" spans="1:16" x14ac:dyDescent="0.3">
      <c r="A658">
        <v>29</v>
      </c>
      <c r="B658" t="s">
        <v>153</v>
      </c>
      <c r="C658" t="s">
        <v>182</v>
      </c>
      <c r="D658" t="s">
        <v>167</v>
      </c>
      <c r="E658">
        <v>1</v>
      </c>
      <c r="F658">
        <v>5</v>
      </c>
      <c r="G658">
        <v>3</v>
      </c>
      <c r="H658">
        <v>0</v>
      </c>
      <c r="I658">
        <v>0</v>
      </c>
      <c r="J658">
        <v>33.33</v>
      </c>
      <c r="K658">
        <v>11</v>
      </c>
      <c r="L658" t="str">
        <f>CONCATENATE(T_BATTINGDATA[[#This Row],[Match]],T_BATTINGDATA[[#This Row],[Team]],T_BATTINGDATA[[#This Row],[Bat Number]])</f>
        <v>29Pakistan11</v>
      </c>
      <c r="M658" t="str">
        <f>IFERROR(IF(AND(T_BATTINGDATA[[#This Row],[Team]]=I_TEAM,IFERROR(IF(MATCH(T_BATTINGDATA[[#This Row],[BATSMAN NAME]],$O$5:O657,0)&gt;0,0),1)),1,0),"")</f>
        <v/>
      </c>
      <c r="N658" t="e">
        <f>IF(T_BATTINGDATA[[#This Row],[Team]]=I_TEAM,T_BATTINGDATA[[#This Row],[R]],0)</f>
        <v>#REF!</v>
      </c>
      <c r="O658" t="str">
        <f>LEFT(T_BATTINGDATA[[#This Row],[Batsman]],IFERROR(FIND("*",T_BATTINGDATA[[#This Row],[Batsman]])-1,IFERROR(FIND("†",T_BATTINGDATA[[#This Row],[Batsman]])-1,LEN(T_BATTINGDATA[[#This Row],[Batsman]]))))</f>
        <v>Mohammad Irfan</v>
      </c>
      <c r="P658">
        <f ca="1">IFERROR(IF(MATCH(T_BATTINGDATA[[#This Row],[BATSMAN NAME]],OFFSET(O659,0,0,BATROWS-ROW(O658)-ROW(T_BATTINGDATA[[#Headers],[BATSMAN NAME]])),0)&gt;0,0,SUMIF($O$6:O658,T_BATTINGDATA[[#This Row],[BATSMAN NAME]],$E$6:E658)),SUMIF($O$6:O658,T_BATTINGDATA[[#This Row],[BATSMAN NAME]],$E$6:E658))</f>
        <v>4</v>
      </c>
    </row>
    <row r="659" spans="1:16" x14ac:dyDescent="0.3">
      <c r="A659">
        <v>29</v>
      </c>
      <c r="B659" t="s">
        <v>141</v>
      </c>
      <c r="C659" t="s">
        <v>174</v>
      </c>
      <c r="D659" t="s">
        <v>758</v>
      </c>
      <c r="E659">
        <v>0</v>
      </c>
      <c r="F659">
        <v>1</v>
      </c>
      <c r="G659">
        <v>2</v>
      </c>
      <c r="H659">
        <v>0</v>
      </c>
      <c r="I659">
        <v>0</v>
      </c>
      <c r="J659">
        <v>0</v>
      </c>
      <c r="K659">
        <v>1</v>
      </c>
      <c r="L659" t="str">
        <f>CONCATENATE(T_BATTINGDATA[[#This Row],[Match]],T_BATTINGDATA[[#This Row],[Team]],T_BATTINGDATA[[#This Row],[Bat Number]])</f>
        <v>29South Africa1</v>
      </c>
      <c r="M659" t="str">
        <f>IFERROR(IF(AND(T_BATTINGDATA[[#This Row],[Team]]=I_TEAM,IFERROR(IF(MATCH(T_BATTINGDATA[[#This Row],[BATSMAN NAME]],$O$5:O658,0)&gt;0,0),1)),1,0),"")</f>
        <v/>
      </c>
      <c r="N659" t="e">
        <f>IF(T_BATTINGDATA[[#This Row],[Team]]=I_TEAM,T_BATTINGDATA[[#This Row],[R]],0)</f>
        <v>#REF!</v>
      </c>
      <c r="O659" t="str">
        <f>LEFT(T_BATTINGDATA[[#This Row],[Batsman]],IFERROR(FIND("*",T_BATTINGDATA[[#This Row],[Batsman]])-1,IFERROR(FIND("†",T_BATTINGDATA[[#This Row],[Batsman]])-1,LEN(T_BATTINGDATA[[#This Row],[Batsman]]))))</f>
        <v>Q de Kock</v>
      </c>
      <c r="P659">
        <f ca="1">IFERROR(IF(MATCH(T_BATTINGDATA[[#This Row],[BATSMAN NAME]],OFFSET(O660,0,0,BATROWS-ROW(O659)-ROW(T_BATTINGDATA[[#Headers],[BATSMAN NAME]])),0)&gt;0,0,SUMIF($O$6:O659,T_BATTINGDATA[[#This Row],[BATSMAN NAME]],$E$6:E659)),SUMIF($O$6:O659,T_BATTINGDATA[[#This Row],[BATSMAN NAME]],$E$6:E659))</f>
        <v>0</v>
      </c>
    </row>
    <row r="660" spans="1:16" x14ac:dyDescent="0.3">
      <c r="A660">
        <v>29</v>
      </c>
      <c r="B660" t="s">
        <v>141</v>
      </c>
      <c r="C660" t="s">
        <v>172</v>
      </c>
      <c r="D660" t="s">
        <v>759</v>
      </c>
      <c r="E660">
        <v>38</v>
      </c>
      <c r="F660">
        <v>51</v>
      </c>
      <c r="G660">
        <v>27</v>
      </c>
      <c r="H660">
        <v>9</v>
      </c>
      <c r="I660">
        <v>0</v>
      </c>
      <c r="J660">
        <v>140.74</v>
      </c>
      <c r="K660">
        <v>2</v>
      </c>
      <c r="L660" t="str">
        <f>CONCATENATE(T_BATTINGDATA[[#This Row],[Match]],T_BATTINGDATA[[#This Row],[Team]],T_BATTINGDATA[[#This Row],[Bat Number]])</f>
        <v>29South Africa2</v>
      </c>
      <c r="M660" t="str">
        <f>IFERROR(IF(AND(T_BATTINGDATA[[#This Row],[Team]]=I_TEAM,IFERROR(IF(MATCH(T_BATTINGDATA[[#This Row],[BATSMAN NAME]],$O$5:O659,0)&gt;0,0),1)),1,0),"")</f>
        <v/>
      </c>
      <c r="N660" t="e">
        <f>IF(T_BATTINGDATA[[#This Row],[Team]]=I_TEAM,T_BATTINGDATA[[#This Row],[R]],0)</f>
        <v>#REF!</v>
      </c>
      <c r="O660" t="str">
        <f>LEFT(T_BATTINGDATA[[#This Row],[Batsman]],IFERROR(FIND("*",T_BATTINGDATA[[#This Row],[Batsman]])-1,IFERROR(FIND("†",T_BATTINGDATA[[#This Row],[Batsman]])-1,LEN(T_BATTINGDATA[[#This Row],[Batsman]]))))</f>
        <v>HM Amla</v>
      </c>
      <c r="P660">
        <f ca="1">IFERROR(IF(MATCH(T_BATTINGDATA[[#This Row],[BATSMAN NAME]],OFFSET(O661,0,0,BATROWS-ROW(O660)-ROW(T_BATTINGDATA[[#Headers],[BATSMAN NAME]])),0)&gt;0,0,SUMIF($O$6:O660,T_BATTINGDATA[[#This Row],[BATSMAN NAME]],$E$6:E660)),SUMIF($O$6:O660,T_BATTINGDATA[[#This Row],[BATSMAN NAME]],$E$6:E660))</f>
        <v>0</v>
      </c>
    </row>
    <row r="661" spans="1:16" x14ac:dyDescent="0.3">
      <c r="A661">
        <v>29</v>
      </c>
      <c r="B661" t="s">
        <v>141</v>
      </c>
      <c r="C661" t="s">
        <v>177</v>
      </c>
      <c r="D661" t="s">
        <v>760</v>
      </c>
      <c r="E661">
        <v>27</v>
      </c>
      <c r="F661">
        <v>44</v>
      </c>
      <c r="G661">
        <v>29</v>
      </c>
      <c r="H661">
        <v>3</v>
      </c>
      <c r="I661">
        <v>1</v>
      </c>
      <c r="J661">
        <v>93.1</v>
      </c>
      <c r="K661">
        <v>3</v>
      </c>
      <c r="L661" t="str">
        <f>CONCATENATE(T_BATTINGDATA[[#This Row],[Match]],T_BATTINGDATA[[#This Row],[Team]],T_BATTINGDATA[[#This Row],[Bat Number]])</f>
        <v>29South Africa3</v>
      </c>
      <c r="M661" t="str">
        <f>IFERROR(IF(AND(T_BATTINGDATA[[#This Row],[Team]]=I_TEAM,IFERROR(IF(MATCH(T_BATTINGDATA[[#This Row],[BATSMAN NAME]],$O$5:O660,0)&gt;0,0),1)),1,0),"")</f>
        <v/>
      </c>
      <c r="N661" t="e">
        <f>IF(T_BATTINGDATA[[#This Row],[Team]]=I_TEAM,T_BATTINGDATA[[#This Row],[R]],0)</f>
        <v>#REF!</v>
      </c>
      <c r="O661" t="str">
        <f>LEFT(T_BATTINGDATA[[#This Row],[Batsman]],IFERROR(FIND("*",T_BATTINGDATA[[#This Row],[Batsman]])-1,IFERROR(FIND("†",T_BATTINGDATA[[#This Row],[Batsman]])-1,LEN(T_BATTINGDATA[[#This Row],[Batsman]]))))</f>
        <v>F du Plessis</v>
      </c>
      <c r="P661">
        <f ca="1">IFERROR(IF(MATCH(T_BATTINGDATA[[#This Row],[BATSMAN NAME]],OFFSET(O662,0,0,BATROWS-ROW(O661)-ROW(T_BATTINGDATA[[#Headers],[BATSMAN NAME]])),0)&gt;0,0,SUMIF($O$6:O661,T_BATTINGDATA[[#This Row],[BATSMAN NAME]],$E$6:E661)),SUMIF($O$6:O661,T_BATTINGDATA[[#This Row],[BATSMAN NAME]],$E$6:E661))</f>
        <v>380</v>
      </c>
    </row>
    <row r="662" spans="1:16" x14ac:dyDescent="0.3">
      <c r="A662">
        <v>29</v>
      </c>
      <c r="B662" t="s">
        <v>141</v>
      </c>
      <c r="C662" t="s">
        <v>604</v>
      </c>
      <c r="D662" t="s">
        <v>732</v>
      </c>
      <c r="E662">
        <v>6</v>
      </c>
      <c r="F662">
        <v>16</v>
      </c>
      <c r="G662">
        <v>9</v>
      </c>
      <c r="H662">
        <v>1</v>
      </c>
      <c r="I662">
        <v>0</v>
      </c>
      <c r="J662">
        <v>66.66</v>
      </c>
      <c r="K662">
        <v>4</v>
      </c>
      <c r="L662" t="str">
        <f>CONCATENATE(T_BATTINGDATA[[#This Row],[Match]],T_BATTINGDATA[[#This Row],[Team]],T_BATTINGDATA[[#This Row],[Bat Number]])</f>
        <v>29South Africa4</v>
      </c>
      <c r="M662" t="str">
        <f>IFERROR(IF(AND(T_BATTINGDATA[[#This Row],[Team]]=I_TEAM,IFERROR(IF(MATCH(T_BATTINGDATA[[#This Row],[BATSMAN NAME]],$O$5:O661,0)&gt;0,0),1)),1,0),"")</f>
        <v/>
      </c>
      <c r="N662" t="e">
        <f>IF(T_BATTINGDATA[[#This Row],[Team]]=I_TEAM,T_BATTINGDATA[[#This Row],[R]],0)</f>
        <v>#REF!</v>
      </c>
      <c r="O662" t="str">
        <f>LEFT(T_BATTINGDATA[[#This Row],[Batsman]],IFERROR(FIND("*",T_BATTINGDATA[[#This Row],[Batsman]])-1,IFERROR(FIND("†",T_BATTINGDATA[[#This Row],[Batsman]])-1,LEN(T_BATTINGDATA[[#This Row],[Batsman]]))))</f>
        <v>RR Rossouw</v>
      </c>
      <c r="P662">
        <f ca="1">IFERROR(IF(MATCH(T_BATTINGDATA[[#This Row],[BATSMAN NAME]],OFFSET(O663,0,0,BATROWS-ROW(O662)-ROW(T_BATTINGDATA[[#Headers],[BATSMAN NAME]])),0)&gt;0,0,SUMIF($O$6:O662,T_BATTINGDATA[[#This Row],[BATSMAN NAME]],$E$6:E662)),SUMIF($O$6:O662,T_BATTINGDATA[[#This Row],[BATSMAN NAME]],$E$6:E662))</f>
        <v>0</v>
      </c>
    </row>
    <row r="663" spans="1:16" x14ac:dyDescent="0.3">
      <c r="A663">
        <v>29</v>
      </c>
      <c r="B663" t="s">
        <v>141</v>
      </c>
      <c r="C663" t="s">
        <v>179</v>
      </c>
      <c r="D663" t="s">
        <v>761</v>
      </c>
      <c r="E663">
        <v>77</v>
      </c>
      <c r="F663">
        <v>111</v>
      </c>
      <c r="G663">
        <v>58</v>
      </c>
      <c r="H663">
        <v>7</v>
      </c>
      <c r="I663">
        <v>5</v>
      </c>
      <c r="J663">
        <v>132.75</v>
      </c>
      <c r="K663">
        <v>5</v>
      </c>
      <c r="L663" t="str">
        <f>CONCATENATE(T_BATTINGDATA[[#This Row],[Match]],T_BATTINGDATA[[#This Row],[Team]],T_BATTINGDATA[[#This Row],[Bat Number]])</f>
        <v>29South Africa5</v>
      </c>
      <c r="M663" t="str">
        <f>IFERROR(IF(AND(T_BATTINGDATA[[#This Row],[Team]]=I_TEAM,IFERROR(IF(MATCH(T_BATTINGDATA[[#This Row],[BATSMAN NAME]],$O$5:O662,0)&gt;0,0),1)),1,0),"")</f>
        <v/>
      </c>
      <c r="N663" t="e">
        <f>IF(T_BATTINGDATA[[#This Row],[Team]]=I_TEAM,T_BATTINGDATA[[#This Row],[R]],0)</f>
        <v>#REF!</v>
      </c>
      <c r="O663" t="str">
        <f>LEFT(T_BATTINGDATA[[#This Row],[Batsman]],IFERROR(FIND("*",T_BATTINGDATA[[#This Row],[Batsman]])-1,IFERROR(FIND("†",T_BATTINGDATA[[#This Row],[Batsman]])-1,LEN(T_BATTINGDATA[[#This Row],[Batsman]]))))</f>
        <v>AB de Villiers</v>
      </c>
      <c r="P663">
        <f ca="1">IFERROR(IF(MATCH(T_BATTINGDATA[[#This Row],[BATSMAN NAME]],OFFSET(O664,0,0,BATROWS-ROW(O663)-ROW(T_BATTINGDATA[[#Headers],[BATSMAN NAME]])),0)&gt;0,0,SUMIF($O$6:O663,T_BATTINGDATA[[#This Row],[BATSMAN NAME]],$E$6:E663)),SUMIF($O$6:O663,T_BATTINGDATA[[#This Row],[BATSMAN NAME]],$E$6:E663))</f>
        <v>0</v>
      </c>
    </row>
    <row r="664" spans="1:16" x14ac:dyDescent="0.3">
      <c r="A664">
        <v>29</v>
      </c>
      <c r="B664" t="s">
        <v>141</v>
      </c>
      <c r="C664" t="s">
        <v>183</v>
      </c>
      <c r="D664" t="s">
        <v>762</v>
      </c>
      <c r="E664">
        <v>0</v>
      </c>
      <c r="F664">
        <v>17</v>
      </c>
      <c r="G664">
        <v>13</v>
      </c>
      <c r="H664">
        <v>0</v>
      </c>
      <c r="I664">
        <v>0</v>
      </c>
      <c r="J664">
        <v>0</v>
      </c>
      <c r="K664">
        <v>6</v>
      </c>
      <c r="L664" t="str">
        <f>CONCATENATE(T_BATTINGDATA[[#This Row],[Match]],T_BATTINGDATA[[#This Row],[Team]],T_BATTINGDATA[[#This Row],[Bat Number]])</f>
        <v>29South Africa6</v>
      </c>
      <c r="M664" t="str">
        <f>IFERROR(IF(AND(T_BATTINGDATA[[#This Row],[Team]]=I_TEAM,IFERROR(IF(MATCH(T_BATTINGDATA[[#This Row],[BATSMAN NAME]],$O$5:O663,0)&gt;0,0),1)),1,0),"")</f>
        <v/>
      </c>
      <c r="N664" t="e">
        <f>IF(T_BATTINGDATA[[#This Row],[Team]]=I_TEAM,T_BATTINGDATA[[#This Row],[R]],0)</f>
        <v>#REF!</v>
      </c>
      <c r="O664" t="str">
        <f>LEFT(T_BATTINGDATA[[#This Row],[Batsman]],IFERROR(FIND("*",T_BATTINGDATA[[#This Row],[Batsman]])-1,IFERROR(FIND("†",T_BATTINGDATA[[#This Row],[Batsman]])-1,LEN(T_BATTINGDATA[[#This Row],[Batsman]]))))</f>
        <v>DA Miller</v>
      </c>
      <c r="P664">
        <f ca="1">IFERROR(IF(MATCH(T_BATTINGDATA[[#This Row],[BATSMAN NAME]],OFFSET(O665,0,0,BATROWS-ROW(O664)-ROW(T_BATTINGDATA[[#Headers],[BATSMAN NAME]])),0)&gt;0,0,SUMIF($O$6:O664,T_BATTINGDATA[[#This Row],[BATSMAN NAME]],$E$6:E664)),SUMIF($O$6:O664,T_BATTINGDATA[[#This Row],[BATSMAN NAME]],$E$6:E664))</f>
        <v>0</v>
      </c>
    </row>
    <row r="665" spans="1:16" x14ac:dyDescent="0.3">
      <c r="A665">
        <v>29</v>
      </c>
      <c r="B665" t="s">
        <v>141</v>
      </c>
      <c r="C665" t="s">
        <v>150</v>
      </c>
      <c r="D665" t="s">
        <v>513</v>
      </c>
      <c r="E665">
        <v>12</v>
      </c>
      <c r="F665">
        <v>19</v>
      </c>
      <c r="G665">
        <v>13</v>
      </c>
      <c r="H665">
        <v>2</v>
      </c>
      <c r="I665">
        <v>0</v>
      </c>
      <c r="J665">
        <v>92.3</v>
      </c>
      <c r="K665">
        <v>7</v>
      </c>
      <c r="L665" t="str">
        <f>CONCATENATE(T_BATTINGDATA[[#This Row],[Match]],T_BATTINGDATA[[#This Row],[Team]],T_BATTINGDATA[[#This Row],[Bat Number]])</f>
        <v>29South Africa7</v>
      </c>
      <c r="M665" t="str">
        <f>IFERROR(IF(AND(T_BATTINGDATA[[#This Row],[Team]]=I_TEAM,IFERROR(IF(MATCH(T_BATTINGDATA[[#This Row],[BATSMAN NAME]],$O$5:O664,0)&gt;0,0),1)),1,0),"")</f>
        <v/>
      </c>
      <c r="N665" t="e">
        <f>IF(T_BATTINGDATA[[#This Row],[Team]]=I_TEAM,T_BATTINGDATA[[#This Row],[R]],0)</f>
        <v>#REF!</v>
      </c>
      <c r="O665" t="str">
        <f>LEFT(T_BATTINGDATA[[#This Row],[Batsman]],IFERROR(FIND("*",T_BATTINGDATA[[#This Row],[Batsman]])-1,IFERROR(FIND("†",T_BATTINGDATA[[#This Row],[Batsman]])-1,LEN(T_BATTINGDATA[[#This Row],[Batsman]]))))</f>
        <v>JP Duminy</v>
      </c>
      <c r="P665">
        <f ca="1">IFERROR(IF(MATCH(T_BATTINGDATA[[#This Row],[BATSMAN NAME]],OFFSET(O666,0,0,BATROWS-ROW(O665)-ROW(T_BATTINGDATA[[#Headers],[BATSMAN NAME]])),0)&gt;0,0,SUMIF($O$6:O665,T_BATTINGDATA[[#This Row],[BATSMAN NAME]],$E$6:E665)),SUMIF($O$6:O665,T_BATTINGDATA[[#This Row],[BATSMAN NAME]],$E$6:E665))</f>
        <v>0</v>
      </c>
    </row>
    <row r="666" spans="1:16" x14ac:dyDescent="0.3">
      <c r="A666">
        <v>29</v>
      </c>
      <c r="B666" t="s">
        <v>141</v>
      </c>
      <c r="C666" t="s">
        <v>142</v>
      </c>
      <c r="D666" t="s">
        <v>758</v>
      </c>
      <c r="E666">
        <v>16</v>
      </c>
      <c r="F666">
        <v>21</v>
      </c>
      <c r="G666">
        <v>17</v>
      </c>
      <c r="H666">
        <v>3</v>
      </c>
      <c r="I666">
        <v>0</v>
      </c>
      <c r="J666">
        <v>94.11</v>
      </c>
      <c r="K666">
        <v>8</v>
      </c>
      <c r="L666" t="str">
        <f>CONCATENATE(T_BATTINGDATA[[#This Row],[Match]],T_BATTINGDATA[[#This Row],[Team]],T_BATTINGDATA[[#This Row],[Bat Number]])</f>
        <v>29South Africa8</v>
      </c>
      <c r="M666" t="str">
        <f>IFERROR(IF(AND(T_BATTINGDATA[[#This Row],[Team]]=I_TEAM,IFERROR(IF(MATCH(T_BATTINGDATA[[#This Row],[BATSMAN NAME]],$O$5:O665,0)&gt;0,0),1)),1,0),"")</f>
        <v/>
      </c>
      <c r="N666" t="e">
        <f>IF(T_BATTINGDATA[[#This Row],[Team]]=I_TEAM,T_BATTINGDATA[[#This Row],[R]],0)</f>
        <v>#REF!</v>
      </c>
      <c r="O666" t="str">
        <f>LEFT(T_BATTINGDATA[[#This Row],[Batsman]],IFERROR(FIND("*",T_BATTINGDATA[[#This Row],[Batsman]])-1,IFERROR(FIND("†",T_BATTINGDATA[[#This Row],[Batsman]])-1,LEN(T_BATTINGDATA[[#This Row],[Batsman]]))))</f>
        <v>DW Steyn</v>
      </c>
      <c r="P666">
        <f ca="1">IFERROR(IF(MATCH(T_BATTINGDATA[[#This Row],[BATSMAN NAME]],OFFSET(O667,0,0,BATROWS-ROW(O666)-ROW(T_BATTINGDATA[[#Headers],[BATSMAN NAME]])),0)&gt;0,0,SUMIF($O$6:O666,T_BATTINGDATA[[#This Row],[BATSMAN NAME]],$E$6:E666)),SUMIF($O$6:O666,T_BATTINGDATA[[#This Row],[BATSMAN NAME]],$E$6:E666))</f>
        <v>17</v>
      </c>
    </row>
    <row r="667" spans="1:16" x14ac:dyDescent="0.3">
      <c r="A667">
        <v>29</v>
      </c>
      <c r="B667" t="s">
        <v>141</v>
      </c>
      <c r="C667" t="s">
        <v>489</v>
      </c>
      <c r="D667" t="s">
        <v>763</v>
      </c>
      <c r="E667">
        <v>12</v>
      </c>
      <c r="F667">
        <v>26</v>
      </c>
      <c r="G667">
        <v>19</v>
      </c>
      <c r="H667">
        <v>2</v>
      </c>
      <c r="I667">
        <v>0</v>
      </c>
      <c r="J667">
        <v>63.15</v>
      </c>
      <c r="K667">
        <v>9</v>
      </c>
      <c r="L667" t="str">
        <f>CONCATENATE(T_BATTINGDATA[[#This Row],[Match]],T_BATTINGDATA[[#This Row],[Team]],T_BATTINGDATA[[#This Row],[Bat Number]])</f>
        <v>29South Africa9</v>
      </c>
      <c r="M667" t="str">
        <f>IFERROR(IF(AND(T_BATTINGDATA[[#This Row],[Team]]=I_TEAM,IFERROR(IF(MATCH(T_BATTINGDATA[[#This Row],[BATSMAN NAME]],$O$5:O666,0)&gt;0,0),1)),1,0),"")</f>
        <v/>
      </c>
      <c r="N667" t="e">
        <f>IF(T_BATTINGDATA[[#This Row],[Team]]=I_TEAM,T_BATTINGDATA[[#This Row],[R]],0)</f>
        <v>#REF!</v>
      </c>
      <c r="O667" t="str">
        <f>LEFT(T_BATTINGDATA[[#This Row],[Batsman]],IFERROR(FIND("*",T_BATTINGDATA[[#This Row],[Batsman]])-1,IFERROR(FIND("†",T_BATTINGDATA[[#This Row],[Batsman]])-1,LEN(T_BATTINGDATA[[#This Row],[Batsman]]))))</f>
        <v>KJ Abbott</v>
      </c>
      <c r="P667">
        <f ca="1">IFERROR(IF(MATCH(T_BATTINGDATA[[#This Row],[BATSMAN NAME]],OFFSET(O668,0,0,BATROWS-ROW(O667)-ROW(T_BATTINGDATA[[#Headers],[BATSMAN NAME]])),0)&gt;0,0,SUMIF($O$6:O667,T_BATTINGDATA[[#This Row],[BATSMAN NAME]],$E$6:E667)),SUMIF($O$6:O667,T_BATTINGDATA[[#This Row],[BATSMAN NAME]],$E$6:E667))</f>
        <v>12</v>
      </c>
    </row>
    <row r="668" spans="1:16" x14ac:dyDescent="0.3">
      <c r="A668">
        <v>29</v>
      </c>
      <c r="B668" t="s">
        <v>141</v>
      </c>
      <c r="C668" t="s">
        <v>155</v>
      </c>
      <c r="D668" t="s">
        <v>167</v>
      </c>
      <c r="E668">
        <v>6</v>
      </c>
      <c r="F668">
        <v>26</v>
      </c>
      <c r="G668">
        <v>8</v>
      </c>
      <c r="H668">
        <v>1</v>
      </c>
      <c r="I668">
        <v>0</v>
      </c>
      <c r="J668">
        <v>75</v>
      </c>
      <c r="K668">
        <v>10</v>
      </c>
      <c r="L668" t="str">
        <f>CONCATENATE(T_BATTINGDATA[[#This Row],[Match]],T_BATTINGDATA[[#This Row],[Team]],T_BATTINGDATA[[#This Row],[Bat Number]])</f>
        <v>29South Africa10</v>
      </c>
      <c r="M668" t="str">
        <f>IFERROR(IF(AND(T_BATTINGDATA[[#This Row],[Team]]=I_TEAM,IFERROR(IF(MATCH(T_BATTINGDATA[[#This Row],[BATSMAN NAME]],$O$5:O667,0)&gt;0,0),1)),1,0),"")</f>
        <v/>
      </c>
      <c r="N668" t="e">
        <f>IF(T_BATTINGDATA[[#This Row],[Team]]=I_TEAM,T_BATTINGDATA[[#This Row],[R]],0)</f>
        <v>#REF!</v>
      </c>
      <c r="O668" t="str">
        <f>LEFT(T_BATTINGDATA[[#This Row],[Batsman]],IFERROR(FIND("*",T_BATTINGDATA[[#This Row],[Batsman]])-1,IFERROR(FIND("†",T_BATTINGDATA[[#This Row],[Batsman]])-1,LEN(T_BATTINGDATA[[#This Row],[Batsman]]))))</f>
        <v>M Morkel</v>
      </c>
      <c r="P668">
        <f ca="1">IFERROR(IF(MATCH(T_BATTINGDATA[[#This Row],[BATSMAN NAME]],OFFSET(O669,0,0,BATROWS-ROW(O668)-ROW(T_BATTINGDATA[[#Headers],[BATSMAN NAME]])),0)&gt;0,0,SUMIF($O$6:O668,T_BATTINGDATA[[#This Row],[BATSMAN NAME]],$E$6:E668)),SUMIF($O$6:O668,T_BATTINGDATA[[#This Row],[BATSMAN NAME]],$E$6:E668))</f>
        <v>8</v>
      </c>
    </row>
    <row r="669" spans="1:16" x14ac:dyDescent="0.3">
      <c r="A669">
        <v>29</v>
      </c>
      <c r="B669" t="s">
        <v>141</v>
      </c>
      <c r="C669" t="s">
        <v>159</v>
      </c>
      <c r="D669" t="s">
        <v>759</v>
      </c>
      <c r="E669">
        <v>0</v>
      </c>
      <c r="F669">
        <v>7</v>
      </c>
      <c r="G669">
        <v>6</v>
      </c>
      <c r="H669">
        <v>0</v>
      </c>
      <c r="I669">
        <v>0</v>
      </c>
      <c r="J669">
        <v>0</v>
      </c>
      <c r="K669">
        <v>11</v>
      </c>
      <c r="L669" t="str">
        <f>CONCATENATE(T_BATTINGDATA[[#This Row],[Match]],T_BATTINGDATA[[#This Row],[Team]],T_BATTINGDATA[[#This Row],[Bat Number]])</f>
        <v>29South Africa11</v>
      </c>
      <c r="M669" t="str">
        <f>IFERROR(IF(AND(T_BATTINGDATA[[#This Row],[Team]]=I_TEAM,IFERROR(IF(MATCH(T_BATTINGDATA[[#This Row],[BATSMAN NAME]],$O$5:O668,0)&gt;0,0),1)),1,0),"")</f>
        <v/>
      </c>
      <c r="N669" t="e">
        <f>IF(T_BATTINGDATA[[#This Row],[Team]]=I_TEAM,T_BATTINGDATA[[#This Row],[R]],0)</f>
        <v>#REF!</v>
      </c>
      <c r="O669" t="str">
        <f>LEFT(T_BATTINGDATA[[#This Row],[Batsman]],IFERROR(FIND("*",T_BATTINGDATA[[#This Row],[Batsman]])-1,IFERROR(FIND("†",T_BATTINGDATA[[#This Row],[Batsman]])-1,LEN(T_BATTINGDATA[[#This Row],[Batsman]]))))</f>
        <v>Imran Tahir</v>
      </c>
      <c r="P669">
        <f ca="1">IFERROR(IF(MATCH(T_BATTINGDATA[[#This Row],[BATSMAN NAME]],OFFSET(O670,0,0,BATROWS-ROW(O669)-ROW(T_BATTINGDATA[[#Headers],[BATSMAN NAME]])),0)&gt;0,0,SUMIF($O$6:O669,T_BATTINGDATA[[#This Row],[BATSMAN NAME]],$E$6:E669)),SUMIF($O$6:O669,T_BATTINGDATA[[#This Row],[BATSMAN NAME]],$E$6:E669))</f>
        <v>8</v>
      </c>
    </row>
    <row r="670" spans="1:16" x14ac:dyDescent="0.3">
      <c r="A670">
        <v>30</v>
      </c>
      <c r="B670" t="s">
        <v>169</v>
      </c>
      <c r="C670" t="s">
        <v>269</v>
      </c>
      <c r="D670" t="s">
        <v>764</v>
      </c>
      <c r="E670">
        <v>29</v>
      </c>
      <c r="F670">
        <v>81</v>
      </c>
      <c r="G670">
        <v>61</v>
      </c>
      <c r="H670">
        <v>1</v>
      </c>
      <c r="I670">
        <v>0</v>
      </c>
      <c r="J670">
        <v>47.54</v>
      </c>
      <c r="K670">
        <v>1</v>
      </c>
      <c r="L670" t="str">
        <f>CONCATENATE(T_BATTINGDATA[[#This Row],[Match]],T_BATTINGDATA[[#This Row],[Team]],T_BATTINGDATA[[#This Row],[Bat Number]])</f>
        <v>30Ireland1</v>
      </c>
      <c r="M670" t="str">
        <f>IFERROR(IF(AND(T_BATTINGDATA[[#This Row],[Team]]=I_TEAM,IFERROR(IF(MATCH(T_BATTINGDATA[[#This Row],[BATSMAN NAME]],$O$5:O669,0)&gt;0,0),1)),1,0),"")</f>
        <v/>
      </c>
      <c r="N670" t="e">
        <f>IF(T_BATTINGDATA[[#This Row],[Team]]=I_TEAM,T_BATTINGDATA[[#This Row],[R]],0)</f>
        <v>#REF!</v>
      </c>
      <c r="O670" t="str">
        <f>LEFT(T_BATTINGDATA[[#This Row],[Batsman]],IFERROR(FIND("*",T_BATTINGDATA[[#This Row],[Batsman]])-1,IFERROR(FIND("†",T_BATTINGDATA[[#This Row],[Batsman]])-1,LEN(T_BATTINGDATA[[#This Row],[Batsman]]))))</f>
        <v>WTS Porterfield</v>
      </c>
      <c r="P670">
        <f ca="1">IFERROR(IF(MATCH(T_BATTINGDATA[[#This Row],[BATSMAN NAME]],OFFSET(O671,0,0,BATROWS-ROW(O670)-ROW(T_BATTINGDATA[[#Headers],[BATSMAN NAME]])),0)&gt;0,0,SUMIF($O$6:O670,T_BATTINGDATA[[#This Row],[BATSMAN NAME]],$E$6:E670)),SUMIF($O$6:O670,T_BATTINGDATA[[#This Row],[BATSMAN NAME]],$E$6:E670))</f>
        <v>0</v>
      </c>
    </row>
    <row r="671" spans="1:16" x14ac:dyDescent="0.3">
      <c r="A671">
        <v>30</v>
      </c>
      <c r="B671" t="s">
        <v>169</v>
      </c>
      <c r="C671" t="s">
        <v>249</v>
      </c>
      <c r="D671" t="s">
        <v>765</v>
      </c>
      <c r="E671">
        <v>10</v>
      </c>
      <c r="F671">
        <v>12</v>
      </c>
      <c r="G671">
        <v>11</v>
      </c>
      <c r="H671">
        <v>2</v>
      </c>
      <c r="I671">
        <v>0</v>
      </c>
      <c r="J671">
        <v>90.9</v>
      </c>
      <c r="K671">
        <v>2</v>
      </c>
      <c r="L671" t="str">
        <f>CONCATENATE(T_BATTINGDATA[[#This Row],[Match]],T_BATTINGDATA[[#This Row],[Team]],T_BATTINGDATA[[#This Row],[Bat Number]])</f>
        <v>30Ireland2</v>
      </c>
      <c r="M671" t="str">
        <f>IFERROR(IF(AND(T_BATTINGDATA[[#This Row],[Team]]=I_TEAM,IFERROR(IF(MATCH(T_BATTINGDATA[[#This Row],[BATSMAN NAME]],$O$5:O670,0)&gt;0,0),1)),1,0),"")</f>
        <v/>
      </c>
      <c r="N671" t="e">
        <f>IF(T_BATTINGDATA[[#This Row],[Team]]=I_TEAM,T_BATTINGDATA[[#This Row],[R]],0)</f>
        <v>#REF!</v>
      </c>
      <c r="O671" t="str">
        <f>LEFT(T_BATTINGDATA[[#This Row],[Batsman]],IFERROR(FIND("*",T_BATTINGDATA[[#This Row],[Batsman]])-1,IFERROR(FIND("†",T_BATTINGDATA[[#This Row],[Batsman]])-1,LEN(T_BATTINGDATA[[#This Row],[Batsman]]))))</f>
        <v>PR Stirling</v>
      </c>
      <c r="P671">
        <f ca="1">IFERROR(IF(MATCH(T_BATTINGDATA[[#This Row],[BATSMAN NAME]],OFFSET(O672,0,0,BATROWS-ROW(O671)-ROW(T_BATTINGDATA[[#Headers],[BATSMAN NAME]])),0)&gt;0,0,SUMIF($O$6:O671,T_BATTINGDATA[[#This Row],[BATSMAN NAME]],$E$6:E671)),SUMIF($O$6:O671,T_BATTINGDATA[[#This Row],[BATSMAN NAME]],$E$6:E671))</f>
        <v>0</v>
      </c>
    </row>
    <row r="672" spans="1:16" x14ac:dyDescent="0.3">
      <c r="A672">
        <v>30</v>
      </c>
      <c r="B672" t="s">
        <v>169</v>
      </c>
      <c r="C672" t="s">
        <v>273</v>
      </c>
      <c r="D672" t="s">
        <v>413</v>
      </c>
      <c r="E672">
        <v>112</v>
      </c>
      <c r="F672">
        <v>142</v>
      </c>
      <c r="G672">
        <v>103</v>
      </c>
      <c r="H672">
        <v>9</v>
      </c>
      <c r="I672">
        <v>3</v>
      </c>
      <c r="J672">
        <v>108.73</v>
      </c>
      <c r="K672">
        <v>3</v>
      </c>
      <c r="L672" t="str">
        <f>CONCATENATE(T_BATTINGDATA[[#This Row],[Match]],T_BATTINGDATA[[#This Row],[Team]],T_BATTINGDATA[[#This Row],[Bat Number]])</f>
        <v>30Ireland3</v>
      </c>
      <c r="M672" t="str">
        <f>IFERROR(IF(AND(T_BATTINGDATA[[#This Row],[Team]]=I_TEAM,IFERROR(IF(MATCH(T_BATTINGDATA[[#This Row],[BATSMAN NAME]],$O$5:O671,0)&gt;0,0),1)),1,0),"")</f>
        <v/>
      </c>
      <c r="N672" t="e">
        <f>IF(T_BATTINGDATA[[#This Row],[Team]]=I_TEAM,T_BATTINGDATA[[#This Row],[R]],0)</f>
        <v>#REF!</v>
      </c>
      <c r="O672" t="str">
        <f>LEFT(T_BATTINGDATA[[#This Row],[Batsman]],IFERROR(FIND("*",T_BATTINGDATA[[#This Row],[Batsman]])-1,IFERROR(FIND("†",T_BATTINGDATA[[#This Row],[Batsman]])-1,LEN(T_BATTINGDATA[[#This Row],[Batsman]]))))</f>
        <v>EC Joyce</v>
      </c>
      <c r="P672">
        <f ca="1">IFERROR(IF(MATCH(T_BATTINGDATA[[#This Row],[BATSMAN NAME]],OFFSET(O673,0,0,BATROWS-ROW(O672)-ROW(T_BATTINGDATA[[#Headers],[BATSMAN NAME]])),0)&gt;0,0,SUMIF($O$6:O672,T_BATTINGDATA[[#This Row],[BATSMAN NAME]],$E$6:E672)),SUMIF($O$6:O672,T_BATTINGDATA[[#This Row],[BATSMAN NAME]],$E$6:E672))</f>
        <v>0</v>
      </c>
    </row>
    <row r="673" spans="1:16" x14ac:dyDescent="0.3">
      <c r="A673">
        <v>30</v>
      </c>
      <c r="B673" t="s">
        <v>169</v>
      </c>
      <c r="C673" t="s">
        <v>278</v>
      </c>
      <c r="D673" t="s">
        <v>766</v>
      </c>
      <c r="E673">
        <v>97</v>
      </c>
      <c r="F673">
        <v>127</v>
      </c>
      <c r="G673">
        <v>79</v>
      </c>
      <c r="H673">
        <v>7</v>
      </c>
      <c r="I673">
        <v>4</v>
      </c>
      <c r="J673">
        <v>122.78</v>
      </c>
      <c r="K673">
        <v>4</v>
      </c>
      <c r="L673" t="str">
        <f>CONCATENATE(T_BATTINGDATA[[#This Row],[Match]],T_BATTINGDATA[[#This Row],[Team]],T_BATTINGDATA[[#This Row],[Bat Number]])</f>
        <v>30Ireland4</v>
      </c>
      <c r="M673" t="str">
        <f>IFERROR(IF(AND(T_BATTINGDATA[[#This Row],[Team]]=I_TEAM,IFERROR(IF(MATCH(T_BATTINGDATA[[#This Row],[BATSMAN NAME]],$O$5:O672,0)&gt;0,0),1)),1,0),"")</f>
        <v/>
      </c>
      <c r="N673" t="e">
        <f>IF(T_BATTINGDATA[[#This Row],[Team]]=I_TEAM,T_BATTINGDATA[[#This Row],[R]],0)</f>
        <v>#REF!</v>
      </c>
      <c r="O673" t="str">
        <f>LEFT(T_BATTINGDATA[[#This Row],[Batsman]],IFERROR(FIND("*",T_BATTINGDATA[[#This Row],[Batsman]])-1,IFERROR(FIND("†",T_BATTINGDATA[[#This Row],[Batsman]])-1,LEN(T_BATTINGDATA[[#This Row],[Batsman]]))))</f>
        <v>A Balbirnie</v>
      </c>
      <c r="P673">
        <f ca="1">IFERROR(IF(MATCH(T_BATTINGDATA[[#This Row],[BATSMAN NAME]],OFFSET(O674,0,0,BATROWS-ROW(O673)-ROW(T_BATTINGDATA[[#Headers],[BATSMAN NAME]])),0)&gt;0,0,SUMIF($O$6:O673,T_BATTINGDATA[[#This Row],[BATSMAN NAME]],$E$6:E673)),SUMIF($O$6:O673,T_BATTINGDATA[[#This Row],[BATSMAN NAME]],$E$6:E673))</f>
        <v>0</v>
      </c>
    </row>
    <row r="674" spans="1:16" x14ac:dyDescent="0.3">
      <c r="A674">
        <v>30</v>
      </c>
      <c r="B674" t="s">
        <v>169</v>
      </c>
      <c r="C674" t="s">
        <v>251</v>
      </c>
      <c r="D674" t="s">
        <v>767</v>
      </c>
      <c r="E674">
        <v>24</v>
      </c>
      <c r="F674">
        <v>26</v>
      </c>
      <c r="G674">
        <v>22</v>
      </c>
      <c r="H674">
        <v>4</v>
      </c>
      <c r="I674">
        <v>0</v>
      </c>
      <c r="J674">
        <v>109.09</v>
      </c>
      <c r="K674">
        <v>5</v>
      </c>
      <c r="L674" t="str">
        <f>CONCATENATE(T_BATTINGDATA[[#This Row],[Match]],T_BATTINGDATA[[#This Row],[Team]],T_BATTINGDATA[[#This Row],[Bat Number]])</f>
        <v>30Ireland5</v>
      </c>
      <c r="M674" t="str">
        <f>IFERROR(IF(AND(T_BATTINGDATA[[#This Row],[Team]]=I_TEAM,IFERROR(IF(MATCH(T_BATTINGDATA[[#This Row],[BATSMAN NAME]],$O$5:O673,0)&gt;0,0),1)),1,0),"")</f>
        <v/>
      </c>
      <c r="N674" t="e">
        <f>IF(T_BATTINGDATA[[#This Row],[Team]]=I_TEAM,T_BATTINGDATA[[#This Row],[R]],0)</f>
        <v>#REF!</v>
      </c>
      <c r="O674" t="str">
        <f>LEFT(T_BATTINGDATA[[#This Row],[Batsman]],IFERROR(FIND("*",T_BATTINGDATA[[#This Row],[Batsman]])-1,IFERROR(FIND("†",T_BATTINGDATA[[#This Row],[Batsman]])-1,LEN(T_BATTINGDATA[[#This Row],[Batsman]]))))</f>
        <v>KJ O'Brien</v>
      </c>
      <c r="P674">
        <f ca="1">IFERROR(IF(MATCH(T_BATTINGDATA[[#This Row],[BATSMAN NAME]],OFFSET(O675,0,0,BATROWS-ROW(O674)-ROW(T_BATTINGDATA[[#Headers],[BATSMAN NAME]])),0)&gt;0,0,SUMIF($O$6:O674,T_BATTINGDATA[[#This Row],[BATSMAN NAME]],$E$6:E674)),SUMIF($O$6:O674,T_BATTINGDATA[[#This Row],[BATSMAN NAME]],$E$6:E674))</f>
        <v>123</v>
      </c>
    </row>
    <row r="675" spans="1:16" x14ac:dyDescent="0.3">
      <c r="A675">
        <v>30</v>
      </c>
      <c r="B675" t="s">
        <v>169</v>
      </c>
      <c r="C675" t="s">
        <v>281</v>
      </c>
      <c r="D675" t="s">
        <v>494</v>
      </c>
      <c r="E675">
        <v>25</v>
      </c>
      <c r="F675">
        <v>14</v>
      </c>
      <c r="G675">
        <v>13</v>
      </c>
      <c r="H675">
        <v>3</v>
      </c>
      <c r="I675">
        <v>1</v>
      </c>
      <c r="J675">
        <v>192.3</v>
      </c>
      <c r="K675">
        <v>6</v>
      </c>
      <c r="L675" t="str">
        <f>CONCATENATE(T_BATTINGDATA[[#This Row],[Match]],T_BATTINGDATA[[#This Row],[Team]],T_BATTINGDATA[[#This Row],[Bat Number]])</f>
        <v>30Ireland6</v>
      </c>
      <c r="M675" t="str">
        <f>IFERROR(IF(AND(T_BATTINGDATA[[#This Row],[Team]]=I_TEAM,IFERROR(IF(MATCH(T_BATTINGDATA[[#This Row],[BATSMAN NAME]],$O$5:O674,0)&gt;0,0),1)),1,0),"")</f>
        <v/>
      </c>
      <c r="N675" t="e">
        <f>IF(T_BATTINGDATA[[#This Row],[Team]]=I_TEAM,T_BATTINGDATA[[#This Row],[R]],0)</f>
        <v>#REF!</v>
      </c>
      <c r="O675" t="str">
        <f>LEFT(T_BATTINGDATA[[#This Row],[Batsman]],IFERROR(FIND("*",T_BATTINGDATA[[#This Row],[Batsman]])-1,IFERROR(FIND("†",T_BATTINGDATA[[#This Row],[Batsman]])-1,LEN(T_BATTINGDATA[[#This Row],[Batsman]]))))</f>
        <v>GC Wilson</v>
      </c>
      <c r="P675">
        <f ca="1">IFERROR(IF(MATCH(T_BATTINGDATA[[#This Row],[BATSMAN NAME]],OFFSET(O676,0,0,BATROWS-ROW(O675)-ROW(T_BATTINGDATA[[#Headers],[BATSMAN NAME]])),0)&gt;0,0,SUMIF($O$6:O675,T_BATTINGDATA[[#This Row],[BATSMAN NAME]],$E$6:E675)),SUMIF($O$6:O675,T_BATTINGDATA[[#This Row],[BATSMAN NAME]],$E$6:E675))</f>
        <v>0</v>
      </c>
    </row>
    <row r="676" spans="1:16" x14ac:dyDescent="0.3">
      <c r="A676">
        <v>30</v>
      </c>
      <c r="B676" t="s">
        <v>169</v>
      </c>
      <c r="C676" t="s">
        <v>242</v>
      </c>
      <c r="D676" t="s">
        <v>704</v>
      </c>
      <c r="E676">
        <v>10</v>
      </c>
      <c r="F676">
        <v>2</v>
      </c>
      <c r="G676">
        <v>4</v>
      </c>
      <c r="H676">
        <v>2</v>
      </c>
      <c r="I676">
        <v>0</v>
      </c>
      <c r="J676">
        <v>250</v>
      </c>
      <c r="K676">
        <v>7</v>
      </c>
      <c r="L676" t="str">
        <f>CONCATENATE(T_BATTINGDATA[[#This Row],[Match]],T_BATTINGDATA[[#This Row],[Team]],T_BATTINGDATA[[#This Row],[Bat Number]])</f>
        <v>30Ireland7</v>
      </c>
      <c r="M676" t="str">
        <f>IFERROR(IF(AND(T_BATTINGDATA[[#This Row],[Team]]=I_TEAM,IFERROR(IF(MATCH(T_BATTINGDATA[[#This Row],[BATSMAN NAME]],$O$5:O675,0)&gt;0,0),1)),1,0),"")</f>
        <v/>
      </c>
      <c r="N676" t="e">
        <f>IF(T_BATTINGDATA[[#This Row],[Team]]=I_TEAM,T_BATTINGDATA[[#This Row],[R]],0)</f>
        <v>#REF!</v>
      </c>
      <c r="O676" t="str">
        <f>LEFT(T_BATTINGDATA[[#This Row],[Batsman]],IFERROR(FIND("*",T_BATTINGDATA[[#This Row],[Batsman]])-1,IFERROR(FIND("†",T_BATTINGDATA[[#This Row],[Batsman]])-1,LEN(T_BATTINGDATA[[#This Row],[Batsman]]))))</f>
        <v>JF Mooney</v>
      </c>
      <c r="P676">
        <f ca="1">IFERROR(IF(MATCH(T_BATTINGDATA[[#This Row],[BATSMAN NAME]],OFFSET(O677,0,0,BATROWS-ROW(O676)-ROW(T_BATTINGDATA[[#Headers],[BATSMAN NAME]])),0)&gt;0,0,SUMIF($O$6:O676,T_BATTINGDATA[[#This Row],[BATSMAN NAME]],$E$6:E676)),SUMIF($O$6:O676,T_BATTINGDATA[[#This Row],[BATSMAN NAME]],$E$6:E676))</f>
        <v>38</v>
      </c>
    </row>
    <row r="677" spans="1:16" x14ac:dyDescent="0.3">
      <c r="A677">
        <v>30</v>
      </c>
      <c r="B677" t="s">
        <v>169</v>
      </c>
      <c r="C677" t="s">
        <v>276</v>
      </c>
      <c r="D677" t="s">
        <v>768</v>
      </c>
      <c r="E677">
        <v>2</v>
      </c>
      <c r="F677">
        <v>4</v>
      </c>
      <c r="G677">
        <v>4</v>
      </c>
      <c r="H677">
        <v>0</v>
      </c>
      <c r="I677">
        <v>0</v>
      </c>
      <c r="J677">
        <v>50</v>
      </c>
      <c r="K677">
        <v>8</v>
      </c>
      <c r="L677" t="str">
        <f>CONCATENATE(T_BATTINGDATA[[#This Row],[Match]],T_BATTINGDATA[[#This Row],[Team]],T_BATTINGDATA[[#This Row],[Bat Number]])</f>
        <v>30Ireland8</v>
      </c>
      <c r="M677" t="str">
        <f>IFERROR(IF(AND(T_BATTINGDATA[[#This Row],[Team]]=I_TEAM,IFERROR(IF(MATCH(T_BATTINGDATA[[#This Row],[BATSMAN NAME]],$O$5:O676,0)&gt;0,0),1)),1,0),"")</f>
        <v/>
      </c>
      <c r="N677" t="e">
        <f>IF(T_BATTINGDATA[[#This Row],[Team]]=I_TEAM,T_BATTINGDATA[[#This Row],[R]],0)</f>
        <v>#REF!</v>
      </c>
      <c r="O677" t="str">
        <f>LEFT(T_BATTINGDATA[[#This Row],[Batsman]],IFERROR(FIND("*",T_BATTINGDATA[[#This Row],[Batsman]])-1,IFERROR(FIND("†",T_BATTINGDATA[[#This Row],[Batsman]])-1,LEN(T_BATTINGDATA[[#This Row],[Batsman]]))))</f>
        <v>NJ O'Brien</v>
      </c>
      <c r="P677">
        <f ca="1">IFERROR(IF(MATCH(T_BATTINGDATA[[#This Row],[BATSMAN NAME]],OFFSET(O678,0,0,BATROWS-ROW(O677)-ROW(T_BATTINGDATA[[#Headers],[BATSMAN NAME]])),0)&gt;0,0,SUMIF($O$6:O677,T_BATTINGDATA[[#This Row],[BATSMAN NAME]],$E$6:E677)),SUMIF($O$6:O677,T_BATTINGDATA[[#This Row],[BATSMAN NAME]],$E$6:E677))</f>
        <v>0</v>
      </c>
    </row>
    <row r="678" spans="1:16" x14ac:dyDescent="0.3">
      <c r="A678">
        <v>30</v>
      </c>
      <c r="B678" t="s">
        <v>169</v>
      </c>
      <c r="C678" t="s">
        <v>246</v>
      </c>
      <c r="D678" t="s">
        <v>167</v>
      </c>
      <c r="E678">
        <v>5</v>
      </c>
      <c r="F678">
        <v>8</v>
      </c>
      <c r="G678">
        <v>3</v>
      </c>
      <c r="H678">
        <v>0</v>
      </c>
      <c r="I678">
        <v>0</v>
      </c>
      <c r="J678">
        <v>166.66</v>
      </c>
      <c r="K678">
        <v>9</v>
      </c>
      <c r="L678" t="str">
        <f>CONCATENATE(T_BATTINGDATA[[#This Row],[Match]],T_BATTINGDATA[[#This Row],[Team]],T_BATTINGDATA[[#This Row],[Bat Number]])</f>
        <v>30Ireland9</v>
      </c>
      <c r="M678" t="str">
        <f>IFERROR(IF(AND(T_BATTINGDATA[[#This Row],[Team]]=I_TEAM,IFERROR(IF(MATCH(T_BATTINGDATA[[#This Row],[BATSMAN NAME]],$O$5:O677,0)&gt;0,0),1)),1,0),"")</f>
        <v/>
      </c>
      <c r="N678" t="e">
        <f>IF(T_BATTINGDATA[[#This Row],[Team]]=I_TEAM,T_BATTINGDATA[[#This Row],[R]],0)</f>
        <v>#REF!</v>
      </c>
      <c r="O678" t="str">
        <f>LEFT(T_BATTINGDATA[[#This Row],[Batsman]],IFERROR(FIND("*",T_BATTINGDATA[[#This Row],[Batsman]])-1,IFERROR(FIND("†",T_BATTINGDATA[[#This Row],[Batsman]])-1,LEN(T_BATTINGDATA[[#This Row],[Batsman]]))))</f>
        <v>GH Dockrell</v>
      </c>
      <c r="P678">
        <f ca="1">IFERROR(IF(MATCH(T_BATTINGDATA[[#This Row],[BATSMAN NAME]],OFFSET(O679,0,0,BATROWS-ROW(O678)-ROW(T_BATTINGDATA[[#Headers],[BATSMAN NAME]])),0)&gt;0,0,SUMIF($O$6:O678,T_BATTINGDATA[[#This Row],[BATSMAN NAME]],$E$6:E678)),SUMIF($O$6:O678,T_BATTINGDATA[[#This Row],[BATSMAN NAME]],$E$6:E678))</f>
        <v>43</v>
      </c>
    </row>
    <row r="679" spans="1:16" x14ac:dyDescent="0.3">
      <c r="A679">
        <v>30</v>
      </c>
      <c r="B679" t="s">
        <v>169</v>
      </c>
      <c r="C679" t="s">
        <v>244</v>
      </c>
      <c r="D679" t="s">
        <v>167</v>
      </c>
      <c r="E679">
        <v>2</v>
      </c>
      <c r="F679">
        <v>4</v>
      </c>
      <c r="G679">
        <v>3</v>
      </c>
      <c r="H679">
        <v>0</v>
      </c>
      <c r="I679">
        <v>0</v>
      </c>
      <c r="J679">
        <v>66.66</v>
      </c>
      <c r="K679">
        <v>10</v>
      </c>
      <c r="L679" t="str">
        <f>CONCATENATE(T_BATTINGDATA[[#This Row],[Match]],T_BATTINGDATA[[#This Row],[Team]],T_BATTINGDATA[[#This Row],[Bat Number]])</f>
        <v>30Ireland10</v>
      </c>
      <c r="M679" t="str">
        <f>IFERROR(IF(AND(T_BATTINGDATA[[#This Row],[Team]]=I_TEAM,IFERROR(IF(MATCH(T_BATTINGDATA[[#This Row],[BATSMAN NAME]],$O$5:O678,0)&gt;0,0),1)),1,0),"")</f>
        <v/>
      </c>
      <c r="N679" t="e">
        <f>IF(T_BATTINGDATA[[#This Row],[Team]]=I_TEAM,T_BATTINGDATA[[#This Row],[R]],0)</f>
        <v>#REF!</v>
      </c>
      <c r="O679" t="str">
        <f>LEFT(T_BATTINGDATA[[#This Row],[Batsman]],IFERROR(FIND("*",T_BATTINGDATA[[#This Row],[Batsman]])-1,IFERROR(FIND("†",T_BATTINGDATA[[#This Row],[Batsman]])-1,LEN(T_BATTINGDATA[[#This Row],[Batsman]]))))</f>
        <v>AR Cusack</v>
      </c>
      <c r="P679">
        <f ca="1">IFERROR(IF(MATCH(T_BATTINGDATA[[#This Row],[BATSMAN NAME]],OFFSET(O680,0,0,BATROWS-ROW(O679)-ROW(T_BATTINGDATA[[#Headers],[BATSMAN NAME]])),0)&gt;0,0,SUMIF($O$6:O679,T_BATTINGDATA[[#This Row],[BATSMAN NAME]],$E$6:E679)),SUMIF($O$6:O679,T_BATTINGDATA[[#This Row],[BATSMAN NAME]],$E$6:E679))</f>
        <v>18</v>
      </c>
    </row>
    <row r="680" spans="1:16" x14ac:dyDescent="0.3">
      <c r="A680">
        <v>30</v>
      </c>
      <c r="B680" t="s">
        <v>158</v>
      </c>
      <c r="C680" t="s">
        <v>221</v>
      </c>
      <c r="D680" t="s">
        <v>769</v>
      </c>
      <c r="E680">
        <v>18</v>
      </c>
      <c r="F680">
        <v>36</v>
      </c>
      <c r="G680">
        <v>32</v>
      </c>
      <c r="H680">
        <v>3</v>
      </c>
      <c r="I680">
        <v>0</v>
      </c>
      <c r="J680">
        <v>56.25</v>
      </c>
      <c r="K680">
        <v>1</v>
      </c>
      <c r="L680" t="str">
        <f>CONCATENATE(T_BATTINGDATA[[#This Row],[Match]],T_BATTINGDATA[[#This Row],[Team]],T_BATTINGDATA[[#This Row],[Bat Number]])</f>
        <v>30Zimbabwe1</v>
      </c>
      <c r="M680" t="str">
        <f>IFERROR(IF(AND(T_BATTINGDATA[[#This Row],[Team]]=I_TEAM,IFERROR(IF(MATCH(T_BATTINGDATA[[#This Row],[BATSMAN NAME]],$O$5:O679,0)&gt;0,0),1)),1,0),"")</f>
        <v/>
      </c>
      <c r="N680" t="e">
        <f>IF(T_BATTINGDATA[[#This Row],[Team]]=I_TEAM,T_BATTINGDATA[[#This Row],[R]],0)</f>
        <v>#REF!</v>
      </c>
      <c r="O680" t="str">
        <f>LEFT(T_BATTINGDATA[[#This Row],[Batsman]],IFERROR(FIND("*",T_BATTINGDATA[[#This Row],[Batsman]])-1,IFERROR(FIND("†",T_BATTINGDATA[[#This Row],[Batsman]])-1,LEN(T_BATTINGDATA[[#This Row],[Batsman]]))))</f>
        <v>CJ Chibhabha</v>
      </c>
      <c r="P680">
        <f ca="1">IFERROR(IF(MATCH(T_BATTINGDATA[[#This Row],[BATSMAN NAME]],OFFSET(O681,0,0,BATROWS-ROW(O680)-ROW(T_BATTINGDATA[[#Headers],[BATSMAN NAME]])),0)&gt;0,0,SUMIF($O$6:O680,T_BATTINGDATA[[#This Row],[BATSMAN NAME]],$E$6:E680)),SUMIF($O$6:O680,T_BATTINGDATA[[#This Row],[BATSMAN NAME]],$E$6:E680))</f>
        <v>98</v>
      </c>
    </row>
    <row r="681" spans="1:16" x14ac:dyDescent="0.3">
      <c r="A681">
        <v>30</v>
      </c>
      <c r="B681" t="s">
        <v>158</v>
      </c>
      <c r="C681" t="s">
        <v>217</v>
      </c>
      <c r="D681" t="s">
        <v>770</v>
      </c>
      <c r="E681">
        <v>12</v>
      </c>
      <c r="F681">
        <v>32</v>
      </c>
      <c r="G681">
        <v>19</v>
      </c>
      <c r="H681">
        <v>2</v>
      </c>
      <c r="I681">
        <v>0</v>
      </c>
      <c r="J681">
        <v>63.15</v>
      </c>
      <c r="K681">
        <v>2</v>
      </c>
      <c r="L681" t="str">
        <f>CONCATENATE(T_BATTINGDATA[[#This Row],[Match]],T_BATTINGDATA[[#This Row],[Team]],T_BATTINGDATA[[#This Row],[Bat Number]])</f>
        <v>30Zimbabwe2</v>
      </c>
      <c r="M681" t="str">
        <f>IFERROR(IF(AND(T_BATTINGDATA[[#This Row],[Team]]=I_TEAM,IFERROR(IF(MATCH(T_BATTINGDATA[[#This Row],[BATSMAN NAME]],$O$5:O680,0)&gt;0,0),1)),1,0),"")</f>
        <v/>
      </c>
      <c r="N681" t="e">
        <f>IF(T_BATTINGDATA[[#This Row],[Team]]=I_TEAM,T_BATTINGDATA[[#This Row],[R]],0)</f>
        <v>#REF!</v>
      </c>
      <c r="O681" t="str">
        <f>LEFT(T_BATTINGDATA[[#This Row],[Batsman]],IFERROR(FIND("*",T_BATTINGDATA[[#This Row],[Batsman]])-1,IFERROR(FIND("†",T_BATTINGDATA[[#This Row],[Batsman]])-1,LEN(T_BATTINGDATA[[#This Row],[Batsman]]))))</f>
        <v>Sikandar Raza</v>
      </c>
      <c r="P681">
        <f ca="1">IFERROR(IF(MATCH(T_BATTINGDATA[[#This Row],[BATSMAN NAME]],OFFSET(O682,0,0,BATROWS-ROW(O681)-ROW(T_BATTINGDATA[[#Headers],[BATSMAN NAME]])),0)&gt;0,0,SUMIF($O$6:O681,T_BATTINGDATA[[#This Row],[BATSMAN NAME]],$E$6:E681)),SUMIF($O$6:O681,T_BATTINGDATA[[#This Row],[BATSMAN NAME]],$E$6:E681))</f>
        <v>125</v>
      </c>
    </row>
    <row r="682" spans="1:16" x14ac:dyDescent="0.3">
      <c r="A682">
        <v>30</v>
      </c>
      <c r="B682" t="s">
        <v>158</v>
      </c>
      <c r="C682" t="s">
        <v>211</v>
      </c>
      <c r="D682" t="s">
        <v>771</v>
      </c>
      <c r="E682">
        <v>11</v>
      </c>
      <c r="F682">
        <v>37</v>
      </c>
      <c r="G682">
        <v>21</v>
      </c>
      <c r="H682">
        <v>1</v>
      </c>
      <c r="I682">
        <v>0</v>
      </c>
      <c r="J682">
        <v>52.38</v>
      </c>
      <c r="K682">
        <v>3</v>
      </c>
      <c r="L682" t="str">
        <f>CONCATENATE(T_BATTINGDATA[[#This Row],[Match]],T_BATTINGDATA[[#This Row],[Team]],T_BATTINGDATA[[#This Row],[Bat Number]])</f>
        <v>30Zimbabwe3</v>
      </c>
      <c r="M682" t="str">
        <f>IFERROR(IF(AND(T_BATTINGDATA[[#This Row],[Team]]=I_TEAM,IFERROR(IF(MATCH(T_BATTINGDATA[[#This Row],[BATSMAN NAME]],$O$5:O681,0)&gt;0,0),1)),1,0),"")</f>
        <v/>
      </c>
      <c r="N682" t="e">
        <f>IF(T_BATTINGDATA[[#This Row],[Team]]=I_TEAM,T_BATTINGDATA[[#This Row],[R]],0)</f>
        <v>#REF!</v>
      </c>
      <c r="O682" t="str">
        <f>LEFT(T_BATTINGDATA[[#This Row],[Batsman]],IFERROR(FIND("*",T_BATTINGDATA[[#This Row],[Batsman]])-1,IFERROR(FIND("†",T_BATTINGDATA[[#This Row],[Batsman]])-1,LEN(T_BATTINGDATA[[#This Row],[Batsman]]))))</f>
        <v>SF Mire</v>
      </c>
      <c r="P682">
        <f ca="1">IFERROR(IF(MATCH(T_BATTINGDATA[[#This Row],[BATSMAN NAME]],OFFSET(O683,0,0,BATROWS-ROW(O682)-ROW(T_BATTINGDATA[[#Headers],[BATSMAN NAME]])),0)&gt;0,0,SUMIF($O$6:O682,T_BATTINGDATA[[#This Row],[BATSMAN NAME]],$E$6:E682)),SUMIF($O$6:O682,T_BATTINGDATA[[#This Row],[BATSMAN NAME]],$E$6:E682))</f>
        <v>64</v>
      </c>
    </row>
    <row r="683" spans="1:16" x14ac:dyDescent="0.3">
      <c r="A683">
        <v>30</v>
      </c>
      <c r="B683" t="s">
        <v>158</v>
      </c>
      <c r="C683" t="s">
        <v>218</v>
      </c>
      <c r="D683" t="s">
        <v>772</v>
      </c>
      <c r="E683">
        <v>5</v>
      </c>
      <c r="F683">
        <v>8</v>
      </c>
      <c r="G683">
        <v>7</v>
      </c>
      <c r="H683">
        <v>0</v>
      </c>
      <c r="I683">
        <v>0</v>
      </c>
      <c r="J683">
        <v>71.42</v>
      </c>
      <c r="K683">
        <v>4</v>
      </c>
      <c r="L683" t="str">
        <f>CONCATENATE(T_BATTINGDATA[[#This Row],[Match]],T_BATTINGDATA[[#This Row],[Team]],T_BATTINGDATA[[#This Row],[Bat Number]])</f>
        <v>30Zimbabwe4</v>
      </c>
      <c r="M683" t="str">
        <f>IFERROR(IF(AND(T_BATTINGDATA[[#This Row],[Team]]=I_TEAM,IFERROR(IF(MATCH(T_BATTINGDATA[[#This Row],[BATSMAN NAME]],$O$5:O682,0)&gt;0,0),1)),1,0),"")</f>
        <v/>
      </c>
      <c r="N683" t="e">
        <f>IF(T_BATTINGDATA[[#This Row],[Team]]=I_TEAM,T_BATTINGDATA[[#This Row],[R]],0)</f>
        <v>#REF!</v>
      </c>
      <c r="O683" t="str">
        <f>LEFT(T_BATTINGDATA[[#This Row],[Batsman]],IFERROR(FIND("*",T_BATTINGDATA[[#This Row],[Batsman]])-1,IFERROR(FIND("†",T_BATTINGDATA[[#This Row],[Batsman]])-1,LEN(T_BATTINGDATA[[#This Row],[Batsman]]))))</f>
        <v>H Masakadza</v>
      </c>
      <c r="P683">
        <f ca="1">IFERROR(IF(MATCH(T_BATTINGDATA[[#This Row],[BATSMAN NAME]],OFFSET(O684,0,0,BATROWS-ROW(O683)-ROW(T_BATTINGDATA[[#Headers],[BATSMAN NAME]])),0)&gt;0,0,SUMIF($O$6:O683,T_BATTINGDATA[[#This Row],[BATSMAN NAME]],$E$6:E683)),SUMIF($O$6:O683,T_BATTINGDATA[[#This Row],[BATSMAN NAME]],$E$6:E683))</f>
        <v>122</v>
      </c>
    </row>
    <row r="684" spans="1:16" x14ac:dyDescent="0.3">
      <c r="A684">
        <v>30</v>
      </c>
      <c r="B684" t="s">
        <v>158</v>
      </c>
      <c r="C684" t="s">
        <v>226</v>
      </c>
      <c r="D684" t="s">
        <v>773</v>
      </c>
      <c r="E684">
        <v>121</v>
      </c>
      <c r="F684">
        <v>110</v>
      </c>
      <c r="G684">
        <v>91</v>
      </c>
      <c r="H684">
        <v>11</v>
      </c>
      <c r="I684">
        <v>4</v>
      </c>
      <c r="J684">
        <v>132.96</v>
      </c>
      <c r="K684">
        <v>5</v>
      </c>
      <c r="L684" t="str">
        <f>CONCATENATE(T_BATTINGDATA[[#This Row],[Match]],T_BATTINGDATA[[#This Row],[Team]],T_BATTINGDATA[[#This Row],[Bat Number]])</f>
        <v>30Zimbabwe5</v>
      </c>
      <c r="M684" t="str">
        <f>IFERROR(IF(AND(T_BATTINGDATA[[#This Row],[Team]]=I_TEAM,IFERROR(IF(MATCH(T_BATTINGDATA[[#This Row],[BATSMAN NAME]],$O$5:O683,0)&gt;0,0),1)),1,0),"")</f>
        <v/>
      </c>
      <c r="N684" t="e">
        <f>IF(T_BATTINGDATA[[#This Row],[Team]]=I_TEAM,T_BATTINGDATA[[#This Row],[R]],0)</f>
        <v>#REF!</v>
      </c>
      <c r="O684" t="str">
        <f>LEFT(T_BATTINGDATA[[#This Row],[Batsman]],IFERROR(FIND("*",T_BATTINGDATA[[#This Row],[Batsman]])-1,IFERROR(FIND("†",T_BATTINGDATA[[#This Row],[Batsman]])-1,LEN(T_BATTINGDATA[[#This Row],[Batsman]]))))</f>
        <v>BRM Taylor</v>
      </c>
      <c r="P684">
        <f ca="1">IFERROR(IF(MATCH(T_BATTINGDATA[[#This Row],[BATSMAN NAME]],OFFSET(O685,0,0,BATROWS-ROW(O684)-ROW(T_BATTINGDATA[[#Headers],[BATSMAN NAME]])),0)&gt;0,0,SUMIF($O$6:O684,T_BATTINGDATA[[#This Row],[BATSMAN NAME]],$E$6:E684)),SUMIF($O$6:O684,T_BATTINGDATA[[#This Row],[BATSMAN NAME]],$E$6:E684))</f>
        <v>433</v>
      </c>
    </row>
    <row r="685" spans="1:16" x14ac:dyDescent="0.3">
      <c r="A685">
        <v>30</v>
      </c>
      <c r="B685" t="s">
        <v>158</v>
      </c>
      <c r="C685" t="s">
        <v>214</v>
      </c>
      <c r="D685" t="s">
        <v>428</v>
      </c>
      <c r="E685">
        <v>96</v>
      </c>
      <c r="F685">
        <v>131</v>
      </c>
      <c r="G685">
        <v>83</v>
      </c>
      <c r="H685">
        <v>7</v>
      </c>
      <c r="I685">
        <v>2</v>
      </c>
      <c r="J685">
        <v>115.66</v>
      </c>
      <c r="K685">
        <v>6</v>
      </c>
      <c r="L685" t="str">
        <f>CONCATENATE(T_BATTINGDATA[[#This Row],[Match]],T_BATTINGDATA[[#This Row],[Team]],T_BATTINGDATA[[#This Row],[Bat Number]])</f>
        <v>30Zimbabwe6</v>
      </c>
      <c r="M685" t="str">
        <f>IFERROR(IF(AND(T_BATTINGDATA[[#This Row],[Team]]=I_TEAM,IFERROR(IF(MATCH(T_BATTINGDATA[[#This Row],[BATSMAN NAME]],$O$5:O684,0)&gt;0,0),1)),1,0),"")</f>
        <v/>
      </c>
      <c r="N685" t="e">
        <f>IF(T_BATTINGDATA[[#This Row],[Team]]=I_TEAM,T_BATTINGDATA[[#This Row],[R]],0)</f>
        <v>#REF!</v>
      </c>
      <c r="O685" t="str">
        <f>LEFT(T_BATTINGDATA[[#This Row],[Batsman]],IFERROR(FIND("*",T_BATTINGDATA[[#This Row],[Batsman]])-1,IFERROR(FIND("†",T_BATTINGDATA[[#This Row],[Batsman]])-1,LEN(T_BATTINGDATA[[#This Row],[Batsman]]))))</f>
        <v>SC Williams</v>
      </c>
      <c r="P685">
        <f ca="1">IFERROR(IF(MATCH(T_BATTINGDATA[[#This Row],[BATSMAN NAME]],OFFSET(O686,0,0,BATROWS-ROW(O685)-ROW(T_BATTINGDATA[[#Headers],[BATSMAN NAME]])),0)&gt;0,0,SUMIF($O$6:O685,T_BATTINGDATA[[#This Row],[BATSMAN NAME]],$E$6:E685)),SUMIF($O$6:O685,T_BATTINGDATA[[#This Row],[BATSMAN NAME]],$E$6:E685))</f>
        <v>339</v>
      </c>
    </row>
    <row r="686" spans="1:16" x14ac:dyDescent="0.3">
      <c r="A686">
        <v>30</v>
      </c>
      <c r="B686" t="s">
        <v>158</v>
      </c>
      <c r="C686" t="s">
        <v>231</v>
      </c>
      <c r="D686" t="s">
        <v>715</v>
      </c>
      <c r="E686">
        <v>11</v>
      </c>
      <c r="F686">
        <v>25</v>
      </c>
      <c r="G686">
        <v>16</v>
      </c>
      <c r="H686">
        <v>1</v>
      </c>
      <c r="I686">
        <v>0</v>
      </c>
      <c r="J686">
        <v>68.75</v>
      </c>
      <c r="K686">
        <v>7</v>
      </c>
      <c r="L686" t="str">
        <f>CONCATENATE(T_BATTINGDATA[[#This Row],[Match]],T_BATTINGDATA[[#This Row],[Team]],T_BATTINGDATA[[#This Row],[Bat Number]])</f>
        <v>30Zimbabwe7</v>
      </c>
      <c r="M686" t="str">
        <f>IFERROR(IF(AND(T_BATTINGDATA[[#This Row],[Team]]=I_TEAM,IFERROR(IF(MATCH(T_BATTINGDATA[[#This Row],[BATSMAN NAME]],$O$5:O685,0)&gt;0,0),1)),1,0),"")</f>
        <v/>
      </c>
      <c r="N686" t="e">
        <f>IF(T_BATTINGDATA[[#This Row],[Team]]=I_TEAM,T_BATTINGDATA[[#This Row],[R]],0)</f>
        <v>#REF!</v>
      </c>
      <c r="O686" t="str">
        <f>LEFT(T_BATTINGDATA[[#This Row],[Batsman]],IFERROR(FIND("*",T_BATTINGDATA[[#This Row],[Batsman]])-1,IFERROR(FIND("†",T_BATTINGDATA[[#This Row],[Batsman]])-1,LEN(T_BATTINGDATA[[#This Row],[Batsman]]))))</f>
        <v>CR Ervine</v>
      </c>
      <c r="P686">
        <f ca="1">IFERROR(IF(MATCH(T_BATTINGDATA[[#This Row],[BATSMAN NAME]],OFFSET(O687,0,0,BATROWS-ROW(O686)-ROW(T_BATTINGDATA[[#Headers],[BATSMAN NAME]])),0)&gt;0,0,SUMIF($O$6:O686,T_BATTINGDATA[[#This Row],[BATSMAN NAME]],$E$6:E686)),SUMIF($O$6:O686,T_BATTINGDATA[[#This Row],[BATSMAN NAME]],$E$6:E686))</f>
        <v>159</v>
      </c>
    </row>
    <row r="687" spans="1:16" x14ac:dyDescent="0.3">
      <c r="A687">
        <v>30</v>
      </c>
      <c r="B687" t="s">
        <v>158</v>
      </c>
      <c r="C687" t="s">
        <v>235</v>
      </c>
      <c r="D687" t="s">
        <v>774</v>
      </c>
      <c r="E687">
        <v>17</v>
      </c>
      <c r="F687">
        <v>36</v>
      </c>
      <c r="G687">
        <v>16</v>
      </c>
      <c r="H687">
        <v>1</v>
      </c>
      <c r="I687">
        <v>0</v>
      </c>
      <c r="J687">
        <v>106.25</v>
      </c>
      <c r="K687">
        <v>8</v>
      </c>
      <c r="L687" t="str">
        <f>CONCATENATE(T_BATTINGDATA[[#This Row],[Match]],T_BATTINGDATA[[#This Row],[Team]],T_BATTINGDATA[[#This Row],[Bat Number]])</f>
        <v>30Zimbabwe8</v>
      </c>
      <c r="M687" t="str">
        <f>IFERROR(IF(AND(T_BATTINGDATA[[#This Row],[Team]]=I_TEAM,IFERROR(IF(MATCH(T_BATTINGDATA[[#This Row],[BATSMAN NAME]],$O$5:O686,0)&gt;0,0),1)),1,0),"")</f>
        <v/>
      </c>
      <c r="N687" t="e">
        <f>IF(T_BATTINGDATA[[#This Row],[Team]]=I_TEAM,T_BATTINGDATA[[#This Row],[R]],0)</f>
        <v>#REF!</v>
      </c>
      <c r="O687" t="str">
        <f>LEFT(T_BATTINGDATA[[#This Row],[Batsman]],IFERROR(FIND("*",T_BATTINGDATA[[#This Row],[Batsman]])-1,IFERROR(FIND("†",T_BATTINGDATA[[#This Row],[Batsman]])-1,LEN(T_BATTINGDATA[[#This Row],[Batsman]]))))</f>
        <v>RW Chakabva</v>
      </c>
      <c r="P687">
        <f ca="1">IFERROR(IF(MATCH(T_BATTINGDATA[[#This Row],[BATSMAN NAME]],OFFSET(O688,0,0,BATROWS-ROW(O687)-ROW(T_BATTINGDATA[[#Headers],[BATSMAN NAME]])),0)&gt;0,0,SUMIF($O$6:O687,T_BATTINGDATA[[#This Row],[BATSMAN NAME]],$E$6:E687)),SUMIF($O$6:O687,T_BATTINGDATA[[#This Row],[BATSMAN NAME]],$E$6:E687))</f>
        <v>64</v>
      </c>
    </row>
    <row r="688" spans="1:16" x14ac:dyDescent="0.3">
      <c r="A688">
        <v>30</v>
      </c>
      <c r="B688" t="s">
        <v>158</v>
      </c>
      <c r="C688" t="s">
        <v>204</v>
      </c>
      <c r="D688" t="s">
        <v>775</v>
      </c>
      <c r="E688">
        <v>5</v>
      </c>
      <c r="F688">
        <v>4</v>
      </c>
      <c r="G688">
        <v>5</v>
      </c>
      <c r="H688">
        <v>0</v>
      </c>
      <c r="I688">
        <v>0</v>
      </c>
      <c r="J688">
        <v>100</v>
      </c>
      <c r="K688">
        <v>9</v>
      </c>
      <c r="L688" t="str">
        <f>CONCATENATE(T_BATTINGDATA[[#This Row],[Match]],T_BATTINGDATA[[#This Row],[Team]],T_BATTINGDATA[[#This Row],[Bat Number]])</f>
        <v>30Zimbabwe9</v>
      </c>
      <c r="M688" t="str">
        <f>IFERROR(IF(AND(T_BATTINGDATA[[#This Row],[Team]]=I_TEAM,IFERROR(IF(MATCH(T_BATTINGDATA[[#This Row],[BATSMAN NAME]],$O$5:O687,0)&gt;0,0),1)),1,0),"")</f>
        <v/>
      </c>
      <c r="N688" t="e">
        <f>IF(T_BATTINGDATA[[#This Row],[Team]]=I_TEAM,T_BATTINGDATA[[#This Row],[R]],0)</f>
        <v>#REF!</v>
      </c>
      <c r="O688" t="str">
        <f>LEFT(T_BATTINGDATA[[#This Row],[Batsman]],IFERROR(FIND("*",T_BATTINGDATA[[#This Row],[Batsman]])-1,IFERROR(FIND("†",T_BATTINGDATA[[#This Row],[Batsman]])-1,LEN(T_BATTINGDATA[[#This Row],[Batsman]]))))</f>
        <v>T Panyangara</v>
      </c>
      <c r="P688">
        <f ca="1">IFERROR(IF(MATCH(T_BATTINGDATA[[#This Row],[BATSMAN NAME]],OFFSET(O689,0,0,BATROWS-ROW(O688)-ROW(T_BATTINGDATA[[#Headers],[BATSMAN NAME]])),0)&gt;0,0,SUMIF($O$6:O688,T_BATTINGDATA[[#This Row],[BATSMAN NAME]],$E$6:E688)),SUMIF($O$6:O688,T_BATTINGDATA[[#This Row],[BATSMAN NAME]],$E$6:E688))</f>
        <v>29</v>
      </c>
    </row>
    <row r="689" spans="1:16" x14ac:dyDescent="0.3">
      <c r="A689">
        <v>30</v>
      </c>
      <c r="B689" t="s">
        <v>158</v>
      </c>
      <c r="C689" t="s">
        <v>208</v>
      </c>
      <c r="D689" t="s">
        <v>769</v>
      </c>
      <c r="E689">
        <v>18</v>
      </c>
      <c r="F689">
        <v>11</v>
      </c>
      <c r="G689">
        <v>7</v>
      </c>
      <c r="H689">
        <v>2</v>
      </c>
      <c r="I689">
        <v>1</v>
      </c>
      <c r="J689">
        <v>257.14</v>
      </c>
      <c r="K689">
        <v>10</v>
      </c>
      <c r="L689" t="str">
        <f>CONCATENATE(T_BATTINGDATA[[#This Row],[Match]],T_BATTINGDATA[[#This Row],[Team]],T_BATTINGDATA[[#This Row],[Bat Number]])</f>
        <v>30Zimbabwe10</v>
      </c>
      <c r="M689" t="str">
        <f>IFERROR(IF(AND(T_BATTINGDATA[[#This Row],[Team]]=I_TEAM,IFERROR(IF(MATCH(T_BATTINGDATA[[#This Row],[BATSMAN NAME]],$O$5:O688,0)&gt;0,0),1)),1,0),"")</f>
        <v/>
      </c>
      <c r="N689" t="e">
        <f>IF(T_BATTINGDATA[[#This Row],[Team]]=I_TEAM,T_BATTINGDATA[[#This Row],[R]],0)</f>
        <v>#REF!</v>
      </c>
      <c r="O689" t="str">
        <f>LEFT(T_BATTINGDATA[[#This Row],[Batsman]],IFERROR(FIND("*",T_BATTINGDATA[[#This Row],[Batsman]])-1,IFERROR(FIND("†",T_BATTINGDATA[[#This Row],[Batsman]])-1,LEN(T_BATTINGDATA[[#This Row],[Batsman]]))))</f>
        <v>T Mupariwa</v>
      </c>
      <c r="P689">
        <f ca="1">IFERROR(IF(MATCH(T_BATTINGDATA[[#This Row],[BATSMAN NAME]],OFFSET(O690,0,0,BATROWS-ROW(O689)-ROW(T_BATTINGDATA[[#Headers],[BATSMAN NAME]])),0)&gt;0,0,SUMIF($O$6:O689,T_BATTINGDATA[[#This Row],[BATSMAN NAME]],$E$6:E689)),SUMIF($O$6:O689,T_BATTINGDATA[[#This Row],[BATSMAN NAME]],$E$6:E689))</f>
        <v>19</v>
      </c>
    </row>
    <row r="690" spans="1:16" x14ac:dyDescent="0.3">
      <c r="A690">
        <v>30</v>
      </c>
      <c r="B690" t="s">
        <v>158</v>
      </c>
      <c r="C690" t="s">
        <v>207</v>
      </c>
      <c r="D690" t="s">
        <v>167</v>
      </c>
      <c r="E690">
        <v>1</v>
      </c>
      <c r="F690">
        <v>2</v>
      </c>
      <c r="G690">
        <v>1</v>
      </c>
      <c r="H690">
        <v>0</v>
      </c>
      <c r="I690">
        <v>0</v>
      </c>
      <c r="J690">
        <v>100</v>
      </c>
      <c r="K690">
        <v>11</v>
      </c>
      <c r="L690" t="str">
        <f>CONCATENATE(T_BATTINGDATA[[#This Row],[Match]],T_BATTINGDATA[[#This Row],[Team]],T_BATTINGDATA[[#This Row],[Bat Number]])</f>
        <v>30Zimbabwe11</v>
      </c>
      <c r="M690" t="str">
        <f>IFERROR(IF(AND(T_BATTINGDATA[[#This Row],[Team]]=I_TEAM,IFERROR(IF(MATCH(T_BATTINGDATA[[#This Row],[BATSMAN NAME]],$O$5:O689,0)&gt;0,0),1)),1,0),"")</f>
        <v/>
      </c>
      <c r="N690" t="e">
        <f>IF(T_BATTINGDATA[[#This Row],[Team]]=I_TEAM,T_BATTINGDATA[[#This Row],[R]],0)</f>
        <v>#REF!</v>
      </c>
      <c r="O690" t="str">
        <f>LEFT(T_BATTINGDATA[[#This Row],[Batsman]],IFERROR(FIND("*",T_BATTINGDATA[[#This Row],[Batsman]])-1,IFERROR(FIND("†",T_BATTINGDATA[[#This Row],[Batsman]])-1,LEN(T_BATTINGDATA[[#This Row],[Batsman]]))))</f>
        <v>TL Chatara</v>
      </c>
      <c r="P690">
        <f ca="1">IFERROR(IF(MATCH(T_BATTINGDATA[[#This Row],[BATSMAN NAME]],OFFSET(O691,0,0,BATROWS-ROW(O690)-ROW(T_BATTINGDATA[[#Headers],[BATSMAN NAME]])),0)&gt;0,0,SUMIF($O$6:O690,T_BATTINGDATA[[#This Row],[BATSMAN NAME]],$E$6:E690)),SUMIF($O$6:O690,T_BATTINGDATA[[#This Row],[BATSMAN NAME]],$E$6:E690))</f>
        <v>23</v>
      </c>
    </row>
    <row r="691" spans="1:16" x14ac:dyDescent="0.3">
      <c r="A691">
        <v>31</v>
      </c>
      <c r="B691" t="s">
        <v>185</v>
      </c>
      <c r="C691" t="s">
        <v>398</v>
      </c>
      <c r="D691" t="s">
        <v>365</v>
      </c>
      <c r="E691">
        <v>1</v>
      </c>
      <c r="F691">
        <v>6</v>
      </c>
      <c r="G691">
        <v>7</v>
      </c>
      <c r="H691">
        <v>0</v>
      </c>
      <c r="I691">
        <v>0</v>
      </c>
      <c r="J691">
        <v>14.28</v>
      </c>
      <c r="K691">
        <v>1</v>
      </c>
      <c r="L691" t="str">
        <f>CONCATENATE(T_BATTINGDATA[[#This Row],[Match]],T_BATTINGDATA[[#This Row],[Team]],T_BATTINGDATA[[#This Row],[Bat Number]])</f>
        <v>31Afghanistan1</v>
      </c>
      <c r="M691" t="str">
        <f>IFERROR(IF(AND(T_BATTINGDATA[[#This Row],[Team]]=I_TEAM,IFERROR(IF(MATCH(T_BATTINGDATA[[#This Row],[BATSMAN NAME]],$O$5:O690,0)&gt;0,0),1)),1,0),"")</f>
        <v/>
      </c>
      <c r="N691" t="e">
        <f>IF(T_BATTINGDATA[[#This Row],[Team]]=I_TEAM,T_BATTINGDATA[[#This Row],[R]],0)</f>
        <v>#REF!</v>
      </c>
      <c r="O691" t="str">
        <f>LEFT(T_BATTINGDATA[[#This Row],[Batsman]],IFERROR(FIND("*",T_BATTINGDATA[[#This Row],[Batsman]])-1,IFERROR(FIND("†",T_BATTINGDATA[[#This Row],[Batsman]])-1,LEN(T_BATTINGDATA[[#This Row],[Batsman]]))))</f>
        <v>Javed Ahmadi</v>
      </c>
      <c r="P691">
        <f ca="1">IFERROR(IF(MATCH(T_BATTINGDATA[[#This Row],[BATSMAN NAME]],OFFSET(O692,0,0,BATROWS-ROW(O691)-ROW(T_BATTINGDATA[[#Headers],[BATSMAN NAME]])),0)&gt;0,0,SUMIF($O$6:O691,T_BATTINGDATA[[#This Row],[BATSMAN NAME]],$E$6:E691)),SUMIF($O$6:O691,T_BATTINGDATA[[#This Row],[BATSMAN NAME]],$E$6:E691))</f>
        <v>0</v>
      </c>
    </row>
    <row r="692" spans="1:16" x14ac:dyDescent="0.3">
      <c r="A692">
        <v>31</v>
      </c>
      <c r="B692" t="s">
        <v>185</v>
      </c>
      <c r="C692" t="s">
        <v>737</v>
      </c>
      <c r="D692" t="s">
        <v>609</v>
      </c>
      <c r="E692">
        <v>0</v>
      </c>
      <c r="F692">
        <v>12</v>
      </c>
      <c r="G692">
        <v>3</v>
      </c>
      <c r="H692">
        <v>0</v>
      </c>
      <c r="I692">
        <v>0</v>
      </c>
      <c r="J692">
        <v>0</v>
      </c>
      <c r="K692">
        <v>2</v>
      </c>
      <c r="L692" t="str">
        <f>CONCATENATE(T_BATTINGDATA[[#This Row],[Match]],T_BATTINGDATA[[#This Row],[Team]],T_BATTINGDATA[[#This Row],[Bat Number]])</f>
        <v>31Afghanistan2</v>
      </c>
      <c r="M692" t="str">
        <f>IFERROR(IF(AND(T_BATTINGDATA[[#This Row],[Team]]=I_TEAM,IFERROR(IF(MATCH(T_BATTINGDATA[[#This Row],[BATSMAN NAME]],$O$5:O691,0)&gt;0,0),1)),1,0),"")</f>
        <v/>
      </c>
      <c r="N692" t="e">
        <f>IF(T_BATTINGDATA[[#This Row],[Team]]=I_TEAM,T_BATTINGDATA[[#This Row],[R]],0)</f>
        <v>#REF!</v>
      </c>
      <c r="O692" t="str">
        <f>LEFT(T_BATTINGDATA[[#This Row],[Batsman]],IFERROR(FIND("*",T_BATTINGDATA[[#This Row],[Batsman]])-1,IFERROR(FIND("†",T_BATTINGDATA[[#This Row],[Batsman]])-1,LEN(T_BATTINGDATA[[#This Row],[Batsman]]))))</f>
        <v>Usman Ghani</v>
      </c>
      <c r="P692">
        <f ca="1">IFERROR(IF(MATCH(T_BATTINGDATA[[#This Row],[BATSMAN NAME]],OFFSET(O693,0,0,BATROWS-ROW(O692)-ROW(T_BATTINGDATA[[#Headers],[BATSMAN NAME]])),0)&gt;0,0,SUMIF($O$6:O692,T_BATTINGDATA[[#This Row],[BATSMAN NAME]],$E$6:E692)),SUMIF($O$6:O692,T_BATTINGDATA[[#This Row],[BATSMAN NAME]],$E$6:E692))</f>
        <v>12</v>
      </c>
    </row>
    <row r="693" spans="1:16" x14ac:dyDescent="0.3">
      <c r="A693">
        <v>31</v>
      </c>
      <c r="B693" t="s">
        <v>185</v>
      </c>
      <c r="C693" t="s">
        <v>478</v>
      </c>
      <c r="D693" t="s">
        <v>609</v>
      </c>
      <c r="E693">
        <v>27</v>
      </c>
      <c r="F693">
        <v>58</v>
      </c>
      <c r="G693">
        <v>46</v>
      </c>
      <c r="H693">
        <v>3</v>
      </c>
      <c r="I693">
        <v>0</v>
      </c>
      <c r="J693">
        <v>58.69</v>
      </c>
      <c r="K693">
        <v>3</v>
      </c>
      <c r="L693" t="str">
        <f>CONCATENATE(T_BATTINGDATA[[#This Row],[Match]],T_BATTINGDATA[[#This Row],[Team]],T_BATTINGDATA[[#This Row],[Bat Number]])</f>
        <v>31Afghanistan3</v>
      </c>
      <c r="M693" t="str">
        <f>IFERROR(IF(AND(T_BATTINGDATA[[#This Row],[Team]]=I_TEAM,IFERROR(IF(MATCH(T_BATTINGDATA[[#This Row],[BATSMAN NAME]],$O$5:O692,0)&gt;0,0),1)),1,0),"")</f>
        <v/>
      </c>
      <c r="N693" t="e">
        <f>IF(T_BATTINGDATA[[#This Row],[Team]]=I_TEAM,T_BATTINGDATA[[#This Row],[R]],0)</f>
        <v>#REF!</v>
      </c>
      <c r="O693" t="str">
        <f>LEFT(T_BATTINGDATA[[#This Row],[Batsman]],IFERROR(FIND("*",T_BATTINGDATA[[#This Row],[Batsman]])-1,IFERROR(FIND("†",T_BATTINGDATA[[#This Row],[Batsman]])-1,LEN(T_BATTINGDATA[[#This Row],[Batsman]]))))</f>
        <v>Nawroz Mangal</v>
      </c>
      <c r="P693">
        <f ca="1">IFERROR(IF(MATCH(T_BATTINGDATA[[#This Row],[BATSMAN NAME]],OFFSET(O694,0,0,BATROWS-ROW(O693)-ROW(T_BATTINGDATA[[#Headers],[BATSMAN NAME]])),0)&gt;0,0,SUMIF($O$6:O693,T_BATTINGDATA[[#This Row],[BATSMAN NAME]],$E$6:E693)),SUMIF($O$6:O693,T_BATTINGDATA[[#This Row],[BATSMAN NAME]],$E$6:E693))</f>
        <v>0</v>
      </c>
    </row>
    <row r="694" spans="1:16" x14ac:dyDescent="0.3">
      <c r="A694">
        <v>31</v>
      </c>
      <c r="B694" t="s">
        <v>185</v>
      </c>
      <c r="C694" t="s">
        <v>457</v>
      </c>
      <c r="D694" t="s">
        <v>607</v>
      </c>
      <c r="E694">
        <v>9</v>
      </c>
      <c r="F694">
        <v>24</v>
      </c>
      <c r="G694">
        <v>18</v>
      </c>
      <c r="H694">
        <v>2</v>
      </c>
      <c r="I694">
        <v>0</v>
      </c>
      <c r="J694">
        <v>50</v>
      </c>
      <c r="K694">
        <v>4</v>
      </c>
      <c r="L694" t="str">
        <f>CONCATENATE(T_BATTINGDATA[[#This Row],[Match]],T_BATTINGDATA[[#This Row],[Team]],T_BATTINGDATA[[#This Row],[Bat Number]])</f>
        <v>31Afghanistan4</v>
      </c>
      <c r="M694" t="str">
        <f>IFERROR(IF(AND(T_BATTINGDATA[[#This Row],[Team]]=I_TEAM,IFERROR(IF(MATCH(T_BATTINGDATA[[#This Row],[BATSMAN NAME]],$O$5:O693,0)&gt;0,0),1)),1,0),"")</f>
        <v/>
      </c>
      <c r="N694" t="e">
        <f>IF(T_BATTINGDATA[[#This Row],[Team]]=I_TEAM,T_BATTINGDATA[[#This Row],[R]],0)</f>
        <v>#REF!</v>
      </c>
      <c r="O694" t="str">
        <f>LEFT(T_BATTINGDATA[[#This Row],[Batsman]],IFERROR(FIND("*",T_BATTINGDATA[[#This Row],[Batsman]])-1,IFERROR(FIND("†",T_BATTINGDATA[[#This Row],[Batsman]])-1,LEN(T_BATTINGDATA[[#This Row],[Batsman]]))))</f>
        <v>Asghar Stanikzai</v>
      </c>
      <c r="P694">
        <f ca="1">IFERROR(IF(MATCH(T_BATTINGDATA[[#This Row],[BATSMAN NAME]],OFFSET(O695,0,0,BATROWS-ROW(O694)-ROW(T_BATTINGDATA[[#Headers],[BATSMAN NAME]])),0)&gt;0,0,SUMIF($O$6:O694,T_BATTINGDATA[[#This Row],[BATSMAN NAME]],$E$6:E694)),SUMIF($O$6:O694,T_BATTINGDATA[[#This Row],[BATSMAN NAME]],$E$6:E694))</f>
        <v>72</v>
      </c>
    </row>
    <row r="695" spans="1:16" x14ac:dyDescent="0.3">
      <c r="A695">
        <v>31</v>
      </c>
      <c r="B695" t="s">
        <v>185</v>
      </c>
      <c r="C695" t="s">
        <v>401</v>
      </c>
      <c r="D695" t="s">
        <v>776</v>
      </c>
      <c r="E695">
        <v>54</v>
      </c>
      <c r="F695">
        <v>172</v>
      </c>
      <c r="G695">
        <v>110</v>
      </c>
      <c r="H695">
        <v>5</v>
      </c>
      <c r="I695">
        <v>1</v>
      </c>
      <c r="J695">
        <v>49.09</v>
      </c>
      <c r="K695">
        <v>5</v>
      </c>
      <c r="L695" t="str">
        <f>CONCATENATE(T_BATTINGDATA[[#This Row],[Match]],T_BATTINGDATA[[#This Row],[Team]],T_BATTINGDATA[[#This Row],[Bat Number]])</f>
        <v>31Afghanistan5</v>
      </c>
      <c r="M695" t="str">
        <f>IFERROR(IF(AND(T_BATTINGDATA[[#This Row],[Team]]=I_TEAM,IFERROR(IF(MATCH(T_BATTINGDATA[[#This Row],[BATSMAN NAME]],$O$5:O694,0)&gt;0,0),1)),1,0),"")</f>
        <v/>
      </c>
      <c r="N695" t="e">
        <f>IF(T_BATTINGDATA[[#This Row],[Team]]=I_TEAM,T_BATTINGDATA[[#This Row],[R]],0)</f>
        <v>#REF!</v>
      </c>
      <c r="O695" t="str">
        <f>LEFT(T_BATTINGDATA[[#This Row],[Batsman]],IFERROR(FIND("*",T_BATTINGDATA[[#This Row],[Batsman]])-1,IFERROR(FIND("†",T_BATTINGDATA[[#This Row],[Batsman]])-1,LEN(T_BATTINGDATA[[#This Row],[Batsman]]))))</f>
        <v>Samiullah Shenwari</v>
      </c>
      <c r="P695">
        <f ca="1">IFERROR(IF(MATCH(T_BATTINGDATA[[#This Row],[BATSMAN NAME]],OFFSET(O696,0,0,BATROWS-ROW(O695)-ROW(T_BATTINGDATA[[#Headers],[BATSMAN NAME]])),0)&gt;0,0,SUMIF($O$6:O695,T_BATTINGDATA[[#This Row],[BATSMAN NAME]],$E$6:E695)),SUMIF($O$6:O695,T_BATTINGDATA[[#This Row],[BATSMAN NAME]],$E$6:E695))</f>
        <v>0</v>
      </c>
    </row>
    <row r="696" spans="1:16" x14ac:dyDescent="0.3">
      <c r="A696">
        <v>31</v>
      </c>
      <c r="B696" t="s">
        <v>185</v>
      </c>
      <c r="C696" t="s">
        <v>483</v>
      </c>
      <c r="D696" t="s">
        <v>456</v>
      </c>
      <c r="E696">
        <v>6</v>
      </c>
      <c r="F696">
        <v>20</v>
      </c>
      <c r="G696">
        <v>15</v>
      </c>
      <c r="H696">
        <v>0</v>
      </c>
      <c r="I696">
        <v>0</v>
      </c>
      <c r="J696">
        <v>40</v>
      </c>
      <c r="K696">
        <v>6</v>
      </c>
      <c r="L696" t="str">
        <f>CONCATENATE(T_BATTINGDATA[[#This Row],[Match]],T_BATTINGDATA[[#This Row],[Team]],T_BATTINGDATA[[#This Row],[Bat Number]])</f>
        <v>31Afghanistan6</v>
      </c>
      <c r="M696" t="str">
        <f>IFERROR(IF(AND(T_BATTINGDATA[[#This Row],[Team]]=I_TEAM,IFERROR(IF(MATCH(T_BATTINGDATA[[#This Row],[BATSMAN NAME]],$O$5:O695,0)&gt;0,0),1)),1,0),"")</f>
        <v/>
      </c>
      <c r="N696" t="e">
        <f>IF(T_BATTINGDATA[[#This Row],[Team]]=I_TEAM,T_BATTINGDATA[[#This Row],[R]],0)</f>
        <v>#REF!</v>
      </c>
      <c r="O696" t="str">
        <f>LEFT(T_BATTINGDATA[[#This Row],[Batsman]],IFERROR(FIND("*",T_BATTINGDATA[[#This Row],[Batsman]])-1,IFERROR(FIND("†",T_BATTINGDATA[[#This Row],[Batsman]])-1,LEN(T_BATTINGDATA[[#This Row],[Batsman]]))))</f>
        <v>Mohammad Nabi</v>
      </c>
      <c r="P696">
        <f ca="1">IFERROR(IF(MATCH(T_BATTINGDATA[[#This Row],[BATSMAN NAME]],OFFSET(O697,0,0,BATROWS-ROW(O696)-ROW(T_BATTINGDATA[[#Headers],[BATSMAN NAME]])),0)&gt;0,0,SUMIF($O$6:O696,T_BATTINGDATA[[#This Row],[BATSMAN NAME]],$E$6:E696)),SUMIF($O$6:O696,T_BATTINGDATA[[#This Row],[BATSMAN NAME]],$E$6:E696))</f>
        <v>0</v>
      </c>
    </row>
    <row r="697" spans="1:16" x14ac:dyDescent="0.3">
      <c r="A697">
        <v>31</v>
      </c>
      <c r="B697" t="s">
        <v>185</v>
      </c>
      <c r="C697" t="s">
        <v>476</v>
      </c>
      <c r="D697" t="s">
        <v>458</v>
      </c>
      <c r="E697">
        <v>0</v>
      </c>
      <c r="F697">
        <v>1</v>
      </c>
      <c r="G697">
        <v>1</v>
      </c>
      <c r="H697">
        <v>0</v>
      </c>
      <c r="I697">
        <v>0</v>
      </c>
      <c r="J697">
        <v>0</v>
      </c>
      <c r="K697">
        <v>7</v>
      </c>
      <c r="L697" t="str">
        <f>CONCATENATE(T_BATTINGDATA[[#This Row],[Match]],T_BATTINGDATA[[#This Row],[Team]],T_BATTINGDATA[[#This Row],[Bat Number]])</f>
        <v>31Afghanistan7</v>
      </c>
      <c r="M697" t="str">
        <f>IFERROR(IF(AND(T_BATTINGDATA[[#This Row],[Team]]=I_TEAM,IFERROR(IF(MATCH(T_BATTINGDATA[[#This Row],[BATSMAN NAME]],$O$5:O696,0)&gt;0,0),1)),1,0),"")</f>
        <v/>
      </c>
      <c r="N697" t="e">
        <f>IF(T_BATTINGDATA[[#This Row],[Team]]=I_TEAM,T_BATTINGDATA[[#This Row],[R]],0)</f>
        <v>#REF!</v>
      </c>
      <c r="O697" t="str">
        <f>LEFT(T_BATTINGDATA[[#This Row],[Batsman]],IFERROR(FIND("*",T_BATTINGDATA[[#This Row],[Batsman]])-1,IFERROR(FIND("†",T_BATTINGDATA[[#This Row],[Batsman]])-1,LEN(T_BATTINGDATA[[#This Row],[Batsman]]))))</f>
        <v>Afsar Zazai</v>
      </c>
      <c r="P697">
        <f ca="1">IFERROR(IF(MATCH(T_BATTINGDATA[[#This Row],[BATSMAN NAME]],OFFSET(O698,0,0,BATROWS-ROW(O697)-ROW(T_BATTINGDATA[[#Headers],[BATSMAN NAME]])),0)&gt;0,0,SUMIF($O$6:O697,T_BATTINGDATA[[#This Row],[BATSMAN NAME]],$E$6:E697)),SUMIF($O$6:O697,T_BATTINGDATA[[#This Row],[BATSMAN NAME]],$E$6:E697))</f>
        <v>0</v>
      </c>
    </row>
    <row r="698" spans="1:16" x14ac:dyDescent="0.3">
      <c r="A698">
        <v>31</v>
      </c>
      <c r="B698" t="s">
        <v>185</v>
      </c>
      <c r="C698" t="s">
        <v>485</v>
      </c>
      <c r="D698" t="s">
        <v>508</v>
      </c>
      <c r="E698">
        <v>56</v>
      </c>
      <c r="F698">
        <v>86</v>
      </c>
      <c r="G698">
        <v>56</v>
      </c>
      <c r="H698">
        <v>8</v>
      </c>
      <c r="I698">
        <v>2</v>
      </c>
      <c r="J698">
        <v>100</v>
      </c>
      <c r="K698">
        <v>8</v>
      </c>
      <c r="L698" t="str">
        <f>CONCATENATE(T_BATTINGDATA[[#This Row],[Match]],T_BATTINGDATA[[#This Row],[Team]],T_BATTINGDATA[[#This Row],[Bat Number]])</f>
        <v>31Afghanistan8</v>
      </c>
      <c r="M698" t="str">
        <f>IFERROR(IF(AND(T_BATTINGDATA[[#This Row],[Team]]=I_TEAM,IFERROR(IF(MATCH(T_BATTINGDATA[[#This Row],[BATSMAN NAME]],$O$5:O697,0)&gt;0,0),1)),1,0),"")</f>
        <v/>
      </c>
      <c r="N698" t="e">
        <f>IF(T_BATTINGDATA[[#This Row],[Team]]=I_TEAM,T_BATTINGDATA[[#This Row],[R]],0)</f>
        <v>#REF!</v>
      </c>
      <c r="O698" t="str">
        <f>LEFT(T_BATTINGDATA[[#This Row],[Batsman]],IFERROR(FIND("*",T_BATTINGDATA[[#This Row],[Batsman]])-1,IFERROR(FIND("†",T_BATTINGDATA[[#This Row],[Batsman]])-1,LEN(T_BATTINGDATA[[#This Row],[Batsman]]))))</f>
        <v>Najibullah Zadran</v>
      </c>
      <c r="P698">
        <f ca="1">IFERROR(IF(MATCH(T_BATTINGDATA[[#This Row],[BATSMAN NAME]],OFFSET(O699,0,0,BATROWS-ROW(O698)-ROW(T_BATTINGDATA[[#Headers],[BATSMAN NAME]])),0)&gt;0,0,SUMIF($O$6:O698,T_BATTINGDATA[[#This Row],[BATSMAN NAME]],$E$6:E698)),SUMIF($O$6:O698,T_BATTINGDATA[[#This Row],[BATSMAN NAME]],$E$6:E698))</f>
        <v>0</v>
      </c>
    </row>
    <row r="699" spans="1:16" x14ac:dyDescent="0.3">
      <c r="A699">
        <v>31</v>
      </c>
      <c r="B699" t="s">
        <v>185</v>
      </c>
      <c r="C699" t="s">
        <v>451</v>
      </c>
      <c r="D699" t="s">
        <v>777</v>
      </c>
      <c r="E699">
        <v>1</v>
      </c>
      <c r="F699">
        <v>14</v>
      </c>
      <c r="G699">
        <v>5</v>
      </c>
      <c r="H699">
        <v>0</v>
      </c>
      <c r="I699">
        <v>0</v>
      </c>
      <c r="J699">
        <v>20</v>
      </c>
      <c r="K699">
        <v>9</v>
      </c>
      <c r="L699" t="str">
        <f>CONCATENATE(T_BATTINGDATA[[#This Row],[Match]],T_BATTINGDATA[[#This Row],[Team]],T_BATTINGDATA[[#This Row],[Bat Number]])</f>
        <v>31Afghanistan9</v>
      </c>
      <c r="M699" t="str">
        <f>IFERROR(IF(AND(T_BATTINGDATA[[#This Row],[Team]]=I_TEAM,IFERROR(IF(MATCH(T_BATTINGDATA[[#This Row],[BATSMAN NAME]],$O$5:O698,0)&gt;0,0),1)),1,0),"")</f>
        <v/>
      </c>
      <c r="N699" t="e">
        <f>IF(T_BATTINGDATA[[#This Row],[Team]]=I_TEAM,T_BATTINGDATA[[#This Row],[R]],0)</f>
        <v>#REF!</v>
      </c>
      <c r="O699" t="str">
        <f>LEFT(T_BATTINGDATA[[#This Row],[Batsman]],IFERROR(FIND("*",T_BATTINGDATA[[#This Row],[Batsman]])-1,IFERROR(FIND("†",T_BATTINGDATA[[#This Row],[Batsman]])-1,LEN(T_BATTINGDATA[[#This Row],[Batsman]]))))</f>
        <v>Dawlat Zadran</v>
      </c>
      <c r="P699">
        <f ca="1">IFERROR(IF(MATCH(T_BATTINGDATA[[#This Row],[BATSMAN NAME]],OFFSET(O700,0,0,BATROWS-ROW(O699)-ROW(T_BATTINGDATA[[#Headers],[BATSMAN NAME]])),0)&gt;0,0,SUMIF($O$6:O699,T_BATTINGDATA[[#This Row],[BATSMAN NAME]],$E$6:E699)),SUMIF($O$6:O699,T_BATTINGDATA[[#This Row],[BATSMAN NAME]],$E$6:E699))</f>
        <v>14</v>
      </c>
    </row>
    <row r="700" spans="1:16" x14ac:dyDescent="0.3">
      <c r="A700">
        <v>31</v>
      </c>
      <c r="B700" t="s">
        <v>185</v>
      </c>
      <c r="C700" t="s">
        <v>389</v>
      </c>
      <c r="D700" t="s">
        <v>374</v>
      </c>
      <c r="E700">
        <v>16</v>
      </c>
      <c r="F700">
        <v>30</v>
      </c>
      <c r="G700">
        <v>21</v>
      </c>
      <c r="H700">
        <v>4</v>
      </c>
      <c r="I700">
        <v>0</v>
      </c>
      <c r="J700">
        <v>76.19</v>
      </c>
      <c r="K700">
        <v>10</v>
      </c>
      <c r="L700" t="str">
        <f>CONCATENATE(T_BATTINGDATA[[#This Row],[Match]],T_BATTINGDATA[[#This Row],[Team]],T_BATTINGDATA[[#This Row],[Bat Number]])</f>
        <v>31Afghanistan10</v>
      </c>
      <c r="M700" t="str">
        <f>IFERROR(IF(AND(T_BATTINGDATA[[#This Row],[Team]]=I_TEAM,IFERROR(IF(MATCH(T_BATTINGDATA[[#This Row],[BATSMAN NAME]],$O$5:O699,0)&gt;0,0),1)),1,0),"")</f>
        <v/>
      </c>
      <c r="N700" t="e">
        <f>IF(T_BATTINGDATA[[#This Row],[Team]]=I_TEAM,T_BATTINGDATA[[#This Row],[R]],0)</f>
        <v>#REF!</v>
      </c>
      <c r="O700" t="str">
        <f>LEFT(T_BATTINGDATA[[#This Row],[Batsman]],IFERROR(FIND("*",T_BATTINGDATA[[#This Row],[Batsman]])-1,IFERROR(FIND("†",T_BATTINGDATA[[#This Row],[Batsman]])-1,LEN(T_BATTINGDATA[[#This Row],[Batsman]]))))</f>
        <v>Hamid Hassan</v>
      </c>
      <c r="P700">
        <f ca="1">IFERROR(IF(MATCH(T_BATTINGDATA[[#This Row],[BATSMAN NAME]],OFFSET(O701,0,0,BATROWS-ROW(O700)-ROW(T_BATTINGDATA[[#Headers],[BATSMAN NAME]])),0)&gt;0,0,SUMIF($O$6:O700,T_BATTINGDATA[[#This Row],[BATSMAN NAME]],$E$6:E700)),SUMIF($O$6:O700,T_BATTINGDATA[[#This Row],[BATSMAN NAME]],$E$6:E700))</f>
        <v>0</v>
      </c>
    </row>
    <row r="701" spans="1:16" x14ac:dyDescent="0.3">
      <c r="A701">
        <v>31</v>
      </c>
      <c r="B701" t="s">
        <v>185</v>
      </c>
      <c r="C701" t="s">
        <v>390</v>
      </c>
      <c r="D701" t="s">
        <v>167</v>
      </c>
      <c r="E701">
        <v>2</v>
      </c>
      <c r="F701">
        <v>10</v>
      </c>
      <c r="G701">
        <v>4</v>
      </c>
      <c r="H701">
        <v>0</v>
      </c>
      <c r="I701">
        <v>0</v>
      </c>
      <c r="J701">
        <v>50</v>
      </c>
      <c r="K701">
        <v>11</v>
      </c>
      <c r="L701" t="str">
        <f>CONCATENATE(T_BATTINGDATA[[#This Row],[Match]],T_BATTINGDATA[[#This Row],[Team]],T_BATTINGDATA[[#This Row],[Bat Number]])</f>
        <v>31Afghanistan11</v>
      </c>
      <c r="M701" t="str">
        <f>IFERROR(IF(AND(T_BATTINGDATA[[#This Row],[Team]]=I_TEAM,IFERROR(IF(MATCH(T_BATTINGDATA[[#This Row],[BATSMAN NAME]],$O$5:O700,0)&gt;0,0),1)),1,0),"")</f>
        <v/>
      </c>
      <c r="N701" t="e">
        <f>IF(T_BATTINGDATA[[#This Row],[Team]]=I_TEAM,T_BATTINGDATA[[#This Row],[R]],0)</f>
        <v>#REF!</v>
      </c>
      <c r="O701" t="str">
        <f>LEFT(T_BATTINGDATA[[#This Row],[Batsman]],IFERROR(FIND("*",T_BATTINGDATA[[#This Row],[Batsman]])-1,IFERROR(FIND("†",T_BATTINGDATA[[#This Row],[Batsman]])-1,LEN(T_BATTINGDATA[[#This Row],[Batsman]]))))</f>
        <v>Shapoor Zadran</v>
      </c>
      <c r="P701">
        <f ca="1">IFERROR(IF(MATCH(T_BATTINGDATA[[#This Row],[BATSMAN NAME]],OFFSET(O702,0,0,BATROWS-ROW(O701)-ROW(T_BATTINGDATA[[#Headers],[BATSMAN NAME]])),0)&gt;0,0,SUMIF($O$6:O701,T_BATTINGDATA[[#This Row],[BATSMAN NAME]],$E$6:E701)),SUMIF($O$6:O701,T_BATTINGDATA[[#This Row],[BATSMAN NAME]],$E$6:E701))</f>
        <v>17</v>
      </c>
    </row>
    <row r="702" spans="1:16" x14ac:dyDescent="0.3">
      <c r="A702">
        <v>31</v>
      </c>
      <c r="B702" t="s">
        <v>140</v>
      </c>
      <c r="C702" t="s">
        <v>349</v>
      </c>
      <c r="D702" t="s">
        <v>778</v>
      </c>
      <c r="E702">
        <v>57</v>
      </c>
      <c r="F702">
        <v>123</v>
      </c>
      <c r="G702">
        <v>76</v>
      </c>
      <c r="H702">
        <v>7</v>
      </c>
      <c r="I702">
        <v>0</v>
      </c>
      <c r="J702">
        <v>75</v>
      </c>
      <c r="K702">
        <v>1</v>
      </c>
      <c r="L702" t="str">
        <f>CONCATENATE(T_BATTINGDATA[[#This Row],[Match]],T_BATTINGDATA[[#This Row],[Team]],T_BATTINGDATA[[#This Row],[Bat Number]])</f>
        <v>31New Zealand1</v>
      </c>
      <c r="M702" t="str">
        <f>IFERROR(IF(AND(T_BATTINGDATA[[#This Row],[Team]]=I_TEAM,IFERROR(IF(MATCH(T_BATTINGDATA[[#This Row],[BATSMAN NAME]],$O$5:O701,0)&gt;0,0),1)),1,0),"")</f>
        <v/>
      </c>
      <c r="N702" t="e">
        <f>IF(T_BATTINGDATA[[#This Row],[Team]]=I_TEAM,T_BATTINGDATA[[#This Row],[R]],0)</f>
        <v>#REF!</v>
      </c>
      <c r="O702" t="str">
        <f>LEFT(T_BATTINGDATA[[#This Row],[Batsman]],IFERROR(FIND("*",T_BATTINGDATA[[#This Row],[Batsman]])-1,IFERROR(FIND("†",T_BATTINGDATA[[#This Row],[Batsman]])-1,LEN(T_BATTINGDATA[[#This Row],[Batsman]]))))</f>
        <v>MJ Guptill</v>
      </c>
      <c r="P702">
        <f ca="1">IFERROR(IF(MATCH(T_BATTINGDATA[[#This Row],[BATSMAN NAME]],OFFSET(O703,0,0,BATROWS-ROW(O702)-ROW(T_BATTINGDATA[[#Headers],[BATSMAN NAME]])),0)&gt;0,0,SUMIF($O$6:O702,T_BATTINGDATA[[#This Row],[BATSMAN NAME]],$E$6:E702)),SUMIF($O$6:O702,T_BATTINGDATA[[#This Row],[BATSMAN NAME]],$E$6:E702))</f>
        <v>0</v>
      </c>
    </row>
    <row r="703" spans="1:16" x14ac:dyDescent="0.3">
      <c r="A703">
        <v>31</v>
      </c>
      <c r="B703" t="s">
        <v>140</v>
      </c>
      <c r="C703" t="s">
        <v>352</v>
      </c>
      <c r="D703" t="s">
        <v>645</v>
      </c>
      <c r="E703">
        <v>42</v>
      </c>
      <c r="F703">
        <v>31</v>
      </c>
      <c r="G703">
        <v>19</v>
      </c>
      <c r="H703">
        <v>6</v>
      </c>
      <c r="I703">
        <v>1</v>
      </c>
      <c r="J703">
        <v>221.05</v>
      </c>
      <c r="K703">
        <v>2</v>
      </c>
      <c r="L703" t="str">
        <f>CONCATENATE(T_BATTINGDATA[[#This Row],[Match]],T_BATTINGDATA[[#This Row],[Team]],T_BATTINGDATA[[#This Row],[Bat Number]])</f>
        <v>31New Zealand2</v>
      </c>
      <c r="M703" t="str">
        <f>IFERROR(IF(AND(T_BATTINGDATA[[#This Row],[Team]]=I_TEAM,IFERROR(IF(MATCH(T_BATTINGDATA[[#This Row],[BATSMAN NAME]],$O$5:O702,0)&gt;0,0),1)),1,0),"")</f>
        <v/>
      </c>
      <c r="N703" t="e">
        <f>IF(T_BATTINGDATA[[#This Row],[Team]]=I_TEAM,T_BATTINGDATA[[#This Row],[R]],0)</f>
        <v>#REF!</v>
      </c>
      <c r="O703" t="str">
        <f>LEFT(T_BATTINGDATA[[#This Row],[Batsman]],IFERROR(FIND("*",T_BATTINGDATA[[#This Row],[Batsman]])-1,IFERROR(FIND("†",T_BATTINGDATA[[#This Row],[Batsman]])-1,LEN(T_BATTINGDATA[[#This Row],[Batsman]]))))</f>
        <v>BB McCullum</v>
      </c>
      <c r="P703">
        <f ca="1">IFERROR(IF(MATCH(T_BATTINGDATA[[#This Row],[BATSMAN NAME]],OFFSET(O704,0,0,BATROWS-ROW(O703)-ROW(T_BATTINGDATA[[#Headers],[BATSMAN NAME]])),0)&gt;0,0,SUMIF($O$6:O703,T_BATTINGDATA[[#This Row],[BATSMAN NAME]],$E$6:E703)),SUMIF($O$6:O703,T_BATTINGDATA[[#This Row],[BATSMAN NAME]],$E$6:E703))</f>
        <v>0</v>
      </c>
    </row>
    <row r="704" spans="1:16" x14ac:dyDescent="0.3">
      <c r="A704">
        <v>31</v>
      </c>
      <c r="B704" t="s">
        <v>140</v>
      </c>
      <c r="C704" t="s">
        <v>307</v>
      </c>
      <c r="D704" t="s">
        <v>779</v>
      </c>
      <c r="E704">
        <v>33</v>
      </c>
      <c r="F704">
        <v>58</v>
      </c>
      <c r="G704">
        <v>45</v>
      </c>
      <c r="H704">
        <v>4</v>
      </c>
      <c r="I704">
        <v>0</v>
      </c>
      <c r="J704">
        <v>73.33</v>
      </c>
      <c r="K704">
        <v>3</v>
      </c>
      <c r="L704" t="str">
        <f>CONCATENATE(T_BATTINGDATA[[#This Row],[Match]],T_BATTINGDATA[[#This Row],[Team]],T_BATTINGDATA[[#This Row],[Bat Number]])</f>
        <v>31New Zealand3</v>
      </c>
      <c r="M704" t="str">
        <f>IFERROR(IF(AND(T_BATTINGDATA[[#This Row],[Team]]=I_TEAM,IFERROR(IF(MATCH(T_BATTINGDATA[[#This Row],[BATSMAN NAME]],$O$5:O703,0)&gt;0,0),1)),1,0),"")</f>
        <v/>
      </c>
      <c r="N704" t="e">
        <f>IF(T_BATTINGDATA[[#This Row],[Team]]=I_TEAM,T_BATTINGDATA[[#This Row],[R]],0)</f>
        <v>#REF!</v>
      </c>
      <c r="O704" t="str">
        <f>LEFT(T_BATTINGDATA[[#This Row],[Batsman]],IFERROR(FIND("*",T_BATTINGDATA[[#This Row],[Batsman]])-1,IFERROR(FIND("†",T_BATTINGDATA[[#This Row],[Batsman]])-1,LEN(T_BATTINGDATA[[#This Row],[Batsman]]))))</f>
        <v>KS Williamson</v>
      </c>
      <c r="P704">
        <f ca="1">IFERROR(IF(MATCH(T_BATTINGDATA[[#This Row],[BATSMAN NAME]],OFFSET(O705,0,0,BATROWS-ROW(O704)-ROW(T_BATTINGDATA[[#Headers],[BATSMAN NAME]])),0)&gt;0,0,SUMIF($O$6:O704,T_BATTINGDATA[[#This Row],[BATSMAN NAME]],$E$6:E704)),SUMIF($O$6:O704,T_BATTINGDATA[[#This Row],[BATSMAN NAME]],$E$6:E704))</f>
        <v>0</v>
      </c>
    </row>
    <row r="705" spans="1:16" x14ac:dyDescent="0.3">
      <c r="A705">
        <v>31</v>
      </c>
      <c r="B705" t="s">
        <v>140</v>
      </c>
      <c r="C705" t="s">
        <v>356</v>
      </c>
      <c r="D705" t="s">
        <v>167</v>
      </c>
      <c r="E705">
        <v>24</v>
      </c>
      <c r="F705">
        <v>76</v>
      </c>
      <c r="G705">
        <v>41</v>
      </c>
      <c r="H705">
        <v>2</v>
      </c>
      <c r="I705">
        <v>0</v>
      </c>
      <c r="J705">
        <v>58.53</v>
      </c>
      <c r="K705">
        <v>4</v>
      </c>
      <c r="L705" t="str">
        <f>CONCATENATE(T_BATTINGDATA[[#This Row],[Match]],T_BATTINGDATA[[#This Row],[Team]],T_BATTINGDATA[[#This Row],[Bat Number]])</f>
        <v>31New Zealand4</v>
      </c>
      <c r="M705" t="str">
        <f>IFERROR(IF(AND(T_BATTINGDATA[[#This Row],[Team]]=I_TEAM,IFERROR(IF(MATCH(T_BATTINGDATA[[#This Row],[BATSMAN NAME]],$O$5:O704,0)&gt;0,0),1)),1,0),"")</f>
        <v/>
      </c>
      <c r="N705" t="e">
        <f>IF(T_BATTINGDATA[[#This Row],[Team]]=I_TEAM,T_BATTINGDATA[[#This Row],[R]],0)</f>
        <v>#REF!</v>
      </c>
      <c r="O705" t="str">
        <f>LEFT(T_BATTINGDATA[[#This Row],[Batsman]],IFERROR(FIND("*",T_BATTINGDATA[[#This Row],[Batsman]])-1,IFERROR(FIND("†",T_BATTINGDATA[[#This Row],[Batsman]])-1,LEN(T_BATTINGDATA[[#This Row],[Batsman]]))))</f>
        <v>LRPL Taylor</v>
      </c>
      <c r="P705">
        <f ca="1">IFERROR(IF(MATCH(T_BATTINGDATA[[#This Row],[BATSMAN NAME]],OFFSET(O706,0,0,BATROWS-ROW(O705)-ROW(T_BATTINGDATA[[#Headers],[BATSMAN NAME]])),0)&gt;0,0,SUMIF($O$6:O705,T_BATTINGDATA[[#This Row],[BATSMAN NAME]],$E$6:E705)),SUMIF($O$6:O705,T_BATTINGDATA[[#This Row],[BATSMAN NAME]],$E$6:E705))</f>
        <v>0</v>
      </c>
    </row>
    <row r="706" spans="1:16" x14ac:dyDescent="0.3">
      <c r="A706">
        <v>31</v>
      </c>
      <c r="B706" t="s">
        <v>140</v>
      </c>
      <c r="C706" t="s">
        <v>305</v>
      </c>
      <c r="D706" t="s">
        <v>541</v>
      </c>
      <c r="E706">
        <v>19</v>
      </c>
      <c r="F706">
        <v>32</v>
      </c>
      <c r="G706">
        <v>28</v>
      </c>
      <c r="H706">
        <v>1</v>
      </c>
      <c r="I706">
        <v>0</v>
      </c>
      <c r="J706">
        <v>67.849999999999994</v>
      </c>
      <c r="K706">
        <v>5</v>
      </c>
      <c r="L706" t="str">
        <f>CONCATENATE(T_BATTINGDATA[[#This Row],[Match]],T_BATTINGDATA[[#This Row],[Team]],T_BATTINGDATA[[#This Row],[Bat Number]])</f>
        <v>31New Zealand5</v>
      </c>
      <c r="M706" t="str">
        <f>IFERROR(IF(AND(T_BATTINGDATA[[#This Row],[Team]]=I_TEAM,IFERROR(IF(MATCH(T_BATTINGDATA[[#This Row],[BATSMAN NAME]],$O$5:O705,0)&gt;0,0),1)),1,0),"")</f>
        <v/>
      </c>
      <c r="N706" t="e">
        <f>IF(T_BATTINGDATA[[#This Row],[Team]]=I_TEAM,T_BATTINGDATA[[#This Row],[R]],0)</f>
        <v>#REF!</v>
      </c>
      <c r="O706" t="str">
        <f>LEFT(T_BATTINGDATA[[#This Row],[Batsman]],IFERROR(FIND("*",T_BATTINGDATA[[#This Row],[Batsman]])-1,IFERROR(FIND("†",T_BATTINGDATA[[#This Row],[Batsman]])-1,LEN(T_BATTINGDATA[[#This Row],[Batsman]]))))</f>
        <v>GD Elliott</v>
      </c>
      <c r="P706">
        <f ca="1">IFERROR(IF(MATCH(T_BATTINGDATA[[#This Row],[BATSMAN NAME]],OFFSET(O707,0,0,BATROWS-ROW(O706)-ROW(T_BATTINGDATA[[#Headers],[BATSMAN NAME]])),0)&gt;0,0,SUMIF($O$6:O706,T_BATTINGDATA[[#This Row],[BATSMAN NAME]],$E$6:E706)),SUMIF($O$6:O706,T_BATTINGDATA[[#This Row],[BATSMAN NAME]],$E$6:E706))</f>
        <v>0</v>
      </c>
    </row>
    <row r="707" spans="1:16" x14ac:dyDescent="0.3">
      <c r="A707">
        <v>31</v>
      </c>
      <c r="B707" t="s">
        <v>140</v>
      </c>
      <c r="C707" t="s">
        <v>309</v>
      </c>
      <c r="D707" t="s">
        <v>167</v>
      </c>
      <c r="E707">
        <v>7</v>
      </c>
      <c r="F707">
        <v>10</v>
      </c>
      <c r="G707">
        <v>8</v>
      </c>
      <c r="H707">
        <v>1</v>
      </c>
      <c r="I707">
        <v>0</v>
      </c>
      <c r="J707">
        <v>87.5</v>
      </c>
      <c r="K707">
        <v>6</v>
      </c>
      <c r="L707" t="str">
        <f>CONCATENATE(T_BATTINGDATA[[#This Row],[Match]],T_BATTINGDATA[[#This Row],[Team]],T_BATTINGDATA[[#This Row],[Bat Number]])</f>
        <v>31New Zealand6</v>
      </c>
      <c r="M707" t="str">
        <f>IFERROR(IF(AND(T_BATTINGDATA[[#This Row],[Team]]=I_TEAM,IFERROR(IF(MATCH(T_BATTINGDATA[[#This Row],[BATSMAN NAME]],$O$5:O706,0)&gt;0,0),1)),1,0),"")</f>
        <v/>
      </c>
      <c r="N707" t="e">
        <f>IF(T_BATTINGDATA[[#This Row],[Team]]=I_TEAM,T_BATTINGDATA[[#This Row],[R]],0)</f>
        <v>#REF!</v>
      </c>
      <c r="O707" t="str">
        <f>LEFT(T_BATTINGDATA[[#This Row],[Batsman]],IFERROR(FIND("*",T_BATTINGDATA[[#This Row],[Batsman]])-1,IFERROR(FIND("†",T_BATTINGDATA[[#This Row],[Batsman]])-1,LEN(T_BATTINGDATA[[#This Row],[Batsman]]))))</f>
        <v>CJ Anderson</v>
      </c>
      <c r="P707">
        <f ca="1">IFERROR(IF(MATCH(T_BATTINGDATA[[#This Row],[BATSMAN NAME]],OFFSET(O708,0,0,BATROWS-ROW(O707)-ROW(T_BATTINGDATA[[#Headers],[BATSMAN NAME]])),0)&gt;0,0,SUMIF($O$6:O707,T_BATTINGDATA[[#This Row],[BATSMAN NAME]],$E$6:E707)),SUMIF($O$6:O707,T_BATTINGDATA[[#This Row],[BATSMAN NAME]],$E$6:E707))</f>
        <v>0</v>
      </c>
    </row>
    <row r="708" spans="1:16" x14ac:dyDescent="0.3">
      <c r="A708">
        <v>32</v>
      </c>
      <c r="B708" t="s">
        <v>149</v>
      </c>
      <c r="C708" t="s">
        <v>378</v>
      </c>
      <c r="D708" t="s">
        <v>780</v>
      </c>
      <c r="E708">
        <v>24</v>
      </c>
      <c r="F708">
        <v>38</v>
      </c>
      <c r="G708">
        <v>24</v>
      </c>
      <c r="H708">
        <v>3</v>
      </c>
      <c r="I708">
        <v>0</v>
      </c>
      <c r="J708">
        <v>100</v>
      </c>
      <c r="K708">
        <v>1</v>
      </c>
      <c r="L708" t="str">
        <f>CONCATENATE(T_BATTINGDATA[[#This Row],[Match]],T_BATTINGDATA[[#This Row],[Team]],T_BATTINGDATA[[#This Row],[Bat Number]])</f>
        <v>32Australia1</v>
      </c>
      <c r="M708" t="str">
        <f>IFERROR(IF(AND(T_BATTINGDATA[[#This Row],[Team]]=I_TEAM,IFERROR(IF(MATCH(T_BATTINGDATA[[#This Row],[BATSMAN NAME]],$O$5:O707,0)&gt;0,0),1)),1,0),"")</f>
        <v/>
      </c>
      <c r="N708" t="e">
        <f>IF(T_BATTINGDATA[[#This Row],[Team]]=I_TEAM,T_BATTINGDATA[[#This Row],[R]],0)</f>
        <v>#REF!</v>
      </c>
      <c r="O708" t="str">
        <f>LEFT(T_BATTINGDATA[[#This Row],[Batsman]],IFERROR(FIND("*",T_BATTINGDATA[[#This Row],[Batsman]])-1,IFERROR(FIND("†",T_BATTINGDATA[[#This Row],[Batsman]])-1,LEN(T_BATTINGDATA[[#This Row],[Batsman]]))))</f>
        <v>AJ Finch</v>
      </c>
      <c r="P708">
        <f ca="1">IFERROR(IF(MATCH(T_BATTINGDATA[[#This Row],[BATSMAN NAME]],OFFSET(O709,0,0,BATROWS-ROW(O708)-ROW(T_BATTINGDATA[[#Headers],[BATSMAN NAME]])),0)&gt;0,0,SUMIF($O$6:O708,T_BATTINGDATA[[#This Row],[BATSMAN NAME]],$E$6:E708)),SUMIF($O$6:O708,T_BATTINGDATA[[#This Row],[BATSMAN NAME]],$E$6:E708))</f>
        <v>0</v>
      </c>
    </row>
    <row r="709" spans="1:16" x14ac:dyDescent="0.3">
      <c r="A709">
        <v>32</v>
      </c>
      <c r="B709" t="s">
        <v>149</v>
      </c>
      <c r="C709" t="s">
        <v>376</v>
      </c>
      <c r="D709" t="s">
        <v>781</v>
      </c>
      <c r="E709">
        <v>9</v>
      </c>
      <c r="F709">
        <v>16</v>
      </c>
      <c r="G709">
        <v>12</v>
      </c>
      <c r="H709">
        <v>1</v>
      </c>
      <c r="I709">
        <v>0</v>
      </c>
      <c r="J709">
        <v>75</v>
      </c>
      <c r="K709">
        <v>2</v>
      </c>
      <c r="L709" t="str">
        <f>CONCATENATE(T_BATTINGDATA[[#This Row],[Match]],T_BATTINGDATA[[#This Row],[Team]],T_BATTINGDATA[[#This Row],[Bat Number]])</f>
        <v>32Australia2</v>
      </c>
      <c r="M709" t="str">
        <f>IFERROR(IF(AND(T_BATTINGDATA[[#This Row],[Team]]=I_TEAM,IFERROR(IF(MATCH(T_BATTINGDATA[[#This Row],[BATSMAN NAME]],$O$5:O708,0)&gt;0,0),1)),1,0),"")</f>
        <v/>
      </c>
      <c r="N709" t="e">
        <f>IF(T_BATTINGDATA[[#This Row],[Team]]=I_TEAM,T_BATTINGDATA[[#This Row],[R]],0)</f>
        <v>#REF!</v>
      </c>
      <c r="O709" t="str">
        <f>LEFT(T_BATTINGDATA[[#This Row],[Batsman]],IFERROR(FIND("*",T_BATTINGDATA[[#This Row],[Batsman]])-1,IFERROR(FIND("†",T_BATTINGDATA[[#This Row],[Batsman]])-1,LEN(T_BATTINGDATA[[#This Row],[Batsman]]))))</f>
        <v>DA Warner</v>
      </c>
      <c r="P709">
        <f ca="1">IFERROR(IF(MATCH(T_BATTINGDATA[[#This Row],[BATSMAN NAME]],OFFSET(O710,0,0,BATROWS-ROW(O709)-ROW(T_BATTINGDATA[[#Headers],[BATSMAN NAME]])),0)&gt;0,0,SUMIF($O$6:O709,T_BATTINGDATA[[#This Row],[BATSMAN NAME]],$E$6:E709)),SUMIF($O$6:O709,T_BATTINGDATA[[#This Row],[BATSMAN NAME]],$E$6:E709))</f>
        <v>0</v>
      </c>
    </row>
    <row r="710" spans="1:16" x14ac:dyDescent="0.3">
      <c r="A710">
        <v>32</v>
      </c>
      <c r="B710" t="s">
        <v>149</v>
      </c>
      <c r="C710" t="s">
        <v>331</v>
      </c>
      <c r="D710" t="s">
        <v>782</v>
      </c>
      <c r="E710">
        <v>72</v>
      </c>
      <c r="F710">
        <v>107</v>
      </c>
      <c r="G710">
        <v>88</v>
      </c>
      <c r="H710">
        <v>7</v>
      </c>
      <c r="I710">
        <v>1</v>
      </c>
      <c r="J710">
        <v>81.81</v>
      </c>
      <c r="K710">
        <v>3</v>
      </c>
      <c r="L710" t="str">
        <f>CONCATENATE(T_BATTINGDATA[[#This Row],[Match]],T_BATTINGDATA[[#This Row],[Team]],T_BATTINGDATA[[#This Row],[Bat Number]])</f>
        <v>32Australia3</v>
      </c>
      <c r="M710" t="str">
        <f>IFERROR(IF(AND(T_BATTINGDATA[[#This Row],[Team]]=I_TEAM,IFERROR(IF(MATCH(T_BATTINGDATA[[#This Row],[BATSMAN NAME]],$O$5:O709,0)&gt;0,0),1)),1,0),"")</f>
        <v/>
      </c>
      <c r="N710" t="e">
        <f>IF(T_BATTINGDATA[[#This Row],[Team]]=I_TEAM,T_BATTINGDATA[[#This Row],[R]],0)</f>
        <v>#REF!</v>
      </c>
      <c r="O710" t="str">
        <f>LEFT(T_BATTINGDATA[[#This Row],[Batsman]],IFERROR(FIND("*",T_BATTINGDATA[[#This Row],[Batsman]])-1,IFERROR(FIND("†",T_BATTINGDATA[[#This Row],[Batsman]])-1,LEN(T_BATTINGDATA[[#This Row],[Batsman]]))))</f>
        <v>SPD Smith</v>
      </c>
      <c r="P710">
        <f ca="1">IFERROR(IF(MATCH(T_BATTINGDATA[[#This Row],[BATSMAN NAME]],OFFSET(O711,0,0,BATROWS-ROW(O710)-ROW(T_BATTINGDATA[[#Headers],[BATSMAN NAME]])),0)&gt;0,0,SUMIF($O$6:O710,T_BATTINGDATA[[#This Row],[BATSMAN NAME]],$E$6:E710)),SUMIF($O$6:O710,T_BATTINGDATA[[#This Row],[BATSMAN NAME]],$E$6:E710))</f>
        <v>402</v>
      </c>
    </row>
    <row r="711" spans="1:16" x14ac:dyDescent="0.3">
      <c r="A711">
        <v>32</v>
      </c>
      <c r="B711" t="s">
        <v>149</v>
      </c>
      <c r="C711" t="s">
        <v>580</v>
      </c>
      <c r="D711" t="s">
        <v>533</v>
      </c>
      <c r="E711">
        <v>68</v>
      </c>
      <c r="F711">
        <v>82</v>
      </c>
      <c r="G711">
        <v>68</v>
      </c>
      <c r="H711">
        <v>6</v>
      </c>
      <c r="I711">
        <v>0</v>
      </c>
      <c r="J711">
        <v>100</v>
      </c>
      <c r="K711">
        <v>4</v>
      </c>
      <c r="L711" t="str">
        <f>CONCATENATE(T_BATTINGDATA[[#This Row],[Match]],T_BATTINGDATA[[#This Row],[Team]],T_BATTINGDATA[[#This Row],[Bat Number]])</f>
        <v>32Australia4</v>
      </c>
      <c r="M711" t="str">
        <f>IFERROR(IF(AND(T_BATTINGDATA[[#This Row],[Team]]=I_TEAM,IFERROR(IF(MATCH(T_BATTINGDATA[[#This Row],[BATSMAN NAME]],$O$5:O710,0)&gt;0,0),1)),1,0),"")</f>
        <v/>
      </c>
      <c r="N711" t="e">
        <f>IF(T_BATTINGDATA[[#This Row],[Team]]=I_TEAM,T_BATTINGDATA[[#This Row],[R]],0)</f>
        <v>#REF!</v>
      </c>
      <c r="O711" t="str">
        <f>LEFT(T_BATTINGDATA[[#This Row],[Batsman]],IFERROR(FIND("*",T_BATTINGDATA[[#This Row],[Batsman]])-1,IFERROR(FIND("†",T_BATTINGDATA[[#This Row],[Batsman]])-1,LEN(T_BATTINGDATA[[#This Row],[Batsman]]))))</f>
        <v>MJ Clarke</v>
      </c>
      <c r="P711">
        <f ca="1">IFERROR(IF(MATCH(T_BATTINGDATA[[#This Row],[BATSMAN NAME]],OFFSET(O712,0,0,BATROWS-ROW(O711)-ROW(T_BATTINGDATA[[#Headers],[BATSMAN NAME]])),0)&gt;0,0,SUMIF($O$6:O711,T_BATTINGDATA[[#This Row],[BATSMAN NAME]],$E$6:E711)),SUMIF($O$6:O711,T_BATTINGDATA[[#This Row],[BATSMAN NAME]],$E$6:E711))</f>
        <v>0</v>
      </c>
    </row>
    <row r="712" spans="1:16" x14ac:dyDescent="0.3">
      <c r="A712">
        <v>32</v>
      </c>
      <c r="B712" t="s">
        <v>149</v>
      </c>
      <c r="C712" t="s">
        <v>329</v>
      </c>
      <c r="D712" t="s">
        <v>783</v>
      </c>
      <c r="E712">
        <v>102</v>
      </c>
      <c r="F712">
        <v>73</v>
      </c>
      <c r="G712">
        <v>53</v>
      </c>
      <c r="H712">
        <v>10</v>
      </c>
      <c r="I712">
        <v>4</v>
      </c>
      <c r="J712">
        <v>192.45</v>
      </c>
      <c r="K712">
        <v>5</v>
      </c>
      <c r="L712" t="str">
        <f>CONCATENATE(T_BATTINGDATA[[#This Row],[Match]],T_BATTINGDATA[[#This Row],[Team]],T_BATTINGDATA[[#This Row],[Bat Number]])</f>
        <v>32Australia5</v>
      </c>
      <c r="M712" t="str">
        <f>IFERROR(IF(AND(T_BATTINGDATA[[#This Row],[Team]]=I_TEAM,IFERROR(IF(MATCH(T_BATTINGDATA[[#This Row],[BATSMAN NAME]],$O$5:O711,0)&gt;0,0),1)),1,0),"")</f>
        <v/>
      </c>
      <c r="N712" t="e">
        <f>IF(T_BATTINGDATA[[#This Row],[Team]]=I_TEAM,T_BATTINGDATA[[#This Row],[R]],0)</f>
        <v>#REF!</v>
      </c>
      <c r="O712" t="str">
        <f>LEFT(T_BATTINGDATA[[#This Row],[Batsman]],IFERROR(FIND("*",T_BATTINGDATA[[#This Row],[Batsman]])-1,IFERROR(FIND("†",T_BATTINGDATA[[#This Row],[Batsman]])-1,LEN(T_BATTINGDATA[[#This Row],[Batsman]]))))</f>
        <v>GJ Maxwell</v>
      </c>
      <c r="P712">
        <f ca="1">IFERROR(IF(MATCH(T_BATTINGDATA[[#This Row],[BATSMAN NAME]],OFFSET(O713,0,0,BATROWS-ROW(O712)-ROW(T_BATTINGDATA[[#Headers],[BATSMAN NAME]])),0)&gt;0,0,SUMIF($O$6:O712,T_BATTINGDATA[[#This Row],[BATSMAN NAME]],$E$6:E712)),SUMIF($O$6:O712,T_BATTINGDATA[[#This Row],[BATSMAN NAME]],$E$6:E712))</f>
        <v>324</v>
      </c>
    </row>
    <row r="713" spans="1:16" x14ac:dyDescent="0.3">
      <c r="A713">
        <v>32</v>
      </c>
      <c r="B713" t="s">
        <v>149</v>
      </c>
      <c r="C713" t="s">
        <v>327</v>
      </c>
      <c r="D713" t="s">
        <v>784</v>
      </c>
      <c r="E713">
        <v>67</v>
      </c>
      <c r="F713">
        <v>86</v>
      </c>
      <c r="G713">
        <v>41</v>
      </c>
      <c r="H713">
        <v>7</v>
      </c>
      <c r="I713">
        <v>2</v>
      </c>
      <c r="J713">
        <v>163.41</v>
      </c>
      <c r="K713">
        <v>6</v>
      </c>
      <c r="L713" t="str">
        <f>CONCATENATE(T_BATTINGDATA[[#This Row],[Match]],T_BATTINGDATA[[#This Row],[Team]],T_BATTINGDATA[[#This Row],[Bat Number]])</f>
        <v>32Australia6</v>
      </c>
      <c r="M713" t="str">
        <f>IFERROR(IF(AND(T_BATTINGDATA[[#This Row],[Team]]=I_TEAM,IFERROR(IF(MATCH(T_BATTINGDATA[[#This Row],[BATSMAN NAME]],$O$5:O712,0)&gt;0,0),1)),1,0),"")</f>
        <v/>
      </c>
      <c r="N713" t="e">
        <f>IF(T_BATTINGDATA[[#This Row],[Team]]=I_TEAM,T_BATTINGDATA[[#This Row],[R]],0)</f>
        <v>#REF!</v>
      </c>
      <c r="O713" t="str">
        <f>LEFT(T_BATTINGDATA[[#This Row],[Batsman]],IFERROR(FIND("*",T_BATTINGDATA[[#This Row],[Batsman]])-1,IFERROR(FIND("†",T_BATTINGDATA[[#This Row],[Batsman]])-1,LEN(T_BATTINGDATA[[#This Row],[Batsman]]))))</f>
        <v>SR Watson</v>
      </c>
      <c r="P713">
        <f ca="1">IFERROR(IF(MATCH(T_BATTINGDATA[[#This Row],[BATSMAN NAME]],OFFSET(O714,0,0,BATROWS-ROW(O713)-ROW(T_BATTINGDATA[[#Headers],[BATSMAN NAME]])),0)&gt;0,0,SUMIF($O$6:O713,T_BATTINGDATA[[#This Row],[BATSMAN NAME]],$E$6:E713)),SUMIF($O$6:O713,T_BATTINGDATA[[#This Row],[BATSMAN NAME]],$E$6:E713))</f>
        <v>0</v>
      </c>
    </row>
    <row r="714" spans="1:16" x14ac:dyDescent="0.3">
      <c r="A714">
        <v>32</v>
      </c>
      <c r="B714" t="s">
        <v>149</v>
      </c>
      <c r="C714" t="s">
        <v>505</v>
      </c>
      <c r="D714" t="s">
        <v>785</v>
      </c>
      <c r="E714">
        <v>0</v>
      </c>
      <c r="F714">
        <v>1</v>
      </c>
      <c r="G714">
        <v>1</v>
      </c>
      <c r="H714">
        <v>0</v>
      </c>
      <c r="I714">
        <v>0</v>
      </c>
      <c r="J714">
        <v>0</v>
      </c>
      <c r="K714">
        <v>7</v>
      </c>
      <c r="L714" t="str">
        <f>CONCATENATE(T_BATTINGDATA[[#This Row],[Match]],T_BATTINGDATA[[#This Row],[Team]],T_BATTINGDATA[[#This Row],[Bat Number]])</f>
        <v>32Australia7</v>
      </c>
      <c r="M714" t="str">
        <f>IFERROR(IF(AND(T_BATTINGDATA[[#This Row],[Team]]=I_TEAM,IFERROR(IF(MATCH(T_BATTINGDATA[[#This Row],[BATSMAN NAME]],$O$5:O713,0)&gt;0,0),1)),1,0),"")</f>
        <v/>
      </c>
      <c r="N714" t="e">
        <f>IF(T_BATTINGDATA[[#This Row],[Team]]=I_TEAM,T_BATTINGDATA[[#This Row],[R]],0)</f>
        <v>#REF!</v>
      </c>
      <c r="O714" t="str">
        <f>LEFT(T_BATTINGDATA[[#This Row],[Batsman]],IFERROR(FIND("*",T_BATTINGDATA[[#This Row],[Batsman]])-1,IFERROR(FIND("†",T_BATTINGDATA[[#This Row],[Batsman]])-1,LEN(T_BATTINGDATA[[#This Row],[Batsman]]))))</f>
        <v>JP Faulkner</v>
      </c>
      <c r="P714">
        <f ca="1">IFERROR(IF(MATCH(T_BATTINGDATA[[#This Row],[BATSMAN NAME]],OFFSET(O715,0,0,BATROWS-ROW(O714)-ROW(T_BATTINGDATA[[#Headers],[BATSMAN NAME]])),0)&gt;0,0,SUMIF($O$6:O714,T_BATTINGDATA[[#This Row],[BATSMAN NAME]],$E$6:E714)),SUMIF($O$6:O714,T_BATTINGDATA[[#This Row],[BATSMAN NAME]],$E$6:E714))</f>
        <v>0</v>
      </c>
    </row>
    <row r="715" spans="1:16" x14ac:dyDescent="0.3">
      <c r="A715">
        <v>32</v>
      </c>
      <c r="B715" t="s">
        <v>149</v>
      </c>
      <c r="C715" t="s">
        <v>391</v>
      </c>
      <c r="D715" t="s">
        <v>786</v>
      </c>
      <c r="E715">
        <v>25</v>
      </c>
      <c r="F715">
        <v>16</v>
      </c>
      <c r="G715">
        <v>9</v>
      </c>
      <c r="H715">
        <v>4</v>
      </c>
      <c r="I715">
        <v>1</v>
      </c>
      <c r="J715">
        <v>277.77</v>
      </c>
      <c r="K715">
        <v>8</v>
      </c>
      <c r="L715" t="str">
        <f>CONCATENATE(T_BATTINGDATA[[#This Row],[Match]],T_BATTINGDATA[[#This Row],[Team]],T_BATTINGDATA[[#This Row],[Bat Number]])</f>
        <v>32Australia8</v>
      </c>
      <c r="M715" t="str">
        <f>IFERROR(IF(AND(T_BATTINGDATA[[#This Row],[Team]]=I_TEAM,IFERROR(IF(MATCH(T_BATTINGDATA[[#This Row],[BATSMAN NAME]],$O$5:O714,0)&gt;0,0),1)),1,0),"")</f>
        <v/>
      </c>
      <c r="N715" t="e">
        <f>IF(T_BATTINGDATA[[#This Row],[Team]]=I_TEAM,T_BATTINGDATA[[#This Row],[R]],0)</f>
        <v>#REF!</v>
      </c>
      <c r="O715" t="str">
        <f>LEFT(T_BATTINGDATA[[#This Row],[Batsman]],IFERROR(FIND("*",T_BATTINGDATA[[#This Row],[Batsman]])-1,IFERROR(FIND("†",T_BATTINGDATA[[#This Row],[Batsman]])-1,LEN(T_BATTINGDATA[[#This Row],[Batsman]]))))</f>
        <v>BJ Haddin</v>
      </c>
      <c r="P715">
        <f ca="1">IFERROR(IF(MATCH(T_BATTINGDATA[[#This Row],[BATSMAN NAME]],OFFSET(O716,0,0,BATROWS-ROW(O715)-ROW(T_BATTINGDATA[[#Headers],[BATSMAN NAME]])),0)&gt;0,0,SUMIF($O$6:O715,T_BATTINGDATA[[#This Row],[BATSMAN NAME]],$E$6:E715)),SUMIF($O$6:O715,T_BATTINGDATA[[#This Row],[BATSMAN NAME]],$E$6:E715))</f>
        <v>126</v>
      </c>
    </row>
    <row r="716" spans="1:16" x14ac:dyDescent="0.3">
      <c r="A716">
        <v>32</v>
      </c>
      <c r="B716" t="s">
        <v>149</v>
      </c>
      <c r="C716" t="s">
        <v>323</v>
      </c>
      <c r="D716" t="s">
        <v>167</v>
      </c>
      <c r="E716">
        <v>3</v>
      </c>
      <c r="F716">
        <v>6</v>
      </c>
      <c r="G716">
        <v>3</v>
      </c>
      <c r="H716">
        <v>0</v>
      </c>
      <c r="I716">
        <v>0</v>
      </c>
      <c r="J716">
        <v>100</v>
      </c>
      <c r="K716">
        <v>9</v>
      </c>
      <c r="L716" t="str">
        <f>CONCATENATE(T_BATTINGDATA[[#This Row],[Match]],T_BATTINGDATA[[#This Row],[Team]],T_BATTINGDATA[[#This Row],[Bat Number]])</f>
        <v>32Australia9</v>
      </c>
      <c r="M716" t="str">
        <f>IFERROR(IF(AND(T_BATTINGDATA[[#This Row],[Team]]=I_TEAM,IFERROR(IF(MATCH(T_BATTINGDATA[[#This Row],[BATSMAN NAME]],$O$5:O715,0)&gt;0,0),1)),1,0),"")</f>
        <v/>
      </c>
      <c r="N716" t="e">
        <f>IF(T_BATTINGDATA[[#This Row],[Team]]=I_TEAM,T_BATTINGDATA[[#This Row],[R]],0)</f>
        <v>#REF!</v>
      </c>
      <c r="O716" t="str">
        <f>LEFT(T_BATTINGDATA[[#This Row],[Batsman]],IFERROR(FIND("*",T_BATTINGDATA[[#This Row],[Batsman]])-1,IFERROR(FIND("†",T_BATTINGDATA[[#This Row],[Batsman]])-1,LEN(T_BATTINGDATA[[#This Row],[Batsman]]))))</f>
        <v>MG Johnson</v>
      </c>
      <c r="P716">
        <f ca="1">IFERROR(IF(MATCH(T_BATTINGDATA[[#This Row],[BATSMAN NAME]],OFFSET(O717,0,0,BATROWS-ROW(O716)-ROW(T_BATTINGDATA[[#Headers],[BATSMAN NAME]])),0)&gt;0,0,SUMIF($O$6:O716,T_BATTINGDATA[[#This Row],[BATSMAN NAME]],$E$6:E716)),SUMIF($O$6:O716,T_BATTINGDATA[[#This Row],[BATSMAN NAME]],$E$6:E716))</f>
        <v>31</v>
      </c>
    </row>
    <row r="717" spans="1:16" x14ac:dyDescent="0.3">
      <c r="A717">
        <v>32</v>
      </c>
      <c r="B717" t="s">
        <v>149</v>
      </c>
      <c r="C717" t="s">
        <v>321</v>
      </c>
      <c r="D717" t="s">
        <v>787</v>
      </c>
      <c r="E717">
        <v>0</v>
      </c>
      <c r="F717">
        <v>1</v>
      </c>
      <c r="G717">
        <v>0</v>
      </c>
      <c r="H717">
        <v>0</v>
      </c>
      <c r="I717">
        <v>0</v>
      </c>
      <c r="J717" t="s">
        <v>348</v>
      </c>
      <c r="K717">
        <v>10</v>
      </c>
      <c r="L717" t="str">
        <f>CONCATENATE(T_BATTINGDATA[[#This Row],[Match]],T_BATTINGDATA[[#This Row],[Team]],T_BATTINGDATA[[#This Row],[Bat Number]])</f>
        <v>32Australia10</v>
      </c>
      <c r="M717" t="str">
        <f>IFERROR(IF(AND(T_BATTINGDATA[[#This Row],[Team]]=I_TEAM,IFERROR(IF(MATCH(T_BATTINGDATA[[#This Row],[BATSMAN NAME]],$O$5:O716,0)&gt;0,0),1)),1,0),"")</f>
        <v/>
      </c>
      <c r="N717" t="e">
        <f>IF(T_BATTINGDATA[[#This Row],[Team]]=I_TEAM,T_BATTINGDATA[[#This Row],[R]],0)</f>
        <v>#REF!</v>
      </c>
      <c r="O717" t="str">
        <f>LEFT(T_BATTINGDATA[[#This Row],[Batsman]],IFERROR(FIND("*",T_BATTINGDATA[[#This Row],[Batsman]])-1,IFERROR(FIND("†",T_BATTINGDATA[[#This Row],[Batsman]])-1,LEN(T_BATTINGDATA[[#This Row],[Batsman]]))))</f>
        <v>MA Starc</v>
      </c>
      <c r="P717">
        <f ca="1">IFERROR(IF(MATCH(T_BATTINGDATA[[#This Row],[BATSMAN NAME]],OFFSET(O718,0,0,BATROWS-ROW(O717)-ROW(T_BATTINGDATA[[#Headers],[BATSMAN NAME]])),0)&gt;0,0,SUMIF($O$6:O717,T_BATTINGDATA[[#This Row],[BATSMAN NAME]],$E$6:E717)),SUMIF($O$6:O717,T_BATTINGDATA[[#This Row],[BATSMAN NAME]],$E$6:E717))</f>
        <v>0</v>
      </c>
    </row>
    <row r="718" spans="1:16" x14ac:dyDescent="0.3">
      <c r="A718">
        <v>32</v>
      </c>
      <c r="B718" t="s">
        <v>149</v>
      </c>
      <c r="C718" t="s">
        <v>661</v>
      </c>
      <c r="D718" t="s">
        <v>167</v>
      </c>
      <c r="E718">
        <v>0</v>
      </c>
      <c r="F718">
        <v>2</v>
      </c>
      <c r="G718">
        <v>1</v>
      </c>
      <c r="H718">
        <v>0</v>
      </c>
      <c r="I718">
        <v>0</v>
      </c>
      <c r="J718">
        <v>0</v>
      </c>
      <c r="K718">
        <v>11</v>
      </c>
      <c r="L718" t="str">
        <f>CONCATENATE(T_BATTINGDATA[[#This Row],[Match]],T_BATTINGDATA[[#This Row],[Team]],T_BATTINGDATA[[#This Row],[Bat Number]])</f>
        <v>32Australia11</v>
      </c>
      <c r="M718" t="str">
        <f>IFERROR(IF(AND(T_BATTINGDATA[[#This Row],[Team]]=I_TEAM,IFERROR(IF(MATCH(T_BATTINGDATA[[#This Row],[BATSMAN NAME]],$O$5:O717,0)&gt;0,0),1)),1,0),"")</f>
        <v/>
      </c>
      <c r="N718" t="e">
        <f>IF(T_BATTINGDATA[[#This Row],[Team]]=I_TEAM,T_BATTINGDATA[[#This Row],[R]],0)</f>
        <v>#REF!</v>
      </c>
      <c r="O718" t="str">
        <f>LEFT(T_BATTINGDATA[[#This Row],[Batsman]],IFERROR(FIND("*",T_BATTINGDATA[[#This Row],[Batsman]])-1,IFERROR(FIND("†",T_BATTINGDATA[[#This Row],[Batsman]])-1,LEN(T_BATTINGDATA[[#This Row],[Batsman]]))))</f>
        <v>XJ Doherty</v>
      </c>
      <c r="P718">
        <f ca="1">IFERROR(IF(MATCH(T_BATTINGDATA[[#This Row],[BATSMAN NAME]],OFFSET(O719,0,0,BATROWS-ROW(O718)-ROW(T_BATTINGDATA[[#Headers],[BATSMAN NAME]])),0)&gt;0,0,SUMIF($O$6:O718,T_BATTINGDATA[[#This Row],[BATSMAN NAME]],$E$6:E718)),SUMIF($O$6:O718,T_BATTINGDATA[[#This Row],[BATSMAN NAME]],$E$6:E718))</f>
        <v>0</v>
      </c>
    </row>
    <row r="719" spans="1:16" x14ac:dyDescent="0.3">
      <c r="A719">
        <v>32</v>
      </c>
      <c r="B719" t="s">
        <v>145</v>
      </c>
      <c r="C719" t="s">
        <v>361</v>
      </c>
      <c r="D719" t="s">
        <v>584</v>
      </c>
      <c r="E719">
        <v>1</v>
      </c>
      <c r="F719">
        <v>8</v>
      </c>
      <c r="G719">
        <v>5</v>
      </c>
      <c r="H719">
        <v>0</v>
      </c>
      <c r="I719">
        <v>0</v>
      </c>
      <c r="J719">
        <v>20</v>
      </c>
      <c r="K719">
        <v>1</v>
      </c>
      <c r="L719" t="str">
        <f>CONCATENATE(T_BATTINGDATA[[#This Row],[Match]],T_BATTINGDATA[[#This Row],[Team]],T_BATTINGDATA[[#This Row],[Bat Number]])</f>
        <v>32Sri Lanka1</v>
      </c>
      <c r="M719" t="str">
        <f>IFERROR(IF(AND(T_BATTINGDATA[[#This Row],[Team]]=I_TEAM,IFERROR(IF(MATCH(T_BATTINGDATA[[#This Row],[BATSMAN NAME]],$O$5:O718,0)&gt;0,0),1)),1,0),"")</f>
        <v/>
      </c>
      <c r="N719" t="e">
        <f>IF(T_BATTINGDATA[[#This Row],[Team]]=I_TEAM,T_BATTINGDATA[[#This Row],[R]],0)</f>
        <v>#REF!</v>
      </c>
      <c r="O719" t="str">
        <f>LEFT(T_BATTINGDATA[[#This Row],[Batsman]],IFERROR(FIND("*",T_BATTINGDATA[[#This Row],[Batsman]])-1,IFERROR(FIND("†",T_BATTINGDATA[[#This Row],[Batsman]])-1,LEN(T_BATTINGDATA[[#This Row],[Batsman]]))))</f>
        <v>HDRL Thirimanne</v>
      </c>
      <c r="P719">
        <f ca="1">IFERROR(IF(MATCH(T_BATTINGDATA[[#This Row],[BATSMAN NAME]],OFFSET(O720,0,0,BATROWS-ROW(O719)-ROW(T_BATTINGDATA[[#Headers],[BATSMAN NAME]])),0)&gt;0,0,SUMIF($O$6:O719,T_BATTINGDATA[[#This Row],[BATSMAN NAME]],$E$6:E719)),SUMIF($O$6:O719,T_BATTINGDATA[[#This Row],[BATSMAN NAME]],$E$6:E719))</f>
        <v>0</v>
      </c>
    </row>
    <row r="720" spans="1:16" x14ac:dyDescent="0.3">
      <c r="A720">
        <v>32</v>
      </c>
      <c r="B720" t="s">
        <v>145</v>
      </c>
      <c r="C720" t="s">
        <v>290</v>
      </c>
      <c r="D720" t="s">
        <v>788</v>
      </c>
      <c r="E720">
        <v>62</v>
      </c>
      <c r="F720">
        <v>91</v>
      </c>
      <c r="G720">
        <v>60</v>
      </c>
      <c r="H720">
        <v>8</v>
      </c>
      <c r="I720">
        <v>0</v>
      </c>
      <c r="J720">
        <v>103.33</v>
      </c>
      <c r="K720">
        <v>2</v>
      </c>
      <c r="L720" t="str">
        <f>CONCATENATE(T_BATTINGDATA[[#This Row],[Match]],T_BATTINGDATA[[#This Row],[Team]],T_BATTINGDATA[[#This Row],[Bat Number]])</f>
        <v>32Sri Lanka2</v>
      </c>
      <c r="M720" t="str">
        <f>IFERROR(IF(AND(T_BATTINGDATA[[#This Row],[Team]]=I_TEAM,IFERROR(IF(MATCH(T_BATTINGDATA[[#This Row],[BATSMAN NAME]],$O$5:O719,0)&gt;0,0),1)),1,0),"")</f>
        <v/>
      </c>
      <c r="N720" t="e">
        <f>IF(T_BATTINGDATA[[#This Row],[Team]]=I_TEAM,T_BATTINGDATA[[#This Row],[R]],0)</f>
        <v>#REF!</v>
      </c>
      <c r="O720" t="str">
        <f>LEFT(T_BATTINGDATA[[#This Row],[Batsman]],IFERROR(FIND("*",T_BATTINGDATA[[#This Row],[Batsman]])-1,IFERROR(FIND("†",T_BATTINGDATA[[#This Row],[Batsman]])-1,LEN(T_BATTINGDATA[[#This Row],[Batsman]]))))</f>
        <v>TM Dilshan</v>
      </c>
      <c r="P720">
        <f ca="1">IFERROR(IF(MATCH(T_BATTINGDATA[[#This Row],[BATSMAN NAME]],OFFSET(O721,0,0,BATROWS-ROW(O720)-ROW(T_BATTINGDATA[[#Headers],[BATSMAN NAME]])),0)&gt;0,0,SUMIF($O$6:O720,T_BATTINGDATA[[#This Row],[BATSMAN NAME]],$E$6:E720)),SUMIF($O$6:O720,T_BATTINGDATA[[#This Row],[BATSMAN NAME]],$E$6:E720))</f>
        <v>0</v>
      </c>
    </row>
    <row r="721" spans="1:16" x14ac:dyDescent="0.3">
      <c r="A721">
        <v>32</v>
      </c>
      <c r="B721" t="s">
        <v>145</v>
      </c>
      <c r="C721" t="s">
        <v>364</v>
      </c>
      <c r="D721" t="s">
        <v>789</v>
      </c>
      <c r="E721">
        <v>104</v>
      </c>
      <c r="F721">
        <v>140</v>
      </c>
      <c r="G721">
        <v>107</v>
      </c>
      <c r="H721">
        <v>11</v>
      </c>
      <c r="I721">
        <v>0</v>
      </c>
      <c r="J721">
        <v>97.19</v>
      </c>
      <c r="K721">
        <v>3</v>
      </c>
      <c r="L721" t="str">
        <f>CONCATENATE(T_BATTINGDATA[[#This Row],[Match]],T_BATTINGDATA[[#This Row],[Team]],T_BATTINGDATA[[#This Row],[Bat Number]])</f>
        <v>32Sri Lanka3</v>
      </c>
      <c r="M721" t="str">
        <f>IFERROR(IF(AND(T_BATTINGDATA[[#This Row],[Team]]=I_TEAM,IFERROR(IF(MATCH(T_BATTINGDATA[[#This Row],[BATSMAN NAME]],$O$5:O720,0)&gt;0,0),1)),1,0),"")</f>
        <v/>
      </c>
      <c r="N721" t="e">
        <f>IF(T_BATTINGDATA[[#This Row],[Team]]=I_TEAM,T_BATTINGDATA[[#This Row],[R]],0)</f>
        <v>#REF!</v>
      </c>
      <c r="O721" t="str">
        <f>LEFT(T_BATTINGDATA[[#This Row],[Batsman]],IFERROR(FIND("*",T_BATTINGDATA[[#This Row],[Batsman]])-1,IFERROR(FIND("†",T_BATTINGDATA[[#This Row],[Batsman]])-1,LEN(T_BATTINGDATA[[#This Row],[Batsman]]))))</f>
        <v>KC Sangakkara</v>
      </c>
      <c r="P721">
        <f ca="1">IFERROR(IF(MATCH(T_BATTINGDATA[[#This Row],[BATSMAN NAME]],OFFSET(O722,0,0,BATROWS-ROW(O721)-ROW(T_BATTINGDATA[[#Headers],[BATSMAN NAME]])),0)&gt;0,0,SUMIF($O$6:O721,T_BATTINGDATA[[#This Row],[BATSMAN NAME]],$E$6:E721)),SUMIF($O$6:O721,T_BATTINGDATA[[#This Row],[BATSMAN NAME]],$E$6:E721))</f>
        <v>0</v>
      </c>
    </row>
    <row r="722" spans="1:16" x14ac:dyDescent="0.3">
      <c r="A722">
        <v>32</v>
      </c>
      <c r="B722" t="s">
        <v>145</v>
      </c>
      <c r="C722" t="s">
        <v>366</v>
      </c>
      <c r="D722" t="s">
        <v>790</v>
      </c>
      <c r="E722">
        <v>19</v>
      </c>
      <c r="F722">
        <v>39</v>
      </c>
      <c r="G722">
        <v>22</v>
      </c>
      <c r="H722">
        <v>1</v>
      </c>
      <c r="I722">
        <v>0</v>
      </c>
      <c r="J722">
        <v>86.36</v>
      </c>
      <c r="K722">
        <v>4</v>
      </c>
      <c r="L722" t="str">
        <f>CONCATENATE(T_BATTINGDATA[[#This Row],[Match]],T_BATTINGDATA[[#This Row],[Team]],T_BATTINGDATA[[#This Row],[Bat Number]])</f>
        <v>32Sri Lanka4</v>
      </c>
      <c r="M722" t="str">
        <f>IFERROR(IF(AND(T_BATTINGDATA[[#This Row],[Team]]=I_TEAM,IFERROR(IF(MATCH(T_BATTINGDATA[[#This Row],[BATSMAN NAME]],$O$5:O721,0)&gt;0,0),1)),1,0),"")</f>
        <v/>
      </c>
      <c r="N722" t="e">
        <f>IF(T_BATTINGDATA[[#This Row],[Team]]=I_TEAM,T_BATTINGDATA[[#This Row],[R]],0)</f>
        <v>#REF!</v>
      </c>
      <c r="O722" t="str">
        <f>LEFT(T_BATTINGDATA[[#This Row],[Batsman]],IFERROR(FIND("*",T_BATTINGDATA[[#This Row],[Batsman]])-1,IFERROR(FIND("†",T_BATTINGDATA[[#This Row],[Batsman]])-1,LEN(T_BATTINGDATA[[#This Row],[Batsman]]))))</f>
        <v>DPMD Jayawardene</v>
      </c>
      <c r="P722">
        <f ca="1">IFERROR(IF(MATCH(T_BATTINGDATA[[#This Row],[BATSMAN NAME]],OFFSET(O723,0,0,BATROWS-ROW(O722)-ROW(T_BATTINGDATA[[#Headers],[BATSMAN NAME]])),0)&gt;0,0,SUMIF($O$6:O722,T_BATTINGDATA[[#This Row],[BATSMAN NAME]],$E$6:E722)),SUMIF($O$6:O722,T_BATTINGDATA[[#This Row],[BATSMAN NAME]],$E$6:E722))</f>
        <v>0</v>
      </c>
    </row>
    <row r="723" spans="1:16" x14ac:dyDescent="0.3">
      <c r="A723">
        <v>32</v>
      </c>
      <c r="B723" t="s">
        <v>145</v>
      </c>
      <c r="C723" t="s">
        <v>370</v>
      </c>
      <c r="D723" t="s">
        <v>791</v>
      </c>
      <c r="E723">
        <v>35</v>
      </c>
      <c r="F723">
        <v>57</v>
      </c>
      <c r="G723">
        <v>31</v>
      </c>
      <c r="H723">
        <v>2</v>
      </c>
      <c r="I723">
        <v>1</v>
      </c>
      <c r="J723">
        <v>112.9</v>
      </c>
      <c r="K723">
        <v>5</v>
      </c>
      <c r="L723" t="str">
        <f>CONCATENATE(T_BATTINGDATA[[#This Row],[Match]],T_BATTINGDATA[[#This Row],[Team]],T_BATTINGDATA[[#This Row],[Bat Number]])</f>
        <v>32Sri Lanka5</v>
      </c>
      <c r="M723" t="str">
        <f>IFERROR(IF(AND(T_BATTINGDATA[[#This Row],[Team]]=I_TEAM,IFERROR(IF(MATCH(T_BATTINGDATA[[#This Row],[BATSMAN NAME]],$O$5:O722,0)&gt;0,0),1)),1,0),"")</f>
        <v/>
      </c>
      <c r="N723" t="e">
        <f>IF(T_BATTINGDATA[[#This Row],[Team]]=I_TEAM,T_BATTINGDATA[[#This Row],[R]],0)</f>
        <v>#REF!</v>
      </c>
      <c r="O723" t="str">
        <f>LEFT(T_BATTINGDATA[[#This Row],[Batsman]],IFERROR(FIND("*",T_BATTINGDATA[[#This Row],[Batsman]])-1,IFERROR(FIND("†",T_BATTINGDATA[[#This Row],[Batsman]])-1,LEN(T_BATTINGDATA[[#This Row],[Batsman]]))))</f>
        <v>AD Mathews</v>
      </c>
      <c r="P723">
        <f ca="1">IFERROR(IF(MATCH(T_BATTINGDATA[[#This Row],[BATSMAN NAME]],OFFSET(O724,0,0,BATROWS-ROW(O723)-ROW(T_BATTINGDATA[[#Headers],[BATSMAN NAME]])),0)&gt;0,0,SUMIF($O$6:O723,T_BATTINGDATA[[#This Row],[BATSMAN NAME]],$E$6:E723)),SUMIF($O$6:O723,T_BATTINGDATA[[#This Row],[BATSMAN NAME]],$E$6:E723))</f>
        <v>0</v>
      </c>
    </row>
    <row r="724" spans="1:16" x14ac:dyDescent="0.3">
      <c r="A724">
        <v>32</v>
      </c>
      <c r="B724" t="s">
        <v>145</v>
      </c>
      <c r="C724" t="s">
        <v>792</v>
      </c>
      <c r="D724" t="s">
        <v>514</v>
      </c>
      <c r="E724">
        <v>52</v>
      </c>
      <c r="F724">
        <v>38</v>
      </c>
      <c r="G724">
        <v>24</v>
      </c>
      <c r="H724">
        <v>8</v>
      </c>
      <c r="I724">
        <v>1</v>
      </c>
      <c r="J724">
        <v>216.66</v>
      </c>
      <c r="K724">
        <v>6</v>
      </c>
      <c r="L724" t="str">
        <f>CONCATENATE(T_BATTINGDATA[[#This Row],[Match]],T_BATTINGDATA[[#This Row],[Team]],T_BATTINGDATA[[#This Row],[Bat Number]])</f>
        <v>32Sri Lanka6</v>
      </c>
      <c r="M724" t="str">
        <f>IFERROR(IF(AND(T_BATTINGDATA[[#This Row],[Team]]=I_TEAM,IFERROR(IF(MATCH(T_BATTINGDATA[[#This Row],[BATSMAN NAME]],$O$5:O723,0)&gt;0,0),1)),1,0),"")</f>
        <v/>
      </c>
      <c r="N724" t="e">
        <f>IF(T_BATTINGDATA[[#This Row],[Team]]=I_TEAM,T_BATTINGDATA[[#This Row],[R]],0)</f>
        <v>#REF!</v>
      </c>
      <c r="O724" t="str">
        <f>LEFT(T_BATTINGDATA[[#This Row],[Batsman]],IFERROR(FIND("*",T_BATTINGDATA[[#This Row],[Batsman]])-1,IFERROR(FIND("†",T_BATTINGDATA[[#This Row],[Batsman]])-1,LEN(T_BATTINGDATA[[#This Row],[Batsman]]))))</f>
        <v>LD Chandimal</v>
      </c>
      <c r="P724">
        <f ca="1">IFERROR(IF(MATCH(T_BATTINGDATA[[#This Row],[BATSMAN NAME]],OFFSET(O725,0,0,BATROWS-ROW(O724)-ROW(T_BATTINGDATA[[#Headers],[BATSMAN NAME]])),0)&gt;0,0,SUMIF($O$6:O724,T_BATTINGDATA[[#This Row],[BATSMAN NAME]],$E$6:E724)),SUMIF($O$6:O724,T_BATTINGDATA[[#This Row],[BATSMAN NAME]],$E$6:E724))</f>
        <v>52</v>
      </c>
    </row>
    <row r="725" spans="1:16" x14ac:dyDescent="0.3">
      <c r="A725">
        <v>32</v>
      </c>
      <c r="B725" t="s">
        <v>145</v>
      </c>
      <c r="C725" t="s">
        <v>445</v>
      </c>
      <c r="D725" t="s">
        <v>793</v>
      </c>
      <c r="E725">
        <v>8</v>
      </c>
      <c r="F725">
        <v>8</v>
      </c>
      <c r="G725">
        <v>3</v>
      </c>
      <c r="H725">
        <v>2</v>
      </c>
      <c r="I725">
        <v>0</v>
      </c>
      <c r="J725">
        <v>266.66000000000003</v>
      </c>
      <c r="K725">
        <v>7</v>
      </c>
      <c r="L725" t="str">
        <f>CONCATENATE(T_BATTINGDATA[[#This Row],[Match]],T_BATTINGDATA[[#This Row],[Team]],T_BATTINGDATA[[#This Row],[Bat Number]])</f>
        <v>32Sri Lanka7</v>
      </c>
      <c r="M725" t="str">
        <f>IFERROR(IF(AND(T_BATTINGDATA[[#This Row],[Team]]=I_TEAM,IFERROR(IF(MATCH(T_BATTINGDATA[[#This Row],[BATSMAN NAME]],$O$5:O724,0)&gt;0,0),1)),1,0),"")</f>
        <v/>
      </c>
      <c r="N725" t="e">
        <f>IF(T_BATTINGDATA[[#This Row],[Team]]=I_TEAM,T_BATTINGDATA[[#This Row],[R]],0)</f>
        <v>#REF!</v>
      </c>
      <c r="O725" t="str">
        <f>LEFT(T_BATTINGDATA[[#This Row],[Batsman]],IFERROR(FIND("*",T_BATTINGDATA[[#This Row],[Batsman]])-1,IFERROR(FIND("†",T_BATTINGDATA[[#This Row],[Batsman]])-1,LEN(T_BATTINGDATA[[#This Row],[Batsman]]))))</f>
        <v>NLTC Perera</v>
      </c>
      <c r="P725">
        <f ca="1">IFERROR(IF(MATCH(T_BATTINGDATA[[#This Row],[BATSMAN NAME]],OFFSET(O726,0,0,BATROWS-ROW(O725)-ROW(T_BATTINGDATA[[#Headers],[BATSMAN NAME]])),0)&gt;0,0,SUMIF($O$6:O725,T_BATTINGDATA[[#This Row],[BATSMAN NAME]],$E$6:E725)),SUMIF($O$6:O725,T_BATTINGDATA[[#This Row],[BATSMAN NAME]],$E$6:E725))</f>
        <v>0</v>
      </c>
    </row>
    <row r="726" spans="1:16" x14ac:dyDescent="0.3">
      <c r="A726">
        <v>32</v>
      </c>
      <c r="B726" t="s">
        <v>145</v>
      </c>
      <c r="C726" t="s">
        <v>794</v>
      </c>
      <c r="D726" t="s">
        <v>795</v>
      </c>
      <c r="E726">
        <v>4</v>
      </c>
      <c r="F726">
        <v>20</v>
      </c>
      <c r="G726">
        <v>5</v>
      </c>
      <c r="H726">
        <v>0</v>
      </c>
      <c r="I726">
        <v>0</v>
      </c>
      <c r="J726">
        <v>80</v>
      </c>
      <c r="K726">
        <v>8</v>
      </c>
      <c r="L726" t="str">
        <f>CONCATENATE(T_BATTINGDATA[[#This Row],[Match]],T_BATTINGDATA[[#This Row],[Team]],T_BATTINGDATA[[#This Row],[Bat Number]])</f>
        <v>32Sri Lanka8</v>
      </c>
      <c r="M726" t="str">
        <f>IFERROR(IF(AND(T_BATTINGDATA[[#This Row],[Team]]=I_TEAM,IFERROR(IF(MATCH(T_BATTINGDATA[[#This Row],[BATSMAN NAME]],$O$5:O725,0)&gt;0,0),1)),1,0),"")</f>
        <v/>
      </c>
      <c r="N726" t="e">
        <f>IF(T_BATTINGDATA[[#This Row],[Team]]=I_TEAM,T_BATTINGDATA[[#This Row],[R]],0)</f>
        <v>#REF!</v>
      </c>
      <c r="O726" t="str">
        <f>LEFT(T_BATTINGDATA[[#This Row],[Batsman]],IFERROR(FIND("*",T_BATTINGDATA[[#This Row],[Batsman]])-1,IFERROR(FIND("†",T_BATTINGDATA[[#This Row],[Batsman]])-1,LEN(T_BATTINGDATA[[#This Row],[Batsman]]))))</f>
        <v>WU Tharanga</v>
      </c>
      <c r="P726">
        <f ca="1">IFERROR(IF(MATCH(T_BATTINGDATA[[#This Row],[BATSMAN NAME]],OFFSET(O727,0,0,BATROWS-ROW(O726)-ROW(T_BATTINGDATA[[#Headers],[BATSMAN NAME]])),0)&gt;0,0,SUMIF($O$6:O726,T_BATTINGDATA[[#This Row],[BATSMAN NAME]],$E$6:E726)),SUMIF($O$6:O726,T_BATTINGDATA[[#This Row],[BATSMAN NAME]],$E$6:E726))</f>
        <v>4</v>
      </c>
    </row>
    <row r="727" spans="1:16" x14ac:dyDescent="0.3">
      <c r="A727">
        <v>32</v>
      </c>
      <c r="B727" t="s">
        <v>145</v>
      </c>
      <c r="C727" t="s">
        <v>654</v>
      </c>
      <c r="D727" t="s">
        <v>410</v>
      </c>
      <c r="E727">
        <v>9</v>
      </c>
      <c r="F727">
        <v>11</v>
      </c>
      <c r="G727">
        <v>11</v>
      </c>
      <c r="H727">
        <v>1</v>
      </c>
      <c r="I727">
        <v>0</v>
      </c>
      <c r="J727">
        <v>81.81</v>
      </c>
      <c r="K727">
        <v>9</v>
      </c>
      <c r="L727" t="str">
        <f>CONCATENATE(T_BATTINGDATA[[#This Row],[Match]],T_BATTINGDATA[[#This Row],[Team]],T_BATTINGDATA[[#This Row],[Bat Number]])</f>
        <v>32Sri Lanka9</v>
      </c>
      <c r="M727" t="str">
        <f>IFERROR(IF(AND(T_BATTINGDATA[[#This Row],[Team]]=I_TEAM,IFERROR(IF(MATCH(T_BATTINGDATA[[#This Row],[BATSMAN NAME]],$O$5:O726,0)&gt;0,0),1)),1,0),"")</f>
        <v/>
      </c>
      <c r="N727" t="e">
        <f>IF(T_BATTINGDATA[[#This Row],[Team]]=I_TEAM,T_BATTINGDATA[[#This Row],[R]],0)</f>
        <v>#REF!</v>
      </c>
      <c r="O727" t="str">
        <f>LEFT(T_BATTINGDATA[[#This Row],[Batsman]],IFERROR(FIND("*",T_BATTINGDATA[[#This Row],[Batsman]])-1,IFERROR(FIND("†",T_BATTINGDATA[[#This Row],[Batsman]])-1,LEN(T_BATTINGDATA[[#This Row],[Batsman]]))))</f>
        <v>S Prasanna</v>
      </c>
      <c r="P727">
        <f ca="1">IFERROR(IF(MATCH(T_BATTINGDATA[[#This Row],[BATSMAN NAME]],OFFSET(O728,0,0,BATROWS-ROW(O727)-ROW(T_BATTINGDATA[[#Headers],[BATSMAN NAME]])),0)&gt;0,0,SUMIF($O$6:O727,T_BATTINGDATA[[#This Row],[BATSMAN NAME]],$E$6:E727)),SUMIF($O$6:O727,T_BATTINGDATA[[#This Row],[BATSMAN NAME]],$E$6:E727))</f>
        <v>0</v>
      </c>
    </row>
    <row r="728" spans="1:16" x14ac:dyDescent="0.3">
      <c r="A728">
        <v>32</v>
      </c>
      <c r="B728" t="s">
        <v>145</v>
      </c>
      <c r="C728" t="s">
        <v>652</v>
      </c>
      <c r="D728" t="s">
        <v>796</v>
      </c>
      <c r="E728">
        <v>7</v>
      </c>
      <c r="F728">
        <v>8</v>
      </c>
      <c r="G728">
        <v>8</v>
      </c>
      <c r="H728">
        <v>1</v>
      </c>
      <c r="I728">
        <v>0</v>
      </c>
      <c r="J728">
        <v>87.5</v>
      </c>
      <c r="K728">
        <v>10</v>
      </c>
      <c r="L728" t="str">
        <f>CONCATENATE(T_BATTINGDATA[[#This Row],[Match]],T_BATTINGDATA[[#This Row],[Team]],T_BATTINGDATA[[#This Row],[Bat Number]])</f>
        <v>32Sri Lanka10</v>
      </c>
      <c r="M728" t="str">
        <f>IFERROR(IF(AND(T_BATTINGDATA[[#This Row],[Team]]=I_TEAM,IFERROR(IF(MATCH(T_BATTINGDATA[[#This Row],[BATSMAN NAME]],$O$5:O727,0)&gt;0,0),1)),1,0),"")</f>
        <v/>
      </c>
      <c r="N728" t="e">
        <f>IF(T_BATTINGDATA[[#This Row],[Team]]=I_TEAM,T_BATTINGDATA[[#This Row],[R]],0)</f>
        <v>#REF!</v>
      </c>
      <c r="O728" t="str">
        <f>LEFT(T_BATTINGDATA[[#This Row],[Batsman]],IFERROR(FIND("*",T_BATTINGDATA[[#This Row],[Batsman]])-1,IFERROR(FIND("†",T_BATTINGDATA[[#This Row],[Batsman]])-1,LEN(T_BATTINGDATA[[#This Row],[Batsman]]))))</f>
        <v>SMSM Senanayake</v>
      </c>
      <c r="P728">
        <f ca="1">IFERROR(IF(MATCH(T_BATTINGDATA[[#This Row],[BATSMAN NAME]],OFFSET(O729,0,0,BATROWS-ROW(O728)-ROW(T_BATTINGDATA[[#Headers],[BATSMAN NAME]])),0)&gt;0,0,SUMIF($O$6:O728,T_BATTINGDATA[[#This Row],[BATSMAN NAME]],$E$6:E728)),SUMIF($O$6:O728,T_BATTINGDATA[[#This Row],[BATSMAN NAME]],$E$6:E728))</f>
        <v>7</v>
      </c>
    </row>
    <row r="729" spans="1:16" x14ac:dyDescent="0.3">
      <c r="A729">
        <v>32</v>
      </c>
      <c r="B729" t="s">
        <v>145</v>
      </c>
      <c r="C729" t="s">
        <v>287</v>
      </c>
      <c r="D729" t="s">
        <v>167</v>
      </c>
      <c r="E729">
        <v>0</v>
      </c>
      <c r="F729">
        <v>4</v>
      </c>
      <c r="G729">
        <v>2</v>
      </c>
      <c r="H729">
        <v>0</v>
      </c>
      <c r="I729">
        <v>0</v>
      </c>
      <c r="J729">
        <v>0</v>
      </c>
      <c r="K729">
        <v>11</v>
      </c>
      <c r="L729" t="str">
        <f>CONCATENATE(T_BATTINGDATA[[#This Row],[Match]],T_BATTINGDATA[[#This Row],[Team]],T_BATTINGDATA[[#This Row],[Bat Number]])</f>
        <v>32Sri Lanka11</v>
      </c>
      <c r="M729" t="str">
        <f>IFERROR(IF(AND(T_BATTINGDATA[[#This Row],[Team]]=I_TEAM,IFERROR(IF(MATCH(T_BATTINGDATA[[#This Row],[BATSMAN NAME]],$O$5:O728,0)&gt;0,0),1)),1,0),"")</f>
        <v/>
      </c>
      <c r="N729" t="e">
        <f>IF(T_BATTINGDATA[[#This Row],[Team]]=I_TEAM,T_BATTINGDATA[[#This Row],[R]],0)</f>
        <v>#REF!</v>
      </c>
      <c r="O729" t="str">
        <f>LEFT(T_BATTINGDATA[[#This Row],[Batsman]],IFERROR(FIND("*",T_BATTINGDATA[[#This Row],[Batsman]])-1,IFERROR(FIND("†",T_BATTINGDATA[[#This Row],[Batsman]])-1,LEN(T_BATTINGDATA[[#This Row],[Batsman]]))))</f>
        <v>SL Malinga</v>
      </c>
      <c r="P729">
        <f ca="1">IFERROR(IF(MATCH(T_BATTINGDATA[[#This Row],[BATSMAN NAME]],OFFSET(O730,0,0,BATROWS-ROW(O729)-ROW(T_BATTINGDATA[[#Headers],[BATSMAN NAME]])),0)&gt;0,0,SUMIF($O$6:O729,T_BATTINGDATA[[#This Row],[BATSMAN NAME]],$E$6:E729)),SUMIF($O$6:O729,T_BATTINGDATA[[#This Row],[BATSMAN NAME]],$E$6:E729))</f>
        <v>0</v>
      </c>
    </row>
    <row r="730" spans="1:16" x14ac:dyDescent="0.3">
      <c r="A730">
        <v>33</v>
      </c>
      <c r="B730" t="s">
        <v>181</v>
      </c>
      <c r="C730" t="s">
        <v>335</v>
      </c>
      <c r="D730" t="s">
        <v>797</v>
      </c>
      <c r="E730">
        <v>2</v>
      </c>
      <c r="F730">
        <v>10</v>
      </c>
      <c r="G730">
        <v>7</v>
      </c>
      <c r="H730">
        <v>0</v>
      </c>
      <c r="I730">
        <v>0</v>
      </c>
      <c r="J730">
        <v>28.57</v>
      </c>
      <c r="K730">
        <v>1</v>
      </c>
      <c r="L730" t="str">
        <f>CONCATENATE(T_BATTINGDATA[[#This Row],[Match]],T_BATTINGDATA[[#This Row],[Team]],T_BATTINGDATA[[#This Row],[Bat Number]])</f>
        <v>33Bangladesh1</v>
      </c>
      <c r="M730" t="str">
        <f>IFERROR(IF(AND(T_BATTINGDATA[[#This Row],[Team]]=I_TEAM,IFERROR(IF(MATCH(T_BATTINGDATA[[#This Row],[BATSMAN NAME]],$O$5:O729,0)&gt;0,0),1)),1,0),"")</f>
        <v/>
      </c>
      <c r="N730" t="e">
        <f>IF(T_BATTINGDATA[[#This Row],[Team]]=I_TEAM,T_BATTINGDATA[[#This Row],[R]],0)</f>
        <v>#REF!</v>
      </c>
      <c r="O730" t="str">
        <f>LEFT(T_BATTINGDATA[[#This Row],[Batsman]],IFERROR(FIND("*",T_BATTINGDATA[[#This Row],[Batsman]])-1,IFERROR(FIND("†",T_BATTINGDATA[[#This Row],[Batsman]])-1,LEN(T_BATTINGDATA[[#This Row],[Batsman]]))))</f>
        <v>Tamim Iqbal</v>
      </c>
      <c r="P730">
        <f ca="1">IFERROR(IF(MATCH(T_BATTINGDATA[[#This Row],[BATSMAN NAME]],OFFSET(O731,0,0,BATROWS-ROW(O730)-ROW(T_BATTINGDATA[[#Headers],[BATSMAN NAME]])),0)&gt;0,0,SUMIF($O$6:O730,T_BATTINGDATA[[#This Row],[BATSMAN NAME]],$E$6:E730)),SUMIF($O$6:O730,T_BATTINGDATA[[#This Row],[BATSMAN NAME]],$E$6:E730))</f>
        <v>0</v>
      </c>
    </row>
    <row r="731" spans="1:16" x14ac:dyDescent="0.3">
      <c r="A731">
        <v>33</v>
      </c>
      <c r="B731" t="s">
        <v>181</v>
      </c>
      <c r="C731" t="s">
        <v>336</v>
      </c>
      <c r="D731" t="s">
        <v>798</v>
      </c>
      <c r="E731">
        <v>2</v>
      </c>
      <c r="F731">
        <v>2</v>
      </c>
      <c r="G731">
        <v>2</v>
      </c>
      <c r="H731">
        <v>0</v>
      </c>
      <c r="I731">
        <v>0</v>
      </c>
      <c r="J731">
        <v>100</v>
      </c>
      <c r="K731">
        <v>2</v>
      </c>
      <c r="L731" t="str">
        <f>CONCATENATE(T_BATTINGDATA[[#This Row],[Match]],T_BATTINGDATA[[#This Row],[Team]],T_BATTINGDATA[[#This Row],[Bat Number]])</f>
        <v>33Bangladesh2</v>
      </c>
      <c r="M731" t="str">
        <f>IFERROR(IF(AND(T_BATTINGDATA[[#This Row],[Team]]=I_TEAM,IFERROR(IF(MATCH(T_BATTINGDATA[[#This Row],[BATSMAN NAME]],$O$5:O730,0)&gt;0,0),1)),1,0),"")</f>
        <v/>
      </c>
      <c r="N731" t="e">
        <f>IF(T_BATTINGDATA[[#This Row],[Team]]=I_TEAM,T_BATTINGDATA[[#This Row],[R]],0)</f>
        <v>#REF!</v>
      </c>
      <c r="O731" t="str">
        <f>LEFT(T_BATTINGDATA[[#This Row],[Batsman]],IFERROR(FIND("*",T_BATTINGDATA[[#This Row],[Batsman]])-1,IFERROR(FIND("†",T_BATTINGDATA[[#This Row],[Batsman]])-1,LEN(T_BATTINGDATA[[#This Row],[Batsman]]))))</f>
        <v>Imrul Kayes</v>
      </c>
      <c r="P731">
        <f ca="1">IFERROR(IF(MATCH(T_BATTINGDATA[[#This Row],[BATSMAN NAME]],OFFSET(O732,0,0,BATROWS-ROW(O731)-ROW(T_BATTINGDATA[[#Headers],[BATSMAN NAME]])),0)&gt;0,0,SUMIF($O$6:O731,T_BATTINGDATA[[#This Row],[BATSMAN NAME]],$E$6:E731)),SUMIF($O$6:O731,T_BATTINGDATA[[#This Row],[BATSMAN NAME]],$E$6:E731))</f>
        <v>0</v>
      </c>
    </row>
    <row r="732" spans="1:16" x14ac:dyDescent="0.3">
      <c r="A732">
        <v>33</v>
      </c>
      <c r="B732" t="s">
        <v>181</v>
      </c>
      <c r="C732" t="s">
        <v>339</v>
      </c>
      <c r="D732" t="s">
        <v>799</v>
      </c>
      <c r="E732">
        <v>40</v>
      </c>
      <c r="F732">
        <v>83</v>
      </c>
      <c r="G732">
        <v>52</v>
      </c>
      <c r="H732">
        <v>5</v>
      </c>
      <c r="I732">
        <v>1</v>
      </c>
      <c r="J732">
        <v>76.92</v>
      </c>
      <c r="K732">
        <v>3</v>
      </c>
      <c r="L732" t="str">
        <f>CONCATENATE(T_BATTINGDATA[[#This Row],[Match]],T_BATTINGDATA[[#This Row],[Team]],T_BATTINGDATA[[#This Row],[Bat Number]])</f>
        <v>33Bangladesh3</v>
      </c>
      <c r="M732" t="str">
        <f>IFERROR(IF(AND(T_BATTINGDATA[[#This Row],[Team]]=I_TEAM,IFERROR(IF(MATCH(T_BATTINGDATA[[#This Row],[BATSMAN NAME]],$O$5:O731,0)&gt;0,0),1)),1,0),"")</f>
        <v/>
      </c>
      <c r="N732" t="e">
        <f>IF(T_BATTINGDATA[[#This Row],[Team]]=I_TEAM,T_BATTINGDATA[[#This Row],[R]],0)</f>
        <v>#REF!</v>
      </c>
      <c r="O732" t="str">
        <f>LEFT(T_BATTINGDATA[[#This Row],[Batsman]],IFERROR(FIND("*",T_BATTINGDATA[[#This Row],[Batsman]])-1,IFERROR(FIND("†",T_BATTINGDATA[[#This Row],[Batsman]])-1,LEN(T_BATTINGDATA[[#This Row],[Batsman]]))))</f>
        <v>Soumya Sarkar</v>
      </c>
      <c r="P732">
        <f ca="1">IFERROR(IF(MATCH(T_BATTINGDATA[[#This Row],[BATSMAN NAME]],OFFSET(O733,0,0,BATROWS-ROW(O732)-ROW(T_BATTINGDATA[[#Headers],[BATSMAN NAME]])),0)&gt;0,0,SUMIF($O$6:O732,T_BATTINGDATA[[#This Row],[BATSMAN NAME]],$E$6:E732)),SUMIF($O$6:O732,T_BATTINGDATA[[#This Row],[BATSMAN NAME]],$E$6:E732))</f>
        <v>0</v>
      </c>
    </row>
    <row r="733" spans="1:16" x14ac:dyDescent="0.3">
      <c r="A733">
        <v>33</v>
      </c>
      <c r="B733" t="s">
        <v>181</v>
      </c>
      <c r="C733" t="s">
        <v>275</v>
      </c>
      <c r="D733" t="s">
        <v>800</v>
      </c>
      <c r="E733">
        <v>103</v>
      </c>
      <c r="F733">
        <v>184</v>
      </c>
      <c r="G733">
        <v>138</v>
      </c>
      <c r="H733">
        <v>7</v>
      </c>
      <c r="I733">
        <v>2</v>
      </c>
      <c r="J733">
        <v>74.63</v>
      </c>
      <c r="K733">
        <v>4</v>
      </c>
      <c r="L733" t="str">
        <f>CONCATENATE(T_BATTINGDATA[[#This Row],[Match]],T_BATTINGDATA[[#This Row],[Team]],T_BATTINGDATA[[#This Row],[Bat Number]])</f>
        <v>33Bangladesh4</v>
      </c>
      <c r="M733" t="str">
        <f>IFERROR(IF(AND(T_BATTINGDATA[[#This Row],[Team]]=I_TEAM,IFERROR(IF(MATCH(T_BATTINGDATA[[#This Row],[BATSMAN NAME]],$O$5:O732,0)&gt;0,0),1)),1,0),"")</f>
        <v/>
      </c>
      <c r="N733" t="e">
        <f>IF(T_BATTINGDATA[[#This Row],[Team]]=I_TEAM,T_BATTINGDATA[[#This Row],[R]],0)</f>
        <v>#REF!</v>
      </c>
      <c r="O733" t="str">
        <f>LEFT(T_BATTINGDATA[[#This Row],[Batsman]],IFERROR(FIND("*",T_BATTINGDATA[[#This Row],[Batsman]])-1,IFERROR(FIND("†",T_BATTINGDATA[[#This Row],[Batsman]])-1,LEN(T_BATTINGDATA[[#This Row],[Batsman]]))))</f>
        <v>Mahmudullah</v>
      </c>
      <c r="P733">
        <f ca="1">IFERROR(IF(MATCH(T_BATTINGDATA[[#This Row],[BATSMAN NAME]],OFFSET(O734,0,0,BATROWS-ROW(O733)-ROW(T_BATTINGDATA[[#Headers],[BATSMAN NAME]])),0)&gt;0,0,SUMIF($O$6:O733,T_BATTINGDATA[[#This Row],[BATSMAN NAME]],$E$6:E733)),SUMIF($O$6:O733,T_BATTINGDATA[[#This Row],[BATSMAN NAME]],$E$6:E733))</f>
        <v>0</v>
      </c>
    </row>
    <row r="734" spans="1:16" x14ac:dyDescent="0.3">
      <c r="A734">
        <v>33</v>
      </c>
      <c r="B734" t="s">
        <v>181</v>
      </c>
      <c r="C734" t="s">
        <v>280</v>
      </c>
      <c r="D734" t="s">
        <v>801</v>
      </c>
      <c r="E734">
        <v>2</v>
      </c>
      <c r="F734">
        <v>5</v>
      </c>
      <c r="G734">
        <v>6</v>
      </c>
      <c r="H734">
        <v>0</v>
      </c>
      <c r="I734">
        <v>0</v>
      </c>
      <c r="J734">
        <v>33.33</v>
      </c>
      <c r="K734">
        <v>5</v>
      </c>
      <c r="L734" t="str">
        <f>CONCATENATE(T_BATTINGDATA[[#This Row],[Match]],T_BATTINGDATA[[#This Row],[Team]],T_BATTINGDATA[[#This Row],[Bat Number]])</f>
        <v>33Bangladesh5</v>
      </c>
      <c r="M734" t="str">
        <f>IFERROR(IF(AND(T_BATTINGDATA[[#This Row],[Team]]=I_TEAM,IFERROR(IF(MATCH(T_BATTINGDATA[[#This Row],[BATSMAN NAME]],$O$5:O733,0)&gt;0,0),1)),1,0),"")</f>
        <v/>
      </c>
      <c r="N734" t="e">
        <f>IF(T_BATTINGDATA[[#This Row],[Team]]=I_TEAM,T_BATTINGDATA[[#This Row],[R]],0)</f>
        <v>#REF!</v>
      </c>
      <c r="O734" t="str">
        <f>LEFT(T_BATTINGDATA[[#This Row],[Batsman]],IFERROR(FIND("*",T_BATTINGDATA[[#This Row],[Batsman]])-1,IFERROR(FIND("†",T_BATTINGDATA[[#This Row],[Batsman]])-1,LEN(T_BATTINGDATA[[#This Row],[Batsman]]))))</f>
        <v>Shakib Al Hasan</v>
      </c>
      <c r="P734">
        <f ca="1">IFERROR(IF(MATCH(T_BATTINGDATA[[#This Row],[BATSMAN NAME]],OFFSET(O735,0,0,BATROWS-ROW(O734)-ROW(T_BATTINGDATA[[#Headers],[BATSMAN NAME]])),0)&gt;0,0,SUMIF($O$6:O734,T_BATTINGDATA[[#This Row],[BATSMAN NAME]],$E$6:E734)),SUMIF($O$6:O734,T_BATTINGDATA[[#This Row],[BATSMAN NAME]],$E$6:E734))</f>
        <v>0</v>
      </c>
    </row>
    <row r="735" spans="1:16" x14ac:dyDescent="0.3">
      <c r="A735">
        <v>33</v>
      </c>
      <c r="B735" t="s">
        <v>181</v>
      </c>
      <c r="C735" t="s">
        <v>341</v>
      </c>
      <c r="D735" t="s">
        <v>802</v>
      </c>
      <c r="E735">
        <v>89</v>
      </c>
      <c r="F735">
        <v>113</v>
      </c>
      <c r="G735">
        <v>77</v>
      </c>
      <c r="H735">
        <v>8</v>
      </c>
      <c r="I735">
        <v>1</v>
      </c>
      <c r="J735">
        <v>115.58</v>
      </c>
      <c r="K735">
        <v>6</v>
      </c>
      <c r="L735" t="str">
        <f>CONCATENATE(T_BATTINGDATA[[#This Row],[Match]],T_BATTINGDATA[[#This Row],[Team]],T_BATTINGDATA[[#This Row],[Bat Number]])</f>
        <v>33Bangladesh6</v>
      </c>
      <c r="M735" t="str">
        <f>IFERROR(IF(AND(T_BATTINGDATA[[#This Row],[Team]]=I_TEAM,IFERROR(IF(MATCH(T_BATTINGDATA[[#This Row],[BATSMAN NAME]],$O$5:O734,0)&gt;0,0),1)),1,0),"")</f>
        <v/>
      </c>
      <c r="N735" t="e">
        <f>IF(T_BATTINGDATA[[#This Row],[Team]]=I_TEAM,T_BATTINGDATA[[#This Row],[R]],0)</f>
        <v>#REF!</v>
      </c>
      <c r="O735" t="str">
        <f>LEFT(T_BATTINGDATA[[#This Row],[Batsman]],IFERROR(FIND("*",T_BATTINGDATA[[#This Row],[Batsman]])-1,IFERROR(FIND("†",T_BATTINGDATA[[#This Row],[Batsman]])-1,LEN(T_BATTINGDATA[[#This Row],[Batsman]]))))</f>
        <v>Mushfiqur Rahim</v>
      </c>
      <c r="P735">
        <f ca="1">IFERROR(IF(MATCH(T_BATTINGDATA[[#This Row],[BATSMAN NAME]],OFFSET(O736,0,0,BATROWS-ROW(O735)-ROW(T_BATTINGDATA[[#Headers],[BATSMAN NAME]])),0)&gt;0,0,SUMIF($O$6:O735,T_BATTINGDATA[[#This Row],[BATSMAN NAME]],$E$6:E735)),SUMIF($O$6:O735,T_BATTINGDATA[[#This Row],[BATSMAN NAME]],$E$6:E735))</f>
        <v>0</v>
      </c>
    </row>
    <row r="736" spans="1:16" x14ac:dyDescent="0.3">
      <c r="A736">
        <v>33</v>
      </c>
      <c r="B736" t="s">
        <v>181</v>
      </c>
      <c r="C736" t="s">
        <v>342</v>
      </c>
      <c r="D736" t="s">
        <v>803</v>
      </c>
      <c r="E736">
        <v>14</v>
      </c>
      <c r="F736">
        <v>18</v>
      </c>
      <c r="G736">
        <v>12</v>
      </c>
      <c r="H736">
        <v>0</v>
      </c>
      <c r="I736">
        <v>1</v>
      </c>
      <c r="J736">
        <v>116.66</v>
      </c>
      <c r="K736">
        <v>7</v>
      </c>
      <c r="L736" t="str">
        <f>CONCATENATE(T_BATTINGDATA[[#This Row],[Match]],T_BATTINGDATA[[#This Row],[Team]],T_BATTINGDATA[[#This Row],[Bat Number]])</f>
        <v>33Bangladesh7</v>
      </c>
      <c r="M736" t="str">
        <f>IFERROR(IF(AND(T_BATTINGDATA[[#This Row],[Team]]=I_TEAM,IFERROR(IF(MATCH(T_BATTINGDATA[[#This Row],[BATSMAN NAME]],$O$5:O735,0)&gt;0,0),1)),1,0),"")</f>
        <v/>
      </c>
      <c r="N736" t="e">
        <f>IF(T_BATTINGDATA[[#This Row],[Team]]=I_TEAM,T_BATTINGDATA[[#This Row],[R]],0)</f>
        <v>#REF!</v>
      </c>
      <c r="O736" t="str">
        <f>LEFT(T_BATTINGDATA[[#This Row],[Batsman]],IFERROR(FIND("*",T_BATTINGDATA[[#This Row],[Batsman]])-1,IFERROR(FIND("†",T_BATTINGDATA[[#This Row],[Batsman]])-1,LEN(T_BATTINGDATA[[#This Row],[Batsman]]))))</f>
        <v>Sabbir Rahman</v>
      </c>
      <c r="P736">
        <f ca="1">IFERROR(IF(MATCH(T_BATTINGDATA[[#This Row],[BATSMAN NAME]],OFFSET(O737,0,0,BATROWS-ROW(O736)-ROW(T_BATTINGDATA[[#Headers],[BATSMAN NAME]])),0)&gt;0,0,SUMIF($O$6:O736,T_BATTINGDATA[[#This Row],[BATSMAN NAME]],$E$6:E736)),SUMIF($O$6:O736,T_BATTINGDATA[[#This Row],[BATSMAN NAME]],$E$6:E736))</f>
        <v>0</v>
      </c>
    </row>
    <row r="737" spans="1:16" x14ac:dyDescent="0.3">
      <c r="A737">
        <v>33</v>
      </c>
      <c r="B737" t="s">
        <v>181</v>
      </c>
      <c r="C737" t="s">
        <v>346</v>
      </c>
      <c r="D737" t="s">
        <v>167</v>
      </c>
      <c r="E737">
        <v>6</v>
      </c>
      <c r="F737">
        <v>11</v>
      </c>
      <c r="G737">
        <v>4</v>
      </c>
      <c r="H737">
        <v>1</v>
      </c>
      <c r="I737">
        <v>0</v>
      </c>
      <c r="J737">
        <v>150</v>
      </c>
      <c r="K737">
        <v>8</v>
      </c>
      <c r="L737" t="str">
        <f>CONCATENATE(T_BATTINGDATA[[#This Row],[Match]],T_BATTINGDATA[[#This Row],[Team]],T_BATTINGDATA[[#This Row],[Bat Number]])</f>
        <v>33Bangladesh8</v>
      </c>
      <c r="M737" t="str">
        <f>IFERROR(IF(AND(T_BATTINGDATA[[#This Row],[Team]]=I_TEAM,IFERROR(IF(MATCH(T_BATTINGDATA[[#This Row],[BATSMAN NAME]],$O$5:O736,0)&gt;0,0),1)),1,0),"")</f>
        <v/>
      </c>
      <c r="N737" t="e">
        <f>IF(T_BATTINGDATA[[#This Row],[Team]]=I_TEAM,T_BATTINGDATA[[#This Row],[R]],0)</f>
        <v>#REF!</v>
      </c>
      <c r="O737" t="str">
        <f>LEFT(T_BATTINGDATA[[#This Row],[Batsman]],IFERROR(FIND("*",T_BATTINGDATA[[#This Row],[Batsman]])-1,IFERROR(FIND("†",T_BATTINGDATA[[#This Row],[Batsman]])-1,LEN(T_BATTINGDATA[[#This Row],[Batsman]]))))</f>
        <v>Mashrafe Mortaza</v>
      </c>
      <c r="P737">
        <f ca="1">IFERROR(IF(MATCH(T_BATTINGDATA[[#This Row],[BATSMAN NAME]],OFFSET(O738,0,0,BATROWS-ROW(O737)-ROW(T_BATTINGDATA[[#Headers],[BATSMAN NAME]])),0)&gt;0,0,SUMIF($O$6:O737,T_BATTINGDATA[[#This Row],[BATSMAN NAME]],$E$6:E737)),SUMIF($O$6:O737,T_BATTINGDATA[[#This Row],[BATSMAN NAME]],$E$6:E737))</f>
        <v>28</v>
      </c>
    </row>
    <row r="738" spans="1:16" x14ac:dyDescent="0.3">
      <c r="A738">
        <v>33</v>
      </c>
      <c r="B738" t="s">
        <v>181</v>
      </c>
      <c r="C738" t="s">
        <v>669</v>
      </c>
      <c r="D738" t="s">
        <v>167</v>
      </c>
      <c r="E738">
        <v>3</v>
      </c>
      <c r="F738">
        <v>3</v>
      </c>
      <c r="G738">
        <v>3</v>
      </c>
      <c r="H738">
        <v>0</v>
      </c>
      <c r="I738">
        <v>0</v>
      </c>
      <c r="J738">
        <v>100</v>
      </c>
      <c r="K738">
        <v>9</v>
      </c>
      <c r="L738" t="str">
        <f>CONCATENATE(T_BATTINGDATA[[#This Row],[Match]],T_BATTINGDATA[[#This Row],[Team]],T_BATTINGDATA[[#This Row],[Bat Number]])</f>
        <v>33Bangladesh9</v>
      </c>
      <c r="M738" t="str">
        <f>IFERROR(IF(AND(T_BATTINGDATA[[#This Row],[Team]]=I_TEAM,IFERROR(IF(MATCH(T_BATTINGDATA[[#This Row],[BATSMAN NAME]],$O$5:O737,0)&gt;0,0),1)),1,0),"")</f>
        <v/>
      </c>
      <c r="N738" t="e">
        <f>IF(T_BATTINGDATA[[#This Row],[Team]]=I_TEAM,T_BATTINGDATA[[#This Row],[R]],0)</f>
        <v>#REF!</v>
      </c>
      <c r="O738" t="str">
        <f>LEFT(T_BATTINGDATA[[#This Row],[Batsman]],IFERROR(FIND("*",T_BATTINGDATA[[#This Row],[Batsman]])-1,IFERROR(FIND("†",T_BATTINGDATA[[#This Row],[Batsman]])-1,LEN(T_BATTINGDATA[[#This Row],[Batsman]]))))</f>
        <v>Arafat Sunny</v>
      </c>
      <c r="P738">
        <f ca="1">IFERROR(IF(MATCH(T_BATTINGDATA[[#This Row],[BATSMAN NAME]],OFFSET(O739,0,0,BATROWS-ROW(O738)-ROW(T_BATTINGDATA[[#Headers],[BATSMAN NAME]])),0)&gt;0,0,SUMIF($O$6:O738,T_BATTINGDATA[[#This Row],[BATSMAN NAME]],$E$6:E738)),SUMIF($O$6:O738,T_BATTINGDATA[[#This Row],[BATSMAN NAME]],$E$6:E738))</f>
        <v>3</v>
      </c>
    </row>
    <row r="739" spans="1:16" x14ac:dyDescent="0.3">
      <c r="A739">
        <v>33</v>
      </c>
      <c r="B739" t="s">
        <v>154</v>
      </c>
      <c r="C739" t="s">
        <v>318</v>
      </c>
      <c r="D739" t="s">
        <v>488</v>
      </c>
      <c r="E739">
        <v>19</v>
      </c>
      <c r="F739">
        <v>35</v>
      </c>
      <c r="G739">
        <v>21</v>
      </c>
      <c r="H739">
        <v>3</v>
      </c>
      <c r="I739">
        <v>0</v>
      </c>
      <c r="J739">
        <v>90.47</v>
      </c>
      <c r="K739">
        <v>1</v>
      </c>
      <c r="L739" t="str">
        <f>CONCATENATE(T_BATTINGDATA[[#This Row],[Match]],T_BATTINGDATA[[#This Row],[Team]],T_BATTINGDATA[[#This Row],[Bat Number]])</f>
        <v>33England1</v>
      </c>
      <c r="M739" t="str">
        <f>IFERROR(IF(AND(T_BATTINGDATA[[#This Row],[Team]]=I_TEAM,IFERROR(IF(MATCH(T_BATTINGDATA[[#This Row],[BATSMAN NAME]],$O$5:O738,0)&gt;0,0),1)),1,0),"")</f>
        <v/>
      </c>
      <c r="N739" t="e">
        <f>IF(T_BATTINGDATA[[#This Row],[Team]]=I_TEAM,T_BATTINGDATA[[#This Row],[R]],0)</f>
        <v>#REF!</v>
      </c>
      <c r="O739" t="str">
        <f>LEFT(T_BATTINGDATA[[#This Row],[Batsman]],IFERROR(FIND("*",T_BATTINGDATA[[#This Row],[Batsman]])-1,IFERROR(FIND("†",T_BATTINGDATA[[#This Row],[Batsman]])-1,LEN(T_BATTINGDATA[[#This Row],[Batsman]]))))</f>
        <v>MM Ali</v>
      </c>
      <c r="P739">
        <f ca="1">IFERROR(IF(MATCH(T_BATTINGDATA[[#This Row],[BATSMAN NAME]],OFFSET(O740,0,0,BATROWS-ROW(O739)-ROW(T_BATTINGDATA[[#Headers],[BATSMAN NAME]])),0)&gt;0,0,SUMIF($O$6:O739,T_BATTINGDATA[[#This Row],[BATSMAN NAME]],$E$6:E739)),SUMIF($O$6:O739,T_BATTINGDATA[[#This Row],[BATSMAN NAME]],$E$6:E739))</f>
        <v>192</v>
      </c>
    </row>
    <row r="740" spans="1:16" x14ac:dyDescent="0.3">
      <c r="A740">
        <v>33</v>
      </c>
      <c r="B740" t="s">
        <v>154</v>
      </c>
      <c r="C740" t="s">
        <v>399</v>
      </c>
      <c r="D740" t="s">
        <v>328</v>
      </c>
      <c r="E740">
        <v>63</v>
      </c>
      <c r="F740">
        <v>113</v>
      </c>
      <c r="G740">
        <v>82</v>
      </c>
      <c r="H740">
        <v>7</v>
      </c>
      <c r="I740">
        <v>0</v>
      </c>
      <c r="J740">
        <v>76.819999999999993</v>
      </c>
      <c r="K740">
        <v>2</v>
      </c>
      <c r="L740" t="str">
        <f>CONCATENATE(T_BATTINGDATA[[#This Row],[Match]],T_BATTINGDATA[[#This Row],[Team]],T_BATTINGDATA[[#This Row],[Bat Number]])</f>
        <v>33England2</v>
      </c>
      <c r="M740" t="str">
        <f>IFERROR(IF(AND(T_BATTINGDATA[[#This Row],[Team]]=I_TEAM,IFERROR(IF(MATCH(T_BATTINGDATA[[#This Row],[BATSMAN NAME]],$O$5:O739,0)&gt;0,0),1)),1,0),"")</f>
        <v/>
      </c>
      <c r="N740" t="e">
        <f>IF(T_BATTINGDATA[[#This Row],[Team]]=I_TEAM,T_BATTINGDATA[[#This Row],[R]],0)</f>
        <v>#REF!</v>
      </c>
      <c r="O740" t="str">
        <f>LEFT(T_BATTINGDATA[[#This Row],[Batsman]],IFERROR(FIND("*",T_BATTINGDATA[[#This Row],[Batsman]])-1,IFERROR(FIND("†",T_BATTINGDATA[[#This Row],[Batsman]])-1,LEN(T_BATTINGDATA[[#This Row],[Batsman]]))))</f>
        <v>IR Bell</v>
      </c>
      <c r="P740">
        <f ca="1">IFERROR(IF(MATCH(T_BATTINGDATA[[#This Row],[BATSMAN NAME]],OFFSET(O741,0,0,BATROWS-ROW(O740)-ROW(T_BATTINGDATA[[#Headers],[BATSMAN NAME]])),0)&gt;0,0,SUMIF($O$6:O740,T_BATTINGDATA[[#This Row],[BATSMAN NAME]],$E$6:E740)),SUMIF($O$6:O740,T_BATTINGDATA[[#This Row],[BATSMAN NAME]],$E$6:E740))</f>
        <v>0</v>
      </c>
    </row>
    <row r="741" spans="1:16" x14ac:dyDescent="0.3">
      <c r="A741">
        <v>33</v>
      </c>
      <c r="B741" t="s">
        <v>154</v>
      </c>
      <c r="C741" t="s">
        <v>804</v>
      </c>
      <c r="D741" t="s">
        <v>332</v>
      </c>
      <c r="E741">
        <v>27</v>
      </c>
      <c r="F741">
        <v>46</v>
      </c>
      <c r="G741">
        <v>34</v>
      </c>
      <c r="H741">
        <v>4</v>
      </c>
      <c r="I741">
        <v>0</v>
      </c>
      <c r="J741">
        <v>79.41</v>
      </c>
      <c r="K741">
        <v>3</v>
      </c>
      <c r="L741" t="str">
        <f>CONCATENATE(T_BATTINGDATA[[#This Row],[Match]],T_BATTINGDATA[[#This Row],[Team]],T_BATTINGDATA[[#This Row],[Bat Number]])</f>
        <v>33England3</v>
      </c>
      <c r="M741" t="str">
        <f>IFERROR(IF(AND(T_BATTINGDATA[[#This Row],[Team]]=I_TEAM,IFERROR(IF(MATCH(T_BATTINGDATA[[#This Row],[BATSMAN NAME]],$O$5:O740,0)&gt;0,0),1)),1,0),"")</f>
        <v/>
      </c>
      <c r="N741" t="e">
        <f>IF(T_BATTINGDATA[[#This Row],[Team]]=I_TEAM,T_BATTINGDATA[[#This Row],[R]],0)</f>
        <v>#REF!</v>
      </c>
      <c r="O741" t="str">
        <f>LEFT(T_BATTINGDATA[[#This Row],[Batsman]],IFERROR(FIND("*",T_BATTINGDATA[[#This Row],[Batsman]])-1,IFERROR(FIND("†",T_BATTINGDATA[[#This Row],[Batsman]])-1,LEN(T_BATTINGDATA[[#This Row],[Batsman]]))))</f>
        <v>AD Hales</v>
      </c>
      <c r="P741">
        <f ca="1">IFERROR(IF(MATCH(T_BATTINGDATA[[#This Row],[BATSMAN NAME]],OFFSET(O742,0,0,BATROWS-ROW(O741)-ROW(T_BATTINGDATA[[#Headers],[BATSMAN NAME]])),0)&gt;0,0,SUMIF($O$6:O741,T_BATTINGDATA[[#This Row],[BATSMAN NAME]],$E$6:E741)),SUMIF($O$6:O741,T_BATTINGDATA[[#This Row],[BATSMAN NAME]],$E$6:E741))</f>
        <v>0</v>
      </c>
    </row>
    <row r="742" spans="1:16" x14ac:dyDescent="0.3">
      <c r="A742">
        <v>33</v>
      </c>
      <c r="B742" t="s">
        <v>154</v>
      </c>
      <c r="C742" t="s">
        <v>320</v>
      </c>
      <c r="D742" t="s">
        <v>332</v>
      </c>
      <c r="E742">
        <v>29</v>
      </c>
      <c r="F742">
        <v>79</v>
      </c>
      <c r="G742">
        <v>47</v>
      </c>
      <c r="H742">
        <v>2</v>
      </c>
      <c r="I742">
        <v>0</v>
      </c>
      <c r="J742">
        <v>61.7</v>
      </c>
      <c r="K742">
        <v>4</v>
      </c>
      <c r="L742" t="str">
        <f>CONCATENATE(T_BATTINGDATA[[#This Row],[Match]],T_BATTINGDATA[[#This Row],[Team]],T_BATTINGDATA[[#This Row],[Bat Number]])</f>
        <v>33England4</v>
      </c>
      <c r="M742" t="str">
        <f>IFERROR(IF(AND(T_BATTINGDATA[[#This Row],[Team]]=I_TEAM,IFERROR(IF(MATCH(T_BATTINGDATA[[#This Row],[BATSMAN NAME]],$O$5:O741,0)&gt;0,0),1)),1,0),"")</f>
        <v/>
      </c>
      <c r="N742" t="e">
        <f>IF(T_BATTINGDATA[[#This Row],[Team]]=I_TEAM,T_BATTINGDATA[[#This Row],[R]],0)</f>
        <v>#REF!</v>
      </c>
      <c r="O742" t="str">
        <f>LEFT(T_BATTINGDATA[[#This Row],[Batsman]],IFERROR(FIND("*",T_BATTINGDATA[[#This Row],[Batsman]])-1,IFERROR(FIND("†",T_BATTINGDATA[[#This Row],[Batsman]])-1,LEN(T_BATTINGDATA[[#This Row],[Batsman]]))))</f>
        <v>JE Root</v>
      </c>
      <c r="P742">
        <f ca="1">IFERROR(IF(MATCH(T_BATTINGDATA[[#This Row],[BATSMAN NAME]],OFFSET(O743,0,0,BATROWS-ROW(O742)-ROW(T_BATTINGDATA[[#Headers],[BATSMAN NAME]])),0)&gt;0,0,SUMIF($O$6:O742,T_BATTINGDATA[[#This Row],[BATSMAN NAME]],$E$6:E742)),SUMIF($O$6:O742,T_BATTINGDATA[[#This Row],[BATSMAN NAME]],$E$6:E742))</f>
        <v>202</v>
      </c>
    </row>
    <row r="743" spans="1:16" x14ac:dyDescent="0.3">
      <c r="A743">
        <v>33</v>
      </c>
      <c r="B743" t="s">
        <v>154</v>
      </c>
      <c r="C743" t="s">
        <v>405</v>
      </c>
      <c r="D743" t="s">
        <v>805</v>
      </c>
      <c r="E743">
        <v>0</v>
      </c>
      <c r="F743">
        <v>3</v>
      </c>
      <c r="G743">
        <v>3</v>
      </c>
      <c r="H743">
        <v>0</v>
      </c>
      <c r="I743">
        <v>0</v>
      </c>
      <c r="J743">
        <v>0</v>
      </c>
      <c r="K743">
        <v>5</v>
      </c>
      <c r="L743" t="str">
        <f>CONCATENATE(T_BATTINGDATA[[#This Row],[Match]],T_BATTINGDATA[[#This Row],[Team]],T_BATTINGDATA[[#This Row],[Bat Number]])</f>
        <v>33England5</v>
      </c>
      <c r="M743" t="str">
        <f>IFERROR(IF(AND(T_BATTINGDATA[[#This Row],[Team]]=I_TEAM,IFERROR(IF(MATCH(T_BATTINGDATA[[#This Row],[BATSMAN NAME]],$O$5:O742,0)&gt;0,0),1)),1,0),"")</f>
        <v/>
      </c>
      <c r="N743" t="e">
        <f>IF(T_BATTINGDATA[[#This Row],[Team]]=I_TEAM,T_BATTINGDATA[[#This Row],[R]],0)</f>
        <v>#REF!</v>
      </c>
      <c r="O743" t="str">
        <f>LEFT(T_BATTINGDATA[[#This Row],[Batsman]],IFERROR(FIND("*",T_BATTINGDATA[[#This Row],[Batsman]])-1,IFERROR(FIND("†",T_BATTINGDATA[[#This Row],[Batsman]])-1,LEN(T_BATTINGDATA[[#This Row],[Batsman]]))))</f>
        <v>EJG Morgan</v>
      </c>
      <c r="P743">
        <f ca="1">IFERROR(IF(MATCH(T_BATTINGDATA[[#This Row],[BATSMAN NAME]],OFFSET(O744,0,0,BATROWS-ROW(O743)-ROW(T_BATTINGDATA[[#Headers],[BATSMAN NAME]])),0)&gt;0,0,SUMIF($O$6:O743,T_BATTINGDATA[[#This Row],[BATSMAN NAME]],$E$6:E743)),SUMIF($O$6:O743,T_BATTINGDATA[[#This Row],[BATSMAN NAME]],$E$6:E743))</f>
        <v>90</v>
      </c>
    </row>
    <row r="744" spans="1:16" x14ac:dyDescent="0.3">
      <c r="A744">
        <v>33</v>
      </c>
      <c r="B744" t="s">
        <v>154</v>
      </c>
      <c r="C744" t="s">
        <v>406</v>
      </c>
      <c r="D744" t="s">
        <v>806</v>
      </c>
      <c r="E744">
        <v>1</v>
      </c>
      <c r="F744">
        <v>16</v>
      </c>
      <c r="G744">
        <v>4</v>
      </c>
      <c r="H744">
        <v>0</v>
      </c>
      <c r="I744">
        <v>0</v>
      </c>
      <c r="J744">
        <v>25</v>
      </c>
      <c r="K744">
        <v>6</v>
      </c>
      <c r="L744" t="str">
        <f>CONCATENATE(T_BATTINGDATA[[#This Row],[Match]],T_BATTINGDATA[[#This Row],[Team]],T_BATTINGDATA[[#This Row],[Bat Number]])</f>
        <v>33England6</v>
      </c>
      <c r="M744" t="str">
        <f>IFERROR(IF(AND(T_BATTINGDATA[[#This Row],[Team]]=I_TEAM,IFERROR(IF(MATCH(T_BATTINGDATA[[#This Row],[BATSMAN NAME]],$O$5:O743,0)&gt;0,0),1)),1,0),"")</f>
        <v/>
      </c>
      <c r="N744" t="e">
        <f>IF(T_BATTINGDATA[[#This Row],[Team]]=I_TEAM,T_BATTINGDATA[[#This Row],[R]],0)</f>
        <v>#REF!</v>
      </c>
      <c r="O744" t="str">
        <f>LEFT(T_BATTINGDATA[[#This Row],[Batsman]],IFERROR(FIND("*",T_BATTINGDATA[[#This Row],[Batsman]])-1,IFERROR(FIND("†",T_BATTINGDATA[[#This Row],[Batsman]])-1,LEN(T_BATTINGDATA[[#This Row],[Batsman]]))))</f>
        <v>JWA Taylor</v>
      </c>
      <c r="P744">
        <f ca="1">IFERROR(IF(MATCH(T_BATTINGDATA[[#This Row],[BATSMAN NAME]],OFFSET(O745,0,0,BATROWS-ROW(O744)-ROW(T_BATTINGDATA[[#Headers],[BATSMAN NAME]])),0)&gt;0,0,SUMIF($O$6:O744,T_BATTINGDATA[[#This Row],[BATSMAN NAME]],$E$6:E744)),SUMIF($O$6:O744,T_BATTINGDATA[[#This Row],[BATSMAN NAME]],$E$6:E744))</f>
        <v>0</v>
      </c>
    </row>
    <row r="745" spans="1:16" x14ac:dyDescent="0.3">
      <c r="A745">
        <v>33</v>
      </c>
      <c r="B745" t="s">
        <v>154</v>
      </c>
      <c r="C745" t="s">
        <v>407</v>
      </c>
      <c r="D745" t="s">
        <v>746</v>
      </c>
      <c r="E745">
        <v>65</v>
      </c>
      <c r="F745">
        <v>75</v>
      </c>
      <c r="G745">
        <v>52</v>
      </c>
      <c r="H745">
        <v>6</v>
      </c>
      <c r="I745">
        <v>1</v>
      </c>
      <c r="J745">
        <v>125</v>
      </c>
      <c r="K745">
        <v>7</v>
      </c>
      <c r="L745" t="str">
        <f>CONCATENATE(T_BATTINGDATA[[#This Row],[Match]],T_BATTINGDATA[[#This Row],[Team]],T_BATTINGDATA[[#This Row],[Bat Number]])</f>
        <v>33England7</v>
      </c>
      <c r="M745" t="str">
        <f>IFERROR(IF(AND(T_BATTINGDATA[[#This Row],[Team]]=I_TEAM,IFERROR(IF(MATCH(T_BATTINGDATA[[#This Row],[BATSMAN NAME]],$O$5:O744,0)&gt;0,0),1)),1,0),"")</f>
        <v/>
      </c>
      <c r="N745" t="e">
        <f>IF(T_BATTINGDATA[[#This Row],[Team]]=I_TEAM,T_BATTINGDATA[[#This Row],[R]],0)</f>
        <v>#REF!</v>
      </c>
      <c r="O745" t="str">
        <f>LEFT(T_BATTINGDATA[[#This Row],[Batsman]],IFERROR(FIND("*",T_BATTINGDATA[[#This Row],[Batsman]])-1,IFERROR(FIND("†",T_BATTINGDATA[[#This Row],[Batsman]])-1,LEN(T_BATTINGDATA[[#This Row],[Batsman]]))))</f>
        <v>JC Buttler</v>
      </c>
      <c r="P745">
        <f ca="1">IFERROR(IF(MATCH(T_BATTINGDATA[[#This Row],[BATSMAN NAME]],OFFSET(O746,0,0,BATROWS-ROW(O745)-ROW(T_BATTINGDATA[[#Headers],[BATSMAN NAME]])),0)&gt;0,0,SUMIF($O$6:O745,T_BATTINGDATA[[#This Row],[BATSMAN NAME]],$E$6:E745)),SUMIF($O$6:O745,T_BATTINGDATA[[#This Row],[BATSMAN NAME]],$E$6:E745))</f>
        <v>141</v>
      </c>
    </row>
    <row r="746" spans="1:16" x14ac:dyDescent="0.3">
      <c r="A746">
        <v>33</v>
      </c>
      <c r="B746" t="s">
        <v>154</v>
      </c>
      <c r="C746" t="s">
        <v>314</v>
      </c>
      <c r="D746" t="s">
        <v>167</v>
      </c>
      <c r="E746">
        <v>42</v>
      </c>
      <c r="F746">
        <v>59</v>
      </c>
      <c r="G746">
        <v>40</v>
      </c>
      <c r="H746">
        <v>3</v>
      </c>
      <c r="I746">
        <v>0</v>
      </c>
      <c r="J746">
        <v>105</v>
      </c>
      <c r="K746">
        <v>8</v>
      </c>
      <c r="L746" t="str">
        <f>CONCATENATE(T_BATTINGDATA[[#This Row],[Match]],T_BATTINGDATA[[#This Row],[Team]],T_BATTINGDATA[[#This Row],[Bat Number]])</f>
        <v>33England8</v>
      </c>
      <c r="M746" t="str">
        <f>IFERROR(IF(AND(T_BATTINGDATA[[#This Row],[Team]]=I_TEAM,IFERROR(IF(MATCH(T_BATTINGDATA[[#This Row],[BATSMAN NAME]],$O$5:O745,0)&gt;0,0),1)),1,0),"")</f>
        <v/>
      </c>
      <c r="N746" t="e">
        <f>IF(T_BATTINGDATA[[#This Row],[Team]]=I_TEAM,T_BATTINGDATA[[#This Row],[R]],0)</f>
        <v>#REF!</v>
      </c>
      <c r="O746" t="str">
        <f>LEFT(T_BATTINGDATA[[#This Row],[Batsman]],IFERROR(FIND("*",T_BATTINGDATA[[#This Row],[Batsman]])-1,IFERROR(FIND("†",T_BATTINGDATA[[#This Row],[Batsman]])-1,LEN(T_BATTINGDATA[[#This Row],[Batsman]]))))</f>
        <v>CR Woakes</v>
      </c>
      <c r="P746">
        <f ca="1">IFERROR(IF(MATCH(T_BATTINGDATA[[#This Row],[BATSMAN NAME]],OFFSET(O747,0,0,BATROWS-ROW(O746)-ROW(T_BATTINGDATA[[#Headers],[BATSMAN NAME]])),0)&gt;0,0,SUMIF($O$6:O746,T_BATTINGDATA[[#This Row],[BATSMAN NAME]],$E$6:E746)),SUMIF($O$6:O746,T_BATTINGDATA[[#This Row],[BATSMAN NAME]],$E$6:E746))</f>
        <v>90</v>
      </c>
    </row>
    <row r="747" spans="1:16" x14ac:dyDescent="0.3">
      <c r="A747">
        <v>33</v>
      </c>
      <c r="B747" t="s">
        <v>154</v>
      </c>
      <c r="C747" t="s">
        <v>663</v>
      </c>
      <c r="D747" t="s">
        <v>807</v>
      </c>
      <c r="E747">
        <v>0</v>
      </c>
      <c r="F747">
        <v>4</v>
      </c>
      <c r="G747">
        <v>1</v>
      </c>
      <c r="H747">
        <v>0</v>
      </c>
      <c r="I747">
        <v>0</v>
      </c>
      <c r="J747">
        <v>0</v>
      </c>
      <c r="K747">
        <v>9</v>
      </c>
      <c r="L747" t="str">
        <f>CONCATENATE(T_BATTINGDATA[[#This Row],[Match]],T_BATTINGDATA[[#This Row],[Team]],T_BATTINGDATA[[#This Row],[Bat Number]])</f>
        <v>33England9</v>
      </c>
      <c r="M747" t="str">
        <f>IFERROR(IF(AND(T_BATTINGDATA[[#This Row],[Team]]=I_TEAM,IFERROR(IF(MATCH(T_BATTINGDATA[[#This Row],[BATSMAN NAME]],$O$5:O746,0)&gt;0,0),1)),1,0),"")</f>
        <v/>
      </c>
      <c r="N747" t="e">
        <f>IF(T_BATTINGDATA[[#This Row],[Team]]=I_TEAM,T_BATTINGDATA[[#This Row],[R]],0)</f>
        <v>#REF!</v>
      </c>
      <c r="O747" t="str">
        <f>LEFT(T_BATTINGDATA[[#This Row],[Batsman]],IFERROR(FIND("*",T_BATTINGDATA[[#This Row],[Batsman]])-1,IFERROR(FIND("†",T_BATTINGDATA[[#This Row],[Batsman]])-1,LEN(T_BATTINGDATA[[#This Row],[Batsman]]))))</f>
        <v>CJ Jordan</v>
      </c>
      <c r="P747">
        <f ca="1">IFERROR(IF(MATCH(T_BATTINGDATA[[#This Row],[BATSMAN NAME]],OFFSET(O748,0,0,BATROWS-ROW(O747)-ROW(T_BATTINGDATA[[#Headers],[BATSMAN NAME]])),0)&gt;0,0,SUMIF($O$6:O747,T_BATTINGDATA[[#This Row],[BATSMAN NAME]],$E$6:E747)),SUMIF($O$6:O747,T_BATTINGDATA[[#This Row],[BATSMAN NAME]],$E$6:E747))</f>
        <v>0</v>
      </c>
    </row>
    <row r="748" spans="1:16" x14ac:dyDescent="0.3">
      <c r="A748">
        <v>33</v>
      </c>
      <c r="B748" t="s">
        <v>154</v>
      </c>
      <c r="C748" t="s">
        <v>312</v>
      </c>
      <c r="D748" t="s">
        <v>808</v>
      </c>
      <c r="E748">
        <v>9</v>
      </c>
      <c r="F748">
        <v>10</v>
      </c>
      <c r="G748">
        <v>6</v>
      </c>
      <c r="H748">
        <v>0</v>
      </c>
      <c r="I748">
        <v>1</v>
      </c>
      <c r="J748">
        <v>150</v>
      </c>
      <c r="K748">
        <v>10</v>
      </c>
      <c r="L748" t="str">
        <f>CONCATENATE(T_BATTINGDATA[[#This Row],[Match]],T_BATTINGDATA[[#This Row],[Team]],T_BATTINGDATA[[#This Row],[Bat Number]])</f>
        <v>33England10</v>
      </c>
      <c r="M748" t="str">
        <f>IFERROR(IF(AND(T_BATTINGDATA[[#This Row],[Team]]=I_TEAM,IFERROR(IF(MATCH(T_BATTINGDATA[[#This Row],[BATSMAN NAME]],$O$5:O747,0)&gt;0,0),1)),1,0),"")</f>
        <v/>
      </c>
      <c r="N748" t="e">
        <f>IF(T_BATTINGDATA[[#This Row],[Team]]=I_TEAM,T_BATTINGDATA[[#This Row],[R]],0)</f>
        <v>#REF!</v>
      </c>
      <c r="O748" t="str">
        <f>LEFT(T_BATTINGDATA[[#This Row],[Batsman]],IFERROR(FIND("*",T_BATTINGDATA[[#This Row],[Batsman]])-1,IFERROR(FIND("†",T_BATTINGDATA[[#This Row],[Batsman]])-1,LEN(T_BATTINGDATA[[#This Row],[Batsman]]))))</f>
        <v>SCJ Broad</v>
      </c>
      <c r="P748">
        <f ca="1">IFERROR(IF(MATCH(T_BATTINGDATA[[#This Row],[BATSMAN NAME]],OFFSET(O749,0,0,BATROWS-ROW(O748)-ROW(T_BATTINGDATA[[#Headers],[BATSMAN NAME]])),0)&gt;0,0,SUMIF($O$6:O748,T_BATTINGDATA[[#This Row],[BATSMAN NAME]],$E$6:E748)),SUMIF($O$6:O748,T_BATTINGDATA[[#This Row],[BATSMAN NAME]],$E$6:E748))</f>
        <v>13</v>
      </c>
    </row>
    <row r="749" spans="1:16" x14ac:dyDescent="0.3">
      <c r="A749">
        <v>33</v>
      </c>
      <c r="B749" t="s">
        <v>154</v>
      </c>
      <c r="C749" t="s">
        <v>310</v>
      </c>
      <c r="D749" t="s">
        <v>808</v>
      </c>
      <c r="E749">
        <v>0</v>
      </c>
      <c r="F749">
        <v>1</v>
      </c>
      <c r="G749">
        <v>2</v>
      </c>
      <c r="H749">
        <v>0</v>
      </c>
      <c r="I749">
        <v>0</v>
      </c>
      <c r="J749">
        <v>0</v>
      </c>
      <c r="K749">
        <v>11</v>
      </c>
      <c r="L749" t="str">
        <f>CONCATENATE(T_BATTINGDATA[[#This Row],[Match]],T_BATTINGDATA[[#This Row],[Team]],T_BATTINGDATA[[#This Row],[Bat Number]])</f>
        <v>33England11</v>
      </c>
      <c r="M749" t="str">
        <f>IFERROR(IF(AND(T_BATTINGDATA[[#This Row],[Team]]=I_TEAM,IFERROR(IF(MATCH(T_BATTINGDATA[[#This Row],[BATSMAN NAME]],$O$5:O748,0)&gt;0,0),1)),1,0),"")</f>
        <v/>
      </c>
      <c r="N749" t="e">
        <f>IF(T_BATTINGDATA[[#This Row],[Team]]=I_TEAM,T_BATTINGDATA[[#This Row],[R]],0)</f>
        <v>#REF!</v>
      </c>
      <c r="O749" t="str">
        <f>LEFT(T_BATTINGDATA[[#This Row],[Batsman]],IFERROR(FIND("*",T_BATTINGDATA[[#This Row],[Batsman]])-1,IFERROR(FIND("†",T_BATTINGDATA[[#This Row],[Batsman]])-1,LEN(T_BATTINGDATA[[#This Row],[Batsman]]))))</f>
        <v>JM Anderson</v>
      </c>
      <c r="P749">
        <f ca="1">IFERROR(IF(MATCH(T_BATTINGDATA[[#This Row],[BATSMAN NAME]],OFFSET(O750,0,0,BATROWS-ROW(O749)-ROW(T_BATTINGDATA[[#Headers],[BATSMAN NAME]])),0)&gt;0,0,SUMIF($O$6:O749,T_BATTINGDATA[[#This Row],[BATSMAN NAME]],$E$6:E749)),SUMIF($O$6:O749,T_BATTINGDATA[[#This Row],[BATSMAN NAME]],$E$6:E749))</f>
        <v>9</v>
      </c>
    </row>
    <row r="750" spans="1:16" x14ac:dyDescent="0.3">
      <c r="A750">
        <v>35</v>
      </c>
      <c r="B750" t="s">
        <v>145</v>
      </c>
      <c r="C750" t="s">
        <v>361</v>
      </c>
      <c r="D750" t="s">
        <v>809</v>
      </c>
      <c r="E750">
        <v>4</v>
      </c>
      <c r="F750">
        <v>20</v>
      </c>
      <c r="G750">
        <v>21</v>
      </c>
      <c r="H750">
        <v>0</v>
      </c>
      <c r="I750">
        <v>0</v>
      </c>
      <c r="J750">
        <v>19.04</v>
      </c>
      <c r="K750">
        <v>1</v>
      </c>
      <c r="L750" t="str">
        <f>CONCATENATE(T_BATTINGDATA[[#This Row],[Match]],T_BATTINGDATA[[#This Row],[Team]],T_BATTINGDATA[[#This Row],[Bat Number]])</f>
        <v>35Sri Lanka1</v>
      </c>
      <c r="M750" t="str">
        <f>IFERROR(IF(AND(T_BATTINGDATA[[#This Row],[Team]]=I_TEAM,IFERROR(IF(MATCH(T_BATTINGDATA[[#This Row],[BATSMAN NAME]],$O$5:O749,0)&gt;0,0),1)),1,0),"")</f>
        <v/>
      </c>
      <c r="N750" t="e">
        <f>IF(T_BATTINGDATA[[#This Row],[Team]]=I_TEAM,T_BATTINGDATA[[#This Row],[R]],0)</f>
        <v>#REF!</v>
      </c>
      <c r="O750" t="str">
        <f>LEFT(T_BATTINGDATA[[#This Row],[Batsman]],IFERROR(FIND("*",T_BATTINGDATA[[#This Row],[Batsman]])-1,IFERROR(FIND("†",T_BATTINGDATA[[#This Row],[Batsman]])-1,LEN(T_BATTINGDATA[[#This Row],[Batsman]]))))</f>
        <v>HDRL Thirimanne</v>
      </c>
      <c r="P750">
        <f ca="1">IFERROR(IF(MATCH(T_BATTINGDATA[[#This Row],[BATSMAN NAME]],OFFSET(O751,0,0,BATROWS-ROW(O750)-ROW(T_BATTINGDATA[[#Headers],[BATSMAN NAME]])),0)&gt;0,0,SUMIF($O$6:O750,T_BATTINGDATA[[#This Row],[BATSMAN NAME]],$E$6:E750)),SUMIF($O$6:O750,T_BATTINGDATA[[#This Row],[BATSMAN NAME]],$E$6:E750))</f>
        <v>302</v>
      </c>
    </row>
    <row r="751" spans="1:16" x14ac:dyDescent="0.3">
      <c r="A751">
        <v>35</v>
      </c>
      <c r="B751" t="s">
        <v>145</v>
      </c>
      <c r="C751" t="s">
        <v>290</v>
      </c>
      <c r="D751" t="s">
        <v>810</v>
      </c>
      <c r="E751">
        <v>104</v>
      </c>
      <c r="F751">
        <v>144</v>
      </c>
      <c r="G751">
        <v>99</v>
      </c>
      <c r="H751">
        <v>10</v>
      </c>
      <c r="I751">
        <v>1</v>
      </c>
      <c r="J751">
        <v>105.05</v>
      </c>
      <c r="K751">
        <v>2</v>
      </c>
      <c r="L751" t="str">
        <f>CONCATENATE(T_BATTINGDATA[[#This Row],[Match]],T_BATTINGDATA[[#This Row],[Team]],T_BATTINGDATA[[#This Row],[Bat Number]])</f>
        <v>35Sri Lanka2</v>
      </c>
      <c r="M751" t="str">
        <f>IFERROR(IF(AND(T_BATTINGDATA[[#This Row],[Team]]=I_TEAM,IFERROR(IF(MATCH(T_BATTINGDATA[[#This Row],[BATSMAN NAME]],$O$5:O750,0)&gt;0,0),1)),1,0),"")</f>
        <v/>
      </c>
      <c r="N751" t="e">
        <f>IF(T_BATTINGDATA[[#This Row],[Team]]=I_TEAM,T_BATTINGDATA[[#This Row],[R]],0)</f>
        <v>#REF!</v>
      </c>
      <c r="O751" t="str">
        <f>LEFT(T_BATTINGDATA[[#This Row],[Batsman]],IFERROR(FIND("*",T_BATTINGDATA[[#This Row],[Batsman]])-1,IFERROR(FIND("†",T_BATTINGDATA[[#This Row],[Batsman]])-1,LEN(T_BATTINGDATA[[#This Row],[Batsman]]))))</f>
        <v>TM Dilshan</v>
      </c>
      <c r="P751">
        <f ca="1">IFERROR(IF(MATCH(T_BATTINGDATA[[#This Row],[BATSMAN NAME]],OFFSET(O752,0,0,BATROWS-ROW(O751)-ROW(T_BATTINGDATA[[#Headers],[BATSMAN NAME]])),0)&gt;0,0,SUMIF($O$6:O751,T_BATTINGDATA[[#This Row],[BATSMAN NAME]],$E$6:E751)),SUMIF($O$6:O751,T_BATTINGDATA[[#This Row],[BATSMAN NAME]],$E$6:E751))</f>
        <v>395</v>
      </c>
    </row>
    <row r="752" spans="1:16" x14ac:dyDescent="0.3">
      <c r="A752">
        <v>35</v>
      </c>
      <c r="B752" t="s">
        <v>145</v>
      </c>
      <c r="C752" t="s">
        <v>364</v>
      </c>
      <c r="D752" t="s">
        <v>460</v>
      </c>
      <c r="E752">
        <v>124</v>
      </c>
      <c r="F752">
        <v>139</v>
      </c>
      <c r="G752">
        <v>95</v>
      </c>
      <c r="H752">
        <v>13</v>
      </c>
      <c r="I752">
        <v>4</v>
      </c>
      <c r="J752">
        <v>130.52000000000001</v>
      </c>
      <c r="K752">
        <v>3</v>
      </c>
      <c r="L752" t="str">
        <f>CONCATENATE(T_BATTINGDATA[[#This Row],[Match]],T_BATTINGDATA[[#This Row],[Team]],T_BATTINGDATA[[#This Row],[Bat Number]])</f>
        <v>35Sri Lanka3</v>
      </c>
      <c r="M752" t="str">
        <f>IFERROR(IF(AND(T_BATTINGDATA[[#This Row],[Team]]=I_TEAM,IFERROR(IF(MATCH(T_BATTINGDATA[[#This Row],[BATSMAN NAME]],$O$5:O751,0)&gt;0,0),1)),1,0),"")</f>
        <v/>
      </c>
      <c r="N752" t="e">
        <f>IF(T_BATTINGDATA[[#This Row],[Team]]=I_TEAM,T_BATTINGDATA[[#This Row],[R]],0)</f>
        <v>#REF!</v>
      </c>
      <c r="O752" t="str">
        <f>LEFT(T_BATTINGDATA[[#This Row],[Batsman]],IFERROR(FIND("*",T_BATTINGDATA[[#This Row],[Batsman]])-1,IFERROR(FIND("†",T_BATTINGDATA[[#This Row],[Batsman]])-1,LEN(T_BATTINGDATA[[#This Row],[Batsman]]))))</f>
        <v>KC Sangakkara</v>
      </c>
      <c r="P752">
        <f ca="1">IFERROR(IF(MATCH(T_BATTINGDATA[[#This Row],[BATSMAN NAME]],OFFSET(O753,0,0,BATROWS-ROW(O752)-ROW(T_BATTINGDATA[[#Headers],[BATSMAN NAME]])),0)&gt;0,0,SUMIF($O$6:O752,T_BATTINGDATA[[#This Row],[BATSMAN NAME]],$E$6:E752)),SUMIF($O$6:O752,T_BATTINGDATA[[#This Row],[BATSMAN NAME]],$E$6:E752))</f>
        <v>541</v>
      </c>
    </row>
    <row r="753" spans="1:16" x14ac:dyDescent="0.3">
      <c r="A753">
        <v>35</v>
      </c>
      <c r="B753" t="s">
        <v>145</v>
      </c>
      <c r="C753" t="s">
        <v>366</v>
      </c>
      <c r="D753" t="s">
        <v>810</v>
      </c>
      <c r="E753">
        <v>2</v>
      </c>
      <c r="F753">
        <v>13</v>
      </c>
      <c r="G753">
        <v>6</v>
      </c>
      <c r="H753">
        <v>0</v>
      </c>
      <c r="I753">
        <v>0</v>
      </c>
      <c r="J753">
        <v>33.33</v>
      </c>
      <c r="K753">
        <v>4</v>
      </c>
      <c r="L753" t="str">
        <f>CONCATENATE(T_BATTINGDATA[[#This Row],[Match]],T_BATTINGDATA[[#This Row],[Team]],T_BATTINGDATA[[#This Row],[Bat Number]])</f>
        <v>35Sri Lanka4</v>
      </c>
      <c r="M753" t="str">
        <f>IFERROR(IF(AND(T_BATTINGDATA[[#This Row],[Team]]=I_TEAM,IFERROR(IF(MATCH(T_BATTINGDATA[[#This Row],[BATSMAN NAME]],$O$5:O752,0)&gt;0,0),1)),1,0),"")</f>
        <v/>
      </c>
      <c r="N753" t="e">
        <f>IF(T_BATTINGDATA[[#This Row],[Team]]=I_TEAM,T_BATTINGDATA[[#This Row],[R]],0)</f>
        <v>#REF!</v>
      </c>
      <c r="O753" t="str">
        <f>LEFT(T_BATTINGDATA[[#This Row],[Batsman]],IFERROR(FIND("*",T_BATTINGDATA[[#This Row],[Batsman]])-1,IFERROR(FIND("†",T_BATTINGDATA[[#This Row],[Batsman]])-1,LEN(T_BATTINGDATA[[#This Row],[Batsman]]))))</f>
        <v>DPMD Jayawardene</v>
      </c>
      <c r="P753">
        <f ca="1">IFERROR(IF(MATCH(T_BATTINGDATA[[#This Row],[BATSMAN NAME]],OFFSET(O754,0,0,BATROWS-ROW(O753)-ROW(T_BATTINGDATA[[#Headers],[BATSMAN NAME]])),0)&gt;0,0,SUMIF($O$6:O753,T_BATTINGDATA[[#This Row],[BATSMAN NAME]],$E$6:E753)),SUMIF($O$6:O753,T_BATTINGDATA[[#This Row],[BATSMAN NAME]],$E$6:E753))</f>
        <v>125</v>
      </c>
    </row>
    <row r="754" spans="1:16" x14ac:dyDescent="0.3">
      <c r="A754">
        <v>35</v>
      </c>
      <c r="B754" t="s">
        <v>145</v>
      </c>
      <c r="C754" t="s">
        <v>370</v>
      </c>
      <c r="D754" t="s">
        <v>811</v>
      </c>
      <c r="E754">
        <v>51</v>
      </c>
      <c r="F754">
        <v>32</v>
      </c>
      <c r="G754">
        <v>21</v>
      </c>
      <c r="H754">
        <v>1</v>
      </c>
      <c r="I754">
        <v>6</v>
      </c>
      <c r="J754">
        <v>242.85</v>
      </c>
      <c r="K754">
        <v>5</v>
      </c>
      <c r="L754" t="str">
        <f>CONCATENATE(T_BATTINGDATA[[#This Row],[Match]],T_BATTINGDATA[[#This Row],[Team]],T_BATTINGDATA[[#This Row],[Bat Number]])</f>
        <v>35Sri Lanka5</v>
      </c>
      <c r="M754" t="str">
        <f>IFERROR(IF(AND(T_BATTINGDATA[[#This Row],[Team]]=I_TEAM,IFERROR(IF(MATCH(T_BATTINGDATA[[#This Row],[BATSMAN NAME]],$O$5:O753,0)&gt;0,0),1)),1,0),"")</f>
        <v/>
      </c>
      <c r="N754" t="e">
        <f>IF(T_BATTINGDATA[[#This Row],[Team]]=I_TEAM,T_BATTINGDATA[[#This Row],[R]],0)</f>
        <v>#REF!</v>
      </c>
      <c r="O754" t="str">
        <f>LEFT(T_BATTINGDATA[[#This Row],[Batsman]],IFERROR(FIND("*",T_BATTINGDATA[[#This Row],[Batsman]])-1,IFERROR(FIND("†",T_BATTINGDATA[[#This Row],[Batsman]])-1,LEN(T_BATTINGDATA[[#This Row],[Batsman]]))))</f>
        <v>AD Mathews</v>
      </c>
      <c r="P754">
        <f ca="1">IFERROR(IF(MATCH(T_BATTINGDATA[[#This Row],[BATSMAN NAME]],OFFSET(O755,0,0,BATROWS-ROW(O754)-ROW(T_BATTINGDATA[[#Headers],[BATSMAN NAME]])),0)&gt;0,0,SUMIF($O$6:O754,T_BATTINGDATA[[#This Row],[BATSMAN NAME]],$E$6:E754)),SUMIF($O$6:O754,T_BATTINGDATA[[#This Row],[BATSMAN NAME]],$E$6:E754))</f>
        <v>195</v>
      </c>
    </row>
    <row r="755" spans="1:16" x14ac:dyDescent="0.3">
      <c r="A755">
        <v>35</v>
      </c>
      <c r="B755" t="s">
        <v>145</v>
      </c>
      <c r="C755" t="s">
        <v>565</v>
      </c>
      <c r="D755" t="s">
        <v>812</v>
      </c>
      <c r="E755">
        <v>24</v>
      </c>
      <c r="F755">
        <v>17</v>
      </c>
      <c r="G755">
        <v>13</v>
      </c>
      <c r="H755">
        <v>2</v>
      </c>
      <c r="I755">
        <v>2</v>
      </c>
      <c r="J755">
        <v>184.61</v>
      </c>
      <c r="K755">
        <v>6</v>
      </c>
      <c r="L755" t="str">
        <f>CONCATENATE(T_BATTINGDATA[[#This Row],[Match]],T_BATTINGDATA[[#This Row],[Team]],T_BATTINGDATA[[#This Row],[Bat Number]])</f>
        <v>35Sri Lanka6</v>
      </c>
      <c r="M755" t="str">
        <f>IFERROR(IF(AND(T_BATTINGDATA[[#This Row],[Team]]=I_TEAM,IFERROR(IF(MATCH(T_BATTINGDATA[[#This Row],[BATSMAN NAME]],$O$5:O754,0)&gt;0,0),1)),1,0),"")</f>
        <v/>
      </c>
      <c r="N755" t="e">
        <f>IF(T_BATTINGDATA[[#This Row],[Team]]=I_TEAM,T_BATTINGDATA[[#This Row],[R]],0)</f>
        <v>#REF!</v>
      </c>
      <c r="O755" t="str">
        <f>LEFT(T_BATTINGDATA[[#This Row],[Batsman]],IFERROR(FIND("*",T_BATTINGDATA[[#This Row],[Batsman]])-1,IFERROR(FIND("†",T_BATTINGDATA[[#This Row],[Batsman]])-1,LEN(T_BATTINGDATA[[#This Row],[Batsman]]))))</f>
        <v>MDKJ Perera</v>
      </c>
      <c r="P755">
        <f ca="1">IFERROR(IF(MATCH(T_BATTINGDATA[[#This Row],[BATSMAN NAME]],OFFSET(O756,0,0,BATROWS-ROW(O755)-ROW(T_BATTINGDATA[[#Headers],[BATSMAN NAME]])),0)&gt;0,0,SUMIF($O$6:O755,T_BATTINGDATA[[#This Row],[BATSMAN NAME]],$E$6:E755)),SUMIF($O$6:O755,T_BATTINGDATA[[#This Row],[BATSMAN NAME]],$E$6:E755))</f>
        <v>27</v>
      </c>
    </row>
    <row r="756" spans="1:16" x14ac:dyDescent="0.3">
      <c r="A756">
        <v>35</v>
      </c>
      <c r="B756" t="s">
        <v>145</v>
      </c>
      <c r="C756" t="s">
        <v>445</v>
      </c>
      <c r="D756" t="s">
        <v>813</v>
      </c>
      <c r="E756">
        <v>7</v>
      </c>
      <c r="F756">
        <v>16</v>
      </c>
      <c r="G756">
        <v>11</v>
      </c>
      <c r="H756">
        <v>0</v>
      </c>
      <c r="I756">
        <v>0</v>
      </c>
      <c r="J756">
        <v>63.63</v>
      </c>
      <c r="K756">
        <v>7</v>
      </c>
      <c r="L756" t="str">
        <f>CONCATENATE(T_BATTINGDATA[[#This Row],[Match]],T_BATTINGDATA[[#This Row],[Team]],T_BATTINGDATA[[#This Row],[Bat Number]])</f>
        <v>35Sri Lanka7</v>
      </c>
      <c r="M756" t="str">
        <f>IFERROR(IF(AND(T_BATTINGDATA[[#This Row],[Team]]=I_TEAM,IFERROR(IF(MATCH(T_BATTINGDATA[[#This Row],[BATSMAN NAME]],$O$5:O755,0)&gt;0,0),1)),1,0),"")</f>
        <v/>
      </c>
      <c r="N756" t="e">
        <f>IF(T_BATTINGDATA[[#This Row],[Team]]=I_TEAM,T_BATTINGDATA[[#This Row],[R]],0)</f>
        <v>#REF!</v>
      </c>
      <c r="O756" t="str">
        <f>LEFT(T_BATTINGDATA[[#This Row],[Batsman]],IFERROR(FIND("*",T_BATTINGDATA[[#This Row],[Batsman]])-1,IFERROR(FIND("†",T_BATTINGDATA[[#This Row],[Batsman]])-1,LEN(T_BATTINGDATA[[#This Row],[Batsman]]))))</f>
        <v>NLTC Perera</v>
      </c>
      <c r="P756">
        <f ca="1">IFERROR(IF(MATCH(T_BATTINGDATA[[#This Row],[BATSMAN NAME]],OFFSET(O757,0,0,BATROWS-ROW(O756)-ROW(T_BATTINGDATA[[#Headers],[BATSMAN NAME]])),0)&gt;0,0,SUMIF($O$6:O756,T_BATTINGDATA[[#This Row],[BATSMAN NAME]],$E$6:E756)),SUMIF($O$6:O756,T_BATTINGDATA[[#This Row],[BATSMAN NAME]],$E$6:E756))</f>
        <v>62</v>
      </c>
    </row>
    <row r="757" spans="1:16" x14ac:dyDescent="0.3">
      <c r="A757">
        <v>35</v>
      </c>
      <c r="B757" t="s">
        <v>145</v>
      </c>
      <c r="C757" t="s">
        <v>654</v>
      </c>
      <c r="D757" t="s">
        <v>814</v>
      </c>
      <c r="E757">
        <v>3</v>
      </c>
      <c r="F757">
        <v>7</v>
      </c>
      <c r="G757">
        <v>5</v>
      </c>
      <c r="H757">
        <v>0</v>
      </c>
      <c r="I757">
        <v>0</v>
      </c>
      <c r="J757">
        <v>60</v>
      </c>
      <c r="K757">
        <v>8</v>
      </c>
      <c r="L757" t="str">
        <f>CONCATENATE(T_BATTINGDATA[[#This Row],[Match]],T_BATTINGDATA[[#This Row],[Team]],T_BATTINGDATA[[#This Row],[Bat Number]])</f>
        <v>35Sri Lanka8</v>
      </c>
      <c r="M757" t="str">
        <f>IFERROR(IF(AND(T_BATTINGDATA[[#This Row],[Team]]=I_TEAM,IFERROR(IF(MATCH(T_BATTINGDATA[[#This Row],[BATSMAN NAME]],$O$5:O756,0)&gt;0,0),1)),1,0),"")</f>
        <v/>
      </c>
      <c r="N757" t="e">
        <f>IF(T_BATTINGDATA[[#This Row],[Team]]=I_TEAM,T_BATTINGDATA[[#This Row],[R]],0)</f>
        <v>#REF!</v>
      </c>
      <c r="O757" t="str">
        <f>LEFT(T_BATTINGDATA[[#This Row],[Batsman]],IFERROR(FIND("*",T_BATTINGDATA[[#This Row],[Batsman]])-1,IFERROR(FIND("†",T_BATTINGDATA[[#This Row],[Batsman]])-1,LEN(T_BATTINGDATA[[#This Row],[Batsman]]))))</f>
        <v>S Prasanna</v>
      </c>
      <c r="P757">
        <f ca="1">IFERROR(IF(MATCH(T_BATTINGDATA[[#This Row],[BATSMAN NAME]],OFFSET(O758,0,0,BATROWS-ROW(O757)-ROW(T_BATTINGDATA[[#Headers],[BATSMAN NAME]])),0)&gt;0,0,SUMIF($O$6:O757,T_BATTINGDATA[[#This Row],[BATSMAN NAME]],$E$6:E757)),SUMIF($O$6:O757,T_BATTINGDATA[[#This Row],[BATSMAN NAME]],$E$6:E757))</f>
        <v>12</v>
      </c>
    </row>
    <row r="758" spans="1:16" x14ac:dyDescent="0.3">
      <c r="A758">
        <v>35</v>
      </c>
      <c r="B758" t="s">
        <v>145</v>
      </c>
      <c r="C758" t="s">
        <v>285</v>
      </c>
      <c r="D758" t="s">
        <v>167</v>
      </c>
      <c r="E758">
        <v>18</v>
      </c>
      <c r="F758">
        <v>26</v>
      </c>
      <c r="G758">
        <v>17</v>
      </c>
      <c r="H758">
        <v>1</v>
      </c>
      <c r="I758">
        <v>1</v>
      </c>
      <c r="J758">
        <v>105.88</v>
      </c>
      <c r="K758">
        <v>9</v>
      </c>
      <c r="L758" t="str">
        <f>CONCATENATE(T_BATTINGDATA[[#This Row],[Match]],T_BATTINGDATA[[#This Row],[Team]],T_BATTINGDATA[[#This Row],[Bat Number]])</f>
        <v>35Sri Lanka9</v>
      </c>
      <c r="M758" t="str">
        <f>IFERROR(IF(AND(T_BATTINGDATA[[#This Row],[Team]]=I_TEAM,IFERROR(IF(MATCH(T_BATTINGDATA[[#This Row],[BATSMAN NAME]],$O$5:O757,0)&gt;0,0),1)),1,0),"")</f>
        <v/>
      </c>
      <c r="N758" t="e">
        <f>IF(T_BATTINGDATA[[#This Row],[Team]]=I_TEAM,T_BATTINGDATA[[#This Row],[R]],0)</f>
        <v>#REF!</v>
      </c>
      <c r="O758" t="str">
        <f>LEFT(T_BATTINGDATA[[#This Row],[Batsman]],IFERROR(FIND("*",T_BATTINGDATA[[#This Row],[Batsman]])-1,IFERROR(FIND("†",T_BATTINGDATA[[#This Row],[Batsman]])-1,LEN(T_BATTINGDATA[[#This Row],[Batsman]]))))</f>
        <v>KMDN Kulasekara</v>
      </c>
      <c r="P758">
        <f ca="1">IFERROR(IF(MATCH(T_BATTINGDATA[[#This Row],[BATSMAN NAME]],OFFSET(O759,0,0,BATROWS-ROW(O758)-ROW(T_BATTINGDATA[[#Headers],[BATSMAN NAME]])),0)&gt;0,0,SUMIF($O$6:O758,T_BATTINGDATA[[#This Row],[BATSMAN NAME]],$E$6:E758)),SUMIF($O$6:O758,T_BATTINGDATA[[#This Row],[BATSMAN NAME]],$E$6:E758))</f>
        <v>29</v>
      </c>
    </row>
    <row r="759" spans="1:16" x14ac:dyDescent="0.3">
      <c r="A759">
        <v>35</v>
      </c>
      <c r="B759" t="s">
        <v>145</v>
      </c>
      <c r="C759" t="s">
        <v>287</v>
      </c>
      <c r="D759" t="s">
        <v>815</v>
      </c>
      <c r="E759">
        <v>1</v>
      </c>
      <c r="F759">
        <v>5</v>
      </c>
      <c r="G759">
        <v>3</v>
      </c>
      <c r="H759">
        <v>0</v>
      </c>
      <c r="I759">
        <v>0</v>
      </c>
      <c r="J759">
        <v>33.33</v>
      </c>
      <c r="K759">
        <v>10</v>
      </c>
      <c r="L759" t="str">
        <f>CONCATENATE(T_BATTINGDATA[[#This Row],[Match]],T_BATTINGDATA[[#This Row],[Team]],T_BATTINGDATA[[#This Row],[Bat Number]])</f>
        <v>35Sri Lanka10</v>
      </c>
      <c r="M759" t="str">
        <f>IFERROR(IF(AND(T_BATTINGDATA[[#This Row],[Team]]=I_TEAM,IFERROR(IF(MATCH(T_BATTINGDATA[[#This Row],[BATSMAN NAME]],$O$5:O758,0)&gt;0,0),1)),1,0),"")</f>
        <v/>
      </c>
      <c r="N759" t="e">
        <f>IF(T_BATTINGDATA[[#This Row],[Team]]=I_TEAM,T_BATTINGDATA[[#This Row],[R]],0)</f>
        <v>#REF!</v>
      </c>
      <c r="O759" t="str">
        <f>LEFT(T_BATTINGDATA[[#This Row],[Batsman]],IFERROR(FIND("*",T_BATTINGDATA[[#This Row],[Batsman]])-1,IFERROR(FIND("†",T_BATTINGDATA[[#This Row],[Batsman]])-1,LEN(T_BATTINGDATA[[#This Row],[Batsman]]))))</f>
        <v>SL Malinga</v>
      </c>
      <c r="P759">
        <f ca="1">IFERROR(IF(MATCH(T_BATTINGDATA[[#This Row],[BATSMAN NAME]],OFFSET(O760,0,0,BATROWS-ROW(O759)-ROW(T_BATTINGDATA[[#Headers],[BATSMAN NAME]])),0)&gt;0,0,SUMIF($O$6:O759,T_BATTINGDATA[[#This Row],[BATSMAN NAME]],$E$6:E759)),SUMIF($O$6:O759,T_BATTINGDATA[[#This Row],[BATSMAN NAME]],$E$6:E759))</f>
        <v>4</v>
      </c>
    </row>
    <row r="760" spans="1:16" x14ac:dyDescent="0.3">
      <c r="A760">
        <v>35</v>
      </c>
      <c r="B760" t="s">
        <v>145</v>
      </c>
      <c r="C760" t="s">
        <v>497</v>
      </c>
      <c r="D760" t="s">
        <v>167</v>
      </c>
      <c r="E760">
        <v>12</v>
      </c>
      <c r="F760">
        <v>15</v>
      </c>
      <c r="G760">
        <v>9</v>
      </c>
      <c r="H760">
        <v>1</v>
      </c>
      <c r="I760">
        <v>0</v>
      </c>
      <c r="J760">
        <v>133.33000000000001</v>
      </c>
      <c r="K760">
        <v>11</v>
      </c>
      <c r="L760" t="str">
        <f>CONCATENATE(T_BATTINGDATA[[#This Row],[Match]],T_BATTINGDATA[[#This Row],[Team]],T_BATTINGDATA[[#This Row],[Bat Number]])</f>
        <v>35Sri Lanka11</v>
      </c>
      <c r="M760" t="str">
        <f>IFERROR(IF(AND(T_BATTINGDATA[[#This Row],[Team]]=I_TEAM,IFERROR(IF(MATCH(T_BATTINGDATA[[#This Row],[BATSMAN NAME]],$O$5:O759,0)&gt;0,0),1)),1,0),"")</f>
        <v/>
      </c>
      <c r="N760" t="e">
        <f>IF(T_BATTINGDATA[[#This Row],[Team]]=I_TEAM,T_BATTINGDATA[[#This Row],[R]],0)</f>
        <v>#REF!</v>
      </c>
      <c r="O760" t="str">
        <f>LEFT(T_BATTINGDATA[[#This Row],[Batsman]],IFERROR(FIND("*",T_BATTINGDATA[[#This Row],[Batsman]])-1,IFERROR(FIND("†",T_BATTINGDATA[[#This Row],[Batsman]])-1,LEN(T_BATTINGDATA[[#This Row],[Batsman]]))))</f>
        <v>PVD Chameera</v>
      </c>
      <c r="P760">
        <f ca="1">IFERROR(IF(MATCH(T_BATTINGDATA[[#This Row],[BATSMAN NAME]],OFFSET(O761,0,0,BATROWS-ROW(O760)-ROW(T_BATTINGDATA[[#Headers],[BATSMAN NAME]])),0)&gt;0,0,SUMIF($O$6:O760,T_BATTINGDATA[[#This Row],[BATSMAN NAME]],$E$6:E760)),SUMIF($O$6:O760,T_BATTINGDATA[[#This Row],[BATSMAN NAME]],$E$6:E760))</f>
        <v>14</v>
      </c>
    </row>
    <row r="761" spans="1:16" x14ac:dyDescent="0.3">
      <c r="A761">
        <v>35</v>
      </c>
      <c r="B761" t="s">
        <v>176</v>
      </c>
      <c r="C761" t="s">
        <v>442</v>
      </c>
      <c r="D761" t="s">
        <v>816</v>
      </c>
      <c r="E761">
        <v>0</v>
      </c>
      <c r="F761">
        <v>2</v>
      </c>
      <c r="G761">
        <v>2</v>
      </c>
      <c r="H761">
        <v>0</v>
      </c>
      <c r="I761">
        <v>0</v>
      </c>
      <c r="J761">
        <v>0</v>
      </c>
      <c r="K761">
        <v>1</v>
      </c>
      <c r="L761" t="str">
        <f>CONCATENATE(T_BATTINGDATA[[#This Row],[Match]],T_BATTINGDATA[[#This Row],[Team]],T_BATTINGDATA[[#This Row],[Bat Number]])</f>
        <v>35Scotland1</v>
      </c>
      <c r="M761" t="str">
        <f>IFERROR(IF(AND(T_BATTINGDATA[[#This Row],[Team]]=I_TEAM,IFERROR(IF(MATCH(T_BATTINGDATA[[#This Row],[BATSMAN NAME]],$O$5:O760,0)&gt;0,0),1)),1,0),"")</f>
        <v/>
      </c>
      <c r="N761" t="e">
        <f>IF(T_BATTINGDATA[[#This Row],[Team]]=I_TEAM,T_BATTINGDATA[[#This Row],[R]],0)</f>
        <v>#REF!</v>
      </c>
      <c r="O761" t="str">
        <f>LEFT(T_BATTINGDATA[[#This Row],[Batsman]],IFERROR(FIND("*",T_BATTINGDATA[[#This Row],[Batsman]])-1,IFERROR(FIND("†",T_BATTINGDATA[[#This Row],[Batsman]])-1,LEN(T_BATTINGDATA[[#This Row],[Batsman]]))))</f>
        <v>KJ Coetzer</v>
      </c>
      <c r="P761">
        <f ca="1">IFERROR(IF(MATCH(T_BATTINGDATA[[#This Row],[BATSMAN NAME]],OFFSET(O762,0,0,BATROWS-ROW(O761)-ROW(T_BATTINGDATA[[#Headers],[BATSMAN NAME]])),0)&gt;0,0,SUMIF($O$6:O761,T_BATTINGDATA[[#This Row],[BATSMAN NAME]],$E$6:E761)),SUMIF($O$6:O761,T_BATTINGDATA[[#This Row],[BATSMAN NAME]],$E$6:E761))</f>
        <v>0</v>
      </c>
    </row>
    <row r="762" spans="1:16" x14ac:dyDescent="0.3">
      <c r="A762">
        <v>35</v>
      </c>
      <c r="B762" t="s">
        <v>176</v>
      </c>
      <c r="C762" t="s">
        <v>444</v>
      </c>
      <c r="D762" t="s">
        <v>817</v>
      </c>
      <c r="E762">
        <v>11</v>
      </c>
      <c r="F762">
        <v>33</v>
      </c>
      <c r="G762">
        <v>21</v>
      </c>
      <c r="H762">
        <v>0</v>
      </c>
      <c r="I762">
        <v>0</v>
      </c>
      <c r="J762">
        <v>52.38</v>
      </c>
      <c r="K762">
        <v>2</v>
      </c>
      <c r="L762" t="str">
        <f>CONCATENATE(T_BATTINGDATA[[#This Row],[Match]],T_BATTINGDATA[[#This Row],[Team]],T_BATTINGDATA[[#This Row],[Bat Number]])</f>
        <v>35Scotland2</v>
      </c>
      <c r="M762" t="str">
        <f>IFERROR(IF(AND(T_BATTINGDATA[[#This Row],[Team]]=I_TEAM,IFERROR(IF(MATCH(T_BATTINGDATA[[#This Row],[BATSMAN NAME]],$O$5:O761,0)&gt;0,0),1)),1,0),"")</f>
        <v/>
      </c>
      <c r="N762" t="e">
        <f>IF(T_BATTINGDATA[[#This Row],[Team]]=I_TEAM,T_BATTINGDATA[[#This Row],[R]],0)</f>
        <v>#REF!</v>
      </c>
      <c r="O762" t="str">
        <f>LEFT(T_BATTINGDATA[[#This Row],[Batsman]],IFERROR(FIND("*",T_BATTINGDATA[[#This Row],[Batsman]])-1,IFERROR(FIND("†",T_BATTINGDATA[[#This Row],[Batsman]])-1,LEN(T_BATTINGDATA[[#This Row],[Batsman]]))))</f>
        <v>CS MacLeod</v>
      </c>
      <c r="P762">
        <f ca="1">IFERROR(IF(MATCH(T_BATTINGDATA[[#This Row],[BATSMAN NAME]],OFFSET(O763,0,0,BATROWS-ROW(O762)-ROW(T_BATTINGDATA[[#Headers],[BATSMAN NAME]])),0)&gt;0,0,SUMIF($O$6:O762,T_BATTINGDATA[[#This Row],[BATSMAN NAME]],$E$6:E762)),SUMIF($O$6:O762,T_BATTINGDATA[[#This Row],[BATSMAN NAME]],$E$6:E762))</f>
        <v>0</v>
      </c>
    </row>
    <row r="763" spans="1:16" x14ac:dyDescent="0.3">
      <c r="A763">
        <v>35</v>
      </c>
      <c r="B763" t="s">
        <v>176</v>
      </c>
      <c r="C763" t="s">
        <v>447</v>
      </c>
      <c r="D763" t="s">
        <v>818</v>
      </c>
      <c r="E763">
        <v>19</v>
      </c>
      <c r="F763">
        <v>50</v>
      </c>
      <c r="G763">
        <v>31</v>
      </c>
      <c r="H763">
        <v>1</v>
      </c>
      <c r="I763">
        <v>0</v>
      </c>
      <c r="J763">
        <v>61.29</v>
      </c>
      <c r="K763">
        <v>3</v>
      </c>
      <c r="L763" t="str">
        <f>CONCATENATE(T_BATTINGDATA[[#This Row],[Match]],T_BATTINGDATA[[#This Row],[Team]],T_BATTINGDATA[[#This Row],[Bat Number]])</f>
        <v>35Scotland3</v>
      </c>
      <c r="M763" t="str">
        <f>IFERROR(IF(AND(T_BATTINGDATA[[#This Row],[Team]]=I_TEAM,IFERROR(IF(MATCH(T_BATTINGDATA[[#This Row],[BATSMAN NAME]],$O$5:O762,0)&gt;0,0),1)),1,0),"")</f>
        <v/>
      </c>
      <c r="N763" t="e">
        <f>IF(T_BATTINGDATA[[#This Row],[Team]]=I_TEAM,T_BATTINGDATA[[#This Row],[R]],0)</f>
        <v>#REF!</v>
      </c>
      <c r="O763" t="str">
        <f>LEFT(T_BATTINGDATA[[#This Row],[Batsman]],IFERROR(FIND("*",T_BATTINGDATA[[#This Row],[Batsman]])-1,IFERROR(FIND("†",T_BATTINGDATA[[#This Row],[Batsman]])-1,LEN(T_BATTINGDATA[[#This Row],[Batsman]]))))</f>
        <v>MW Machan</v>
      </c>
      <c r="P763">
        <f ca="1">IFERROR(IF(MATCH(T_BATTINGDATA[[#This Row],[BATSMAN NAME]],OFFSET(O764,0,0,BATROWS-ROW(O763)-ROW(T_BATTINGDATA[[#Headers],[BATSMAN NAME]])),0)&gt;0,0,SUMIF($O$6:O763,T_BATTINGDATA[[#This Row],[BATSMAN NAME]],$E$6:E763)),SUMIF($O$6:O763,T_BATTINGDATA[[#This Row],[BATSMAN NAME]],$E$6:E763))</f>
        <v>0</v>
      </c>
    </row>
    <row r="764" spans="1:16" x14ac:dyDescent="0.3">
      <c r="A764">
        <v>35</v>
      </c>
      <c r="B764" t="s">
        <v>176</v>
      </c>
      <c r="C764" t="s">
        <v>449</v>
      </c>
      <c r="D764" t="s">
        <v>819</v>
      </c>
      <c r="E764">
        <v>60</v>
      </c>
      <c r="F764">
        <v>93</v>
      </c>
      <c r="G764">
        <v>75</v>
      </c>
      <c r="H764">
        <v>7</v>
      </c>
      <c r="I764">
        <v>0</v>
      </c>
      <c r="J764">
        <v>80</v>
      </c>
      <c r="K764">
        <v>4</v>
      </c>
      <c r="L764" t="str">
        <f>CONCATENATE(T_BATTINGDATA[[#This Row],[Match]],T_BATTINGDATA[[#This Row],[Team]],T_BATTINGDATA[[#This Row],[Bat Number]])</f>
        <v>35Scotland4</v>
      </c>
      <c r="M764" t="str">
        <f>IFERROR(IF(AND(T_BATTINGDATA[[#This Row],[Team]]=I_TEAM,IFERROR(IF(MATCH(T_BATTINGDATA[[#This Row],[BATSMAN NAME]],$O$5:O763,0)&gt;0,0),1)),1,0),"")</f>
        <v/>
      </c>
      <c r="N764" t="e">
        <f>IF(T_BATTINGDATA[[#This Row],[Team]]=I_TEAM,T_BATTINGDATA[[#This Row],[R]],0)</f>
        <v>#REF!</v>
      </c>
      <c r="O764" t="str">
        <f>LEFT(T_BATTINGDATA[[#This Row],[Batsman]],IFERROR(FIND("*",T_BATTINGDATA[[#This Row],[Batsman]])-1,IFERROR(FIND("†",T_BATTINGDATA[[#This Row],[Batsman]])-1,LEN(T_BATTINGDATA[[#This Row],[Batsman]]))))</f>
        <v>PL Mommsen</v>
      </c>
      <c r="P764">
        <f ca="1">IFERROR(IF(MATCH(T_BATTINGDATA[[#This Row],[BATSMAN NAME]],OFFSET(O765,0,0,BATROWS-ROW(O764)-ROW(T_BATTINGDATA[[#Headers],[BATSMAN NAME]])),0)&gt;0,0,SUMIF($O$6:O764,T_BATTINGDATA[[#This Row],[BATSMAN NAME]],$E$6:E764)),SUMIF($O$6:O764,T_BATTINGDATA[[#This Row],[BATSMAN NAME]],$E$6:E764))</f>
        <v>0</v>
      </c>
    </row>
    <row r="765" spans="1:16" x14ac:dyDescent="0.3">
      <c r="A765">
        <v>35</v>
      </c>
      <c r="B765" t="s">
        <v>176</v>
      </c>
      <c r="C765" t="s">
        <v>551</v>
      </c>
      <c r="D765" t="s">
        <v>820</v>
      </c>
      <c r="E765">
        <v>70</v>
      </c>
      <c r="F765">
        <v>93</v>
      </c>
      <c r="G765">
        <v>74</v>
      </c>
      <c r="H765">
        <v>7</v>
      </c>
      <c r="I765">
        <v>0</v>
      </c>
      <c r="J765">
        <v>94.59</v>
      </c>
      <c r="K765">
        <v>5</v>
      </c>
      <c r="L765" t="str">
        <f>CONCATENATE(T_BATTINGDATA[[#This Row],[Match]],T_BATTINGDATA[[#This Row],[Team]],T_BATTINGDATA[[#This Row],[Bat Number]])</f>
        <v>35Scotland5</v>
      </c>
      <c r="M765" t="str">
        <f>IFERROR(IF(AND(T_BATTINGDATA[[#This Row],[Team]]=I_TEAM,IFERROR(IF(MATCH(T_BATTINGDATA[[#This Row],[BATSMAN NAME]],$O$5:O764,0)&gt;0,0),1)),1,0),"")</f>
        <v/>
      </c>
      <c r="N765" t="e">
        <f>IF(T_BATTINGDATA[[#This Row],[Team]]=I_TEAM,T_BATTINGDATA[[#This Row],[R]],0)</f>
        <v>#REF!</v>
      </c>
      <c r="O765" t="str">
        <f>LEFT(T_BATTINGDATA[[#This Row],[Batsman]],IFERROR(FIND("*",T_BATTINGDATA[[#This Row],[Batsman]])-1,IFERROR(FIND("†",T_BATTINGDATA[[#This Row],[Batsman]])-1,LEN(T_BATTINGDATA[[#This Row],[Batsman]]))))</f>
        <v>FRJ Coleman</v>
      </c>
      <c r="P765">
        <f ca="1">IFERROR(IF(MATCH(T_BATTINGDATA[[#This Row],[BATSMAN NAME]],OFFSET(O766,0,0,BATROWS-ROW(O765)-ROW(T_BATTINGDATA[[#Headers],[BATSMAN NAME]])),0)&gt;0,0,SUMIF($O$6:O765,T_BATTINGDATA[[#This Row],[BATSMAN NAME]],$E$6:E765)),SUMIF($O$6:O765,T_BATTINGDATA[[#This Row],[BATSMAN NAME]],$E$6:E765))</f>
        <v>0</v>
      </c>
    </row>
    <row r="766" spans="1:16" x14ac:dyDescent="0.3">
      <c r="A766">
        <v>35</v>
      </c>
      <c r="B766" t="s">
        <v>176</v>
      </c>
      <c r="C766" t="s">
        <v>452</v>
      </c>
      <c r="D766" t="s">
        <v>821</v>
      </c>
      <c r="E766">
        <v>29</v>
      </c>
      <c r="F766">
        <v>51</v>
      </c>
      <c r="G766">
        <v>22</v>
      </c>
      <c r="H766">
        <v>2</v>
      </c>
      <c r="I766">
        <v>2</v>
      </c>
      <c r="J766">
        <v>131.81</v>
      </c>
      <c r="K766">
        <v>6</v>
      </c>
      <c r="L766" t="str">
        <f>CONCATENATE(T_BATTINGDATA[[#This Row],[Match]],T_BATTINGDATA[[#This Row],[Team]],T_BATTINGDATA[[#This Row],[Bat Number]])</f>
        <v>35Scotland6</v>
      </c>
      <c r="M766" t="str">
        <f>IFERROR(IF(AND(T_BATTINGDATA[[#This Row],[Team]]=I_TEAM,IFERROR(IF(MATCH(T_BATTINGDATA[[#This Row],[BATSMAN NAME]],$O$5:O765,0)&gt;0,0),1)),1,0),"")</f>
        <v/>
      </c>
      <c r="N766" t="e">
        <f>IF(T_BATTINGDATA[[#This Row],[Team]]=I_TEAM,T_BATTINGDATA[[#This Row],[R]],0)</f>
        <v>#REF!</v>
      </c>
      <c r="O766" t="str">
        <f>LEFT(T_BATTINGDATA[[#This Row],[Batsman]],IFERROR(FIND("*",T_BATTINGDATA[[#This Row],[Batsman]])-1,IFERROR(FIND("†",T_BATTINGDATA[[#This Row],[Batsman]])-1,LEN(T_BATTINGDATA[[#This Row],[Batsman]]))))</f>
        <v>RD Berrington</v>
      </c>
      <c r="P766">
        <f ca="1">IFERROR(IF(MATCH(T_BATTINGDATA[[#This Row],[BATSMAN NAME]],OFFSET(O767,0,0,BATROWS-ROW(O766)-ROW(T_BATTINGDATA[[#Headers],[BATSMAN NAME]])),0)&gt;0,0,SUMIF($O$6:O766,T_BATTINGDATA[[#This Row],[BATSMAN NAME]],$E$6:E766)),SUMIF($O$6:O766,T_BATTINGDATA[[#This Row],[BATSMAN NAME]],$E$6:E766))</f>
        <v>0</v>
      </c>
    </row>
    <row r="767" spans="1:16" x14ac:dyDescent="0.3">
      <c r="A767">
        <v>35</v>
      </c>
      <c r="B767" t="s">
        <v>176</v>
      </c>
      <c r="C767" t="s">
        <v>675</v>
      </c>
      <c r="D767" t="s">
        <v>822</v>
      </c>
      <c r="E767">
        <v>2</v>
      </c>
      <c r="F767">
        <v>7</v>
      </c>
      <c r="G767">
        <v>7</v>
      </c>
      <c r="H767">
        <v>0</v>
      </c>
      <c r="I767">
        <v>0</v>
      </c>
      <c r="J767">
        <v>28.57</v>
      </c>
      <c r="K767">
        <v>7</v>
      </c>
      <c r="L767" t="str">
        <f>CONCATENATE(T_BATTINGDATA[[#This Row],[Match]],T_BATTINGDATA[[#This Row],[Team]],T_BATTINGDATA[[#This Row],[Bat Number]])</f>
        <v>35Scotland7</v>
      </c>
      <c r="M767" t="str">
        <f>IFERROR(IF(AND(T_BATTINGDATA[[#This Row],[Team]]=I_TEAM,IFERROR(IF(MATCH(T_BATTINGDATA[[#This Row],[BATSMAN NAME]],$O$5:O766,0)&gt;0,0),1)),1,0),"")</f>
        <v/>
      </c>
      <c r="N767" t="e">
        <f>IF(T_BATTINGDATA[[#This Row],[Team]]=I_TEAM,T_BATTINGDATA[[#This Row],[R]],0)</f>
        <v>#REF!</v>
      </c>
      <c r="O767" t="str">
        <f>LEFT(T_BATTINGDATA[[#This Row],[Batsman]],IFERROR(FIND("*",T_BATTINGDATA[[#This Row],[Batsman]])-1,IFERROR(FIND("†",T_BATTINGDATA[[#This Row],[Batsman]])-1,LEN(T_BATTINGDATA[[#This Row],[Batsman]]))))</f>
        <v>MA Leask</v>
      </c>
      <c r="P767">
        <f ca="1">IFERROR(IF(MATCH(T_BATTINGDATA[[#This Row],[BATSMAN NAME]],OFFSET(O768,0,0,BATROWS-ROW(O767)-ROW(T_BATTINGDATA[[#Headers],[BATSMAN NAME]])),0)&gt;0,0,SUMIF($O$6:O767,T_BATTINGDATA[[#This Row],[BATSMAN NAME]],$E$6:E767)),SUMIF($O$6:O767,T_BATTINGDATA[[#This Row],[BATSMAN NAME]],$E$6:E767))</f>
        <v>0</v>
      </c>
    </row>
    <row r="768" spans="1:16" x14ac:dyDescent="0.3">
      <c r="A768">
        <v>35</v>
      </c>
      <c r="B768" t="s">
        <v>176</v>
      </c>
      <c r="C768" t="s">
        <v>453</v>
      </c>
      <c r="D768" t="s">
        <v>823</v>
      </c>
      <c r="E768">
        <v>7</v>
      </c>
      <c r="F768">
        <v>8</v>
      </c>
      <c r="G768">
        <v>10</v>
      </c>
      <c r="H768">
        <v>0</v>
      </c>
      <c r="I768">
        <v>0</v>
      </c>
      <c r="J768">
        <v>70</v>
      </c>
      <c r="K768">
        <v>8</v>
      </c>
      <c r="L768" t="str">
        <f>CONCATENATE(T_BATTINGDATA[[#This Row],[Match]],T_BATTINGDATA[[#This Row],[Team]],T_BATTINGDATA[[#This Row],[Bat Number]])</f>
        <v>35Scotland8</v>
      </c>
      <c r="M768" t="str">
        <f>IFERROR(IF(AND(T_BATTINGDATA[[#This Row],[Team]]=I_TEAM,IFERROR(IF(MATCH(T_BATTINGDATA[[#This Row],[BATSMAN NAME]],$O$5:O767,0)&gt;0,0),1)),1,0),"")</f>
        <v/>
      </c>
      <c r="N768" t="e">
        <f>IF(T_BATTINGDATA[[#This Row],[Team]]=I_TEAM,T_BATTINGDATA[[#This Row],[R]],0)</f>
        <v>#REF!</v>
      </c>
      <c r="O768" t="str">
        <f>LEFT(T_BATTINGDATA[[#This Row],[Batsman]],IFERROR(FIND("*",T_BATTINGDATA[[#This Row],[Batsman]])-1,IFERROR(FIND("†",T_BATTINGDATA[[#This Row],[Batsman]])-1,LEN(T_BATTINGDATA[[#This Row],[Batsman]]))))</f>
        <v>MH Cross</v>
      </c>
      <c r="P768">
        <f ca="1">IFERROR(IF(MATCH(T_BATTINGDATA[[#This Row],[BATSMAN NAME]],OFFSET(O769,0,0,BATROWS-ROW(O768)-ROW(T_BATTINGDATA[[#Headers],[BATSMAN NAME]])),0)&gt;0,0,SUMIF($O$6:O768,T_BATTINGDATA[[#This Row],[BATSMAN NAME]],$E$6:E768)),SUMIF($O$6:O768,T_BATTINGDATA[[#This Row],[BATSMAN NAME]],$E$6:E768))</f>
        <v>0</v>
      </c>
    </row>
    <row r="769" spans="1:16" x14ac:dyDescent="0.3">
      <c r="A769">
        <v>35</v>
      </c>
      <c r="B769" t="s">
        <v>176</v>
      </c>
      <c r="C769" t="s">
        <v>382</v>
      </c>
      <c r="D769" t="s">
        <v>824</v>
      </c>
      <c r="E769">
        <v>3</v>
      </c>
      <c r="F769">
        <v>7</v>
      </c>
      <c r="G769">
        <v>6</v>
      </c>
      <c r="H769">
        <v>0</v>
      </c>
      <c r="I769">
        <v>0</v>
      </c>
      <c r="J769">
        <v>50</v>
      </c>
      <c r="K769">
        <v>9</v>
      </c>
      <c r="L769" t="str">
        <f>CONCATENATE(T_BATTINGDATA[[#This Row],[Match]],T_BATTINGDATA[[#This Row],[Team]],T_BATTINGDATA[[#This Row],[Bat Number]])</f>
        <v>35Scotland9</v>
      </c>
      <c r="M769" t="str">
        <f>IFERROR(IF(AND(T_BATTINGDATA[[#This Row],[Team]]=I_TEAM,IFERROR(IF(MATCH(T_BATTINGDATA[[#This Row],[BATSMAN NAME]],$O$5:O768,0)&gt;0,0),1)),1,0),"")</f>
        <v/>
      </c>
      <c r="N769" t="e">
        <f>IF(T_BATTINGDATA[[#This Row],[Team]]=I_TEAM,T_BATTINGDATA[[#This Row],[R]],0)</f>
        <v>#REF!</v>
      </c>
      <c r="O769" t="str">
        <f>LEFT(T_BATTINGDATA[[#This Row],[Batsman]],IFERROR(FIND("*",T_BATTINGDATA[[#This Row],[Batsman]])-1,IFERROR(FIND("†",T_BATTINGDATA[[#This Row],[Batsman]])-1,LEN(T_BATTINGDATA[[#This Row],[Batsman]]))))</f>
        <v>RML Taylor</v>
      </c>
      <c r="P769">
        <f ca="1">IFERROR(IF(MATCH(T_BATTINGDATA[[#This Row],[BATSMAN NAME]],OFFSET(O770,0,0,BATROWS-ROW(O769)-ROW(T_BATTINGDATA[[#Headers],[BATSMAN NAME]])),0)&gt;0,0,SUMIF($O$6:O769,T_BATTINGDATA[[#This Row],[BATSMAN NAME]],$E$6:E769)),SUMIF($O$6:O769,T_BATTINGDATA[[#This Row],[BATSMAN NAME]],$E$6:E769))</f>
        <v>0</v>
      </c>
    </row>
    <row r="770" spans="1:16" x14ac:dyDescent="0.3">
      <c r="A770">
        <v>35</v>
      </c>
      <c r="B770" t="s">
        <v>176</v>
      </c>
      <c r="C770" t="s">
        <v>384</v>
      </c>
      <c r="D770" t="s">
        <v>825</v>
      </c>
      <c r="E770">
        <v>4</v>
      </c>
      <c r="F770">
        <v>12</v>
      </c>
      <c r="G770">
        <v>7</v>
      </c>
      <c r="H770">
        <v>0</v>
      </c>
      <c r="I770">
        <v>0</v>
      </c>
      <c r="J770">
        <v>57.14</v>
      </c>
      <c r="K770">
        <v>10</v>
      </c>
      <c r="L770" t="str">
        <f>CONCATENATE(T_BATTINGDATA[[#This Row],[Match]],T_BATTINGDATA[[#This Row],[Team]],T_BATTINGDATA[[#This Row],[Bat Number]])</f>
        <v>35Scotland10</v>
      </c>
      <c r="M770" t="str">
        <f>IFERROR(IF(AND(T_BATTINGDATA[[#This Row],[Team]]=I_TEAM,IFERROR(IF(MATCH(T_BATTINGDATA[[#This Row],[BATSMAN NAME]],$O$5:O769,0)&gt;0,0),1)),1,0),"")</f>
        <v/>
      </c>
      <c r="N770" t="e">
        <f>IF(T_BATTINGDATA[[#This Row],[Team]]=I_TEAM,T_BATTINGDATA[[#This Row],[R]],0)</f>
        <v>#REF!</v>
      </c>
      <c r="O770" t="str">
        <f>LEFT(T_BATTINGDATA[[#This Row],[Batsman]],IFERROR(FIND("*",T_BATTINGDATA[[#This Row],[Batsman]])-1,IFERROR(FIND("†",T_BATTINGDATA[[#This Row],[Batsman]])-1,LEN(T_BATTINGDATA[[#This Row],[Batsman]]))))</f>
        <v>JH Davey</v>
      </c>
      <c r="P770">
        <f ca="1">IFERROR(IF(MATCH(T_BATTINGDATA[[#This Row],[BATSMAN NAME]],OFFSET(O771,0,0,BATROWS-ROW(O770)-ROW(T_BATTINGDATA[[#Headers],[BATSMAN NAME]])),0)&gt;0,0,SUMIF($O$6:O770,T_BATTINGDATA[[#This Row],[BATSMAN NAME]],$E$6:E770)),SUMIF($O$6:O770,T_BATTINGDATA[[#This Row],[BATSMAN NAME]],$E$6:E770))</f>
        <v>0</v>
      </c>
    </row>
    <row r="771" spans="1:16" x14ac:dyDescent="0.3">
      <c r="A771">
        <v>35</v>
      </c>
      <c r="B771" t="s">
        <v>176</v>
      </c>
      <c r="C771" t="s">
        <v>461</v>
      </c>
      <c r="D771" t="s">
        <v>167</v>
      </c>
      <c r="E771">
        <v>1</v>
      </c>
      <c r="F771">
        <v>9</v>
      </c>
      <c r="G771">
        <v>5</v>
      </c>
      <c r="H771">
        <v>0</v>
      </c>
      <c r="I771">
        <v>0</v>
      </c>
      <c r="J771">
        <v>20</v>
      </c>
      <c r="K771">
        <v>11</v>
      </c>
      <c r="L771" t="str">
        <f>CONCATENATE(T_BATTINGDATA[[#This Row],[Match]],T_BATTINGDATA[[#This Row],[Team]],T_BATTINGDATA[[#This Row],[Bat Number]])</f>
        <v>35Scotland11</v>
      </c>
      <c r="M771" t="str">
        <f>IFERROR(IF(AND(T_BATTINGDATA[[#This Row],[Team]]=I_TEAM,IFERROR(IF(MATCH(T_BATTINGDATA[[#This Row],[BATSMAN NAME]],$O$5:O770,0)&gt;0,0),1)),1,0),"")</f>
        <v/>
      </c>
      <c r="N771" t="e">
        <f>IF(T_BATTINGDATA[[#This Row],[Team]]=I_TEAM,T_BATTINGDATA[[#This Row],[R]],0)</f>
        <v>#REF!</v>
      </c>
      <c r="O771" t="str">
        <f>LEFT(T_BATTINGDATA[[#This Row],[Batsman]],IFERROR(FIND("*",T_BATTINGDATA[[#This Row],[Batsman]])-1,IFERROR(FIND("†",T_BATTINGDATA[[#This Row],[Batsman]])-1,LEN(T_BATTINGDATA[[#This Row],[Batsman]]))))</f>
        <v>AC Evans</v>
      </c>
      <c r="P771">
        <f ca="1">IFERROR(IF(MATCH(T_BATTINGDATA[[#This Row],[BATSMAN NAME]],OFFSET(O772,0,0,BATROWS-ROW(O771)-ROW(T_BATTINGDATA[[#Headers],[BATSMAN NAME]])),0)&gt;0,0,SUMIF($O$6:O771,T_BATTINGDATA[[#This Row],[BATSMAN NAME]],$E$6:E771)),SUMIF($O$6:O771,T_BATTINGDATA[[#This Row],[BATSMAN NAME]],$E$6:E771))</f>
        <v>38</v>
      </c>
    </row>
    <row r="772" spans="1:16" x14ac:dyDescent="0.3">
      <c r="A772">
        <v>36</v>
      </c>
      <c r="B772" t="s">
        <v>141</v>
      </c>
      <c r="C772" t="s">
        <v>172</v>
      </c>
      <c r="D772" t="s">
        <v>826</v>
      </c>
      <c r="E772">
        <v>12</v>
      </c>
      <c r="F772">
        <v>15</v>
      </c>
      <c r="G772">
        <v>16</v>
      </c>
      <c r="H772">
        <v>3</v>
      </c>
      <c r="I772">
        <v>0</v>
      </c>
      <c r="J772">
        <v>75</v>
      </c>
      <c r="K772">
        <v>1</v>
      </c>
      <c r="L772" t="str">
        <f>CONCATENATE(T_BATTINGDATA[[#This Row],[Match]],T_BATTINGDATA[[#This Row],[Team]],T_BATTINGDATA[[#This Row],[Bat Number]])</f>
        <v>36South Africa1</v>
      </c>
      <c r="M772" t="str">
        <f>IFERROR(IF(AND(T_BATTINGDATA[[#This Row],[Team]]=I_TEAM,IFERROR(IF(MATCH(T_BATTINGDATA[[#This Row],[BATSMAN NAME]],$O$5:O771,0)&gt;0,0),1)),1,0),"")</f>
        <v/>
      </c>
      <c r="N772" t="e">
        <f>IF(T_BATTINGDATA[[#This Row],[Team]]=I_TEAM,T_BATTINGDATA[[#This Row],[R]],0)</f>
        <v>#REF!</v>
      </c>
      <c r="O772" t="str">
        <f>LEFT(T_BATTINGDATA[[#This Row],[Batsman]],IFERROR(FIND("*",T_BATTINGDATA[[#This Row],[Batsman]])-1,IFERROR(FIND("†",T_BATTINGDATA[[#This Row],[Batsman]])-1,LEN(T_BATTINGDATA[[#This Row],[Batsman]]))))</f>
        <v>HM Amla</v>
      </c>
      <c r="P772">
        <f ca="1">IFERROR(IF(MATCH(T_BATTINGDATA[[#This Row],[BATSMAN NAME]],OFFSET(O773,0,0,BATROWS-ROW(O772)-ROW(T_BATTINGDATA[[#Headers],[BATSMAN NAME]])),0)&gt;0,0,SUMIF($O$6:O772,T_BATTINGDATA[[#This Row],[BATSMAN NAME]],$E$6:E772)),SUMIF($O$6:O772,T_BATTINGDATA[[#This Row],[BATSMAN NAME]],$E$6:E772))</f>
        <v>333</v>
      </c>
    </row>
    <row r="773" spans="1:16" x14ac:dyDescent="0.3">
      <c r="A773">
        <v>36</v>
      </c>
      <c r="B773" t="s">
        <v>141</v>
      </c>
      <c r="C773" t="s">
        <v>174</v>
      </c>
      <c r="D773" t="s">
        <v>827</v>
      </c>
      <c r="E773">
        <v>26</v>
      </c>
      <c r="F773">
        <v>73</v>
      </c>
      <c r="G773">
        <v>45</v>
      </c>
      <c r="H773">
        <v>2</v>
      </c>
      <c r="I773">
        <v>0</v>
      </c>
      <c r="J773">
        <v>57.77</v>
      </c>
      <c r="K773">
        <v>2</v>
      </c>
      <c r="L773" t="str">
        <f>CONCATENATE(T_BATTINGDATA[[#This Row],[Match]],T_BATTINGDATA[[#This Row],[Team]],T_BATTINGDATA[[#This Row],[Bat Number]])</f>
        <v>36South Africa2</v>
      </c>
      <c r="M773" t="str">
        <f>IFERROR(IF(AND(T_BATTINGDATA[[#This Row],[Team]]=I_TEAM,IFERROR(IF(MATCH(T_BATTINGDATA[[#This Row],[BATSMAN NAME]],$O$5:O772,0)&gt;0,0),1)),1,0),"")</f>
        <v/>
      </c>
      <c r="N773" t="e">
        <f>IF(T_BATTINGDATA[[#This Row],[Team]]=I_TEAM,T_BATTINGDATA[[#This Row],[R]],0)</f>
        <v>#REF!</v>
      </c>
      <c r="O773" t="str">
        <f>LEFT(T_BATTINGDATA[[#This Row],[Batsman]],IFERROR(FIND("*",T_BATTINGDATA[[#This Row],[Batsman]])-1,IFERROR(FIND("†",T_BATTINGDATA[[#This Row],[Batsman]])-1,LEN(T_BATTINGDATA[[#This Row],[Batsman]]))))</f>
        <v>Q de Kock</v>
      </c>
      <c r="P773">
        <f ca="1">IFERROR(IF(MATCH(T_BATTINGDATA[[#This Row],[BATSMAN NAME]],OFFSET(O774,0,0,BATROWS-ROW(O773)-ROW(T_BATTINGDATA[[#Headers],[BATSMAN NAME]])),0)&gt;0,0,SUMIF($O$6:O773,T_BATTINGDATA[[#This Row],[BATSMAN NAME]],$E$6:E773)),SUMIF($O$6:O773,T_BATTINGDATA[[#This Row],[BATSMAN NAME]],$E$6:E773))</f>
        <v>145</v>
      </c>
    </row>
    <row r="774" spans="1:16" x14ac:dyDescent="0.3">
      <c r="A774">
        <v>36</v>
      </c>
      <c r="B774" t="s">
        <v>141</v>
      </c>
      <c r="C774" t="s">
        <v>604</v>
      </c>
      <c r="D774" t="s">
        <v>828</v>
      </c>
      <c r="E774">
        <v>43</v>
      </c>
      <c r="F774">
        <v>69</v>
      </c>
      <c r="G774">
        <v>49</v>
      </c>
      <c r="H774">
        <v>8</v>
      </c>
      <c r="I774">
        <v>0</v>
      </c>
      <c r="J774">
        <v>87.75</v>
      </c>
      <c r="K774">
        <v>3</v>
      </c>
      <c r="L774" t="str">
        <f>CONCATENATE(T_BATTINGDATA[[#This Row],[Match]],T_BATTINGDATA[[#This Row],[Team]],T_BATTINGDATA[[#This Row],[Bat Number]])</f>
        <v>36South Africa3</v>
      </c>
      <c r="M774" t="str">
        <f>IFERROR(IF(AND(T_BATTINGDATA[[#This Row],[Team]]=I_TEAM,IFERROR(IF(MATCH(T_BATTINGDATA[[#This Row],[BATSMAN NAME]],$O$5:O773,0)&gt;0,0),1)),1,0),"")</f>
        <v/>
      </c>
      <c r="N774" t="e">
        <f>IF(T_BATTINGDATA[[#This Row],[Team]]=I_TEAM,T_BATTINGDATA[[#This Row],[R]],0)</f>
        <v>#REF!</v>
      </c>
      <c r="O774" t="str">
        <f>LEFT(T_BATTINGDATA[[#This Row],[Batsman]],IFERROR(FIND("*",T_BATTINGDATA[[#This Row],[Batsman]])-1,IFERROR(FIND("†",T_BATTINGDATA[[#This Row],[Batsman]])-1,LEN(T_BATTINGDATA[[#This Row],[Batsman]]))))</f>
        <v>RR Rossouw</v>
      </c>
      <c r="P774">
        <f ca="1">IFERROR(IF(MATCH(T_BATTINGDATA[[#This Row],[BATSMAN NAME]],OFFSET(O775,0,0,BATROWS-ROW(O774)-ROW(T_BATTINGDATA[[#Headers],[BATSMAN NAME]])),0)&gt;0,0,SUMIF($O$6:O774,T_BATTINGDATA[[#This Row],[BATSMAN NAME]],$E$6:E774)),SUMIF($O$6:O774,T_BATTINGDATA[[#This Row],[BATSMAN NAME]],$E$6:E774))</f>
        <v>210</v>
      </c>
    </row>
    <row r="775" spans="1:16" x14ac:dyDescent="0.3">
      <c r="A775">
        <v>36</v>
      </c>
      <c r="B775" t="s">
        <v>141</v>
      </c>
      <c r="C775" t="s">
        <v>179</v>
      </c>
      <c r="D775" t="s">
        <v>829</v>
      </c>
      <c r="E775">
        <v>99</v>
      </c>
      <c r="F775">
        <v>115</v>
      </c>
      <c r="G775">
        <v>82</v>
      </c>
      <c r="H775">
        <v>6</v>
      </c>
      <c r="I775">
        <v>4</v>
      </c>
      <c r="J775">
        <v>120.73</v>
      </c>
      <c r="K775">
        <v>4</v>
      </c>
      <c r="L775" t="str">
        <f>CONCATENATE(T_BATTINGDATA[[#This Row],[Match]],T_BATTINGDATA[[#This Row],[Team]],T_BATTINGDATA[[#This Row],[Bat Number]])</f>
        <v>36South Africa4</v>
      </c>
      <c r="M775" t="str">
        <f>IFERROR(IF(AND(T_BATTINGDATA[[#This Row],[Team]]=I_TEAM,IFERROR(IF(MATCH(T_BATTINGDATA[[#This Row],[BATSMAN NAME]],$O$5:O774,0)&gt;0,0),1)),1,0),"")</f>
        <v/>
      </c>
      <c r="N775" t="e">
        <f>IF(T_BATTINGDATA[[#This Row],[Team]]=I_TEAM,T_BATTINGDATA[[#This Row],[R]],0)</f>
        <v>#REF!</v>
      </c>
      <c r="O775" t="str">
        <f>LEFT(T_BATTINGDATA[[#This Row],[Batsman]],IFERROR(FIND("*",T_BATTINGDATA[[#This Row],[Batsman]])-1,IFERROR(FIND("†",T_BATTINGDATA[[#This Row],[Batsman]])-1,LEN(T_BATTINGDATA[[#This Row],[Batsman]]))))</f>
        <v>AB de Villiers</v>
      </c>
      <c r="P775">
        <f ca="1">IFERROR(IF(MATCH(T_BATTINGDATA[[#This Row],[BATSMAN NAME]],OFFSET(O776,0,0,BATROWS-ROW(O775)-ROW(T_BATTINGDATA[[#Headers],[BATSMAN NAME]])),0)&gt;0,0,SUMIF($O$6:O775,T_BATTINGDATA[[#This Row],[BATSMAN NAME]],$E$6:E775)),SUMIF($O$6:O775,T_BATTINGDATA[[#This Row],[BATSMAN NAME]],$E$6:E775))</f>
        <v>482</v>
      </c>
    </row>
    <row r="776" spans="1:16" x14ac:dyDescent="0.3">
      <c r="A776">
        <v>36</v>
      </c>
      <c r="B776" t="s">
        <v>141</v>
      </c>
      <c r="C776" t="s">
        <v>183</v>
      </c>
      <c r="D776" t="s">
        <v>830</v>
      </c>
      <c r="E776">
        <v>49</v>
      </c>
      <c r="F776">
        <v>75</v>
      </c>
      <c r="G776">
        <v>48</v>
      </c>
      <c r="H776">
        <v>2</v>
      </c>
      <c r="I776">
        <v>0</v>
      </c>
      <c r="J776">
        <v>102.08</v>
      </c>
      <c r="K776">
        <v>5</v>
      </c>
      <c r="L776" t="str">
        <f>CONCATENATE(T_BATTINGDATA[[#This Row],[Match]],T_BATTINGDATA[[#This Row],[Team]],T_BATTINGDATA[[#This Row],[Bat Number]])</f>
        <v>36South Africa5</v>
      </c>
      <c r="M776" t="str">
        <f>IFERROR(IF(AND(T_BATTINGDATA[[#This Row],[Team]]=I_TEAM,IFERROR(IF(MATCH(T_BATTINGDATA[[#This Row],[BATSMAN NAME]],$O$5:O775,0)&gt;0,0),1)),1,0),"")</f>
        <v/>
      </c>
      <c r="N776" t="e">
        <f>IF(T_BATTINGDATA[[#This Row],[Team]]=I_TEAM,T_BATTINGDATA[[#This Row],[R]],0)</f>
        <v>#REF!</v>
      </c>
      <c r="O776" t="str">
        <f>LEFT(T_BATTINGDATA[[#This Row],[Batsman]],IFERROR(FIND("*",T_BATTINGDATA[[#This Row],[Batsman]])-1,IFERROR(FIND("†",T_BATTINGDATA[[#This Row],[Batsman]])-1,LEN(T_BATTINGDATA[[#This Row],[Batsman]]))))</f>
        <v>DA Miller</v>
      </c>
      <c r="P776">
        <f ca="1">IFERROR(IF(MATCH(T_BATTINGDATA[[#This Row],[BATSMAN NAME]],OFFSET(O777,0,0,BATROWS-ROW(O776)-ROW(T_BATTINGDATA[[#Headers],[BATSMAN NAME]])),0)&gt;0,0,SUMIF($O$6:O776,T_BATTINGDATA[[#This Row],[BATSMAN NAME]],$E$6:E776)),SUMIF($O$6:O776,T_BATTINGDATA[[#This Row],[BATSMAN NAME]],$E$6:E776))</f>
        <v>324</v>
      </c>
    </row>
    <row r="777" spans="1:16" x14ac:dyDescent="0.3">
      <c r="A777">
        <v>36</v>
      </c>
      <c r="B777" t="s">
        <v>141</v>
      </c>
      <c r="C777" t="s">
        <v>150</v>
      </c>
      <c r="D777" t="s">
        <v>831</v>
      </c>
      <c r="E777">
        <v>23</v>
      </c>
      <c r="F777">
        <v>50</v>
      </c>
      <c r="G777">
        <v>28</v>
      </c>
      <c r="H777">
        <v>1</v>
      </c>
      <c r="I777">
        <v>0</v>
      </c>
      <c r="J777">
        <v>82.14</v>
      </c>
      <c r="K777">
        <v>6</v>
      </c>
      <c r="L777" t="str">
        <f>CONCATENATE(T_BATTINGDATA[[#This Row],[Match]],T_BATTINGDATA[[#This Row],[Team]],T_BATTINGDATA[[#This Row],[Bat Number]])</f>
        <v>36South Africa6</v>
      </c>
      <c r="M777" t="str">
        <f>IFERROR(IF(AND(T_BATTINGDATA[[#This Row],[Team]]=I_TEAM,IFERROR(IF(MATCH(T_BATTINGDATA[[#This Row],[BATSMAN NAME]],$O$5:O776,0)&gt;0,0),1)),1,0),"")</f>
        <v/>
      </c>
      <c r="N777" t="e">
        <f>IF(T_BATTINGDATA[[#This Row],[Team]]=I_TEAM,T_BATTINGDATA[[#This Row],[R]],0)</f>
        <v>#REF!</v>
      </c>
      <c r="O777" t="str">
        <f>LEFT(T_BATTINGDATA[[#This Row],[Batsman]],IFERROR(FIND("*",T_BATTINGDATA[[#This Row],[Batsman]])-1,IFERROR(FIND("†",T_BATTINGDATA[[#This Row],[Batsman]])-1,LEN(T_BATTINGDATA[[#This Row],[Batsman]]))))</f>
        <v>JP Duminy</v>
      </c>
      <c r="P777">
        <f ca="1">IFERROR(IF(MATCH(T_BATTINGDATA[[#This Row],[BATSMAN NAME]],OFFSET(O778,0,0,BATROWS-ROW(O777)-ROW(T_BATTINGDATA[[#Headers],[BATSMAN NAME]])),0)&gt;0,0,SUMIF($O$6:O777,T_BATTINGDATA[[#This Row],[BATSMAN NAME]],$E$6:E777)),SUMIF($O$6:O777,T_BATTINGDATA[[#This Row],[BATSMAN NAME]],$E$6:E777))</f>
        <v>164</v>
      </c>
    </row>
    <row r="778" spans="1:16" x14ac:dyDescent="0.3">
      <c r="A778">
        <v>36</v>
      </c>
      <c r="B778" t="s">
        <v>141</v>
      </c>
      <c r="C778" t="s">
        <v>345</v>
      </c>
      <c r="D778" t="s">
        <v>167</v>
      </c>
      <c r="E778">
        <v>64</v>
      </c>
      <c r="F778">
        <v>36</v>
      </c>
      <c r="G778">
        <v>31</v>
      </c>
      <c r="H778">
        <v>5</v>
      </c>
      <c r="I778">
        <v>3</v>
      </c>
      <c r="J778">
        <v>206.45</v>
      </c>
      <c r="K778">
        <v>7</v>
      </c>
      <c r="L778" t="str">
        <f>CONCATENATE(T_BATTINGDATA[[#This Row],[Match]],T_BATTINGDATA[[#This Row],[Team]],T_BATTINGDATA[[#This Row],[Bat Number]])</f>
        <v>36South Africa7</v>
      </c>
      <c r="M778" t="str">
        <f>IFERROR(IF(AND(T_BATTINGDATA[[#This Row],[Team]]=I_TEAM,IFERROR(IF(MATCH(T_BATTINGDATA[[#This Row],[BATSMAN NAME]],$O$5:O777,0)&gt;0,0),1)),1,0),"")</f>
        <v/>
      </c>
      <c r="N778" t="e">
        <f>IF(T_BATTINGDATA[[#This Row],[Team]]=I_TEAM,T_BATTINGDATA[[#This Row],[R]],0)</f>
        <v>#REF!</v>
      </c>
      <c r="O778" t="str">
        <f>LEFT(T_BATTINGDATA[[#This Row],[Batsman]],IFERROR(FIND("*",T_BATTINGDATA[[#This Row],[Batsman]])-1,IFERROR(FIND("†",T_BATTINGDATA[[#This Row],[Batsman]])-1,LEN(T_BATTINGDATA[[#This Row],[Batsman]]))))</f>
        <v>F Behardien</v>
      </c>
      <c r="P778">
        <f ca="1">IFERROR(IF(MATCH(T_BATTINGDATA[[#This Row],[BATSMAN NAME]],OFFSET(O779,0,0,BATROWS-ROW(O778)-ROW(T_BATTINGDATA[[#Headers],[BATSMAN NAME]])),0)&gt;0,0,SUMIF($O$6:O778,T_BATTINGDATA[[#This Row],[BATSMAN NAME]],$E$6:E778)),SUMIF($O$6:O778,T_BATTINGDATA[[#This Row],[BATSMAN NAME]],$E$6:E778))</f>
        <v>74</v>
      </c>
    </row>
    <row r="779" spans="1:16" x14ac:dyDescent="0.3">
      <c r="A779">
        <v>36</v>
      </c>
      <c r="B779" t="s">
        <v>141</v>
      </c>
      <c r="C779" t="s">
        <v>146</v>
      </c>
      <c r="D779" t="s">
        <v>167</v>
      </c>
      <c r="E779">
        <v>10</v>
      </c>
      <c r="F779">
        <v>13</v>
      </c>
      <c r="G779">
        <v>6</v>
      </c>
      <c r="H779">
        <v>1</v>
      </c>
      <c r="I779">
        <v>0</v>
      </c>
      <c r="J779">
        <v>166.66</v>
      </c>
      <c r="K779">
        <v>8</v>
      </c>
      <c r="L779" t="str">
        <f>CONCATENATE(T_BATTINGDATA[[#This Row],[Match]],T_BATTINGDATA[[#This Row],[Team]],T_BATTINGDATA[[#This Row],[Bat Number]])</f>
        <v>36South Africa8</v>
      </c>
      <c r="M779" t="str">
        <f>IFERROR(IF(AND(T_BATTINGDATA[[#This Row],[Team]]=I_TEAM,IFERROR(IF(MATCH(T_BATTINGDATA[[#This Row],[BATSMAN NAME]],$O$5:O778,0)&gt;0,0),1)),1,0),"")</f>
        <v/>
      </c>
      <c r="N779" t="e">
        <f>IF(T_BATTINGDATA[[#This Row],[Team]]=I_TEAM,T_BATTINGDATA[[#This Row],[R]],0)</f>
        <v>#REF!</v>
      </c>
      <c r="O779" t="str">
        <f>LEFT(T_BATTINGDATA[[#This Row],[Batsman]],IFERROR(FIND("*",T_BATTINGDATA[[#This Row],[Batsman]])-1,IFERROR(FIND("†",T_BATTINGDATA[[#This Row],[Batsman]])-1,LEN(T_BATTINGDATA[[#This Row],[Batsman]]))))</f>
        <v>VD Philander</v>
      </c>
      <c r="P779">
        <f ca="1">IFERROR(IF(MATCH(T_BATTINGDATA[[#This Row],[BATSMAN NAME]],OFFSET(O780,0,0,BATROWS-ROW(O779)-ROW(T_BATTINGDATA[[#Headers],[BATSMAN NAME]])),0)&gt;0,0,SUMIF($O$6:O779,T_BATTINGDATA[[#This Row],[BATSMAN NAME]],$E$6:E779)),SUMIF($O$6:O779,T_BATTINGDATA[[#This Row],[BATSMAN NAME]],$E$6:E779))</f>
        <v>10</v>
      </c>
    </row>
    <row r="780" spans="1:16" x14ac:dyDescent="0.3">
      <c r="A780">
        <v>36</v>
      </c>
      <c r="B780" t="s">
        <v>164</v>
      </c>
      <c r="C780" t="s">
        <v>247</v>
      </c>
      <c r="D780" t="s">
        <v>832</v>
      </c>
      <c r="E780">
        <v>21</v>
      </c>
      <c r="F780">
        <v>51</v>
      </c>
      <c r="G780">
        <v>36</v>
      </c>
      <c r="H780">
        <v>3</v>
      </c>
      <c r="I780">
        <v>0</v>
      </c>
      <c r="J780">
        <v>58.33</v>
      </c>
      <c r="K780">
        <v>1</v>
      </c>
      <c r="L780" t="str">
        <f>CONCATENATE(T_BATTINGDATA[[#This Row],[Match]],T_BATTINGDATA[[#This Row],[Team]],T_BATTINGDATA[[#This Row],[Bat Number]])</f>
        <v>36UAE1</v>
      </c>
      <c r="M780" t="str">
        <f>IFERROR(IF(AND(T_BATTINGDATA[[#This Row],[Team]]=I_TEAM,IFERROR(IF(MATCH(T_BATTINGDATA[[#This Row],[BATSMAN NAME]],$O$5:O779,0)&gt;0,0),1)),1,0),"")</f>
        <v/>
      </c>
      <c r="N780" t="e">
        <f>IF(T_BATTINGDATA[[#This Row],[Team]]=I_TEAM,T_BATTINGDATA[[#This Row],[R]],0)</f>
        <v>#REF!</v>
      </c>
      <c r="O780" t="str">
        <f>LEFT(T_BATTINGDATA[[#This Row],[Batsman]],IFERROR(FIND("*",T_BATTINGDATA[[#This Row],[Batsman]])-1,IFERROR(FIND("†",T_BATTINGDATA[[#This Row],[Batsman]])-1,LEN(T_BATTINGDATA[[#This Row],[Batsman]]))))</f>
        <v>Amjad Ali</v>
      </c>
      <c r="P780">
        <f ca="1">IFERROR(IF(MATCH(T_BATTINGDATA[[#This Row],[BATSMAN NAME]],OFFSET(O781,0,0,BATROWS-ROW(O780)-ROW(T_BATTINGDATA[[#Headers],[BATSMAN NAME]])),0)&gt;0,0,SUMIF($O$6:O780,T_BATTINGDATA[[#This Row],[BATSMAN NAME]],$E$6:E780)),SUMIF($O$6:O780,T_BATTINGDATA[[#This Row],[BATSMAN NAME]],$E$6:E780))</f>
        <v>0</v>
      </c>
    </row>
    <row r="781" spans="1:16" x14ac:dyDescent="0.3">
      <c r="A781">
        <v>36</v>
      </c>
      <c r="B781" t="s">
        <v>164</v>
      </c>
      <c r="C781" t="s">
        <v>250</v>
      </c>
      <c r="D781" t="s">
        <v>719</v>
      </c>
      <c r="E781">
        <v>5</v>
      </c>
      <c r="F781">
        <v>30</v>
      </c>
      <c r="G781">
        <v>21</v>
      </c>
      <c r="H781">
        <v>1</v>
      </c>
      <c r="I781">
        <v>0</v>
      </c>
      <c r="J781">
        <v>23.8</v>
      </c>
      <c r="K781">
        <v>2</v>
      </c>
      <c r="L781" t="str">
        <f>CONCATENATE(T_BATTINGDATA[[#This Row],[Match]],T_BATTINGDATA[[#This Row],[Team]],T_BATTINGDATA[[#This Row],[Bat Number]])</f>
        <v>36UAE2</v>
      </c>
      <c r="M781" t="str">
        <f>IFERROR(IF(AND(T_BATTINGDATA[[#This Row],[Team]]=I_TEAM,IFERROR(IF(MATCH(T_BATTINGDATA[[#This Row],[BATSMAN NAME]],$O$5:O780,0)&gt;0,0),1)),1,0),"")</f>
        <v/>
      </c>
      <c r="N781" t="e">
        <f>IF(T_BATTINGDATA[[#This Row],[Team]]=I_TEAM,T_BATTINGDATA[[#This Row],[R]],0)</f>
        <v>#REF!</v>
      </c>
      <c r="O781" t="str">
        <f>LEFT(T_BATTINGDATA[[#This Row],[Batsman]],IFERROR(FIND("*",T_BATTINGDATA[[#This Row],[Batsman]])-1,IFERROR(FIND("†",T_BATTINGDATA[[#This Row],[Batsman]])-1,LEN(T_BATTINGDATA[[#This Row],[Batsman]]))))</f>
        <v>AR Berenger</v>
      </c>
      <c r="P781">
        <f ca="1">IFERROR(IF(MATCH(T_BATTINGDATA[[#This Row],[BATSMAN NAME]],OFFSET(O782,0,0,BATROWS-ROW(O781)-ROW(T_BATTINGDATA[[#Headers],[BATSMAN NAME]])),0)&gt;0,0,SUMIF($O$6:O781,T_BATTINGDATA[[#This Row],[BATSMAN NAME]],$E$6:E781)),SUMIF($O$6:O781,T_BATTINGDATA[[#This Row],[BATSMAN NAME]],$E$6:E781))</f>
        <v>0</v>
      </c>
    </row>
    <row r="782" spans="1:16" x14ac:dyDescent="0.3">
      <c r="A782">
        <v>36</v>
      </c>
      <c r="B782" t="s">
        <v>164</v>
      </c>
      <c r="C782" t="s">
        <v>252</v>
      </c>
      <c r="D782" t="s">
        <v>833</v>
      </c>
      <c r="E782">
        <v>12</v>
      </c>
      <c r="F782">
        <v>24</v>
      </c>
      <c r="G782">
        <v>17</v>
      </c>
      <c r="H782">
        <v>2</v>
      </c>
      <c r="I782">
        <v>0</v>
      </c>
      <c r="J782">
        <v>70.58</v>
      </c>
      <c r="K782">
        <v>3</v>
      </c>
      <c r="L782" t="str">
        <f>CONCATENATE(T_BATTINGDATA[[#This Row],[Match]],T_BATTINGDATA[[#This Row],[Team]],T_BATTINGDATA[[#This Row],[Bat Number]])</f>
        <v>36UAE3</v>
      </c>
      <c r="M782" t="str">
        <f>IFERROR(IF(AND(T_BATTINGDATA[[#This Row],[Team]]=I_TEAM,IFERROR(IF(MATCH(T_BATTINGDATA[[#This Row],[BATSMAN NAME]],$O$5:O781,0)&gt;0,0),1)),1,0),"")</f>
        <v/>
      </c>
      <c r="N782" t="e">
        <f>IF(T_BATTINGDATA[[#This Row],[Team]]=I_TEAM,T_BATTINGDATA[[#This Row],[R]],0)</f>
        <v>#REF!</v>
      </c>
      <c r="O782" t="str">
        <f>LEFT(T_BATTINGDATA[[#This Row],[Batsman]],IFERROR(FIND("*",T_BATTINGDATA[[#This Row],[Batsman]])-1,IFERROR(FIND("†",T_BATTINGDATA[[#This Row],[Batsman]])-1,LEN(T_BATTINGDATA[[#This Row],[Batsman]]))))</f>
        <v>Khurram Khan</v>
      </c>
      <c r="P782">
        <f ca="1">IFERROR(IF(MATCH(T_BATTINGDATA[[#This Row],[BATSMAN NAME]],OFFSET(O783,0,0,BATROWS-ROW(O782)-ROW(T_BATTINGDATA[[#Headers],[BATSMAN NAME]])),0)&gt;0,0,SUMIF($O$6:O782,T_BATTINGDATA[[#This Row],[BATSMAN NAME]],$E$6:E782)),SUMIF($O$6:O782,T_BATTINGDATA[[#This Row],[BATSMAN NAME]],$E$6:E782))</f>
        <v>0</v>
      </c>
    </row>
    <row r="783" spans="1:16" x14ac:dyDescent="0.3">
      <c r="A783">
        <v>36</v>
      </c>
      <c r="B783" t="s">
        <v>164</v>
      </c>
      <c r="C783" t="s">
        <v>255</v>
      </c>
      <c r="D783" t="s">
        <v>571</v>
      </c>
      <c r="E783">
        <v>39</v>
      </c>
      <c r="F783">
        <v>68</v>
      </c>
      <c r="G783">
        <v>64</v>
      </c>
      <c r="H783">
        <v>5</v>
      </c>
      <c r="I783">
        <v>0</v>
      </c>
      <c r="J783">
        <v>60.93</v>
      </c>
      <c r="K783">
        <v>4</v>
      </c>
      <c r="L783" t="str">
        <f>CONCATENATE(T_BATTINGDATA[[#This Row],[Match]],T_BATTINGDATA[[#This Row],[Team]],T_BATTINGDATA[[#This Row],[Bat Number]])</f>
        <v>36UAE4</v>
      </c>
      <c r="M783" t="str">
        <f>IFERROR(IF(AND(T_BATTINGDATA[[#This Row],[Team]]=I_TEAM,IFERROR(IF(MATCH(T_BATTINGDATA[[#This Row],[BATSMAN NAME]],$O$5:O782,0)&gt;0,0),1)),1,0),"")</f>
        <v/>
      </c>
      <c r="N783" t="e">
        <f>IF(T_BATTINGDATA[[#This Row],[Team]]=I_TEAM,T_BATTINGDATA[[#This Row],[R]],0)</f>
        <v>#REF!</v>
      </c>
      <c r="O783" t="str">
        <f>LEFT(T_BATTINGDATA[[#This Row],[Batsman]],IFERROR(FIND("*",T_BATTINGDATA[[#This Row],[Batsman]])-1,IFERROR(FIND("†",T_BATTINGDATA[[#This Row],[Batsman]])-1,LEN(T_BATTINGDATA[[#This Row],[Batsman]]))))</f>
        <v>Shaiman Anwar</v>
      </c>
      <c r="P783">
        <f ca="1">IFERROR(IF(MATCH(T_BATTINGDATA[[#This Row],[BATSMAN NAME]],OFFSET(O784,0,0,BATROWS-ROW(O783)-ROW(T_BATTINGDATA[[#Headers],[BATSMAN NAME]])),0)&gt;0,0,SUMIF($O$6:O783,T_BATTINGDATA[[#This Row],[BATSMAN NAME]],$E$6:E783)),SUMIF($O$6:O783,T_BATTINGDATA[[#This Row],[BATSMAN NAME]],$E$6:E783))</f>
        <v>0</v>
      </c>
    </row>
    <row r="784" spans="1:16" x14ac:dyDescent="0.3">
      <c r="A784">
        <v>36</v>
      </c>
      <c r="B784" t="s">
        <v>164</v>
      </c>
      <c r="C784" t="s">
        <v>253</v>
      </c>
      <c r="D784" t="s">
        <v>167</v>
      </c>
      <c r="E784">
        <v>57</v>
      </c>
      <c r="F784">
        <v>138</v>
      </c>
      <c r="G784">
        <v>100</v>
      </c>
      <c r="H784">
        <v>5</v>
      </c>
      <c r="I784">
        <v>0</v>
      </c>
      <c r="J784">
        <v>57</v>
      </c>
      <c r="K784">
        <v>5</v>
      </c>
      <c r="L784" t="str">
        <f>CONCATENATE(T_BATTINGDATA[[#This Row],[Match]],T_BATTINGDATA[[#This Row],[Team]],T_BATTINGDATA[[#This Row],[Bat Number]])</f>
        <v>36UAE5</v>
      </c>
      <c r="M784" t="str">
        <f>IFERROR(IF(AND(T_BATTINGDATA[[#This Row],[Team]]=I_TEAM,IFERROR(IF(MATCH(T_BATTINGDATA[[#This Row],[BATSMAN NAME]],$O$5:O783,0)&gt;0,0),1)),1,0),"")</f>
        <v/>
      </c>
      <c r="N784" t="e">
        <f>IF(T_BATTINGDATA[[#This Row],[Team]]=I_TEAM,T_BATTINGDATA[[#This Row],[R]],0)</f>
        <v>#REF!</v>
      </c>
      <c r="O784" t="str">
        <f>LEFT(T_BATTINGDATA[[#This Row],[Batsman]],IFERROR(FIND("*",T_BATTINGDATA[[#This Row],[Batsman]])-1,IFERROR(FIND("†",T_BATTINGDATA[[#This Row],[Batsman]])-1,LEN(T_BATTINGDATA[[#This Row],[Batsman]]))))</f>
        <v>SP Patil</v>
      </c>
      <c r="P784">
        <f ca="1">IFERROR(IF(MATCH(T_BATTINGDATA[[#This Row],[BATSMAN NAME]],OFFSET(O785,0,0,BATROWS-ROW(O784)-ROW(T_BATTINGDATA[[#Headers],[BATSMAN NAME]])),0)&gt;0,0,SUMIF($O$6:O784,T_BATTINGDATA[[#This Row],[BATSMAN NAME]],$E$6:E784)),SUMIF($O$6:O784,T_BATTINGDATA[[#This Row],[BATSMAN NAME]],$E$6:E784))</f>
        <v>0</v>
      </c>
    </row>
    <row r="785" spans="1:16" x14ac:dyDescent="0.3">
      <c r="A785">
        <v>36</v>
      </c>
      <c r="B785" t="s">
        <v>164</v>
      </c>
      <c r="C785" t="s">
        <v>834</v>
      </c>
      <c r="D785" t="s">
        <v>753</v>
      </c>
      <c r="E785">
        <v>7</v>
      </c>
      <c r="F785">
        <v>8</v>
      </c>
      <c r="G785">
        <v>12</v>
      </c>
      <c r="H785">
        <v>1</v>
      </c>
      <c r="I785">
        <v>0</v>
      </c>
      <c r="J785">
        <v>58.33</v>
      </c>
      <c r="K785">
        <v>6</v>
      </c>
      <c r="L785" t="str">
        <f>CONCATENATE(T_BATTINGDATA[[#This Row],[Match]],T_BATTINGDATA[[#This Row],[Team]],T_BATTINGDATA[[#This Row],[Bat Number]])</f>
        <v>36UAE6</v>
      </c>
      <c r="M785" t="str">
        <f>IFERROR(IF(AND(T_BATTINGDATA[[#This Row],[Team]]=I_TEAM,IFERROR(IF(MATCH(T_BATTINGDATA[[#This Row],[BATSMAN NAME]],$O$5:O784,0)&gt;0,0),1)),1,0),"")</f>
        <v/>
      </c>
      <c r="N785" t="e">
        <f>IF(T_BATTINGDATA[[#This Row],[Team]]=I_TEAM,T_BATTINGDATA[[#This Row],[R]],0)</f>
        <v>#REF!</v>
      </c>
      <c r="O785" t="str">
        <f>LEFT(T_BATTINGDATA[[#This Row],[Batsman]],IFERROR(FIND("*",T_BATTINGDATA[[#This Row],[Batsman]])-1,IFERROR(FIND("†",T_BATTINGDATA[[#This Row],[Batsman]])-1,LEN(T_BATTINGDATA[[#This Row],[Batsman]]))))</f>
        <v>Saqlain Haider</v>
      </c>
      <c r="P785">
        <f ca="1">IFERROR(IF(MATCH(T_BATTINGDATA[[#This Row],[BATSMAN NAME]],OFFSET(O786,0,0,BATROWS-ROW(O785)-ROW(T_BATTINGDATA[[#Headers],[BATSMAN NAME]])),0)&gt;0,0,SUMIF($O$6:O785,T_BATTINGDATA[[#This Row],[BATSMAN NAME]],$E$6:E785)),SUMIF($O$6:O785,T_BATTINGDATA[[#This Row],[BATSMAN NAME]],$E$6:E785))</f>
        <v>7</v>
      </c>
    </row>
    <row r="786" spans="1:16" x14ac:dyDescent="0.3">
      <c r="A786">
        <v>36</v>
      </c>
      <c r="B786" t="s">
        <v>164</v>
      </c>
      <c r="C786" t="s">
        <v>228</v>
      </c>
      <c r="D786" t="s">
        <v>835</v>
      </c>
      <c r="E786">
        <v>5</v>
      </c>
      <c r="F786">
        <v>6</v>
      </c>
      <c r="G786">
        <v>4</v>
      </c>
      <c r="H786">
        <v>1</v>
      </c>
      <c r="I786">
        <v>0</v>
      </c>
      <c r="J786">
        <v>125</v>
      </c>
      <c r="K786">
        <v>7</v>
      </c>
      <c r="L786" t="str">
        <f>CONCATENATE(T_BATTINGDATA[[#This Row],[Match]],T_BATTINGDATA[[#This Row],[Team]],T_BATTINGDATA[[#This Row],[Bat Number]])</f>
        <v>36UAE7</v>
      </c>
      <c r="M786" t="str">
        <f>IFERROR(IF(AND(T_BATTINGDATA[[#This Row],[Team]]=I_TEAM,IFERROR(IF(MATCH(T_BATTINGDATA[[#This Row],[BATSMAN NAME]],$O$5:O785,0)&gt;0,0),1)),1,0),"")</f>
        <v/>
      </c>
      <c r="N786" t="e">
        <f>IF(T_BATTINGDATA[[#This Row],[Team]]=I_TEAM,T_BATTINGDATA[[#This Row],[R]],0)</f>
        <v>#REF!</v>
      </c>
      <c r="O786" t="str">
        <f>LEFT(T_BATTINGDATA[[#This Row],[Batsman]],IFERROR(FIND("*",T_BATTINGDATA[[#This Row],[Batsman]])-1,IFERROR(FIND("†",T_BATTINGDATA[[#This Row],[Batsman]])-1,LEN(T_BATTINGDATA[[#This Row],[Batsman]]))))</f>
        <v>Amjad Javed</v>
      </c>
      <c r="P786">
        <f ca="1">IFERROR(IF(MATCH(T_BATTINGDATA[[#This Row],[BATSMAN NAME]],OFFSET(O787,0,0,BATROWS-ROW(O786)-ROW(T_BATTINGDATA[[#Headers],[BATSMAN NAME]])),0)&gt;0,0,SUMIF($O$6:O786,T_BATTINGDATA[[#This Row],[BATSMAN NAME]],$E$6:E786)),SUMIF($O$6:O786,T_BATTINGDATA[[#This Row],[BATSMAN NAME]],$E$6:E786))</f>
        <v>0</v>
      </c>
    </row>
    <row r="787" spans="1:16" x14ac:dyDescent="0.3">
      <c r="A787">
        <v>36</v>
      </c>
      <c r="B787" t="s">
        <v>164</v>
      </c>
      <c r="C787" t="s">
        <v>223</v>
      </c>
      <c r="D787" t="s">
        <v>425</v>
      </c>
      <c r="E787">
        <v>17</v>
      </c>
      <c r="F787">
        <v>23</v>
      </c>
      <c r="G787">
        <v>15</v>
      </c>
      <c r="H787">
        <v>2</v>
      </c>
      <c r="I787">
        <v>1</v>
      </c>
      <c r="J787">
        <v>113.33</v>
      </c>
      <c r="K787">
        <v>8</v>
      </c>
      <c r="L787" t="str">
        <f>CONCATENATE(T_BATTINGDATA[[#This Row],[Match]],T_BATTINGDATA[[#This Row],[Team]],T_BATTINGDATA[[#This Row],[Bat Number]])</f>
        <v>36UAE8</v>
      </c>
      <c r="M787" t="str">
        <f>IFERROR(IF(AND(T_BATTINGDATA[[#This Row],[Team]]=I_TEAM,IFERROR(IF(MATCH(T_BATTINGDATA[[#This Row],[BATSMAN NAME]],$O$5:O786,0)&gt;0,0),1)),1,0),"")</f>
        <v/>
      </c>
      <c r="N787" t="e">
        <f>IF(T_BATTINGDATA[[#This Row],[Team]]=I_TEAM,T_BATTINGDATA[[#This Row],[R]],0)</f>
        <v>#REF!</v>
      </c>
      <c r="O787" t="str">
        <f>LEFT(T_BATTINGDATA[[#This Row],[Batsman]],IFERROR(FIND("*",T_BATTINGDATA[[#This Row],[Batsman]])-1,IFERROR(FIND("†",T_BATTINGDATA[[#This Row],[Batsman]])-1,LEN(T_BATTINGDATA[[#This Row],[Batsman]]))))</f>
        <v>Mohammad Naveed</v>
      </c>
      <c r="P787">
        <f ca="1">IFERROR(IF(MATCH(T_BATTINGDATA[[#This Row],[BATSMAN NAME]],OFFSET(O788,0,0,BATROWS-ROW(O787)-ROW(T_BATTINGDATA[[#Headers],[BATSMAN NAME]])),0)&gt;0,0,SUMIF($O$6:O787,T_BATTINGDATA[[#This Row],[BATSMAN NAME]],$E$6:E787)),SUMIF($O$6:O787,T_BATTINGDATA[[#This Row],[BATSMAN NAME]],$E$6:E787))</f>
        <v>0</v>
      </c>
    </row>
    <row r="788" spans="1:16" x14ac:dyDescent="0.3">
      <c r="A788">
        <v>36</v>
      </c>
      <c r="B788" t="s">
        <v>164</v>
      </c>
      <c r="C788" t="s">
        <v>261</v>
      </c>
      <c r="D788" t="s">
        <v>836</v>
      </c>
      <c r="E788">
        <v>3</v>
      </c>
      <c r="F788">
        <v>26</v>
      </c>
      <c r="G788">
        <v>16</v>
      </c>
      <c r="H788">
        <v>0</v>
      </c>
      <c r="I788">
        <v>0</v>
      </c>
      <c r="J788">
        <v>18.75</v>
      </c>
      <c r="K788">
        <v>9</v>
      </c>
      <c r="L788" t="str">
        <f>CONCATENATE(T_BATTINGDATA[[#This Row],[Match]],T_BATTINGDATA[[#This Row],[Team]],T_BATTINGDATA[[#This Row],[Bat Number]])</f>
        <v>36UAE9</v>
      </c>
      <c r="M788" t="str">
        <f>IFERROR(IF(AND(T_BATTINGDATA[[#This Row],[Team]]=I_TEAM,IFERROR(IF(MATCH(T_BATTINGDATA[[#This Row],[BATSMAN NAME]],$O$5:O787,0)&gt;0,0),1)),1,0),"")</f>
        <v/>
      </c>
      <c r="N788" t="e">
        <f>IF(T_BATTINGDATA[[#This Row],[Team]]=I_TEAM,T_BATTINGDATA[[#This Row],[R]],0)</f>
        <v>#REF!</v>
      </c>
      <c r="O788" t="str">
        <f>LEFT(T_BATTINGDATA[[#This Row],[Batsman]],IFERROR(FIND("*",T_BATTINGDATA[[#This Row],[Batsman]])-1,IFERROR(FIND("†",T_BATTINGDATA[[#This Row],[Batsman]])-1,LEN(T_BATTINGDATA[[#This Row],[Batsman]]))))</f>
        <v>Mohammad Tauqir</v>
      </c>
      <c r="P788">
        <f ca="1">IFERROR(IF(MATCH(T_BATTINGDATA[[#This Row],[BATSMAN NAME]],OFFSET(O789,0,0,BATROWS-ROW(O788)-ROW(T_BATTINGDATA[[#Headers],[BATSMAN NAME]])),0)&gt;0,0,SUMIF($O$6:O788,T_BATTINGDATA[[#This Row],[BATSMAN NAME]],$E$6:E788)),SUMIF($O$6:O788,T_BATTINGDATA[[#This Row],[BATSMAN NAME]],$E$6:E788))</f>
        <v>0</v>
      </c>
    </row>
    <row r="789" spans="1:16" x14ac:dyDescent="0.3">
      <c r="A789">
        <v>36</v>
      </c>
      <c r="B789" t="s">
        <v>164</v>
      </c>
      <c r="C789" t="s">
        <v>681</v>
      </c>
      <c r="D789" t="s">
        <v>837</v>
      </c>
      <c r="E789">
        <v>0</v>
      </c>
      <c r="F789">
        <v>6</v>
      </c>
      <c r="G789">
        <v>3</v>
      </c>
      <c r="H789">
        <v>0</v>
      </c>
      <c r="I789">
        <v>0</v>
      </c>
      <c r="J789">
        <v>0</v>
      </c>
      <c r="K789">
        <v>10</v>
      </c>
      <c r="L789" t="str">
        <f>CONCATENATE(T_BATTINGDATA[[#This Row],[Match]],T_BATTINGDATA[[#This Row],[Team]],T_BATTINGDATA[[#This Row],[Bat Number]])</f>
        <v>36UAE10</v>
      </c>
      <c r="M789" t="str">
        <f>IFERROR(IF(AND(T_BATTINGDATA[[#This Row],[Team]]=I_TEAM,IFERROR(IF(MATCH(T_BATTINGDATA[[#This Row],[BATSMAN NAME]],$O$5:O788,0)&gt;0,0),1)),1,0),"")</f>
        <v/>
      </c>
      <c r="N789" t="e">
        <f>IF(T_BATTINGDATA[[#This Row],[Team]]=I_TEAM,T_BATTINGDATA[[#This Row],[R]],0)</f>
        <v>#REF!</v>
      </c>
      <c r="O789" t="str">
        <f>LEFT(T_BATTINGDATA[[#This Row],[Batsman]],IFERROR(FIND("*",T_BATTINGDATA[[#This Row],[Batsman]])-1,IFERROR(FIND("†",T_BATTINGDATA[[#This Row],[Batsman]])-1,LEN(T_BATTINGDATA[[#This Row],[Batsman]]))))</f>
        <v>Kamran Shazad</v>
      </c>
      <c r="P789">
        <f ca="1">IFERROR(IF(MATCH(T_BATTINGDATA[[#This Row],[BATSMAN NAME]],OFFSET(O790,0,0,BATROWS-ROW(O789)-ROW(T_BATTINGDATA[[#Headers],[BATSMAN NAME]])),0)&gt;0,0,SUMIF($O$6:O789,T_BATTINGDATA[[#This Row],[BATSMAN NAME]],$E$6:E789)),SUMIF($O$6:O789,T_BATTINGDATA[[#This Row],[BATSMAN NAME]],$E$6:E789))</f>
        <v>0</v>
      </c>
    </row>
    <row r="790" spans="1:16" x14ac:dyDescent="0.3">
      <c r="A790">
        <v>37</v>
      </c>
      <c r="B790" t="s">
        <v>181</v>
      </c>
      <c r="C790" t="s">
        <v>335</v>
      </c>
      <c r="D790" t="s">
        <v>838</v>
      </c>
      <c r="E790">
        <v>13</v>
      </c>
      <c r="F790">
        <v>41</v>
      </c>
      <c r="G790">
        <v>27</v>
      </c>
      <c r="H790">
        <v>2</v>
      </c>
      <c r="I790">
        <v>0</v>
      </c>
      <c r="J790">
        <v>48.14</v>
      </c>
      <c r="K790">
        <v>1</v>
      </c>
      <c r="L790" t="str">
        <f>CONCATENATE(T_BATTINGDATA[[#This Row],[Match]],T_BATTINGDATA[[#This Row],[Team]],T_BATTINGDATA[[#This Row],[Bat Number]])</f>
        <v>37Bangladesh1</v>
      </c>
      <c r="M790" t="str">
        <f>IFERROR(IF(AND(T_BATTINGDATA[[#This Row],[Team]]=I_TEAM,IFERROR(IF(MATCH(T_BATTINGDATA[[#This Row],[BATSMAN NAME]],$O$5:O789,0)&gt;0,0),1)),1,0),"")</f>
        <v/>
      </c>
      <c r="N790" t="e">
        <f>IF(T_BATTINGDATA[[#This Row],[Team]]=I_TEAM,T_BATTINGDATA[[#This Row],[R]],0)</f>
        <v>#REF!</v>
      </c>
      <c r="O790" t="str">
        <f>LEFT(T_BATTINGDATA[[#This Row],[Batsman]],IFERROR(FIND("*",T_BATTINGDATA[[#This Row],[Batsman]])-1,IFERROR(FIND("†",T_BATTINGDATA[[#This Row],[Batsman]])-1,LEN(T_BATTINGDATA[[#This Row],[Batsman]]))))</f>
        <v>Tamim Iqbal</v>
      </c>
      <c r="P790">
        <f ca="1">IFERROR(IF(MATCH(T_BATTINGDATA[[#This Row],[BATSMAN NAME]],OFFSET(O791,0,0,BATROWS-ROW(O790)-ROW(T_BATTINGDATA[[#Headers],[BATSMAN NAME]])),0)&gt;0,0,SUMIF($O$6:O790,T_BATTINGDATA[[#This Row],[BATSMAN NAME]],$E$6:E790)),SUMIF($O$6:O790,T_BATTINGDATA[[#This Row],[BATSMAN NAME]],$E$6:E790))</f>
        <v>154</v>
      </c>
    </row>
    <row r="791" spans="1:16" x14ac:dyDescent="0.3">
      <c r="A791">
        <v>37</v>
      </c>
      <c r="B791" t="s">
        <v>181</v>
      </c>
      <c r="C791" t="s">
        <v>336</v>
      </c>
      <c r="D791" t="s">
        <v>362</v>
      </c>
      <c r="E791">
        <v>2</v>
      </c>
      <c r="F791">
        <v>23</v>
      </c>
      <c r="G791">
        <v>19</v>
      </c>
      <c r="H791">
        <v>0</v>
      </c>
      <c r="I791">
        <v>0</v>
      </c>
      <c r="J791">
        <v>10.52</v>
      </c>
      <c r="K791">
        <v>2</v>
      </c>
      <c r="L791" t="str">
        <f>CONCATENATE(T_BATTINGDATA[[#This Row],[Match]],T_BATTINGDATA[[#This Row],[Team]],T_BATTINGDATA[[#This Row],[Bat Number]])</f>
        <v>37Bangladesh2</v>
      </c>
      <c r="M791" t="str">
        <f>IFERROR(IF(AND(T_BATTINGDATA[[#This Row],[Team]]=I_TEAM,IFERROR(IF(MATCH(T_BATTINGDATA[[#This Row],[BATSMAN NAME]],$O$5:O790,0)&gt;0,0),1)),1,0),"")</f>
        <v/>
      </c>
      <c r="N791" t="e">
        <f>IF(T_BATTINGDATA[[#This Row],[Team]]=I_TEAM,T_BATTINGDATA[[#This Row],[R]],0)</f>
        <v>#REF!</v>
      </c>
      <c r="O791" t="str">
        <f>LEFT(T_BATTINGDATA[[#This Row],[Batsman]],IFERROR(FIND("*",T_BATTINGDATA[[#This Row],[Batsman]])-1,IFERROR(FIND("†",T_BATTINGDATA[[#This Row],[Batsman]])-1,LEN(T_BATTINGDATA[[#This Row],[Batsman]]))))</f>
        <v>Imrul Kayes</v>
      </c>
      <c r="P791">
        <f ca="1">IFERROR(IF(MATCH(T_BATTINGDATA[[#This Row],[BATSMAN NAME]],OFFSET(O792,0,0,BATROWS-ROW(O791)-ROW(T_BATTINGDATA[[#Headers],[BATSMAN NAME]])),0)&gt;0,0,SUMIF($O$6:O791,T_BATTINGDATA[[#This Row],[BATSMAN NAME]],$E$6:E791)),SUMIF($O$6:O791,T_BATTINGDATA[[#This Row],[BATSMAN NAME]],$E$6:E791))</f>
        <v>9</v>
      </c>
    </row>
    <row r="792" spans="1:16" x14ac:dyDescent="0.3">
      <c r="A792">
        <v>37</v>
      </c>
      <c r="B792" t="s">
        <v>181</v>
      </c>
      <c r="C792" t="s">
        <v>339</v>
      </c>
      <c r="D792" t="s">
        <v>610</v>
      </c>
      <c r="E792">
        <v>51</v>
      </c>
      <c r="F792">
        <v>94</v>
      </c>
      <c r="G792">
        <v>58</v>
      </c>
      <c r="H792">
        <v>7</v>
      </c>
      <c r="I792">
        <v>0</v>
      </c>
      <c r="J792">
        <v>87.93</v>
      </c>
      <c r="K792">
        <v>3</v>
      </c>
      <c r="L792" t="str">
        <f>CONCATENATE(T_BATTINGDATA[[#This Row],[Match]],T_BATTINGDATA[[#This Row],[Team]],T_BATTINGDATA[[#This Row],[Bat Number]])</f>
        <v>37Bangladesh3</v>
      </c>
      <c r="M792" t="str">
        <f>IFERROR(IF(AND(T_BATTINGDATA[[#This Row],[Team]]=I_TEAM,IFERROR(IF(MATCH(T_BATTINGDATA[[#This Row],[BATSMAN NAME]],$O$5:O791,0)&gt;0,0),1)),1,0),"")</f>
        <v/>
      </c>
      <c r="N792" t="e">
        <f>IF(T_BATTINGDATA[[#This Row],[Team]]=I_TEAM,T_BATTINGDATA[[#This Row],[R]],0)</f>
        <v>#REF!</v>
      </c>
      <c r="O792" t="str">
        <f>LEFT(T_BATTINGDATA[[#This Row],[Batsman]],IFERROR(FIND("*",T_BATTINGDATA[[#This Row],[Batsman]])-1,IFERROR(FIND("†",T_BATTINGDATA[[#This Row],[Batsman]])-1,LEN(T_BATTINGDATA[[#This Row],[Batsman]]))))</f>
        <v>Soumya Sarkar</v>
      </c>
      <c r="P792">
        <f ca="1">IFERROR(IF(MATCH(T_BATTINGDATA[[#This Row],[BATSMAN NAME]],OFFSET(O793,0,0,BATROWS-ROW(O792)-ROW(T_BATTINGDATA[[#Headers],[BATSMAN NAME]])),0)&gt;0,0,SUMIF($O$6:O792,T_BATTINGDATA[[#This Row],[BATSMAN NAME]],$E$6:E792)),SUMIF($O$6:O792,T_BATTINGDATA[[#This Row],[BATSMAN NAME]],$E$6:E792))</f>
        <v>175</v>
      </c>
    </row>
    <row r="793" spans="1:16" x14ac:dyDescent="0.3">
      <c r="A793">
        <v>37</v>
      </c>
      <c r="B793" t="s">
        <v>181</v>
      </c>
      <c r="C793" t="s">
        <v>275</v>
      </c>
      <c r="D793" t="s">
        <v>167</v>
      </c>
      <c r="E793">
        <v>128</v>
      </c>
      <c r="F793">
        <v>175</v>
      </c>
      <c r="G793">
        <v>123</v>
      </c>
      <c r="H793">
        <v>12</v>
      </c>
      <c r="I793">
        <v>3</v>
      </c>
      <c r="J793">
        <v>104.06</v>
      </c>
      <c r="K793">
        <v>4</v>
      </c>
      <c r="L793" t="str">
        <f>CONCATENATE(T_BATTINGDATA[[#This Row],[Match]],T_BATTINGDATA[[#This Row],[Team]],T_BATTINGDATA[[#This Row],[Bat Number]])</f>
        <v>37Bangladesh4</v>
      </c>
      <c r="M793" t="str">
        <f>IFERROR(IF(AND(T_BATTINGDATA[[#This Row],[Team]]=I_TEAM,IFERROR(IF(MATCH(T_BATTINGDATA[[#This Row],[BATSMAN NAME]],$O$5:O792,0)&gt;0,0),1)),1,0),"")</f>
        <v/>
      </c>
      <c r="N793" t="e">
        <f>IF(T_BATTINGDATA[[#This Row],[Team]]=I_TEAM,T_BATTINGDATA[[#This Row],[R]],0)</f>
        <v>#REF!</v>
      </c>
      <c r="O793" t="str">
        <f>LEFT(T_BATTINGDATA[[#This Row],[Batsman]],IFERROR(FIND("*",T_BATTINGDATA[[#This Row],[Batsman]])-1,IFERROR(FIND("†",T_BATTINGDATA[[#This Row],[Batsman]])-1,LEN(T_BATTINGDATA[[#This Row],[Batsman]]))))</f>
        <v>Mahmudullah</v>
      </c>
      <c r="P793">
        <f ca="1">IFERROR(IF(MATCH(T_BATTINGDATA[[#This Row],[BATSMAN NAME]],OFFSET(O794,0,0,BATROWS-ROW(O793)-ROW(T_BATTINGDATA[[#Headers],[BATSMAN NAME]])),0)&gt;0,0,SUMIF($O$6:O793,T_BATTINGDATA[[#This Row],[BATSMAN NAME]],$E$6:E793)),SUMIF($O$6:O793,T_BATTINGDATA[[#This Row],[BATSMAN NAME]],$E$6:E793))</f>
        <v>365</v>
      </c>
    </row>
    <row r="794" spans="1:16" x14ac:dyDescent="0.3">
      <c r="A794">
        <v>37</v>
      </c>
      <c r="B794" t="s">
        <v>181</v>
      </c>
      <c r="C794" t="s">
        <v>839</v>
      </c>
      <c r="D794" t="s">
        <v>454</v>
      </c>
      <c r="E794">
        <v>23</v>
      </c>
      <c r="F794">
        <v>34</v>
      </c>
      <c r="G794">
        <v>18</v>
      </c>
      <c r="H794">
        <v>3</v>
      </c>
      <c r="I794">
        <v>0</v>
      </c>
      <c r="J794">
        <v>127.77</v>
      </c>
      <c r="K794">
        <v>5</v>
      </c>
      <c r="L794" t="str">
        <f>CONCATENATE(T_BATTINGDATA[[#This Row],[Match]],T_BATTINGDATA[[#This Row],[Team]],T_BATTINGDATA[[#This Row],[Bat Number]])</f>
        <v>37Bangladesh5</v>
      </c>
      <c r="M794" t="str">
        <f>IFERROR(IF(AND(T_BATTINGDATA[[#This Row],[Team]]=I_TEAM,IFERROR(IF(MATCH(T_BATTINGDATA[[#This Row],[BATSMAN NAME]],$O$5:O793,0)&gt;0,0),1)),1,0),"")</f>
        <v/>
      </c>
      <c r="N794" t="e">
        <f>IF(T_BATTINGDATA[[#This Row],[Team]]=I_TEAM,T_BATTINGDATA[[#This Row],[R]],0)</f>
        <v>#REF!</v>
      </c>
      <c r="O794" t="str">
        <f>LEFT(T_BATTINGDATA[[#This Row],[Batsman]],IFERROR(FIND("*",T_BATTINGDATA[[#This Row],[Batsman]])-1,IFERROR(FIND("†",T_BATTINGDATA[[#This Row],[Batsman]])-1,LEN(T_BATTINGDATA[[#This Row],[Batsman]]))))</f>
        <v>Shakib Al Hasan</v>
      </c>
      <c r="P794">
        <f ca="1">IFERROR(IF(MATCH(T_BATTINGDATA[[#This Row],[BATSMAN NAME]],OFFSET(O795,0,0,BATROWS-ROW(O794)-ROW(T_BATTINGDATA[[#Headers],[BATSMAN NAME]])),0)&gt;0,0,SUMIF($O$6:O794,T_BATTINGDATA[[#This Row],[BATSMAN NAME]],$E$6:E794)),SUMIF($O$6:O794,T_BATTINGDATA[[#This Row],[BATSMAN NAME]],$E$6:E794))</f>
        <v>196</v>
      </c>
    </row>
    <row r="795" spans="1:16" x14ac:dyDescent="0.3">
      <c r="A795">
        <v>37</v>
      </c>
      <c r="B795" t="s">
        <v>181</v>
      </c>
      <c r="C795" t="s">
        <v>341</v>
      </c>
      <c r="D795" t="s">
        <v>454</v>
      </c>
      <c r="E795">
        <v>15</v>
      </c>
      <c r="F795">
        <v>16</v>
      </c>
      <c r="G795">
        <v>25</v>
      </c>
      <c r="H795">
        <v>2</v>
      </c>
      <c r="I795">
        <v>0</v>
      </c>
      <c r="J795">
        <v>60</v>
      </c>
      <c r="K795">
        <v>6</v>
      </c>
      <c r="L795" t="str">
        <f>CONCATENATE(T_BATTINGDATA[[#This Row],[Match]],T_BATTINGDATA[[#This Row],[Team]],T_BATTINGDATA[[#This Row],[Bat Number]])</f>
        <v>37Bangladesh6</v>
      </c>
      <c r="M795" t="str">
        <f>IFERROR(IF(AND(T_BATTINGDATA[[#This Row],[Team]]=I_TEAM,IFERROR(IF(MATCH(T_BATTINGDATA[[#This Row],[BATSMAN NAME]],$O$5:O794,0)&gt;0,0),1)),1,0),"")</f>
        <v/>
      </c>
      <c r="N795" t="e">
        <f>IF(T_BATTINGDATA[[#This Row],[Team]]=I_TEAM,T_BATTINGDATA[[#This Row],[R]],0)</f>
        <v>#REF!</v>
      </c>
      <c r="O795" t="str">
        <f>LEFT(T_BATTINGDATA[[#This Row],[Batsman]],IFERROR(FIND("*",T_BATTINGDATA[[#This Row],[Batsman]])-1,IFERROR(FIND("†",T_BATTINGDATA[[#This Row],[Batsman]])-1,LEN(T_BATTINGDATA[[#This Row],[Batsman]]))))</f>
        <v>Mushfiqur Rahim</v>
      </c>
      <c r="P795">
        <f ca="1">IFERROR(IF(MATCH(T_BATTINGDATA[[#This Row],[BATSMAN NAME]],OFFSET(O796,0,0,BATROWS-ROW(O795)-ROW(T_BATTINGDATA[[#Headers],[BATSMAN NAME]])),0)&gt;0,0,SUMIF($O$6:O795,T_BATTINGDATA[[#This Row],[BATSMAN NAME]],$E$6:E795)),SUMIF($O$6:O795,T_BATTINGDATA[[#This Row],[BATSMAN NAME]],$E$6:E795))</f>
        <v>298</v>
      </c>
    </row>
    <row r="796" spans="1:16" x14ac:dyDescent="0.3">
      <c r="A796">
        <v>37</v>
      </c>
      <c r="B796" t="s">
        <v>181</v>
      </c>
      <c r="C796" t="s">
        <v>342</v>
      </c>
      <c r="D796" t="s">
        <v>840</v>
      </c>
      <c r="E796">
        <v>40</v>
      </c>
      <c r="F796">
        <v>37</v>
      </c>
      <c r="G796">
        <v>23</v>
      </c>
      <c r="H796">
        <v>5</v>
      </c>
      <c r="I796">
        <v>2</v>
      </c>
      <c r="J796">
        <v>173.91</v>
      </c>
      <c r="K796">
        <v>7</v>
      </c>
      <c r="L796" t="str">
        <f>CONCATENATE(T_BATTINGDATA[[#This Row],[Match]],T_BATTINGDATA[[#This Row],[Team]],T_BATTINGDATA[[#This Row],[Bat Number]])</f>
        <v>37Bangladesh7</v>
      </c>
      <c r="M796" t="str">
        <f>IFERROR(IF(AND(T_BATTINGDATA[[#This Row],[Team]]=I_TEAM,IFERROR(IF(MATCH(T_BATTINGDATA[[#This Row],[BATSMAN NAME]],$O$5:O795,0)&gt;0,0),1)),1,0),"")</f>
        <v/>
      </c>
      <c r="N796" t="e">
        <f>IF(T_BATTINGDATA[[#This Row],[Team]]=I_TEAM,T_BATTINGDATA[[#This Row],[R]],0)</f>
        <v>#REF!</v>
      </c>
      <c r="O796" t="str">
        <f>LEFT(T_BATTINGDATA[[#This Row],[Batsman]],IFERROR(FIND("*",T_BATTINGDATA[[#This Row],[Batsman]])-1,IFERROR(FIND("†",T_BATTINGDATA[[#This Row],[Batsman]])-1,LEN(T_BATTINGDATA[[#This Row],[Batsman]]))))</f>
        <v>Sabbir Rahman</v>
      </c>
      <c r="P796">
        <f ca="1">IFERROR(IF(MATCH(T_BATTINGDATA[[#This Row],[BATSMAN NAME]],OFFSET(O797,0,0,BATROWS-ROW(O796)-ROW(T_BATTINGDATA[[#Headers],[BATSMAN NAME]])),0)&gt;0,0,SUMIF($O$6:O796,T_BATTINGDATA[[#This Row],[BATSMAN NAME]],$E$6:E796)),SUMIF($O$6:O796,T_BATTINGDATA[[#This Row],[BATSMAN NAME]],$E$6:E796))</f>
        <v>182</v>
      </c>
    </row>
    <row r="797" spans="1:16" x14ac:dyDescent="0.3">
      <c r="A797">
        <v>37</v>
      </c>
      <c r="B797" t="s">
        <v>181</v>
      </c>
      <c r="C797" t="s">
        <v>272</v>
      </c>
      <c r="D797" t="s">
        <v>841</v>
      </c>
      <c r="E797">
        <v>11</v>
      </c>
      <c r="F797">
        <v>12</v>
      </c>
      <c r="G797">
        <v>7</v>
      </c>
      <c r="H797">
        <v>0</v>
      </c>
      <c r="I797">
        <v>1</v>
      </c>
      <c r="J797">
        <v>157.13999999999999</v>
      </c>
      <c r="K797">
        <v>8</v>
      </c>
      <c r="L797" t="str">
        <f>CONCATENATE(T_BATTINGDATA[[#This Row],[Match]],T_BATTINGDATA[[#This Row],[Team]],T_BATTINGDATA[[#This Row],[Bat Number]])</f>
        <v>37Bangladesh8</v>
      </c>
      <c r="M797" t="str">
        <f>IFERROR(IF(AND(T_BATTINGDATA[[#This Row],[Team]]=I_TEAM,IFERROR(IF(MATCH(T_BATTINGDATA[[#This Row],[BATSMAN NAME]],$O$5:O796,0)&gt;0,0),1)),1,0),"")</f>
        <v/>
      </c>
      <c r="N797" t="e">
        <f>IF(T_BATTINGDATA[[#This Row],[Team]]=I_TEAM,T_BATTINGDATA[[#This Row],[R]],0)</f>
        <v>#REF!</v>
      </c>
      <c r="O797" t="str">
        <f>LEFT(T_BATTINGDATA[[#This Row],[Batsman]],IFERROR(FIND("*",T_BATTINGDATA[[#This Row],[Batsman]])-1,IFERROR(FIND("†",T_BATTINGDATA[[#This Row],[Batsman]])-1,LEN(T_BATTINGDATA[[#This Row],[Batsman]]))))</f>
        <v>Nasir Hossain</v>
      </c>
      <c r="P797">
        <f ca="1">IFERROR(IF(MATCH(T_BATTINGDATA[[#This Row],[BATSMAN NAME]],OFFSET(O798,0,0,BATROWS-ROW(O797)-ROW(T_BATTINGDATA[[#Headers],[BATSMAN NAME]])),0)&gt;0,0,SUMIF($O$6:O797,T_BATTINGDATA[[#This Row],[BATSMAN NAME]],$E$6:E797)),SUMIF($O$6:O797,T_BATTINGDATA[[#This Row],[BATSMAN NAME]],$E$6:E797))</f>
        <v>46</v>
      </c>
    </row>
    <row r="798" spans="1:16" x14ac:dyDescent="0.3">
      <c r="A798">
        <v>37</v>
      </c>
      <c r="B798" t="s">
        <v>181</v>
      </c>
      <c r="C798" t="s">
        <v>277</v>
      </c>
      <c r="D798" t="s">
        <v>167</v>
      </c>
      <c r="E798">
        <v>0</v>
      </c>
      <c r="F798">
        <v>1</v>
      </c>
      <c r="G798">
        <v>0</v>
      </c>
      <c r="H798">
        <v>0</v>
      </c>
      <c r="I798">
        <v>0</v>
      </c>
      <c r="J798" t="s">
        <v>348</v>
      </c>
      <c r="K798">
        <v>9</v>
      </c>
      <c r="L798" t="str">
        <f>CONCATENATE(T_BATTINGDATA[[#This Row],[Match]],T_BATTINGDATA[[#This Row],[Team]],T_BATTINGDATA[[#This Row],[Bat Number]])</f>
        <v>37Bangladesh9</v>
      </c>
      <c r="M798" t="str">
        <f>IFERROR(IF(AND(T_BATTINGDATA[[#This Row],[Team]]=I_TEAM,IFERROR(IF(MATCH(T_BATTINGDATA[[#This Row],[BATSMAN NAME]],$O$5:O797,0)&gt;0,0),1)),1,0),"")</f>
        <v/>
      </c>
      <c r="N798" t="e">
        <f>IF(T_BATTINGDATA[[#This Row],[Team]]=I_TEAM,T_BATTINGDATA[[#This Row],[R]],0)</f>
        <v>#REF!</v>
      </c>
      <c r="O798" t="str">
        <f>LEFT(T_BATTINGDATA[[#This Row],[Batsman]],IFERROR(FIND("*",T_BATTINGDATA[[#This Row],[Batsman]])-1,IFERROR(FIND("†",T_BATTINGDATA[[#This Row],[Batsman]])-1,LEN(T_BATTINGDATA[[#This Row],[Batsman]]))))</f>
        <v>Rubel Hossain</v>
      </c>
      <c r="P798">
        <f ca="1">IFERROR(IF(MATCH(T_BATTINGDATA[[#This Row],[BATSMAN NAME]],OFFSET(O799,0,0,BATROWS-ROW(O798)-ROW(T_BATTINGDATA[[#Headers],[BATSMAN NAME]])),0)&gt;0,0,SUMIF($O$6:O798,T_BATTINGDATA[[#This Row],[BATSMAN NAME]],$E$6:E798)),SUMIF($O$6:O798,T_BATTINGDATA[[#This Row],[BATSMAN NAME]],$E$6:E798))</f>
        <v>0</v>
      </c>
    </row>
    <row r="799" spans="1:16" x14ac:dyDescent="0.3">
      <c r="A799">
        <v>37</v>
      </c>
      <c r="B799" t="s">
        <v>140</v>
      </c>
      <c r="C799" t="s">
        <v>349</v>
      </c>
      <c r="D799" t="s">
        <v>842</v>
      </c>
      <c r="E799">
        <v>105</v>
      </c>
      <c r="F799">
        <v>132</v>
      </c>
      <c r="G799">
        <v>100</v>
      </c>
      <c r="H799">
        <v>11</v>
      </c>
      <c r="I799">
        <v>2</v>
      </c>
      <c r="J799">
        <v>105</v>
      </c>
      <c r="K799">
        <v>1</v>
      </c>
      <c r="L799" t="str">
        <f>CONCATENATE(T_BATTINGDATA[[#This Row],[Match]],T_BATTINGDATA[[#This Row],[Team]],T_BATTINGDATA[[#This Row],[Bat Number]])</f>
        <v>37New Zealand1</v>
      </c>
      <c r="M799" t="str">
        <f>IFERROR(IF(AND(T_BATTINGDATA[[#This Row],[Team]]=I_TEAM,IFERROR(IF(MATCH(T_BATTINGDATA[[#This Row],[BATSMAN NAME]],$O$5:O798,0)&gt;0,0),1)),1,0),"")</f>
        <v/>
      </c>
      <c r="N799" t="e">
        <f>IF(T_BATTINGDATA[[#This Row],[Team]]=I_TEAM,T_BATTINGDATA[[#This Row],[R]],0)</f>
        <v>#REF!</v>
      </c>
      <c r="O799" t="str">
        <f>LEFT(T_BATTINGDATA[[#This Row],[Batsman]],IFERROR(FIND("*",T_BATTINGDATA[[#This Row],[Batsman]])-1,IFERROR(FIND("†",T_BATTINGDATA[[#This Row],[Batsman]])-1,LEN(T_BATTINGDATA[[#This Row],[Batsman]]))))</f>
        <v>MJ Guptill</v>
      </c>
      <c r="P799">
        <f ca="1">IFERROR(IF(MATCH(T_BATTINGDATA[[#This Row],[BATSMAN NAME]],OFFSET(O800,0,0,BATROWS-ROW(O799)-ROW(T_BATTINGDATA[[#Headers],[BATSMAN NAME]])),0)&gt;0,0,SUMIF($O$6:O799,T_BATTINGDATA[[#This Row],[BATSMAN NAME]],$E$6:E799)),SUMIF($O$6:O799,T_BATTINGDATA[[#This Row],[BATSMAN NAME]],$E$6:E799))</f>
        <v>547</v>
      </c>
    </row>
    <row r="800" spans="1:16" x14ac:dyDescent="0.3">
      <c r="A800">
        <v>37</v>
      </c>
      <c r="B800" t="s">
        <v>140</v>
      </c>
      <c r="C800" t="s">
        <v>352</v>
      </c>
      <c r="D800" t="s">
        <v>748</v>
      </c>
      <c r="E800">
        <v>8</v>
      </c>
      <c r="F800">
        <v>15</v>
      </c>
      <c r="G800">
        <v>8</v>
      </c>
      <c r="H800">
        <v>1</v>
      </c>
      <c r="I800">
        <v>0</v>
      </c>
      <c r="J800">
        <v>100</v>
      </c>
      <c r="K800">
        <v>2</v>
      </c>
      <c r="L800" t="str">
        <f>CONCATENATE(T_BATTINGDATA[[#This Row],[Match]],T_BATTINGDATA[[#This Row],[Team]],T_BATTINGDATA[[#This Row],[Bat Number]])</f>
        <v>37New Zealand2</v>
      </c>
      <c r="M800" t="str">
        <f>IFERROR(IF(AND(T_BATTINGDATA[[#This Row],[Team]]=I_TEAM,IFERROR(IF(MATCH(T_BATTINGDATA[[#This Row],[BATSMAN NAME]],$O$5:O799,0)&gt;0,0),1)),1,0),"")</f>
        <v/>
      </c>
      <c r="N800" t="e">
        <f>IF(T_BATTINGDATA[[#This Row],[Team]]=I_TEAM,T_BATTINGDATA[[#This Row],[R]],0)</f>
        <v>#REF!</v>
      </c>
      <c r="O800" t="str">
        <f>LEFT(T_BATTINGDATA[[#This Row],[Batsman]],IFERROR(FIND("*",T_BATTINGDATA[[#This Row],[Batsman]])-1,IFERROR(FIND("†",T_BATTINGDATA[[#This Row],[Batsman]])-1,LEN(T_BATTINGDATA[[#This Row],[Batsman]]))))</f>
        <v>BB McCullum</v>
      </c>
      <c r="P800">
        <f ca="1">IFERROR(IF(MATCH(T_BATTINGDATA[[#This Row],[BATSMAN NAME]],OFFSET(O801,0,0,BATROWS-ROW(O800)-ROW(T_BATTINGDATA[[#Headers],[BATSMAN NAME]])),0)&gt;0,0,SUMIF($O$6:O800,T_BATTINGDATA[[#This Row],[BATSMAN NAME]],$E$6:E800)),SUMIF($O$6:O800,T_BATTINGDATA[[#This Row],[BATSMAN NAME]],$E$6:E800))</f>
        <v>328</v>
      </c>
    </row>
    <row r="801" spans="1:16" x14ac:dyDescent="0.3">
      <c r="A801">
        <v>37</v>
      </c>
      <c r="B801" t="s">
        <v>140</v>
      </c>
      <c r="C801" t="s">
        <v>307</v>
      </c>
      <c r="D801" t="s">
        <v>843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50</v>
      </c>
      <c r="K801">
        <v>3</v>
      </c>
      <c r="L801" t="str">
        <f>CONCATENATE(T_BATTINGDATA[[#This Row],[Match]],T_BATTINGDATA[[#This Row],[Team]],T_BATTINGDATA[[#This Row],[Bat Number]])</f>
        <v>37New Zealand3</v>
      </c>
      <c r="M801" t="str">
        <f>IFERROR(IF(AND(T_BATTINGDATA[[#This Row],[Team]]=I_TEAM,IFERROR(IF(MATCH(T_BATTINGDATA[[#This Row],[BATSMAN NAME]],$O$5:O800,0)&gt;0,0),1)),1,0),"")</f>
        <v/>
      </c>
      <c r="N801" t="e">
        <f>IF(T_BATTINGDATA[[#This Row],[Team]]=I_TEAM,T_BATTINGDATA[[#This Row],[R]],0)</f>
        <v>#REF!</v>
      </c>
      <c r="O801" t="str">
        <f>LEFT(T_BATTINGDATA[[#This Row],[Batsman]],IFERROR(FIND("*",T_BATTINGDATA[[#This Row],[Batsman]])-1,IFERROR(FIND("†",T_BATTINGDATA[[#This Row],[Batsman]])-1,LEN(T_BATTINGDATA[[#This Row],[Batsman]]))))</f>
        <v>KS Williamson</v>
      </c>
      <c r="P801">
        <f ca="1">IFERROR(IF(MATCH(T_BATTINGDATA[[#This Row],[BATSMAN NAME]],OFFSET(O802,0,0,BATROWS-ROW(O801)-ROW(T_BATTINGDATA[[#Headers],[BATSMAN NAME]])),0)&gt;0,0,SUMIF($O$6:O801,T_BATTINGDATA[[#This Row],[BATSMAN NAME]],$E$6:E801)),SUMIF($O$6:O801,T_BATTINGDATA[[#This Row],[BATSMAN NAME]],$E$6:E801))</f>
        <v>234</v>
      </c>
    </row>
    <row r="802" spans="1:16" x14ac:dyDescent="0.3">
      <c r="A802">
        <v>37</v>
      </c>
      <c r="B802" t="s">
        <v>140</v>
      </c>
      <c r="C802" t="s">
        <v>356</v>
      </c>
      <c r="D802" t="s">
        <v>844</v>
      </c>
      <c r="E802">
        <v>56</v>
      </c>
      <c r="F802">
        <v>161</v>
      </c>
      <c r="G802">
        <v>97</v>
      </c>
      <c r="H802">
        <v>5</v>
      </c>
      <c r="I802">
        <v>0</v>
      </c>
      <c r="J802">
        <v>57.73</v>
      </c>
      <c r="K802">
        <v>4</v>
      </c>
      <c r="L802" t="str">
        <f>CONCATENATE(T_BATTINGDATA[[#This Row],[Match]],T_BATTINGDATA[[#This Row],[Team]],T_BATTINGDATA[[#This Row],[Bat Number]])</f>
        <v>37New Zealand4</v>
      </c>
      <c r="M802" t="str">
        <f>IFERROR(IF(AND(T_BATTINGDATA[[#This Row],[Team]]=I_TEAM,IFERROR(IF(MATCH(T_BATTINGDATA[[#This Row],[BATSMAN NAME]],$O$5:O801,0)&gt;0,0),1)),1,0),"")</f>
        <v/>
      </c>
      <c r="N802" t="e">
        <f>IF(T_BATTINGDATA[[#This Row],[Team]]=I_TEAM,T_BATTINGDATA[[#This Row],[R]],0)</f>
        <v>#REF!</v>
      </c>
      <c r="O802" t="str">
        <f>LEFT(T_BATTINGDATA[[#This Row],[Batsman]],IFERROR(FIND("*",T_BATTINGDATA[[#This Row],[Batsman]])-1,IFERROR(FIND("†",T_BATTINGDATA[[#This Row],[Batsman]])-1,LEN(T_BATTINGDATA[[#This Row],[Batsman]]))))</f>
        <v>LRPL Taylor</v>
      </c>
      <c r="P802">
        <f ca="1">IFERROR(IF(MATCH(T_BATTINGDATA[[#This Row],[BATSMAN NAME]],OFFSET(O803,0,0,BATROWS-ROW(O802)-ROW(T_BATTINGDATA[[#Headers],[BATSMAN NAME]])),0)&gt;0,0,SUMIF($O$6:O802,T_BATTINGDATA[[#This Row],[BATSMAN NAME]],$E$6:E802)),SUMIF($O$6:O802,T_BATTINGDATA[[#This Row],[BATSMAN NAME]],$E$6:E802))</f>
        <v>221</v>
      </c>
    </row>
    <row r="803" spans="1:16" x14ac:dyDescent="0.3">
      <c r="A803">
        <v>37</v>
      </c>
      <c r="B803" t="s">
        <v>140</v>
      </c>
      <c r="C803" t="s">
        <v>305</v>
      </c>
      <c r="D803" t="s">
        <v>662</v>
      </c>
      <c r="E803">
        <v>39</v>
      </c>
      <c r="F803">
        <v>34</v>
      </c>
      <c r="G803">
        <v>34</v>
      </c>
      <c r="H803">
        <v>5</v>
      </c>
      <c r="I803">
        <v>1</v>
      </c>
      <c r="J803">
        <v>114.7</v>
      </c>
      <c r="K803">
        <v>5</v>
      </c>
      <c r="L803" t="str">
        <f>CONCATENATE(T_BATTINGDATA[[#This Row],[Match]],T_BATTINGDATA[[#This Row],[Team]],T_BATTINGDATA[[#This Row],[Bat Number]])</f>
        <v>37New Zealand5</v>
      </c>
      <c r="M803" t="str">
        <f>IFERROR(IF(AND(T_BATTINGDATA[[#This Row],[Team]]=I_TEAM,IFERROR(IF(MATCH(T_BATTINGDATA[[#This Row],[BATSMAN NAME]],$O$5:O802,0)&gt;0,0),1)),1,0),"")</f>
        <v/>
      </c>
      <c r="N803" t="e">
        <f>IF(T_BATTINGDATA[[#This Row],[Team]]=I_TEAM,T_BATTINGDATA[[#This Row],[R]],0)</f>
        <v>#REF!</v>
      </c>
      <c r="O803" t="str">
        <f>LEFT(T_BATTINGDATA[[#This Row],[Batsman]],IFERROR(FIND("*",T_BATTINGDATA[[#This Row],[Batsman]])-1,IFERROR(FIND("†",T_BATTINGDATA[[#This Row],[Batsman]])-1,LEN(T_BATTINGDATA[[#This Row],[Batsman]]))))</f>
        <v>GD Elliott</v>
      </c>
      <c r="P803">
        <f ca="1">IFERROR(IF(MATCH(T_BATTINGDATA[[#This Row],[BATSMAN NAME]],OFFSET(O804,0,0,BATROWS-ROW(O803)-ROW(T_BATTINGDATA[[#Headers],[BATSMAN NAME]])),0)&gt;0,0,SUMIF($O$6:O803,T_BATTINGDATA[[#This Row],[BATSMAN NAME]],$E$6:E803)),SUMIF($O$6:O803,T_BATTINGDATA[[#This Row],[BATSMAN NAME]],$E$6:E803))</f>
        <v>310</v>
      </c>
    </row>
    <row r="804" spans="1:16" x14ac:dyDescent="0.3">
      <c r="A804">
        <v>37</v>
      </c>
      <c r="B804" t="s">
        <v>140</v>
      </c>
      <c r="C804" t="s">
        <v>309</v>
      </c>
      <c r="D804" t="s">
        <v>845</v>
      </c>
      <c r="E804">
        <v>39</v>
      </c>
      <c r="F804">
        <v>42</v>
      </c>
      <c r="G804">
        <v>26</v>
      </c>
      <c r="H804">
        <v>3</v>
      </c>
      <c r="I804">
        <v>3</v>
      </c>
      <c r="J804">
        <v>150</v>
      </c>
      <c r="K804">
        <v>6</v>
      </c>
      <c r="L804" t="str">
        <f>CONCATENATE(T_BATTINGDATA[[#This Row],[Match]],T_BATTINGDATA[[#This Row],[Team]],T_BATTINGDATA[[#This Row],[Bat Number]])</f>
        <v>37New Zealand6</v>
      </c>
      <c r="M804" t="str">
        <f>IFERROR(IF(AND(T_BATTINGDATA[[#This Row],[Team]]=I_TEAM,IFERROR(IF(MATCH(T_BATTINGDATA[[#This Row],[BATSMAN NAME]],$O$5:O803,0)&gt;0,0),1)),1,0),"")</f>
        <v/>
      </c>
      <c r="N804" t="e">
        <f>IF(T_BATTINGDATA[[#This Row],[Team]]=I_TEAM,T_BATTINGDATA[[#This Row],[R]],0)</f>
        <v>#REF!</v>
      </c>
      <c r="O804" t="str">
        <f>LEFT(T_BATTINGDATA[[#This Row],[Batsman]],IFERROR(FIND("*",T_BATTINGDATA[[#This Row],[Batsman]])-1,IFERROR(FIND("†",T_BATTINGDATA[[#This Row],[Batsman]])-1,LEN(T_BATTINGDATA[[#This Row],[Batsman]]))))</f>
        <v>CJ Anderson</v>
      </c>
      <c r="P804">
        <f ca="1">IFERROR(IF(MATCH(T_BATTINGDATA[[#This Row],[BATSMAN NAME]],OFFSET(O805,0,0,BATROWS-ROW(O804)-ROW(T_BATTINGDATA[[#Headers],[BATSMAN NAME]])),0)&gt;0,0,SUMIF($O$6:O804,T_BATTINGDATA[[#This Row],[BATSMAN NAME]],$E$6:E804)),SUMIF($O$6:O804,T_BATTINGDATA[[#This Row],[BATSMAN NAME]],$E$6:E804))</f>
        <v>231</v>
      </c>
    </row>
    <row r="805" spans="1:16" x14ac:dyDescent="0.3">
      <c r="A805">
        <v>37</v>
      </c>
      <c r="B805" t="s">
        <v>140</v>
      </c>
      <c r="C805" t="s">
        <v>360</v>
      </c>
      <c r="D805" t="s">
        <v>846</v>
      </c>
      <c r="E805">
        <v>9</v>
      </c>
      <c r="F805">
        <v>18</v>
      </c>
      <c r="G805">
        <v>10</v>
      </c>
      <c r="H805">
        <v>2</v>
      </c>
      <c r="I805">
        <v>0</v>
      </c>
      <c r="J805">
        <v>90</v>
      </c>
      <c r="K805">
        <v>7</v>
      </c>
      <c r="L805" t="str">
        <f>CONCATENATE(T_BATTINGDATA[[#This Row],[Match]],T_BATTINGDATA[[#This Row],[Team]],T_BATTINGDATA[[#This Row],[Bat Number]])</f>
        <v>37New Zealand7</v>
      </c>
      <c r="M805" t="str">
        <f>IFERROR(IF(AND(T_BATTINGDATA[[#This Row],[Team]]=I_TEAM,IFERROR(IF(MATCH(T_BATTINGDATA[[#This Row],[BATSMAN NAME]],$O$5:O804,0)&gt;0,0),1)),1,0),"")</f>
        <v/>
      </c>
      <c r="N805" t="e">
        <f>IF(T_BATTINGDATA[[#This Row],[Team]]=I_TEAM,T_BATTINGDATA[[#This Row],[R]],0)</f>
        <v>#REF!</v>
      </c>
      <c r="O805" t="str">
        <f>LEFT(T_BATTINGDATA[[#This Row],[Batsman]],IFERROR(FIND("*",T_BATTINGDATA[[#This Row],[Batsman]])-1,IFERROR(FIND("†",T_BATTINGDATA[[#This Row],[Batsman]])-1,LEN(T_BATTINGDATA[[#This Row],[Batsman]]))))</f>
        <v>L Ronchi</v>
      </c>
      <c r="P805">
        <f ca="1">IFERROR(IF(MATCH(T_BATTINGDATA[[#This Row],[BATSMAN NAME]],OFFSET(O806,0,0,BATROWS-ROW(O805)-ROW(T_BATTINGDATA[[#Headers],[BATSMAN NAME]])),0)&gt;0,0,SUMIF($O$6:O805,T_BATTINGDATA[[#This Row],[BATSMAN NAME]],$E$6:E805)),SUMIF($O$6:O805,T_BATTINGDATA[[#This Row],[BATSMAN NAME]],$E$6:E805))</f>
        <v>73</v>
      </c>
    </row>
    <row r="806" spans="1:16" x14ac:dyDescent="0.3">
      <c r="A806">
        <v>37</v>
      </c>
      <c r="B806" t="s">
        <v>140</v>
      </c>
      <c r="C806" t="s">
        <v>303</v>
      </c>
      <c r="D806" t="s">
        <v>167</v>
      </c>
      <c r="E806">
        <v>16</v>
      </c>
      <c r="F806">
        <v>19</v>
      </c>
      <c r="G806">
        <v>10</v>
      </c>
      <c r="H806">
        <v>1</v>
      </c>
      <c r="I806">
        <v>1</v>
      </c>
      <c r="J806">
        <v>160</v>
      </c>
      <c r="K806">
        <v>8</v>
      </c>
      <c r="L806" t="str">
        <f>CONCATENATE(T_BATTINGDATA[[#This Row],[Match]],T_BATTINGDATA[[#This Row],[Team]],T_BATTINGDATA[[#This Row],[Bat Number]])</f>
        <v>37New Zealand8</v>
      </c>
      <c r="M806" t="str">
        <f>IFERROR(IF(AND(T_BATTINGDATA[[#This Row],[Team]]=I_TEAM,IFERROR(IF(MATCH(T_BATTINGDATA[[#This Row],[BATSMAN NAME]],$O$5:O805,0)&gt;0,0),1)),1,0),"")</f>
        <v/>
      </c>
      <c r="N806" t="e">
        <f>IF(T_BATTINGDATA[[#This Row],[Team]]=I_TEAM,T_BATTINGDATA[[#This Row],[R]],0)</f>
        <v>#REF!</v>
      </c>
      <c r="O806" t="str">
        <f>LEFT(T_BATTINGDATA[[#This Row],[Batsman]],IFERROR(FIND("*",T_BATTINGDATA[[#This Row],[Batsman]])-1,IFERROR(FIND("†",T_BATTINGDATA[[#This Row],[Batsman]])-1,LEN(T_BATTINGDATA[[#This Row],[Batsman]]))))</f>
        <v>DL Vettori</v>
      </c>
      <c r="P806">
        <f ca="1">IFERROR(IF(MATCH(T_BATTINGDATA[[#This Row],[BATSMAN NAME]],OFFSET(O807,0,0,BATROWS-ROW(O806)-ROW(T_BATTINGDATA[[#Headers],[BATSMAN NAME]])),0)&gt;0,0,SUMIF($O$6:O806,T_BATTINGDATA[[#This Row],[BATSMAN NAME]],$E$6:E806)),SUMIF($O$6:O806,T_BATTINGDATA[[#This Row],[BATSMAN NAME]],$E$6:E806))</f>
        <v>50</v>
      </c>
    </row>
    <row r="807" spans="1:16" x14ac:dyDescent="0.3">
      <c r="A807">
        <v>37</v>
      </c>
      <c r="B807" t="s">
        <v>140</v>
      </c>
      <c r="C807" t="s">
        <v>297</v>
      </c>
      <c r="D807" t="s">
        <v>167</v>
      </c>
      <c r="E807">
        <v>12</v>
      </c>
      <c r="F807">
        <v>7</v>
      </c>
      <c r="G807">
        <v>6</v>
      </c>
      <c r="H807">
        <v>1</v>
      </c>
      <c r="I807">
        <v>1</v>
      </c>
      <c r="J807">
        <v>200</v>
      </c>
      <c r="K807">
        <v>9</v>
      </c>
      <c r="L807" t="str">
        <f>CONCATENATE(T_BATTINGDATA[[#This Row],[Match]],T_BATTINGDATA[[#This Row],[Team]],T_BATTINGDATA[[#This Row],[Bat Number]])</f>
        <v>37New Zealand9</v>
      </c>
      <c r="M807" t="str">
        <f>IFERROR(IF(AND(T_BATTINGDATA[[#This Row],[Team]]=I_TEAM,IFERROR(IF(MATCH(T_BATTINGDATA[[#This Row],[BATSMAN NAME]],$O$5:O806,0)&gt;0,0),1)),1,0),"")</f>
        <v/>
      </c>
      <c r="N807" t="e">
        <f>IF(T_BATTINGDATA[[#This Row],[Team]]=I_TEAM,T_BATTINGDATA[[#This Row],[R]],0)</f>
        <v>#REF!</v>
      </c>
      <c r="O807" t="str">
        <f>LEFT(T_BATTINGDATA[[#This Row],[Batsman]],IFERROR(FIND("*",T_BATTINGDATA[[#This Row],[Batsman]])-1,IFERROR(FIND("†",T_BATTINGDATA[[#This Row],[Batsman]])-1,LEN(T_BATTINGDATA[[#This Row],[Batsman]]))))</f>
        <v>TG Southee</v>
      </c>
      <c r="P807">
        <f ca="1">IFERROR(IF(MATCH(T_BATTINGDATA[[#This Row],[BATSMAN NAME]],OFFSET(O808,0,0,BATROWS-ROW(O807)-ROW(T_BATTINGDATA[[#Headers],[BATSMAN NAME]])),0)&gt;0,0,SUMIF($O$6:O807,T_BATTINGDATA[[#This Row],[BATSMAN NAME]],$E$6:E807)),SUMIF($O$6:O807,T_BATTINGDATA[[#This Row],[BATSMAN NAME]],$E$6:E807))</f>
        <v>23</v>
      </c>
    </row>
    <row r="808" spans="1:16" x14ac:dyDescent="0.3">
      <c r="A808">
        <v>38</v>
      </c>
      <c r="B808" t="s">
        <v>185</v>
      </c>
      <c r="C808" t="s">
        <v>398</v>
      </c>
      <c r="D808" t="s">
        <v>847</v>
      </c>
      <c r="E808">
        <v>7</v>
      </c>
      <c r="F808">
        <v>31</v>
      </c>
      <c r="G808">
        <v>15</v>
      </c>
      <c r="H808">
        <v>0</v>
      </c>
      <c r="I808">
        <v>0</v>
      </c>
      <c r="J808">
        <v>46.66</v>
      </c>
      <c r="K808">
        <v>1</v>
      </c>
      <c r="L808" t="str">
        <f>CONCATENATE(T_BATTINGDATA[[#This Row],[Match]],T_BATTINGDATA[[#This Row],[Team]],T_BATTINGDATA[[#This Row],[Bat Number]])</f>
        <v>38Afghanistan1</v>
      </c>
      <c r="M808" t="str">
        <f>IFERROR(IF(AND(T_BATTINGDATA[[#This Row],[Team]]=I_TEAM,IFERROR(IF(MATCH(T_BATTINGDATA[[#This Row],[BATSMAN NAME]],$O$5:O807,0)&gt;0,0),1)),1,0),"")</f>
        <v/>
      </c>
      <c r="N808" t="e">
        <f>IF(T_BATTINGDATA[[#This Row],[Team]]=I_TEAM,T_BATTINGDATA[[#This Row],[R]],0)</f>
        <v>#REF!</v>
      </c>
      <c r="O808" t="str">
        <f>LEFT(T_BATTINGDATA[[#This Row],[Batsman]],IFERROR(FIND("*",T_BATTINGDATA[[#This Row],[Batsman]])-1,IFERROR(FIND("†",T_BATTINGDATA[[#This Row],[Batsman]])-1,LEN(T_BATTINGDATA[[#This Row],[Batsman]]))))</f>
        <v>Javed Ahmadi</v>
      </c>
      <c r="P808">
        <f ca="1">IFERROR(IF(MATCH(T_BATTINGDATA[[#This Row],[BATSMAN NAME]],OFFSET(O809,0,0,BATROWS-ROW(O808)-ROW(T_BATTINGDATA[[#Headers],[BATSMAN NAME]])),0)&gt;0,0,SUMIF($O$6:O808,T_BATTINGDATA[[#This Row],[BATSMAN NAME]],$E$6:E808)),SUMIF($O$6:O808,T_BATTINGDATA[[#This Row],[BATSMAN NAME]],$E$6:E808))</f>
        <v>97</v>
      </c>
    </row>
    <row r="809" spans="1:16" x14ac:dyDescent="0.3">
      <c r="A809">
        <v>38</v>
      </c>
      <c r="B809" t="s">
        <v>185</v>
      </c>
      <c r="C809" t="s">
        <v>478</v>
      </c>
      <c r="D809" t="s">
        <v>797</v>
      </c>
      <c r="E809">
        <v>4</v>
      </c>
      <c r="F809">
        <v>25</v>
      </c>
      <c r="G809">
        <v>28</v>
      </c>
      <c r="H809">
        <v>0</v>
      </c>
      <c r="I809">
        <v>0</v>
      </c>
      <c r="J809">
        <v>14.28</v>
      </c>
      <c r="K809">
        <v>2</v>
      </c>
      <c r="L809" t="str">
        <f>CONCATENATE(T_BATTINGDATA[[#This Row],[Match]],T_BATTINGDATA[[#This Row],[Team]],T_BATTINGDATA[[#This Row],[Bat Number]])</f>
        <v>38Afghanistan2</v>
      </c>
      <c r="M809" t="str">
        <f>IFERROR(IF(AND(T_BATTINGDATA[[#This Row],[Team]]=I_TEAM,IFERROR(IF(MATCH(T_BATTINGDATA[[#This Row],[BATSMAN NAME]],$O$5:O808,0)&gt;0,0),1)),1,0),"")</f>
        <v/>
      </c>
      <c r="N809" t="e">
        <f>IF(T_BATTINGDATA[[#This Row],[Team]]=I_TEAM,T_BATTINGDATA[[#This Row],[R]],0)</f>
        <v>#REF!</v>
      </c>
      <c r="O809" t="str">
        <f>LEFT(T_BATTINGDATA[[#This Row],[Batsman]],IFERROR(FIND("*",T_BATTINGDATA[[#This Row],[Batsman]])-1,IFERROR(FIND("†",T_BATTINGDATA[[#This Row],[Batsman]])-1,LEN(T_BATTINGDATA[[#This Row],[Batsman]]))))</f>
        <v>Nawroz Mangal</v>
      </c>
      <c r="P809">
        <f ca="1">IFERROR(IF(MATCH(T_BATTINGDATA[[#This Row],[BATSMAN NAME]],OFFSET(O810,0,0,BATROWS-ROW(O809)-ROW(T_BATTINGDATA[[#Headers],[BATSMAN NAME]])),0)&gt;0,0,SUMIF($O$6:O809,T_BATTINGDATA[[#This Row],[BATSMAN NAME]],$E$6:E809)),SUMIF($O$6:O809,T_BATTINGDATA[[#This Row],[BATSMAN NAME]],$E$6:E809))</f>
        <v>108</v>
      </c>
    </row>
    <row r="810" spans="1:16" x14ac:dyDescent="0.3">
      <c r="A810">
        <v>38</v>
      </c>
      <c r="B810" t="s">
        <v>185</v>
      </c>
      <c r="C810" t="s">
        <v>476</v>
      </c>
      <c r="D810" t="s">
        <v>799</v>
      </c>
      <c r="E810">
        <v>6</v>
      </c>
      <c r="F810">
        <v>21</v>
      </c>
      <c r="G810">
        <v>14</v>
      </c>
      <c r="H810">
        <v>0</v>
      </c>
      <c r="I810">
        <v>0</v>
      </c>
      <c r="J810">
        <v>42.85</v>
      </c>
      <c r="K810">
        <v>3</v>
      </c>
      <c r="L810" t="str">
        <f>CONCATENATE(T_BATTINGDATA[[#This Row],[Match]],T_BATTINGDATA[[#This Row],[Team]],T_BATTINGDATA[[#This Row],[Bat Number]])</f>
        <v>38Afghanistan3</v>
      </c>
      <c r="M810" t="str">
        <f>IFERROR(IF(AND(T_BATTINGDATA[[#This Row],[Team]]=I_TEAM,IFERROR(IF(MATCH(T_BATTINGDATA[[#This Row],[BATSMAN NAME]],$O$5:O809,0)&gt;0,0),1)),1,0),"")</f>
        <v/>
      </c>
      <c r="N810" t="e">
        <f>IF(T_BATTINGDATA[[#This Row],[Team]]=I_TEAM,T_BATTINGDATA[[#This Row],[R]],0)</f>
        <v>#REF!</v>
      </c>
      <c r="O810" t="str">
        <f>LEFT(T_BATTINGDATA[[#This Row],[Batsman]],IFERROR(FIND("*",T_BATTINGDATA[[#This Row],[Batsman]])-1,IFERROR(FIND("†",T_BATTINGDATA[[#This Row],[Batsman]])-1,LEN(T_BATTINGDATA[[#This Row],[Batsman]]))))</f>
        <v>Afsar Zazai</v>
      </c>
      <c r="P810">
        <f ca="1">IFERROR(IF(MATCH(T_BATTINGDATA[[#This Row],[BATSMAN NAME]],OFFSET(O811,0,0,BATROWS-ROW(O810)-ROW(T_BATTINGDATA[[#Headers],[BATSMAN NAME]])),0)&gt;0,0,SUMIF($O$6:O810,T_BATTINGDATA[[#This Row],[BATSMAN NAME]],$E$6:E810)),SUMIF($O$6:O810,T_BATTINGDATA[[#This Row],[BATSMAN NAME]],$E$6:E810))</f>
        <v>36</v>
      </c>
    </row>
    <row r="811" spans="1:16" x14ac:dyDescent="0.3">
      <c r="A811">
        <v>38</v>
      </c>
      <c r="B811" t="s">
        <v>185</v>
      </c>
      <c r="C811" t="s">
        <v>848</v>
      </c>
      <c r="D811" t="s">
        <v>849</v>
      </c>
      <c r="E811">
        <v>17</v>
      </c>
      <c r="F811">
        <v>75</v>
      </c>
      <c r="G811">
        <v>52</v>
      </c>
      <c r="H811">
        <v>2</v>
      </c>
      <c r="I811">
        <v>0</v>
      </c>
      <c r="J811">
        <v>32.69</v>
      </c>
      <c r="K811">
        <v>4</v>
      </c>
      <c r="L811" t="str">
        <f>CONCATENATE(T_BATTINGDATA[[#This Row],[Match]],T_BATTINGDATA[[#This Row],[Team]],T_BATTINGDATA[[#This Row],[Bat Number]])</f>
        <v>38Afghanistan4</v>
      </c>
      <c r="M811" t="str">
        <f>IFERROR(IF(AND(T_BATTINGDATA[[#This Row],[Team]]=I_TEAM,IFERROR(IF(MATCH(T_BATTINGDATA[[#This Row],[BATSMAN NAME]],$O$5:O810,0)&gt;0,0),1)),1,0),"")</f>
        <v/>
      </c>
      <c r="N811" t="e">
        <f>IF(T_BATTINGDATA[[#This Row],[Team]]=I_TEAM,T_BATTINGDATA[[#This Row],[R]],0)</f>
        <v>#REF!</v>
      </c>
      <c r="O811" t="str">
        <f>LEFT(T_BATTINGDATA[[#This Row],[Batsman]],IFERROR(FIND("*",T_BATTINGDATA[[#This Row],[Batsman]])-1,IFERROR(FIND("†",T_BATTINGDATA[[#This Row],[Batsman]])-1,LEN(T_BATTINGDATA[[#This Row],[Batsman]]))))</f>
        <v>Nasir Jamal</v>
      </c>
      <c r="P811">
        <f ca="1">IFERROR(IF(MATCH(T_BATTINGDATA[[#This Row],[BATSMAN NAME]],OFFSET(O812,0,0,BATROWS-ROW(O811)-ROW(T_BATTINGDATA[[#Headers],[BATSMAN NAME]])),0)&gt;0,0,SUMIF($O$6:O811,T_BATTINGDATA[[#This Row],[BATSMAN NAME]],$E$6:E811)),SUMIF($O$6:O811,T_BATTINGDATA[[#This Row],[BATSMAN NAME]],$E$6:E811))</f>
        <v>17</v>
      </c>
    </row>
    <row r="812" spans="1:16" x14ac:dyDescent="0.3">
      <c r="A812">
        <v>38</v>
      </c>
      <c r="B812" t="s">
        <v>185</v>
      </c>
      <c r="C812" t="s">
        <v>401</v>
      </c>
      <c r="D812" t="s">
        <v>803</v>
      </c>
      <c r="E812">
        <v>7</v>
      </c>
      <c r="F812">
        <v>16</v>
      </c>
      <c r="G812">
        <v>11</v>
      </c>
      <c r="H812">
        <v>1</v>
      </c>
      <c r="I812">
        <v>0</v>
      </c>
      <c r="J812">
        <v>63.63</v>
      </c>
      <c r="K812">
        <v>5</v>
      </c>
      <c r="L812" t="str">
        <f>CONCATENATE(T_BATTINGDATA[[#This Row],[Match]],T_BATTINGDATA[[#This Row],[Team]],T_BATTINGDATA[[#This Row],[Bat Number]])</f>
        <v>38Afghanistan5</v>
      </c>
      <c r="M812" t="str">
        <f>IFERROR(IF(AND(T_BATTINGDATA[[#This Row],[Team]]=I_TEAM,IFERROR(IF(MATCH(T_BATTINGDATA[[#This Row],[BATSMAN NAME]],$O$5:O811,0)&gt;0,0),1)),1,0),"")</f>
        <v/>
      </c>
      <c r="N812" t="e">
        <f>IF(T_BATTINGDATA[[#This Row],[Team]]=I_TEAM,T_BATTINGDATA[[#This Row],[R]],0)</f>
        <v>#REF!</v>
      </c>
      <c r="O812" t="str">
        <f>LEFT(T_BATTINGDATA[[#This Row],[Batsman]],IFERROR(FIND("*",T_BATTINGDATA[[#This Row],[Batsman]])-1,IFERROR(FIND("†",T_BATTINGDATA[[#This Row],[Batsman]])-1,LEN(T_BATTINGDATA[[#This Row],[Batsman]]))))</f>
        <v>Samiullah Shenwari</v>
      </c>
      <c r="P812">
        <f ca="1">IFERROR(IF(MATCH(T_BATTINGDATA[[#This Row],[BATSMAN NAME]],OFFSET(O813,0,0,BATROWS-ROW(O812)-ROW(T_BATTINGDATA[[#Headers],[BATSMAN NAME]])),0)&gt;0,0,SUMIF($O$6:O812,T_BATTINGDATA[[#This Row],[BATSMAN NAME]],$E$6:E812)),SUMIF($O$6:O812,T_BATTINGDATA[[#This Row],[BATSMAN NAME]],$E$6:E812))</f>
        <v>254</v>
      </c>
    </row>
    <row r="813" spans="1:16" x14ac:dyDescent="0.3">
      <c r="A813">
        <v>38</v>
      </c>
      <c r="B813" t="s">
        <v>185</v>
      </c>
      <c r="C813" t="s">
        <v>850</v>
      </c>
      <c r="D813" t="s">
        <v>851</v>
      </c>
      <c r="E813">
        <v>30</v>
      </c>
      <c r="F813">
        <v>73</v>
      </c>
      <c r="G813">
        <v>64</v>
      </c>
      <c r="H813">
        <v>1</v>
      </c>
      <c r="I813">
        <v>0</v>
      </c>
      <c r="J813">
        <v>46.87</v>
      </c>
      <c r="K813">
        <v>6</v>
      </c>
      <c r="L813" t="str">
        <f>CONCATENATE(T_BATTINGDATA[[#This Row],[Match]],T_BATTINGDATA[[#This Row],[Team]],T_BATTINGDATA[[#This Row],[Bat Number]])</f>
        <v>38Afghanistan6</v>
      </c>
      <c r="M813" t="str">
        <f>IFERROR(IF(AND(T_BATTINGDATA[[#This Row],[Team]]=I_TEAM,IFERROR(IF(MATCH(T_BATTINGDATA[[#This Row],[BATSMAN NAME]],$O$5:O812,0)&gt;0,0),1)),1,0),"")</f>
        <v/>
      </c>
      <c r="N813" t="e">
        <f>IF(T_BATTINGDATA[[#This Row],[Team]]=I_TEAM,T_BATTINGDATA[[#This Row],[R]],0)</f>
        <v>#REF!</v>
      </c>
      <c r="O813" t="str">
        <f>LEFT(T_BATTINGDATA[[#This Row],[Batsman]],IFERROR(FIND("*",T_BATTINGDATA[[#This Row],[Batsman]])-1,IFERROR(FIND("†",T_BATTINGDATA[[#This Row],[Batsman]])-1,LEN(T_BATTINGDATA[[#This Row],[Batsman]]))))</f>
        <v>Shafiqullah</v>
      </c>
      <c r="P813">
        <f ca="1">IFERROR(IF(MATCH(T_BATTINGDATA[[#This Row],[BATSMAN NAME]],OFFSET(O814,0,0,BATROWS-ROW(O813)-ROW(T_BATTINGDATA[[#Headers],[BATSMAN NAME]])),0)&gt;0,0,SUMIF($O$6:O813,T_BATTINGDATA[[#This Row],[BATSMAN NAME]],$E$6:E813)),SUMIF($O$6:O813,T_BATTINGDATA[[#This Row],[BATSMAN NAME]],$E$6:E813))</f>
        <v>30</v>
      </c>
    </row>
    <row r="814" spans="1:16" x14ac:dyDescent="0.3">
      <c r="A814">
        <v>38</v>
      </c>
      <c r="B814" t="s">
        <v>185</v>
      </c>
      <c r="C814" t="s">
        <v>483</v>
      </c>
      <c r="D814" t="s">
        <v>852</v>
      </c>
      <c r="E814">
        <v>16</v>
      </c>
      <c r="F814">
        <v>19</v>
      </c>
      <c r="G814">
        <v>17</v>
      </c>
      <c r="H814">
        <v>1</v>
      </c>
      <c r="I814">
        <v>1</v>
      </c>
      <c r="J814">
        <v>94.11</v>
      </c>
      <c r="K814">
        <v>7</v>
      </c>
      <c r="L814" t="str">
        <f>CONCATENATE(T_BATTINGDATA[[#This Row],[Match]],T_BATTINGDATA[[#This Row],[Team]],T_BATTINGDATA[[#This Row],[Bat Number]])</f>
        <v>38Afghanistan7</v>
      </c>
      <c r="M814" t="str">
        <f>IFERROR(IF(AND(T_BATTINGDATA[[#This Row],[Team]]=I_TEAM,IFERROR(IF(MATCH(T_BATTINGDATA[[#This Row],[BATSMAN NAME]],$O$5:O813,0)&gt;0,0),1)),1,0),"")</f>
        <v/>
      </c>
      <c r="N814" t="e">
        <f>IF(T_BATTINGDATA[[#This Row],[Team]]=I_TEAM,T_BATTINGDATA[[#This Row],[R]],0)</f>
        <v>#REF!</v>
      </c>
      <c r="O814" t="str">
        <f>LEFT(T_BATTINGDATA[[#This Row],[Batsman]],IFERROR(FIND("*",T_BATTINGDATA[[#This Row],[Batsman]])-1,IFERROR(FIND("†",T_BATTINGDATA[[#This Row],[Batsman]])-1,LEN(T_BATTINGDATA[[#This Row],[Batsman]]))))</f>
        <v>Mohammad Nabi</v>
      </c>
      <c r="P814">
        <f ca="1">IFERROR(IF(MATCH(T_BATTINGDATA[[#This Row],[BATSMAN NAME]],OFFSET(O815,0,0,BATROWS-ROW(O814)-ROW(T_BATTINGDATA[[#Headers],[BATSMAN NAME]])),0)&gt;0,0,SUMIF($O$6:O814,T_BATTINGDATA[[#This Row],[BATSMAN NAME]],$E$6:E814)),SUMIF($O$6:O814,T_BATTINGDATA[[#This Row],[BATSMAN NAME]],$E$6:E814))</f>
        <v>90</v>
      </c>
    </row>
    <row r="815" spans="1:16" x14ac:dyDescent="0.3">
      <c r="A815">
        <v>38</v>
      </c>
      <c r="B815" t="s">
        <v>185</v>
      </c>
      <c r="C815" t="s">
        <v>485</v>
      </c>
      <c r="D815" t="s">
        <v>167</v>
      </c>
      <c r="E815">
        <v>12</v>
      </c>
      <c r="F815">
        <v>20</v>
      </c>
      <c r="G815">
        <v>15</v>
      </c>
      <c r="H815">
        <v>2</v>
      </c>
      <c r="I815">
        <v>0</v>
      </c>
      <c r="J815">
        <v>80</v>
      </c>
      <c r="K815">
        <v>8</v>
      </c>
      <c r="L815" t="str">
        <f>CONCATENATE(T_BATTINGDATA[[#This Row],[Match]],T_BATTINGDATA[[#This Row],[Team]],T_BATTINGDATA[[#This Row],[Bat Number]])</f>
        <v>38Afghanistan8</v>
      </c>
      <c r="M815" t="str">
        <f>IFERROR(IF(AND(T_BATTINGDATA[[#This Row],[Team]]=I_TEAM,IFERROR(IF(MATCH(T_BATTINGDATA[[#This Row],[BATSMAN NAME]],$O$5:O814,0)&gt;0,0),1)),1,0),"")</f>
        <v/>
      </c>
      <c r="N815" t="e">
        <f>IF(T_BATTINGDATA[[#This Row],[Team]]=I_TEAM,T_BATTINGDATA[[#This Row],[R]],0)</f>
        <v>#REF!</v>
      </c>
      <c r="O815" t="str">
        <f>LEFT(T_BATTINGDATA[[#This Row],[Batsman]],IFERROR(FIND("*",T_BATTINGDATA[[#This Row],[Batsman]])-1,IFERROR(FIND("†",T_BATTINGDATA[[#This Row],[Batsman]])-1,LEN(T_BATTINGDATA[[#This Row],[Batsman]]))))</f>
        <v>Najibullah Zadran</v>
      </c>
      <c r="P815">
        <f ca="1">IFERROR(IF(MATCH(T_BATTINGDATA[[#This Row],[BATSMAN NAME]],OFFSET(O816,0,0,BATROWS-ROW(O815)-ROW(T_BATTINGDATA[[#Headers],[BATSMAN NAME]])),0)&gt;0,0,SUMIF($O$6:O815,T_BATTINGDATA[[#This Row],[BATSMAN NAME]],$E$6:E815)),SUMIF($O$6:O815,T_BATTINGDATA[[#This Row],[BATSMAN NAME]],$E$6:E815))</f>
        <v>123</v>
      </c>
    </row>
    <row r="816" spans="1:16" x14ac:dyDescent="0.3">
      <c r="A816">
        <v>38</v>
      </c>
      <c r="B816" t="s">
        <v>185</v>
      </c>
      <c r="C816" t="s">
        <v>389</v>
      </c>
      <c r="D816" t="s">
        <v>167</v>
      </c>
      <c r="E816">
        <v>0</v>
      </c>
      <c r="F816">
        <v>8</v>
      </c>
      <c r="G816">
        <v>2</v>
      </c>
      <c r="H816">
        <v>0</v>
      </c>
      <c r="I816">
        <v>0</v>
      </c>
      <c r="J816">
        <v>0</v>
      </c>
      <c r="K816">
        <v>9</v>
      </c>
      <c r="L816" t="str">
        <f>CONCATENATE(T_BATTINGDATA[[#This Row],[Match]],T_BATTINGDATA[[#This Row],[Team]],T_BATTINGDATA[[#This Row],[Bat Number]])</f>
        <v>38Afghanistan9</v>
      </c>
      <c r="M816" t="str">
        <f>IFERROR(IF(AND(T_BATTINGDATA[[#This Row],[Team]]=I_TEAM,IFERROR(IF(MATCH(T_BATTINGDATA[[#This Row],[BATSMAN NAME]],$O$5:O815,0)&gt;0,0),1)),1,0),"")</f>
        <v/>
      </c>
      <c r="N816" t="e">
        <f>IF(T_BATTINGDATA[[#This Row],[Team]]=I_TEAM,T_BATTINGDATA[[#This Row],[R]],0)</f>
        <v>#REF!</v>
      </c>
      <c r="O816" t="str">
        <f>LEFT(T_BATTINGDATA[[#This Row],[Batsman]],IFERROR(FIND("*",T_BATTINGDATA[[#This Row],[Batsman]])-1,IFERROR(FIND("†",T_BATTINGDATA[[#This Row],[Batsman]])-1,LEN(T_BATTINGDATA[[#This Row],[Batsman]]))))</f>
        <v>Hamid Hassan</v>
      </c>
      <c r="P816">
        <f ca="1">IFERROR(IF(MATCH(T_BATTINGDATA[[#This Row],[BATSMAN NAME]],OFFSET(O817,0,0,BATROWS-ROW(O816)-ROW(T_BATTINGDATA[[#Headers],[BATSMAN NAME]])),0)&gt;0,0,SUMIF($O$6:O816,T_BATTINGDATA[[#This Row],[BATSMAN NAME]],$E$6:E816)),SUMIF($O$6:O816,T_BATTINGDATA[[#This Row],[BATSMAN NAME]],$E$6:E816))</f>
        <v>38</v>
      </c>
    </row>
    <row r="817" spans="1:16" x14ac:dyDescent="0.3">
      <c r="A817">
        <v>38</v>
      </c>
      <c r="B817" t="s">
        <v>154</v>
      </c>
      <c r="C817" t="s">
        <v>804</v>
      </c>
      <c r="D817" t="s">
        <v>853</v>
      </c>
      <c r="E817">
        <v>37</v>
      </c>
      <c r="F817">
        <v>58</v>
      </c>
      <c r="G817">
        <v>33</v>
      </c>
      <c r="H817">
        <v>3</v>
      </c>
      <c r="I817">
        <v>2</v>
      </c>
      <c r="J817">
        <v>112.12</v>
      </c>
      <c r="K817">
        <v>1</v>
      </c>
      <c r="L817" t="str">
        <f>CONCATENATE(T_BATTINGDATA[[#This Row],[Match]],T_BATTINGDATA[[#This Row],[Team]],T_BATTINGDATA[[#This Row],[Bat Number]])</f>
        <v>38England1</v>
      </c>
      <c r="M817" t="str">
        <f>IFERROR(IF(AND(T_BATTINGDATA[[#This Row],[Team]]=I_TEAM,IFERROR(IF(MATCH(T_BATTINGDATA[[#This Row],[BATSMAN NAME]],$O$5:O816,0)&gt;0,0),1)),1,0),"")</f>
        <v/>
      </c>
      <c r="N817" t="e">
        <f>IF(T_BATTINGDATA[[#This Row],[Team]]=I_TEAM,T_BATTINGDATA[[#This Row],[R]],0)</f>
        <v>#REF!</v>
      </c>
      <c r="O817" t="str">
        <f>LEFT(T_BATTINGDATA[[#This Row],[Batsman]],IFERROR(FIND("*",T_BATTINGDATA[[#This Row],[Batsman]])-1,IFERROR(FIND("†",T_BATTINGDATA[[#This Row],[Batsman]])-1,LEN(T_BATTINGDATA[[#This Row],[Batsman]]))))</f>
        <v>AD Hales</v>
      </c>
      <c r="P817">
        <f ca="1">IFERROR(IF(MATCH(T_BATTINGDATA[[#This Row],[BATSMAN NAME]],OFFSET(O818,0,0,BATROWS-ROW(O817)-ROW(T_BATTINGDATA[[#Headers],[BATSMAN NAME]])),0)&gt;0,0,SUMIF($O$6:O817,T_BATTINGDATA[[#This Row],[BATSMAN NAME]],$E$6:E817)),SUMIF($O$6:O817,T_BATTINGDATA[[#This Row],[BATSMAN NAME]],$E$6:E817))</f>
        <v>64</v>
      </c>
    </row>
    <row r="818" spans="1:16" x14ac:dyDescent="0.3">
      <c r="A818">
        <v>38</v>
      </c>
      <c r="B818" t="s">
        <v>154</v>
      </c>
      <c r="C818" t="s">
        <v>399</v>
      </c>
      <c r="D818" t="s">
        <v>167</v>
      </c>
      <c r="E818">
        <v>52</v>
      </c>
      <c r="F818">
        <v>81</v>
      </c>
      <c r="G818">
        <v>56</v>
      </c>
      <c r="H818">
        <v>6</v>
      </c>
      <c r="I818">
        <v>0</v>
      </c>
      <c r="J818">
        <v>92.85</v>
      </c>
      <c r="K818">
        <v>2</v>
      </c>
      <c r="L818" t="str">
        <f>CONCATENATE(T_BATTINGDATA[[#This Row],[Match]],T_BATTINGDATA[[#This Row],[Team]],T_BATTINGDATA[[#This Row],[Bat Number]])</f>
        <v>38England2</v>
      </c>
      <c r="M818" t="str">
        <f>IFERROR(IF(AND(T_BATTINGDATA[[#This Row],[Team]]=I_TEAM,IFERROR(IF(MATCH(T_BATTINGDATA[[#This Row],[BATSMAN NAME]],$O$5:O817,0)&gt;0,0),1)),1,0),"")</f>
        <v/>
      </c>
      <c r="N818" t="e">
        <f>IF(T_BATTINGDATA[[#This Row],[Team]]=I_TEAM,T_BATTINGDATA[[#This Row],[R]],0)</f>
        <v>#REF!</v>
      </c>
      <c r="O818" t="str">
        <f>LEFT(T_BATTINGDATA[[#This Row],[Batsman]],IFERROR(FIND("*",T_BATTINGDATA[[#This Row],[Batsman]])-1,IFERROR(FIND("†",T_BATTINGDATA[[#This Row],[Batsman]])-1,LEN(T_BATTINGDATA[[#This Row],[Batsman]]))))</f>
        <v>IR Bell</v>
      </c>
      <c r="P818">
        <f ca="1">IFERROR(IF(MATCH(T_BATTINGDATA[[#This Row],[BATSMAN NAME]],OFFSET(O819,0,0,BATROWS-ROW(O818)-ROW(T_BATTINGDATA[[#Headers],[BATSMAN NAME]])),0)&gt;0,0,SUMIF($O$6:O818,T_BATTINGDATA[[#This Row],[BATSMAN NAME]],$E$6:E818)),SUMIF($O$6:O818,T_BATTINGDATA[[#This Row],[BATSMAN NAME]],$E$6:E818))</f>
        <v>262</v>
      </c>
    </row>
    <row r="819" spans="1:16" x14ac:dyDescent="0.3">
      <c r="A819">
        <v>38</v>
      </c>
      <c r="B819" t="s">
        <v>154</v>
      </c>
      <c r="C819" t="s">
        <v>406</v>
      </c>
      <c r="D819" t="s">
        <v>167</v>
      </c>
      <c r="E819">
        <v>8</v>
      </c>
      <c r="F819">
        <v>22</v>
      </c>
      <c r="G819">
        <v>20</v>
      </c>
      <c r="H819">
        <v>0</v>
      </c>
      <c r="I819">
        <v>0</v>
      </c>
      <c r="J819">
        <v>40</v>
      </c>
      <c r="K819">
        <v>3</v>
      </c>
      <c r="L819" t="str">
        <f>CONCATENATE(T_BATTINGDATA[[#This Row],[Match]],T_BATTINGDATA[[#This Row],[Team]],T_BATTINGDATA[[#This Row],[Bat Number]])</f>
        <v>38England3</v>
      </c>
      <c r="M819" t="str">
        <f>IFERROR(IF(AND(T_BATTINGDATA[[#This Row],[Team]]=I_TEAM,IFERROR(IF(MATCH(T_BATTINGDATA[[#This Row],[BATSMAN NAME]],$O$5:O818,0)&gt;0,0),1)),1,0),"")</f>
        <v/>
      </c>
      <c r="N819" t="e">
        <f>IF(T_BATTINGDATA[[#This Row],[Team]]=I_TEAM,T_BATTINGDATA[[#This Row],[R]],0)</f>
        <v>#REF!</v>
      </c>
      <c r="O819" t="str">
        <f>LEFT(T_BATTINGDATA[[#This Row],[Batsman]],IFERROR(FIND("*",T_BATTINGDATA[[#This Row],[Batsman]])-1,IFERROR(FIND("†",T_BATTINGDATA[[#This Row],[Batsman]])-1,LEN(T_BATTINGDATA[[#This Row],[Batsman]]))))</f>
        <v>JWA Taylor</v>
      </c>
      <c r="P819">
        <f ca="1">IFERROR(IF(MATCH(T_BATTINGDATA[[#This Row],[BATSMAN NAME]],OFFSET(O820,0,0,BATROWS-ROW(O819)-ROW(T_BATTINGDATA[[#Headers],[BATSMAN NAME]])),0)&gt;0,0,SUMIF($O$6:O819,T_BATTINGDATA[[#This Row],[BATSMAN NAME]],$E$6:E819)),SUMIF($O$6:O819,T_BATTINGDATA[[#This Row],[BATSMAN NAME]],$E$6:E819))</f>
        <v>149</v>
      </c>
    </row>
    <row r="820" spans="1:16" x14ac:dyDescent="0.3">
      <c r="A820">
        <v>40</v>
      </c>
      <c r="B820" t="s">
        <v>176</v>
      </c>
      <c r="C820" t="s">
        <v>442</v>
      </c>
      <c r="D820" t="s">
        <v>854</v>
      </c>
      <c r="E820">
        <v>0</v>
      </c>
      <c r="F820">
        <v>11</v>
      </c>
      <c r="G820">
        <v>11</v>
      </c>
      <c r="H820">
        <v>0</v>
      </c>
      <c r="I820">
        <v>0</v>
      </c>
      <c r="J820">
        <v>0</v>
      </c>
      <c r="K820">
        <v>1</v>
      </c>
      <c r="L820" t="str">
        <f>CONCATENATE(T_BATTINGDATA[[#This Row],[Match]],T_BATTINGDATA[[#This Row],[Team]],T_BATTINGDATA[[#This Row],[Bat Number]])</f>
        <v>40Scotland1</v>
      </c>
      <c r="M820" t="str">
        <f>IFERROR(IF(AND(T_BATTINGDATA[[#This Row],[Team]]=I_TEAM,IFERROR(IF(MATCH(T_BATTINGDATA[[#This Row],[BATSMAN NAME]],$O$5:O819,0)&gt;0,0),1)),1,0),"")</f>
        <v/>
      </c>
      <c r="N820" t="e">
        <f>IF(T_BATTINGDATA[[#This Row],[Team]]=I_TEAM,T_BATTINGDATA[[#This Row],[R]],0)</f>
        <v>#REF!</v>
      </c>
      <c r="O820" t="str">
        <f>LEFT(T_BATTINGDATA[[#This Row],[Batsman]],IFERROR(FIND("*",T_BATTINGDATA[[#This Row],[Batsman]])-1,IFERROR(FIND("†",T_BATTINGDATA[[#This Row],[Batsman]])-1,LEN(T_BATTINGDATA[[#This Row],[Batsman]]))))</f>
        <v>KJ Coetzer</v>
      </c>
      <c r="P820">
        <f ca="1">IFERROR(IF(MATCH(T_BATTINGDATA[[#This Row],[BATSMAN NAME]],OFFSET(O821,0,0,BATROWS-ROW(O820)-ROW(T_BATTINGDATA[[#Headers],[BATSMAN NAME]])),0)&gt;0,0,SUMIF($O$6:O820,T_BATTINGDATA[[#This Row],[BATSMAN NAME]],$E$6:E820)),SUMIF($O$6:O820,T_BATTINGDATA[[#This Row],[BATSMAN NAME]],$E$6:E820))</f>
        <v>253</v>
      </c>
    </row>
    <row r="821" spans="1:16" x14ac:dyDescent="0.3">
      <c r="A821">
        <v>40</v>
      </c>
      <c r="B821" t="s">
        <v>176</v>
      </c>
      <c r="C821" t="s">
        <v>444</v>
      </c>
      <c r="D821" t="s">
        <v>855</v>
      </c>
      <c r="E821">
        <v>22</v>
      </c>
      <c r="F821">
        <v>31</v>
      </c>
      <c r="G821">
        <v>19</v>
      </c>
      <c r="H821">
        <v>5</v>
      </c>
      <c r="I821">
        <v>0</v>
      </c>
      <c r="J821">
        <v>115.78</v>
      </c>
      <c r="K821">
        <v>2</v>
      </c>
      <c r="L821" t="str">
        <f>CONCATENATE(T_BATTINGDATA[[#This Row],[Match]],T_BATTINGDATA[[#This Row],[Team]],T_BATTINGDATA[[#This Row],[Bat Number]])</f>
        <v>40Scotland2</v>
      </c>
      <c r="M821" t="str">
        <f>IFERROR(IF(AND(T_BATTINGDATA[[#This Row],[Team]]=I_TEAM,IFERROR(IF(MATCH(T_BATTINGDATA[[#This Row],[BATSMAN NAME]],$O$5:O820,0)&gt;0,0),1)),1,0),"")</f>
        <v/>
      </c>
      <c r="N821" t="e">
        <f>IF(T_BATTINGDATA[[#This Row],[Team]]=I_TEAM,T_BATTINGDATA[[#This Row],[R]],0)</f>
        <v>#REF!</v>
      </c>
      <c r="O821" t="str">
        <f>LEFT(T_BATTINGDATA[[#This Row],[Batsman]],IFERROR(FIND("*",T_BATTINGDATA[[#This Row],[Batsman]])-1,IFERROR(FIND("†",T_BATTINGDATA[[#This Row],[Batsman]])-1,LEN(T_BATTINGDATA[[#This Row],[Batsman]]))))</f>
        <v>CS MacLeod</v>
      </c>
      <c r="P821">
        <f ca="1">IFERROR(IF(MATCH(T_BATTINGDATA[[#This Row],[BATSMAN NAME]],OFFSET(O822,0,0,BATROWS-ROW(O821)-ROW(T_BATTINGDATA[[#Headers],[BATSMAN NAME]])),0)&gt;0,0,SUMIF($O$6:O821,T_BATTINGDATA[[#This Row],[BATSMAN NAME]],$E$6:E821)),SUMIF($O$6:O821,T_BATTINGDATA[[#This Row],[BATSMAN NAME]],$E$6:E821))</f>
        <v>48</v>
      </c>
    </row>
    <row r="822" spans="1:16" x14ac:dyDescent="0.3">
      <c r="A822">
        <v>40</v>
      </c>
      <c r="B822" t="s">
        <v>176</v>
      </c>
      <c r="C822" t="s">
        <v>447</v>
      </c>
      <c r="D822" t="s">
        <v>856</v>
      </c>
      <c r="E822">
        <v>40</v>
      </c>
      <c r="F822">
        <v>63</v>
      </c>
      <c r="G822">
        <v>35</v>
      </c>
      <c r="H822">
        <v>6</v>
      </c>
      <c r="I822">
        <v>0</v>
      </c>
      <c r="J822">
        <v>114.28</v>
      </c>
      <c r="K822">
        <v>3</v>
      </c>
      <c r="L822" t="str">
        <f>CONCATENATE(T_BATTINGDATA[[#This Row],[Match]],T_BATTINGDATA[[#This Row],[Team]],T_BATTINGDATA[[#This Row],[Bat Number]])</f>
        <v>40Scotland3</v>
      </c>
      <c r="M822" t="str">
        <f>IFERROR(IF(AND(T_BATTINGDATA[[#This Row],[Team]]=I_TEAM,IFERROR(IF(MATCH(T_BATTINGDATA[[#This Row],[BATSMAN NAME]],$O$5:O821,0)&gt;0,0),1)),1,0),"")</f>
        <v/>
      </c>
      <c r="N822" t="e">
        <f>IF(T_BATTINGDATA[[#This Row],[Team]]=I_TEAM,T_BATTINGDATA[[#This Row],[R]],0)</f>
        <v>#REF!</v>
      </c>
      <c r="O822" t="str">
        <f>LEFT(T_BATTINGDATA[[#This Row],[Batsman]],IFERROR(FIND("*",T_BATTINGDATA[[#This Row],[Batsman]])-1,IFERROR(FIND("†",T_BATTINGDATA[[#This Row],[Batsman]])-1,LEN(T_BATTINGDATA[[#This Row],[Batsman]]))))</f>
        <v>MW Machan</v>
      </c>
      <c r="P822">
        <f ca="1">IFERROR(IF(MATCH(T_BATTINGDATA[[#This Row],[BATSMAN NAME]],OFFSET(O823,0,0,BATROWS-ROW(O822)-ROW(T_BATTINGDATA[[#Headers],[BATSMAN NAME]])),0)&gt;0,0,SUMIF($O$6:O822,T_BATTINGDATA[[#This Row],[BATSMAN NAME]],$E$6:E822)),SUMIF($O$6:O822,T_BATTINGDATA[[#This Row],[BATSMAN NAME]],$E$6:E822))</f>
        <v>186</v>
      </c>
    </row>
    <row r="823" spans="1:16" x14ac:dyDescent="0.3">
      <c r="A823">
        <v>40</v>
      </c>
      <c r="B823" t="s">
        <v>176</v>
      </c>
      <c r="C823" t="s">
        <v>449</v>
      </c>
      <c r="D823" t="s">
        <v>857</v>
      </c>
      <c r="E823">
        <v>0</v>
      </c>
      <c r="F823">
        <v>2</v>
      </c>
      <c r="G823">
        <v>2</v>
      </c>
      <c r="H823">
        <v>0</v>
      </c>
      <c r="I823">
        <v>0</v>
      </c>
      <c r="J823">
        <v>0</v>
      </c>
      <c r="K823">
        <v>4</v>
      </c>
      <c r="L823" t="str">
        <f>CONCATENATE(T_BATTINGDATA[[#This Row],[Match]],T_BATTINGDATA[[#This Row],[Team]],T_BATTINGDATA[[#This Row],[Bat Number]])</f>
        <v>40Scotland4</v>
      </c>
      <c r="M823" t="str">
        <f>IFERROR(IF(AND(T_BATTINGDATA[[#This Row],[Team]]=I_TEAM,IFERROR(IF(MATCH(T_BATTINGDATA[[#This Row],[BATSMAN NAME]],$O$5:O822,0)&gt;0,0),1)),1,0),"")</f>
        <v/>
      </c>
      <c r="N823" t="e">
        <f>IF(T_BATTINGDATA[[#This Row],[Team]]=I_TEAM,T_BATTINGDATA[[#This Row],[R]],0)</f>
        <v>#REF!</v>
      </c>
      <c r="O823" t="str">
        <f>LEFT(T_BATTINGDATA[[#This Row],[Batsman]],IFERROR(FIND("*",T_BATTINGDATA[[#This Row],[Batsman]])-1,IFERROR(FIND("†",T_BATTINGDATA[[#This Row],[Batsman]])-1,LEN(T_BATTINGDATA[[#This Row],[Batsman]]))))</f>
        <v>PL Mommsen</v>
      </c>
      <c r="P823">
        <f ca="1">IFERROR(IF(MATCH(T_BATTINGDATA[[#This Row],[BATSMAN NAME]],OFFSET(O824,0,0,BATROWS-ROW(O823)-ROW(T_BATTINGDATA[[#Headers],[BATSMAN NAME]])),0)&gt;0,0,SUMIF($O$6:O823,T_BATTINGDATA[[#This Row],[BATSMAN NAME]],$E$6:E823)),SUMIF($O$6:O823,T_BATTINGDATA[[#This Row],[BATSMAN NAME]],$E$6:E823))</f>
        <v>148</v>
      </c>
    </row>
    <row r="824" spans="1:16" x14ac:dyDescent="0.3">
      <c r="A824">
        <v>40</v>
      </c>
      <c r="B824" t="s">
        <v>176</v>
      </c>
      <c r="C824" t="s">
        <v>551</v>
      </c>
      <c r="D824" t="s">
        <v>858</v>
      </c>
      <c r="E824">
        <v>0</v>
      </c>
      <c r="F824">
        <v>12</v>
      </c>
      <c r="G824">
        <v>7</v>
      </c>
      <c r="H824">
        <v>0</v>
      </c>
      <c r="I824">
        <v>0</v>
      </c>
      <c r="J824">
        <v>0</v>
      </c>
      <c r="K824">
        <v>5</v>
      </c>
      <c r="L824" t="str">
        <f>CONCATENATE(T_BATTINGDATA[[#This Row],[Match]],T_BATTINGDATA[[#This Row],[Team]],T_BATTINGDATA[[#This Row],[Bat Number]])</f>
        <v>40Scotland5</v>
      </c>
      <c r="M824" t="str">
        <f>IFERROR(IF(AND(T_BATTINGDATA[[#This Row],[Team]]=I_TEAM,IFERROR(IF(MATCH(T_BATTINGDATA[[#This Row],[BATSMAN NAME]],$O$5:O823,0)&gt;0,0),1)),1,0),"")</f>
        <v/>
      </c>
      <c r="N824" t="e">
        <f>IF(T_BATTINGDATA[[#This Row],[Team]]=I_TEAM,T_BATTINGDATA[[#This Row],[R]],0)</f>
        <v>#REF!</v>
      </c>
      <c r="O824" t="str">
        <f>LEFT(T_BATTINGDATA[[#This Row],[Batsman]],IFERROR(FIND("*",T_BATTINGDATA[[#This Row],[Batsman]])-1,IFERROR(FIND("†",T_BATTINGDATA[[#This Row],[Batsman]])-1,LEN(T_BATTINGDATA[[#This Row],[Batsman]]))))</f>
        <v>FRJ Coleman</v>
      </c>
      <c r="P824">
        <f ca="1">IFERROR(IF(MATCH(T_BATTINGDATA[[#This Row],[BATSMAN NAME]],OFFSET(O825,0,0,BATROWS-ROW(O824)-ROW(T_BATTINGDATA[[#Headers],[BATSMAN NAME]])),0)&gt;0,0,SUMIF($O$6:O824,T_BATTINGDATA[[#This Row],[BATSMAN NAME]],$E$6:E824)),SUMIF($O$6:O824,T_BATTINGDATA[[#This Row],[BATSMAN NAME]],$E$6:E824))</f>
        <v>77</v>
      </c>
    </row>
    <row r="825" spans="1:16" x14ac:dyDescent="0.3">
      <c r="A825">
        <v>40</v>
      </c>
      <c r="B825" t="s">
        <v>176</v>
      </c>
      <c r="C825" t="s">
        <v>452</v>
      </c>
      <c r="D825" t="s">
        <v>859</v>
      </c>
      <c r="E825">
        <v>1</v>
      </c>
      <c r="F825">
        <v>5</v>
      </c>
      <c r="G825">
        <v>6</v>
      </c>
      <c r="H825">
        <v>0</v>
      </c>
      <c r="I825">
        <v>0</v>
      </c>
      <c r="J825">
        <v>16.66</v>
      </c>
      <c r="K825">
        <v>6</v>
      </c>
      <c r="L825" t="str">
        <f>CONCATENATE(T_BATTINGDATA[[#This Row],[Match]],T_BATTINGDATA[[#This Row],[Team]],T_BATTINGDATA[[#This Row],[Bat Number]])</f>
        <v>40Scotland6</v>
      </c>
      <c r="M825" t="str">
        <f>IFERROR(IF(AND(T_BATTINGDATA[[#This Row],[Team]]=I_TEAM,IFERROR(IF(MATCH(T_BATTINGDATA[[#This Row],[BATSMAN NAME]],$O$5:O824,0)&gt;0,0),1)),1,0),"")</f>
        <v/>
      </c>
      <c r="N825" t="e">
        <f>IF(T_BATTINGDATA[[#This Row],[Team]]=I_TEAM,T_BATTINGDATA[[#This Row],[R]],0)</f>
        <v>#REF!</v>
      </c>
      <c r="O825" t="str">
        <f>LEFT(T_BATTINGDATA[[#This Row],[Batsman]],IFERROR(FIND("*",T_BATTINGDATA[[#This Row],[Batsman]])-1,IFERROR(FIND("†",T_BATTINGDATA[[#This Row],[Batsman]])-1,LEN(T_BATTINGDATA[[#This Row],[Batsman]]))))</f>
        <v>RD Berrington</v>
      </c>
      <c r="P825">
        <f ca="1">IFERROR(IF(MATCH(T_BATTINGDATA[[#This Row],[BATSMAN NAME]],OFFSET(O826,0,0,BATROWS-ROW(O825)-ROW(T_BATTINGDATA[[#Headers],[BATSMAN NAME]])),0)&gt;0,0,SUMIF($O$6:O825,T_BATTINGDATA[[#This Row],[BATSMAN NAME]],$E$6:E825)),SUMIF($O$6:O825,T_BATTINGDATA[[#This Row],[BATSMAN NAME]],$E$6:E825))</f>
        <v>139</v>
      </c>
    </row>
    <row r="826" spans="1:16" x14ac:dyDescent="0.3">
      <c r="A826">
        <v>40</v>
      </c>
      <c r="B826" t="s">
        <v>176</v>
      </c>
      <c r="C826" t="s">
        <v>453</v>
      </c>
      <c r="D826" t="s">
        <v>860</v>
      </c>
      <c r="E826">
        <v>9</v>
      </c>
      <c r="F826">
        <v>24</v>
      </c>
      <c r="G826">
        <v>20</v>
      </c>
      <c r="H826">
        <v>2</v>
      </c>
      <c r="I826">
        <v>0</v>
      </c>
      <c r="J826">
        <v>45</v>
      </c>
      <c r="K826">
        <v>7</v>
      </c>
      <c r="L826" t="str">
        <f>CONCATENATE(T_BATTINGDATA[[#This Row],[Match]],T_BATTINGDATA[[#This Row],[Team]],T_BATTINGDATA[[#This Row],[Bat Number]])</f>
        <v>40Scotland7</v>
      </c>
      <c r="M826" t="str">
        <f>IFERROR(IF(AND(T_BATTINGDATA[[#This Row],[Team]]=I_TEAM,IFERROR(IF(MATCH(T_BATTINGDATA[[#This Row],[BATSMAN NAME]],$O$5:O825,0)&gt;0,0),1)),1,0),"")</f>
        <v/>
      </c>
      <c r="N826" t="e">
        <f>IF(T_BATTINGDATA[[#This Row],[Team]]=I_TEAM,T_BATTINGDATA[[#This Row],[R]],0)</f>
        <v>#REF!</v>
      </c>
      <c r="O826" t="str">
        <f>LEFT(T_BATTINGDATA[[#This Row],[Batsman]],IFERROR(FIND("*",T_BATTINGDATA[[#This Row],[Batsman]])-1,IFERROR(FIND("†",T_BATTINGDATA[[#This Row],[Batsman]])-1,LEN(T_BATTINGDATA[[#This Row],[Batsman]]))))</f>
        <v>MH Cross</v>
      </c>
      <c r="P826">
        <f ca="1">IFERROR(IF(MATCH(T_BATTINGDATA[[#This Row],[BATSMAN NAME]],OFFSET(O827,0,0,BATROWS-ROW(O826)-ROW(T_BATTINGDATA[[#Headers],[BATSMAN NAME]])),0)&gt;0,0,SUMIF($O$6:O826,T_BATTINGDATA[[#This Row],[BATSMAN NAME]],$E$6:E826)),SUMIF($O$6:O826,T_BATTINGDATA[[#This Row],[BATSMAN NAME]],$E$6:E826))</f>
        <v>88</v>
      </c>
    </row>
    <row r="827" spans="1:16" x14ac:dyDescent="0.3">
      <c r="A827">
        <v>40</v>
      </c>
      <c r="B827" t="s">
        <v>176</v>
      </c>
      <c r="C827" t="s">
        <v>384</v>
      </c>
      <c r="D827" t="s">
        <v>410</v>
      </c>
      <c r="E827">
        <v>26</v>
      </c>
      <c r="F827">
        <v>36</v>
      </c>
      <c r="G827">
        <v>35</v>
      </c>
      <c r="H827">
        <v>4</v>
      </c>
      <c r="I827">
        <v>0</v>
      </c>
      <c r="J827">
        <v>74.28</v>
      </c>
      <c r="K827">
        <v>8</v>
      </c>
      <c r="L827" t="str">
        <f>CONCATENATE(T_BATTINGDATA[[#This Row],[Match]],T_BATTINGDATA[[#This Row],[Team]],T_BATTINGDATA[[#This Row],[Bat Number]])</f>
        <v>40Scotland8</v>
      </c>
      <c r="M827" t="str">
        <f>IFERROR(IF(AND(T_BATTINGDATA[[#This Row],[Team]]=I_TEAM,IFERROR(IF(MATCH(T_BATTINGDATA[[#This Row],[BATSMAN NAME]],$O$5:O826,0)&gt;0,0),1)),1,0),"")</f>
        <v/>
      </c>
      <c r="N827" t="e">
        <f>IF(T_BATTINGDATA[[#This Row],[Team]]=I_TEAM,T_BATTINGDATA[[#This Row],[R]],0)</f>
        <v>#REF!</v>
      </c>
      <c r="O827" t="str">
        <f>LEFT(T_BATTINGDATA[[#This Row],[Batsman]],IFERROR(FIND("*",T_BATTINGDATA[[#This Row],[Batsman]])-1,IFERROR(FIND("†",T_BATTINGDATA[[#This Row],[Batsman]])-1,LEN(T_BATTINGDATA[[#This Row],[Batsman]]))))</f>
        <v>JH Davey</v>
      </c>
      <c r="P827">
        <f ca="1">IFERROR(IF(MATCH(T_BATTINGDATA[[#This Row],[BATSMAN NAME]],OFFSET(O828,0,0,BATROWS-ROW(O827)-ROW(T_BATTINGDATA[[#Headers],[BATSMAN NAME]])),0)&gt;0,0,SUMIF($O$6:O827,T_BATTINGDATA[[#This Row],[BATSMAN NAME]],$E$6:E827)),SUMIF($O$6:O827,T_BATTINGDATA[[#This Row],[BATSMAN NAME]],$E$6:E827))</f>
        <v>55</v>
      </c>
    </row>
    <row r="828" spans="1:16" x14ac:dyDescent="0.3">
      <c r="A828">
        <v>40</v>
      </c>
      <c r="B828" t="s">
        <v>176</v>
      </c>
      <c r="C828" t="s">
        <v>382</v>
      </c>
      <c r="D828" t="s">
        <v>860</v>
      </c>
      <c r="E828">
        <v>0</v>
      </c>
      <c r="F828">
        <v>13</v>
      </c>
      <c r="G828">
        <v>6</v>
      </c>
      <c r="H828">
        <v>0</v>
      </c>
      <c r="I828">
        <v>0</v>
      </c>
      <c r="J828">
        <v>0</v>
      </c>
      <c r="K828">
        <v>9</v>
      </c>
      <c r="L828" t="str">
        <f>CONCATENATE(T_BATTINGDATA[[#This Row],[Match]],T_BATTINGDATA[[#This Row],[Team]],T_BATTINGDATA[[#This Row],[Bat Number]])</f>
        <v>40Scotland9</v>
      </c>
      <c r="M828" t="str">
        <f>IFERROR(IF(AND(T_BATTINGDATA[[#This Row],[Team]]=I_TEAM,IFERROR(IF(MATCH(T_BATTINGDATA[[#This Row],[BATSMAN NAME]],$O$5:O827,0)&gt;0,0),1)),1,0),"")</f>
        <v/>
      </c>
      <c r="N828" t="e">
        <f>IF(T_BATTINGDATA[[#This Row],[Team]]=I_TEAM,T_BATTINGDATA[[#This Row],[R]],0)</f>
        <v>#REF!</v>
      </c>
      <c r="O828" t="str">
        <f>LEFT(T_BATTINGDATA[[#This Row],[Batsman]],IFERROR(FIND("*",T_BATTINGDATA[[#This Row],[Batsman]])-1,IFERROR(FIND("†",T_BATTINGDATA[[#This Row],[Batsman]])-1,LEN(T_BATTINGDATA[[#This Row],[Batsman]]))))</f>
        <v>RML Taylor</v>
      </c>
      <c r="P828">
        <f ca="1">IFERROR(IF(MATCH(T_BATTINGDATA[[#This Row],[BATSMAN NAME]],OFFSET(O829,0,0,BATROWS-ROW(O828)-ROW(T_BATTINGDATA[[#Headers],[BATSMAN NAME]])),0)&gt;0,0,SUMIF($O$6:O828,T_BATTINGDATA[[#This Row],[BATSMAN NAME]],$E$6:E828)),SUMIF($O$6:O828,T_BATTINGDATA[[#This Row],[BATSMAN NAME]],$E$6:E828))</f>
        <v>7</v>
      </c>
    </row>
    <row r="829" spans="1:16" x14ac:dyDescent="0.3">
      <c r="A829">
        <v>40</v>
      </c>
      <c r="B829" t="s">
        <v>176</v>
      </c>
      <c r="C829" t="s">
        <v>675</v>
      </c>
      <c r="D829" t="s">
        <v>167</v>
      </c>
      <c r="E829">
        <v>23</v>
      </c>
      <c r="F829">
        <v>21</v>
      </c>
      <c r="G829">
        <v>11</v>
      </c>
      <c r="H829">
        <v>4</v>
      </c>
      <c r="I829">
        <v>0</v>
      </c>
      <c r="J829">
        <v>209.09</v>
      </c>
      <c r="K829">
        <v>10</v>
      </c>
      <c r="L829" t="str">
        <f>CONCATENATE(T_BATTINGDATA[[#This Row],[Match]],T_BATTINGDATA[[#This Row],[Team]],T_BATTINGDATA[[#This Row],[Bat Number]])</f>
        <v>40Scotland10</v>
      </c>
      <c r="M829" t="str">
        <f>IFERROR(IF(AND(T_BATTINGDATA[[#This Row],[Team]]=I_TEAM,IFERROR(IF(MATCH(T_BATTINGDATA[[#This Row],[BATSMAN NAME]],$O$5:O828,0)&gt;0,0),1)),1,0),"")</f>
        <v/>
      </c>
      <c r="N829" t="e">
        <f>IF(T_BATTINGDATA[[#This Row],[Team]]=I_TEAM,T_BATTINGDATA[[#This Row],[R]],0)</f>
        <v>#REF!</v>
      </c>
      <c r="O829" t="str">
        <f>LEFT(T_BATTINGDATA[[#This Row],[Batsman]],IFERROR(FIND("*",T_BATTINGDATA[[#This Row],[Batsman]])-1,IFERROR(FIND("†",T_BATTINGDATA[[#This Row],[Batsman]])-1,LEN(T_BATTINGDATA[[#This Row],[Batsman]]))))</f>
        <v>MA Leask</v>
      </c>
      <c r="P829">
        <f ca="1">IFERROR(IF(MATCH(T_BATTINGDATA[[#This Row],[BATSMAN NAME]],OFFSET(O830,0,0,BATROWS-ROW(O829)-ROW(T_BATTINGDATA[[#Headers],[BATSMAN NAME]])),0)&gt;0,0,SUMIF($O$6:O829,T_BATTINGDATA[[#This Row],[BATSMAN NAME]],$E$6:E829)),SUMIF($O$6:O829,T_BATTINGDATA[[#This Row],[BATSMAN NAME]],$E$6:E829))</f>
        <v>25</v>
      </c>
    </row>
    <row r="830" spans="1:16" x14ac:dyDescent="0.3">
      <c r="A830">
        <v>40</v>
      </c>
      <c r="B830" t="s">
        <v>176</v>
      </c>
      <c r="C830" t="s">
        <v>380</v>
      </c>
      <c r="D830" t="s">
        <v>410</v>
      </c>
      <c r="E830">
        <v>0</v>
      </c>
      <c r="F830">
        <v>2</v>
      </c>
      <c r="G830">
        <v>2</v>
      </c>
      <c r="H830">
        <v>0</v>
      </c>
      <c r="I830">
        <v>0</v>
      </c>
      <c r="J830">
        <v>0</v>
      </c>
      <c r="K830">
        <v>11</v>
      </c>
      <c r="L830" t="str">
        <f>CONCATENATE(T_BATTINGDATA[[#This Row],[Match]],T_BATTINGDATA[[#This Row],[Team]],T_BATTINGDATA[[#This Row],[Bat Number]])</f>
        <v>40Scotland11</v>
      </c>
      <c r="M830" t="str">
        <f>IFERROR(IF(AND(T_BATTINGDATA[[#This Row],[Team]]=I_TEAM,IFERROR(IF(MATCH(T_BATTINGDATA[[#This Row],[BATSMAN NAME]],$O$5:O829,0)&gt;0,0),1)),1,0),"")</f>
        <v/>
      </c>
      <c r="N830" t="e">
        <f>IF(T_BATTINGDATA[[#This Row],[Team]]=I_TEAM,T_BATTINGDATA[[#This Row],[R]],0)</f>
        <v>#REF!</v>
      </c>
      <c r="O830" t="str">
        <f>LEFT(T_BATTINGDATA[[#This Row],[Batsman]],IFERROR(FIND("*",T_BATTINGDATA[[#This Row],[Batsman]])-1,IFERROR(FIND("†",T_BATTINGDATA[[#This Row],[Batsman]])-1,LEN(T_BATTINGDATA[[#This Row],[Batsman]]))))</f>
        <v>I Wardlaw</v>
      </c>
      <c r="P830">
        <f ca="1">IFERROR(IF(MATCH(T_BATTINGDATA[[#This Row],[BATSMAN NAME]],OFFSET(O831,0,0,BATROWS-ROW(O830)-ROW(T_BATTINGDATA[[#Headers],[BATSMAN NAME]])),0)&gt;0,0,SUMIF($O$6:O830,T_BATTINGDATA[[#This Row],[BATSMAN NAME]],$E$6:E830)),SUMIF($O$6:O830,T_BATTINGDATA[[#This Row],[BATSMAN NAME]],$E$6:E830))</f>
        <v>1</v>
      </c>
    </row>
    <row r="831" spans="1:16" x14ac:dyDescent="0.3">
      <c r="A831">
        <v>40</v>
      </c>
      <c r="B831" t="s">
        <v>149</v>
      </c>
      <c r="C831" t="s">
        <v>580</v>
      </c>
      <c r="D831" t="s">
        <v>861</v>
      </c>
      <c r="E831">
        <v>47</v>
      </c>
      <c r="F831">
        <v>55</v>
      </c>
      <c r="G831">
        <v>47</v>
      </c>
      <c r="H831">
        <v>7</v>
      </c>
      <c r="I831">
        <v>2</v>
      </c>
      <c r="J831">
        <v>100</v>
      </c>
      <c r="K831">
        <v>1</v>
      </c>
      <c r="L831" t="str">
        <f>CONCATENATE(T_BATTINGDATA[[#This Row],[Match]],T_BATTINGDATA[[#This Row],[Team]],T_BATTINGDATA[[#This Row],[Bat Number]])</f>
        <v>40Australia1</v>
      </c>
      <c r="M831" t="str">
        <f>IFERROR(IF(AND(T_BATTINGDATA[[#This Row],[Team]]=I_TEAM,IFERROR(IF(MATCH(T_BATTINGDATA[[#This Row],[BATSMAN NAME]],$O$5:O830,0)&gt;0,0),1)),1,0),"")</f>
        <v/>
      </c>
      <c r="N831" t="e">
        <f>IF(T_BATTINGDATA[[#This Row],[Team]]=I_TEAM,T_BATTINGDATA[[#This Row],[R]],0)</f>
        <v>#REF!</v>
      </c>
      <c r="O831" t="str">
        <f>LEFT(T_BATTINGDATA[[#This Row],[Batsman]],IFERROR(FIND("*",T_BATTINGDATA[[#This Row],[Batsman]])-1,IFERROR(FIND("†",T_BATTINGDATA[[#This Row],[Batsman]])-1,LEN(T_BATTINGDATA[[#This Row],[Batsman]]))))</f>
        <v>MJ Clarke</v>
      </c>
      <c r="P831">
        <f ca="1">IFERROR(IF(MATCH(T_BATTINGDATA[[#This Row],[BATSMAN NAME]],OFFSET(O832,0,0,BATROWS-ROW(O831)-ROW(T_BATTINGDATA[[#Headers],[BATSMAN NAME]])),0)&gt;0,0,SUMIF($O$6:O831,T_BATTINGDATA[[#This Row],[BATSMAN NAME]],$E$6:E831)),SUMIF($O$6:O831,T_BATTINGDATA[[#This Row],[BATSMAN NAME]],$E$6:E831))</f>
        <v>219</v>
      </c>
    </row>
    <row r="832" spans="1:16" x14ac:dyDescent="0.3">
      <c r="A832">
        <v>40</v>
      </c>
      <c r="B832" t="s">
        <v>149</v>
      </c>
      <c r="C832" t="s">
        <v>378</v>
      </c>
      <c r="D832" t="s">
        <v>862</v>
      </c>
      <c r="E832">
        <v>20</v>
      </c>
      <c r="F832">
        <v>14</v>
      </c>
      <c r="G832">
        <v>10</v>
      </c>
      <c r="H832">
        <v>3</v>
      </c>
      <c r="I832">
        <v>1</v>
      </c>
      <c r="J832">
        <v>200</v>
      </c>
      <c r="K832">
        <v>2</v>
      </c>
      <c r="L832" t="str">
        <f>CONCATENATE(T_BATTINGDATA[[#This Row],[Match]],T_BATTINGDATA[[#This Row],[Team]],T_BATTINGDATA[[#This Row],[Bat Number]])</f>
        <v>40Australia2</v>
      </c>
      <c r="M832" t="str">
        <f>IFERROR(IF(AND(T_BATTINGDATA[[#This Row],[Team]]=I_TEAM,IFERROR(IF(MATCH(T_BATTINGDATA[[#This Row],[BATSMAN NAME]],$O$5:O831,0)&gt;0,0),1)),1,0),"")</f>
        <v/>
      </c>
      <c r="N832" t="e">
        <f>IF(T_BATTINGDATA[[#This Row],[Team]]=I_TEAM,T_BATTINGDATA[[#This Row],[R]],0)</f>
        <v>#REF!</v>
      </c>
      <c r="O832" t="str">
        <f>LEFT(T_BATTINGDATA[[#This Row],[Batsman]],IFERROR(FIND("*",T_BATTINGDATA[[#This Row],[Batsman]])-1,IFERROR(FIND("†",T_BATTINGDATA[[#This Row],[Batsman]])-1,LEN(T_BATTINGDATA[[#This Row],[Batsman]]))))</f>
        <v>AJ Finch</v>
      </c>
      <c r="P832">
        <f ca="1">IFERROR(IF(MATCH(T_BATTINGDATA[[#This Row],[BATSMAN NAME]],OFFSET(O833,0,0,BATROWS-ROW(O832)-ROW(T_BATTINGDATA[[#Headers],[BATSMAN NAME]])),0)&gt;0,0,SUMIF($O$6:O832,T_BATTINGDATA[[#This Row],[BATSMAN NAME]],$E$6:E832)),SUMIF($O$6:O832,T_BATTINGDATA[[#This Row],[BATSMAN NAME]],$E$6:E832))</f>
        <v>280</v>
      </c>
    </row>
    <row r="833" spans="1:16" x14ac:dyDescent="0.3">
      <c r="A833">
        <v>40</v>
      </c>
      <c r="B833" t="s">
        <v>149</v>
      </c>
      <c r="C833" t="s">
        <v>327</v>
      </c>
      <c r="D833" t="s">
        <v>460</v>
      </c>
      <c r="E833">
        <v>24</v>
      </c>
      <c r="F833">
        <v>36</v>
      </c>
      <c r="G833">
        <v>23</v>
      </c>
      <c r="H833">
        <v>4</v>
      </c>
      <c r="I833">
        <v>0</v>
      </c>
      <c r="J833">
        <v>104.34</v>
      </c>
      <c r="K833">
        <v>3</v>
      </c>
      <c r="L833" t="str">
        <f>CONCATENATE(T_BATTINGDATA[[#This Row],[Match]],T_BATTINGDATA[[#This Row],[Team]],T_BATTINGDATA[[#This Row],[Bat Number]])</f>
        <v>40Australia3</v>
      </c>
      <c r="M833" t="str">
        <f>IFERROR(IF(AND(T_BATTINGDATA[[#This Row],[Team]]=I_TEAM,IFERROR(IF(MATCH(T_BATTINGDATA[[#This Row],[BATSMAN NAME]],$O$5:O832,0)&gt;0,0),1)),1,0),"")</f>
        <v/>
      </c>
      <c r="N833" t="e">
        <f>IF(T_BATTINGDATA[[#This Row],[Team]]=I_TEAM,T_BATTINGDATA[[#This Row],[R]],0)</f>
        <v>#REF!</v>
      </c>
      <c r="O833" t="str">
        <f>LEFT(T_BATTINGDATA[[#This Row],[Batsman]],IFERROR(FIND("*",T_BATTINGDATA[[#This Row],[Batsman]])-1,IFERROR(FIND("†",T_BATTINGDATA[[#This Row],[Batsman]])-1,LEN(T_BATTINGDATA[[#This Row],[Batsman]]))))</f>
        <v>SR Watson</v>
      </c>
      <c r="P833">
        <f ca="1">IFERROR(IF(MATCH(T_BATTINGDATA[[#This Row],[BATSMAN NAME]],OFFSET(O834,0,0,BATROWS-ROW(O833)-ROW(T_BATTINGDATA[[#Headers],[BATSMAN NAME]])),0)&gt;0,0,SUMIF($O$6:O833,T_BATTINGDATA[[#This Row],[BATSMAN NAME]],$E$6:E833)),SUMIF($O$6:O833,T_BATTINGDATA[[#This Row],[BATSMAN NAME]],$E$6:E833))</f>
        <v>208</v>
      </c>
    </row>
    <row r="834" spans="1:16" x14ac:dyDescent="0.3">
      <c r="A834">
        <v>40</v>
      </c>
      <c r="B834" t="s">
        <v>149</v>
      </c>
      <c r="C834" t="s">
        <v>505</v>
      </c>
      <c r="D834" t="s">
        <v>167</v>
      </c>
      <c r="E834">
        <v>16</v>
      </c>
      <c r="F834">
        <v>15</v>
      </c>
      <c r="G834">
        <v>6</v>
      </c>
      <c r="H834">
        <v>2</v>
      </c>
      <c r="I834">
        <v>1</v>
      </c>
      <c r="J834">
        <v>266.66000000000003</v>
      </c>
      <c r="K834">
        <v>4</v>
      </c>
      <c r="L834" t="str">
        <f>CONCATENATE(T_BATTINGDATA[[#This Row],[Match]],T_BATTINGDATA[[#This Row],[Team]],T_BATTINGDATA[[#This Row],[Bat Number]])</f>
        <v>40Australia4</v>
      </c>
      <c r="M834" t="str">
        <f>IFERROR(IF(AND(T_BATTINGDATA[[#This Row],[Team]]=I_TEAM,IFERROR(IF(MATCH(T_BATTINGDATA[[#This Row],[BATSMAN NAME]],$O$5:O833,0)&gt;0,0),1)),1,0),"")</f>
        <v/>
      </c>
      <c r="N834" t="e">
        <f>IF(T_BATTINGDATA[[#This Row],[Team]]=I_TEAM,T_BATTINGDATA[[#This Row],[R]],0)</f>
        <v>#REF!</v>
      </c>
      <c r="O834" t="str">
        <f>LEFT(T_BATTINGDATA[[#This Row],[Batsman]],IFERROR(FIND("*",T_BATTINGDATA[[#This Row],[Batsman]])-1,IFERROR(FIND("†",T_BATTINGDATA[[#This Row],[Batsman]])-1,LEN(T_BATTINGDATA[[#This Row],[Batsman]]))))</f>
        <v>JP Faulkner</v>
      </c>
      <c r="P834">
        <f ca="1">IFERROR(IF(MATCH(T_BATTINGDATA[[#This Row],[BATSMAN NAME]],OFFSET(O835,0,0,BATROWS-ROW(O834)-ROW(T_BATTINGDATA[[#Headers],[BATSMAN NAME]])),0)&gt;0,0,SUMIF($O$6:O834,T_BATTINGDATA[[#This Row],[BATSMAN NAME]],$E$6:E834)),SUMIF($O$6:O834,T_BATTINGDATA[[#This Row],[BATSMAN NAME]],$E$6:E834))</f>
        <v>44</v>
      </c>
    </row>
    <row r="835" spans="1:16" x14ac:dyDescent="0.3">
      <c r="A835">
        <v>40</v>
      </c>
      <c r="B835" t="s">
        <v>149</v>
      </c>
      <c r="C835" t="s">
        <v>376</v>
      </c>
      <c r="D835" t="s">
        <v>167</v>
      </c>
      <c r="E835">
        <v>21</v>
      </c>
      <c r="F835">
        <v>11</v>
      </c>
      <c r="G835">
        <v>6</v>
      </c>
      <c r="H835">
        <v>2</v>
      </c>
      <c r="I835">
        <v>2</v>
      </c>
      <c r="J835">
        <v>350</v>
      </c>
      <c r="K835">
        <v>5</v>
      </c>
      <c r="L835" t="str">
        <f>CONCATENATE(T_BATTINGDATA[[#This Row],[Match]],T_BATTINGDATA[[#This Row],[Team]],T_BATTINGDATA[[#This Row],[Bat Number]])</f>
        <v>40Australia5</v>
      </c>
      <c r="M835" t="str">
        <f>IFERROR(IF(AND(T_BATTINGDATA[[#This Row],[Team]]=I_TEAM,IFERROR(IF(MATCH(T_BATTINGDATA[[#This Row],[BATSMAN NAME]],$O$5:O834,0)&gt;0,0),1)),1,0),"")</f>
        <v/>
      </c>
      <c r="N835" t="e">
        <f>IF(T_BATTINGDATA[[#This Row],[Team]]=I_TEAM,T_BATTINGDATA[[#This Row],[R]],0)</f>
        <v>#REF!</v>
      </c>
      <c r="O835" t="str">
        <f>LEFT(T_BATTINGDATA[[#This Row],[Batsman]],IFERROR(FIND("*",T_BATTINGDATA[[#This Row],[Batsman]])-1,IFERROR(FIND("†",T_BATTINGDATA[[#This Row],[Batsman]])-1,LEN(T_BATTINGDATA[[#This Row],[Batsman]]))))</f>
        <v>DA Warner</v>
      </c>
      <c r="P835">
        <f ca="1">IFERROR(IF(MATCH(T_BATTINGDATA[[#This Row],[BATSMAN NAME]],OFFSET(O836,0,0,BATROWS-ROW(O835)-ROW(T_BATTINGDATA[[#Headers],[BATSMAN NAME]])),0)&gt;0,0,SUMIF($O$6:O835,T_BATTINGDATA[[#This Row],[BATSMAN NAME]],$E$6:E835)),SUMIF($O$6:O835,T_BATTINGDATA[[#This Row],[BATSMAN NAME]],$E$6:E835))</f>
        <v>345</v>
      </c>
    </row>
    <row r="836" spans="1:16" x14ac:dyDescent="0.3">
      <c r="A836">
        <v>41</v>
      </c>
      <c r="B836" t="s">
        <v>164</v>
      </c>
      <c r="C836" t="s">
        <v>247</v>
      </c>
      <c r="D836" t="s">
        <v>558</v>
      </c>
      <c r="E836">
        <v>5</v>
      </c>
      <c r="F836">
        <v>28</v>
      </c>
      <c r="G836">
        <v>19</v>
      </c>
      <c r="H836">
        <v>0</v>
      </c>
      <c r="I836">
        <v>0</v>
      </c>
      <c r="J836">
        <v>26.31</v>
      </c>
      <c r="K836">
        <v>1</v>
      </c>
      <c r="L836" t="str">
        <f>CONCATENATE(T_BATTINGDATA[[#This Row],[Match]],T_BATTINGDATA[[#This Row],[Team]],T_BATTINGDATA[[#This Row],[Bat Number]])</f>
        <v>41UAE1</v>
      </c>
      <c r="M836" t="str">
        <f>IFERROR(IF(AND(T_BATTINGDATA[[#This Row],[Team]]=I_TEAM,IFERROR(IF(MATCH(T_BATTINGDATA[[#This Row],[BATSMAN NAME]],$O$5:O835,0)&gt;0,0),1)),1,0),"")</f>
        <v/>
      </c>
      <c r="N836" t="e">
        <f>IF(T_BATTINGDATA[[#This Row],[Team]]=I_TEAM,T_BATTINGDATA[[#This Row],[R]],0)</f>
        <v>#REF!</v>
      </c>
      <c r="O836" t="str">
        <f>LEFT(T_BATTINGDATA[[#This Row],[Batsman]],IFERROR(FIND("*",T_BATTINGDATA[[#This Row],[Batsman]])-1,IFERROR(FIND("†",T_BATTINGDATA[[#This Row],[Batsman]])-1,LEN(T_BATTINGDATA[[#This Row],[Batsman]]))))</f>
        <v>Amjad Ali</v>
      </c>
      <c r="P836">
        <f ca="1">IFERROR(IF(MATCH(T_BATTINGDATA[[#This Row],[BATSMAN NAME]],OFFSET(O837,0,0,BATROWS-ROW(O836)-ROW(T_BATTINGDATA[[#Headers],[BATSMAN NAME]])),0)&gt;0,0,SUMIF($O$6:O836,T_BATTINGDATA[[#This Row],[BATSMAN NAME]],$E$6:E836)),SUMIF($O$6:O836,T_BATTINGDATA[[#This Row],[BATSMAN NAME]],$E$6:E836))</f>
        <v>96</v>
      </c>
    </row>
    <row r="837" spans="1:16" x14ac:dyDescent="0.3">
      <c r="A837">
        <v>41</v>
      </c>
      <c r="B837" t="s">
        <v>164</v>
      </c>
      <c r="C837" t="s">
        <v>250</v>
      </c>
      <c r="D837" t="s">
        <v>863</v>
      </c>
      <c r="E837">
        <v>7</v>
      </c>
      <c r="F837">
        <v>16</v>
      </c>
      <c r="G837">
        <v>7</v>
      </c>
      <c r="H837">
        <v>1</v>
      </c>
      <c r="I837">
        <v>0</v>
      </c>
      <c r="J837">
        <v>100</v>
      </c>
      <c r="K837">
        <v>2</v>
      </c>
      <c r="L837" t="str">
        <f>CONCATENATE(T_BATTINGDATA[[#This Row],[Match]],T_BATTINGDATA[[#This Row],[Team]],T_BATTINGDATA[[#This Row],[Bat Number]])</f>
        <v>41UAE2</v>
      </c>
      <c r="M837" t="str">
        <f>IFERROR(IF(AND(T_BATTINGDATA[[#This Row],[Team]]=I_TEAM,IFERROR(IF(MATCH(T_BATTINGDATA[[#This Row],[BATSMAN NAME]],$O$5:O836,0)&gt;0,0),1)),1,0),"")</f>
        <v/>
      </c>
      <c r="N837" t="e">
        <f>IF(T_BATTINGDATA[[#This Row],[Team]]=I_TEAM,T_BATTINGDATA[[#This Row],[R]],0)</f>
        <v>#REF!</v>
      </c>
      <c r="O837" t="str">
        <f>LEFT(T_BATTINGDATA[[#This Row],[Batsman]],IFERROR(FIND("*",T_BATTINGDATA[[#This Row],[Batsman]])-1,IFERROR(FIND("†",T_BATTINGDATA[[#This Row],[Batsman]])-1,LEN(T_BATTINGDATA[[#This Row],[Batsman]]))))</f>
        <v>AR Berenger</v>
      </c>
      <c r="P837">
        <f ca="1">IFERROR(IF(MATCH(T_BATTINGDATA[[#This Row],[BATSMAN NAME]],OFFSET(O838,0,0,BATROWS-ROW(O837)-ROW(T_BATTINGDATA[[#Headers],[BATSMAN NAME]])),0)&gt;0,0,SUMIF($O$6:O837,T_BATTINGDATA[[#This Row],[BATSMAN NAME]],$E$6:E837)),SUMIF($O$6:O837,T_BATTINGDATA[[#This Row],[BATSMAN NAME]],$E$6:E837))</f>
        <v>53</v>
      </c>
    </row>
    <row r="838" spans="1:16" x14ac:dyDescent="0.3">
      <c r="A838">
        <v>41</v>
      </c>
      <c r="B838" t="s">
        <v>164</v>
      </c>
      <c r="C838" t="s">
        <v>230</v>
      </c>
      <c r="D838" t="s">
        <v>560</v>
      </c>
      <c r="E838">
        <v>0</v>
      </c>
      <c r="F838">
        <v>9</v>
      </c>
      <c r="G838">
        <v>6</v>
      </c>
      <c r="H838">
        <v>0</v>
      </c>
      <c r="I838">
        <v>0</v>
      </c>
      <c r="J838">
        <v>0</v>
      </c>
      <c r="K838">
        <v>3</v>
      </c>
      <c r="L838" t="str">
        <f>CONCATENATE(T_BATTINGDATA[[#This Row],[Match]],T_BATTINGDATA[[#This Row],[Team]],T_BATTINGDATA[[#This Row],[Bat Number]])</f>
        <v>41UAE3</v>
      </c>
      <c r="M838" t="str">
        <f>IFERROR(IF(AND(T_BATTINGDATA[[#This Row],[Team]]=I_TEAM,IFERROR(IF(MATCH(T_BATTINGDATA[[#This Row],[BATSMAN NAME]],$O$5:O837,0)&gt;0,0),1)),1,0),"")</f>
        <v/>
      </c>
      <c r="N838" t="e">
        <f>IF(T_BATTINGDATA[[#This Row],[Team]]=I_TEAM,T_BATTINGDATA[[#This Row],[R]],0)</f>
        <v>#REF!</v>
      </c>
      <c r="O838" t="str">
        <f>LEFT(T_BATTINGDATA[[#This Row],[Batsman]],IFERROR(FIND("*",T_BATTINGDATA[[#This Row],[Batsman]])-1,IFERROR(FIND("†",T_BATTINGDATA[[#This Row],[Batsman]])-1,LEN(T_BATTINGDATA[[#This Row],[Batsman]]))))</f>
        <v>Krishna Chandran</v>
      </c>
      <c r="P838">
        <f ca="1">IFERROR(IF(MATCH(T_BATTINGDATA[[#This Row],[BATSMAN NAME]],OFFSET(O839,0,0,BATROWS-ROW(O838)-ROW(T_BATTINGDATA[[#Headers],[BATSMAN NAME]])),0)&gt;0,0,SUMIF($O$6:O838,T_BATTINGDATA[[#This Row],[BATSMAN NAME]],$E$6:E838)),SUMIF($O$6:O838,T_BATTINGDATA[[#This Row],[BATSMAN NAME]],$E$6:E838))</f>
        <v>38</v>
      </c>
    </row>
    <row r="839" spans="1:16" x14ac:dyDescent="0.3">
      <c r="A839">
        <v>41</v>
      </c>
      <c r="B839" t="s">
        <v>164</v>
      </c>
      <c r="C839" t="s">
        <v>252</v>
      </c>
      <c r="D839" t="s">
        <v>864</v>
      </c>
      <c r="E839">
        <v>5</v>
      </c>
      <c r="F839">
        <v>8</v>
      </c>
      <c r="G839">
        <v>5</v>
      </c>
      <c r="H839">
        <v>1</v>
      </c>
      <c r="I839">
        <v>0</v>
      </c>
      <c r="J839">
        <v>100</v>
      </c>
      <c r="K839">
        <v>4</v>
      </c>
      <c r="L839" t="str">
        <f>CONCATENATE(T_BATTINGDATA[[#This Row],[Match]],T_BATTINGDATA[[#This Row],[Team]],T_BATTINGDATA[[#This Row],[Bat Number]])</f>
        <v>41UAE4</v>
      </c>
      <c r="M839" t="str">
        <f>IFERROR(IF(AND(T_BATTINGDATA[[#This Row],[Team]]=I_TEAM,IFERROR(IF(MATCH(T_BATTINGDATA[[#This Row],[BATSMAN NAME]],$O$5:O838,0)&gt;0,0),1)),1,0),"")</f>
        <v/>
      </c>
      <c r="N839" t="e">
        <f>IF(T_BATTINGDATA[[#This Row],[Team]]=I_TEAM,T_BATTINGDATA[[#This Row],[R]],0)</f>
        <v>#REF!</v>
      </c>
      <c r="O839" t="str">
        <f>LEFT(T_BATTINGDATA[[#This Row],[Batsman]],IFERROR(FIND("*",T_BATTINGDATA[[#This Row],[Batsman]])-1,IFERROR(FIND("†",T_BATTINGDATA[[#This Row],[Batsman]])-1,LEN(T_BATTINGDATA[[#This Row],[Batsman]]))))</f>
        <v>Khurram Khan</v>
      </c>
      <c r="P839">
        <f ca="1">IFERROR(IF(MATCH(T_BATTINGDATA[[#This Row],[BATSMAN NAME]],OFFSET(O840,0,0,BATROWS-ROW(O839)-ROW(T_BATTINGDATA[[#Headers],[BATSMAN NAME]])),0)&gt;0,0,SUMIF($O$6:O839,T_BATTINGDATA[[#This Row],[BATSMAN NAME]],$E$6:E839)),SUMIF($O$6:O839,T_BATTINGDATA[[#This Row],[BATSMAN NAME]],$E$6:E839))</f>
        <v>155</v>
      </c>
    </row>
    <row r="840" spans="1:16" x14ac:dyDescent="0.3">
      <c r="A840">
        <v>41</v>
      </c>
      <c r="B840" t="s">
        <v>164</v>
      </c>
      <c r="C840" t="s">
        <v>255</v>
      </c>
      <c r="D840" t="s">
        <v>864</v>
      </c>
      <c r="E840">
        <v>2</v>
      </c>
      <c r="F840">
        <v>16</v>
      </c>
      <c r="G840">
        <v>6</v>
      </c>
      <c r="H840">
        <v>0</v>
      </c>
      <c r="I840">
        <v>0</v>
      </c>
      <c r="J840">
        <v>33.33</v>
      </c>
      <c r="K840">
        <v>5</v>
      </c>
      <c r="L840" t="str">
        <f>CONCATENATE(T_BATTINGDATA[[#This Row],[Match]],T_BATTINGDATA[[#This Row],[Team]],T_BATTINGDATA[[#This Row],[Bat Number]])</f>
        <v>41UAE5</v>
      </c>
      <c r="M840" t="str">
        <f>IFERROR(IF(AND(T_BATTINGDATA[[#This Row],[Team]]=I_TEAM,IFERROR(IF(MATCH(T_BATTINGDATA[[#This Row],[BATSMAN NAME]],$O$5:O839,0)&gt;0,0),1)),1,0),"")</f>
        <v/>
      </c>
      <c r="N840" t="e">
        <f>IF(T_BATTINGDATA[[#This Row],[Team]]=I_TEAM,T_BATTINGDATA[[#This Row],[R]],0)</f>
        <v>#REF!</v>
      </c>
      <c r="O840" t="str">
        <f>LEFT(T_BATTINGDATA[[#This Row],[Batsman]],IFERROR(FIND("*",T_BATTINGDATA[[#This Row],[Batsman]])-1,IFERROR(FIND("†",T_BATTINGDATA[[#This Row],[Batsman]])-1,LEN(T_BATTINGDATA[[#This Row],[Batsman]]))))</f>
        <v>Shaiman Anwar</v>
      </c>
      <c r="P840">
        <f ca="1">IFERROR(IF(MATCH(T_BATTINGDATA[[#This Row],[BATSMAN NAME]],OFFSET(O841,0,0,BATROWS-ROW(O840)-ROW(T_BATTINGDATA[[#Headers],[BATSMAN NAME]])),0)&gt;0,0,SUMIF($O$6:O840,T_BATTINGDATA[[#This Row],[BATSMAN NAME]],$E$6:E840)),SUMIF($O$6:O840,T_BATTINGDATA[[#This Row],[BATSMAN NAME]],$E$6:E840))</f>
        <v>311</v>
      </c>
    </row>
    <row r="841" spans="1:16" x14ac:dyDescent="0.3">
      <c r="A841">
        <v>41</v>
      </c>
      <c r="B841" t="s">
        <v>164</v>
      </c>
      <c r="C841" t="s">
        <v>253</v>
      </c>
      <c r="D841" t="s">
        <v>865</v>
      </c>
      <c r="E841">
        <v>6</v>
      </c>
      <c r="F841">
        <v>33</v>
      </c>
      <c r="G841">
        <v>20</v>
      </c>
      <c r="H841">
        <v>0</v>
      </c>
      <c r="I841">
        <v>0</v>
      </c>
      <c r="J841">
        <v>30</v>
      </c>
      <c r="K841">
        <v>6</v>
      </c>
      <c r="L841" t="str">
        <f>CONCATENATE(T_BATTINGDATA[[#This Row],[Match]],T_BATTINGDATA[[#This Row],[Team]],T_BATTINGDATA[[#This Row],[Bat Number]])</f>
        <v>41UAE6</v>
      </c>
      <c r="M841" t="str">
        <f>IFERROR(IF(AND(T_BATTINGDATA[[#This Row],[Team]]=I_TEAM,IFERROR(IF(MATCH(T_BATTINGDATA[[#This Row],[BATSMAN NAME]],$O$5:O840,0)&gt;0,0),1)),1,0),"")</f>
        <v/>
      </c>
      <c r="N841" t="e">
        <f>IF(T_BATTINGDATA[[#This Row],[Team]]=I_TEAM,T_BATTINGDATA[[#This Row],[R]],0)</f>
        <v>#REF!</v>
      </c>
      <c r="O841" t="str">
        <f>LEFT(T_BATTINGDATA[[#This Row],[Batsman]],IFERROR(FIND("*",T_BATTINGDATA[[#This Row],[Batsman]])-1,IFERROR(FIND("†",T_BATTINGDATA[[#This Row],[Batsman]])-1,LEN(T_BATTINGDATA[[#This Row],[Batsman]]))))</f>
        <v>SP Patil</v>
      </c>
      <c r="P841">
        <f ca="1">IFERROR(IF(MATCH(T_BATTINGDATA[[#This Row],[BATSMAN NAME]],OFFSET(O842,0,0,BATROWS-ROW(O841)-ROW(T_BATTINGDATA[[#Headers],[BATSMAN NAME]])),0)&gt;0,0,SUMIF($O$6:O841,T_BATTINGDATA[[#This Row],[BATSMAN NAME]],$E$6:E841)),SUMIF($O$6:O841,T_BATTINGDATA[[#This Row],[BATSMAN NAME]],$E$6:E841))</f>
        <v>140</v>
      </c>
    </row>
    <row r="842" spans="1:16" x14ac:dyDescent="0.3">
      <c r="A842">
        <v>41</v>
      </c>
      <c r="B842" t="s">
        <v>164</v>
      </c>
      <c r="C842" t="s">
        <v>228</v>
      </c>
      <c r="D842" t="s">
        <v>866</v>
      </c>
      <c r="E842">
        <v>56</v>
      </c>
      <c r="F842">
        <v>133</v>
      </c>
      <c r="G842">
        <v>99</v>
      </c>
      <c r="H842">
        <v>7</v>
      </c>
      <c r="I842">
        <v>1</v>
      </c>
      <c r="J842">
        <v>56.56</v>
      </c>
      <c r="K842">
        <v>7</v>
      </c>
      <c r="L842" t="str">
        <f>CONCATENATE(T_BATTINGDATA[[#This Row],[Match]],T_BATTINGDATA[[#This Row],[Team]],T_BATTINGDATA[[#This Row],[Bat Number]])</f>
        <v>41UAE7</v>
      </c>
      <c r="M842" t="str">
        <f>IFERROR(IF(AND(T_BATTINGDATA[[#This Row],[Team]]=I_TEAM,IFERROR(IF(MATCH(T_BATTINGDATA[[#This Row],[BATSMAN NAME]],$O$5:O841,0)&gt;0,0),1)),1,0),"")</f>
        <v/>
      </c>
      <c r="N842" t="e">
        <f>IF(T_BATTINGDATA[[#This Row],[Team]]=I_TEAM,T_BATTINGDATA[[#This Row],[R]],0)</f>
        <v>#REF!</v>
      </c>
      <c r="O842" t="str">
        <f>LEFT(T_BATTINGDATA[[#This Row],[Batsman]],IFERROR(FIND("*",T_BATTINGDATA[[#This Row],[Batsman]])-1,IFERROR(FIND("†",T_BATTINGDATA[[#This Row],[Batsman]])-1,LEN(T_BATTINGDATA[[#This Row],[Batsman]]))))</f>
        <v>Amjad Javed</v>
      </c>
      <c r="P842">
        <f ca="1">IFERROR(IF(MATCH(T_BATTINGDATA[[#This Row],[BATSMAN NAME]],OFFSET(O843,0,0,BATROWS-ROW(O842)-ROW(T_BATTINGDATA[[#Headers],[BATSMAN NAME]])),0)&gt;0,0,SUMIF($O$6:O842,T_BATTINGDATA[[#This Row],[BATSMAN NAME]],$E$6:E842)),SUMIF($O$6:O842,T_BATTINGDATA[[#This Row],[BATSMAN NAME]],$E$6:E842))</f>
        <v>170</v>
      </c>
    </row>
    <row r="843" spans="1:16" x14ac:dyDescent="0.3">
      <c r="A843">
        <v>41</v>
      </c>
      <c r="B843" t="s">
        <v>164</v>
      </c>
      <c r="C843" t="s">
        <v>419</v>
      </c>
      <c r="D843" t="s">
        <v>867</v>
      </c>
      <c r="E843">
        <v>60</v>
      </c>
      <c r="F843">
        <v>120</v>
      </c>
      <c r="G843">
        <v>86</v>
      </c>
      <c r="H843">
        <v>8</v>
      </c>
      <c r="I843">
        <v>0</v>
      </c>
      <c r="J843">
        <v>69.760000000000005</v>
      </c>
      <c r="K843">
        <v>8</v>
      </c>
      <c r="L843" t="str">
        <f>CONCATENATE(T_BATTINGDATA[[#This Row],[Match]],T_BATTINGDATA[[#This Row],[Team]],T_BATTINGDATA[[#This Row],[Bat Number]])</f>
        <v>41UAE8</v>
      </c>
      <c r="M843" t="str">
        <f>IFERROR(IF(AND(T_BATTINGDATA[[#This Row],[Team]]=I_TEAM,IFERROR(IF(MATCH(T_BATTINGDATA[[#This Row],[BATSMAN NAME]],$O$5:O842,0)&gt;0,0),1)),1,0),"")</f>
        <v/>
      </c>
      <c r="N843" t="e">
        <f>IF(T_BATTINGDATA[[#This Row],[Team]]=I_TEAM,T_BATTINGDATA[[#This Row],[R]],0)</f>
        <v>#REF!</v>
      </c>
      <c r="O843" t="str">
        <f>LEFT(T_BATTINGDATA[[#This Row],[Batsman]],IFERROR(FIND("*",T_BATTINGDATA[[#This Row],[Batsman]])-1,IFERROR(FIND("†",T_BATTINGDATA[[#This Row],[Batsman]])-1,LEN(T_BATTINGDATA[[#This Row],[Batsman]]))))</f>
        <v>Nasir Aziz</v>
      </c>
      <c r="P843">
        <f ca="1">IFERROR(IF(MATCH(T_BATTINGDATA[[#This Row],[BATSMAN NAME]],OFFSET(O844,0,0,BATROWS-ROW(O843)-ROW(T_BATTINGDATA[[#Headers],[BATSMAN NAME]])),0)&gt;0,0,SUMIF($O$6:O843,T_BATTINGDATA[[#This Row],[BATSMAN NAME]],$E$6:E843)),SUMIF($O$6:O843,T_BATTINGDATA[[#This Row],[BATSMAN NAME]],$E$6:E843))</f>
        <v>60</v>
      </c>
    </row>
    <row r="844" spans="1:16" x14ac:dyDescent="0.3">
      <c r="A844">
        <v>41</v>
      </c>
      <c r="B844" t="s">
        <v>164</v>
      </c>
      <c r="C844" t="s">
        <v>223</v>
      </c>
      <c r="D844" t="s">
        <v>866</v>
      </c>
      <c r="E844">
        <v>14</v>
      </c>
      <c r="F844">
        <v>6</v>
      </c>
      <c r="G844">
        <v>9</v>
      </c>
      <c r="H844">
        <v>1</v>
      </c>
      <c r="I844">
        <v>1</v>
      </c>
      <c r="J844">
        <v>155.55000000000001</v>
      </c>
      <c r="K844">
        <v>9</v>
      </c>
      <c r="L844" t="str">
        <f>CONCATENATE(T_BATTINGDATA[[#This Row],[Match]],T_BATTINGDATA[[#This Row],[Team]],T_BATTINGDATA[[#This Row],[Bat Number]])</f>
        <v>41UAE9</v>
      </c>
      <c r="M844" t="str">
        <f>IFERROR(IF(AND(T_BATTINGDATA[[#This Row],[Team]]=I_TEAM,IFERROR(IF(MATCH(T_BATTINGDATA[[#This Row],[BATSMAN NAME]],$O$5:O843,0)&gt;0,0),1)),1,0),"")</f>
        <v/>
      </c>
      <c r="N844" t="e">
        <f>IF(T_BATTINGDATA[[#This Row],[Team]]=I_TEAM,T_BATTINGDATA[[#This Row],[R]],0)</f>
        <v>#REF!</v>
      </c>
      <c r="O844" t="str">
        <f>LEFT(T_BATTINGDATA[[#This Row],[Batsman]],IFERROR(FIND("*",T_BATTINGDATA[[#This Row],[Batsman]])-1,IFERROR(FIND("†",T_BATTINGDATA[[#This Row],[Batsman]])-1,LEN(T_BATTINGDATA[[#This Row],[Batsman]]))))</f>
        <v>Mohammad Naveed</v>
      </c>
      <c r="P844">
        <f ca="1">IFERROR(IF(MATCH(T_BATTINGDATA[[#This Row],[BATSMAN NAME]],OFFSET(O845,0,0,BATROWS-ROW(O844)-ROW(T_BATTINGDATA[[#Headers],[BATSMAN NAME]])),0)&gt;0,0,SUMIF($O$6:O844,T_BATTINGDATA[[#This Row],[BATSMAN NAME]],$E$6:E844)),SUMIF($O$6:O844,T_BATTINGDATA[[#This Row],[BATSMAN NAME]],$E$6:E844))</f>
        <v>73</v>
      </c>
    </row>
    <row r="845" spans="1:16" x14ac:dyDescent="0.3">
      <c r="A845">
        <v>41</v>
      </c>
      <c r="B845" t="s">
        <v>164</v>
      </c>
      <c r="C845" t="s">
        <v>261</v>
      </c>
      <c r="D845" t="s">
        <v>864</v>
      </c>
      <c r="E845">
        <v>2</v>
      </c>
      <c r="F845">
        <v>18</v>
      </c>
      <c r="G845">
        <v>19</v>
      </c>
      <c r="H845">
        <v>0</v>
      </c>
      <c r="I845">
        <v>0</v>
      </c>
      <c r="J845">
        <v>10.52</v>
      </c>
      <c r="K845">
        <v>10</v>
      </c>
      <c r="L845" t="str">
        <f>CONCATENATE(T_BATTINGDATA[[#This Row],[Match]],T_BATTINGDATA[[#This Row],[Team]],T_BATTINGDATA[[#This Row],[Bat Number]])</f>
        <v>41UAE10</v>
      </c>
      <c r="M845" t="str">
        <f>IFERROR(IF(AND(T_BATTINGDATA[[#This Row],[Team]]=I_TEAM,IFERROR(IF(MATCH(T_BATTINGDATA[[#This Row],[BATSMAN NAME]],$O$5:O844,0)&gt;0,0),1)),1,0),"")</f>
        <v/>
      </c>
      <c r="N845" t="e">
        <f>IF(T_BATTINGDATA[[#This Row],[Team]]=I_TEAM,T_BATTINGDATA[[#This Row],[R]],0)</f>
        <v>#REF!</v>
      </c>
      <c r="O845" t="str">
        <f>LEFT(T_BATTINGDATA[[#This Row],[Batsman]],IFERROR(FIND("*",T_BATTINGDATA[[#This Row],[Batsman]])-1,IFERROR(FIND("†",T_BATTINGDATA[[#This Row],[Batsman]])-1,LEN(T_BATTINGDATA[[#This Row],[Batsman]]))))</f>
        <v>Mohammad Tauqir</v>
      </c>
      <c r="P845">
        <f ca="1">IFERROR(IF(MATCH(T_BATTINGDATA[[#This Row],[BATSMAN NAME]],OFFSET(O846,0,0,BATROWS-ROW(O845)-ROW(T_BATTINGDATA[[#Headers],[BATSMAN NAME]])),0)&gt;0,0,SUMIF($O$6:O845,T_BATTINGDATA[[#This Row],[BATSMAN NAME]],$E$6:E845)),SUMIF($O$6:O845,T_BATTINGDATA[[#This Row],[BATSMAN NAME]],$E$6:E845))</f>
        <v>8</v>
      </c>
    </row>
    <row r="846" spans="1:16" x14ac:dyDescent="0.3">
      <c r="A846">
        <v>41</v>
      </c>
      <c r="B846" t="s">
        <v>164</v>
      </c>
      <c r="C846" t="s">
        <v>225</v>
      </c>
      <c r="D846" t="s">
        <v>167</v>
      </c>
      <c r="E846">
        <v>4</v>
      </c>
      <c r="F846">
        <v>13</v>
      </c>
      <c r="G846">
        <v>10</v>
      </c>
      <c r="H846">
        <v>0</v>
      </c>
      <c r="I846">
        <v>0</v>
      </c>
      <c r="J846">
        <v>40</v>
      </c>
      <c r="K846">
        <v>11</v>
      </c>
      <c r="L846" t="str">
        <f>CONCATENATE(T_BATTINGDATA[[#This Row],[Match]],T_BATTINGDATA[[#This Row],[Team]],T_BATTINGDATA[[#This Row],[Bat Number]])</f>
        <v>41UAE11</v>
      </c>
      <c r="M846" t="str">
        <f>IFERROR(IF(AND(T_BATTINGDATA[[#This Row],[Team]]=I_TEAM,IFERROR(IF(MATCH(T_BATTINGDATA[[#This Row],[BATSMAN NAME]],$O$5:O845,0)&gt;0,0),1)),1,0),"")</f>
        <v/>
      </c>
      <c r="N846" t="e">
        <f>IF(T_BATTINGDATA[[#This Row],[Team]]=I_TEAM,T_BATTINGDATA[[#This Row],[R]],0)</f>
        <v>#REF!</v>
      </c>
      <c r="O846" t="str">
        <f>LEFT(T_BATTINGDATA[[#This Row],[Batsman]],IFERROR(FIND("*",T_BATTINGDATA[[#This Row],[Batsman]])-1,IFERROR(FIND("†",T_BATTINGDATA[[#This Row],[Batsman]])-1,LEN(T_BATTINGDATA[[#This Row],[Batsman]]))))</f>
        <v>AM Guruge</v>
      </c>
      <c r="P846">
        <f ca="1">IFERROR(IF(MATCH(T_BATTINGDATA[[#This Row],[BATSMAN NAME]],OFFSET(O847,0,0,BATROWS-ROW(O846)-ROW(T_BATTINGDATA[[#Headers],[BATSMAN NAME]])),0)&gt;0,0,SUMIF($O$6:O846,T_BATTINGDATA[[#This Row],[BATSMAN NAME]],$E$6:E846)),SUMIF($O$6:O846,T_BATTINGDATA[[#This Row],[BATSMAN NAME]],$E$6:E846))</f>
        <v>14</v>
      </c>
    </row>
    <row r="847" spans="1:16" x14ac:dyDescent="0.3">
      <c r="A847">
        <v>41</v>
      </c>
      <c r="B847" t="s">
        <v>170</v>
      </c>
      <c r="C847" t="s">
        <v>265</v>
      </c>
      <c r="D847" t="s">
        <v>635</v>
      </c>
      <c r="E847">
        <v>15</v>
      </c>
      <c r="F847">
        <v>11</v>
      </c>
      <c r="G847">
        <v>9</v>
      </c>
      <c r="H847">
        <v>1</v>
      </c>
      <c r="I847">
        <v>1</v>
      </c>
      <c r="J847">
        <v>166.66</v>
      </c>
      <c r="K847">
        <v>1</v>
      </c>
      <c r="L847" t="str">
        <f>CONCATENATE(T_BATTINGDATA[[#This Row],[Match]],T_BATTINGDATA[[#This Row],[Team]],T_BATTINGDATA[[#This Row],[Bat Number]])</f>
        <v>41West Indies1</v>
      </c>
      <c r="M847" t="str">
        <f>IFERROR(IF(AND(T_BATTINGDATA[[#This Row],[Team]]=I_TEAM,IFERROR(IF(MATCH(T_BATTINGDATA[[#This Row],[BATSMAN NAME]],$O$5:O846,0)&gt;0,0),1)),1,0),"")</f>
        <v/>
      </c>
      <c r="N847" t="e">
        <f>IF(T_BATTINGDATA[[#This Row],[Team]]=I_TEAM,T_BATTINGDATA[[#This Row],[R]],0)</f>
        <v>#REF!</v>
      </c>
      <c r="O847" t="str">
        <f>LEFT(T_BATTINGDATA[[#This Row],[Batsman]],IFERROR(FIND("*",T_BATTINGDATA[[#This Row],[Batsman]])-1,IFERROR(FIND("†",T_BATTINGDATA[[#This Row],[Batsman]])-1,LEN(T_BATTINGDATA[[#This Row],[Batsman]]))))</f>
        <v>DR Smith</v>
      </c>
      <c r="P847">
        <f ca="1">IFERROR(IF(MATCH(T_BATTINGDATA[[#This Row],[BATSMAN NAME]],OFFSET(O848,0,0,BATROWS-ROW(O847)-ROW(T_BATTINGDATA[[#Headers],[BATSMAN NAME]])),0)&gt;0,0,SUMIF($O$6:O847,T_BATTINGDATA[[#This Row],[BATSMAN NAME]],$E$6:E847)),SUMIF($O$6:O847,T_BATTINGDATA[[#This Row],[BATSMAN NAME]],$E$6:E847))</f>
        <v>93</v>
      </c>
    </row>
    <row r="848" spans="1:16" x14ac:dyDescent="0.3">
      <c r="A848">
        <v>41</v>
      </c>
      <c r="B848" t="s">
        <v>170</v>
      </c>
      <c r="C848" t="s">
        <v>606</v>
      </c>
      <c r="D848" t="s">
        <v>868</v>
      </c>
      <c r="E848">
        <v>55</v>
      </c>
      <c r="F848">
        <v>68</v>
      </c>
      <c r="G848">
        <v>40</v>
      </c>
      <c r="H848">
        <v>9</v>
      </c>
      <c r="I848">
        <v>2</v>
      </c>
      <c r="J848">
        <v>137.5</v>
      </c>
      <c r="K848">
        <v>2</v>
      </c>
      <c r="L848" t="str">
        <f>CONCATENATE(T_BATTINGDATA[[#This Row],[Match]],T_BATTINGDATA[[#This Row],[Team]],T_BATTINGDATA[[#This Row],[Bat Number]])</f>
        <v>41West Indies2</v>
      </c>
      <c r="M848" t="str">
        <f>IFERROR(IF(AND(T_BATTINGDATA[[#This Row],[Team]]=I_TEAM,IFERROR(IF(MATCH(T_BATTINGDATA[[#This Row],[BATSMAN NAME]],$O$5:O847,0)&gt;0,0),1)),1,0),"")</f>
        <v/>
      </c>
      <c r="N848" t="e">
        <f>IF(T_BATTINGDATA[[#This Row],[Team]]=I_TEAM,T_BATTINGDATA[[#This Row],[R]],0)</f>
        <v>#REF!</v>
      </c>
      <c r="O848" t="str">
        <f>LEFT(T_BATTINGDATA[[#This Row],[Batsman]],IFERROR(FIND("*",T_BATTINGDATA[[#This Row],[Batsman]])-1,IFERROR(FIND("†",T_BATTINGDATA[[#This Row],[Batsman]])-1,LEN(T_BATTINGDATA[[#This Row],[Batsman]]))))</f>
        <v>J Charles</v>
      </c>
      <c r="P848">
        <f ca="1">IFERROR(IF(MATCH(T_BATTINGDATA[[#This Row],[BATSMAN NAME]],OFFSET(O849,0,0,BATROWS-ROW(O848)-ROW(T_BATTINGDATA[[#Headers],[BATSMAN NAME]])),0)&gt;0,0,SUMIF($O$6:O848,T_BATTINGDATA[[#This Row],[BATSMAN NAME]],$E$6:E848)),SUMIF($O$6:O848,T_BATTINGDATA[[#This Row],[BATSMAN NAME]],$E$6:E848))</f>
        <v>58</v>
      </c>
    </row>
    <row r="849" spans="1:16" x14ac:dyDescent="0.3">
      <c r="A849">
        <v>41</v>
      </c>
      <c r="B849" t="s">
        <v>170</v>
      </c>
      <c r="C849" t="s">
        <v>267</v>
      </c>
      <c r="D849" t="s">
        <v>869</v>
      </c>
      <c r="E849">
        <v>9</v>
      </c>
      <c r="F849">
        <v>19</v>
      </c>
      <c r="G849">
        <v>18</v>
      </c>
      <c r="H849">
        <v>1</v>
      </c>
      <c r="I849">
        <v>0</v>
      </c>
      <c r="J849">
        <v>50</v>
      </c>
      <c r="K849">
        <v>3</v>
      </c>
      <c r="L849" t="str">
        <f>CONCATENATE(T_BATTINGDATA[[#This Row],[Match]],T_BATTINGDATA[[#This Row],[Team]],T_BATTINGDATA[[#This Row],[Bat Number]])</f>
        <v>41West Indies3</v>
      </c>
      <c r="M849" t="str">
        <f>IFERROR(IF(AND(T_BATTINGDATA[[#This Row],[Team]]=I_TEAM,IFERROR(IF(MATCH(T_BATTINGDATA[[#This Row],[BATSMAN NAME]],$O$5:O848,0)&gt;0,0),1)),1,0),"")</f>
        <v/>
      </c>
      <c r="N849" t="e">
        <f>IF(T_BATTINGDATA[[#This Row],[Team]]=I_TEAM,T_BATTINGDATA[[#This Row],[R]],0)</f>
        <v>#REF!</v>
      </c>
      <c r="O849" t="str">
        <f>LEFT(T_BATTINGDATA[[#This Row],[Batsman]],IFERROR(FIND("*",T_BATTINGDATA[[#This Row],[Batsman]])-1,IFERROR(FIND("†",T_BATTINGDATA[[#This Row],[Batsman]])-1,LEN(T_BATTINGDATA[[#This Row],[Batsman]]))))</f>
        <v>MN Samuels</v>
      </c>
      <c r="P849">
        <f ca="1">IFERROR(IF(MATCH(T_BATTINGDATA[[#This Row],[BATSMAN NAME]],OFFSET(O850,0,0,BATROWS-ROW(O849)-ROW(T_BATTINGDATA[[#Headers],[BATSMAN NAME]])),0)&gt;0,0,SUMIF($O$6:O849,T_BATTINGDATA[[#This Row],[BATSMAN NAME]],$E$6:E849)),SUMIF($O$6:O849,T_BATTINGDATA[[#This Row],[BATSMAN NAME]],$E$6:E849))</f>
        <v>230</v>
      </c>
    </row>
    <row r="850" spans="1:16" x14ac:dyDescent="0.3">
      <c r="A850">
        <v>41</v>
      </c>
      <c r="B850" t="s">
        <v>170</v>
      </c>
      <c r="C850" t="s">
        <v>296</v>
      </c>
      <c r="D850" t="s">
        <v>167</v>
      </c>
      <c r="E850">
        <v>50</v>
      </c>
      <c r="F850">
        <v>104</v>
      </c>
      <c r="G850">
        <v>58</v>
      </c>
      <c r="H850">
        <v>5</v>
      </c>
      <c r="I850">
        <v>0</v>
      </c>
      <c r="J850">
        <v>86.2</v>
      </c>
      <c r="K850">
        <v>4</v>
      </c>
      <c r="L850" t="str">
        <f>CONCATENATE(T_BATTINGDATA[[#This Row],[Match]],T_BATTINGDATA[[#This Row],[Team]],T_BATTINGDATA[[#This Row],[Bat Number]])</f>
        <v>41West Indies4</v>
      </c>
      <c r="M850" t="str">
        <f>IFERROR(IF(AND(T_BATTINGDATA[[#This Row],[Team]]=I_TEAM,IFERROR(IF(MATCH(T_BATTINGDATA[[#This Row],[BATSMAN NAME]],$O$5:O849,0)&gt;0,0),1)),1,0),"")</f>
        <v/>
      </c>
      <c r="N850" t="e">
        <f>IF(T_BATTINGDATA[[#This Row],[Team]]=I_TEAM,T_BATTINGDATA[[#This Row],[R]],0)</f>
        <v>#REF!</v>
      </c>
      <c r="O850" t="str">
        <f>LEFT(T_BATTINGDATA[[#This Row],[Batsman]],IFERROR(FIND("*",T_BATTINGDATA[[#This Row],[Batsman]])-1,IFERROR(FIND("†",T_BATTINGDATA[[#This Row],[Batsman]])-1,LEN(T_BATTINGDATA[[#This Row],[Batsman]]))))</f>
        <v>JL Carter</v>
      </c>
      <c r="P850">
        <f ca="1">IFERROR(IF(MATCH(T_BATTINGDATA[[#This Row],[BATSMAN NAME]],OFFSET(O851,0,0,BATROWS-ROW(O850)-ROW(T_BATTINGDATA[[#Headers],[BATSMAN NAME]])),0)&gt;0,0,SUMIF($O$6:O850,T_BATTINGDATA[[#This Row],[BATSMAN NAME]],$E$6:E850)),SUMIF($O$6:O850,T_BATTINGDATA[[#This Row],[BATSMAN NAME]],$E$6:E850))</f>
        <v>113</v>
      </c>
    </row>
    <row r="851" spans="1:16" x14ac:dyDescent="0.3">
      <c r="A851">
        <v>41</v>
      </c>
      <c r="B851" t="s">
        <v>170</v>
      </c>
      <c r="C851" t="s">
        <v>264</v>
      </c>
      <c r="D851" t="s">
        <v>870</v>
      </c>
      <c r="E851">
        <v>7</v>
      </c>
      <c r="F851">
        <v>10</v>
      </c>
      <c r="G851">
        <v>8</v>
      </c>
      <c r="H851">
        <v>0</v>
      </c>
      <c r="I851">
        <v>1</v>
      </c>
      <c r="J851">
        <v>87.5</v>
      </c>
      <c r="K851">
        <v>5</v>
      </c>
      <c r="L851" t="str">
        <f>CONCATENATE(T_BATTINGDATA[[#This Row],[Match]],T_BATTINGDATA[[#This Row],[Team]],T_BATTINGDATA[[#This Row],[Bat Number]])</f>
        <v>41West Indies5</v>
      </c>
      <c r="M851" t="str">
        <f>IFERROR(IF(AND(T_BATTINGDATA[[#This Row],[Team]]=I_TEAM,IFERROR(IF(MATCH(T_BATTINGDATA[[#This Row],[BATSMAN NAME]],$O$5:O850,0)&gt;0,0),1)),1,0),"")</f>
        <v/>
      </c>
      <c r="N851" t="e">
        <f>IF(T_BATTINGDATA[[#This Row],[Team]]=I_TEAM,T_BATTINGDATA[[#This Row],[R]],0)</f>
        <v>#REF!</v>
      </c>
      <c r="O851" t="str">
        <f>LEFT(T_BATTINGDATA[[#This Row],[Batsman]],IFERROR(FIND("*",T_BATTINGDATA[[#This Row],[Batsman]])-1,IFERROR(FIND("†",T_BATTINGDATA[[#This Row],[Batsman]])-1,LEN(T_BATTINGDATA[[#This Row],[Batsman]]))))</f>
        <v>AD Russell</v>
      </c>
      <c r="P851">
        <f ca="1">IFERROR(IF(MATCH(T_BATTINGDATA[[#This Row],[BATSMAN NAME]],OFFSET(O852,0,0,BATROWS-ROW(O851)-ROW(T_BATTINGDATA[[#Headers],[BATSMAN NAME]])),0)&gt;0,0,SUMIF($O$6:O851,T_BATTINGDATA[[#This Row],[BATSMAN NAME]],$E$6:E851)),SUMIF($O$6:O851,T_BATTINGDATA[[#This Row],[BATSMAN NAME]],$E$6:E851))</f>
        <v>104</v>
      </c>
    </row>
    <row r="852" spans="1:16" x14ac:dyDescent="0.3">
      <c r="A852">
        <v>41</v>
      </c>
      <c r="B852" t="s">
        <v>170</v>
      </c>
      <c r="C852" t="s">
        <v>298</v>
      </c>
      <c r="D852" t="s">
        <v>167</v>
      </c>
      <c r="E852">
        <v>33</v>
      </c>
      <c r="F852">
        <v>55</v>
      </c>
      <c r="G852">
        <v>50</v>
      </c>
      <c r="H852">
        <v>2</v>
      </c>
      <c r="I852">
        <v>0</v>
      </c>
      <c r="J852">
        <v>66</v>
      </c>
      <c r="K852">
        <v>6</v>
      </c>
      <c r="L852" t="str">
        <f>CONCATENATE(T_BATTINGDATA[[#This Row],[Match]],T_BATTINGDATA[[#This Row],[Team]],T_BATTINGDATA[[#This Row],[Bat Number]])</f>
        <v>41West Indies6</v>
      </c>
      <c r="M852" t="str">
        <f>IFERROR(IF(AND(T_BATTINGDATA[[#This Row],[Team]]=I_TEAM,IFERROR(IF(MATCH(T_BATTINGDATA[[#This Row],[BATSMAN NAME]],$O$5:O851,0)&gt;0,0),1)),1,0),"")</f>
        <v/>
      </c>
      <c r="N852" t="e">
        <f>IF(T_BATTINGDATA[[#This Row],[Team]]=I_TEAM,T_BATTINGDATA[[#This Row],[R]],0)</f>
        <v>#REF!</v>
      </c>
      <c r="O852" t="str">
        <f>LEFT(T_BATTINGDATA[[#This Row],[Batsman]],IFERROR(FIND("*",T_BATTINGDATA[[#This Row],[Batsman]])-1,IFERROR(FIND("†",T_BATTINGDATA[[#This Row],[Batsman]])-1,LEN(T_BATTINGDATA[[#This Row],[Batsman]]))))</f>
        <v>D Ramdin</v>
      </c>
      <c r="P852">
        <f ca="1">IFERROR(IF(MATCH(T_BATTINGDATA[[#This Row],[BATSMAN NAME]],OFFSET(O853,0,0,BATROWS-ROW(O852)-ROW(T_BATTINGDATA[[#Headers],[BATSMAN NAME]])),0)&gt;0,0,SUMIF($O$6:O852,T_BATTINGDATA[[#This Row],[BATSMAN NAME]],$E$6:E852)),SUMIF($O$6:O852,T_BATTINGDATA[[#This Row],[BATSMAN NAME]],$E$6:E852))</f>
        <v>107</v>
      </c>
    </row>
    <row r="853" spans="1:16" x14ac:dyDescent="0.3">
      <c r="A853">
        <v>42</v>
      </c>
      <c r="B853" t="s">
        <v>169</v>
      </c>
      <c r="C853" t="s">
        <v>269</v>
      </c>
      <c r="D853" t="s">
        <v>871</v>
      </c>
      <c r="E853">
        <v>107</v>
      </c>
      <c r="F853">
        <v>161</v>
      </c>
      <c r="G853">
        <v>131</v>
      </c>
      <c r="H853">
        <v>11</v>
      </c>
      <c r="I853">
        <v>1</v>
      </c>
      <c r="J853">
        <v>81.67</v>
      </c>
      <c r="K853">
        <v>1</v>
      </c>
      <c r="L853" t="str">
        <f>CONCATENATE(T_BATTINGDATA[[#This Row],[Match]],T_BATTINGDATA[[#This Row],[Team]],T_BATTINGDATA[[#This Row],[Bat Number]])</f>
        <v>42Ireland1</v>
      </c>
      <c r="M853" t="str">
        <f>IFERROR(IF(AND(T_BATTINGDATA[[#This Row],[Team]]=I_TEAM,IFERROR(IF(MATCH(T_BATTINGDATA[[#This Row],[BATSMAN NAME]],$O$5:O852,0)&gt;0,0),1)),1,0),"")</f>
        <v/>
      </c>
      <c r="N853" t="e">
        <f>IF(T_BATTINGDATA[[#This Row],[Team]]=I_TEAM,T_BATTINGDATA[[#This Row],[R]],0)</f>
        <v>#REF!</v>
      </c>
      <c r="O853" t="str">
        <f>LEFT(T_BATTINGDATA[[#This Row],[Batsman]],IFERROR(FIND("*",T_BATTINGDATA[[#This Row],[Batsman]])-1,IFERROR(FIND("†",T_BATTINGDATA[[#This Row],[Batsman]])-1,LEN(T_BATTINGDATA[[#This Row],[Batsman]]))))</f>
        <v>WTS Porterfield</v>
      </c>
      <c r="P853">
        <f ca="1">IFERROR(IF(MATCH(T_BATTINGDATA[[#This Row],[BATSMAN NAME]],OFFSET(O854,0,0,BATROWS-ROW(O853)-ROW(T_BATTINGDATA[[#Headers],[BATSMAN NAME]])),0)&gt;0,0,SUMIF($O$6:O853,T_BATTINGDATA[[#This Row],[BATSMAN NAME]],$E$6:E853)),SUMIF($O$6:O853,T_BATTINGDATA[[#This Row],[BATSMAN NAME]],$E$6:E853))</f>
        <v>275</v>
      </c>
    </row>
    <row r="854" spans="1:16" x14ac:dyDescent="0.3">
      <c r="A854">
        <v>42</v>
      </c>
      <c r="B854" t="s">
        <v>169</v>
      </c>
      <c r="C854" t="s">
        <v>249</v>
      </c>
      <c r="D854" t="s">
        <v>600</v>
      </c>
      <c r="E854">
        <v>3</v>
      </c>
      <c r="F854">
        <v>15</v>
      </c>
      <c r="G854">
        <v>8</v>
      </c>
      <c r="H854">
        <v>0</v>
      </c>
      <c r="I854">
        <v>0</v>
      </c>
      <c r="J854">
        <v>37.5</v>
      </c>
      <c r="K854">
        <v>2</v>
      </c>
      <c r="L854" t="str">
        <f>CONCATENATE(T_BATTINGDATA[[#This Row],[Match]],T_BATTINGDATA[[#This Row],[Team]],T_BATTINGDATA[[#This Row],[Bat Number]])</f>
        <v>42Ireland2</v>
      </c>
      <c r="M854" t="str">
        <f>IFERROR(IF(AND(T_BATTINGDATA[[#This Row],[Team]]=I_TEAM,IFERROR(IF(MATCH(T_BATTINGDATA[[#This Row],[BATSMAN NAME]],$O$5:O853,0)&gt;0,0),1)),1,0),"")</f>
        <v/>
      </c>
      <c r="N854" t="e">
        <f>IF(T_BATTINGDATA[[#This Row],[Team]]=I_TEAM,T_BATTINGDATA[[#This Row],[R]],0)</f>
        <v>#REF!</v>
      </c>
      <c r="O854" t="str">
        <f>LEFT(T_BATTINGDATA[[#This Row],[Batsman]],IFERROR(FIND("*",T_BATTINGDATA[[#This Row],[Batsman]])-1,IFERROR(FIND("†",T_BATTINGDATA[[#This Row],[Batsman]])-1,LEN(T_BATTINGDATA[[#This Row],[Batsman]]))))</f>
        <v>PR Stirling</v>
      </c>
      <c r="P854">
        <f ca="1">IFERROR(IF(MATCH(T_BATTINGDATA[[#This Row],[BATSMAN NAME]],OFFSET(O855,0,0,BATROWS-ROW(O854)-ROW(T_BATTINGDATA[[#Headers],[BATSMAN NAME]])),0)&gt;0,0,SUMIF($O$6:O854,T_BATTINGDATA[[#This Row],[BATSMAN NAME]],$E$6:E854)),SUMIF($O$6:O854,T_BATTINGDATA[[#This Row],[BATSMAN NAME]],$E$6:E854))</f>
        <v>159</v>
      </c>
    </row>
    <row r="855" spans="1:16" x14ac:dyDescent="0.3">
      <c r="A855">
        <v>42</v>
      </c>
      <c r="B855" t="s">
        <v>169</v>
      </c>
      <c r="C855" t="s">
        <v>273</v>
      </c>
      <c r="D855" t="s">
        <v>872</v>
      </c>
      <c r="E855">
        <v>11</v>
      </c>
      <c r="F855">
        <v>41</v>
      </c>
      <c r="G855">
        <v>18</v>
      </c>
      <c r="H855">
        <v>1</v>
      </c>
      <c r="I855">
        <v>0</v>
      </c>
      <c r="J855">
        <v>61.11</v>
      </c>
      <c r="K855">
        <v>3</v>
      </c>
      <c r="L855" t="str">
        <f>CONCATENATE(T_BATTINGDATA[[#This Row],[Match]],T_BATTINGDATA[[#This Row],[Team]],T_BATTINGDATA[[#This Row],[Bat Number]])</f>
        <v>42Ireland3</v>
      </c>
      <c r="M855" t="str">
        <f>IFERROR(IF(AND(T_BATTINGDATA[[#This Row],[Team]]=I_TEAM,IFERROR(IF(MATCH(T_BATTINGDATA[[#This Row],[BATSMAN NAME]],$O$5:O854,0)&gt;0,0),1)),1,0),"")</f>
        <v/>
      </c>
      <c r="N855" t="e">
        <f>IF(T_BATTINGDATA[[#This Row],[Team]]=I_TEAM,T_BATTINGDATA[[#This Row],[R]],0)</f>
        <v>#REF!</v>
      </c>
      <c r="O855" t="str">
        <f>LEFT(T_BATTINGDATA[[#This Row],[Batsman]],IFERROR(FIND("*",T_BATTINGDATA[[#This Row],[Batsman]])-1,IFERROR(FIND("†",T_BATTINGDATA[[#This Row],[Batsman]])-1,LEN(T_BATTINGDATA[[#This Row],[Batsman]]))))</f>
        <v>EC Joyce</v>
      </c>
      <c r="P855">
        <f ca="1">IFERROR(IF(MATCH(T_BATTINGDATA[[#This Row],[BATSMAN NAME]],OFFSET(O856,0,0,BATROWS-ROW(O855)-ROW(T_BATTINGDATA[[#Headers],[BATSMAN NAME]])),0)&gt;0,0,SUMIF($O$6:O855,T_BATTINGDATA[[#This Row],[BATSMAN NAME]],$E$6:E855)),SUMIF($O$6:O855,T_BATTINGDATA[[#This Row],[BATSMAN NAME]],$E$6:E855))</f>
        <v>246</v>
      </c>
    </row>
    <row r="856" spans="1:16" x14ac:dyDescent="0.3">
      <c r="A856">
        <v>42</v>
      </c>
      <c r="B856" t="s">
        <v>169</v>
      </c>
      <c r="C856" t="s">
        <v>276</v>
      </c>
      <c r="D856" t="s">
        <v>873</v>
      </c>
      <c r="E856">
        <v>12</v>
      </c>
      <c r="F856">
        <v>20</v>
      </c>
      <c r="G856">
        <v>10</v>
      </c>
      <c r="H856">
        <v>2</v>
      </c>
      <c r="I856">
        <v>0</v>
      </c>
      <c r="J856">
        <v>120</v>
      </c>
      <c r="K856">
        <v>4</v>
      </c>
      <c r="L856" t="str">
        <f>CONCATENATE(T_BATTINGDATA[[#This Row],[Match]],T_BATTINGDATA[[#This Row],[Team]],T_BATTINGDATA[[#This Row],[Bat Number]])</f>
        <v>42Ireland4</v>
      </c>
      <c r="M856" t="str">
        <f>IFERROR(IF(AND(T_BATTINGDATA[[#This Row],[Team]]=I_TEAM,IFERROR(IF(MATCH(T_BATTINGDATA[[#This Row],[BATSMAN NAME]],$O$5:O855,0)&gt;0,0),1)),1,0),"")</f>
        <v/>
      </c>
      <c r="N856" t="e">
        <f>IF(T_BATTINGDATA[[#This Row],[Team]]=I_TEAM,T_BATTINGDATA[[#This Row],[R]],0)</f>
        <v>#REF!</v>
      </c>
      <c r="O856" t="str">
        <f>LEFT(T_BATTINGDATA[[#This Row],[Batsman]],IFERROR(FIND("*",T_BATTINGDATA[[#This Row],[Batsman]])-1,IFERROR(FIND("†",T_BATTINGDATA[[#This Row],[Batsman]])-1,LEN(T_BATTINGDATA[[#This Row],[Batsman]]))))</f>
        <v>NJ O'Brien</v>
      </c>
      <c r="P856">
        <f ca="1">IFERROR(IF(MATCH(T_BATTINGDATA[[#This Row],[BATSMAN NAME]],OFFSET(O857,0,0,BATROWS-ROW(O856)-ROW(T_BATTINGDATA[[#Headers],[BATSMAN NAME]])),0)&gt;0,0,SUMIF($O$6:O856,T_BATTINGDATA[[#This Row],[BATSMAN NAME]],$E$6:E856)),SUMIF($O$6:O856,T_BATTINGDATA[[#This Row],[BATSMAN NAME]],$E$6:E856))</f>
        <v>199</v>
      </c>
    </row>
    <row r="857" spans="1:16" x14ac:dyDescent="0.3">
      <c r="A857">
        <v>42</v>
      </c>
      <c r="B857" t="s">
        <v>169</v>
      </c>
      <c r="C857" t="s">
        <v>278</v>
      </c>
      <c r="D857" t="s">
        <v>874</v>
      </c>
      <c r="E857">
        <v>18</v>
      </c>
      <c r="F857">
        <v>44</v>
      </c>
      <c r="G857">
        <v>36</v>
      </c>
      <c r="H857">
        <v>0</v>
      </c>
      <c r="I857">
        <v>0</v>
      </c>
      <c r="J857">
        <v>50</v>
      </c>
      <c r="K857">
        <v>5</v>
      </c>
      <c r="L857" t="str">
        <f>CONCATENATE(T_BATTINGDATA[[#This Row],[Match]],T_BATTINGDATA[[#This Row],[Team]],T_BATTINGDATA[[#This Row],[Bat Number]])</f>
        <v>42Ireland5</v>
      </c>
      <c r="M857" t="str">
        <f>IFERROR(IF(AND(T_BATTINGDATA[[#This Row],[Team]]=I_TEAM,IFERROR(IF(MATCH(T_BATTINGDATA[[#This Row],[BATSMAN NAME]],$O$5:O856,0)&gt;0,0),1)),1,0),"")</f>
        <v/>
      </c>
      <c r="N857" t="e">
        <f>IF(T_BATTINGDATA[[#This Row],[Team]]=I_TEAM,T_BATTINGDATA[[#This Row],[R]],0)</f>
        <v>#REF!</v>
      </c>
      <c r="O857" t="str">
        <f>LEFT(T_BATTINGDATA[[#This Row],[Batsman]],IFERROR(FIND("*",T_BATTINGDATA[[#This Row],[Batsman]])-1,IFERROR(FIND("†",T_BATTINGDATA[[#This Row],[Batsman]])-1,LEN(T_BATTINGDATA[[#This Row],[Batsman]]))))</f>
        <v>A Balbirnie</v>
      </c>
      <c r="P857">
        <f ca="1">IFERROR(IF(MATCH(T_BATTINGDATA[[#This Row],[BATSMAN NAME]],OFFSET(O858,0,0,BATROWS-ROW(O857)-ROW(T_BATTINGDATA[[#Headers],[BATSMAN NAME]])),0)&gt;0,0,SUMIF($O$6:O857,T_BATTINGDATA[[#This Row],[BATSMAN NAME]],$E$6:E857)),SUMIF($O$6:O857,T_BATTINGDATA[[#This Row],[BATSMAN NAME]],$E$6:E857))</f>
        <v>236</v>
      </c>
    </row>
    <row r="858" spans="1:16" x14ac:dyDescent="0.3">
      <c r="A858">
        <v>42</v>
      </c>
      <c r="B858" t="s">
        <v>169</v>
      </c>
      <c r="C858" t="s">
        <v>281</v>
      </c>
      <c r="D858" t="s">
        <v>875</v>
      </c>
      <c r="E858">
        <v>29</v>
      </c>
      <c r="F858">
        <v>46</v>
      </c>
      <c r="G858">
        <v>38</v>
      </c>
      <c r="H858">
        <v>2</v>
      </c>
      <c r="I858">
        <v>0</v>
      </c>
      <c r="J858">
        <v>76.31</v>
      </c>
      <c r="K858">
        <v>6</v>
      </c>
      <c r="L858" t="str">
        <f>CONCATENATE(T_BATTINGDATA[[#This Row],[Match]],T_BATTINGDATA[[#This Row],[Team]],T_BATTINGDATA[[#This Row],[Bat Number]])</f>
        <v>42Ireland6</v>
      </c>
      <c r="M858" t="str">
        <f>IFERROR(IF(AND(T_BATTINGDATA[[#This Row],[Team]]=I_TEAM,IFERROR(IF(MATCH(T_BATTINGDATA[[#This Row],[BATSMAN NAME]],$O$5:O857,0)&gt;0,0),1)),1,0),"")</f>
        <v/>
      </c>
      <c r="N858" t="e">
        <f>IF(T_BATTINGDATA[[#This Row],[Team]]=I_TEAM,T_BATTINGDATA[[#This Row],[R]],0)</f>
        <v>#REF!</v>
      </c>
      <c r="O858" t="str">
        <f>LEFT(T_BATTINGDATA[[#This Row],[Batsman]],IFERROR(FIND("*",T_BATTINGDATA[[#This Row],[Batsman]])-1,IFERROR(FIND("†",T_BATTINGDATA[[#This Row],[Batsman]])-1,LEN(T_BATTINGDATA[[#This Row],[Batsman]]))))</f>
        <v>GC Wilson</v>
      </c>
      <c r="P858">
        <f ca="1">IFERROR(IF(MATCH(T_BATTINGDATA[[#This Row],[BATSMAN NAME]],OFFSET(O859,0,0,BATROWS-ROW(O858)-ROW(T_BATTINGDATA[[#Headers],[BATSMAN NAME]])),0)&gt;0,0,SUMIF($O$6:O858,T_BATTINGDATA[[#This Row],[BATSMAN NAME]],$E$6:E858)),SUMIF($O$6:O858,T_BATTINGDATA[[#This Row],[BATSMAN NAME]],$E$6:E858))</f>
        <v>141</v>
      </c>
    </row>
    <row r="859" spans="1:16" x14ac:dyDescent="0.3">
      <c r="A859">
        <v>42</v>
      </c>
      <c r="B859" t="s">
        <v>169</v>
      </c>
      <c r="C859" t="s">
        <v>251</v>
      </c>
      <c r="D859" t="s">
        <v>601</v>
      </c>
      <c r="E859">
        <v>8</v>
      </c>
      <c r="F859">
        <v>40</v>
      </c>
      <c r="G859">
        <v>16</v>
      </c>
      <c r="H859">
        <v>1</v>
      </c>
      <c r="I859">
        <v>0</v>
      </c>
      <c r="J859">
        <v>50</v>
      </c>
      <c r="K859">
        <v>7</v>
      </c>
      <c r="L859" t="str">
        <f>CONCATENATE(T_BATTINGDATA[[#This Row],[Match]],T_BATTINGDATA[[#This Row],[Team]],T_BATTINGDATA[[#This Row],[Bat Number]])</f>
        <v>42Ireland7</v>
      </c>
      <c r="M859" t="str">
        <f>IFERROR(IF(AND(T_BATTINGDATA[[#This Row],[Team]]=I_TEAM,IFERROR(IF(MATCH(T_BATTINGDATA[[#This Row],[BATSMAN NAME]],$O$5:O858,0)&gt;0,0),1)),1,0),"")</f>
        <v/>
      </c>
      <c r="N859" t="e">
        <f>IF(T_BATTINGDATA[[#This Row],[Team]]=I_TEAM,T_BATTINGDATA[[#This Row],[R]],0)</f>
        <v>#REF!</v>
      </c>
      <c r="O859" t="str">
        <f>LEFT(T_BATTINGDATA[[#This Row],[Batsman]],IFERROR(FIND("*",T_BATTINGDATA[[#This Row],[Batsman]])-1,IFERROR(FIND("†",T_BATTINGDATA[[#This Row],[Batsman]])-1,LEN(T_BATTINGDATA[[#This Row],[Batsman]]))))</f>
        <v>KJ O'Brien</v>
      </c>
      <c r="P859">
        <f ca="1">IFERROR(IF(MATCH(T_BATTINGDATA[[#This Row],[BATSMAN NAME]],OFFSET(O860,0,0,BATROWS-ROW(O859)-ROW(T_BATTINGDATA[[#Headers],[BATSMAN NAME]])),0)&gt;0,0,SUMIF($O$6:O859,T_BATTINGDATA[[#This Row],[BATSMAN NAME]],$E$6:E859)),SUMIF($O$6:O859,T_BATTINGDATA[[#This Row],[BATSMAN NAME]],$E$6:E859))</f>
        <v>131</v>
      </c>
    </row>
    <row r="860" spans="1:16" x14ac:dyDescent="0.3">
      <c r="A860">
        <v>42</v>
      </c>
      <c r="B860" t="s">
        <v>169</v>
      </c>
      <c r="C860" t="s">
        <v>245</v>
      </c>
      <c r="D860" t="s">
        <v>873</v>
      </c>
      <c r="E860">
        <v>12</v>
      </c>
      <c r="F860">
        <v>14</v>
      </c>
      <c r="G860">
        <v>15</v>
      </c>
      <c r="H860">
        <v>1</v>
      </c>
      <c r="I860">
        <v>0</v>
      </c>
      <c r="J860">
        <v>80</v>
      </c>
      <c r="K860">
        <v>8</v>
      </c>
      <c r="L860" t="str">
        <f>CONCATENATE(T_BATTINGDATA[[#This Row],[Match]],T_BATTINGDATA[[#This Row],[Team]],T_BATTINGDATA[[#This Row],[Bat Number]])</f>
        <v>42Ireland8</v>
      </c>
      <c r="M860" t="str">
        <f>IFERROR(IF(AND(T_BATTINGDATA[[#This Row],[Team]]=I_TEAM,IFERROR(IF(MATCH(T_BATTINGDATA[[#This Row],[BATSMAN NAME]],$O$5:O859,0)&gt;0,0),1)),1,0),"")</f>
        <v/>
      </c>
      <c r="N860" t="e">
        <f>IF(T_BATTINGDATA[[#This Row],[Team]]=I_TEAM,T_BATTINGDATA[[#This Row],[R]],0)</f>
        <v>#REF!</v>
      </c>
      <c r="O860" t="str">
        <f>LEFT(T_BATTINGDATA[[#This Row],[Batsman]],IFERROR(FIND("*",T_BATTINGDATA[[#This Row],[Batsman]])-1,IFERROR(FIND("†",T_BATTINGDATA[[#This Row],[Batsman]])-1,LEN(T_BATTINGDATA[[#This Row],[Batsman]]))))</f>
        <v>SR Thompson</v>
      </c>
      <c r="P860">
        <f ca="1">IFERROR(IF(MATCH(T_BATTINGDATA[[#This Row],[BATSMAN NAME]],OFFSET(O861,0,0,BATROWS-ROW(O860)-ROW(T_BATTINGDATA[[#Headers],[BATSMAN NAME]])),0)&gt;0,0,SUMIF($O$6:O860,T_BATTINGDATA[[#This Row],[BATSMAN NAME]],$E$6:E860)),SUMIF($O$6:O860,T_BATTINGDATA[[#This Row],[BATSMAN NAME]],$E$6:E860))</f>
        <v>0</v>
      </c>
    </row>
    <row r="861" spans="1:16" x14ac:dyDescent="0.3">
      <c r="A861">
        <v>42</v>
      </c>
      <c r="B861" t="s">
        <v>169</v>
      </c>
      <c r="C861" t="s">
        <v>242</v>
      </c>
      <c r="D861" t="s">
        <v>872</v>
      </c>
      <c r="E861">
        <v>13</v>
      </c>
      <c r="F861">
        <v>27</v>
      </c>
      <c r="G861">
        <v>19</v>
      </c>
      <c r="H861">
        <v>1</v>
      </c>
      <c r="I861">
        <v>0</v>
      </c>
      <c r="J861">
        <v>68.42</v>
      </c>
      <c r="K861">
        <v>9</v>
      </c>
      <c r="L861" t="str">
        <f>CONCATENATE(T_BATTINGDATA[[#This Row],[Match]],T_BATTINGDATA[[#This Row],[Team]],T_BATTINGDATA[[#This Row],[Bat Number]])</f>
        <v>42Ireland9</v>
      </c>
      <c r="M861" t="str">
        <f>IFERROR(IF(AND(T_BATTINGDATA[[#This Row],[Team]]=I_TEAM,IFERROR(IF(MATCH(T_BATTINGDATA[[#This Row],[BATSMAN NAME]],$O$5:O860,0)&gt;0,0),1)),1,0),"")</f>
        <v/>
      </c>
      <c r="N861" t="e">
        <f>IF(T_BATTINGDATA[[#This Row],[Team]]=I_TEAM,T_BATTINGDATA[[#This Row],[R]],0)</f>
        <v>#REF!</v>
      </c>
      <c r="O861" t="str">
        <f>LEFT(T_BATTINGDATA[[#This Row],[Batsman]],IFERROR(FIND("*",T_BATTINGDATA[[#This Row],[Batsman]])-1,IFERROR(FIND("†",T_BATTINGDATA[[#This Row],[Batsman]])-1,LEN(T_BATTINGDATA[[#This Row],[Batsman]]))))</f>
        <v>JF Mooney</v>
      </c>
      <c r="P861">
        <f ca="1">IFERROR(IF(MATCH(T_BATTINGDATA[[#This Row],[BATSMAN NAME]],OFFSET(O862,0,0,BATROWS-ROW(O861)-ROW(T_BATTINGDATA[[#Headers],[BATSMAN NAME]])),0)&gt;0,0,SUMIF($O$6:O861,T_BATTINGDATA[[#This Row],[BATSMAN NAME]],$E$6:E861)),SUMIF($O$6:O861,T_BATTINGDATA[[#This Row],[BATSMAN NAME]],$E$6:E861))</f>
        <v>0</v>
      </c>
    </row>
    <row r="862" spans="1:16" x14ac:dyDescent="0.3">
      <c r="A862">
        <v>42</v>
      </c>
      <c r="B862" t="s">
        <v>169</v>
      </c>
      <c r="C862" t="s">
        <v>246</v>
      </c>
      <c r="D862" t="s">
        <v>876</v>
      </c>
      <c r="E862">
        <v>11</v>
      </c>
      <c r="F862">
        <v>13</v>
      </c>
      <c r="G862">
        <v>8</v>
      </c>
      <c r="H862">
        <v>0</v>
      </c>
      <c r="I862">
        <v>1</v>
      </c>
      <c r="J862">
        <v>137.5</v>
      </c>
      <c r="K862">
        <v>10</v>
      </c>
      <c r="L862" t="str">
        <f>CONCATENATE(T_BATTINGDATA[[#This Row],[Match]],T_BATTINGDATA[[#This Row],[Team]],T_BATTINGDATA[[#This Row],[Bat Number]])</f>
        <v>42Ireland10</v>
      </c>
      <c r="M862" t="str">
        <f>IFERROR(IF(AND(T_BATTINGDATA[[#This Row],[Team]]=I_TEAM,IFERROR(IF(MATCH(T_BATTINGDATA[[#This Row],[BATSMAN NAME]],$O$5:O861,0)&gt;0,0),1)),1,0),"")</f>
        <v/>
      </c>
      <c r="N862" t="e">
        <f>IF(T_BATTINGDATA[[#This Row],[Team]]=I_TEAM,T_BATTINGDATA[[#This Row],[R]],0)</f>
        <v>#REF!</v>
      </c>
      <c r="O862" t="str">
        <f>LEFT(T_BATTINGDATA[[#This Row],[Batsman]],IFERROR(FIND("*",T_BATTINGDATA[[#This Row],[Batsman]])-1,IFERROR(FIND("†",T_BATTINGDATA[[#This Row],[Batsman]])-1,LEN(T_BATTINGDATA[[#This Row],[Batsman]]))))</f>
        <v>GH Dockrell</v>
      </c>
      <c r="P862">
        <f ca="1">IFERROR(IF(MATCH(T_BATTINGDATA[[#This Row],[BATSMAN NAME]],OFFSET(O863,0,0,BATROWS-ROW(O862)-ROW(T_BATTINGDATA[[#Headers],[BATSMAN NAME]])),0)&gt;0,0,SUMIF($O$6:O862,T_BATTINGDATA[[#This Row],[BATSMAN NAME]],$E$6:E862)),SUMIF($O$6:O862,T_BATTINGDATA[[#This Row],[BATSMAN NAME]],$E$6:E862))</f>
        <v>0</v>
      </c>
    </row>
    <row r="863" spans="1:16" x14ac:dyDescent="0.3">
      <c r="A863">
        <v>42</v>
      </c>
      <c r="B863" t="s">
        <v>169</v>
      </c>
      <c r="C863" t="s">
        <v>244</v>
      </c>
      <c r="D863" t="s">
        <v>167</v>
      </c>
      <c r="E863">
        <v>1</v>
      </c>
      <c r="F863">
        <v>3</v>
      </c>
      <c r="G863">
        <v>1</v>
      </c>
      <c r="H863">
        <v>0</v>
      </c>
      <c r="I863">
        <v>0</v>
      </c>
      <c r="J863">
        <v>100</v>
      </c>
      <c r="K863">
        <v>11</v>
      </c>
      <c r="L863" t="str">
        <f>CONCATENATE(T_BATTINGDATA[[#This Row],[Match]],T_BATTINGDATA[[#This Row],[Team]],T_BATTINGDATA[[#This Row],[Bat Number]])</f>
        <v>42Ireland11</v>
      </c>
      <c r="M863" t="str">
        <f>IFERROR(IF(AND(T_BATTINGDATA[[#This Row],[Team]]=I_TEAM,IFERROR(IF(MATCH(T_BATTINGDATA[[#This Row],[BATSMAN NAME]],$O$5:O862,0)&gt;0,0),1)),1,0),"")</f>
        <v/>
      </c>
      <c r="N863" t="e">
        <f>IF(T_BATTINGDATA[[#This Row],[Team]]=I_TEAM,T_BATTINGDATA[[#This Row],[R]],0)</f>
        <v>#REF!</v>
      </c>
      <c r="O863" t="str">
        <f>LEFT(T_BATTINGDATA[[#This Row],[Batsman]],IFERROR(FIND("*",T_BATTINGDATA[[#This Row],[Batsman]])-1,IFERROR(FIND("†",T_BATTINGDATA[[#This Row],[Batsman]])-1,LEN(T_BATTINGDATA[[#This Row],[Batsman]]))))</f>
        <v>AR Cusack</v>
      </c>
      <c r="P863">
        <f ca="1">IFERROR(IF(MATCH(T_BATTINGDATA[[#This Row],[BATSMAN NAME]],OFFSET(O864,0,0,BATROWS-ROW(O863)-ROW(T_BATTINGDATA[[#Headers],[BATSMAN NAME]])),0)&gt;0,0,SUMIF($O$6:O863,T_BATTINGDATA[[#This Row],[BATSMAN NAME]],$E$6:E863)),SUMIF($O$6:O863,T_BATTINGDATA[[#This Row],[BATSMAN NAME]],$E$6:E863))</f>
        <v>0</v>
      </c>
    </row>
    <row r="864" spans="1:16" x14ac:dyDescent="0.3">
      <c r="A864">
        <v>42</v>
      </c>
      <c r="B864" t="s">
        <v>153</v>
      </c>
      <c r="C864" t="s">
        <v>202</v>
      </c>
      <c r="D864" t="s">
        <v>877</v>
      </c>
      <c r="E864">
        <v>63</v>
      </c>
      <c r="F864">
        <v>94</v>
      </c>
      <c r="G864">
        <v>71</v>
      </c>
      <c r="H864">
        <v>7</v>
      </c>
      <c r="I864">
        <v>0</v>
      </c>
      <c r="J864">
        <v>88.73</v>
      </c>
      <c r="K864">
        <v>1</v>
      </c>
      <c r="L864" t="str">
        <f>CONCATENATE(T_BATTINGDATA[[#This Row],[Match]],T_BATTINGDATA[[#This Row],[Team]],T_BATTINGDATA[[#This Row],[Bat Number]])</f>
        <v>42Pakistan1</v>
      </c>
      <c r="M864" t="str">
        <f>IFERROR(IF(AND(T_BATTINGDATA[[#This Row],[Team]]=I_TEAM,IFERROR(IF(MATCH(T_BATTINGDATA[[#This Row],[BATSMAN NAME]],$O$5:O863,0)&gt;0,0),1)),1,0),"")</f>
        <v/>
      </c>
      <c r="N864" t="e">
        <f>IF(T_BATTINGDATA[[#This Row],[Team]]=I_TEAM,T_BATTINGDATA[[#This Row],[R]],0)</f>
        <v>#REF!</v>
      </c>
      <c r="O864" t="str">
        <f>LEFT(T_BATTINGDATA[[#This Row],[Batsman]],IFERROR(FIND("*",T_BATTINGDATA[[#This Row],[Batsman]])-1,IFERROR(FIND("†",T_BATTINGDATA[[#This Row],[Batsman]])-1,LEN(T_BATTINGDATA[[#This Row],[Batsman]]))))</f>
        <v>Ahmed Shehzad</v>
      </c>
      <c r="P864">
        <f ca="1">IFERROR(IF(MATCH(T_BATTINGDATA[[#This Row],[BATSMAN NAME]],OFFSET(O865,0,0,BATROWS-ROW(O864)-ROW(T_BATTINGDATA[[#Headers],[BATSMAN NAME]])),0)&gt;0,0,SUMIF($O$6:O864,T_BATTINGDATA[[#This Row],[BATSMAN NAME]],$E$6:E864)),SUMIF($O$6:O864,T_BATTINGDATA[[#This Row],[BATSMAN NAME]],$E$6:E864))</f>
        <v>0</v>
      </c>
    </row>
    <row r="865" spans="1:16" x14ac:dyDescent="0.3">
      <c r="A865">
        <v>42</v>
      </c>
      <c r="B865" t="s">
        <v>153</v>
      </c>
      <c r="C865" t="s">
        <v>590</v>
      </c>
      <c r="D865" t="s">
        <v>167</v>
      </c>
      <c r="E865">
        <v>101</v>
      </c>
      <c r="F865">
        <v>200</v>
      </c>
      <c r="G865">
        <v>124</v>
      </c>
      <c r="H865">
        <v>6</v>
      </c>
      <c r="I865">
        <v>0</v>
      </c>
      <c r="J865">
        <v>81.45</v>
      </c>
      <c r="K865">
        <v>2</v>
      </c>
      <c r="L865" t="str">
        <f>CONCATENATE(T_BATTINGDATA[[#This Row],[Match]],T_BATTINGDATA[[#This Row],[Team]],T_BATTINGDATA[[#This Row],[Bat Number]])</f>
        <v>42Pakistan2</v>
      </c>
      <c r="M865" t="str">
        <f>IFERROR(IF(AND(T_BATTINGDATA[[#This Row],[Team]]=I_TEAM,IFERROR(IF(MATCH(T_BATTINGDATA[[#This Row],[BATSMAN NAME]],$O$5:O864,0)&gt;0,0),1)),1,0),"")</f>
        <v/>
      </c>
      <c r="N865" t="e">
        <f>IF(T_BATTINGDATA[[#This Row],[Team]]=I_TEAM,T_BATTINGDATA[[#This Row],[R]],0)</f>
        <v>#REF!</v>
      </c>
      <c r="O865" t="str">
        <f>LEFT(T_BATTINGDATA[[#This Row],[Batsman]],IFERROR(FIND("*",T_BATTINGDATA[[#This Row],[Batsman]])-1,IFERROR(FIND("†",T_BATTINGDATA[[#This Row],[Batsman]])-1,LEN(T_BATTINGDATA[[#This Row],[Batsman]]))))</f>
        <v>Sarfraz Ahmed</v>
      </c>
      <c r="P865">
        <f ca="1">IFERROR(IF(MATCH(T_BATTINGDATA[[#This Row],[BATSMAN NAME]],OFFSET(O866,0,0,BATROWS-ROW(O865)-ROW(T_BATTINGDATA[[#Headers],[BATSMAN NAME]])),0)&gt;0,0,SUMIF($O$6:O865,T_BATTINGDATA[[#This Row],[BATSMAN NAME]],$E$6:E865)),SUMIF($O$6:O865,T_BATTINGDATA[[#This Row],[BATSMAN NAME]],$E$6:E865))</f>
        <v>0</v>
      </c>
    </row>
    <row r="866" spans="1:16" x14ac:dyDescent="0.3">
      <c r="A866">
        <v>42</v>
      </c>
      <c r="B866" t="s">
        <v>153</v>
      </c>
      <c r="C866" t="s">
        <v>193</v>
      </c>
      <c r="D866" t="s">
        <v>878</v>
      </c>
      <c r="E866">
        <v>3</v>
      </c>
      <c r="F866">
        <v>9</v>
      </c>
      <c r="G866">
        <v>7</v>
      </c>
      <c r="H866">
        <v>0</v>
      </c>
      <c r="I866">
        <v>0</v>
      </c>
      <c r="J866">
        <v>42.85</v>
      </c>
      <c r="K866">
        <v>3</v>
      </c>
      <c r="L866" t="str">
        <f>CONCATENATE(T_BATTINGDATA[[#This Row],[Match]],T_BATTINGDATA[[#This Row],[Team]],T_BATTINGDATA[[#This Row],[Bat Number]])</f>
        <v>42Pakistan3</v>
      </c>
      <c r="M866" t="str">
        <f>IFERROR(IF(AND(T_BATTINGDATA[[#This Row],[Team]]=I_TEAM,IFERROR(IF(MATCH(T_BATTINGDATA[[#This Row],[BATSMAN NAME]],$O$5:O865,0)&gt;0,0),1)),1,0),"")</f>
        <v/>
      </c>
      <c r="N866" t="e">
        <f>IF(T_BATTINGDATA[[#This Row],[Team]]=I_TEAM,T_BATTINGDATA[[#This Row],[R]],0)</f>
        <v>#REF!</v>
      </c>
      <c r="O866" t="str">
        <f>LEFT(T_BATTINGDATA[[#This Row],[Batsman]],IFERROR(FIND("*",T_BATTINGDATA[[#This Row],[Batsman]])-1,IFERROR(FIND("†",T_BATTINGDATA[[#This Row],[Batsman]])-1,LEN(T_BATTINGDATA[[#This Row],[Batsman]]))))</f>
        <v>Haris Sohail</v>
      </c>
      <c r="P866">
        <f ca="1">IFERROR(IF(MATCH(T_BATTINGDATA[[#This Row],[BATSMAN NAME]],OFFSET(O867,0,0,BATROWS-ROW(O866)-ROW(T_BATTINGDATA[[#Headers],[BATSMAN NAME]])),0)&gt;0,0,SUMIF($O$6:O866,T_BATTINGDATA[[#This Row],[BATSMAN NAME]],$E$6:E866)),SUMIF($O$6:O866,T_BATTINGDATA[[#This Row],[BATSMAN NAME]],$E$6:E866))</f>
        <v>0</v>
      </c>
    </row>
    <row r="867" spans="1:16" x14ac:dyDescent="0.3">
      <c r="A867">
        <v>42</v>
      </c>
      <c r="B867" t="s">
        <v>153</v>
      </c>
      <c r="C867" t="s">
        <v>209</v>
      </c>
      <c r="D867" t="s">
        <v>879</v>
      </c>
      <c r="E867">
        <v>39</v>
      </c>
      <c r="F867">
        <v>59</v>
      </c>
      <c r="G867">
        <v>46</v>
      </c>
      <c r="H867">
        <v>3</v>
      </c>
      <c r="I867">
        <v>2</v>
      </c>
      <c r="J867">
        <v>84.78</v>
      </c>
      <c r="K867">
        <v>4</v>
      </c>
      <c r="L867" t="str">
        <f>CONCATENATE(T_BATTINGDATA[[#This Row],[Match]],T_BATTINGDATA[[#This Row],[Team]],T_BATTINGDATA[[#This Row],[Bat Number]])</f>
        <v>42Pakistan4</v>
      </c>
      <c r="M867" t="str">
        <f>IFERROR(IF(AND(T_BATTINGDATA[[#This Row],[Team]]=I_TEAM,IFERROR(IF(MATCH(T_BATTINGDATA[[#This Row],[BATSMAN NAME]],$O$5:O866,0)&gt;0,0),1)),1,0),"")</f>
        <v/>
      </c>
      <c r="N867" t="e">
        <f>IF(T_BATTINGDATA[[#This Row],[Team]]=I_TEAM,T_BATTINGDATA[[#This Row],[R]],0)</f>
        <v>#REF!</v>
      </c>
      <c r="O867" t="str">
        <f>LEFT(T_BATTINGDATA[[#This Row],[Batsman]],IFERROR(FIND("*",T_BATTINGDATA[[#This Row],[Batsman]])-1,IFERROR(FIND("†",T_BATTINGDATA[[#This Row],[Batsman]])-1,LEN(T_BATTINGDATA[[#This Row],[Batsman]]))))</f>
        <v>Misbah-ul-Haq</v>
      </c>
      <c r="P867">
        <f ca="1">IFERROR(IF(MATCH(T_BATTINGDATA[[#This Row],[BATSMAN NAME]],OFFSET(O868,0,0,BATROWS-ROW(O867)-ROW(T_BATTINGDATA[[#Headers],[BATSMAN NAME]])),0)&gt;0,0,SUMIF($O$6:O867,T_BATTINGDATA[[#This Row],[BATSMAN NAME]],$E$6:E867)),SUMIF($O$6:O867,T_BATTINGDATA[[#This Row],[BATSMAN NAME]],$E$6:E867))</f>
        <v>0</v>
      </c>
    </row>
    <row r="868" spans="1:16" x14ac:dyDescent="0.3">
      <c r="A868">
        <v>42</v>
      </c>
      <c r="B868" t="s">
        <v>153</v>
      </c>
      <c r="C868" t="s">
        <v>593</v>
      </c>
      <c r="D868" t="s">
        <v>167</v>
      </c>
      <c r="E868">
        <v>20</v>
      </c>
      <c r="F868">
        <v>36</v>
      </c>
      <c r="G868">
        <v>29</v>
      </c>
      <c r="H868">
        <v>4</v>
      </c>
      <c r="I868">
        <v>0</v>
      </c>
      <c r="J868">
        <v>68.959999999999994</v>
      </c>
      <c r="K868">
        <v>5</v>
      </c>
      <c r="L868" t="str">
        <f>CONCATENATE(T_BATTINGDATA[[#This Row],[Match]],T_BATTINGDATA[[#This Row],[Team]],T_BATTINGDATA[[#This Row],[Bat Number]])</f>
        <v>42Pakistan5</v>
      </c>
      <c r="M868" t="str">
        <f>IFERROR(IF(AND(T_BATTINGDATA[[#This Row],[Team]]=I_TEAM,IFERROR(IF(MATCH(T_BATTINGDATA[[#This Row],[BATSMAN NAME]],$O$5:O867,0)&gt;0,0),1)),1,0),"")</f>
        <v/>
      </c>
      <c r="N868" t="e">
        <f>IF(T_BATTINGDATA[[#This Row],[Team]]=I_TEAM,T_BATTINGDATA[[#This Row],[R]],0)</f>
        <v>#REF!</v>
      </c>
      <c r="O868" t="str">
        <f>LEFT(T_BATTINGDATA[[#This Row],[Batsman]],IFERROR(FIND("*",T_BATTINGDATA[[#This Row],[Batsman]])-1,IFERROR(FIND("†",T_BATTINGDATA[[#This Row],[Batsman]])-1,LEN(T_BATTINGDATA[[#This Row],[Batsman]]))))</f>
        <v>Umar Akmal</v>
      </c>
      <c r="P868">
        <f ca="1">IFERROR(IF(MATCH(T_BATTINGDATA[[#This Row],[BATSMAN NAME]],OFFSET(O869,0,0,BATROWS-ROW(O868)-ROW(T_BATTINGDATA[[#Headers],[BATSMAN NAME]])),0)&gt;0,0,SUMIF($O$6:O868,T_BATTINGDATA[[#This Row],[BATSMAN NAME]],$E$6:E868)),SUMIF($O$6:O868,T_BATTINGDATA[[#This Row],[BATSMAN NAME]],$E$6:E868))</f>
        <v>0</v>
      </c>
    </row>
  </sheetData>
  <pageMargins left="0.7" right="0.7" top="0.75" bottom="0.75" header="0.3" footer="0.3"/>
  <pageSetup orientation="portrait" horizontalDpi="4294967293" verticalDpi="200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6:Z2267"/>
  <sheetViews>
    <sheetView workbookViewId="0"/>
  </sheetViews>
  <sheetFormatPr defaultRowHeight="14.4" x14ac:dyDescent="0.3"/>
  <cols>
    <col min="1" max="2" width="11.33203125" customWidth="1"/>
    <col min="3" max="15" width="11.33203125" style="1" customWidth="1"/>
    <col min="16" max="19" width="9.109375" style="1" customWidth="1"/>
  </cols>
  <sheetData>
    <row r="6" spans="1:26" x14ac:dyDescent="0.3">
      <c r="A6" t="s">
        <v>87</v>
      </c>
      <c r="B6" s="1" t="s">
        <v>880</v>
      </c>
      <c r="C6" s="1" t="s">
        <v>881</v>
      </c>
      <c r="D6" s="1" t="s">
        <v>123</v>
      </c>
      <c r="E6" s="1" t="s">
        <v>882</v>
      </c>
      <c r="F6" s="1" t="s">
        <v>883</v>
      </c>
      <c r="G6" s="1" t="s">
        <v>884</v>
      </c>
      <c r="H6" s="1" t="s">
        <v>885</v>
      </c>
      <c r="I6" s="1" t="s">
        <v>886</v>
      </c>
      <c r="J6" s="1" t="s">
        <v>887</v>
      </c>
      <c r="K6" s="1" t="s">
        <v>888</v>
      </c>
      <c r="L6" s="1" t="s">
        <v>889</v>
      </c>
      <c r="M6" s="1" t="s">
        <v>890</v>
      </c>
      <c r="N6" s="1" t="s">
        <v>891</v>
      </c>
      <c r="O6" s="1" t="s">
        <v>892</v>
      </c>
      <c r="P6" t="s">
        <v>893</v>
      </c>
      <c r="Q6" s="1" t="s">
        <v>894</v>
      </c>
      <c r="R6" s="1" t="s">
        <v>895</v>
      </c>
      <c r="W6" s="7" t="s">
        <v>896</v>
      </c>
      <c r="X6" s="8"/>
      <c r="Y6" s="8"/>
      <c r="Z6" s="8"/>
    </row>
    <row r="7" spans="1:26" x14ac:dyDescent="0.3">
      <c r="A7">
        <v>4</v>
      </c>
      <c r="B7">
        <v>1</v>
      </c>
      <c r="C7" s="1" t="s">
        <v>897</v>
      </c>
      <c r="D7" s="1" t="s">
        <v>898</v>
      </c>
      <c r="E7" s="1" t="s">
        <v>899</v>
      </c>
      <c r="F7" s="1" t="s">
        <v>348</v>
      </c>
      <c r="G7" s="1" t="s">
        <v>897</v>
      </c>
      <c r="H7" s="1" t="s">
        <v>898</v>
      </c>
      <c r="I7" s="1" t="s">
        <v>899</v>
      </c>
      <c r="J7" s="1" t="s">
        <v>348</v>
      </c>
      <c r="K7" s="1" t="s">
        <v>900</v>
      </c>
      <c r="L7" s="1" t="s">
        <v>901</v>
      </c>
      <c r="M7" s="1" t="s">
        <v>902</v>
      </c>
      <c r="N7">
        <f>_xlfn.NUMBERVALUE(LEFT(Table11[[#This Row],[Score]],FIND("/",Table11[[#This Row],[Score]])-1))</f>
        <v>2</v>
      </c>
      <c r="O7">
        <f>IFERROR(_xlfn.NUMBERVALUE(LEFT(Table11[[#This Row],[Score2 ]],FIND("/",Table11[[#This Row],[Score2 ]])-1)),"")</f>
        <v>2</v>
      </c>
      <c r="P7" t="s">
        <v>137</v>
      </c>
      <c r="Q7" s="1" t="s">
        <v>153</v>
      </c>
      <c r="R7" t="str">
        <f>Table11[[#This Row],[Match]]&amp;" "&amp;Table11[[#This Row],[Over]]</f>
        <v>4 1</v>
      </c>
    </row>
    <row r="8" spans="1:26" x14ac:dyDescent="0.3">
      <c r="A8">
        <v>4</v>
      </c>
      <c r="B8">
        <v>2</v>
      </c>
      <c r="C8" s="1" t="s">
        <v>903</v>
      </c>
      <c r="D8" s="1" t="s">
        <v>904</v>
      </c>
      <c r="E8" s="1" t="s">
        <v>905</v>
      </c>
      <c r="F8" s="1" t="s">
        <v>348</v>
      </c>
      <c r="G8" s="1" t="s">
        <v>906</v>
      </c>
      <c r="H8" s="1" t="s">
        <v>898</v>
      </c>
      <c r="I8" s="1" t="s">
        <v>899</v>
      </c>
      <c r="J8" s="1" t="s">
        <v>348</v>
      </c>
      <c r="K8" s="1" t="s">
        <v>907</v>
      </c>
      <c r="L8" s="1" t="s">
        <v>908</v>
      </c>
      <c r="M8" s="1" t="s">
        <v>909</v>
      </c>
      <c r="N8">
        <f>_xlfn.NUMBERVALUE(LEFT(Table11[[#This Row],[Score]],FIND("/",Table11[[#This Row],[Score]])-1))</f>
        <v>5</v>
      </c>
      <c r="O8">
        <f>IFERROR(_xlfn.NUMBERVALUE(LEFT(Table11[[#This Row],[Score2 ]],FIND("/",Table11[[#This Row],[Score2 ]])-1)),"")</f>
        <v>4</v>
      </c>
      <c r="P8" t="s">
        <v>137</v>
      </c>
      <c r="Q8" s="1" t="s">
        <v>153</v>
      </c>
      <c r="R8" t="str">
        <f>Table11[[#This Row],[Match]]&amp;" "&amp;Table11[[#This Row],[Over]]</f>
        <v>4 2</v>
      </c>
      <c r="W8" s="9" t="s">
        <v>910</v>
      </c>
      <c r="X8" s="10" t="s">
        <v>98</v>
      </c>
      <c r="Y8" s="10" t="s">
        <v>911</v>
      </c>
      <c r="Z8" s="11" t="s">
        <v>912</v>
      </c>
    </row>
    <row r="9" spans="1:26" x14ac:dyDescent="0.3">
      <c r="A9">
        <v>4</v>
      </c>
      <c r="B9">
        <v>3</v>
      </c>
      <c r="C9" s="1" t="s">
        <v>913</v>
      </c>
      <c r="D9" s="1" t="s">
        <v>898</v>
      </c>
      <c r="E9" s="1" t="s">
        <v>914</v>
      </c>
      <c r="F9" s="1" t="s">
        <v>348</v>
      </c>
      <c r="G9" s="1" t="s">
        <v>915</v>
      </c>
      <c r="H9" s="1" t="s">
        <v>916</v>
      </c>
      <c r="I9" s="1" t="s">
        <v>917</v>
      </c>
      <c r="J9" s="1" t="s">
        <v>348</v>
      </c>
      <c r="K9" s="1" t="s">
        <v>918</v>
      </c>
      <c r="L9" s="1" t="s">
        <v>919</v>
      </c>
      <c r="M9" s="1" t="s">
        <v>920</v>
      </c>
      <c r="N9">
        <f>_xlfn.NUMBERVALUE(LEFT(Table11[[#This Row],[Score]],FIND("/",Table11[[#This Row],[Score]])-1))</f>
        <v>7</v>
      </c>
      <c r="O9">
        <f>IFERROR(_xlfn.NUMBERVALUE(LEFT(Table11[[#This Row],[Score2 ]],FIND("/",Table11[[#This Row],[Score2 ]])-1)),"")</f>
        <v>11</v>
      </c>
      <c r="P9" t="s">
        <v>137</v>
      </c>
      <c r="Q9" s="1" t="s">
        <v>153</v>
      </c>
      <c r="R9" t="str">
        <f>Table11[[#This Row],[Match]]&amp;" "&amp;Table11[[#This Row],[Over]]</f>
        <v>4 3</v>
      </c>
      <c r="W9" s="28">
        <v>0</v>
      </c>
      <c r="X9" s="4"/>
      <c r="Y9" s="4">
        <v>0</v>
      </c>
      <c r="Z9" s="5">
        <v>0</v>
      </c>
    </row>
    <row r="10" spans="1:26" x14ac:dyDescent="0.3">
      <c r="A10">
        <v>4</v>
      </c>
      <c r="B10">
        <v>4</v>
      </c>
      <c r="C10" s="1" t="s">
        <v>921</v>
      </c>
      <c r="D10" s="1" t="s">
        <v>922</v>
      </c>
      <c r="E10" s="1" t="s">
        <v>923</v>
      </c>
      <c r="F10" s="1" t="s">
        <v>348</v>
      </c>
      <c r="G10" s="1" t="s">
        <v>924</v>
      </c>
      <c r="H10" s="1" t="s">
        <v>904</v>
      </c>
      <c r="I10" s="1" t="s">
        <v>925</v>
      </c>
      <c r="J10" s="1" t="s">
        <v>348</v>
      </c>
      <c r="K10" s="1" t="s">
        <v>926</v>
      </c>
      <c r="L10" s="1" t="s">
        <v>927</v>
      </c>
      <c r="M10" s="1" t="s">
        <v>928</v>
      </c>
      <c r="N10">
        <f>_xlfn.NUMBERVALUE(LEFT(Table11[[#This Row],[Score]],FIND("/",Table11[[#This Row],[Score]])-1))</f>
        <v>13</v>
      </c>
      <c r="O10">
        <f>IFERROR(_xlfn.NUMBERVALUE(LEFT(Table11[[#This Row],[Score2 ]],FIND("/",Table11[[#This Row],[Score2 ]])-1)),"")</f>
        <v>14</v>
      </c>
      <c r="P10" t="s">
        <v>137</v>
      </c>
      <c r="Q10" s="1" t="s">
        <v>153</v>
      </c>
      <c r="R10" t="str">
        <f>Table11[[#This Row],[Match]]&amp;" "&amp;Table11[[#This Row],[Over]]</f>
        <v>4 4</v>
      </c>
      <c r="W10" s="2">
        <v>1</v>
      </c>
      <c r="X10" s="4" t="e">
        <f t="shared" ref="X10:X41" si="0">I_MATCHNO&amp;" "&amp;W10</f>
        <v>#REF!</v>
      </c>
      <c r="Y10" s="4" t="e">
        <f>IF(INDEX(Table11[Score One],MATCH(RawData_Worm!X10,Table11[Link],0))="",#N/A,INDEX(Table11[Score One],MATCH(RawData_Worm!X10,Table11[Link],0)))</f>
        <v>#REF!</v>
      </c>
      <c r="Z10" s="5" t="e">
        <f>IF(INDEX(Table11[Score Two],MATCH(RawData_Worm!X10,Table11[Link],0))="",#N/A,INDEX(Table11[Score Two],MATCH(RawData_Worm!X10,Table11[Link],0)))</f>
        <v>#REF!</v>
      </c>
    </row>
    <row r="11" spans="1:26" x14ac:dyDescent="0.3">
      <c r="A11">
        <v>4</v>
      </c>
      <c r="B11">
        <v>5</v>
      </c>
      <c r="C11" s="1" t="s">
        <v>929</v>
      </c>
      <c r="D11" s="1" t="s">
        <v>930</v>
      </c>
      <c r="E11" s="1" t="s">
        <v>931</v>
      </c>
      <c r="F11" s="1" t="s">
        <v>931</v>
      </c>
      <c r="G11" s="1" t="s">
        <v>932</v>
      </c>
      <c r="H11" s="1" t="s">
        <v>933</v>
      </c>
      <c r="I11" s="1" t="s">
        <v>934</v>
      </c>
      <c r="J11" s="1" t="s">
        <v>934</v>
      </c>
      <c r="K11" s="1" t="s">
        <v>935</v>
      </c>
      <c r="L11" s="1" t="s">
        <v>936</v>
      </c>
      <c r="M11" s="1" t="s">
        <v>937</v>
      </c>
      <c r="N11">
        <f>_xlfn.NUMBERVALUE(LEFT(Table11[[#This Row],[Score]],FIND("/",Table11[[#This Row],[Score]])-1))</f>
        <v>21</v>
      </c>
      <c r="O11">
        <f>IFERROR(_xlfn.NUMBERVALUE(LEFT(Table11[[#This Row],[Score2 ]],FIND("/",Table11[[#This Row],[Score2 ]])-1)),"")</f>
        <v>28</v>
      </c>
      <c r="P11" t="s">
        <v>137</v>
      </c>
      <c r="Q11" s="1" t="s">
        <v>153</v>
      </c>
      <c r="R11" t="str">
        <f>Table11[[#This Row],[Match]]&amp;" "&amp;Table11[[#This Row],[Over]]</f>
        <v>4 5</v>
      </c>
      <c r="W11" s="2">
        <v>2</v>
      </c>
      <c r="X11" s="4" t="e">
        <f t="shared" si="0"/>
        <v>#REF!</v>
      </c>
      <c r="Y11" s="4" t="e">
        <f>IF(INDEX(Table11[Score One],MATCH(RawData_Worm!X11,Table11[Link],0))="",#N/A,INDEX(Table11[Score One],MATCH(RawData_Worm!X11,Table11[Link],0)))</f>
        <v>#REF!</v>
      </c>
      <c r="Z11" s="5" t="e">
        <f>IF(INDEX(Table11[Score Two],MATCH(RawData_Worm!X11,Table11[Link],0))="",#N/A,INDEX(Table11[Score Two],MATCH(RawData_Worm!X11,Table11[Link],0)))</f>
        <v>#REF!</v>
      </c>
    </row>
    <row r="12" spans="1:26" x14ac:dyDescent="0.3">
      <c r="A12">
        <v>4</v>
      </c>
      <c r="B12">
        <v>6</v>
      </c>
      <c r="C12" s="1" t="s">
        <v>938</v>
      </c>
      <c r="D12" s="1" t="s">
        <v>904</v>
      </c>
      <c r="E12" s="1" t="s">
        <v>939</v>
      </c>
      <c r="F12" s="1" t="s">
        <v>940</v>
      </c>
      <c r="G12" s="1" t="s">
        <v>941</v>
      </c>
      <c r="H12" s="1" t="s">
        <v>922</v>
      </c>
      <c r="I12" s="1" t="s">
        <v>942</v>
      </c>
      <c r="J12" s="1" t="s">
        <v>943</v>
      </c>
      <c r="K12" s="1" t="s">
        <v>935</v>
      </c>
      <c r="L12" s="1" t="s">
        <v>944</v>
      </c>
      <c r="M12" s="1" t="s">
        <v>945</v>
      </c>
      <c r="N12">
        <f>_xlfn.NUMBERVALUE(LEFT(Table11[[#This Row],[Score]],FIND("/",Table11[[#This Row],[Score]])-1))</f>
        <v>24</v>
      </c>
      <c r="O12">
        <f>IFERROR(_xlfn.NUMBERVALUE(LEFT(Table11[[#This Row],[Score2 ]],FIND("/",Table11[[#This Row],[Score2 ]])-1)),"")</f>
        <v>34</v>
      </c>
      <c r="P12" t="s">
        <v>137</v>
      </c>
      <c r="Q12" s="1" t="s">
        <v>153</v>
      </c>
      <c r="R12" t="str">
        <f>Table11[[#This Row],[Match]]&amp;" "&amp;Table11[[#This Row],[Over]]</f>
        <v>4 6</v>
      </c>
      <c r="W12" s="2">
        <v>3</v>
      </c>
      <c r="X12" s="4" t="e">
        <f t="shared" si="0"/>
        <v>#REF!</v>
      </c>
      <c r="Y12" s="4" t="e">
        <f>IF(INDEX(Table11[Score One],MATCH(RawData_Worm!X12,Table11[Link],0))="",#N/A,INDEX(Table11[Score One],MATCH(RawData_Worm!X12,Table11[Link],0)))</f>
        <v>#REF!</v>
      </c>
      <c r="Z12" s="5" t="e">
        <f>IF(INDEX(Table11[Score Two],MATCH(RawData_Worm!X12,Table11[Link],0))="",#N/A,INDEX(Table11[Score Two],MATCH(RawData_Worm!X12,Table11[Link],0)))</f>
        <v>#REF!</v>
      </c>
    </row>
    <row r="13" spans="1:26" x14ac:dyDescent="0.3">
      <c r="A13">
        <v>4</v>
      </c>
      <c r="B13">
        <v>7</v>
      </c>
      <c r="C13" s="1" t="s">
        <v>946</v>
      </c>
      <c r="D13" s="1" t="s">
        <v>947</v>
      </c>
      <c r="E13" s="1" t="s">
        <v>948</v>
      </c>
      <c r="F13" s="1" t="s">
        <v>934</v>
      </c>
      <c r="G13" s="1" t="s">
        <v>949</v>
      </c>
      <c r="H13" s="1" t="s">
        <v>950</v>
      </c>
      <c r="I13" s="1" t="s">
        <v>951</v>
      </c>
      <c r="J13" s="1" t="s">
        <v>952</v>
      </c>
      <c r="K13" s="1" t="s">
        <v>953</v>
      </c>
      <c r="L13" s="1" t="s">
        <v>954</v>
      </c>
      <c r="M13" s="1" t="s">
        <v>955</v>
      </c>
      <c r="N13">
        <f>_xlfn.NUMBERVALUE(LEFT(Table11[[#This Row],[Score]],FIND("/",Table11[[#This Row],[Score]])-1))</f>
        <v>33</v>
      </c>
      <c r="O13">
        <f>IFERROR(_xlfn.NUMBERVALUE(LEFT(Table11[[#This Row],[Score2 ]],FIND("/",Table11[[#This Row],[Score2 ]])-1)),"")</f>
        <v>39</v>
      </c>
      <c r="P13" t="s">
        <v>137</v>
      </c>
      <c r="Q13" s="1" t="s">
        <v>153</v>
      </c>
      <c r="R13" t="str">
        <f>Table11[[#This Row],[Match]]&amp;" "&amp;Table11[[#This Row],[Over]]</f>
        <v>4 7</v>
      </c>
      <c r="W13" s="2">
        <v>4</v>
      </c>
      <c r="X13" s="4" t="e">
        <f t="shared" si="0"/>
        <v>#REF!</v>
      </c>
      <c r="Y13" s="4" t="e">
        <f>IF(INDEX(Table11[Score One],MATCH(RawData_Worm!X13,Table11[Link],0))="",#N/A,INDEX(Table11[Score One],MATCH(RawData_Worm!X13,Table11[Link],0)))</f>
        <v>#REF!</v>
      </c>
      <c r="Z13" s="5" t="e">
        <f>IF(INDEX(Table11[Score Two],MATCH(RawData_Worm!X13,Table11[Link],0))="",#N/A,INDEX(Table11[Score Two],MATCH(RawData_Worm!X13,Table11[Link],0)))</f>
        <v>#REF!</v>
      </c>
    </row>
    <row r="14" spans="1:26" x14ac:dyDescent="0.3">
      <c r="A14">
        <v>4</v>
      </c>
      <c r="B14">
        <v>8</v>
      </c>
      <c r="C14" s="1" t="s">
        <v>956</v>
      </c>
      <c r="D14" s="1" t="s">
        <v>898</v>
      </c>
      <c r="E14" s="1" t="s">
        <v>957</v>
      </c>
      <c r="F14" s="1" t="s">
        <v>934</v>
      </c>
      <c r="G14" s="1" t="s">
        <v>958</v>
      </c>
      <c r="H14" s="1" t="s">
        <v>950</v>
      </c>
      <c r="I14" s="1" t="s">
        <v>959</v>
      </c>
      <c r="J14" s="1" t="s">
        <v>960</v>
      </c>
      <c r="K14" s="1" t="s">
        <v>961</v>
      </c>
      <c r="L14" s="1" t="s">
        <v>962</v>
      </c>
      <c r="M14" s="1" t="s">
        <v>963</v>
      </c>
      <c r="N14">
        <f>_xlfn.NUMBERVALUE(LEFT(Table11[[#This Row],[Score]],FIND("/",Table11[[#This Row],[Score]])-1))</f>
        <v>35</v>
      </c>
      <c r="O14">
        <f>IFERROR(_xlfn.NUMBERVALUE(LEFT(Table11[[#This Row],[Score2 ]],FIND("/",Table11[[#This Row],[Score2 ]])-1)),"")</f>
        <v>44</v>
      </c>
      <c r="P14" t="s">
        <v>137</v>
      </c>
      <c r="Q14" s="1" t="s">
        <v>153</v>
      </c>
      <c r="R14" t="str">
        <f>Table11[[#This Row],[Match]]&amp;" "&amp;Table11[[#This Row],[Over]]</f>
        <v>4 8</v>
      </c>
      <c r="W14" s="2">
        <v>5</v>
      </c>
      <c r="X14" s="4" t="e">
        <f t="shared" si="0"/>
        <v>#REF!</v>
      </c>
      <c r="Y14" s="4" t="e">
        <f>IF(INDEX(Table11[Score One],MATCH(RawData_Worm!X14,Table11[Link],0))="",#N/A,INDEX(Table11[Score One],MATCH(RawData_Worm!X14,Table11[Link],0)))</f>
        <v>#REF!</v>
      </c>
      <c r="Z14" s="5" t="e">
        <f>IF(INDEX(Table11[Score Two],MATCH(RawData_Worm!X14,Table11[Link],0))="",#N/A,INDEX(Table11[Score Two],MATCH(RawData_Worm!X14,Table11[Link],0)))</f>
        <v>#REF!</v>
      </c>
    </row>
    <row r="15" spans="1:26" x14ac:dyDescent="0.3">
      <c r="A15">
        <v>4</v>
      </c>
      <c r="B15">
        <v>9</v>
      </c>
      <c r="C15" s="1" t="s">
        <v>964</v>
      </c>
      <c r="D15" s="1" t="s">
        <v>950</v>
      </c>
      <c r="E15" s="1" t="s">
        <v>965</v>
      </c>
      <c r="F15" s="1" t="s">
        <v>966</v>
      </c>
      <c r="G15" s="1" t="s">
        <v>967</v>
      </c>
      <c r="H15" s="1" t="s">
        <v>968</v>
      </c>
      <c r="I15" s="1" t="s">
        <v>969</v>
      </c>
      <c r="J15" s="1" t="s">
        <v>970</v>
      </c>
      <c r="K15" s="1" t="s">
        <v>971</v>
      </c>
      <c r="L15" s="1" t="s">
        <v>972</v>
      </c>
      <c r="M15" s="1" t="s">
        <v>973</v>
      </c>
      <c r="N15">
        <f>_xlfn.NUMBERVALUE(LEFT(Table11[[#This Row],[Score]],FIND("/",Table11[[#This Row],[Score]])-1))</f>
        <v>40</v>
      </c>
      <c r="O15">
        <f>IFERROR(_xlfn.NUMBERVALUE(LEFT(Table11[[#This Row],[Score2 ]],FIND("/",Table11[[#This Row],[Score2 ]])-1)),"")</f>
        <v>45</v>
      </c>
      <c r="P15" t="s">
        <v>137</v>
      </c>
      <c r="Q15" s="1" t="s">
        <v>153</v>
      </c>
      <c r="R15" t="str">
        <f>Table11[[#This Row],[Match]]&amp;" "&amp;Table11[[#This Row],[Over]]</f>
        <v>4 9</v>
      </c>
      <c r="W15" s="2">
        <v>6</v>
      </c>
      <c r="X15" s="4" t="e">
        <f t="shared" si="0"/>
        <v>#REF!</v>
      </c>
      <c r="Y15" s="4" t="e">
        <f>IF(INDEX(Table11[Score One],MATCH(RawData_Worm!X15,Table11[Link],0))="",#N/A,INDEX(Table11[Score One],MATCH(RawData_Worm!X15,Table11[Link],0)))</f>
        <v>#REF!</v>
      </c>
      <c r="Z15" s="5" t="e">
        <f>IF(INDEX(Table11[Score Two],MATCH(RawData_Worm!X15,Table11[Link],0))="",#N/A,INDEX(Table11[Score Two],MATCH(RawData_Worm!X15,Table11[Link],0)))</f>
        <v>#REF!</v>
      </c>
    </row>
    <row r="16" spans="1:26" x14ac:dyDescent="0.3">
      <c r="A16">
        <v>4</v>
      </c>
      <c r="B16">
        <v>10</v>
      </c>
      <c r="C16" s="1" t="s">
        <v>974</v>
      </c>
      <c r="D16" s="1" t="s">
        <v>898</v>
      </c>
      <c r="E16" s="1" t="s">
        <v>931</v>
      </c>
      <c r="F16" s="1" t="s">
        <v>931</v>
      </c>
      <c r="G16" s="1" t="s">
        <v>975</v>
      </c>
      <c r="H16" s="1" t="s">
        <v>968</v>
      </c>
      <c r="I16" s="1" t="s">
        <v>976</v>
      </c>
      <c r="J16" s="1" t="s">
        <v>977</v>
      </c>
      <c r="K16" s="1" t="s">
        <v>978</v>
      </c>
      <c r="L16" s="1" t="s">
        <v>979</v>
      </c>
      <c r="M16" s="1" t="s">
        <v>980</v>
      </c>
      <c r="N16">
        <f>_xlfn.NUMBERVALUE(LEFT(Table11[[#This Row],[Score]],FIND("/",Table11[[#This Row],[Score]])-1))</f>
        <v>42</v>
      </c>
      <c r="O16">
        <f>IFERROR(_xlfn.NUMBERVALUE(LEFT(Table11[[#This Row],[Score2 ]],FIND("/",Table11[[#This Row],[Score2 ]])-1)),"")</f>
        <v>46</v>
      </c>
      <c r="P16" t="s">
        <v>137</v>
      </c>
      <c r="Q16" s="1" t="s">
        <v>153</v>
      </c>
      <c r="R16" t="str">
        <f>Table11[[#This Row],[Match]]&amp;" "&amp;Table11[[#This Row],[Over]]</f>
        <v>4 10</v>
      </c>
      <c r="W16" s="2">
        <v>7</v>
      </c>
      <c r="X16" s="4" t="e">
        <f t="shared" si="0"/>
        <v>#REF!</v>
      </c>
      <c r="Y16" s="4" t="e">
        <f>IF(INDEX(Table11[Score One],MATCH(RawData_Worm!X16,Table11[Link],0))="",#N/A,INDEX(Table11[Score One],MATCH(RawData_Worm!X16,Table11[Link],0)))</f>
        <v>#REF!</v>
      </c>
      <c r="Z16" s="5" t="e">
        <f>IF(INDEX(Table11[Score Two],MATCH(RawData_Worm!X16,Table11[Link],0))="",#N/A,INDEX(Table11[Score Two],MATCH(RawData_Worm!X16,Table11[Link],0)))</f>
        <v>#REF!</v>
      </c>
    </row>
    <row r="17" spans="1:26" x14ac:dyDescent="0.3">
      <c r="A17">
        <v>4</v>
      </c>
      <c r="B17">
        <v>11</v>
      </c>
      <c r="C17" s="1" t="s">
        <v>967</v>
      </c>
      <c r="D17" s="1" t="s">
        <v>904</v>
      </c>
      <c r="E17" s="1" t="s">
        <v>981</v>
      </c>
      <c r="F17" s="1" t="s">
        <v>931</v>
      </c>
      <c r="G17" s="1" t="s">
        <v>982</v>
      </c>
      <c r="H17" s="1" t="s">
        <v>968</v>
      </c>
      <c r="I17" s="1" t="s">
        <v>983</v>
      </c>
      <c r="J17" s="1" t="s">
        <v>984</v>
      </c>
      <c r="K17" s="1" t="s">
        <v>985</v>
      </c>
      <c r="L17" s="1" t="s">
        <v>986</v>
      </c>
      <c r="M17" s="1" t="s">
        <v>987</v>
      </c>
      <c r="N17">
        <f>_xlfn.NUMBERVALUE(LEFT(Table11[[#This Row],[Score]],FIND("/",Table11[[#This Row],[Score]])-1))</f>
        <v>45</v>
      </c>
      <c r="O17">
        <f>IFERROR(_xlfn.NUMBERVALUE(LEFT(Table11[[#This Row],[Score2 ]],FIND("/",Table11[[#This Row],[Score2 ]])-1)),"")</f>
        <v>47</v>
      </c>
      <c r="P17" t="s">
        <v>137</v>
      </c>
      <c r="Q17" s="1" t="s">
        <v>153</v>
      </c>
      <c r="R17" t="str">
        <f>Table11[[#This Row],[Match]]&amp;" "&amp;Table11[[#This Row],[Over]]</f>
        <v>4 11</v>
      </c>
      <c r="W17" s="2">
        <v>8</v>
      </c>
      <c r="X17" s="4" t="e">
        <f t="shared" si="0"/>
        <v>#REF!</v>
      </c>
      <c r="Y17" s="4" t="e">
        <f>IF(INDEX(Table11[Score One],MATCH(RawData_Worm!X17,Table11[Link],0))="",#N/A,INDEX(Table11[Score One],MATCH(RawData_Worm!X17,Table11[Link],0)))</f>
        <v>#REF!</v>
      </c>
      <c r="Z17" s="5" t="e">
        <f>IF(INDEX(Table11[Score Two],MATCH(RawData_Worm!X17,Table11[Link],0))="",#N/A,INDEX(Table11[Score Two],MATCH(RawData_Worm!X17,Table11[Link],0)))</f>
        <v>#REF!</v>
      </c>
    </row>
    <row r="18" spans="1:26" x14ac:dyDescent="0.3">
      <c r="A18">
        <v>4</v>
      </c>
      <c r="B18">
        <v>12</v>
      </c>
      <c r="C18" s="1" t="s">
        <v>988</v>
      </c>
      <c r="D18" s="1" t="s">
        <v>916</v>
      </c>
      <c r="E18" s="1" t="s">
        <v>989</v>
      </c>
      <c r="F18" s="1" t="s">
        <v>990</v>
      </c>
      <c r="G18" s="1" t="s">
        <v>991</v>
      </c>
      <c r="H18" s="1" t="s">
        <v>922</v>
      </c>
      <c r="I18" s="1" t="s">
        <v>992</v>
      </c>
      <c r="J18" s="1" t="s">
        <v>993</v>
      </c>
      <c r="K18" s="1" t="s">
        <v>994</v>
      </c>
      <c r="L18" s="1" t="s">
        <v>995</v>
      </c>
      <c r="M18" s="1" t="s">
        <v>996</v>
      </c>
      <c r="N18">
        <f>_xlfn.NUMBERVALUE(LEFT(Table11[[#This Row],[Score]],FIND("/",Table11[[#This Row],[Score]])-1))</f>
        <v>52</v>
      </c>
      <c r="O18">
        <f>IFERROR(_xlfn.NUMBERVALUE(LEFT(Table11[[#This Row],[Score2 ]],FIND("/",Table11[[#This Row],[Score2 ]])-1)),"")</f>
        <v>53</v>
      </c>
      <c r="P18" t="s">
        <v>137</v>
      </c>
      <c r="Q18" s="1" t="s">
        <v>153</v>
      </c>
      <c r="R18" t="str">
        <f>Table11[[#This Row],[Match]]&amp;" "&amp;Table11[[#This Row],[Over]]</f>
        <v>4 12</v>
      </c>
      <c r="W18" s="2">
        <v>9</v>
      </c>
      <c r="X18" s="4" t="e">
        <f t="shared" si="0"/>
        <v>#REF!</v>
      </c>
      <c r="Y18" s="4" t="e">
        <f>IF(INDEX(Table11[Score One],MATCH(RawData_Worm!X18,Table11[Link],0))="",#N/A,INDEX(Table11[Score One],MATCH(RawData_Worm!X18,Table11[Link],0)))</f>
        <v>#REF!</v>
      </c>
      <c r="Z18" s="5" t="e">
        <f>IF(INDEX(Table11[Score Two],MATCH(RawData_Worm!X18,Table11[Link],0))="",#N/A,INDEX(Table11[Score Two],MATCH(RawData_Worm!X18,Table11[Link],0)))</f>
        <v>#REF!</v>
      </c>
    </row>
    <row r="19" spans="1:26" x14ac:dyDescent="0.3">
      <c r="A19">
        <v>4</v>
      </c>
      <c r="B19">
        <v>13</v>
      </c>
      <c r="C19" s="1" t="s">
        <v>997</v>
      </c>
      <c r="D19" s="1" t="s">
        <v>998</v>
      </c>
      <c r="E19" s="1" t="s">
        <v>999</v>
      </c>
      <c r="F19" s="1" t="s">
        <v>931</v>
      </c>
      <c r="G19" s="1" t="s">
        <v>1000</v>
      </c>
      <c r="H19" s="1" t="s">
        <v>950</v>
      </c>
      <c r="I19" s="1" t="s">
        <v>1001</v>
      </c>
      <c r="J19" s="1" t="s">
        <v>993</v>
      </c>
      <c r="K19" s="1" t="s">
        <v>1002</v>
      </c>
      <c r="L19" s="1" t="s">
        <v>1003</v>
      </c>
      <c r="M19" s="1" t="s">
        <v>1004</v>
      </c>
      <c r="N19">
        <f>_xlfn.NUMBERVALUE(LEFT(Table11[[#This Row],[Score]],FIND("/",Table11[[#This Row],[Score]])-1))</f>
        <v>56</v>
      </c>
      <c r="O19">
        <f>IFERROR(_xlfn.NUMBERVALUE(LEFT(Table11[[#This Row],[Score2 ]],FIND("/",Table11[[#This Row],[Score2 ]])-1)),"")</f>
        <v>58</v>
      </c>
      <c r="P19" t="s">
        <v>137</v>
      </c>
      <c r="Q19" s="1" t="s">
        <v>153</v>
      </c>
      <c r="R19" t="str">
        <f>Table11[[#This Row],[Match]]&amp;" "&amp;Table11[[#This Row],[Over]]</f>
        <v>4 13</v>
      </c>
      <c r="W19" s="2">
        <v>10</v>
      </c>
      <c r="X19" s="4" t="e">
        <f t="shared" si="0"/>
        <v>#REF!</v>
      </c>
      <c r="Y19" s="4" t="e">
        <f>IF(INDEX(Table11[Score One],MATCH(RawData_Worm!X19,Table11[Link],0))="",#N/A,INDEX(Table11[Score One],MATCH(RawData_Worm!X19,Table11[Link],0)))</f>
        <v>#REF!</v>
      </c>
      <c r="Z19" s="5" t="e">
        <f>IF(INDEX(Table11[Score Two],MATCH(RawData_Worm!X19,Table11[Link],0))="",#N/A,INDEX(Table11[Score Two],MATCH(RawData_Worm!X19,Table11[Link],0)))</f>
        <v>#REF!</v>
      </c>
    </row>
    <row r="20" spans="1:26" x14ac:dyDescent="0.3">
      <c r="A20">
        <v>4</v>
      </c>
      <c r="B20">
        <v>14</v>
      </c>
      <c r="C20" s="1" t="s">
        <v>1005</v>
      </c>
      <c r="D20" s="1" t="s">
        <v>922</v>
      </c>
      <c r="E20" s="1" t="s">
        <v>1006</v>
      </c>
      <c r="F20" s="1" t="s">
        <v>940</v>
      </c>
      <c r="G20" s="1" t="s">
        <v>1000</v>
      </c>
      <c r="H20" s="1" t="s">
        <v>1007</v>
      </c>
      <c r="I20" s="1" t="s">
        <v>1008</v>
      </c>
      <c r="J20" s="1" t="s">
        <v>984</v>
      </c>
      <c r="K20" s="1" t="s">
        <v>1009</v>
      </c>
      <c r="L20" s="1" t="s">
        <v>1003</v>
      </c>
      <c r="M20" s="1" t="s">
        <v>1010</v>
      </c>
      <c r="N20">
        <f>_xlfn.NUMBERVALUE(LEFT(Table11[[#This Row],[Score]],FIND("/",Table11[[#This Row],[Score]])-1))</f>
        <v>62</v>
      </c>
      <c r="O20">
        <f>IFERROR(_xlfn.NUMBERVALUE(LEFT(Table11[[#This Row],[Score2 ]],FIND("/",Table11[[#This Row],[Score2 ]])-1)),"")</f>
        <v>58</v>
      </c>
      <c r="P20" t="s">
        <v>137</v>
      </c>
      <c r="Q20" s="1" t="s">
        <v>153</v>
      </c>
      <c r="R20" t="str">
        <f>Table11[[#This Row],[Match]]&amp;" "&amp;Table11[[#This Row],[Over]]</f>
        <v>4 14</v>
      </c>
      <c r="W20" s="2">
        <v>11</v>
      </c>
      <c r="X20" s="4" t="e">
        <f t="shared" si="0"/>
        <v>#REF!</v>
      </c>
      <c r="Y20" s="4" t="e">
        <f>IF(INDEX(Table11[Score One],MATCH(RawData_Worm!X20,Table11[Link],0))="",#N/A,INDEX(Table11[Score One],MATCH(RawData_Worm!X20,Table11[Link],0)))</f>
        <v>#REF!</v>
      </c>
      <c r="Z20" s="5" t="e">
        <f>IF(INDEX(Table11[Score Two],MATCH(RawData_Worm!X20,Table11[Link],0))="",#N/A,INDEX(Table11[Score Two],MATCH(RawData_Worm!X20,Table11[Link],0)))</f>
        <v>#REF!</v>
      </c>
    </row>
    <row r="21" spans="1:26" x14ac:dyDescent="0.3">
      <c r="A21">
        <v>4</v>
      </c>
      <c r="B21">
        <v>15</v>
      </c>
      <c r="C21" s="1" t="s">
        <v>1011</v>
      </c>
      <c r="D21" s="1" t="s">
        <v>947</v>
      </c>
      <c r="E21" s="1" t="s">
        <v>1012</v>
      </c>
      <c r="F21" s="1" t="s">
        <v>1013</v>
      </c>
      <c r="G21" s="1" t="s">
        <v>1014</v>
      </c>
      <c r="H21" s="1" t="s">
        <v>947</v>
      </c>
      <c r="I21" s="1" t="s">
        <v>1001</v>
      </c>
      <c r="J21" s="1" t="s">
        <v>931</v>
      </c>
      <c r="K21" s="1" t="s">
        <v>1015</v>
      </c>
      <c r="L21" s="1" t="s">
        <v>987</v>
      </c>
      <c r="M21" s="1" t="s">
        <v>1016</v>
      </c>
      <c r="N21">
        <f>_xlfn.NUMBERVALUE(LEFT(Table11[[#This Row],[Score]],FIND("/",Table11[[#This Row],[Score]])-1))</f>
        <v>71</v>
      </c>
      <c r="O21">
        <f>IFERROR(_xlfn.NUMBERVALUE(LEFT(Table11[[#This Row],[Score2 ]],FIND("/",Table11[[#This Row],[Score2 ]])-1)),"")</f>
        <v>67</v>
      </c>
      <c r="P21" t="s">
        <v>137</v>
      </c>
      <c r="Q21" s="1" t="s">
        <v>153</v>
      </c>
      <c r="R21" t="str">
        <f>Table11[[#This Row],[Match]]&amp;" "&amp;Table11[[#This Row],[Over]]</f>
        <v>4 15</v>
      </c>
      <c r="W21" s="2">
        <v>12</v>
      </c>
      <c r="X21" s="4" t="e">
        <f t="shared" si="0"/>
        <v>#REF!</v>
      </c>
      <c r="Y21" s="4" t="e">
        <f>IF(INDEX(Table11[Score One],MATCH(RawData_Worm!X21,Table11[Link],0))="",#N/A,INDEX(Table11[Score One],MATCH(RawData_Worm!X21,Table11[Link],0)))</f>
        <v>#REF!</v>
      </c>
      <c r="Z21" s="5" t="e">
        <f>IF(INDEX(Table11[Score Two],MATCH(RawData_Worm!X21,Table11[Link],0))="",#N/A,INDEX(Table11[Score Two],MATCH(RawData_Worm!X21,Table11[Link],0)))</f>
        <v>#REF!</v>
      </c>
    </row>
    <row r="22" spans="1:26" x14ac:dyDescent="0.3">
      <c r="A22">
        <v>4</v>
      </c>
      <c r="B22">
        <v>16</v>
      </c>
      <c r="C22" s="1" t="s">
        <v>1017</v>
      </c>
      <c r="D22" s="1" t="s">
        <v>998</v>
      </c>
      <c r="E22" s="1" t="s">
        <v>1018</v>
      </c>
      <c r="F22" s="1" t="s">
        <v>1019</v>
      </c>
      <c r="G22" s="1" t="s">
        <v>1020</v>
      </c>
      <c r="H22" s="1" t="s">
        <v>950</v>
      </c>
      <c r="I22" s="1" t="s">
        <v>1021</v>
      </c>
      <c r="J22" s="1" t="s">
        <v>969</v>
      </c>
      <c r="K22" s="1" t="s">
        <v>1022</v>
      </c>
      <c r="L22" s="1" t="s">
        <v>1023</v>
      </c>
      <c r="M22" s="1" t="s">
        <v>1024</v>
      </c>
      <c r="N22">
        <f>_xlfn.NUMBERVALUE(LEFT(Table11[[#This Row],[Score]],FIND("/",Table11[[#This Row],[Score]])-1))</f>
        <v>75</v>
      </c>
      <c r="O22">
        <f>IFERROR(_xlfn.NUMBERVALUE(LEFT(Table11[[#This Row],[Score2 ]],FIND("/",Table11[[#This Row],[Score2 ]])-1)),"")</f>
        <v>72</v>
      </c>
      <c r="P22" t="s">
        <v>137</v>
      </c>
      <c r="Q22" s="1" t="s">
        <v>153</v>
      </c>
      <c r="R22" t="str">
        <f>Table11[[#This Row],[Match]]&amp;" "&amp;Table11[[#This Row],[Over]]</f>
        <v>4 16</v>
      </c>
      <c r="W22" s="2">
        <v>13</v>
      </c>
      <c r="X22" s="4" t="e">
        <f t="shared" si="0"/>
        <v>#REF!</v>
      </c>
      <c r="Y22" s="4" t="e">
        <f>IF(INDEX(Table11[Score One],MATCH(RawData_Worm!X22,Table11[Link],0))="",#N/A,INDEX(Table11[Score One],MATCH(RawData_Worm!X22,Table11[Link],0)))</f>
        <v>#REF!</v>
      </c>
      <c r="Z22" s="5" t="e">
        <f>IF(INDEX(Table11[Score Two],MATCH(RawData_Worm!X22,Table11[Link],0))="",#N/A,INDEX(Table11[Score Two],MATCH(RawData_Worm!X22,Table11[Link],0)))</f>
        <v>#REF!</v>
      </c>
    </row>
    <row r="23" spans="1:26" x14ac:dyDescent="0.3">
      <c r="A23">
        <v>4</v>
      </c>
      <c r="B23">
        <v>17</v>
      </c>
      <c r="C23" s="1" t="s">
        <v>1025</v>
      </c>
      <c r="D23" s="1" t="s">
        <v>916</v>
      </c>
      <c r="E23" s="1" t="s">
        <v>1026</v>
      </c>
      <c r="F23" s="1" t="s">
        <v>1019</v>
      </c>
      <c r="G23" s="1" t="s">
        <v>1027</v>
      </c>
      <c r="H23" s="1" t="s">
        <v>916</v>
      </c>
      <c r="I23" s="1" t="s">
        <v>1028</v>
      </c>
      <c r="J23" s="1" t="s">
        <v>1029</v>
      </c>
      <c r="K23" s="1" t="s">
        <v>1030</v>
      </c>
      <c r="L23" s="1" t="s">
        <v>1004</v>
      </c>
      <c r="M23" s="1" t="s">
        <v>1031</v>
      </c>
      <c r="N23">
        <f>_xlfn.NUMBERVALUE(LEFT(Table11[[#This Row],[Score]],FIND("/",Table11[[#This Row],[Score]])-1))</f>
        <v>82</v>
      </c>
      <c r="O23">
        <f>IFERROR(_xlfn.NUMBERVALUE(LEFT(Table11[[#This Row],[Score2 ]],FIND("/",Table11[[#This Row],[Score2 ]])-1)),"")</f>
        <v>79</v>
      </c>
      <c r="P23" t="s">
        <v>137</v>
      </c>
      <c r="Q23" s="1" t="s">
        <v>153</v>
      </c>
      <c r="R23" t="str">
        <f>Table11[[#This Row],[Match]]&amp;" "&amp;Table11[[#This Row],[Over]]</f>
        <v>4 17</v>
      </c>
      <c r="W23" s="2">
        <v>14</v>
      </c>
      <c r="X23" s="4" t="e">
        <f t="shared" si="0"/>
        <v>#REF!</v>
      </c>
      <c r="Y23" s="4" t="e">
        <f>IF(INDEX(Table11[Score One],MATCH(RawData_Worm!X23,Table11[Link],0))="",#N/A,INDEX(Table11[Score One],MATCH(RawData_Worm!X23,Table11[Link],0)))</f>
        <v>#REF!</v>
      </c>
      <c r="Z23" s="5" t="e">
        <f>IF(INDEX(Table11[Score Two],MATCH(RawData_Worm!X23,Table11[Link],0))="",#N/A,INDEX(Table11[Score Two],MATCH(RawData_Worm!X23,Table11[Link],0)))</f>
        <v>#REF!</v>
      </c>
    </row>
    <row r="24" spans="1:26" x14ac:dyDescent="0.3">
      <c r="A24">
        <v>4</v>
      </c>
      <c r="B24">
        <v>18</v>
      </c>
      <c r="C24" s="1" t="s">
        <v>1032</v>
      </c>
      <c r="D24" s="1" t="s">
        <v>916</v>
      </c>
      <c r="E24" s="1" t="s">
        <v>1033</v>
      </c>
      <c r="F24" s="1" t="s">
        <v>960</v>
      </c>
      <c r="G24" s="1" t="s">
        <v>1034</v>
      </c>
      <c r="H24" s="1" t="s">
        <v>1007</v>
      </c>
      <c r="I24" s="1" t="s">
        <v>1035</v>
      </c>
      <c r="J24" s="1" t="s">
        <v>931</v>
      </c>
      <c r="K24" s="1" t="s">
        <v>1036</v>
      </c>
      <c r="L24" s="1" t="s">
        <v>1004</v>
      </c>
      <c r="M24" s="1" t="s">
        <v>1037</v>
      </c>
      <c r="N24">
        <f>_xlfn.NUMBERVALUE(LEFT(Table11[[#This Row],[Score]],FIND("/",Table11[[#This Row],[Score]])-1))</f>
        <v>89</v>
      </c>
      <c r="O24">
        <f>IFERROR(_xlfn.NUMBERVALUE(LEFT(Table11[[#This Row],[Score2 ]],FIND("/",Table11[[#This Row],[Score2 ]])-1)),"")</f>
        <v>79</v>
      </c>
      <c r="P24" t="s">
        <v>137</v>
      </c>
      <c r="Q24" s="1" t="s">
        <v>153</v>
      </c>
      <c r="R24" t="str">
        <f>Table11[[#This Row],[Match]]&amp;" "&amp;Table11[[#This Row],[Over]]</f>
        <v>4 18</v>
      </c>
      <c r="W24" s="2">
        <v>15</v>
      </c>
      <c r="X24" s="4" t="e">
        <f t="shared" si="0"/>
        <v>#REF!</v>
      </c>
      <c r="Y24" s="4" t="e">
        <f>IF(INDEX(Table11[Score One],MATCH(RawData_Worm!X24,Table11[Link],0))="",#N/A,INDEX(Table11[Score One],MATCH(RawData_Worm!X24,Table11[Link],0)))</f>
        <v>#REF!</v>
      </c>
      <c r="Z24" s="5" t="e">
        <f>IF(INDEX(Table11[Score Two],MATCH(RawData_Worm!X24,Table11[Link],0))="",#N/A,INDEX(Table11[Score Two],MATCH(RawData_Worm!X24,Table11[Link],0)))</f>
        <v>#REF!</v>
      </c>
    </row>
    <row r="25" spans="1:26" x14ac:dyDescent="0.3">
      <c r="A25">
        <v>4</v>
      </c>
      <c r="B25">
        <v>19</v>
      </c>
      <c r="C25" s="1" t="s">
        <v>1038</v>
      </c>
      <c r="D25" s="1" t="s">
        <v>950</v>
      </c>
      <c r="E25" s="1" t="s">
        <v>1033</v>
      </c>
      <c r="F25" s="1" t="s">
        <v>943</v>
      </c>
      <c r="G25" s="1" t="s">
        <v>1039</v>
      </c>
      <c r="H25" s="1" t="s">
        <v>998</v>
      </c>
      <c r="I25" s="1" t="s">
        <v>1040</v>
      </c>
      <c r="J25" s="1" t="s">
        <v>969</v>
      </c>
      <c r="K25" s="1" t="s">
        <v>1041</v>
      </c>
      <c r="L25" s="1" t="s">
        <v>1042</v>
      </c>
      <c r="M25" s="1" t="s">
        <v>1043</v>
      </c>
      <c r="N25">
        <f>_xlfn.NUMBERVALUE(LEFT(Table11[[#This Row],[Score]],FIND("/",Table11[[#This Row],[Score]])-1))</f>
        <v>94</v>
      </c>
      <c r="O25">
        <f>IFERROR(_xlfn.NUMBERVALUE(LEFT(Table11[[#This Row],[Score2 ]],FIND("/",Table11[[#This Row],[Score2 ]])-1)),"")</f>
        <v>83</v>
      </c>
      <c r="P25" t="s">
        <v>137</v>
      </c>
      <c r="Q25" s="1" t="s">
        <v>153</v>
      </c>
      <c r="R25" t="str">
        <f>Table11[[#This Row],[Match]]&amp;" "&amp;Table11[[#This Row],[Over]]</f>
        <v>4 19</v>
      </c>
      <c r="W25" s="2">
        <v>16</v>
      </c>
      <c r="X25" s="4" t="e">
        <f t="shared" si="0"/>
        <v>#REF!</v>
      </c>
      <c r="Y25" s="4" t="e">
        <f>IF(INDEX(Table11[Score One],MATCH(RawData_Worm!X25,Table11[Link],0))="",#N/A,INDEX(Table11[Score One],MATCH(RawData_Worm!X25,Table11[Link],0)))</f>
        <v>#REF!</v>
      </c>
      <c r="Z25" s="5" t="e">
        <f>IF(INDEX(Table11[Score Two],MATCH(RawData_Worm!X25,Table11[Link],0))="",#N/A,INDEX(Table11[Score Two],MATCH(RawData_Worm!X25,Table11[Link],0)))</f>
        <v>#REF!</v>
      </c>
    </row>
    <row r="26" spans="1:26" x14ac:dyDescent="0.3">
      <c r="A26">
        <v>4</v>
      </c>
      <c r="B26">
        <v>20</v>
      </c>
      <c r="C26" s="1" t="s">
        <v>1044</v>
      </c>
      <c r="D26" s="1" t="s">
        <v>998</v>
      </c>
      <c r="E26" s="1" t="s">
        <v>1045</v>
      </c>
      <c r="F26" s="1" t="s">
        <v>966</v>
      </c>
      <c r="G26" s="1" t="s">
        <v>1046</v>
      </c>
      <c r="H26" s="1" t="s">
        <v>947</v>
      </c>
      <c r="I26" s="1" t="s">
        <v>976</v>
      </c>
      <c r="J26" s="1" t="s">
        <v>969</v>
      </c>
      <c r="K26" s="1" t="s">
        <v>1047</v>
      </c>
      <c r="L26" s="1" t="s">
        <v>1048</v>
      </c>
      <c r="M26" s="1" t="s">
        <v>1049</v>
      </c>
      <c r="N26">
        <f>_xlfn.NUMBERVALUE(LEFT(Table11[[#This Row],[Score]],FIND("/",Table11[[#This Row],[Score]])-1))</f>
        <v>98</v>
      </c>
      <c r="O26">
        <f>IFERROR(_xlfn.NUMBERVALUE(LEFT(Table11[[#This Row],[Score2 ]],FIND("/",Table11[[#This Row],[Score2 ]])-1)),"")</f>
        <v>92</v>
      </c>
      <c r="P26" t="s">
        <v>137</v>
      </c>
      <c r="Q26" s="1" t="s">
        <v>153</v>
      </c>
      <c r="R26" t="str">
        <f>Table11[[#This Row],[Match]]&amp;" "&amp;Table11[[#This Row],[Over]]</f>
        <v>4 20</v>
      </c>
      <c r="W26" s="2">
        <v>17</v>
      </c>
      <c r="X26" s="4" t="e">
        <f t="shared" si="0"/>
        <v>#REF!</v>
      </c>
      <c r="Y26" s="4" t="e">
        <f>IF(INDEX(Table11[Score One],MATCH(RawData_Worm!X26,Table11[Link],0))="",#N/A,INDEX(Table11[Score One],MATCH(RawData_Worm!X26,Table11[Link],0)))</f>
        <v>#REF!</v>
      </c>
      <c r="Z26" s="5" t="e">
        <f>IF(INDEX(Table11[Score Two],MATCH(RawData_Worm!X26,Table11[Link],0))="",#N/A,INDEX(Table11[Score Two],MATCH(RawData_Worm!X26,Table11[Link],0)))</f>
        <v>#REF!</v>
      </c>
    </row>
    <row r="27" spans="1:26" x14ac:dyDescent="0.3">
      <c r="A27">
        <v>4</v>
      </c>
      <c r="B27">
        <v>21</v>
      </c>
      <c r="C27" s="1" t="s">
        <v>1050</v>
      </c>
      <c r="D27" s="1" t="s">
        <v>1051</v>
      </c>
      <c r="E27" s="1" t="s">
        <v>1052</v>
      </c>
      <c r="F27" s="1" t="s">
        <v>1053</v>
      </c>
      <c r="G27" s="1" t="s">
        <v>1054</v>
      </c>
      <c r="H27" s="1" t="s">
        <v>950</v>
      </c>
      <c r="I27" s="1" t="s">
        <v>1055</v>
      </c>
      <c r="J27" s="1" t="s">
        <v>969</v>
      </c>
      <c r="K27" s="1" t="s">
        <v>1041</v>
      </c>
      <c r="L27" s="1" t="s">
        <v>1024</v>
      </c>
      <c r="M27" s="1" t="s">
        <v>1056</v>
      </c>
      <c r="N27">
        <f>_xlfn.NUMBERVALUE(LEFT(Table11[[#This Row],[Score]],FIND("/",Table11[[#This Row],[Score]])-1))</f>
        <v>109</v>
      </c>
      <c r="O27">
        <f>IFERROR(_xlfn.NUMBERVALUE(LEFT(Table11[[#This Row],[Score2 ]],FIND("/",Table11[[#This Row],[Score2 ]])-1)),"")</f>
        <v>97</v>
      </c>
      <c r="P27" t="s">
        <v>137</v>
      </c>
      <c r="Q27" s="1" t="s">
        <v>153</v>
      </c>
      <c r="R27" t="str">
        <f>Table11[[#This Row],[Match]]&amp;" "&amp;Table11[[#This Row],[Over]]</f>
        <v>4 21</v>
      </c>
      <c r="W27" s="2">
        <v>18</v>
      </c>
      <c r="X27" s="4" t="e">
        <f t="shared" si="0"/>
        <v>#REF!</v>
      </c>
      <c r="Y27" s="4" t="e">
        <f>IF(INDEX(Table11[Score One],MATCH(RawData_Worm!X27,Table11[Link],0))="",#N/A,INDEX(Table11[Score One],MATCH(RawData_Worm!X27,Table11[Link],0)))</f>
        <v>#REF!</v>
      </c>
      <c r="Z27" s="5" t="e">
        <f>IF(INDEX(Table11[Score Two],MATCH(RawData_Worm!X27,Table11[Link],0))="",#N/A,INDEX(Table11[Score Two],MATCH(RawData_Worm!X27,Table11[Link],0)))</f>
        <v>#REF!</v>
      </c>
    </row>
    <row r="28" spans="1:26" x14ac:dyDescent="0.3">
      <c r="A28">
        <v>4</v>
      </c>
      <c r="B28">
        <v>22</v>
      </c>
      <c r="C28" s="1" t="s">
        <v>1057</v>
      </c>
      <c r="D28" s="1" t="s">
        <v>922</v>
      </c>
      <c r="E28" s="1" t="s">
        <v>1058</v>
      </c>
      <c r="F28" s="1" t="s">
        <v>960</v>
      </c>
      <c r="G28" s="1" t="s">
        <v>1059</v>
      </c>
      <c r="H28" s="1" t="s">
        <v>968</v>
      </c>
      <c r="I28" s="1" t="s">
        <v>1060</v>
      </c>
      <c r="J28" s="1" t="s">
        <v>990</v>
      </c>
      <c r="K28" s="1" t="s">
        <v>1061</v>
      </c>
      <c r="L28" s="1" t="s">
        <v>1062</v>
      </c>
      <c r="M28" s="1" t="s">
        <v>1063</v>
      </c>
      <c r="N28">
        <f>_xlfn.NUMBERVALUE(LEFT(Table11[[#This Row],[Score]],FIND("/",Table11[[#This Row],[Score]])-1))</f>
        <v>115</v>
      </c>
      <c r="O28">
        <f>IFERROR(_xlfn.NUMBERVALUE(LEFT(Table11[[#This Row],[Score2 ]],FIND("/",Table11[[#This Row],[Score2 ]])-1)),"")</f>
        <v>98</v>
      </c>
      <c r="P28" t="s">
        <v>137</v>
      </c>
      <c r="Q28" s="1" t="s">
        <v>153</v>
      </c>
      <c r="R28" t="str">
        <f>Table11[[#This Row],[Match]]&amp;" "&amp;Table11[[#This Row],[Over]]</f>
        <v>4 22</v>
      </c>
      <c r="W28" s="2">
        <v>19</v>
      </c>
      <c r="X28" s="4" t="e">
        <f t="shared" si="0"/>
        <v>#REF!</v>
      </c>
      <c r="Y28" s="4" t="e">
        <f>IF(INDEX(Table11[Score One],MATCH(RawData_Worm!X28,Table11[Link],0))="",#N/A,INDEX(Table11[Score One],MATCH(RawData_Worm!X28,Table11[Link],0)))</f>
        <v>#REF!</v>
      </c>
      <c r="Z28" s="5" t="e">
        <f>IF(INDEX(Table11[Score Two],MATCH(RawData_Worm!X28,Table11[Link],0))="",#N/A,INDEX(Table11[Score Two],MATCH(RawData_Worm!X28,Table11[Link],0)))</f>
        <v>#REF!</v>
      </c>
    </row>
    <row r="29" spans="1:26" x14ac:dyDescent="0.3">
      <c r="A29">
        <v>4</v>
      </c>
      <c r="B29">
        <v>23</v>
      </c>
      <c r="C29" s="1" t="s">
        <v>1064</v>
      </c>
      <c r="D29" s="1" t="s">
        <v>916</v>
      </c>
      <c r="E29" s="1" t="s">
        <v>1065</v>
      </c>
      <c r="F29" s="1" t="s">
        <v>960</v>
      </c>
      <c r="G29" s="1" t="s">
        <v>1066</v>
      </c>
      <c r="H29" s="1" t="s">
        <v>904</v>
      </c>
      <c r="I29" s="1" t="s">
        <v>1067</v>
      </c>
      <c r="J29" s="1" t="s">
        <v>940</v>
      </c>
      <c r="K29" s="1" t="s">
        <v>1068</v>
      </c>
      <c r="L29" s="1" t="s">
        <v>1069</v>
      </c>
      <c r="M29" s="1" t="s">
        <v>1070</v>
      </c>
      <c r="N29">
        <f>_xlfn.NUMBERVALUE(LEFT(Table11[[#This Row],[Score]],FIND("/",Table11[[#This Row],[Score]])-1))</f>
        <v>122</v>
      </c>
      <c r="O29">
        <f>IFERROR(_xlfn.NUMBERVALUE(LEFT(Table11[[#This Row],[Score2 ]],FIND("/",Table11[[#This Row],[Score2 ]])-1)),"")</f>
        <v>101</v>
      </c>
      <c r="P29" t="s">
        <v>137</v>
      </c>
      <c r="Q29" s="1" t="s">
        <v>153</v>
      </c>
      <c r="R29" t="str">
        <f>Table11[[#This Row],[Match]]&amp;" "&amp;Table11[[#This Row],[Over]]</f>
        <v>4 23</v>
      </c>
      <c r="W29" s="2">
        <v>20</v>
      </c>
      <c r="X29" s="4" t="e">
        <f t="shared" si="0"/>
        <v>#REF!</v>
      </c>
      <c r="Y29" s="4" t="e">
        <f>IF(INDEX(Table11[Score One],MATCH(RawData_Worm!X29,Table11[Link],0))="",#N/A,INDEX(Table11[Score One],MATCH(RawData_Worm!X29,Table11[Link],0)))</f>
        <v>#REF!</v>
      </c>
      <c r="Z29" s="5" t="e">
        <f>IF(INDEX(Table11[Score Two],MATCH(RawData_Worm!X29,Table11[Link],0))="",#N/A,INDEX(Table11[Score Two],MATCH(RawData_Worm!X29,Table11[Link],0)))</f>
        <v>#REF!</v>
      </c>
    </row>
    <row r="30" spans="1:26" x14ac:dyDescent="0.3">
      <c r="A30">
        <v>4</v>
      </c>
      <c r="B30">
        <v>24</v>
      </c>
      <c r="C30" s="1" t="s">
        <v>1071</v>
      </c>
      <c r="D30" s="1" t="s">
        <v>950</v>
      </c>
      <c r="E30" s="1" t="s">
        <v>1072</v>
      </c>
      <c r="F30" s="1" t="s">
        <v>960</v>
      </c>
      <c r="G30" s="1" t="s">
        <v>1073</v>
      </c>
      <c r="H30" s="1" t="s">
        <v>968</v>
      </c>
      <c r="I30" s="1" t="s">
        <v>1074</v>
      </c>
      <c r="J30" s="1" t="s">
        <v>990</v>
      </c>
      <c r="K30" s="1" t="s">
        <v>1075</v>
      </c>
      <c r="L30" s="1" t="s">
        <v>1076</v>
      </c>
      <c r="M30" s="1" t="s">
        <v>1077</v>
      </c>
      <c r="N30">
        <f>_xlfn.NUMBERVALUE(LEFT(Table11[[#This Row],[Score]],FIND("/",Table11[[#This Row],[Score]])-1))</f>
        <v>127</v>
      </c>
      <c r="O30">
        <f>IFERROR(_xlfn.NUMBERVALUE(LEFT(Table11[[#This Row],[Score2 ]],FIND("/",Table11[[#This Row],[Score2 ]])-1)),"")</f>
        <v>102</v>
      </c>
      <c r="P30" t="s">
        <v>137</v>
      </c>
      <c r="Q30" s="1" t="s">
        <v>153</v>
      </c>
      <c r="R30" t="str">
        <f>Table11[[#This Row],[Match]]&amp;" "&amp;Table11[[#This Row],[Over]]</f>
        <v>4 24</v>
      </c>
      <c r="W30" s="2">
        <v>21</v>
      </c>
      <c r="X30" s="4" t="e">
        <f t="shared" si="0"/>
        <v>#REF!</v>
      </c>
      <c r="Y30" s="4" t="e">
        <f>IF(INDEX(Table11[Score One],MATCH(RawData_Worm!X30,Table11[Link],0))="",#N/A,INDEX(Table11[Score One],MATCH(RawData_Worm!X30,Table11[Link],0)))</f>
        <v>#REF!</v>
      </c>
      <c r="Z30" s="5" t="e">
        <f>IF(INDEX(Table11[Score Two],MATCH(RawData_Worm!X30,Table11[Link],0))="",#N/A,INDEX(Table11[Score Two],MATCH(RawData_Worm!X30,Table11[Link],0)))</f>
        <v>#REF!</v>
      </c>
    </row>
    <row r="31" spans="1:26" x14ac:dyDescent="0.3">
      <c r="A31">
        <v>4</v>
      </c>
      <c r="B31">
        <v>25</v>
      </c>
      <c r="C31" s="1" t="s">
        <v>1078</v>
      </c>
      <c r="D31" s="1" t="s">
        <v>998</v>
      </c>
      <c r="E31" s="1" t="s">
        <v>1079</v>
      </c>
      <c r="F31" s="1" t="s">
        <v>960</v>
      </c>
      <c r="G31" s="1" t="s">
        <v>1080</v>
      </c>
      <c r="H31" s="1" t="s">
        <v>904</v>
      </c>
      <c r="I31" s="1" t="s">
        <v>931</v>
      </c>
      <c r="J31" s="1" t="s">
        <v>984</v>
      </c>
      <c r="K31" s="1" t="s">
        <v>1081</v>
      </c>
      <c r="L31" s="1" t="s">
        <v>1082</v>
      </c>
      <c r="M31" s="1" t="s">
        <v>1083</v>
      </c>
      <c r="N31">
        <f>_xlfn.NUMBERVALUE(LEFT(Table11[[#This Row],[Score]],FIND("/",Table11[[#This Row],[Score]])-1))</f>
        <v>131</v>
      </c>
      <c r="O31">
        <f>IFERROR(_xlfn.NUMBERVALUE(LEFT(Table11[[#This Row],[Score2 ]],FIND("/",Table11[[#This Row],[Score2 ]])-1)),"")</f>
        <v>105</v>
      </c>
      <c r="P31" t="s">
        <v>137</v>
      </c>
      <c r="Q31" s="1" t="s">
        <v>153</v>
      </c>
      <c r="R31" t="str">
        <f>Table11[[#This Row],[Match]]&amp;" "&amp;Table11[[#This Row],[Over]]</f>
        <v>4 25</v>
      </c>
      <c r="W31" s="2">
        <v>22</v>
      </c>
      <c r="X31" s="4" t="e">
        <f t="shared" si="0"/>
        <v>#REF!</v>
      </c>
      <c r="Y31" s="4" t="e">
        <f>IF(INDEX(Table11[Score One],MATCH(RawData_Worm!X31,Table11[Link],0))="",#N/A,INDEX(Table11[Score One],MATCH(RawData_Worm!X31,Table11[Link],0)))</f>
        <v>#REF!</v>
      </c>
      <c r="Z31" s="5" t="e">
        <f>IF(INDEX(Table11[Score Two],MATCH(RawData_Worm!X31,Table11[Link],0))="",#N/A,INDEX(Table11[Score Two],MATCH(RawData_Worm!X31,Table11[Link],0)))</f>
        <v>#REF!</v>
      </c>
    </row>
    <row r="32" spans="1:26" x14ac:dyDescent="0.3">
      <c r="A32">
        <v>4</v>
      </c>
      <c r="B32">
        <v>26</v>
      </c>
      <c r="C32" s="1" t="s">
        <v>1084</v>
      </c>
      <c r="D32" s="1" t="s">
        <v>904</v>
      </c>
      <c r="E32" s="1" t="s">
        <v>1085</v>
      </c>
      <c r="F32" s="1" t="s">
        <v>969</v>
      </c>
      <c r="G32" s="1" t="s">
        <v>1086</v>
      </c>
      <c r="H32" s="1" t="s">
        <v>998</v>
      </c>
      <c r="I32" s="1" t="s">
        <v>1087</v>
      </c>
      <c r="J32" s="1" t="s">
        <v>1088</v>
      </c>
      <c r="K32" s="1" t="s">
        <v>1089</v>
      </c>
      <c r="L32" s="1" t="s">
        <v>1037</v>
      </c>
      <c r="M32" s="1" t="s">
        <v>1090</v>
      </c>
      <c r="N32">
        <f>_xlfn.NUMBERVALUE(LEFT(Table11[[#This Row],[Score]],FIND("/",Table11[[#This Row],[Score]])-1))</f>
        <v>134</v>
      </c>
      <c r="O32">
        <f>IFERROR(_xlfn.NUMBERVALUE(LEFT(Table11[[#This Row],[Score2 ]],FIND("/",Table11[[#This Row],[Score2 ]])-1)),"")</f>
        <v>109</v>
      </c>
      <c r="P32" t="s">
        <v>137</v>
      </c>
      <c r="Q32" s="1" t="s">
        <v>153</v>
      </c>
      <c r="R32" t="str">
        <f>Table11[[#This Row],[Match]]&amp;" "&amp;Table11[[#This Row],[Over]]</f>
        <v>4 26</v>
      </c>
      <c r="W32" s="2">
        <v>23</v>
      </c>
      <c r="X32" s="4" t="e">
        <f t="shared" si="0"/>
        <v>#REF!</v>
      </c>
      <c r="Y32" s="4" t="e">
        <f>IF(INDEX(Table11[Score One],MATCH(RawData_Worm!X32,Table11[Link],0))="",#N/A,INDEX(Table11[Score One],MATCH(RawData_Worm!X32,Table11[Link],0)))</f>
        <v>#REF!</v>
      </c>
      <c r="Z32" s="5" t="e">
        <f>IF(INDEX(Table11[Score Two],MATCH(RawData_Worm!X32,Table11[Link],0))="",#N/A,INDEX(Table11[Score Two],MATCH(RawData_Worm!X32,Table11[Link],0)))</f>
        <v>#REF!</v>
      </c>
    </row>
    <row r="33" spans="1:26" x14ac:dyDescent="0.3">
      <c r="A33">
        <v>4</v>
      </c>
      <c r="B33">
        <v>27</v>
      </c>
      <c r="C33" s="1" t="s">
        <v>1091</v>
      </c>
      <c r="D33" s="1" t="s">
        <v>950</v>
      </c>
      <c r="E33" s="1" t="s">
        <v>1092</v>
      </c>
      <c r="F33" s="1" t="s">
        <v>1093</v>
      </c>
      <c r="G33" s="1" t="s">
        <v>1094</v>
      </c>
      <c r="H33" s="1" t="s">
        <v>1095</v>
      </c>
      <c r="I33" s="1" t="s">
        <v>940</v>
      </c>
      <c r="J33" s="1" t="s">
        <v>931</v>
      </c>
      <c r="K33" s="1" t="s">
        <v>1096</v>
      </c>
      <c r="L33" s="1" t="s">
        <v>1097</v>
      </c>
      <c r="M33" s="1" t="s">
        <v>1098</v>
      </c>
      <c r="N33">
        <f>_xlfn.NUMBERVALUE(LEFT(Table11[[#This Row],[Score]],FIND("/",Table11[[#This Row],[Score]])-1))</f>
        <v>139</v>
      </c>
      <c r="O33">
        <f>IFERROR(_xlfn.NUMBERVALUE(LEFT(Table11[[#This Row],[Score2 ]],FIND("/",Table11[[#This Row],[Score2 ]])-1)),"")</f>
        <v>119</v>
      </c>
      <c r="P33" t="s">
        <v>137</v>
      </c>
      <c r="Q33" s="1" t="s">
        <v>153</v>
      </c>
      <c r="R33" t="str">
        <f>Table11[[#This Row],[Match]]&amp;" "&amp;Table11[[#This Row],[Over]]</f>
        <v>4 27</v>
      </c>
      <c r="W33" s="2">
        <v>24</v>
      </c>
      <c r="X33" s="4" t="e">
        <f t="shared" si="0"/>
        <v>#REF!</v>
      </c>
      <c r="Y33" s="4" t="e">
        <f>IF(INDEX(Table11[Score One],MATCH(RawData_Worm!X33,Table11[Link],0))="",#N/A,INDEX(Table11[Score One],MATCH(RawData_Worm!X33,Table11[Link],0)))</f>
        <v>#REF!</v>
      </c>
      <c r="Z33" s="5" t="e">
        <f>IF(INDEX(Table11[Score Two],MATCH(RawData_Worm!X33,Table11[Link],0))="",#N/A,INDEX(Table11[Score Two],MATCH(RawData_Worm!X33,Table11[Link],0)))</f>
        <v>#REF!</v>
      </c>
    </row>
    <row r="34" spans="1:26" x14ac:dyDescent="0.3">
      <c r="A34">
        <v>4</v>
      </c>
      <c r="B34">
        <v>28</v>
      </c>
      <c r="C34" s="1" t="s">
        <v>1099</v>
      </c>
      <c r="D34" s="1" t="s">
        <v>950</v>
      </c>
      <c r="E34" s="1" t="s">
        <v>1092</v>
      </c>
      <c r="F34" s="1" t="s">
        <v>940</v>
      </c>
      <c r="G34" s="1" t="s">
        <v>1094</v>
      </c>
      <c r="H34" s="1" t="s">
        <v>1007</v>
      </c>
      <c r="I34" s="1" t="s">
        <v>1074</v>
      </c>
      <c r="J34" s="1" t="s">
        <v>977</v>
      </c>
      <c r="K34" s="1" t="s">
        <v>1100</v>
      </c>
      <c r="L34" s="1" t="s">
        <v>1097</v>
      </c>
      <c r="M34" s="1" t="s">
        <v>1101</v>
      </c>
      <c r="N34">
        <f>_xlfn.NUMBERVALUE(LEFT(Table11[[#This Row],[Score]],FIND("/",Table11[[#This Row],[Score]])-1))</f>
        <v>144</v>
      </c>
      <c r="O34">
        <f>IFERROR(_xlfn.NUMBERVALUE(LEFT(Table11[[#This Row],[Score2 ]],FIND("/",Table11[[#This Row],[Score2 ]])-1)),"")</f>
        <v>119</v>
      </c>
      <c r="P34" t="s">
        <v>137</v>
      </c>
      <c r="Q34" s="1" t="s">
        <v>153</v>
      </c>
      <c r="R34" t="str">
        <f>Table11[[#This Row],[Match]]&amp;" "&amp;Table11[[#This Row],[Over]]</f>
        <v>4 28</v>
      </c>
      <c r="W34" s="2">
        <v>25</v>
      </c>
      <c r="X34" s="4" t="e">
        <f t="shared" si="0"/>
        <v>#REF!</v>
      </c>
      <c r="Y34" s="4" t="e">
        <f>IF(INDEX(Table11[Score One],MATCH(RawData_Worm!X34,Table11[Link],0))="",#N/A,INDEX(Table11[Score One],MATCH(RawData_Worm!X34,Table11[Link],0)))</f>
        <v>#REF!</v>
      </c>
      <c r="Z34" s="5" t="e">
        <f>IF(INDEX(Table11[Score Two],MATCH(RawData_Worm!X34,Table11[Link],0))="",#N/A,INDEX(Table11[Score Two],MATCH(RawData_Worm!X34,Table11[Link],0)))</f>
        <v>#REF!</v>
      </c>
    </row>
    <row r="35" spans="1:26" x14ac:dyDescent="0.3">
      <c r="A35">
        <v>4</v>
      </c>
      <c r="B35">
        <v>29</v>
      </c>
      <c r="C35" s="1" t="s">
        <v>1102</v>
      </c>
      <c r="D35" s="1" t="s">
        <v>1103</v>
      </c>
      <c r="E35" s="1" t="s">
        <v>1104</v>
      </c>
      <c r="F35" s="1" t="s">
        <v>1013</v>
      </c>
      <c r="G35" s="1" t="s">
        <v>1105</v>
      </c>
      <c r="H35" s="1" t="s">
        <v>950</v>
      </c>
      <c r="I35" s="1" t="s">
        <v>983</v>
      </c>
      <c r="J35" s="1" t="s">
        <v>940</v>
      </c>
      <c r="K35" s="1" t="s">
        <v>1106</v>
      </c>
      <c r="L35" s="1" t="s">
        <v>1107</v>
      </c>
      <c r="M35" s="1" t="s">
        <v>1108</v>
      </c>
      <c r="N35">
        <f>_xlfn.NUMBERVALUE(LEFT(Table11[[#This Row],[Score]],FIND("/",Table11[[#This Row],[Score]])-1))</f>
        <v>156</v>
      </c>
      <c r="O35">
        <f>IFERROR(_xlfn.NUMBERVALUE(LEFT(Table11[[#This Row],[Score2 ]],FIND("/",Table11[[#This Row],[Score2 ]])-1)),"")</f>
        <v>124</v>
      </c>
      <c r="P35" t="s">
        <v>137</v>
      </c>
      <c r="Q35" s="1" t="s">
        <v>153</v>
      </c>
      <c r="R35" t="str">
        <f>Table11[[#This Row],[Match]]&amp;" "&amp;Table11[[#This Row],[Over]]</f>
        <v>4 29</v>
      </c>
      <c r="W35" s="2">
        <v>26</v>
      </c>
      <c r="X35" s="4" t="e">
        <f t="shared" si="0"/>
        <v>#REF!</v>
      </c>
      <c r="Y35" s="4" t="e">
        <f>IF(INDEX(Table11[Score One],MATCH(RawData_Worm!X35,Table11[Link],0))="",#N/A,INDEX(Table11[Score One],MATCH(RawData_Worm!X35,Table11[Link],0)))</f>
        <v>#REF!</v>
      </c>
      <c r="Z35" s="5" t="e">
        <f>IF(INDEX(Table11[Score Two],MATCH(RawData_Worm!X35,Table11[Link],0))="",#N/A,INDEX(Table11[Score Two],MATCH(RawData_Worm!X35,Table11[Link],0)))</f>
        <v>#REF!</v>
      </c>
    </row>
    <row r="36" spans="1:26" x14ac:dyDescent="0.3">
      <c r="A36">
        <v>4</v>
      </c>
      <c r="B36">
        <v>30</v>
      </c>
      <c r="C36" s="1" t="s">
        <v>1109</v>
      </c>
      <c r="D36" s="1" t="s">
        <v>947</v>
      </c>
      <c r="E36" s="1" t="s">
        <v>959</v>
      </c>
      <c r="F36" s="1" t="s">
        <v>1053</v>
      </c>
      <c r="G36" s="1" t="s">
        <v>1110</v>
      </c>
      <c r="H36" s="1" t="s">
        <v>930</v>
      </c>
      <c r="I36" s="1" t="s">
        <v>940</v>
      </c>
      <c r="J36" s="1" t="s">
        <v>966</v>
      </c>
      <c r="K36" s="1" t="s">
        <v>1111</v>
      </c>
      <c r="L36" s="1" t="s">
        <v>1112</v>
      </c>
      <c r="M36" s="1" t="s">
        <v>1113</v>
      </c>
      <c r="N36">
        <f>_xlfn.NUMBERVALUE(LEFT(Table11[[#This Row],[Score]],FIND("/",Table11[[#This Row],[Score]])-1))</f>
        <v>165</v>
      </c>
      <c r="O36">
        <f>IFERROR(_xlfn.NUMBERVALUE(LEFT(Table11[[#This Row],[Score2 ]],FIND("/",Table11[[#This Row],[Score2 ]])-1)),"")</f>
        <v>132</v>
      </c>
      <c r="P36" t="s">
        <v>137</v>
      </c>
      <c r="Q36" s="1" t="s">
        <v>153</v>
      </c>
      <c r="R36" t="str">
        <f>Table11[[#This Row],[Match]]&amp;" "&amp;Table11[[#This Row],[Over]]</f>
        <v>4 30</v>
      </c>
      <c r="W36" s="2">
        <v>27</v>
      </c>
      <c r="X36" s="4" t="e">
        <f t="shared" si="0"/>
        <v>#REF!</v>
      </c>
      <c r="Y36" s="4" t="e">
        <f>IF(INDEX(Table11[Score One],MATCH(RawData_Worm!X36,Table11[Link],0))="",#N/A,INDEX(Table11[Score One],MATCH(RawData_Worm!X36,Table11[Link],0)))</f>
        <v>#REF!</v>
      </c>
      <c r="Z36" s="5" t="e">
        <f>IF(INDEX(Table11[Score Two],MATCH(RawData_Worm!X36,Table11[Link],0))="",#N/A,INDEX(Table11[Score Two],MATCH(RawData_Worm!X36,Table11[Link],0)))</f>
        <v>#REF!</v>
      </c>
    </row>
    <row r="37" spans="1:26" x14ac:dyDescent="0.3">
      <c r="A37">
        <v>4</v>
      </c>
      <c r="B37">
        <v>31</v>
      </c>
      <c r="C37" s="1" t="s">
        <v>1114</v>
      </c>
      <c r="D37" s="1" t="s">
        <v>950</v>
      </c>
      <c r="E37" s="1" t="s">
        <v>1115</v>
      </c>
      <c r="F37" s="1" t="s">
        <v>1116</v>
      </c>
      <c r="G37" s="1" t="s">
        <v>1117</v>
      </c>
      <c r="H37" s="1" t="s">
        <v>898</v>
      </c>
      <c r="I37" s="1" t="s">
        <v>1118</v>
      </c>
      <c r="J37" s="1" t="s">
        <v>969</v>
      </c>
      <c r="K37" s="1" t="s">
        <v>1119</v>
      </c>
      <c r="L37" s="1" t="s">
        <v>1120</v>
      </c>
      <c r="M37" s="1" t="s">
        <v>1121</v>
      </c>
      <c r="N37">
        <f>_xlfn.NUMBERVALUE(LEFT(Table11[[#This Row],[Score]],FIND("/",Table11[[#This Row],[Score]])-1))</f>
        <v>170</v>
      </c>
      <c r="O37">
        <f>IFERROR(_xlfn.NUMBERVALUE(LEFT(Table11[[#This Row],[Score2 ]],FIND("/",Table11[[#This Row],[Score2 ]])-1)),"")</f>
        <v>134</v>
      </c>
      <c r="P37" t="s">
        <v>137</v>
      </c>
      <c r="Q37" s="1" t="s">
        <v>153</v>
      </c>
      <c r="R37" t="str">
        <f>Table11[[#This Row],[Match]]&amp;" "&amp;Table11[[#This Row],[Over]]</f>
        <v>4 31</v>
      </c>
      <c r="W37" s="2">
        <v>28</v>
      </c>
      <c r="X37" s="4" t="e">
        <f t="shared" si="0"/>
        <v>#REF!</v>
      </c>
      <c r="Y37" s="4" t="e">
        <f>IF(INDEX(Table11[Score One],MATCH(RawData_Worm!X37,Table11[Link],0))="",#N/A,INDEX(Table11[Score One],MATCH(RawData_Worm!X37,Table11[Link],0)))</f>
        <v>#REF!</v>
      </c>
      <c r="Z37" s="5" t="e">
        <f>IF(INDEX(Table11[Score Two],MATCH(RawData_Worm!X37,Table11[Link],0))="",#N/A,INDEX(Table11[Score Two],MATCH(RawData_Worm!X37,Table11[Link],0)))</f>
        <v>#REF!</v>
      </c>
    </row>
    <row r="38" spans="1:26" x14ac:dyDescent="0.3">
      <c r="A38">
        <v>4</v>
      </c>
      <c r="B38">
        <v>32</v>
      </c>
      <c r="C38" s="1" t="s">
        <v>1122</v>
      </c>
      <c r="D38" s="1" t="s">
        <v>904</v>
      </c>
      <c r="E38" s="1" t="s">
        <v>966</v>
      </c>
      <c r="F38" s="1" t="s">
        <v>1053</v>
      </c>
      <c r="G38" s="1" t="s">
        <v>1123</v>
      </c>
      <c r="H38" s="1" t="s">
        <v>904</v>
      </c>
      <c r="I38" s="1" t="s">
        <v>1124</v>
      </c>
      <c r="J38" s="1" t="s">
        <v>977</v>
      </c>
      <c r="K38" s="1" t="s">
        <v>1125</v>
      </c>
      <c r="L38" s="1" t="s">
        <v>1126</v>
      </c>
      <c r="M38" s="1" t="s">
        <v>1127</v>
      </c>
      <c r="N38">
        <f>_xlfn.NUMBERVALUE(LEFT(Table11[[#This Row],[Score]],FIND("/",Table11[[#This Row],[Score]])-1))</f>
        <v>173</v>
      </c>
      <c r="O38">
        <f>IFERROR(_xlfn.NUMBERVALUE(LEFT(Table11[[#This Row],[Score2 ]],FIND("/",Table11[[#This Row],[Score2 ]])-1)),"")</f>
        <v>137</v>
      </c>
      <c r="P38" t="s">
        <v>137</v>
      </c>
      <c r="Q38" s="1" t="s">
        <v>153</v>
      </c>
      <c r="R38" t="str">
        <f>Table11[[#This Row],[Match]]&amp;" "&amp;Table11[[#This Row],[Over]]</f>
        <v>4 32</v>
      </c>
      <c r="W38" s="2">
        <v>29</v>
      </c>
      <c r="X38" s="4" t="e">
        <f t="shared" si="0"/>
        <v>#REF!</v>
      </c>
      <c r="Y38" s="4" t="e">
        <f>IF(INDEX(Table11[Score One],MATCH(RawData_Worm!X38,Table11[Link],0))="",#N/A,INDEX(Table11[Score One],MATCH(RawData_Worm!X38,Table11[Link],0)))</f>
        <v>#REF!</v>
      </c>
      <c r="Z38" s="5" t="e">
        <f>IF(INDEX(Table11[Score Two],MATCH(RawData_Worm!X38,Table11[Link],0))="",#N/A,INDEX(Table11[Score Two],MATCH(RawData_Worm!X38,Table11[Link],0)))</f>
        <v>#REF!</v>
      </c>
    </row>
    <row r="39" spans="1:26" x14ac:dyDescent="0.3">
      <c r="A39">
        <v>4</v>
      </c>
      <c r="B39">
        <v>33</v>
      </c>
      <c r="C39" s="1" t="s">
        <v>1128</v>
      </c>
      <c r="D39" s="1" t="s">
        <v>930</v>
      </c>
      <c r="E39" s="1" t="s">
        <v>1115</v>
      </c>
      <c r="F39" s="1" t="s">
        <v>1068</v>
      </c>
      <c r="G39" s="1" t="s">
        <v>1129</v>
      </c>
      <c r="H39" s="1" t="s">
        <v>898</v>
      </c>
      <c r="I39" s="1" t="s">
        <v>1130</v>
      </c>
      <c r="J39" s="1" t="s">
        <v>939</v>
      </c>
      <c r="K39" s="1" t="s">
        <v>1131</v>
      </c>
      <c r="L39" s="1" t="s">
        <v>1070</v>
      </c>
      <c r="M39" s="1" t="s">
        <v>1132</v>
      </c>
      <c r="N39">
        <f>_xlfn.NUMBERVALUE(LEFT(Table11[[#This Row],[Score]],FIND("/",Table11[[#This Row],[Score]])-1))</f>
        <v>181</v>
      </c>
      <c r="O39">
        <f>IFERROR(_xlfn.NUMBERVALUE(LEFT(Table11[[#This Row],[Score2 ]],FIND("/",Table11[[#This Row],[Score2 ]])-1)),"")</f>
        <v>139</v>
      </c>
      <c r="P39" t="s">
        <v>137</v>
      </c>
      <c r="Q39" s="1" t="s">
        <v>153</v>
      </c>
      <c r="R39" t="str">
        <f>Table11[[#This Row],[Match]]&amp;" "&amp;Table11[[#This Row],[Over]]</f>
        <v>4 33</v>
      </c>
      <c r="W39" s="2">
        <v>30</v>
      </c>
      <c r="X39" s="4" t="e">
        <f t="shared" si="0"/>
        <v>#REF!</v>
      </c>
      <c r="Y39" s="4" t="e">
        <f>IF(INDEX(Table11[Score One],MATCH(RawData_Worm!X39,Table11[Link],0))="",#N/A,INDEX(Table11[Score One],MATCH(RawData_Worm!X39,Table11[Link],0)))</f>
        <v>#REF!</v>
      </c>
      <c r="Z39" s="5" t="e">
        <f>IF(INDEX(Table11[Score Two],MATCH(RawData_Worm!X39,Table11[Link],0))="",#N/A,INDEX(Table11[Score Two],MATCH(RawData_Worm!X39,Table11[Link],0)))</f>
        <v>#REF!</v>
      </c>
    </row>
    <row r="40" spans="1:26" x14ac:dyDescent="0.3">
      <c r="A40">
        <v>4</v>
      </c>
      <c r="B40">
        <v>34</v>
      </c>
      <c r="C40" s="1" t="s">
        <v>1133</v>
      </c>
      <c r="D40" s="1" t="s">
        <v>947</v>
      </c>
      <c r="E40" s="1" t="s">
        <v>1134</v>
      </c>
      <c r="F40" s="1" t="s">
        <v>1053</v>
      </c>
      <c r="G40" s="1" t="s">
        <v>1135</v>
      </c>
      <c r="H40" s="1" t="s">
        <v>1095</v>
      </c>
      <c r="I40" s="1" t="s">
        <v>1035</v>
      </c>
      <c r="J40" s="1" t="s">
        <v>969</v>
      </c>
      <c r="K40" s="1" t="s">
        <v>1136</v>
      </c>
      <c r="L40" s="1" t="s">
        <v>1137</v>
      </c>
      <c r="M40" s="1" t="s">
        <v>1138</v>
      </c>
      <c r="N40">
        <f>_xlfn.NUMBERVALUE(LEFT(Table11[[#This Row],[Score]],FIND("/",Table11[[#This Row],[Score]])-1))</f>
        <v>190</v>
      </c>
      <c r="O40">
        <f>IFERROR(_xlfn.NUMBERVALUE(LEFT(Table11[[#This Row],[Score2 ]],FIND("/",Table11[[#This Row],[Score2 ]])-1)),"")</f>
        <v>149</v>
      </c>
      <c r="P40" t="s">
        <v>137</v>
      </c>
      <c r="Q40" s="1" t="s">
        <v>153</v>
      </c>
      <c r="R40" t="str">
        <f>Table11[[#This Row],[Match]]&amp;" "&amp;Table11[[#This Row],[Over]]</f>
        <v>4 34</v>
      </c>
      <c r="W40" s="2">
        <v>31</v>
      </c>
      <c r="X40" s="4" t="e">
        <f t="shared" si="0"/>
        <v>#REF!</v>
      </c>
      <c r="Y40" s="4" t="e">
        <f>IF(INDEX(Table11[Score One],MATCH(RawData_Worm!X40,Table11[Link],0))="",#N/A,INDEX(Table11[Score One],MATCH(RawData_Worm!X40,Table11[Link],0)))</f>
        <v>#REF!</v>
      </c>
      <c r="Z40" s="5" t="e">
        <f>IF(INDEX(Table11[Score Two],MATCH(RawData_Worm!X40,Table11[Link],0))="",#N/A,INDEX(Table11[Score Two],MATCH(RawData_Worm!X40,Table11[Link],0)))</f>
        <v>#REF!</v>
      </c>
    </row>
    <row r="41" spans="1:26" x14ac:dyDescent="0.3">
      <c r="A41">
        <v>4</v>
      </c>
      <c r="B41">
        <v>35</v>
      </c>
      <c r="C41" s="1" t="s">
        <v>1139</v>
      </c>
      <c r="D41" s="1" t="s">
        <v>898</v>
      </c>
      <c r="E41" s="1" t="s">
        <v>1115</v>
      </c>
      <c r="F41" s="1" t="s">
        <v>966</v>
      </c>
      <c r="G41" s="1" t="s">
        <v>1140</v>
      </c>
      <c r="H41" s="1" t="s">
        <v>950</v>
      </c>
      <c r="I41" s="1" t="s">
        <v>940</v>
      </c>
      <c r="J41" s="1" t="s">
        <v>940</v>
      </c>
      <c r="K41" s="1" t="s">
        <v>1141</v>
      </c>
      <c r="L41" s="1" t="s">
        <v>1142</v>
      </c>
      <c r="M41" s="1" t="s">
        <v>1143</v>
      </c>
      <c r="N41">
        <f>_xlfn.NUMBERVALUE(LEFT(Table11[[#This Row],[Score]],FIND("/",Table11[[#This Row],[Score]])-1))</f>
        <v>192</v>
      </c>
      <c r="O41">
        <f>IFERROR(_xlfn.NUMBERVALUE(LEFT(Table11[[#This Row],[Score2 ]],FIND("/",Table11[[#This Row],[Score2 ]])-1)),"")</f>
        <v>154</v>
      </c>
      <c r="P41" t="s">
        <v>137</v>
      </c>
      <c r="Q41" s="1" t="s">
        <v>153</v>
      </c>
      <c r="R41" t="str">
        <f>Table11[[#This Row],[Match]]&amp;" "&amp;Table11[[#This Row],[Over]]</f>
        <v>4 35</v>
      </c>
      <c r="W41" s="2">
        <v>32</v>
      </c>
      <c r="X41" s="4" t="e">
        <f t="shared" si="0"/>
        <v>#REF!</v>
      </c>
      <c r="Y41" s="4" t="e">
        <f>IF(INDEX(Table11[Score One],MATCH(RawData_Worm!X41,Table11[Link],0))="",#N/A,INDEX(Table11[Score One],MATCH(RawData_Worm!X41,Table11[Link],0)))</f>
        <v>#REF!</v>
      </c>
      <c r="Z41" s="5" t="e">
        <f>IF(INDEX(Table11[Score Two],MATCH(RawData_Worm!X41,Table11[Link],0))="",#N/A,INDEX(Table11[Score Two],MATCH(RawData_Worm!X41,Table11[Link],0)))</f>
        <v>#REF!</v>
      </c>
    </row>
    <row r="42" spans="1:26" x14ac:dyDescent="0.3">
      <c r="A42">
        <v>4</v>
      </c>
      <c r="B42">
        <v>36</v>
      </c>
      <c r="C42" s="1" t="s">
        <v>1144</v>
      </c>
      <c r="D42" s="1" t="s">
        <v>998</v>
      </c>
      <c r="E42" s="1" t="s">
        <v>1145</v>
      </c>
      <c r="F42" s="1" t="s">
        <v>1029</v>
      </c>
      <c r="G42" s="1" t="s">
        <v>1146</v>
      </c>
      <c r="H42" s="1" t="s">
        <v>1147</v>
      </c>
      <c r="I42" s="1" t="s">
        <v>1148</v>
      </c>
      <c r="J42" s="1" t="s">
        <v>952</v>
      </c>
      <c r="K42" s="1" t="s">
        <v>1149</v>
      </c>
      <c r="L42" s="1" t="s">
        <v>1101</v>
      </c>
      <c r="M42" s="1" t="s">
        <v>1150</v>
      </c>
      <c r="N42">
        <f>_xlfn.NUMBERVALUE(LEFT(Table11[[#This Row],[Score]],FIND("/",Table11[[#This Row],[Score]])-1))</f>
        <v>196</v>
      </c>
      <c r="O42">
        <f>IFERROR(_xlfn.NUMBERVALUE(LEFT(Table11[[#This Row],[Score2 ]],FIND("/",Table11[[#This Row],[Score2 ]])-1)),"")</f>
        <v>169</v>
      </c>
      <c r="P42" t="s">
        <v>137</v>
      </c>
      <c r="Q42" s="1" t="s">
        <v>153</v>
      </c>
      <c r="R42" t="str">
        <f>Table11[[#This Row],[Match]]&amp;" "&amp;Table11[[#This Row],[Over]]</f>
        <v>4 36</v>
      </c>
      <c r="W42" s="2">
        <v>33</v>
      </c>
      <c r="X42" s="4" t="e">
        <f t="shared" ref="X42:X59" si="1">I_MATCHNO&amp;" "&amp;W42</f>
        <v>#REF!</v>
      </c>
      <c r="Y42" s="4" t="e">
        <f>IF(INDEX(Table11[Score One],MATCH(RawData_Worm!X42,Table11[Link],0))="",#N/A,INDEX(Table11[Score One],MATCH(RawData_Worm!X42,Table11[Link],0)))</f>
        <v>#REF!</v>
      </c>
      <c r="Z42" s="5" t="e">
        <f>IF(INDEX(Table11[Score Two],MATCH(RawData_Worm!X42,Table11[Link],0))="",#N/A,INDEX(Table11[Score Two],MATCH(RawData_Worm!X42,Table11[Link],0)))</f>
        <v>#REF!</v>
      </c>
    </row>
    <row r="43" spans="1:26" x14ac:dyDescent="0.3">
      <c r="A43">
        <v>4</v>
      </c>
      <c r="B43">
        <v>37</v>
      </c>
      <c r="C43" s="1" t="s">
        <v>1151</v>
      </c>
      <c r="D43" s="1" t="s">
        <v>998</v>
      </c>
      <c r="E43" s="1" t="s">
        <v>966</v>
      </c>
      <c r="F43" s="1" t="s">
        <v>966</v>
      </c>
      <c r="G43" s="1" t="s">
        <v>1152</v>
      </c>
      <c r="H43" s="1" t="s">
        <v>1103</v>
      </c>
      <c r="I43" s="1" t="s">
        <v>1153</v>
      </c>
      <c r="J43" s="1" t="s">
        <v>1154</v>
      </c>
      <c r="K43" s="1" t="s">
        <v>1155</v>
      </c>
      <c r="L43" s="1" t="s">
        <v>1113</v>
      </c>
      <c r="M43" s="1" t="s">
        <v>1156</v>
      </c>
      <c r="N43">
        <f>_xlfn.NUMBERVALUE(LEFT(Table11[[#This Row],[Score]],FIND("/",Table11[[#This Row],[Score]])-1))</f>
        <v>200</v>
      </c>
      <c r="O43">
        <f>IFERROR(_xlfn.NUMBERVALUE(LEFT(Table11[[#This Row],[Score2 ]],FIND("/",Table11[[#This Row],[Score2 ]])-1)),"")</f>
        <v>181</v>
      </c>
      <c r="P43" t="s">
        <v>137</v>
      </c>
      <c r="Q43" s="1" t="s">
        <v>153</v>
      </c>
      <c r="R43" t="str">
        <f>Table11[[#This Row],[Match]]&amp;" "&amp;Table11[[#This Row],[Over]]</f>
        <v>4 37</v>
      </c>
      <c r="W43" s="2">
        <v>34</v>
      </c>
      <c r="X43" s="4" t="e">
        <f t="shared" si="1"/>
        <v>#REF!</v>
      </c>
      <c r="Y43" s="4" t="e">
        <f>IF(INDEX(Table11[Score One],MATCH(RawData_Worm!X43,Table11[Link],0))="",#N/A,INDEX(Table11[Score One],MATCH(RawData_Worm!X43,Table11[Link],0)))</f>
        <v>#REF!</v>
      </c>
      <c r="Z43" s="5" t="e">
        <f>IF(INDEX(Table11[Score Two],MATCH(RawData_Worm!X43,Table11[Link],0))="",#N/A,INDEX(Table11[Score Two],MATCH(RawData_Worm!X43,Table11[Link],0)))</f>
        <v>#REF!</v>
      </c>
    </row>
    <row r="44" spans="1:26" x14ac:dyDescent="0.3">
      <c r="A44">
        <v>4</v>
      </c>
      <c r="B44">
        <v>38</v>
      </c>
      <c r="C44" s="1" t="s">
        <v>1157</v>
      </c>
      <c r="D44" s="1" t="s">
        <v>922</v>
      </c>
      <c r="E44" s="1" t="s">
        <v>1158</v>
      </c>
      <c r="F44" s="1" t="s">
        <v>969</v>
      </c>
      <c r="G44" s="1" t="s">
        <v>1159</v>
      </c>
      <c r="H44" s="1" t="s">
        <v>904</v>
      </c>
      <c r="I44" s="1" t="s">
        <v>1160</v>
      </c>
      <c r="J44" s="1" t="s">
        <v>1161</v>
      </c>
      <c r="K44" s="1" t="s">
        <v>1162</v>
      </c>
      <c r="L44" s="1" t="s">
        <v>1163</v>
      </c>
      <c r="M44" s="1" t="s">
        <v>1164</v>
      </c>
      <c r="N44">
        <f>_xlfn.NUMBERVALUE(LEFT(Table11[[#This Row],[Score]],FIND("/",Table11[[#This Row],[Score]])-1))</f>
        <v>206</v>
      </c>
      <c r="O44">
        <f>IFERROR(_xlfn.NUMBERVALUE(LEFT(Table11[[#This Row],[Score2 ]],FIND("/",Table11[[#This Row],[Score2 ]])-1)),"")</f>
        <v>184</v>
      </c>
      <c r="P44" t="s">
        <v>137</v>
      </c>
      <c r="Q44" s="1" t="s">
        <v>153</v>
      </c>
      <c r="R44" t="str">
        <f>Table11[[#This Row],[Match]]&amp;" "&amp;Table11[[#This Row],[Over]]</f>
        <v>4 38</v>
      </c>
      <c r="W44" s="2">
        <v>35</v>
      </c>
      <c r="X44" s="4" t="e">
        <f t="shared" si="1"/>
        <v>#REF!</v>
      </c>
      <c r="Y44" s="4" t="e">
        <f>IF(INDEX(Table11[Score One],MATCH(RawData_Worm!X44,Table11[Link],0))="",#N/A,INDEX(Table11[Score One],MATCH(RawData_Worm!X44,Table11[Link],0)))</f>
        <v>#REF!</v>
      </c>
      <c r="Z44" s="5" t="e">
        <f>IF(INDEX(Table11[Score Two],MATCH(RawData_Worm!X44,Table11[Link],0))="",#N/A,INDEX(Table11[Score Two],MATCH(RawData_Worm!X44,Table11[Link],0)))</f>
        <v>#REF!</v>
      </c>
    </row>
    <row r="45" spans="1:26" x14ac:dyDescent="0.3">
      <c r="A45">
        <v>4</v>
      </c>
      <c r="B45">
        <v>39</v>
      </c>
      <c r="C45" s="1" t="s">
        <v>1165</v>
      </c>
      <c r="D45" s="1" t="s">
        <v>916</v>
      </c>
      <c r="E45" s="1" t="s">
        <v>1166</v>
      </c>
      <c r="F45" s="1" t="s">
        <v>976</v>
      </c>
      <c r="G45" s="1" t="s">
        <v>1167</v>
      </c>
      <c r="H45" s="1" t="s">
        <v>998</v>
      </c>
      <c r="I45" s="1" t="s">
        <v>1026</v>
      </c>
      <c r="J45" s="1" t="s">
        <v>1168</v>
      </c>
      <c r="K45" s="1" t="s">
        <v>1169</v>
      </c>
      <c r="L45" s="1" t="s">
        <v>1170</v>
      </c>
      <c r="M45" s="1" t="s">
        <v>1171</v>
      </c>
      <c r="N45">
        <f>_xlfn.NUMBERVALUE(LEFT(Table11[[#This Row],[Score]],FIND("/",Table11[[#This Row],[Score]])-1))</f>
        <v>213</v>
      </c>
      <c r="O45">
        <f>IFERROR(_xlfn.NUMBERVALUE(LEFT(Table11[[#This Row],[Score2 ]],FIND("/",Table11[[#This Row],[Score2 ]])-1)),"")</f>
        <v>188</v>
      </c>
      <c r="P45" t="s">
        <v>137</v>
      </c>
      <c r="Q45" s="1" t="s">
        <v>153</v>
      </c>
      <c r="R45" t="str">
        <f>Table11[[#This Row],[Match]]&amp;" "&amp;Table11[[#This Row],[Over]]</f>
        <v>4 39</v>
      </c>
      <c r="W45" s="2">
        <v>36</v>
      </c>
      <c r="X45" s="4" t="e">
        <f t="shared" si="1"/>
        <v>#REF!</v>
      </c>
      <c r="Y45" s="4" t="e">
        <f>IF(INDEX(Table11[Score One],MATCH(RawData_Worm!X45,Table11[Link],0))="",#N/A,INDEX(Table11[Score One],MATCH(RawData_Worm!X45,Table11[Link],0)))</f>
        <v>#REF!</v>
      </c>
      <c r="Z45" s="5" t="e">
        <f>IF(INDEX(Table11[Score Two],MATCH(RawData_Worm!X45,Table11[Link],0))="",#N/A,INDEX(Table11[Score Two],MATCH(RawData_Worm!X45,Table11[Link],0)))</f>
        <v>#REF!</v>
      </c>
    </row>
    <row r="46" spans="1:26" x14ac:dyDescent="0.3">
      <c r="A46">
        <v>4</v>
      </c>
      <c r="B46">
        <v>40</v>
      </c>
      <c r="C46" s="1" t="s">
        <v>1172</v>
      </c>
      <c r="D46" s="1" t="s">
        <v>998</v>
      </c>
      <c r="E46" s="1" t="s">
        <v>1158</v>
      </c>
      <c r="F46" s="1" t="s">
        <v>969</v>
      </c>
      <c r="G46" s="1" t="s">
        <v>1173</v>
      </c>
      <c r="H46" s="1" t="s">
        <v>922</v>
      </c>
      <c r="I46" s="1" t="s">
        <v>1174</v>
      </c>
      <c r="J46" s="1" t="s">
        <v>1089</v>
      </c>
      <c r="K46" s="1" t="s">
        <v>1175</v>
      </c>
      <c r="L46" s="1" t="s">
        <v>1176</v>
      </c>
      <c r="M46" s="1" t="s">
        <v>1177</v>
      </c>
      <c r="N46">
        <f>_xlfn.NUMBERVALUE(LEFT(Table11[[#This Row],[Score]],FIND("/",Table11[[#This Row],[Score]])-1))</f>
        <v>217</v>
      </c>
      <c r="O46">
        <f>IFERROR(_xlfn.NUMBERVALUE(LEFT(Table11[[#This Row],[Score2 ]],FIND("/",Table11[[#This Row],[Score2 ]])-1)),"")</f>
        <v>194</v>
      </c>
      <c r="P46" t="s">
        <v>137</v>
      </c>
      <c r="Q46" s="1" t="s">
        <v>153</v>
      </c>
      <c r="R46" t="str">
        <f>Table11[[#This Row],[Match]]&amp;" "&amp;Table11[[#This Row],[Over]]</f>
        <v>4 40</v>
      </c>
      <c r="W46" s="2">
        <v>37</v>
      </c>
      <c r="X46" s="4" t="e">
        <f t="shared" si="1"/>
        <v>#REF!</v>
      </c>
      <c r="Y46" s="4" t="e">
        <f>IF(INDEX(Table11[Score One],MATCH(RawData_Worm!X46,Table11[Link],0))="",#N/A,INDEX(Table11[Score One],MATCH(RawData_Worm!X46,Table11[Link],0)))</f>
        <v>#REF!</v>
      </c>
      <c r="Z46" s="5" t="e">
        <f>IF(INDEX(Table11[Score Two],MATCH(RawData_Worm!X46,Table11[Link],0))="",#N/A,INDEX(Table11[Score Two],MATCH(RawData_Worm!X46,Table11[Link],0)))</f>
        <v>#REF!</v>
      </c>
    </row>
    <row r="47" spans="1:26" x14ac:dyDescent="0.3">
      <c r="A47">
        <v>4</v>
      </c>
      <c r="B47">
        <v>41</v>
      </c>
      <c r="C47" s="1" t="s">
        <v>1178</v>
      </c>
      <c r="D47" s="1" t="s">
        <v>916</v>
      </c>
      <c r="E47" s="1" t="s">
        <v>1166</v>
      </c>
      <c r="F47" s="1" t="s">
        <v>934</v>
      </c>
      <c r="G47" s="1" t="s">
        <v>1179</v>
      </c>
      <c r="H47" s="1" t="s">
        <v>898</v>
      </c>
      <c r="I47" s="1" t="s">
        <v>1180</v>
      </c>
      <c r="J47" s="1" t="s">
        <v>966</v>
      </c>
      <c r="K47" s="1" t="s">
        <v>1181</v>
      </c>
      <c r="L47" s="1" t="s">
        <v>1182</v>
      </c>
      <c r="M47" s="1" t="s">
        <v>1183</v>
      </c>
      <c r="N47">
        <f>_xlfn.NUMBERVALUE(LEFT(Table11[[#This Row],[Score]],FIND("/",Table11[[#This Row],[Score]])-1))</f>
        <v>224</v>
      </c>
      <c r="O47">
        <f>IFERROR(_xlfn.NUMBERVALUE(LEFT(Table11[[#This Row],[Score2 ]],FIND("/",Table11[[#This Row],[Score2 ]])-1)),"")</f>
        <v>196</v>
      </c>
      <c r="P47" t="s">
        <v>137</v>
      </c>
      <c r="Q47" s="1" t="s">
        <v>153</v>
      </c>
      <c r="R47" t="str">
        <f>Table11[[#This Row],[Match]]&amp;" "&amp;Table11[[#This Row],[Over]]</f>
        <v>4 41</v>
      </c>
      <c r="W47" s="2">
        <v>38</v>
      </c>
      <c r="X47" s="4" t="e">
        <f t="shared" si="1"/>
        <v>#REF!</v>
      </c>
      <c r="Y47" s="4" t="e">
        <f>IF(INDEX(Table11[Score One],MATCH(RawData_Worm!X47,Table11[Link],0))="",#N/A,INDEX(Table11[Score One],MATCH(RawData_Worm!X47,Table11[Link],0)))</f>
        <v>#REF!</v>
      </c>
      <c r="Z47" s="5" t="e">
        <f>IF(INDEX(Table11[Score Two],MATCH(RawData_Worm!X47,Table11[Link],0))="",#N/A,INDEX(Table11[Score Two],MATCH(RawData_Worm!X47,Table11[Link],0)))</f>
        <v>#REF!</v>
      </c>
    </row>
    <row r="48" spans="1:26" x14ac:dyDescent="0.3">
      <c r="A48">
        <v>4</v>
      </c>
      <c r="B48">
        <v>42</v>
      </c>
      <c r="C48" s="1" t="s">
        <v>1184</v>
      </c>
      <c r="D48" s="1" t="s">
        <v>1051</v>
      </c>
      <c r="E48" s="1" t="s">
        <v>1185</v>
      </c>
      <c r="F48" s="1" t="s">
        <v>952</v>
      </c>
      <c r="G48" s="1" t="s">
        <v>1186</v>
      </c>
      <c r="H48" s="1" t="s">
        <v>998</v>
      </c>
      <c r="I48" s="1" t="s">
        <v>1187</v>
      </c>
      <c r="J48" s="1" t="s">
        <v>990</v>
      </c>
      <c r="K48" s="1" t="s">
        <v>1188</v>
      </c>
      <c r="L48" s="1" t="s">
        <v>1189</v>
      </c>
      <c r="M48" s="1" t="s">
        <v>1190</v>
      </c>
      <c r="N48">
        <f>_xlfn.NUMBERVALUE(LEFT(Table11[[#This Row],[Score]],FIND("/",Table11[[#This Row],[Score]])-1))</f>
        <v>235</v>
      </c>
      <c r="O48">
        <f>IFERROR(_xlfn.NUMBERVALUE(LEFT(Table11[[#This Row],[Score2 ]],FIND("/",Table11[[#This Row],[Score2 ]])-1)),"")</f>
        <v>200</v>
      </c>
      <c r="P48" t="s">
        <v>137</v>
      </c>
      <c r="Q48" s="1" t="s">
        <v>153</v>
      </c>
      <c r="R48" t="str">
        <f>Table11[[#This Row],[Match]]&amp;" "&amp;Table11[[#This Row],[Over]]</f>
        <v>4 42</v>
      </c>
      <c r="W48" s="2">
        <v>39</v>
      </c>
      <c r="X48" s="4" t="e">
        <f t="shared" si="1"/>
        <v>#REF!</v>
      </c>
      <c r="Y48" s="4" t="e">
        <f>IF(INDEX(Table11[Score One],MATCH(RawData_Worm!X48,Table11[Link],0))="",#N/A,INDEX(Table11[Score One],MATCH(RawData_Worm!X48,Table11[Link],0)))</f>
        <v>#REF!</v>
      </c>
      <c r="Z48" s="5" t="e">
        <f>IF(INDEX(Table11[Score Two],MATCH(RawData_Worm!X48,Table11[Link],0))="",#N/A,INDEX(Table11[Score Two],MATCH(RawData_Worm!X48,Table11[Link],0)))</f>
        <v>#REF!</v>
      </c>
    </row>
    <row r="49" spans="1:26" x14ac:dyDescent="0.3">
      <c r="A49">
        <v>4</v>
      </c>
      <c r="B49">
        <v>43</v>
      </c>
      <c r="C49" s="1" t="s">
        <v>1191</v>
      </c>
      <c r="D49" s="1" t="s">
        <v>1095</v>
      </c>
      <c r="E49" s="1" t="s">
        <v>1192</v>
      </c>
      <c r="F49" s="1" t="s">
        <v>1168</v>
      </c>
      <c r="G49" s="1" t="s">
        <v>1193</v>
      </c>
      <c r="H49" s="1" t="s">
        <v>904</v>
      </c>
      <c r="I49" s="1" t="s">
        <v>1194</v>
      </c>
      <c r="J49" s="1" t="s">
        <v>990</v>
      </c>
      <c r="K49" s="1" t="s">
        <v>1195</v>
      </c>
      <c r="L49" s="1" t="s">
        <v>1196</v>
      </c>
      <c r="M49" s="1" t="s">
        <v>1197</v>
      </c>
      <c r="N49">
        <f>_xlfn.NUMBERVALUE(LEFT(Table11[[#This Row],[Score]],FIND("/",Table11[[#This Row],[Score]])-1))</f>
        <v>245</v>
      </c>
      <c r="O49">
        <f>IFERROR(_xlfn.NUMBERVALUE(LEFT(Table11[[#This Row],[Score2 ]],FIND("/",Table11[[#This Row],[Score2 ]])-1)),"")</f>
        <v>203</v>
      </c>
      <c r="P49" t="s">
        <v>137</v>
      </c>
      <c r="Q49" s="1" t="s">
        <v>153</v>
      </c>
      <c r="R49" t="str">
        <f>Table11[[#This Row],[Match]]&amp;" "&amp;Table11[[#This Row],[Over]]</f>
        <v>4 43</v>
      </c>
      <c r="W49" s="2">
        <v>40</v>
      </c>
      <c r="X49" s="4" t="e">
        <f t="shared" si="1"/>
        <v>#REF!</v>
      </c>
      <c r="Y49" s="4" t="e">
        <f>IF(INDEX(Table11[Score One],MATCH(RawData_Worm!X49,Table11[Link],0))="",#N/A,INDEX(Table11[Score One],MATCH(RawData_Worm!X49,Table11[Link],0)))</f>
        <v>#REF!</v>
      </c>
      <c r="Z49" s="5" t="e">
        <f>IF(INDEX(Table11[Score Two],MATCH(RawData_Worm!X49,Table11[Link],0))="",#N/A,INDEX(Table11[Score Two],MATCH(RawData_Worm!X49,Table11[Link],0)))</f>
        <v>#REF!</v>
      </c>
    </row>
    <row r="50" spans="1:26" x14ac:dyDescent="0.3">
      <c r="A50">
        <v>4</v>
      </c>
      <c r="B50">
        <v>44</v>
      </c>
      <c r="C50" s="1" t="s">
        <v>1198</v>
      </c>
      <c r="D50" s="1" t="s">
        <v>933</v>
      </c>
      <c r="E50" s="1" t="s">
        <v>1199</v>
      </c>
      <c r="F50" s="1" t="s">
        <v>1200</v>
      </c>
      <c r="G50" s="1" t="s">
        <v>1201</v>
      </c>
      <c r="H50" s="1" t="s">
        <v>1103</v>
      </c>
      <c r="I50" s="1" t="s">
        <v>1202</v>
      </c>
      <c r="J50" s="1" t="s">
        <v>966</v>
      </c>
      <c r="K50" s="1" t="s">
        <v>1203</v>
      </c>
      <c r="L50" s="1" t="s">
        <v>1204</v>
      </c>
      <c r="M50" s="1" t="s">
        <v>1205</v>
      </c>
      <c r="N50">
        <f>_xlfn.NUMBERVALUE(LEFT(Table11[[#This Row],[Score]],FIND("/",Table11[[#This Row],[Score]])-1))</f>
        <v>259</v>
      </c>
      <c r="O50">
        <f>IFERROR(_xlfn.NUMBERVALUE(LEFT(Table11[[#This Row],[Score2 ]],FIND("/",Table11[[#This Row],[Score2 ]])-1)),"")</f>
        <v>215</v>
      </c>
      <c r="P50" t="s">
        <v>137</v>
      </c>
      <c r="Q50" s="1" t="s">
        <v>153</v>
      </c>
      <c r="R50" t="str">
        <f>Table11[[#This Row],[Match]]&amp;" "&amp;Table11[[#This Row],[Over]]</f>
        <v>4 44</v>
      </c>
      <c r="W50" s="2">
        <v>41</v>
      </c>
      <c r="X50" s="4" t="e">
        <f t="shared" si="1"/>
        <v>#REF!</v>
      </c>
      <c r="Y50" s="4" t="e">
        <f>IF(INDEX(Table11[Score One],MATCH(RawData_Worm!X50,Table11[Link],0))="",#N/A,INDEX(Table11[Score One],MATCH(RawData_Worm!X50,Table11[Link],0)))</f>
        <v>#REF!</v>
      </c>
      <c r="Z50" s="5" t="e">
        <f>IF(INDEX(Table11[Score Two],MATCH(RawData_Worm!X50,Table11[Link],0))="",#N/A,INDEX(Table11[Score Two],MATCH(RawData_Worm!X50,Table11[Link],0)))</f>
        <v>#REF!</v>
      </c>
    </row>
    <row r="51" spans="1:26" x14ac:dyDescent="0.3">
      <c r="A51">
        <v>4</v>
      </c>
      <c r="B51">
        <v>45</v>
      </c>
      <c r="C51" s="1" t="s">
        <v>1206</v>
      </c>
      <c r="D51" s="1" t="s">
        <v>933</v>
      </c>
      <c r="E51" s="1" t="s">
        <v>935</v>
      </c>
      <c r="F51" s="1" t="s">
        <v>1207</v>
      </c>
      <c r="G51" s="1" t="s">
        <v>1208</v>
      </c>
      <c r="H51" s="1" t="s">
        <v>950</v>
      </c>
      <c r="I51" s="1" t="s">
        <v>1202</v>
      </c>
      <c r="J51" s="1" t="s">
        <v>1029</v>
      </c>
      <c r="K51" s="1" t="s">
        <v>1209</v>
      </c>
      <c r="L51" s="1" t="s">
        <v>1210</v>
      </c>
      <c r="M51" s="1" t="s">
        <v>1211</v>
      </c>
      <c r="N51">
        <f>_xlfn.NUMBERVALUE(LEFT(Table11[[#This Row],[Score]],FIND("/",Table11[[#This Row],[Score]])-1))</f>
        <v>273</v>
      </c>
      <c r="O51">
        <f>IFERROR(_xlfn.NUMBERVALUE(LEFT(Table11[[#This Row],[Score2 ]],FIND("/",Table11[[#This Row],[Score2 ]])-1)),"")</f>
        <v>220</v>
      </c>
      <c r="P51" t="s">
        <v>137</v>
      </c>
      <c r="Q51" s="1" t="s">
        <v>153</v>
      </c>
      <c r="R51" t="str">
        <f>Table11[[#This Row],[Match]]&amp;" "&amp;Table11[[#This Row],[Over]]</f>
        <v>4 45</v>
      </c>
      <c r="W51" s="2">
        <v>42</v>
      </c>
      <c r="X51" s="4" t="e">
        <f t="shared" si="1"/>
        <v>#REF!</v>
      </c>
      <c r="Y51" s="4" t="e">
        <f>IF(INDEX(Table11[Score One],MATCH(RawData_Worm!X51,Table11[Link],0))="",#N/A,INDEX(Table11[Score One],MATCH(RawData_Worm!X51,Table11[Link],0)))</f>
        <v>#REF!</v>
      </c>
      <c r="Z51" s="5" t="e">
        <f>IF(INDEX(Table11[Score Two],MATCH(RawData_Worm!X51,Table11[Link],0))="",#N/A,INDEX(Table11[Score Two],MATCH(RawData_Worm!X51,Table11[Link],0)))</f>
        <v>#REF!</v>
      </c>
    </row>
    <row r="52" spans="1:26" x14ac:dyDescent="0.3">
      <c r="A52">
        <v>4</v>
      </c>
      <c r="B52">
        <v>46</v>
      </c>
      <c r="C52" s="1" t="s">
        <v>1212</v>
      </c>
      <c r="D52" s="1" t="s">
        <v>922</v>
      </c>
      <c r="E52" s="1" t="s">
        <v>935</v>
      </c>
      <c r="F52" s="1" t="s">
        <v>1213</v>
      </c>
      <c r="G52" s="1" t="s">
        <v>1214</v>
      </c>
      <c r="H52" s="1" t="s">
        <v>1007</v>
      </c>
      <c r="I52" s="1" t="s">
        <v>1180</v>
      </c>
      <c r="J52" s="1" t="s">
        <v>1093</v>
      </c>
      <c r="K52" s="1" t="s">
        <v>1215</v>
      </c>
      <c r="L52" s="1" t="s">
        <v>1210</v>
      </c>
      <c r="M52" s="1" t="s">
        <v>1216</v>
      </c>
      <c r="N52">
        <f>_xlfn.NUMBERVALUE(LEFT(Table11[[#This Row],[Score]],FIND("/",Table11[[#This Row],[Score]])-1))</f>
        <v>279</v>
      </c>
      <c r="O52">
        <f>IFERROR(_xlfn.NUMBERVALUE(LEFT(Table11[[#This Row],[Score2 ]],FIND("/",Table11[[#This Row],[Score2 ]])-1)),"")</f>
        <v>220</v>
      </c>
      <c r="P52" t="s">
        <v>137</v>
      </c>
      <c r="Q52" s="1" t="s">
        <v>153</v>
      </c>
      <c r="R52" t="str">
        <f>Table11[[#This Row],[Match]]&amp;" "&amp;Table11[[#This Row],[Over]]</f>
        <v>4 46</v>
      </c>
      <c r="W52" s="2">
        <v>43</v>
      </c>
      <c r="X52" s="4" t="e">
        <f t="shared" si="1"/>
        <v>#REF!</v>
      </c>
      <c r="Y52" s="4" t="e">
        <f>IF(INDEX(Table11[Score One],MATCH(RawData_Worm!X52,Table11[Link],0))="",#N/A,INDEX(Table11[Score One],MATCH(RawData_Worm!X52,Table11[Link],0)))</f>
        <v>#REF!</v>
      </c>
      <c r="Z52" s="5" t="e">
        <f>IF(INDEX(Table11[Score Two],MATCH(RawData_Worm!X52,Table11[Link],0))="",#N/A,INDEX(Table11[Score Two],MATCH(RawData_Worm!X52,Table11[Link],0)))</f>
        <v>#REF!</v>
      </c>
    </row>
    <row r="53" spans="1:26" x14ac:dyDescent="0.3">
      <c r="A53">
        <v>4</v>
      </c>
      <c r="B53">
        <v>47</v>
      </c>
      <c r="C53" s="1" t="s">
        <v>1217</v>
      </c>
      <c r="D53" s="1" t="s">
        <v>998</v>
      </c>
      <c r="E53" s="1" t="s">
        <v>1218</v>
      </c>
      <c r="F53" s="1" t="s">
        <v>1219</v>
      </c>
      <c r="G53" s="1" t="s">
        <v>1220</v>
      </c>
      <c r="H53" s="1" t="s">
        <v>998</v>
      </c>
      <c r="I53" s="1" t="s">
        <v>1187</v>
      </c>
      <c r="J53" s="1" t="s">
        <v>1093</v>
      </c>
      <c r="K53" s="1" t="s">
        <v>1221</v>
      </c>
      <c r="L53" s="1" t="s">
        <v>1222</v>
      </c>
      <c r="M53" s="1" t="s">
        <v>1223</v>
      </c>
      <c r="N53">
        <f>_xlfn.NUMBERVALUE(LEFT(Table11[[#This Row],[Score]],FIND("/",Table11[[#This Row],[Score]])-1))</f>
        <v>283</v>
      </c>
      <c r="O53">
        <f>IFERROR(_xlfn.NUMBERVALUE(LEFT(Table11[[#This Row],[Score2 ]],FIND("/",Table11[[#This Row],[Score2 ]])-1)),"")</f>
        <v>224</v>
      </c>
      <c r="P53" t="s">
        <v>137</v>
      </c>
      <c r="Q53" s="1" t="s">
        <v>153</v>
      </c>
      <c r="R53" t="str">
        <f>Table11[[#This Row],[Match]]&amp;" "&amp;Table11[[#This Row],[Over]]</f>
        <v>4 47</v>
      </c>
      <c r="W53" s="2">
        <v>44</v>
      </c>
      <c r="X53" s="4" t="e">
        <f t="shared" si="1"/>
        <v>#REF!</v>
      </c>
      <c r="Y53" s="4" t="e">
        <f>IF(INDEX(Table11[Score One],MATCH(RawData_Worm!X53,Table11[Link],0))="",#N/A,INDEX(Table11[Score One],MATCH(RawData_Worm!X53,Table11[Link],0)))</f>
        <v>#REF!</v>
      </c>
      <c r="Z53" s="5" t="e">
        <f>IF(INDEX(Table11[Score Two],MATCH(RawData_Worm!X53,Table11[Link],0))="",#N/A,INDEX(Table11[Score Two],MATCH(RawData_Worm!X53,Table11[Link],0)))</f>
        <v>#REF!</v>
      </c>
    </row>
    <row r="54" spans="1:26" x14ac:dyDescent="0.3">
      <c r="A54">
        <v>4</v>
      </c>
      <c r="B54">
        <v>48</v>
      </c>
      <c r="C54" s="1" t="s">
        <v>1224</v>
      </c>
      <c r="D54" s="1" t="s">
        <v>947</v>
      </c>
      <c r="E54" s="1" t="s">
        <v>1225</v>
      </c>
      <c r="F54" s="1" t="s">
        <v>1226</v>
      </c>
      <c r="N54">
        <f>_xlfn.NUMBERVALUE(LEFT(Table11[[#This Row],[Score]],FIND("/",Table11[[#This Row],[Score]])-1))</f>
        <v>292</v>
      </c>
      <c r="O54" t="str">
        <f>IFERROR(_xlfn.NUMBERVALUE(LEFT(Table11[[#This Row],[Score2 ]],FIND("/",Table11[[#This Row],[Score2 ]])-1)),"")</f>
        <v/>
      </c>
      <c r="P54" t="s">
        <v>137</v>
      </c>
      <c r="Q54" s="1" t="s">
        <v>153</v>
      </c>
      <c r="R54" t="str">
        <f>Table11[[#This Row],[Match]]&amp;" "&amp;Table11[[#This Row],[Over]]</f>
        <v>4 48</v>
      </c>
      <c r="W54" s="2">
        <v>45</v>
      </c>
      <c r="X54" s="4" t="e">
        <f t="shared" si="1"/>
        <v>#REF!</v>
      </c>
      <c r="Y54" s="4" t="e">
        <f>IF(INDEX(Table11[Score One],MATCH(RawData_Worm!X54,Table11[Link],0))="",#N/A,INDEX(Table11[Score One],MATCH(RawData_Worm!X54,Table11[Link],0)))</f>
        <v>#REF!</v>
      </c>
      <c r="Z54" s="5" t="e">
        <f>IF(INDEX(Table11[Score Two],MATCH(RawData_Worm!X54,Table11[Link],0))="",#N/A,INDEX(Table11[Score Two],MATCH(RawData_Worm!X54,Table11[Link],0)))</f>
        <v>#REF!</v>
      </c>
    </row>
    <row r="55" spans="1:26" x14ac:dyDescent="0.3">
      <c r="A55">
        <v>4</v>
      </c>
      <c r="B55">
        <v>49</v>
      </c>
      <c r="C55" s="1" t="s">
        <v>1227</v>
      </c>
      <c r="D55" s="1" t="s">
        <v>998</v>
      </c>
      <c r="E55" s="1" t="s">
        <v>1228</v>
      </c>
      <c r="F55" s="1" t="s">
        <v>1068</v>
      </c>
      <c r="N55">
        <f>_xlfn.NUMBERVALUE(LEFT(Table11[[#This Row],[Score]],FIND("/",Table11[[#This Row],[Score]])-1))</f>
        <v>296</v>
      </c>
      <c r="O55" t="str">
        <f>IFERROR(_xlfn.NUMBERVALUE(LEFT(Table11[[#This Row],[Score2 ]],FIND("/",Table11[[#This Row],[Score2 ]])-1)),"")</f>
        <v/>
      </c>
      <c r="P55" t="s">
        <v>137</v>
      </c>
      <c r="Q55" s="1" t="s">
        <v>153</v>
      </c>
      <c r="R55" t="str">
        <f>Table11[[#This Row],[Match]]&amp;" "&amp;Table11[[#This Row],[Over]]</f>
        <v>4 49</v>
      </c>
      <c r="W55" s="2">
        <v>46</v>
      </c>
      <c r="X55" s="4" t="e">
        <f t="shared" si="1"/>
        <v>#REF!</v>
      </c>
      <c r="Y55" s="4" t="e">
        <f>IF(INDEX(Table11[Score One],MATCH(RawData_Worm!X55,Table11[Link],0))="",#N/A,INDEX(Table11[Score One],MATCH(RawData_Worm!X55,Table11[Link],0)))</f>
        <v>#REF!</v>
      </c>
      <c r="Z55" s="5" t="e">
        <f>IF(INDEX(Table11[Score Two],MATCH(RawData_Worm!X55,Table11[Link],0))="",#N/A,INDEX(Table11[Score Two],MATCH(RawData_Worm!X55,Table11[Link],0)))</f>
        <v>#REF!</v>
      </c>
    </row>
    <row r="56" spans="1:26" x14ac:dyDescent="0.3">
      <c r="A56">
        <v>4</v>
      </c>
      <c r="B56">
        <v>50</v>
      </c>
      <c r="C56" s="1" t="s">
        <v>1229</v>
      </c>
      <c r="D56" s="1" t="s">
        <v>998</v>
      </c>
      <c r="E56" s="1" t="s">
        <v>1019</v>
      </c>
      <c r="F56" s="1" t="s">
        <v>966</v>
      </c>
      <c r="N56">
        <f>_xlfn.NUMBERVALUE(LEFT(Table11[[#This Row],[Score]],FIND("/",Table11[[#This Row],[Score]])-1))</f>
        <v>300</v>
      </c>
      <c r="O56" t="str">
        <f>IFERROR(_xlfn.NUMBERVALUE(LEFT(Table11[[#This Row],[Score2 ]],FIND("/",Table11[[#This Row],[Score2 ]])-1)),"")</f>
        <v/>
      </c>
      <c r="P56" t="s">
        <v>137</v>
      </c>
      <c r="Q56" s="1" t="s">
        <v>153</v>
      </c>
      <c r="R56" t="str">
        <f>Table11[[#This Row],[Match]]&amp;" "&amp;Table11[[#This Row],[Over]]</f>
        <v>4 50</v>
      </c>
      <c r="W56" s="2">
        <v>47</v>
      </c>
      <c r="X56" s="4" t="e">
        <f t="shared" si="1"/>
        <v>#REF!</v>
      </c>
      <c r="Y56" s="4" t="e">
        <f>IF(INDEX(Table11[Score One],MATCH(RawData_Worm!X56,Table11[Link],0))="",#N/A,INDEX(Table11[Score One],MATCH(RawData_Worm!X56,Table11[Link],0)))</f>
        <v>#REF!</v>
      </c>
      <c r="Z56" s="5" t="e">
        <f>IF(INDEX(Table11[Score Two],MATCH(RawData_Worm!X56,Table11[Link],0))="",#N/A,INDEX(Table11[Score Two],MATCH(RawData_Worm!X56,Table11[Link],0)))</f>
        <v>#REF!</v>
      </c>
    </row>
    <row r="57" spans="1:26" x14ac:dyDescent="0.3">
      <c r="A57">
        <v>13</v>
      </c>
      <c r="B57" s="1">
        <v>1</v>
      </c>
      <c r="C57" s="1" t="s">
        <v>1230</v>
      </c>
      <c r="D57" s="1" t="s">
        <v>1007</v>
      </c>
      <c r="E57" s="1" t="s">
        <v>1231</v>
      </c>
      <c r="F57" s="1" t="s">
        <v>348</v>
      </c>
      <c r="G57" s="1" t="s">
        <v>1232</v>
      </c>
      <c r="H57" s="1" t="s">
        <v>922</v>
      </c>
      <c r="I57" s="1" t="s">
        <v>1019</v>
      </c>
      <c r="J57" s="1" t="s">
        <v>348</v>
      </c>
      <c r="K57" s="1" t="s">
        <v>1233</v>
      </c>
      <c r="L57" s="1" t="s">
        <v>1234</v>
      </c>
      <c r="M57" s="1" t="s">
        <v>902</v>
      </c>
      <c r="N57">
        <f>_xlfn.NUMBERVALUE(LEFT(Table11[[#This Row],[Score]],FIND("/",Table11[[#This Row],[Score]])-1))</f>
        <v>0</v>
      </c>
      <c r="O57">
        <f>IFERROR(_xlfn.NUMBERVALUE(LEFT(Table11[[#This Row],[Score2 ]],FIND("/",Table11[[#This Row],[Score2 ]])-1)),"")</f>
        <v>6</v>
      </c>
      <c r="P57" t="s">
        <v>137</v>
      </c>
      <c r="Q57" s="1" t="s">
        <v>141</v>
      </c>
      <c r="R57" t="str">
        <f>Table11[[#This Row],[Match]]&amp;" "&amp;Table11[[#This Row],[Over]]</f>
        <v>13 1</v>
      </c>
      <c r="W57" s="2">
        <v>48</v>
      </c>
      <c r="X57" s="4" t="e">
        <f t="shared" si="1"/>
        <v>#REF!</v>
      </c>
      <c r="Y57" s="4" t="e">
        <f>IF(INDEX(Table11[Score One],MATCH(RawData_Worm!X57,Table11[Link],0))="",#N/A,INDEX(Table11[Score One],MATCH(RawData_Worm!X57,Table11[Link],0)))</f>
        <v>#REF!</v>
      </c>
      <c r="Z57" s="5" t="e">
        <f>IF(INDEX(Table11[Score Two],MATCH(RawData_Worm!X57,Table11[Link],0))="",#N/A,INDEX(Table11[Score Two],MATCH(RawData_Worm!X57,Table11[Link],0)))</f>
        <v>#REF!</v>
      </c>
    </row>
    <row r="58" spans="1:26" x14ac:dyDescent="0.3">
      <c r="A58">
        <v>13</v>
      </c>
      <c r="B58" s="1">
        <v>2</v>
      </c>
      <c r="C58" s="1" t="s">
        <v>903</v>
      </c>
      <c r="D58" s="1" t="s">
        <v>950</v>
      </c>
      <c r="E58" s="1" t="s">
        <v>905</v>
      </c>
      <c r="F58" s="1" t="s">
        <v>348</v>
      </c>
      <c r="G58" s="1" t="s">
        <v>1235</v>
      </c>
      <c r="H58" s="1" t="s">
        <v>904</v>
      </c>
      <c r="I58" s="1" t="s">
        <v>1021</v>
      </c>
      <c r="J58" s="1" t="s">
        <v>348</v>
      </c>
      <c r="K58" s="1" t="s">
        <v>1236</v>
      </c>
      <c r="L58" s="1" t="s">
        <v>901</v>
      </c>
      <c r="M58" s="1" t="s">
        <v>909</v>
      </c>
      <c r="N58">
        <f>_xlfn.NUMBERVALUE(LEFT(Table11[[#This Row],[Score]],FIND("/",Table11[[#This Row],[Score]])-1))</f>
        <v>5</v>
      </c>
      <c r="O58">
        <f>IFERROR(_xlfn.NUMBERVALUE(LEFT(Table11[[#This Row],[Score2 ]],FIND("/",Table11[[#This Row],[Score2 ]])-1)),"")</f>
        <v>9</v>
      </c>
      <c r="P58" t="s">
        <v>137</v>
      </c>
      <c r="Q58" s="1" t="s">
        <v>141</v>
      </c>
      <c r="R58" t="str">
        <f>Table11[[#This Row],[Match]]&amp;" "&amp;Table11[[#This Row],[Over]]</f>
        <v>13 2</v>
      </c>
      <c r="W58" s="2">
        <v>49</v>
      </c>
      <c r="X58" s="4" t="e">
        <f t="shared" si="1"/>
        <v>#REF!</v>
      </c>
      <c r="Y58" s="4" t="e">
        <f>IF(INDEX(Table11[Score One],MATCH(RawData_Worm!X58,Table11[Link],0))="",#N/A,INDEX(Table11[Score One],MATCH(RawData_Worm!X58,Table11[Link],0)))</f>
        <v>#REF!</v>
      </c>
      <c r="Z58" s="5" t="e">
        <f>IF(INDEX(Table11[Score Two],MATCH(RawData_Worm!X58,Table11[Link],0))="",#N/A,INDEX(Table11[Score Two],MATCH(RawData_Worm!X58,Table11[Link],0)))</f>
        <v>#REF!</v>
      </c>
    </row>
    <row r="59" spans="1:26" x14ac:dyDescent="0.3">
      <c r="A59">
        <v>13</v>
      </c>
      <c r="B59" s="1">
        <v>3</v>
      </c>
      <c r="C59" s="1" t="s">
        <v>1237</v>
      </c>
      <c r="D59" s="1" t="s">
        <v>998</v>
      </c>
      <c r="E59" s="1" t="s">
        <v>1238</v>
      </c>
      <c r="F59" s="1" t="s">
        <v>348</v>
      </c>
      <c r="G59" s="1" t="s">
        <v>1239</v>
      </c>
      <c r="H59" s="1" t="s">
        <v>904</v>
      </c>
      <c r="I59" s="1" t="s">
        <v>939</v>
      </c>
      <c r="J59" s="1" t="s">
        <v>348</v>
      </c>
      <c r="K59" s="1" t="s">
        <v>1240</v>
      </c>
      <c r="L59" s="1" t="s">
        <v>1241</v>
      </c>
      <c r="M59" s="1" t="s">
        <v>920</v>
      </c>
      <c r="N59">
        <f>_xlfn.NUMBERVALUE(LEFT(Table11[[#This Row],[Score]],FIND("/",Table11[[#This Row],[Score]])-1))</f>
        <v>9</v>
      </c>
      <c r="O59">
        <f>IFERROR(_xlfn.NUMBERVALUE(LEFT(Table11[[#This Row],[Score2 ]],FIND("/",Table11[[#This Row],[Score2 ]])-1)),"")</f>
        <v>12</v>
      </c>
      <c r="P59" t="s">
        <v>137</v>
      </c>
      <c r="Q59" s="1" t="s">
        <v>141</v>
      </c>
      <c r="R59" t="str">
        <f>Table11[[#This Row],[Match]]&amp;" "&amp;Table11[[#This Row],[Over]]</f>
        <v>13 3</v>
      </c>
      <c r="W59" s="3">
        <v>50</v>
      </c>
      <c r="X59" s="6" t="e">
        <f t="shared" si="1"/>
        <v>#REF!</v>
      </c>
      <c r="Y59" s="4" t="e">
        <f>IF(INDEX(Table11[Score One],MATCH(RawData_Worm!X59,Table11[Link],0))="",#N/A,INDEX(Table11[Score One],MATCH(RawData_Worm!X59,Table11[Link],0)))</f>
        <v>#REF!</v>
      </c>
      <c r="Z59" s="5" t="e">
        <f>IF(INDEX(Table11[Score Two],MATCH(RawData_Worm!X59,Table11[Link],0))="",#N/A,INDEX(Table11[Score Two],MATCH(RawData_Worm!X59,Table11[Link],0)))</f>
        <v>#REF!</v>
      </c>
    </row>
    <row r="60" spans="1:26" x14ac:dyDescent="0.3">
      <c r="A60">
        <v>13</v>
      </c>
      <c r="B60" s="1">
        <v>4</v>
      </c>
      <c r="C60" s="1" t="s">
        <v>1237</v>
      </c>
      <c r="D60" s="1" t="s">
        <v>1007</v>
      </c>
      <c r="E60" s="1" t="s">
        <v>1242</v>
      </c>
      <c r="F60" s="1" t="s">
        <v>348</v>
      </c>
      <c r="G60" s="1" t="s">
        <v>1243</v>
      </c>
      <c r="H60" s="1" t="s">
        <v>1007</v>
      </c>
      <c r="I60" s="1" t="s">
        <v>1238</v>
      </c>
      <c r="J60" s="1" t="s">
        <v>348</v>
      </c>
      <c r="K60" s="1" t="s">
        <v>1244</v>
      </c>
      <c r="L60" s="1" t="s">
        <v>1241</v>
      </c>
      <c r="M60" s="1" t="s">
        <v>928</v>
      </c>
      <c r="N60">
        <f>_xlfn.NUMBERVALUE(LEFT(Table11[[#This Row],[Score]],FIND("/",Table11[[#This Row],[Score]])-1))</f>
        <v>9</v>
      </c>
      <c r="O60">
        <f>IFERROR(_xlfn.NUMBERVALUE(LEFT(Table11[[#This Row],[Score2 ]],FIND("/",Table11[[#This Row],[Score2 ]])-1)),"")</f>
        <v>12</v>
      </c>
      <c r="P60" t="s">
        <v>137</v>
      </c>
      <c r="Q60" s="1" t="s">
        <v>141</v>
      </c>
      <c r="R60" t="str">
        <f>Table11[[#This Row],[Match]]&amp;" "&amp;Table11[[#This Row],[Over]]</f>
        <v>13 4</v>
      </c>
    </row>
    <row r="61" spans="1:26" x14ac:dyDescent="0.3">
      <c r="A61">
        <v>13</v>
      </c>
      <c r="B61" s="1">
        <v>5</v>
      </c>
      <c r="C61" s="1" t="s">
        <v>1245</v>
      </c>
      <c r="D61" s="1" t="s">
        <v>968</v>
      </c>
      <c r="E61" s="1" t="s">
        <v>899</v>
      </c>
      <c r="F61" s="1" t="s">
        <v>899</v>
      </c>
      <c r="G61" s="1" t="s">
        <v>1246</v>
      </c>
      <c r="H61" s="1" t="s">
        <v>950</v>
      </c>
      <c r="I61" s="1" t="s">
        <v>1247</v>
      </c>
      <c r="J61" s="1" t="s">
        <v>1247</v>
      </c>
      <c r="K61" s="1" t="s">
        <v>1248</v>
      </c>
      <c r="L61" s="1" t="s">
        <v>1249</v>
      </c>
      <c r="M61" s="1" t="s">
        <v>937</v>
      </c>
      <c r="N61">
        <f>_xlfn.NUMBERVALUE(LEFT(Table11[[#This Row],[Score]],FIND("/",Table11[[#This Row],[Score]])-1))</f>
        <v>10</v>
      </c>
      <c r="O61">
        <f>IFERROR(_xlfn.NUMBERVALUE(LEFT(Table11[[#This Row],[Score2 ]],FIND("/",Table11[[#This Row],[Score2 ]])-1)),"")</f>
        <v>17</v>
      </c>
      <c r="P61" t="s">
        <v>137</v>
      </c>
      <c r="Q61" s="1" t="s">
        <v>141</v>
      </c>
      <c r="R61" t="str">
        <f>Table11[[#This Row],[Match]]&amp;" "&amp;Table11[[#This Row],[Over]]</f>
        <v>13 5</v>
      </c>
    </row>
    <row r="62" spans="1:26" x14ac:dyDescent="0.3">
      <c r="A62">
        <v>13</v>
      </c>
      <c r="B62" s="1">
        <v>6</v>
      </c>
      <c r="C62" s="1" t="s">
        <v>924</v>
      </c>
      <c r="D62" s="1" t="s">
        <v>998</v>
      </c>
      <c r="E62" s="1" t="s">
        <v>914</v>
      </c>
      <c r="F62" s="1" t="s">
        <v>993</v>
      </c>
      <c r="G62" s="1" t="s">
        <v>1250</v>
      </c>
      <c r="H62" s="1" t="s">
        <v>898</v>
      </c>
      <c r="I62" s="1" t="s">
        <v>1251</v>
      </c>
      <c r="J62" s="1" t="s">
        <v>984</v>
      </c>
      <c r="K62" s="1" t="s">
        <v>1002</v>
      </c>
      <c r="L62" s="1" t="s">
        <v>1252</v>
      </c>
      <c r="M62" s="1" t="s">
        <v>945</v>
      </c>
      <c r="N62">
        <f>_xlfn.NUMBERVALUE(LEFT(Table11[[#This Row],[Score]],FIND("/",Table11[[#This Row],[Score]])-1))</f>
        <v>14</v>
      </c>
      <c r="O62">
        <f>IFERROR(_xlfn.NUMBERVALUE(LEFT(Table11[[#This Row],[Score2 ]],FIND("/",Table11[[#This Row],[Score2 ]])-1)),"")</f>
        <v>19</v>
      </c>
      <c r="P62" t="s">
        <v>137</v>
      </c>
      <c r="Q62" s="1" t="s">
        <v>141</v>
      </c>
      <c r="R62" t="str">
        <f>Table11[[#This Row],[Match]]&amp;" "&amp;Table11[[#This Row],[Over]]</f>
        <v>13 6</v>
      </c>
    </row>
    <row r="63" spans="1:26" x14ac:dyDescent="0.3">
      <c r="A63">
        <v>13</v>
      </c>
      <c r="B63" s="1">
        <v>7</v>
      </c>
      <c r="C63" s="1" t="s">
        <v>1250</v>
      </c>
      <c r="D63" s="1" t="s">
        <v>950</v>
      </c>
      <c r="E63" s="1" t="s">
        <v>1253</v>
      </c>
      <c r="F63" s="1" t="s">
        <v>993</v>
      </c>
      <c r="G63" s="1" t="s">
        <v>1254</v>
      </c>
      <c r="H63" s="1" t="s">
        <v>916</v>
      </c>
      <c r="I63" s="1" t="s">
        <v>1255</v>
      </c>
      <c r="J63" s="1" t="s">
        <v>1247</v>
      </c>
      <c r="K63" s="1" t="s">
        <v>1256</v>
      </c>
      <c r="L63" s="1" t="s">
        <v>920</v>
      </c>
      <c r="M63" s="1" t="s">
        <v>955</v>
      </c>
      <c r="N63">
        <f>_xlfn.NUMBERVALUE(LEFT(Table11[[#This Row],[Score]],FIND("/",Table11[[#This Row],[Score]])-1))</f>
        <v>19</v>
      </c>
      <c r="O63">
        <f>IFERROR(_xlfn.NUMBERVALUE(LEFT(Table11[[#This Row],[Score2 ]],FIND("/",Table11[[#This Row],[Score2 ]])-1)),"")</f>
        <v>26</v>
      </c>
      <c r="P63" t="s">
        <v>137</v>
      </c>
      <c r="Q63" s="1" t="s">
        <v>141</v>
      </c>
      <c r="R63" t="str">
        <f>Table11[[#This Row],[Match]]&amp;" "&amp;Table11[[#This Row],[Over]]</f>
        <v>13 7</v>
      </c>
    </row>
    <row r="64" spans="1:26" x14ac:dyDescent="0.3">
      <c r="A64">
        <v>13</v>
      </c>
      <c r="B64" s="1">
        <v>8</v>
      </c>
      <c r="C64" s="1" t="s">
        <v>1257</v>
      </c>
      <c r="D64" s="1" t="s">
        <v>1095</v>
      </c>
      <c r="E64" s="1" t="s">
        <v>1258</v>
      </c>
      <c r="F64" s="1" t="s">
        <v>939</v>
      </c>
      <c r="G64" s="1" t="s">
        <v>932</v>
      </c>
      <c r="H64" s="1" t="s">
        <v>898</v>
      </c>
      <c r="I64" s="1" t="s">
        <v>925</v>
      </c>
      <c r="J64" s="1" t="s">
        <v>1259</v>
      </c>
      <c r="K64" s="1" t="s">
        <v>1260</v>
      </c>
      <c r="L64" s="1" t="s">
        <v>1261</v>
      </c>
      <c r="M64" s="1" t="s">
        <v>963</v>
      </c>
      <c r="N64">
        <f>_xlfn.NUMBERVALUE(LEFT(Table11[[#This Row],[Score]],FIND("/",Table11[[#This Row],[Score]])-1))</f>
        <v>29</v>
      </c>
      <c r="O64">
        <f>IFERROR(_xlfn.NUMBERVALUE(LEFT(Table11[[#This Row],[Score2 ]],FIND("/",Table11[[#This Row],[Score2 ]])-1)),"")</f>
        <v>28</v>
      </c>
      <c r="P64" t="s">
        <v>137</v>
      </c>
      <c r="Q64" s="1" t="s">
        <v>141</v>
      </c>
      <c r="R64" t="str">
        <f>Table11[[#This Row],[Match]]&amp;" "&amp;Table11[[#This Row],[Over]]</f>
        <v>13 8</v>
      </c>
    </row>
    <row r="65" spans="1:18" x14ac:dyDescent="0.3">
      <c r="A65">
        <v>13</v>
      </c>
      <c r="B65" s="1">
        <v>9</v>
      </c>
      <c r="C65" s="1" t="s">
        <v>1262</v>
      </c>
      <c r="D65" s="1" t="s">
        <v>904</v>
      </c>
      <c r="E65" s="1" t="s">
        <v>1263</v>
      </c>
      <c r="F65" s="1" t="s">
        <v>976</v>
      </c>
      <c r="G65" s="1" t="s">
        <v>1264</v>
      </c>
      <c r="H65" s="1" t="s">
        <v>898</v>
      </c>
      <c r="I65" s="1" t="s">
        <v>1265</v>
      </c>
      <c r="J65" s="1" t="s">
        <v>977</v>
      </c>
      <c r="K65" s="1" t="s">
        <v>1266</v>
      </c>
      <c r="L65" s="1" t="s">
        <v>1267</v>
      </c>
      <c r="M65" s="1" t="s">
        <v>973</v>
      </c>
      <c r="N65">
        <f>_xlfn.NUMBERVALUE(LEFT(Table11[[#This Row],[Score]],FIND("/",Table11[[#This Row],[Score]])-1))</f>
        <v>32</v>
      </c>
      <c r="O65">
        <f>IFERROR(_xlfn.NUMBERVALUE(LEFT(Table11[[#This Row],[Score2 ]],FIND("/",Table11[[#This Row],[Score2 ]])-1)),"")</f>
        <v>30</v>
      </c>
      <c r="P65" t="s">
        <v>137</v>
      </c>
      <c r="Q65" s="1" t="s">
        <v>141</v>
      </c>
      <c r="R65" t="str">
        <f>Table11[[#This Row],[Match]]&amp;" "&amp;Table11[[#This Row],[Over]]</f>
        <v>13 9</v>
      </c>
    </row>
    <row r="66" spans="1:18" x14ac:dyDescent="0.3">
      <c r="A66">
        <v>13</v>
      </c>
      <c r="B66" s="1">
        <v>10</v>
      </c>
      <c r="C66" s="1" t="s">
        <v>1268</v>
      </c>
      <c r="D66" s="1" t="s">
        <v>998</v>
      </c>
      <c r="E66" s="1" t="s">
        <v>977</v>
      </c>
      <c r="F66" s="1" t="s">
        <v>1029</v>
      </c>
      <c r="G66" s="1" t="s">
        <v>1269</v>
      </c>
      <c r="H66" s="1" t="s">
        <v>930</v>
      </c>
      <c r="I66" s="1" t="s">
        <v>990</v>
      </c>
      <c r="J66" s="1" t="s">
        <v>931</v>
      </c>
      <c r="K66" s="1" t="s">
        <v>1009</v>
      </c>
      <c r="L66" s="1" t="s">
        <v>937</v>
      </c>
      <c r="M66" s="1" t="s">
        <v>980</v>
      </c>
      <c r="N66">
        <f>_xlfn.NUMBERVALUE(LEFT(Table11[[#This Row],[Score]],FIND("/",Table11[[#This Row],[Score]])-1))</f>
        <v>36</v>
      </c>
      <c r="O66">
        <f>IFERROR(_xlfn.NUMBERVALUE(LEFT(Table11[[#This Row],[Score2 ]],FIND("/",Table11[[#This Row],[Score2 ]])-1)),"")</f>
        <v>38</v>
      </c>
      <c r="P66" t="s">
        <v>137</v>
      </c>
      <c r="Q66" s="1" t="s">
        <v>141</v>
      </c>
      <c r="R66" t="str">
        <f>Table11[[#This Row],[Match]]&amp;" "&amp;Table11[[#This Row],[Over]]</f>
        <v>13 10</v>
      </c>
    </row>
    <row r="67" spans="1:18" x14ac:dyDescent="0.3">
      <c r="A67">
        <v>13</v>
      </c>
      <c r="B67" s="1">
        <v>11</v>
      </c>
      <c r="C67" s="1" t="s">
        <v>1270</v>
      </c>
      <c r="D67" s="1" t="s">
        <v>968</v>
      </c>
      <c r="E67" s="1" t="s">
        <v>1271</v>
      </c>
      <c r="F67" s="1" t="s">
        <v>976</v>
      </c>
      <c r="G67" s="1" t="s">
        <v>1272</v>
      </c>
      <c r="H67" s="1" t="s">
        <v>950</v>
      </c>
      <c r="I67" s="1" t="s">
        <v>1273</v>
      </c>
      <c r="J67" s="1" t="s">
        <v>1093</v>
      </c>
      <c r="K67" s="1" t="s">
        <v>1274</v>
      </c>
      <c r="L67" s="1" t="s">
        <v>1275</v>
      </c>
      <c r="M67" s="1" t="s">
        <v>987</v>
      </c>
      <c r="N67">
        <f>_xlfn.NUMBERVALUE(LEFT(Table11[[#This Row],[Score]],FIND("/",Table11[[#This Row],[Score]])-1))</f>
        <v>37</v>
      </c>
      <c r="O67">
        <f>IFERROR(_xlfn.NUMBERVALUE(LEFT(Table11[[#This Row],[Score2 ]],FIND("/",Table11[[#This Row],[Score2 ]])-1)),"")</f>
        <v>43</v>
      </c>
      <c r="P67" t="s">
        <v>137</v>
      </c>
      <c r="Q67" s="1" t="s">
        <v>141</v>
      </c>
      <c r="R67" t="str">
        <f>Table11[[#This Row],[Match]]&amp;" "&amp;Table11[[#This Row],[Over]]</f>
        <v>13 11</v>
      </c>
    </row>
    <row r="68" spans="1:18" x14ac:dyDescent="0.3">
      <c r="A68">
        <v>13</v>
      </c>
      <c r="B68" s="1">
        <v>12</v>
      </c>
      <c r="C68" s="1" t="s">
        <v>967</v>
      </c>
      <c r="D68" s="1" t="s">
        <v>930</v>
      </c>
      <c r="E68" s="1" t="s">
        <v>1276</v>
      </c>
      <c r="F68" s="1" t="s">
        <v>1029</v>
      </c>
      <c r="G68" s="1" t="s">
        <v>1277</v>
      </c>
      <c r="H68" s="1" t="s">
        <v>998</v>
      </c>
      <c r="I68" s="1" t="s">
        <v>1278</v>
      </c>
      <c r="J68" s="1" t="s">
        <v>931</v>
      </c>
      <c r="K68" s="1" t="s">
        <v>1279</v>
      </c>
      <c r="L68" s="1" t="s">
        <v>1280</v>
      </c>
      <c r="M68" s="1" t="s">
        <v>996</v>
      </c>
      <c r="N68">
        <f>_xlfn.NUMBERVALUE(LEFT(Table11[[#This Row],[Score]],FIND("/",Table11[[#This Row],[Score]])-1))</f>
        <v>45</v>
      </c>
      <c r="O68">
        <f>IFERROR(_xlfn.NUMBERVALUE(LEFT(Table11[[#This Row],[Score2 ]],FIND("/",Table11[[#This Row],[Score2 ]])-1)),"")</f>
        <v>47</v>
      </c>
      <c r="P68" t="s">
        <v>137</v>
      </c>
      <c r="Q68" s="1" t="s">
        <v>141</v>
      </c>
      <c r="R68" t="str">
        <f>Table11[[#This Row],[Match]]&amp;" "&amp;Table11[[#This Row],[Over]]</f>
        <v>13 12</v>
      </c>
    </row>
    <row r="69" spans="1:18" x14ac:dyDescent="0.3">
      <c r="A69">
        <v>13</v>
      </c>
      <c r="B69" s="1">
        <v>13</v>
      </c>
      <c r="C69" s="1" t="s">
        <v>1281</v>
      </c>
      <c r="D69" s="1" t="s">
        <v>998</v>
      </c>
      <c r="E69" s="1" t="s">
        <v>1282</v>
      </c>
      <c r="F69" s="1" t="s">
        <v>939</v>
      </c>
      <c r="G69" s="1" t="s">
        <v>1283</v>
      </c>
      <c r="H69" s="1" t="s">
        <v>898</v>
      </c>
      <c r="I69" s="1" t="s">
        <v>1282</v>
      </c>
      <c r="J69" s="1" t="s">
        <v>931</v>
      </c>
      <c r="K69" s="1" t="s">
        <v>952</v>
      </c>
      <c r="L69" s="1" t="s">
        <v>1284</v>
      </c>
      <c r="M69" s="1" t="s">
        <v>1004</v>
      </c>
      <c r="N69">
        <f>_xlfn.NUMBERVALUE(LEFT(Table11[[#This Row],[Score]],FIND("/",Table11[[#This Row],[Score]])-1))</f>
        <v>49</v>
      </c>
      <c r="O69">
        <f>IFERROR(_xlfn.NUMBERVALUE(LEFT(Table11[[#This Row],[Score2 ]],FIND("/",Table11[[#This Row],[Score2 ]])-1)),"")</f>
        <v>49</v>
      </c>
      <c r="P69" t="s">
        <v>137</v>
      </c>
      <c r="Q69" s="1" t="s">
        <v>141</v>
      </c>
      <c r="R69" t="str">
        <f>Table11[[#This Row],[Match]]&amp;" "&amp;Table11[[#This Row],[Over]]</f>
        <v>13 13</v>
      </c>
    </row>
    <row r="70" spans="1:18" x14ac:dyDescent="0.3">
      <c r="A70">
        <v>13</v>
      </c>
      <c r="B70" s="1">
        <v>14</v>
      </c>
      <c r="C70" s="1" t="s">
        <v>997</v>
      </c>
      <c r="D70" s="1" t="s">
        <v>916</v>
      </c>
      <c r="E70" s="1" t="s">
        <v>939</v>
      </c>
      <c r="F70" s="1" t="s">
        <v>1093</v>
      </c>
      <c r="G70" s="1" t="s">
        <v>1285</v>
      </c>
      <c r="H70" s="1" t="s">
        <v>904</v>
      </c>
      <c r="I70" s="1" t="s">
        <v>1255</v>
      </c>
      <c r="J70" s="1" t="s">
        <v>940</v>
      </c>
      <c r="K70" s="1" t="s">
        <v>1286</v>
      </c>
      <c r="L70" s="1" t="s">
        <v>972</v>
      </c>
      <c r="M70" s="1" t="s">
        <v>1010</v>
      </c>
      <c r="N70">
        <f>_xlfn.NUMBERVALUE(LEFT(Table11[[#This Row],[Score]],FIND("/",Table11[[#This Row],[Score]])-1))</f>
        <v>56</v>
      </c>
      <c r="O70">
        <f>IFERROR(_xlfn.NUMBERVALUE(LEFT(Table11[[#This Row],[Score2 ]],FIND("/",Table11[[#This Row],[Score2 ]])-1)),"")</f>
        <v>52</v>
      </c>
      <c r="P70" t="s">
        <v>137</v>
      </c>
      <c r="Q70" s="1" t="s">
        <v>141</v>
      </c>
      <c r="R70" t="str">
        <f>Table11[[#This Row],[Match]]&amp;" "&amp;Table11[[#This Row],[Over]]</f>
        <v>13 14</v>
      </c>
    </row>
    <row r="71" spans="1:18" x14ac:dyDescent="0.3">
      <c r="A71">
        <v>13</v>
      </c>
      <c r="B71" s="1">
        <v>15</v>
      </c>
      <c r="C71" s="1" t="s">
        <v>1287</v>
      </c>
      <c r="D71" s="1" t="s">
        <v>950</v>
      </c>
      <c r="E71" s="1" t="s">
        <v>1288</v>
      </c>
      <c r="F71" s="1" t="s">
        <v>969</v>
      </c>
      <c r="G71" s="1" t="s">
        <v>1289</v>
      </c>
      <c r="H71" s="1" t="s">
        <v>947</v>
      </c>
      <c r="I71" s="1" t="s">
        <v>1288</v>
      </c>
      <c r="J71" s="1" t="s">
        <v>976</v>
      </c>
      <c r="K71" s="1" t="s">
        <v>1290</v>
      </c>
      <c r="L71" s="1" t="s">
        <v>1291</v>
      </c>
      <c r="M71" s="1" t="s">
        <v>1016</v>
      </c>
      <c r="N71">
        <f>_xlfn.NUMBERVALUE(LEFT(Table11[[#This Row],[Score]],FIND("/",Table11[[#This Row],[Score]])-1))</f>
        <v>61</v>
      </c>
      <c r="O71">
        <f>IFERROR(_xlfn.NUMBERVALUE(LEFT(Table11[[#This Row],[Score2 ]],FIND("/",Table11[[#This Row],[Score2 ]])-1)),"")</f>
        <v>61</v>
      </c>
      <c r="P71" t="s">
        <v>137</v>
      </c>
      <c r="Q71" s="1" t="s">
        <v>141</v>
      </c>
      <c r="R71" t="str">
        <f>Table11[[#This Row],[Match]]&amp;" "&amp;Table11[[#This Row],[Over]]</f>
        <v>13 15</v>
      </c>
    </row>
    <row r="72" spans="1:18" x14ac:dyDescent="0.3">
      <c r="A72">
        <v>13</v>
      </c>
      <c r="B72" s="1">
        <v>16</v>
      </c>
      <c r="C72" s="1" t="s">
        <v>1014</v>
      </c>
      <c r="D72" s="1" t="s">
        <v>922</v>
      </c>
      <c r="E72" s="1" t="s">
        <v>1292</v>
      </c>
      <c r="F72" s="1" t="s">
        <v>1019</v>
      </c>
      <c r="G72" s="1" t="s">
        <v>1293</v>
      </c>
      <c r="H72" s="1" t="s">
        <v>898</v>
      </c>
      <c r="I72" s="1" t="s">
        <v>1294</v>
      </c>
      <c r="J72" s="1" t="s">
        <v>939</v>
      </c>
      <c r="K72" s="1" t="s">
        <v>1116</v>
      </c>
      <c r="L72" s="1" t="s">
        <v>1295</v>
      </c>
      <c r="M72" s="1" t="s">
        <v>1024</v>
      </c>
      <c r="N72">
        <f>_xlfn.NUMBERVALUE(LEFT(Table11[[#This Row],[Score]],FIND("/",Table11[[#This Row],[Score]])-1))</f>
        <v>67</v>
      </c>
      <c r="O72">
        <f>IFERROR(_xlfn.NUMBERVALUE(LEFT(Table11[[#This Row],[Score2 ]],FIND("/",Table11[[#This Row],[Score2 ]])-1)),"")</f>
        <v>63</v>
      </c>
      <c r="P72" t="s">
        <v>137</v>
      </c>
      <c r="Q72" s="1" t="s">
        <v>141</v>
      </c>
      <c r="R72" t="str">
        <f>Table11[[#This Row],[Match]]&amp;" "&amp;Table11[[#This Row],[Over]]</f>
        <v>13 16</v>
      </c>
    </row>
    <row r="73" spans="1:18" x14ac:dyDescent="0.3">
      <c r="A73">
        <v>13</v>
      </c>
      <c r="B73" s="1">
        <v>17</v>
      </c>
      <c r="C73" s="1" t="s">
        <v>1296</v>
      </c>
      <c r="D73" s="1" t="s">
        <v>904</v>
      </c>
      <c r="E73" s="1" t="s">
        <v>1297</v>
      </c>
      <c r="F73" s="1" t="s">
        <v>969</v>
      </c>
      <c r="G73" s="1" t="s">
        <v>1298</v>
      </c>
      <c r="H73" s="1" t="s">
        <v>1051</v>
      </c>
      <c r="I73" s="1" t="s">
        <v>1299</v>
      </c>
      <c r="J73" s="1" t="s">
        <v>966</v>
      </c>
      <c r="K73" s="1" t="s">
        <v>1300</v>
      </c>
      <c r="L73" s="1" t="s">
        <v>987</v>
      </c>
      <c r="M73" s="1" t="s">
        <v>1031</v>
      </c>
      <c r="N73">
        <f>_xlfn.NUMBERVALUE(LEFT(Table11[[#This Row],[Score]],FIND("/",Table11[[#This Row],[Score]])-1))</f>
        <v>70</v>
      </c>
      <c r="O73">
        <f>IFERROR(_xlfn.NUMBERVALUE(LEFT(Table11[[#This Row],[Score2 ]],FIND("/",Table11[[#This Row],[Score2 ]])-1)),"")</f>
        <v>74</v>
      </c>
      <c r="P73" t="s">
        <v>137</v>
      </c>
      <c r="Q73" s="1" t="s">
        <v>141</v>
      </c>
      <c r="R73" t="str">
        <f>Table11[[#This Row],[Match]]&amp;" "&amp;Table11[[#This Row],[Over]]</f>
        <v>13 17</v>
      </c>
    </row>
    <row r="74" spans="1:18" x14ac:dyDescent="0.3">
      <c r="A74">
        <v>13</v>
      </c>
      <c r="B74" s="1">
        <v>18</v>
      </c>
      <c r="C74" s="1" t="s">
        <v>1301</v>
      </c>
      <c r="D74" s="1" t="s">
        <v>916</v>
      </c>
      <c r="E74" s="1" t="s">
        <v>983</v>
      </c>
      <c r="F74" s="1" t="s">
        <v>934</v>
      </c>
      <c r="G74" s="1" t="s">
        <v>1034</v>
      </c>
      <c r="H74" s="1" t="s">
        <v>950</v>
      </c>
      <c r="I74" s="1" t="s">
        <v>1035</v>
      </c>
      <c r="J74" s="1" t="s">
        <v>1019</v>
      </c>
      <c r="K74" s="1" t="s">
        <v>1302</v>
      </c>
      <c r="L74" s="1" t="s">
        <v>1023</v>
      </c>
      <c r="M74" s="1" t="s">
        <v>1037</v>
      </c>
      <c r="N74">
        <f>_xlfn.NUMBERVALUE(LEFT(Table11[[#This Row],[Score]],FIND("/",Table11[[#This Row],[Score]])-1))</f>
        <v>77</v>
      </c>
      <c r="O74">
        <f>IFERROR(_xlfn.NUMBERVALUE(LEFT(Table11[[#This Row],[Score2 ]],FIND("/",Table11[[#This Row],[Score2 ]])-1)),"")</f>
        <v>79</v>
      </c>
      <c r="P74" t="s">
        <v>137</v>
      </c>
      <c r="Q74" s="1" t="s">
        <v>141</v>
      </c>
      <c r="R74" t="str">
        <f>Table11[[#This Row],[Match]]&amp;" "&amp;Table11[[#This Row],[Over]]</f>
        <v>13 18</v>
      </c>
    </row>
    <row r="75" spans="1:18" x14ac:dyDescent="0.3">
      <c r="A75">
        <v>13</v>
      </c>
      <c r="B75" s="1">
        <v>19</v>
      </c>
      <c r="C75" s="1" t="s">
        <v>1027</v>
      </c>
      <c r="D75" s="1" t="s">
        <v>898</v>
      </c>
      <c r="E75" s="1" t="s">
        <v>1303</v>
      </c>
      <c r="F75" s="1" t="s">
        <v>976</v>
      </c>
      <c r="G75" s="1" t="s">
        <v>1304</v>
      </c>
      <c r="H75" s="1" t="s">
        <v>950</v>
      </c>
      <c r="I75" s="1" t="s">
        <v>1006</v>
      </c>
      <c r="J75" s="1" t="s">
        <v>943</v>
      </c>
      <c r="K75" s="1" t="s">
        <v>1305</v>
      </c>
      <c r="L75" s="1" t="s">
        <v>1306</v>
      </c>
      <c r="M75" s="1" t="s">
        <v>1043</v>
      </c>
      <c r="N75">
        <f>_xlfn.NUMBERVALUE(LEFT(Table11[[#This Row],[Score]],FIND("/",Table11[[#This Row],[Score]])-1))</f>
        <v>79</v>
      </c>
      <c r="O75">
        <f>IFERROR(_xlfn.NUMBERVALUE(LEFT(Table11[[#This Row],[Score2 ]],FIND("/",Table11[[#This Row],[Score2 ]])-1)),"")</f>
        <v>84</v>
      </c>
      <c r="P75" t="s">
        <v>137</v>
      </c>
      <c r="Q75" s="1" t="s">
        <v>141</v>
      </c>
      <c r="R75" t="str">
        <f>Table11[[#This Row],[Match]]&amp;" "&amp;Table11[[#This Row],[Over]]</f>
        <v>13 19</v>
      </c>
    </row>
    <row r="76" spans="1:18" x14ac:dyDescent="0.3">
      <c r="A76">
        <v>13</v>
      </c>
      <c r="B76" s="1">
        <v>20</v>
      </c>
      <c r="C76" s="1" t="s">
        <v>1307</v>
      </c>
      <c r="D76" s="1" t="s">
        <v>998</v>
      </c>
      <c r="E76" s="1" t="s">
        <v>1303</v>
      </c>
      <c r="F76" s="1" t="s">
        <v>940</v>
      </c>
      <c r="G76" s="1" t="s">
        <v>1046</v>
      </c>
      <c r="H76" s="1" t="s">
        <v>930</v>
      </c>
      <c r="I76" s="1" t="s">
        <v>976</v>
      </c>
      <c r="J76" s="1" t="s">
        <v>970</v>
      </c>
      <c r="K76" s="1" t="s">
        <v>1116</v>
      </c>
      <c r="L76" s="1" t="s">
        <v>1010</v>
      </c>
      <c r="M76" s="1" t="s">
        <v>1049</v>
      </c>
      <c r="N76">
        <f>_xlfn.NUMBERVALUE(LEFT(Table11[[#This Row],[Score]],FIND("/",Table11[[#This Row],[Score]])-1))</f>
        <v>83</v>
      </c>
      <c r="O76">
        <f>IFERROR(_xlfn.NUMBERVALUE(LEFT(Table11[[#This Row],[Score2 ]],FIND("/",Table11[[#This Row],[Score2 ]])-1)),"")</f>
        <v>92</v>
      </c>
      <c r="P76" t="s">
        <v>137</v>
      </c>
      <c r="Q76" s="1" t="s">
        <v>141</v>
      </c>
      <c r="R76" t="str">
        <f>Table11[[#This Row],[Match]]&amp;" "&amp;Table11[[#This Row],[Over]]</f>
        <v>13 20</v>
      </c>
    </row>
    <row r="77" spans="1:18" x14ac:dyDescent="0.3">
      <c r="A77">
        <v>13</v>
      </c>
      <c r="B77" s="1">
        <v>21</v>
      </c>
      <c r="C77" s="1" t="s">
        <v>1308</v>
      </c>
      <c r="D77" s="1" t="s">
        <v>998</v>
      </c>
      <c r="E77" s="1" t="s">
        <v>1008</v>
      </c>
      <c r="F77" s="1" t="s">
        <v>939</v>
      </c>
      <c r="G77" s="1" t="s">
        <v>1054</v>
      </c>
      <c r="H77" s="1" t="s">
        <v>950</v>
      </c>
      <c r="I77" s="1" t="s">
        <v>1055</v>
      </c>
      <c r="J77" s="1" t="s">
        <v>1053</v>
      </c>
      <c r="K77" s="1" t="s">
        <v>1309</v>
      </c>
      <c r="L77" s="1" t="s">
        <v>1310</v>
      </c>
      <c r="M77" s="1" t="s">
        <v>1056</v>
      </c>
      <c r="N77">
        <f>_xlfn.NUMBERVALUE(LEFT(Table11[[#This Row],[Score]],FIND("/",Table11[[#This Row],[Score]])-1))</f>
        <v>87</v>
      </c>
      <c r="O77">
        <f>IFERROR(_xlfn.NUMBERVALUE(LEFT(Table11[[#This Row],[Score2 ]],FIND("/",Table11[[#This Row],[Score2 ]])-1)),"")</f>
        <v>97</v>
      </c>
      <c r="P77" t="s">
        <v>137</v>
      </c>
      <c r="Q77" s="1" t="s">
        <v>141</v>
      </c>
      <c r="R77" t="str">
        <f>Table11[[#This Row],[Match]]&amp;" "&amp;Table11[[#This Row],[Over]]</f>
        <v>13 21</v>
      </c>
    </row>
    <row r="78" spans="1:18" x14ac:dyDescent="0.3">
      <c r="A78">
        <v>13</v>
      </c>
      <c r="B78" s="1">
        <v>22</v>
      </c>
      <c r="C78" s="1" t="s">
        <v>1038</v>
      </c>
      <c r="D78" s="1" t="s">
        <v>916</v>
      </c>
      <c r="E78" s="1" t="s">
        <v>983</v>
      </c>
      <c r="F78" s="1" t="s">
        <v>1093</v>
      </c>
      <c r="G78" s="1" t="s">
        <v>1311</v>
      </c>
      <c r="H78" s="1" t="s">
        <v>1095</v>
      </c>
      <c r="I78" s="1" t="s">
        <v>1312</v>
      </c>
      <c r="J78" s="1" t="s">
        <v>960</v>
      </c>
      <c r="K78" s="1" t="s">
        <v>1313</v>
      </c>
      <c r="L78" s="1" t="s">
        <v>1314</v>
      </c>
      <c r="M78" s="1" t="s">
        <v>1063</v>
      </c>
      <c r="N78">
        <f>_xlfn.NUMBERVALUE(LEFT(Table11[[#This Row],[Score]],FIND("/",Table11[[#This Row],[Score]])-1))</f>
        <v>94</v>
      </c>
      <c r="O78">
        <f>IFERROR(_xlfn.NUMBERVALUE(LEFT(Table11[[#This Row],[Score2 ]],FIND("/",Table11[[#This Row],[Score2 ]])-1)),"")</f>
        <v>107</v>
      </c>
      <c r="P78" t="s">
        <v>137</v>
      </c>
      <c r="Q78" s="1" t="s">
        <v>141</v>
      </c>
      <c r="R78" t="str">
        <f>Table11[[#This Row],[Match]]&amp;" "&amp;Table11[[#This Row],[Over]]</f>
        <v>13 22</v>
      </c>
    </row>
    <row r="79" spans="1:18" x14ac:dyDescent="0.3">
      <c r="A79">
        <v>13</v>
      </c>
      <c r="B79" s="1">
        <v>23</v>
      </c>
      <c r="C79" s="1" t="s">
        <v>1315</v>
      </c>
      <c r="D79" s="1" t="s">
        <v>947</v>
      </c>
      <c r="E79" s="1" t="s">
        <v>1316</v>
      </c>
      <c r="F79" s="1" t="s">
        <v>1029</v>
      </c>
      <c r="G79" s="1" t="s">
        <v>1317</v>
      </c>
      <c r="H79" s="1" t="s">
        <v>968</v>
      </c>
      <c r="I79" s="1" t="s">
        <v>1148</v>
      </c>
      <c r="J79" s="1" t="s">
        <v>1013</v>
      </c>
      <c r="K79" s="1" t="s">
        <v>1068</v>
      </c>
      <c r="L79" s="1" t="s">
        <v>1069</v>
      </c>
      <c r="M79" s="1" t="s">
        <v>1070</v>
      </c>
      <c r="N79">
        <f>_xlfn.NUMBERVALUE(LEFT(Table11[[#This Row],[Score]],FIND("/",Table11[[#This Row],[Score]])-1))</f>
        <v>103</v>
      </c>
      <c r="O79">
        <f>IFERROR(_xlfn.NUMBERVALUE(LEFT(Table11[[#This Row],[Score2 ]],FIND("/",Table11[[#This Row],[Score2 ]])-1)),"")</f>
        <v>108</v>
      </c>
      <c r="P79" t="s">
        <v>137</v>
      </c>
      <c r="Q79" s="1" t="s">
        <v>141</v>
      </c>
      <c r="R79" t="str">
        <f>Table11[[#This Row],[Match]]&amp;" "&amp;Table11[[#This Row],[Over]]</f>
        <v>13 23</v>
      </c>
    </row>
    <row r="80" spans="1:18" x14ac:dyDescent="0.3">
      <c r="A80">
        <v>13</v>
      </c>
      <c r="B80" s="1">
        <v>24</v>
      </c>
      <c r="C80" s="1" t="s">
        <v>1318</v>
      </c>
      <c r="D80" s="1" t="s">
        <v>1051</v>
      </c>
      <c r="E80" s="1" t="s">
        <v>1319</v>
      </c>
      <c r="F80" s="1" t="s">
        <v>952</v>
      </c>
      <c r="G80" s="1" t="s">
        <v>1320</v>
      </c>
      <c r="H80" s="1" t="s">
        <v>950</v>
      </c>
      <c r="I80" s="1" t="s">
        <v>1321</v>
      </c>
      <c r="J80" s="1" t="s">
        <v>1013</v>
      </c>
      <c r="K80" s="1" t="s">
        <v>1322</v>
      </c>
      <c r="L80" s="1" t="s">
        <v>1323</v>
      </c>
      <c r="M80" s="1" t="s">
        <v>1077</v>
      </c>
      <c r="N80">
        <f>_xlfn.NUMBERVALUE(LEFT(Table11[[#This Row],[Score]],FIND("/",Table11[[#This Row],[Score]])-1))</f>
        <v>114</v>
      </c>
      <c r="O80">
        <f>IFERROR(_xlfn.NUMBERVALUE(LEFT(Table11[[#This Row],[Score2 ]],FIND("/",Table11[[#This Row],[Score2 ]])-1)),"")</f>
        <v>113</v>
      </c>
      <c r="P80" t="s">
        <v>137</v>
      </c>
      <c r="Q80" s="1" t="s">
        <v>141</v>
      </c>
      <c r="R80" t="str">
        <f>Table11[[#This Row],[Match]]&amp;" "&amp;Table11[[#This Row],[Over]]</f>
        <v>13 24</v>
      </c>
    </row>
    <row r="81" spans="1:18" x14ac:dyDescent="0.3">
      <c r="A81">
        <v>13</v>
      </c>
      <c r="B81" s="1">
        <v>25</v>
      </c>
      <c r="C81" s="1" t="s">
        <v>1324</v>
      </c>
      <c r="D81" s="1" t="s">
        <v>947</v>
      </c>
      <c r="E81" s="1" t="s">
        <v>1325</v>
      </c>
      <c r="F81" s="1" t="s">
        <v>1089</v>
      </c>
      <c r="G81" s="1" t="s">
        <v>1326</v>
      </c>
      <c r="H81" s="1" t="s">
        <v>898</v>
      </c>
      <c r="I81" s="1" t="s">
        <v>976</v>
      </c>
      <c r="J81" s="1" t="s">
        <v>976</v>
      </c>
      <c r="K81" s="1" t="s">
        <v>1327</v>
      </c>
      <c r="L81" s="1" t="s">
        <v>1328</v>
      </c>
      <c r="M81" s="1" t="s">
        <v>1083</v>
      </c>
      <c r="N81">
        <f>_xlfn.NUMBERVALUE(LEFT(Table11[[#This Row],[Score]],FIND("/",Table11[[#This Row],[Score]])-1))</f>
        <v>123</v>
      </c>
      <c r="O81">
        <f>IFERROR(_xlfn.NUMBERVALUE(LEFT(Table11[[#This Row],[Score2 ]],FIND("/",Table11[[#This Row],[Score2 ]])-1)),"")</f>
        <v>115</v>
      </c>
      <c r="P81" t="s">
        <v>137</v>
      </c>
      <c r="Q81" s="1" t="s">
        <v>141</v>
      </c>
      <c r="R81" t="str">
        <f>Table11[[#This Row],[Match]]&amp;" "&amp;Table11[[#This Row],[Over]]</f>
        <v>13 25</v>
      </c>
    </row>
    <row r="82" spans="1:18" x14ac:dyDescent="0.3">
      <c r="A82">
        <v>13</v>
      </c>
      <c r="B82" s="1">
        <v>26</v>
      </c>
      <c r="C82" s="1" t="s">
        <v>1071</v>
      </c>
      <c r="D82" s="1" t="s">
        <v>998</v>
      </c>
      <c r="E82" s="1" t="s">
        <v>1202</v>
      </c>
      <c r="F82" s="1" t="s">
        <v>1089</v>
      </c>
      <c r="G82" s="1" t="s">
        <v>1329</v>
      </c>
      <c r="H82" s="1" t="s">
        <v>922</v>
      </c>
      <c r="I82" s="1" t="s">
        <v>1330</v>
      </c>
      <c r="J82" s="1" t="s">
        <v>1093</v>
      </c>
      <c r="K82" s="1" t="s">
        <v>1331</v>
      </c>
      <c r="L82" s="1" t="s">
        <v>1332</v>
      </c>
      <c r="M82" s="1" t="s">
        <v>1090</v>
      </c>
      <c r="N82">
        <f>_xlfn.NUMBERVALUE(LEFT(Table11[[#This Row],[Score]],FIND("/",Table11[[#This Row],[Score]])-1))</f>
        <v>127</v>
      </c>
      <c r="O82">
        <f>IFERROR(_xlfn.NUMBERVALUE(LEFT(Table11[[#This Row],[Score2 ]],FIND("/",Table11[[#This Row],[Score2 ]])-1)),"")</f>
        <v>121</v>
      </c>
      <c r="P82" t="s">
        <v>137</v>
      </c>
      <c r="Q82" s="1" t="s">
        <v>141</v>
      </c>
      <c r="R82" t="str">
        <f>Table11[[#This Row],[Match]]&amp;" "&amp;Table11[[#This Row],[Over]]</f>
        <v>13 26</v>
      </c>
    </row>
    <row r="83" spans="1:18" x14ac:dyDescent="0.3">
      <c r="A83">
        <v>13</v>
      </c>
      <c r="B83" s="1">
        <v>27</v>
      </c>
      <c r="C83" s="1" t="s">
        <v>1333</v>
      </c>
      <c r="D83" s="1" t="s">
        <v>947</v>
      </c>
      <c r="E83" s="1" t="s">
        <v>1334</v>
      </c>
      <c r="F83" s="1" t="s">
        <v>1335</v>
      </c>
      <c r="G83" s="1" t="s">
        <v>1336</v>
      </c>
      <c r="H83" s="1" t="s">
        <v>1095</v>
      </c>
      <c r="I83" s="1" t="s">
        <v>1174</v>
      </c>
      <c r="J83" s="1" t="s">
        <v>1093</v>
      </c>
      <c r="K83" s="1" t="s">
        <v>1337</v>
      </c>
      <c r="L83" s="1" t="s">
        <v>1107</v>
      </c>
      <c r="M83" s="1" t="s">
        <v>1098</v>
      </c>
      <c r="N83">
        <f>_xlfn.NUMBERVALUE(LEFT(Table11[[#This Row],[Score]],FIND("/",Table11[[#This Row],[Score]])-1))</f>
        <v>136</v>
      </c>
      <c r="O83">
        <f>IFERROR(_xlfn.NUMBERVALUE(LEFT(Table11[[#This Row],[Score2 ]],FIND("/",Table11[[#This Row],[Score2 ]])-1)),"")</f>
        <v>131</v>
      </c>
      <c r="P83" t="s">
        <v>137</v>
      </c>
      <c r="Q83" s="1" t="s">
        <v>141</v>
      </c>
      <c r="R83" t="str">
        <f>Table11[[#This Row],[Match]]&amp;" "&amp;Table11[[#This Row],[Over]]</f>
        <v>13 27</v>
      </c>
    </row>
    <row r="84" spans="1:18" x14ac:dyDescent="0.3">
      <c r="A84">
        <v>13</v>
      </c>
      <c r="B84" s="1">
        <v>28</v>
      </c>
      <c r="C84" s="1" t="s">
        <v>1338</v>
      </c>
      <c r="D84" s="1" t="s">
        <v>898</v>
      </c>
      <c r="E84" s="1" t="s">
        <v>1325</v>
      </c>
      <c r="F84" s="1" t="s">
        <v>952</v>
      </c>
      <c r="G84" s="1" t="s">
        <v>1339</v>
      </c>
      <c r="H84" s="1" t="s">
        <v>898</v>
      </c>
      <c r="I84" s="1" t="s">
        <v>1319</v>
      </c>
      <c r="J84" s="1" t="s">
        <v>969</v>
      </c>
      <c r="K84" s="1" t="s">
        <v>1340</v>
      </c>
      <c r="L84" s="1" t="s">
        <v>1341</v>
      </c>
      <c r="M84" s="1" t="s">
        <v>1101</v>
      </c>
      <c r="N84">
        <f>_xlfn.NUMBERVALUE(LEFT(Table11[[#This Row],[Score]],FIND("/",Table11[[#This Row],[Score]])-1))</f>
        <v>138</v>
      </c>
      <c r="O84">
        <f>IFERROR(_xlfn.NUMBERVALUE(LEFT(Table11[[#This Row],[Score2 ]],FIND("/",Table11[[#This Row],[Score2 ]])-1)),"")</f>
        <v>133</v>
      </c>
      <c r="P84" t="s">
        <v>137</v>
      </c>
      <c r="Q84" s="1" t="s">
        <v>141</v>
      </c>
      <c r="R84" t="str">
        <f>Table11[[#This Row],[Match]]&amp;" "&amp;Table11[[#This Row],[Over]]</f>
        <v>13 28</v>
      </c>
    </row>
    <row r="85" spans="1:18" x14ac:dyDescent="0.3">
      <c r="A85">
        <v>13</v>
      </c>
      <c r="B85" s="1">
        <v>29</v>
      </c>
      <c r="C85" s="1" t="s">
        <v>1342</v>
      </c>
      <c r="D85" s="1" t="s">
        <v>904</v>
      </c>
      <c r="E85" s="1" t="s">
        <v>1312</v>
      </c>
      <c r="F85" s="1" t="s">
        <v>966</v>
      </c>
      <c r="G85" s="1" t="s">
        <v>1343</v>
      </c>
      <c r="H85" s="1" t="s">
        <v>968</v>
      </c>
      <c r="I85" s="1" t="s">
        <v>1344</v>
      </c>
      <c r="J85" s="1" t="s">
        <v>931</v>
      </c>
      <c r="K85" s="1" t="s">
        <v>1345</v>
      </c>
      <c r="L85" s="1" t="s">
        <v>1056</v>
      </c>
      <c r="M85" s="1" t="s">
        <v>1108</v>
      </c>
      <c r="N85">
        <f>_xlfn.NUMBERVALUE(LEFT(Table11[[#This Row],[Score]],FIND("/",Table11[[#This Row],[Score]])-1))</f>
        <v>141</v>
      </c>
      <c r="O85">
        <f>IFERROR(_xlfn.NUMBERVALUE(LEFT(Table11[[#This Row],[Score2 ]],FIND("/",Table11[[#This Row],[Score2 ]])-1)),"")</f>
        <v>134</v>
      </c>
      <c r="P85" t="s">
        <v>137</v>
      </c>
      <c r="Q85" s="1" t="s">
        <v>141</v>
      </c>
      <c r="R85" t="str">
        <f>Table11[[#This Row],[Match]]&amp;" "&amp;Table11[[#This Row],[Over]]</f>
        <v>13 29</v>
      </c>
    </row>
    <row r="86" spans="1:18" x14ac:dyDescent="0.3">
      <c r="A86">
        <v>13</v>
      </c>
      <c r="B86" s="1">
        <v>30</v>
      </c>
      <c r="C86" s="1" t="s">
        <v>1346</v>
      </c>
      <c r="D86" s="1" t="s">
        <v>950</v>
      </c>
      <c r="E86" s="1" t="s">
        <v>1312</v>
      </c>
      <c r="F86" s="1" t="s">
        <v>976</v>
      </c>
      <c r="G86" s="1" t="s">
        <v>1347</v>
      </c>
      <c r="H86" s="1" t="s">
        <v>930</v>
      </c>
      <c r="I86" s="1" t="s">
        <v>1012</v>
      </c>
      <c r="J86" s="1" t="s">
        <v>966</v>
      </c>
      <c r="K86" s="1" t="s">
        <v>1348</v>
      </c>
      <c r="L86" s="1" t="s">
        <v>1349</v>
      </c>
      <c r="M86" s="1" t="s">
        <v>1113</v>
      </c>
      <c r="N86">
        <f>_xlfn.NUMBERVALUE(LEFT(Table11[[#This Row],[Score]],FIND("/",Table11[[#This Row],[Score]])-1))</f>
        <v>146</v>
      </c>
      <c r="O86">
        <f>IFERROR(_xlfn.NUMBERVALUE(LEFT(Table11[[#This Row],[Score2 ]],FIND("/",Table11[[#This Row],[Score2 ]])-1)),"")</f>
        <v>142</v>
      </c>
      <c r="P86" t="s">
        <v>137</v>
      </c>
      <c r="Q86" s="1" t="s">
        <v>141</v>
      </c>
      <c r="R86" t="str">
        <f>Table11[[#This Row],[Match]]&amp;" "&amp;Table11[[#This Row],[Over]]</f>
        <v>13 30</v>
      </c>
    </row>
    <row r="87" spans="1:18" x14ac:dyDescent="0.3">
      <c r="A87">
        <v>13</v>
      </c>
      <c r="B87" s="1">
        <v>31</v>
      </c>
      <c r="C87" s="1" t="s">
        <v>1350</v>
      </c>
      <c r="D87" s="1" t="s">
        <v>916</v>
      </c>
      <c r="E87" s="1" t="s">
        <v>1351</v>
      </c>
      <c r="F87" s="1" t="s">
        <v>1029</v>
      </c>
      <c r="G87" s="1" t="s">
        <v>1352</v>
      </c>
      <c r="H87" s="1" t="s">
        <v>950</v>
      </c>
      <c r="I87" s="1" t="s">
        <v>1353</v>
      </c>
      <c r="J87" s="1" t="s">
        <v>1029</v>
      </c>
      <c r="K87" s="1" t="s">
        <v>1354</v>
      </c>
      <c r="L87" s="1" t="s">
        <v>1355</v>
      </c>
      <c r="M87" s="1" t="s">
        <v>1121</v>
      </c>
      <c r="N87">
        <f>_xlfn.NUMBERVALUE(LEFT(Table11[[#This Row],[Score]],FIND("/",Table11[[#This Row],[Score]])-1))</f>
        <v>153</v>
      </c>
      <c r="O87">
        <f>IFERROR(_xlfn.NUMBERVALUE(LEFT(Table11[[#This Row],[Score2 ]],FIND("/",Table11[[#This Row],[Score2 ]])-1)),"")</f>
        <v>147</v>
      </c>
      <c r="P87" t="s">
        <v>137</v>
      </c>
      <c r="Q87" s="1" t="s">
        <v>141</v>
      </c>
      <c r="R87" t="str">
        <f>Table11[[#This Row],[Match]]&amp;" "&amp;Table11[[#This Row],[Over]]</f>
        <v>13 31</v>
      </c>
    </row>
    <row r="88" spans="1:18" x14ac:dyDescent="0.3">
      <c r="A88">
        <v>13</v>
      </c>
      <c r="B88" s="1">
        <v>32</v>
      </c>
      <c r="C88" s="1" t="s">
        <v>1356</v>
      </c>
      <c r="D88" s="1" t="s">
        <v>904</v>
      </c>
      <c r="E88" s="1" t="s">
        <v>1357</v>
      </c>
      <c r="F88" s="1" t="s">
        <v>939</v>
      </c>
      <c r="G88" s="1" t="s">
        <v>1358</v>
      </c>
      <c r="H88" s="1" t="s">
        <v>968</v>
      </c>
      <c r="I88" s="1" t="s">
        <v>1344</v>
      </c>
      <c r="J88" s="1" t="s">
        <v>1247</v>
      </c>
      <c r="K88" s="1" t="s">
        <v>1359</v>
      </c>
      <c r="L88" s="1" t="s">
        <v>1360</v>
      </c>
      <c r="M88" s="1" t="s">
        <v>1127</v>
      </c>
      <c r="N88">
        <f>_xlfn.NUMBERVALUE(LEFT(Table11[[#This Row],[Score]],FIND("/",Table11[[#This Row],[Score]])-1))</f>
        <v>156</v>
      </c>
      <c r="O88">
        <f>IFERROR(_xlfn.NUMBERVALUE(LEFT(Table11[[#This Row],[Score2 ]],FIND("/",Table11[[#This Row],[Score2 ]])-1)),"")</f>
        <v>148</v>
      </c>
      <c r="P88" t="s">
        <v>137</v>
      </c>
      <c r="Q88" s="1" t="s">
        <v>141</v>
      </c>
      <c r="R88" t="str">
        <f>Table11[[#This Row],[Match]]&amp;" "&amp;Table11[[#This Row],[Over]]</f>
        <v>13 32</v>
      </c>
    </row>
    <row r="89" spans="1:18" x14ac:dyDescent="0.3">
      <c r="A89">
        <v>13</v>
      </c>
      <c r="B89" s="1">
        <v>33</v>
      </c>
      <c r="C89" s="1" t="s">
        <v>1114</v>
      </c>
      <c r="D89" s="1" t="s">
        <v>933</v>
      </c>
      <c r="E89" s="1" t="s">
        <v>1085</v>
      </c>
      <c r="F89" s="1" t="s">
        <v>943</v>
      </c>
      <c r="G89" s="1" t="s">
        <v>1361</v>
      </c>
      <c r="H89" s="1" t="s">
        <v>904</v>
      </c>
      <c r="I89" s="1" t="s">
        <v>1362</v>
      </c>
      <c r="J89" s="1" t="s">
        <v>977</v>
      </c>
      <c r="K89" s="1" t="s">
        <v>1155</v>
      </c>
      <c r="L89" s="1" t="s">
        <v>1363</v>
      </c>
      <c r="M89" s="1" t="s">
        <v>1132</v>
      </c>
      <c r="N89">
        <f>_xlfn.NUMBERVALUE(LEFT(Table11[[#This Row],[Score]],FIND("/",Table11[[#This Row],[Score]])-1))</f>
        <v>170</v>
      </c>
      <c r="O89">
        <f>IFERROR(_xlfn.NUMBERVALUE(LEFT(Table11[[#This Row],[Score2 ]],FIND("/",Table11[[#This Row],[Score2 ]])-1)),"")</f>
        <v>151</v>
      </c>
      <c r="P89" t="s">
        <v>137</v>
      </c>
      <c r="Q89" s="1" t="s">
        <v>141</v>
      </c>
      <c r="R89" t="str">
        <f>Table11[[#This Row],[Match]]&amp;" "&amp;Table11[[#This Row],[Over]]</f>
        <v>13 33</v>
      </c>
    </row>
    <row r="90" spans="1:18" x14ac:dyDescent="0.3">
      <c r="A90">
        <v>13</v>
      </c>
      <c r="B90" s="1">
        <v>34</v>
      </c>
      <c r="C90" s="1" t="s">
        <v>1364</v>
      </c>
      <c r="D90" s="1" t="s">
        <v>898</v>
      </c>
      <c r="E90" s="1" t="s">
        <v>1365</v>
      </c>
      <c r="F90" s="1" t="s">
        <v>970</v>
      </c>
      <c r="G90" s="1" t="s">
        <v>1366</v>
      </c>
      <c r="H90" s="1" t="s">
        <v>898</v>
      </c>
      <c r="I90" s="1" t="s">
        <v>1021</v>
      </c>
      <c r="J90" s="1" t="s">
        <v>990</v>
      </c>
      <c r="K90" s="1" t="s">
        <v>1367</v>
      </c>
      <c r="L90" s="1" t="s">
        <v>1368</v>
      </c>
      <c r="M90" s="1" t="s">
        <v>1138</v>
      </c>
      <c r="N90">
        <f>_xlfn.NUMBERVALUE(LEFT(Table11[[#This Row],[Score]],FIND("/",Table11[[#This Row],[Score]])-1))</f>
        <v>172</v>
      </c>
      <c r="O90">
        <f>IFERROR(_xlfn.NUMBERVALUE(LEFT(Table11[[#This Row],[Score2 ]],FIND("/",Table11[[#This Row],[Score2 ]])-1)),"")</f>
        <v>153</v>
      </c>
      <c r="P90" t="s">
        <v>137</v>
      </c>
      <c r="Q90" s="1" t="s">
        <v>141</v>
      </c>
      <c r="R90" t="str">
        <f>Table11[[#This Row],[Match]]&amp;" "&amp;Table11[[#This Row],[Over]]</f>
        <v>13 34</v>
      </c>
    </row>
    <row r="91" spans="1:18" x14ac:dyDescent="0.3">
      <c r="A91">
        <v>13</v>
      </c>
      <c r="B91" s="1">
        <v>35</v>
      </c>
      <c r="C91" s="1" t="s">
        <v>1369</v>
      </c>
      <c r="D91" s="1" t="s">
        <v>1051</v>
      </c>
      <c r="E91" s="1" t="s">
        <v>1058</v>
      </c>
      <c r="F91" s="1" t="s">
        <v>1068</v>
      </c>
      <c r="G91" s="1" t="s">
        <v>1370</v>
      </c>
      <c r="H91" s="1" t="s">
        <v>904</v>
      </c>
      <c r="I91" s="1" t="s">
        <v>1060</v>
      </c>
      <c r="J91" s="1" t="s">
        <v>993</v>
      </c>
      <c r="K91" s="1" t="s">
        <v>1371</v>
      </c>
      <c r="L91" s="1" t="s">
        <v>1137</v>
      </c>
      <c r="M91" s="1" t="s">
        <v>1143</v>
      </c>
      <c r="N91">
        <f>_xlfn.NUMBERVALUE(LEFT(Table11[[#This Row],[Score]],FIND("/",Table11[[#This Row],[Score]])-1))</f>
        <v>183</v>
      </c>
      <c r="O91">
        <f>IFERROR(_xlfn.NUMBERVALUE(LEFT(Table11[[#This Row],[Score2 ]],FIND("/",Table11[[#This Row],[Score2 ]])-1)),"")</f>
        <v>156</v>
      </c>
      <c r="P91" t="s">
        <v>137</v>
      </c>
      <c r="Q91" s="1" t="s">
        <v>141</v>
      </c>
      <c r="R91" t="str">
        <f>Table11[[#This Row],[Match]]&amp;" "&amp;Table11[[#This Row],[Over]]</f>
        <v>13 35</v>
      </c>
    </row>
    <row r="92" spans="1:18" x14ac:dyDescent="0.3">
      <c r="A92">
        <v>13</v>
      </c>
      <c r="B92" s="1">
        <v>36</v>
      </c>
      <c r="C92" s="1" t="s">
        <v>1372</v>
      </c>
      <c r="D92" s="1" t="s">
        <v>1103</v>
      </c>
      <c r="E92" s="1" t="s">
        <v>1373</v>
      </c>
      <c r="F92" s="1" t="s">
        <v>1335</v>
      </c>
      <c r="G92" s="1" t="s">
        <v>1374</v>
      </c>
      <c r="H92" s="1" t="s">
        <v>968</v>
      </c>
      <c r="I92" s="1" t="s">
        <v>1040</v>
      </c>
      <c r="J92" s="1" t="s">
        <v>899</v>
      </c>
      <c r="K92" s="1" t="s">
        <v>1375</v>
      </c>
      <c r="L92" s="1" t="s">
        <v>1376</v>
      </c>
      <c r="M92" s="1" t="s">
        <v>1150</v>
      </c>
      <c r="N92">
        <f>_xlfn.NUMBERVALUE(LEFT(Table11[[#This Row],[Score]],FIND("/",Table11[[#This Row],[Score]])-1))</f>
        <v>195</v>
      </c>
      <c r="O92">
        <f>IFERROR(_xlfn.NUMBERVALUE(LEFT(Table11[[#This Row],[Score2 ]],FIND("/",Table11[[#This Row],[Score2 ]])-1)),"")</f>
        <v>157</v>
      </c>
      <c r="P92" t="s">
        <v>137</v>
      </c>
      <c r="Q92" s="1" t="s">
        <v>141</v>
      </c>
      <c r="R92" t="str">
        <f>Table11[[#This Row],[Match]]&amp;" "&amp;Table11[[#This Row],[Over]]</f>
        <v>13 36</v>
      </c>
    </row>
    <row r="93" spans="1:18" x14ac:dyDescent="0.3">
      <c r="A93">
        <v>13</v>
      </c>
      <c r="B93" s="1">
        <v>37</v>
      </c>
      <c r="C93" s="1" t="s">
        <v>1377</v>
      </c>
      <c r="D93" s="1" t="s">
        <v>947</v>
      </c>
      <c r="E93" s="1" t="s">
        <v>1378</v>
      </c>
      <c r="F93" s="1" t="s">
        <v>1219</v>
      </c>
      <c r="G93" s="1" t="s">
        <v>1379</v>
      </c>
      <c r="H93" s="1" t="s">
        <v>998</v>
      </c>
      <c r="I93" s="1" t="s">
        <v>1299</v>
      </c>
      <c r="J93" s="1" t="s">
        <v>984</v>
      </c>
      <c r="K93" s="1" t="s">
        <v>1380</v>
      </c>
      <c r="L93" s="1" t="s">
        <v>1142</v>
      </c>
      <c r="M93" s="1" t="s">
        <v>1156</v>
      </c>
      <c r="N93">
        <f>_xlfn.NUMBERVALUE(LEFT(Table11[[#This Row],[Score]],FIND("/",Table11[[#This Row],[Score]])-1))</f>
        <v>204</v>
      </c>
      <c r="O93">
        <f>IFERROR(_xlfn.NUMBERVALUE(LEFT(Table11[[#This Row],[Score2 ]],FIND("/",Table11[[#This Row],[Score2 ]])-1)),"")</f>
        <v>161</v>
      </c>
      <c r="P93" t="s">
        <v>137</v>
      </c>
      <c r="Q93" s="1" t="s">
        <v>141</v>
      </c>
      <c r="R93" t="str">
        <f>Table11[[#This Row],[Match]]&amp;" "&amp;Table11[[#This Row],[Over]]</f>
        <v>13 37</v>
      </c>
    </row>
    <row r="94" spans="1:18" x14ac:dyDescent="0.3">
      <c r="A94">
        <v>13</v>
      </c>
      <c r="B94" s="1">
        <v>38</v>
      </c>
      <c r="C94" s="1" t="s">
        <v>1157</v>
      </c>
      <c r="D94" s="1" t="s">
        <v>898</v>
      </c>
      <c r="E94" s="1" t="s">
        <v>1158</v>
      </c>
      <c r="F94" s="1" t="s">
        <v>1116</v>
      </c>
      <c r="G94" s="1" t="s">
        <v>1381</v>
      </c>
      <c r="H94" s="1" t="s">
        <v>968</v>
      </c>
      <c r="I94" s="1" t="s">
        <v>1382</v>
      </c>
      <c r="J94" s="1" t="s">
        <v>1383</v>
      </c>
      <c r="K94" s="1" t="s">
        <v>1384</v>
      </c>
      <c r="L94" s="1" t="s">
        <v>1385</v>
      </c>
      <c r="M94" s="1" t="s">
        <v>1164</v>
      </c>
      <c r="N94">
        <f>_xlfn.NUMBERVALUE(LEFT(Table11[[#This Row],[Score]],FIND("/",Table11[[#This Row],[Score]])-1))</f>
        <v>206</v>
      </c>
      <c r="O94">
        <f>IFERROR(_xlfn.NUMBERVALUE(LEFT(Table11[[#This Row],[Score2 ]],FIND("/",Table11[[#This Row],[Score2 ]])-1)),"")</f>
        <v>162</v>
      </c>
      <c r="P94" t="s">
        <v>137</v>
      </c>
      <c r="Q94" s="1" t="s">
        <v>141</v>
      </c>
      <c r="R94" t="str">
        <f>Table11[[#This Row],[Match]]&amp;" "&amp;Table11[[#This Row],[Over]]</f>
        <v>13 38</v>
      </c>
    </row>
    <row r="95" spans="1:18" x14ac:dyDescent="0.3">
      <c r="A95">
        <v>13</v>
      </c>
      <c r="B95" s="1">
        <v>39</v>
      </c>
      <c r="C95" s="1" t="s">
        <v>1386</v>
      </c>
      <c r="D95" s="1" t="s">
        <v>930</v>
      </c>
      <c r="E95" s="1" t="s">
        <v>1115</v>
      </c>
      <c r="F95" s="1" t="s">
        <v>1335</v>
      </c>
      <c r="G95" s="1" t="s">
        <v>1387</v>
      </c>
      <c r="H95" s="1" t="s">
        <v>930</v>
      </c>
      <c r="I95" s="1" t="s">
        <v>1299</v>
      </c>
      <c r="J95" s="1" t="s">
        <v>1247</v>
      </c>
      <c r="K95" s="1" t="s">
        <v>1388</v>
      </c>
      <c r="L95" s="1" t="s">
        <v>1098</v>
      </c>
      <c r="M95" s="1" t="s">
        <v>1171</v>
      </c>
      <c r="N95">
        <f>_xlfn.NUMBERVALUE(LEFT(Table11[[#This Row],[Score]],FIND("/",Table11[[#This Row],[Score]])-1))</f>
        <v>214</v>
      </c>
      <c r="O95">
        <f>IFERROR(_xlfn.NUMBERVALUE(LEFT(Table11[[#This Row],[Score2 ]],FIND("/",Table11[[#This Row],[Score2 ]])-1)),"")</f>
        <v>170</v>
      </c>
      <c r="P95" t="s">
        <v>137</v>
      </c>
      <c r="Q95" s="1" t="s">
        <v>141</v>
      </c>
      <c r="R95" t="str">
        <f>Table11[[#This Row],[Match]]&amp;" "&amp;Table11[[#This Row],[Over]]</f>
        <v>13 39</v>
      </c>
    </row>
    <row r="96" spans="1:18" x14ac:dyDescent="0.3">
      <c r="A96">
        <v>13</v>
      </c>
      <c r="B96" s="1">
        <v>40</v>
      </c>
      <c r="C96" s="1" t="s">
        <v>1389</v>
      </c>
      <c r="D96" s="1" t="s">
        <v>1390</v>
      </c>
      <c r="E96" s="1" t="s">
        <v>1391</v>
      </c>
      <c r="F96" s="1" t="s">
        <v>1154</v>
      </c>
      <c r="G96" s="1" t="s">
        <v>1392</v>
      </c>
      <c r="H96" s="1" t="s">
        <v>950</v>
      </c>
      <c r="I96" s="1" t="s">
        <v>957</v>
      </c>
      <c r="J96" s="1" t="s">
        <v>990</v>
      </c>
      <c r="K96" s="1" t="s">
        <v>1393</v>
      </c>
      <c r="L96" s="1" t="s">
        <v>1394</v>
      </c>
      <c r="M96" s="1" t="s">
        <v>1177</v>
      </c>
      <c r="N96">
        <f>_xlfn.NUMBERVALUE(LEFT(Table11[[#This Row],[Score]],FIND("/",Table11[[#This Row],[Score]])-1))</f>
        <v>227</v>
      </c>
      <c r="O96">
        <f>IFERROR(_xlfn.NUMBERVALUE(LEFT(Table11[[#This Row],[Score2 ]],FIND("/",Table11[[#This Row],[Score2 ]])-1)),"")</f>
        <v>175</v>
      </c>
      <c r="P96" t="s">
        <v>137</v>
      </c>
      <c r="Q96" s="1" t="s">
        <v>141</v>
      </c>
      <c r="R96" t="str">
        <f>Table11[[#This Row],[Match]]&amp;" "&amp;Table11[[#This Row],[Over]]</f>
        <v>13 40</v>
      </c>
    </row>
    <row r="97" spans="1:18" x14ac:dyDescent="0.3">
      <c r="A97">
        <v>13</v>
      </c>
      <c r="B97" s="1">
        <v>41</v>
      </c>
      <c r="C97" s="1" t="s">
        <v>1395</v>
      </c>
      <c r="D97" s="1" t="s">
        <v>1095</v>
      </c>
      <c r="E97" s="1" t="s">
        <v>1396</v>
      </c>
      <c r="F97" s="1" t="s">
        <v>1335</v>
      </c>
      <c r="G97" s="1" t="s">
        <v>1397</v>
      </c>
      <c r="H97" s="1" t="s">
        <v>1398</v>
      </c>
      <c r="I97" s="1" t="s">
        <v>1399</v>
      </c>
      <c r="J97" s="1" t="s">
        <v>1400</v>
      </c>
      <c r="K97" s="1" t="s">
        <v>1401</v>
      </c>
      <c r="L97" s="1" t="s">
        <v>1402</v>
      </c>
      <c r="M97" s="1" t="s">
        <v>1403</v>
      </c>
      <c r="N97">
        <f>_xlfn.NUMBERVALUE(LEFT(Table11[[#This Row],[Score]],FIND("/",Table11[[#This Row],[Score]])-1))</f>
        <v>237</v>
      </c>
      <c r="O97">
        <f>IFERROR(_xlfn.NUMBERVALUE(LEFT(Table11[[#This Row],[Score2 ]],FIND("/",Table11[[#This Row],[Score2 ]])-1)),"")</f>
        <v>177</v>
      </c>
      <c r="P97" t="s">
        <v>137</v>
      </c>
      <c r="Q97" s="1" t="s">
        <v>141</v>
      </c>
      <c r="R97" t="str">
        <f>Table11[[#This Row],[Match]]&amp;" "&amp;Table11[[#This Row],[Over]]</f>
        <v>13 41</v>
      </c>
    </row>
    <row r="98" spans="1:18" x14ac:dyDescent="0.3">
      <c r="A98">
        <v>13</v>
      </c>
      <c r="B98" s="1">
        <v>42</v>
      </c>
      <c r="C98" s="1" t="s">
        <v>1191</v>
      </c>
      <c r="D98" s="1" t="s">
        <v>930</v>
      </c>
      <c r="E98" s="1" t="s">
        <v>1404</v>
      </c>
      <c r="F98" s="1" t="s">
        <v>1405</v>
      </c>
      <c r="N98">
        <f>_xlfn.NUMBERVALUE(LEFT(Table11[[#This Row],[Score]],FIND("/",Table11[[#This Row],[Score]])-1))</f>
        <v>245</v>
      </c>
      <c r="O98" t="str">
        <f>IFERROR(_xlfn.NUMBERVALUE(LEFT(Table11[[#This Row],[Score2 ]],FIND("/",Table11[[#This Row],[Score2 ]])-1)),"")</f>
        <v/>
      </c>
      <c r="P98" t="s">
        <v>137</v>
      </c>
      <c r="Q98" s="1" t="s">
        <v>141</v>
      </c>
      <c r="R98" t="str">
        <f>Table11[[#This Row],[Match]]&amp;" "&amp;Table11[[#This Row],[Over]]</f>
        <v>13 42</v>
      </c>
    </row>
    <row r="99" spans="1:18" x14ac:dyDescent="0.3">
      <c r="A99">
        <v>13</v>
      </c>
      <c r="B99" s="1">
        <v>43</v>
      </c>
      <c r="C99" s="1" t="s">
        <v>1406</v>
      </c>
      <c r="D99" s="1" t="s">
        <v>947</v>
      </c>
      <c r="E99" s="1" t="s">
        <v>1407</v>
      </c>
      <c r="F99" s="1" t="s">
        <v>1219</v>
      </c>
      <c r="N99">
        <f>_xlfn.NUMBERVALUE(LEFT(Table11[[#This Row],[Score]],FIND("/",Table11[[#This Row],[Score]])-1))</f>
        <v>254</v>
      </c>
      <c r="O99" t="str">
        <f>IFERROR(_xlfn.NUMBERVALUE(LEFT(Table11[[#This Row],[Score2 ]],FIND("/",Table11[[#This Row],[Score2 ]])-1)),"")</f>
        <v/>
      </c>
      <c r="P99" t="s">
        <v>137</v>
      </c>
      <c r="Q99" s="1" t="s">
        <v>141</v>
      </c>
      <c r="R99" t="str">
        <f>Table11[[#This Row],[Match]]&amp;" "&amp;Table11[[#This Row],[Over]]</f>
        <v>13 43</v>
      </c>
    </row>
    <row r="100" spans="1:18" x14ac:dyDescent="0.3">
      <c r="A100">
        <v>13</v>
      </c>
      <c r="B100" s="1">
        <v>44</v>
      </c>
      <c r="C100" s="1" t="s">
        <v>1408</v>
      </c>
      <c r="D100" s="1" t="s">
        <v>1103</v>
      </c>
      <c r="E100" s="1" t="s">
        <v>1228</v>
      </c>
      <c r="F100" s="1" t="s">
        <v>1409</v>
      </c>
      <c r="N100">
        <f>_xlfn.NUMBERVALUE(LEFT(Table11[[#This Row],[Score]],FIND("/",Table11[[#This Row],[Score]])-1))</f>
        <v>266</v>
      </c>
      <c r="O100" t="str">
        <f>IFERROR(_xlfn.NUMBERVALUE(LEFT(Table11[[#This Row],[Score2 ]],FIND("/",Table11[[#This Row],[Score2 ]])-1)),"")</f>
        <v/>
      </c>
      <c r="P100" t="s">
        <v>137</v>
      </c>
      <c r="Q100" s="1" t="s">
        <v>141</v>
      </c>
      <c r="R100" t="str">
        <f>Table11[[#This Row],[Match]]&amp;" "&amp;Table11[[#This Row],[Over]]</f>
        <v>13 44</v>
      </c>
    </row>
    <row r="101" spans="1:18" x14ac:dyDescent="0.3">
      <c r="A101">
        <v>13</v>
      </c>
      <c r="B101" s="1">
        <v>45</v>
      </c>
      <c r="C101" s="1" t="s">
        <v>1410</v>
      </c>
      <c r="D101" s="1" t="s">
        <v>950</v>
      </c>
      <c r="E101" s="1" t="s">
        <v>1218</v>
      </c>
      <c r="F101" s="1" t="s">
        <v>1154</v>
      </c>
      <c r="N101">
        <f>_xlfn.NUMBERVALUE(LEFT(Table11[[#This Row],[Score]],FIND("/",Table11[[#This Row],[Score]])-1))</f>
        <v>271</v>
      </c>
      <c r="O101" t="str">
        <f>IFERROR(_xlfn.NUMBERVALUE(LEFT(Table11[[#This Row],[Score2 ]],FIND("/",Table11[[#This Row],[Score2 ]])-1)),"")</f>
        <v/>
      </c>
      <c r="P101" t="s">
        <v>137</v>
      </c>
      <c r="Q101" s="1" t="s">
        <v>141</v>
      </c>
      <c r="R101" t="str">
        <f>Table11[[#This Row],[Match]]&amp;" "&amp;Table11[[#This Row],[Over]]</f>
        <v>13 45</v>
      </c>
    </row>
    <row r="102" spans="1:18" x14ac:dyDescent="0.3">
      <c r="A102">
        <v>13</v>
      </c>
      <c r="B102" s="1">
        <v>46</v>
      </c>
      <c r="C102" s="1" t="s">
        <v>1411</v>
      </c>
      <c r="D102" s="1" t="s">
        <v>916</v>
      </c>
      <c r="E102" s="1" t="s">
        <v>1228</v>
      </c>
      <c r="F102" s="1" t="s">
        <v>1405</v>
      </c>
      <c r="N102">
        <f>_xlfn.NUMBERVALUE(LEFT(Table11[[#This Row],[Score]],FIND("/",Table11[[#This Row],[Score]])-1))</f>
        <v>278</v>
      </c>
      <c r="O102" t="str">
        <f>IFERROR(_xlfn.NUMBERVALUE(LEFT(Table11[[#This Row],[Score2 ]],FIND("/",Table11[[#This Row],[Score2 ]])-1)),"")</f>
        <v/>
      </c>
      <c r="P102" t="s">
        <v>137</v>
      </c>
      <c r="Q102" s="1" t="s">
        <v>141</v>
      </c>
      <c r="R102" t="str">
        <f>Table11[[#This Row],[Match]]&amp;" "&amp;Table11[[#This Row],[Over]]</f>
        <v>13 46</v>
      </c>
    </row>
    <row r="103" spans="1:18" x14ac:dyDescent="0.3">
      <c r="A103">
        <v>13</v>
      </c>
      <c r="B103" s="1">
        <v>47</v>
      </c>
      <c r="C103" s="1" t="s">
        <v>1412</v>
      </c>
      <c r="D103" s="1" t="s">
        <v>922</v>
      </c>
      <c r="E103" s="1" t="s">
        <v>1228</v>
      </c>
      <c r="F103" s="1" t="s">
        <v>1168</v>
      </c>
      <c r="N103">
        <f>_xlfn.NUMBERVALUE(LEFT(Table11[[#This Row],[Score]],FIND("/",Table11[[#This Row],[Score]])-1))</f>
        <v>284</v>
      </c>
      <c r="O103" t="str">
        <f>IFERROR(_xlfn.NUMBERVALUE(LEFT(Table11[[#This Row],[Score2 ]],FIND("/",Table11[[#This Row],[Score2 ]])-1)),"")</f>
        <v/>
      </c>
      <c r="P103" t="s">
        <v>137</v>
      </c>
      <c r="Q103" s="1" t="s">
        <v>141</v>
      </c>
      <c r="R103" t="str">
        <f>Table11[[#This Row],[Match]]&amp;" "&amp;Table11[[#This Row],[Over]]</f>
        <v>13 47</v>
      </c>
    </row>
    <row r="104" spans="1:18" x14ac:dyDescent="0.3">
      <c r="A104">
        <v>13</v>
      </c>
      <c r="B104" s="1">
        <v>48</v>
      </c>
      <c r="C104" s="1" t="s">
        <v>1413</v>
      </c>
      <c r="D104" s="1" t="s">
        <v>1390</v>
      </c>
      <c r="E104" s="1" t="s">
        <v>907</v>
      </c>
      <c r="F104" s="1" t="s">
        <v>1414</v>
      </c>
      <c r="N104">
        <f>_xlfn.NUMBERVALUE(LEFT(Table11[[#This Row],[Score]],FIND("/",Table11[[#This Row],[Score]])-1))</f>
        <v>297</v>
      </c>
      <c r="O104" t="str">
        <f>IFERROR(_xlfn.NUMBERVALUE(LEFT(Table11[[#This Row],[Score2 ]],FIND("/",Table11[[#This Row],[Score2 ]])-1)),"")</f>
        <v/>
      </c>
      <c r="P104" t="s">
        <v>137</v>
      </c>
      <c r="Q104" s="1" t="s">
        <v>141</v>
      </c>
      <c r="R104" t="str">
        <f>Table11[[#This Row],[Match]]&amp;" "&amp;Table11[[#This Row],[Over]]</f>
        <v>13 48</v>
      </c>
    </row>
    <row r="105" spans="1:18" x14ac:dyDescent="0.3">
      <c r="A105">
        <v>13</v>
      </c>
      <c r="B105" s="1">
        <v>49</v>
      </c>
      <c r="C105" s="1" t="s">
        <v>1415</v>
      </c>
      <c r="D105" s="1" t="s">
        <v>950</v>
      </c>
      <c r="E105" s="1" t="s">
        <v>1233</v>
      </c>
      <c r="F105" s="1" t="s">
        <v>1116</v>
      </c>
      <c r="N105">
        <f>_xlfn.NUMBERVALUE(LEFT(Table11[[#This Row],[Score]],FIND("/",Table11[[#This Row],[Score]])-1))</f>
        <v>302</v>
      </c>
      <c r="O105" t="str">
        <f>IFERROR(_xlfn.NUMBERVALUE(LEFT(Table11[[#This Row],[Score2 ]],FIND("/",Table11[[#This Row],[Score2 ]])-1)),"")</f>
        <v/>
      </c>
      <c r="P105" t="s">
        <v>137</v>
      </c>
      <c r="Q105" s="1" t="s">
        <v>141</v>
      </c>
      <c r="R105" t="str">
        <f>Table11[[#This Row],[Match]]&amp;" "&amp;Table11[[#This Row],[Over]]</f>
        <v>13 49</v>
      </c>
    </row>
    <row r="106" spans="1:18" x14ac:dyDescent="0.3">
      <c r="A106">
        <v>13</v>
      </c>
      <c r="B106" s="1">
        <v>50</v>
      </c>
      <c r="C106" s="1" t="s">
        <v>1416</v>
      </c>
      <c r="D106" s="1" t="s">
        <v>950</v>
      </c>
      <c r="E106" s="1" t="s">
        <v>1417</v>
      </c>
      <c r="F106" s="1" t="s">
        <v>1116</v>
      </c>
      <c r="N106">
        <f>_xlfn.NUMBERVALUE(LEFT(Table11[[#This Row],[Score]],FIND("/",Table11[[#This Row],[Score]])-1))</f>
        <v>307</v>
      </c>
      <c r="O106" t="str">
        <f>IFERROR(_xlfn.NUMBERVALUE(LEFT(Table11[[#This Row],[Score2 ]],FIND("/",Table11[[#This Row],[Score2 ]])-1)),"")</f>
        <v/>
      </c>
      <c r="P106" t="s">
        <v>137</v>
      </c>
      <c r="Q106" s="1" t="s">
        <v>141</v>
      </c>
      <c r="R106" t="str">
        <f>Table11[[#This Row],[Match]]&amp;" "&amp;Table11[[#This Row],[Over]]</f>
        <v>13 50</v>
      </c>
    </row>
    <row r="107" spans="1:18" x14ac:dyDescent="0.3">
      <c r="A107">
        <v>39</v>
      </c>
      <c r="B107" s="1">
        <v>1</v>
      </c>
      <c r="C107" s="1" t="s">
        <v>1418</v>
      </c>
      <c r="D107" s="1" t="s">
        <v>904</v>
      </c>
      <c r="E107" s="1" t="s">
        <v>1238</v>
      </c>
      <c r="F107" s="1" t="s">
        <v>348</v>
      </c>
      <c r="G107" s="1" t="s">
        <v>1235</v>
      </c>
      <c r="H107" s="1" t="s">
        <v>947</v>
      </c>
      <c r="I107" s="1" t="s">
        <v>1161</v>
      </c>
      <c r="J107" s="1" t="s">
        <v>348</v>
      </c>
      <c r="K107" s="1" t="s">
        <v>1192</v>
      </c>
      <c r="L107" s="1" t="s">
        <v>1419</v>
      </c>
      <c r="M107" s="1" t="s">
        <v>902</v>
      </c>
      <c r="N107">
        <f>_xlfn.NUMBERVALUE(LEFT(Table11[[#This Row],[Score]],FIND("/",Table11[[#This Row],[Score]])-1))</f>
        <v>3</v>
      </c>
      <c r="O107">
        <f>IFERROR(_xlfn.NUMBERVALUE(LEFT(Table11[[#This Row],[Score2 ]],FIND("/",Table11[[#This Row],[Score2 ]])-1)),"")</f>
        <v>9</v>
      </c>
      <c r="P107" t="s">
        <v>158</v>
      </c>
      <c r="Q107" s="1" t="s">
        <v>137</v>
      </c>
      <c r="R107" t="str">
        <f>Table11[[#This Row],[Match]]&amp;" "&amp;Table11[[#This Row],[Over]]</f>
        <v>39 1</v>
      </c>
    </row>
    <row r="108" spans="1:18" x14ac:dyDescent="0.3">
      <c r="A108">
        <v>39</v>
      </c>
      <c r="B108" s="1">
        <v>2</v>
      </c>
      <c r="C108" s="1" t="s">
        <v>1232</v>
      </c>
      <c r="D108" s="1" t="s">
        <v>904</v>
      </c>
      <c r="E108" s="1" t="s">
        <v>1238</v>
      </c>
      <c r="F108" s="1" t="s">
        <v>348</v>
      </c>
      <c r="G108" s="1" t="s">
        <v>1235</v>
      </c>
      <c r="H108" s="1" t="s">
        <v>1007</v>
      </c>
      <c r="I108" s="1" t="s">
        <v>1021</v>
      </c>
      <c r="J108" s="1" t="s">
        <v>348</v>
      </c>
      <c r="K108" s="1" t="s">
        <v>1420</v>
      </c>
      <c r="L108" s="1" t="s">
        <v>1419</v>
      </c>
      <c r="M108" s="1" t="s">
        <v>909</v>
      </c>
      <c r="N108">
        <f>_xlfn.NUMBERVALUE(LEFT(Table11[[#This Row],[Score]],FIND("/",Table11[[#This Row],[Score]])-1))</f>
        <v>6</v>
      </c>
      <c r="O108">
        <f>IFERROR(_xlfn.NUMBERVALUE(LEFT(Table11[[#This Row],[Score2 ]],FIND("/",Table11[[#This Row],[Score2 ]])-1)),"")</f>
        <v>9</v>
      </c>
      <c r="P108" t="s">
        <v>158</v>
      </c>
      <c r="Q108" s="1" t="s">
        <v>137</v>
      </c>
      <c r="R108" t="str">
        <f>Table11[[#This Row],[Match]]&amp;" "&amp;Table11[[#This Row],[Over]]</f>
        <v>39 2</v>
      </c>
    </row>
    <row r="109" spans="1:18" x14ac:dyDescent="0.3">
      <c r="A109">
        <v>39</v>
      </c>
      <c r="B109" s="1">
        <v>3</v>
      </c>
      <c r="C109" s="1" t="s">
        <v>915</v>
      </c>
      <c r="D109" s="1" t="s">
        <v>950</v>
      </c>
      <c r="E109" s="1" t="s">
        <v>917</v>
      </c>
      <c r="F109" s="1" t="s">
        <v>348</v>
      </c>
      <c r="G109" s="1" t="s">
        <v>1421</v>
      </c>
      <c r="H109" s="1" t="s">
        <v>968</v>
      </c>
      <c r="I109" s="1" t="s">
        <v>1265</v>
      </c>
      <c r="J109" s="1" t="s">
        <v>348</v>
      </c>
      <c r="K109" s="1" t="s">
        <v>1422</v>
      </c>
      <c r="L109" s="1" t="s">
        <v>1267</v>
      </c>
      <c r="M109" s="1" t="s">
        <v>920</v>
      </c>
      <c r="N109">
        <f>_xlfn.NUMBERVALUE(LEFT(Table11[[#This Row],[Score]],FIND("/",Table11[[#This Row],[Score]])-1))</f>
        <v>11</v>
      </c>
      <c r="O109">
        <f>IFERROR(_xlfn.NUMBERVALUE(LEFT(Table11[[#This Row],[Score2 ]],FIND("/",Table11[[#This Row],[Score2 ]])-1)),"")</f>
        <v>10</v>
      </c>
      <c r="P109" t="s">
        <v>158</v>
      </c>
      <c r="Q109" s="1" t="s">
        <v>137</v>
      </c>
      <c r="R109" t="str">
        <f>Table11[[#This Row],[Match]]&amp;" "&amp;Table11[[#This Row],[Over]]</f>
        <v>39 3</v>
      </c>
    </row>
    <row r="110" spans="1:18" x14ac:dyDescent="0.3">
      <c r="A110">
        <v>39</v>
      </c>
      <c r="B110" s="1">
        <v>4</v>
      </c>
      <c r="C110" s="1" t="s">
        <v>1423</v>
      </c>
      <c r="D110" s="1" t="s">
        <v>898</v>
      </c>
      <c r="E110" s="1" t="s">
        <v>923</v>
      </c>
      <c r="F110" s="1" t="s">
        <v>348</v>
      </c>
      <c r="G110" s="1" t="s">
        <v>1424</v>
      </c>
      <c r="H110" s="1" t="s">
        <v>950</v>
      </c>
      <c r="I110" s="1" t="s">
        <v>1276</v>
      </c>
      <c r="J110" s="1" t="s">
        <v>348</v>
      </c>
      <c r="K110" s="1" t="s">
        <v>1425</v>
      </c>
      <c r="L110" s="1" t="s">
        <v>936</v>
      </c>
      <c r="M110" s="1" t="s">
        <v>928</v>
      </c>
      <c r="N110">
        <f>_xlfn.NUMBERVALUE(LEFT(Table11[[#This Row],[Score]],FIND("/",Table11[[#This Row],[Score]])-1))</f>
        <v>13</v>
      </c>
      <c r="O110">
        <f>IFERROR(_xlfn.NUMBERVALUE(LEFT(Table11[[#This Row],[Score2 ]],FIND("/",Table11[[#This Row],[Score2 ]])-1)),"")</f>
        <v>15</v>
      </c>
      <c r="P110" t="s">
        <v>158</v>
      </c>
      <c r="Q110" s="1" t="s">
        <v>137</v>
      </c>
      <c r="R110" t="str">
        <f>Table11[[#This Row],[Match]]&amp;" "&amp;Table11[[#This Row],[Over]]</f>
        <v>39 4</v>
      </c>
    </row>
    <row r="111" spans="1:18" x14ac:dyDescent="0.3">
      <c r="A111">
        <v>39</v>
      </c>
      <c r="B111" s="1">
        <v>5</v>
      </c>
      <c r="C111" s="1" t="s">
        <v>1426</v>
      </c>
      <c r="D111" s="1" t="s">
        <v>1007</v>
      </c>
      <c r="E111" s="1" t="s">
        <v>984</v>
      </c>
      <c r="F111" s="1" t="s">
        <v>984</v>
      </c>
      <c r="G111" s="1" t="s">
        <v>1427</v>
      </c>
      <c r="H111" s="1" t="s">
        <v>950</v>
      </c>
      <c r="I111" s="1" t="s">
        <v>939</v>
      </c>
      <c r="J111" s="1" t="s">
        <v>939</v>
      </c>
      <c r="K111" s="1" t="s">
        <v>1428</v>
      </c>
      <c r="L111" s="1" t="s">
        <v>1429</v>
      </c>
      <c r="M111" s="1" t="s">
        <v>937</v>
      </c>
      <c r="N111">
        <f>_xlfn.NUMBERVALUE(LEFT(Table11[[#This Row],[Score]],FIND("/",Table11[[#This Row],[Score]])-1))</f>
        <v>13</v>
      </c>
      <c r="O111">
        <f>IFERROR(_xlfn.NUMBERVALUE(LEFT(Table11[[#This Row],[Score2 ]],FIND("/",Table11[[#This Row],[Score2 ]])-1)),"")</f>
        <v>20</v>
      </c>
      <c r="P111" t="s">
        <v>158</v>
      </c>
      <c r="Q111" s="1" t="s">
        <v>137</v>
      </c>
      <c r="R111" t="str">
        <f>Table11[[#This Row],[Match]]&amp;" "&amp;Table11[[#This Row],[Over]]</f>
        <v>39 5</v>
      </c>
    </row>
    <row r="112" spans="1:18" x14ac:dyDescent="0.3">
      <c r="A112">
        <v>39</v>
      </c>
      <c r="B112" s="1">
        <v>6</v>
      </c>
      <c r="C112" s="1" t="s">
        <v>1426</v>
      </c>
      <c r="D112" s="1" t="s">
        <v>1007</v>
      </c>
      <c r="E112" s="1" t="s">
        <v>1430</v>
      </c>
      <c r="F112" s="1" t="s">
        <v>899</v>
      </c>
      <c r="G112" s="1" t="s">
        <v>929</v>
      </c>
      <c r="H112" s="1" t="s">
        <v>968</v>
      </c>
      <c r="I112" s="1" t="s">
        <v>925</v>
      </c>
      <c r="J112" s="1" t="s">
        <v>1088</v>
      </c>
      <c r="K112" s="1" t="s">
        <v>935</v>
      </c>
      <c r="L112" s="1" t="s">
        <v>944</v>
      </c>
      <c r="M112" s="1" t="s">
        <v>945</v>
      </c>
      <c r="N112">
        <f>_xlfn.NUMBERVALUE(LEFT(Table11[[#This Row],[Score]],FIND("/",Table11[[#This Row],[Score]])-1))</f>
        <v>13</v>
      </c>
      <c r="O112">
        <f>IFERROR(_xlfn.NUMBERVALUE(LEFT(Table11[[#This Row],[Score2 ]],FIND("/",Table11[[#This Row],[Score2 ]])-1)),"")</f>
        <v>21</v>
      </c>
      <c r="P112" t="s">
        <v>158</v>
      </c>
      <c r="Q112" s="1" t="s">
        <v>137</v>
      </c>
      <c r="R112" t="str">
        <f>Table11[[#This Row],[Match]]&amp;" "&amp;Table11[[#This Row],[Over]]</f>
        <v>39 6</v>
      </c>
    </row>
    <row r="113" spans="1:18" x14ac:dyDescent="0.3">
      <c r="A113">
        <v>39</v>
      </c>
      <c r="B113" s="1">
        <v>7</v>
      </c>
      <c r="C113" s="1" t="s">
        <v>1426</v>
      </c>
      <c r="D113" s="1" t="s">
        <v>1007</v>
      </c>
      <c r="E113" s="1" t="s">
        <v>1431</v>
      </c>
      <c r="F113" s="1" t="s">
        <v>1432</v>
      </c>
      <c r="G113" s="1" t="s">
        <v>1433</v>
      </c>
      <c r="H113" s="1" t="s">
        <v>1007</v>
      </c>
      <c r="I113" s="1" t="s">
        <v>1238</v>
      </c>
      <c r="J113" s="1" t="s">
        <v>1088</v>
      </c>
      <c r="K113" s="1" t="s">
        <v>970</v>
      </c>
      <c r="L113" s="1" t="s">
        <v>944</v>
      </c>
      <c r="M113" s="1" t="s">
        <v>955</v>
      </c>
      <c r="N113">
        <f>_xlfn.NUMBERVALUE(LEFT(Table11[[#This Row],[Score]],FIND("/",Table11[[#This Row],[Score]])-1))</f>
        <v>13</v>
      </c>
      <c r="O113">
        <f>IFERROR(_xlfn.NUMBERVALUE(LEFT(Table11[[#This Row],[Score2 ]],FIND("/",Table11[[#This Row],[Score2 ]])-1)),"")</f>
        <v>21</v>
      </c>
      <c r="P113" t="s">
        <v>158</v>
      </c>
      <c r="Q113" s="1" t="s">
        <v>137</v>
      </c>
      <c r="R113" t="str">
        <f>Table11[[#This Row],[Match]]&amp;" "&amp;Table11[[#This Row],[Over]]</f>
        <v>39 7</v>
      </c>
    </row>
    <row r="114" spans="1:18" x14ac:dyDescent="0.3">
      <c r="A114">
        <v>39</v>
      </c>
      <c r="B114" s="1">
        <v>8</v>
      </c>
      <c r="C114" s="1" t="s">
        <v>1434</v>
      </c>
      <c r="D114" s="1" t="s">
        <v>950</v>
      </c>
      <c r="E114" s="1" t="s">
        <v>1242</v>
      </c>
      <c r="F114" s="1" t="s">
        <v>1432</v>
      </c>
      <c r="G114" s="1" t="s">
        <v>1435</v>
      </c>
      <c r="H114" s="1" t="s">
        <v>1095</v>
      </c>
      <c r="I114" s="1" t="s">
        <v>1436</v>
      </c>
      <c r="J114" s="1" t="s">
        <v>931</v>
      </c>
      <c r="K114" s="1" t="s">
        <v>961</v>
      </c>
      <c r="L114" s="1" t="s">
        <v>962</v>
      </c>
      <c r="M114" s="1" t="s">
        <v>963</v>
      </c>
      <c r="N114">
        <f>_xlfn.NUMBERVALUE(LEFT(Table11[[#This Row],[Score]],FIND("/",Table11[[#This Row],[Score]])-1))</f>
        <v>18</v>
      </c>
      <c r="O114">
        <f>IFERROR(_xlfn.NUMBERVALUE(LEFT(Table11[[#This Row],[Score2 ]],FIND("/",Table11[[#This Row],[Score2 ]])-1)),"")</f>
        <v>31</v>
      </c>
      <c r="P114" t="s">
        <v>158</v>
      </c>
      <c r="Q114" s="1" t="s">
        <v>137</v>
      </c>
      <c r="R114" t="str">
        <f>Table11[[#This Row],[Match]]&amp;" "&amp;Table11[[#This Row],[Over]]</f>
        <v>39 8</v>
      </c>
    </row>
    <row r="115" spans="1:18" x14ac:dyDescent="0.3">
      <c r="A115">
        <v>39</v>
      </c>
      <c r="B115" s="1">
        <v>9</v>
      </c>
      <c r="C115" s="1" t="s">
        <v>1437</v>
      </c>
      <c r="D115" s="1" t="s">
        <v>968</v>
      </c>
      <c r="E115" s="1" t="s">
        <v>1438</v>
      </c>
      <c r="F115" s="1" t="s">
        <v>1439</v>
      </c>
      <c r="G115" s="1" t="s">
        <v>1440</v>
      </c>
      <c r="H115" s="1" t="s">
        <v>968</v>
      </c>
      <c r="I115" s="1" t="s">
        <v>1263</v>
      </c>
      <c r="J115" s="1" t="s">
        <v>1247</v>
      </c>
      <c r="K115" s="1" t="s">
        <v>971</v>
      </c>
      <c r="L115" s="1" t="s">
        <v>972</v>
      </c>
      <c r="M115" s="1" t="s">
        <v>973</v>
      </c>
      <c r="N115">
        <f>_xlfn.NUMBERVALUE(LEFT(Table11[[#This Row],[Score]],FIND("/",Table11[[#This Row],[Score]])-1))</f>
        <v>19</v>
      </c>
      <c r="O115">
        <f>IFERROR(_xlfn.NUMBERVALUE(LEFT(Table11[[#This Row],[Score2 ]],FIND("/",Table11[[#This Row],[Score2 ]])-1)),"")</f>
        <v>32</v>
      </c>
      <c r="P115" t="s">
        <v>158</v>
      </c>
      <c r="Q115" s="1" t="s">
        <v>137</v>
      </c>
      <c r="R115" t="str">
        <f>Table11[[#This Row],[Match]]&amp;" "&amp;Table11[[#This Row],[Over]]</f>
        <v>39 9</v>
      </c>
    </row>
    <row r="116" spans="1:18" x14ac:dyDescent="0.3">
      <c r="A116">
        <v>39</v>
      </c>
      <c r="B116" s="1">
        <v>10</v>
      </c>
      <c r="C116" s="1" t="s">
        <v>1441</v>
      </c>
      <c r="D116" s="1" t="s">
        <v>930</v>
      </c>
      <c r="E116" s="1" t="s">
        <v>1442</v>
      </c>
      <c r="F116" s="1" t="s">
        <v>993</v>
      </c>
      <c r="G116" s="1" t="s">
        <v>1443</v>
      </c>
      <c r="H116" s="1" t="s">
        <v>904</v>
      </c>
      <c r="I116" s="1" t="s">
        <v>925</v>
      </c>
      <c r="J116" s="1" t="s">
        <v>1238</v>
      </c>
      <c r="K116" s="1" t="s">
        <v>1444</v>
      </c>
      <c r="L116" s="1" t="s">
        <v>1445</v>
      </c>
      <c r="M116" s="1" t="s">
        <v>980</v>
      </c>
      <c r="N116">
        <f>_xlfn.NUMBERVALUE(LEFT(Table11[[#This Row],[Score]],FIND("/",Table11[[#This Row],[Score]])-1))</f>
        <v>27</v>
      </c>
      <c r="O116">
        <f>IFERROR(_xlfn.NUMBERVALUE(LEFT(Table11[[#This Row],[Score2 ]],FIND("/",Table11[[#This Row],[Score2 ]])-1)),"")</f>
        <v>35</v>
      </c>
      <c r="P116" t="s">
        <v>158</v>
      </c>
      <c r="Q116" s="1" t="s">
        <v>137</v>
      </c>
      <c r="R116" t="str">
        <f>Table11[[#This Row],[Match]]&amp;" "&amp;Table11[[#This Row],[Over]]</f>
        <v>39 10</v>
      </c>
    </row>
    <row r="117" spans="1:18" x14ac:dyDescent="0.3">
      <c r="A117">
        <v>39</v>
      </c>
      <c r="B117" s="1">
        <v>11</v>
      </c>
      <c r="C117" s="1" t="s">
        <v>1446</v>
      </c>
      <c r="D117" s="1" t="s">
        <v>922</v>
      </c>
      <c r="E117" s="1" t="s">
        <v>1238</v>
      </c>
      <c r="F117" s="1" t="s">
        <v>939</v>
      </c>
      <c r="G117" s="1" t="s">
        <v>1447</v>
      </c>
      <c r="H117" s="1" t="s">
        <v>947</v>
      </c>
      <c r="I117" s="1" t="s">
        <v>939</v>
      </c>
      <c r="J117" s="1" t="s">
        <v>976</v>
      </c>
      <c r="K117" s="1" t="s">
        <v>1448</v>
      </c>
      <c r="L117" s="1" t="s">
        <v>1449</v>
      </c>
      <c r="M117" s="1" t="s">
        <v>987</v>
      </c>
      <c r="N117">
        <f>_xlfn.NUMBERVALUE(LEFT(Table11[[#This Row],[Score]],FIND("/",Table11[[#This Row],[Score]])-1))</f>
        <v>33</v>
      </c>
      <c r="O117">
        <f>IFERROR(_xlfn.NUMBERVALUE(LEFT(Table11[[#This Row],[Score2 ]],FIND("/",Table11[[#This Row],[Score2 ]])-1)),"")</f>
        <v>44</v>
      </c>
      <c r="P117" t="s">
        <v>158</v>
      </c>
      <c r="Q117" s="1" t="s">
        <v>137</v>
      </c>
      <c r="R117" t="str">
        <f>Table11[[#This Row],[Match]]&amp;" "&amp;Table11[[#This Row],[Over]]</f>
        <v>39 11</v>
      </c>
    </row>
    <row r="118" spans="1:18" x14ac:dyDescent="0.3">
      <c r="A118">
        <v>39</v>
      </c>
      <c r="B118" s="1">
        <v>12</v>
      </c>
      <c r="C118" s="1" t="s">
        <v>1450</v>
      </c>
      <c r="D118" s="1" t="s">
        <v>904</v>
      </c>
      <c r="E118" s="1" t="s">
        <v>1238</v>
      </c>
      <c r="F118" s="1" t="s">
        <v>976</v>
      </c>
      <c r="G118" s="1" t="s">
        <v>1451</v>
      </c>
      <c r="H118" s="1" t="s">
        <v>968</v>
      </c>
      <c r="I118" s="1" t="s">
        <v>1276</v>
      </c>
      <c r="J118" s="1" t="s">
        <v>1093</v>
      </c>
      <c r="K118" s="1" t="s">
        <v>1452</v>
      </c>
      <c r="L118" s="1" t="s">
        <v>1003</v>
      </c>
      <c r="M118" s="1" t="s">
        <v>996</v>
      </c>
      <c r="N118">
        <f>_xlfn.NUMBERVALUE(LEFT(Table11[[#This Row],[Score]],FIND("/",Table11[[#This Row],[Score]])-1))</f>
        <v>36</v>
      </c>
      <c r="O118">
        <f>IFERROR(_xlfn.NUMBERVALUE(LEFT(Table11[[#This Row],[Score2 ]],FIND("/",Table11[[#This Row],[Score2 ]])-1)),"")</f>
        <v>45</v>
      </c>
      <c r="P118" t="s">
        <v>158</v>
      </c>
      <c r="Q118" s="1" t="s">
        <v>137</v>
      </c>
      <c r="R118" t="str">
        <f>Table11[[#This Row],[Match]]&amp;" "&amp;Table11[[#This Row],[Over]]</f>
        <v>39 12</v>
      </c>
    </row>
    <row r="119" spans="1:18" x14ac:dyDescent="0.3">
      <c r="A119">
        <v>39</v>
      </c>
      <c r="B119" s="1">
        <v>13</v>
      </c>
      <c r="C119" s="1" t="s">
        <v>1453</v>
      </c>
      <c r="D119" s="1" t="s">
        <v>922</v>
      </c>
      <c r="E119" s="1" t="s">
        <v>1454</v>
      </c>
      <c r="F119" s="1" t="s">
        <v>1093</v>
      </c>
      <c r="G119" s="1" t="s">
        <v>1455</v>
      </c>
      <c r="H119" s="1" t="s">
        <v>950</v>
      </c>
      <c r="I119" s="1" t="s">
        <v>1456</v>
      </c>
      <c r="J119" s="1" t="s">
        <v>990</v>
      </c>
      <c r="K119" s="1" t="s">
        <v>1244</v>
      </c>
      <c r="L119" s="1" t="s">
        <v>1457</v>
      </c>
      <c r="M119" s="1" t="s">
        <v>1004</v>
      </c>
      <c r="N119">
        <f>_xlfn.NUMBERVALUE(LEFT(Table11[[#This Row],[Score]],FIND("/",Table11[[#This Row],[Score]])-1))</f>
        <v>42</v>
      </c>
      <c r="O119">
        <f>IFERROR(_xlfn.NUMBERVALUE(LEFT(Table11[[#This Row],[Score2 ]],FIND("/",Table11[[#This Row],[Score2 ]])-1)),"")</f>
        <v>50</v>
      </c>
      <c r="P119" t="s">
        <v>158</v>
      </c>
      <c r="Q119" s="1" t="s">
        <v>137</v>
      </c>
      <c r="R119" t="str">
        <f>Table11[[#This Row],[Match]]&amp;" "&amp;Table11[[#This Row],[Over]]</f>
        <v>39 13</v>
      </c>
    </row>
    <row r="120" spans="1:18" x14ac:dyDescent="0.3">
      <c r="A120">
        <v>39</v>
      </c>
      <c r="B120" s="1">
        <v>14</v>
      </c>
      <c r="C120" s="1" t="s">
        <v>1453</v>
      </c>
      <c r="D120" s="1" t="s">
        <v>1007</v>
      </c>
      <c r="E120" s="1" t="s">
        <v>1238</v>
      </c>
      <c r="F120" s="1" t="s">
        <v>976</v>
      </c>
      <c r="G120" s="1" t="s">
        <v>1458</v>
      </c>
      <c r="H120" s="1" t="s">
        <v>930</v>
      </c>
      <c r="I120" s="1" t="s">
        <v>1008</v>
      </c>
      <c r="J120" s="1" t="s">
        <v>1029</v>
      </c>
      <c r="K120" s="1" t="s">
        <v>1459</v>
      </c>
      <c r="L120" s="1" t="s">
        <v>1460</v>
      </c>
      <c r="M120" s="1" t="s">
        <v>1010</v>
      </c>
      <c r="N120">
        <f>_xlfn.NUMBERVALUE(LEFT(Table11[[#This Row],[Score]],FIND("/",Table11[[#This Row],[Score]])-1))</f>
        <v>42</v>
      </c>
      <c r="O120">
        <f>IFERROR(_xlfn.NUMBERVALUE(LEFT(Table11[[#This Row],[Score2 ]],FIND("/",Table11[[#This Row],[Score2 ]])-1)),"")</f>
        <v>58</v>
      </c>
      <c r="P120" t="s">
        <v>158</v>
      </c>
      <c r="Q120" s="1" t="s">
        <v>137</v>
      </c>
      <c r="R120" t="str">
        <f>Table11[[#This Row],[Match]]&amp;" "&amp;Table11[[#This Row],[Over]]</f>
        <v>39 14</v>
      </c>
    </row>
    <row r="121" spans="1:18" x14ac:dyDescent="0.3">
      <c r="A121">
        <v>39</v>
      </c>
      <c r="B121" s="1">
        <v>15</v>
      </c>
      <c r="C121" s="1" t="s">
        <v>1461</v>
      </c>
      <c r="D121" s="1" t="s">
        <v>968</v>
      </c>
      <c r="E121" s="1" t="s">
        <v>1462</v>
      </c>
      <c r="F121" s="1" t="s">
        <v>1259</v>
      </c>
      <c r="G121" s="1" t="s">
        <v>1463</v>
      </c>
      <c r="H121" s="1" t="s">
        <v>916</v>
      </c>
      <c r="I121" s="1" t="s">
        <v>989</v>
      </c>
      <c r="J121" s="1" t="s">
        <v>1019</v>
      </c>
      <c r="K121" s="1" t="s">
        <v>978</v>
      </c>
      <c r="L121" s="1" t="s">
        <v>1464</v>
      </c>
      <c r="M121" s="1" t="s">
        <v>1016</v>
      </c>
      <c r="N121">
        <f>_xlfn.NUMBERVALUE(LEFT(Table11[[#This Row],[Score]],FIND("/",Table11[[#This Row],[Score]])-1))</f>
        <v>43</v>
      </c>
      <c r="O121">
        <f>IFERROR(_xlfn.NUMBERVALUE(LEFT(Table11[[#This Row],[Score2 ]],FIND("/",Table11[[#This Row],[Score2 ]])-1)),"")</f>
        <v>65</v>
      </c>
      <c r="P121" t="s">
        <v>158</v>
      </c>
      <c r="Q121" s="1" t="s">
        <v>137</v>
      </c>
      <c r="R121" t="str">
        <f>Table11[[#This Row],[Match]]&amp;" "&amp;Table11[[#This Row],[Over]]</f>
        <v>39 15</v>
      </c>
    </row>
    <row r="122" spans="1:18" x14ac:dyDescent="0.3">
      <c r="A122">
        <v>39</v>
      </c>
      <c r="B122" s="1">
        <v>16</v>
      </c>
      <c r="C122" s="1" t="s">
        <v>1465</v>
      </c>
      <c r="D122" s="1" t="s">
        <v>904</v>
      </c>
      <c r="E122" s="1" t="s">
        <v>1466</v>
      </c>
      <c r="F122" s="1" t="s">
        <v>984</v>
      </c>
      <c r="G122" s="1" t="s">
        <v>1467</v>
      </c>
      <c r="H122" s="1" t="s">
        <v>998</v>
      </c>
      <c r="I122" s="1" t="s">
        <v>1468</v>
      </c>
      <c r="J122" s="1" t="s">
        <v>969</v>
      </c>
      <c r="K122" s="1" t="s">
        <v>1469</v>
      </c>
      <c r="L122" s="1" t="s">
        <v>1470</v>
      </c>
      <c r="M122" s="1" t="s">
        <v>1024</v>
      </c>
      <c r="N122">
        <f>_xlfn.NUMBERVALUE(LEFT(Table11[[#This Row],[Score]],FIND("/",Table11[[#This Row],[Score]])-1))</f>
        <v>46</v>
      </c>
      <c r="O122">
        <f>IFERROR(_xlfn.NUMBERVALUE(LEFT(Table11[[#This Row],[Score2 ]],FIND("/",Table11[[#This Row],[Score2 ]])-1)),"")</f>
        <v>69</v>
      </c>
      <c r="P122" t="s">
        <v>158</v>
      </c>
      <c r="Q122" s="1" t="s">
        <v>137</v>
      </c>
      <c r="R122" t="str">
        <f>Table11[[#This Row],[Match]]&amp;" "&amp;Table11[[#This Row],[Over]]</f>
        <v>39 16</v>
      </c>
    </row>
    <row r="123" spans="1:18" x14ac:dyDescent="0.3">
      <c r="A123">
        <v>39</v>
      </c>
      <c r="B123" s="1">
        <v>17</v>
      </c>
      <c r="C123" s="1" t="s">
        <v>1471</v>
      </c>
      <c r="D123" s="1" t="s">
        <v>1095</v>
      </c>
      <c r="E123" s="1" t="s">
        <v>1472</v>
      </c>
      <c r="F123" s="1" t="s">
        <v>939</v>
      </c>
      <c r="G123" s="1" t="s">
        <v>1473</v>
      </c>
      <c r="H123" s="1" t="s">
        <v>998</v>
      </c>
      <c r="I123" s="1" t="s">
        <v>1474</v>
      </c>
      <c r="J123" s="1" t="s">
        <v>934</v>
      </c>
      <c r="K123" s="1" t="s">
        <v>985</v>
      </c>
      <c r="L123" s="1" t="s">
        <v>1475</v>
      </c>
      <c r="M123" s="1" t="s">
        <v>1031</v>
      </c>
      <c r="N123">
        <f>_xlfn.NUMBERVALUE(LEFT(Table11[[#This Row],[Score]],FIND("/",Table11[[#This Row],[Score]])-1))</f>
        <v>56</v>
      </c>
      <c r="O123">
        <f>IFERROR(_xlfn.NUMBERVALUE(LEFT(Table11[[#This Row],[Score2 ]],FIND("/",Table11[[#This Row],[Score2 ]])-1)),"")</f>
        <v>73</v>
      </c>
      <c r="P123" t="s">
        <v>158</v>
      </c>
      <c r="Q123" s="1" t="s">
        <v>137</v>
      </c>
      <c r="R123" t="str">
        <f>Table11[[#This Row],[Match]]&amp;" "&amp;Table11[[#This Row],[Over]]</f>
        <v>39 17</v>
      </c>
    </row>
    <row r="124" spans="1:18" x14ac:dyDescent="0.3">
      <c r="A124">
        <v>39</v>
      </c>
      <c r="B124" s="1">
        <v>18</v>
      </c>
      <c r="C124" s="1" t="s">
        <v>1476</v>
      </c>
      <c r="D124" s="1" t="s">
        <v>904</v>
      </c>
      <c r="E124" s="1" t="s">
        <v>1477</v>
      </c>
      <c r="F124" s="1" t="s">
        <v>1247</v>
      </c>
      <c r="G124" s="1" t="s">
        <v>1478</v>
      </c>
      <c r="H124" s="1" t="s">
        <v>968</v>
      </c>
      <c r="I124" s="1" t="s">
        <v>1297</v>
      </c>
      <c r="J124" s="1" t="s">
        <v>1093</v>
      </c>
      <c r="K124" s="1" t="s">
        <v>1015</v>
      </c>
      <c r="L124" s="1" t="s">
        <v>1479</v>
      </c>
      <c r="M124" s="1" t="s">
        <v>1037</v>
      </c>
      <c r="N124">
        <f>_xlfn.NUMBERVALUE(LEFT(Table11[[#This Row],[Score]],FIND("/",Table11[[#This Row],[Score]])-1))</f>
        <v>59</v>
      </c>
      <c r="O124">
        <f>IFERROR(_xlfn.NUMBERVALUE(LEFT(Table11[[#This Row],[Score2 ]],FIND("/",Table11[[#This Row],[Score2 ]])-1)),"")</f>
        <v>74</v>
      </c>
      <c r="P124" t="s">
        <v>158</v>
      </c>
      <c r="Q124" s="1" t="s">
        <v>137</v>
      </c>
      <c r="R124" t="str">
        <f>Table11[[#This Row],[Match]]&amp;" "&amp;Table11[[#This Row],[Over]]</f>
        <v>39 18</v>
      </c>
    </row>
    <row r="125" spans="1:18" x14ac:dyDescent="0.3">
      <c r="A125">
        <v>39</v>
      </c>
      <c r="B125" s="1">
        <v>19</v>
      </c>
      <c r="C125" s="1" t="s">
        <v>1480</v>
      </c>
      <c r="D125" s="1" t="s">
        <v>898</v>
      </c>
      <c r="E125" s="1" t="s">
        <v>1481</v>
      </c>
      <c r="F125" s="1" t="s">
        <v>990</v>
      </c>
      <c r="G125" s="1" t="s">
        <v>1482</v>
      </c>
      <c r="H125" s="1" t="s">
        <v>998</v>
      </c>
      <c r="I125" s="1" t="s">
        <v>1483</v>
      </c>
      <c r="J125" s="1" t="s">
        <v>939</v>
      </c>
      <c r="K125" s="1" t="s">
        <v>1484</v>
      </c>
      <c r="L125" s="1" t="s">
        <v>1016</v>
      </c>
      <c r="M125" s="1" t="s">
        <v>1043</v>
      </c>
      <c r="N125">
        <f>_xlfn.NUMBERVALUE(LEFT(Table11[[#This Row],[Score]],FIND("/",Table11[[#This Row],[Score]])-1))</f>
        <v>61</v>
      </c>
      <c r="O125">
        <f>IFERROR(_xlfn.NUMBERVALUE(LEFT(Table11[[#This Row],[Score2 ]],FIND("/",Table11[[#This Row],[Score2 ]])-1)),"")</f>
        <v>78</v>
      </c>
      <c r="P125" t="s">
        <v>158</v>
      </c>
      <c r="Q125" s="1" t="s">
        <v>137</v>
      </c>
      <c r="R125" t="str">
        <f>Table11[[#This Row],[Match]]&amp;" "&amp;Table11[[#This Row],[Over]]</f>
        <v>39 19</v>
      </c>
    </row>
    <row r="126" spans="1:18" x14ac:dyDescent="0.3">
      <c r="A126">
        <v>39</v>
      </c>
      <c r="B126" s="1">
        <v>20</v>
      </c>
      <c r="C126" s="1" t="s">
        <v>1485</v>
      </c>
      <c r="D126" s="1" t="s">
        <v>904</v>
      </c>
      <c r="E126" s="1" t="s">
        <v>1259</v>
      </c>
      <c r="F126" s="1" t="s">
        <v>931</v>
      </c>
      <c r="G126" s="1" t="s">
        <v>1486</v>
      </c>
      <c r="H126" s="1" t="s">
        <v>950</v>
      </c>
      <c r="I126" s="1" t="s">
        <v>1303</v>
      </c>
      <c r="J126" s="1" t="s">
        <v>977</v>
      </c>
      <c r="K126" s="1" t="s">
        <v>1487</v>
      </c>
      <c r="L126" s="1" t="s">
        <v>1488</v>
      </c>
      <c r="M126" s="1" t="s">
        <v>1049</v>
      </c>
      <c r="N126">
        <f>_xlfn.NUMBERVALUE(LEFT(Table11[[#This Row],[Score]],FIND("/",Table11[[#This Row],[Score]])-1))</f>
        <v>64</v>
      </c>
      <c r="O126">
        <f>IFERROR(_xlfn.NUMBERVALUE(LEFT(Table11[[#This Row],[Score2 ]],FIND("/",Table11[[#This Row],[Score2 ]])-1)),"")</f>
        <v>83</v>
      </c>
      <c r="P126" t="s">
        <v>158</v>
      </c>
      <c r="Q126" s="1" t="s">
        <v>137</v>
      </c>
      <c r="R126" t="str">
        <f>Table11[[#This Row],[Match]]&amp;" "&amp;Table11[[#This Row],[Over]]</f>
        <v>39 20</v>
      </c>
    </row>
    <row r="127" spans="1:18" x14ac:dyDescent="0.3">
      <c r="A127">
        <v>39</v>
      </c>
      <c r="B127" s="1">
        <v>21</v>
      </c>
      <c r="C127" s="1" t="s">
        <v>1489</v>
      </c>
      <c r="D127" s="1" t="s">
        <v>930</v>
      </c>
      <c r="E127" s="1" t="s">
        <v>1490</v>
      </c>
      <c r="F127" s="1" t="s">
        <v>1029</v>
      </c>
      <c r="G127" s="1" t="s">
        <v>1491</v>
      </c>
      <c r="H127" s="1" t="s">
        <v>968</v>
      </c>
      <c r="I127" s="1" t="s">
        <v>939</v>
      </c>
      <c r="J127" s="1" t="s">
        <v>1238</v>
      </c>
      <c r="K127" s="1" t="s">
        <v>1041</v>
      </c>
      <c r="L127" s="1" t="s">
        <v>1024</v>
      </c>
      <c r="M127" s="1" t="s">
        <v>1056</v>
      </c>
      <c r="N127">
        <f>_xlfn.NUMBERVALUE(LEFT(Table11[[#This Row],[Score]],FIND("/",Table11[[#This Row],[Score]])-1))</f>
        <v>72</v>
      </c>
      <c r="O127">
        <f>IFERROR(_xlfn.NUMBERVALUE(LEFT(Table11[[#This Row],[Score2 ]],FIND("/",Table11[[#This Row],[Score2 ]])-1)),"")</f>
        <v>84</v>
      </c>
      <c r="P127" t="s">
        <v>158</v>
      </c>
      <c r="Q127" s="1" t="s">
        <v>137</v>
      </c>
      <c r="R127" t="str">
        <f>Table11[[#This Row],[Match]]&amp;" "&amp;Table11[[#This Row],[Over]]</f>
        <v>39 21</v>
      </c>
    </row>
    <row r="128" spans="1:18" x14ac:dyDescent="0.3">
      <c r="A128">
        <v>39</v>
      </c>
      <c r="B128" s="1">
        <v>22</v>
      </c>
      <c r="C128" s="1" t="s">
        <v>1492</v>
      </c>
      <c r="D128" s="1" t="s">
        <v>1095</v>
      </c>
      <c r="E128" s="1" t="s">
        <v>1493</v>
      </c>
      <c r="F128" s="1" t="s">
        <v>1029</v>
      </c>
      <c r="G128" s="1" t="s">
        <v>1494</v>
      </c>
      <c r="H128" s="1" t="s">
        <v>922</v>
      </c>
      <c r="I128" s="1" t="s">
        <v>981</v>
      </c>
      <c r="J128" s="1" t="s">
        <v>1247</v>
      </c>
      <c r="K128" s="1" t="s">
        <v>1495</v>
      </c>
      <c r="L128" s="1" t="s">
        <v>1031</v>
      </c>
      <c r="M128" s="1" t="s">
        <v>1063</v>
      </c>
      <c r="N128">
        <f>_xlfn.NUMBERVALUE(LEFT(Table11[[#This Row],[Score]],FIND("/",Table11[[#This Row],[Score]])-1))</f>
        <v>82</v>
      </c>
      <c r="O128">
        <f>IFERROR(_xlfn.NUMBERVALUE(LEFT(Table11[[#This Row],[Score2 ]],FIND("/",Table11[[#This Row],[Score2 ]])-1)),"")</f>
        <v>90</v>
      </c>
      <c r="P128" t="s">
        <v>158</v>
      </c>
      <c r="Q128" s="1" t="s">
        <v>137</v>
      </c>
      <c r="R128" t="str">
        <f>Table11[[#This Row],[Match]]&amp;" "&amp;Table11[[#This Row],[Over]]</f>
        <v>39 22</v>
      </c>
    </row>
    <row r="129" spans="1:18" x14ac:dyDescent="0.3">
      <c r="A129">
        <v>39</v>
      </c>
      <c r="B129" s="1">
        <v>23</v>
      </c>
      <c r="C129" s="1" t="s">
        <v>1496</v>
      </c>
      <c r="D129" s="1" t="s">
        <v>916</v>
      </c>
      <c r="E129" s="1" t="s">
        <v>1497</v>
      </c>
      <c r="F129" s="1" t="s">
        <v>1019</v>
      </c>
      <c r="G129" s="1" t="s">
        <v>1498</v>
      </c>
      <c r="H129" s="1" t="s">
        <v>898</v>
      </c>
      <c r="I129" s="1" t="s">
        <v>939</v>
      </c>
      <c r="J129" s="1" t="s">
        <v>977</v>
      </c>
      <c r="K129" s="1" t="s">
        <v>1061</v>
      </c>
      <c r="L129" s="1" t="s">
        <v>1082</v>
      </c>
      <c r="M129" s="1" t="s">
        <v>1070</v>
      </c>
      <c r="N129">
        <f>_xlfn.NUMBERVALUE(LEFT(Table11[[#This Row],[Score]],FIND("/",Table11[[#This Row],[Score]])-1))</f>
        <v>89</v>
      </c>
      <c r="O129">
        <f>IFERROR(_xlfn.NUMBERVALUE(LEFT(Table11[[#This Row],[Score2 ]],FIND("/",Table11[[#This Row],[Score2 ]])-1)),"")</f>
        <v>92</v>
      </c>
      <c r="P129" t="s">
        <v>158</v>
      </c>
      <c r="Q129" s="1" t="s">
        <v>137</v>
      </c>
      <c r="R129" t="str">
        <f>Table11[[#This Row],[Match]]&amp;" "&amp;Table11[[#This Row],[Over]]</f>
        <v>39 23</v>
      </c>
    </row>
    <row r="130" spans="1:18" x14ac:dyDescent="0.3">
      <c r="A130">
        <v>39</v>
      </c>
      <c r="B130" s="1">
        <v>24</v>
      </c>
      <c r="C130" s="1" t="s">
        <v>1499</v>
      </c>
      <c r="D130" s="1" t="s">
        <v>947</v>
      </c>
      <c r="E130" s="1" t="s">
        <v>1500</v>
      </c>
      <c r="F130" s="1" t="s">
        <v>1068</v>
      </c>
      <c r="G130" s="1" t="s">
        <v>1501</v>
      </c>
      <c r="H130" s="1" t="s">
        <v>898</v>
      </c>
      <c r="I130" s="1" t="s">
        <v>1278</v>
      </c>
      <c r="J130" s="1" t="s">
        <v>1259</v>
      </c>
      <c r="K130" s="1" t="s">
        <v>1502</v>
      </c>
      <c r="L130" s="1" t="s">
        <v>1503</v>
      </c>
      <c r="M130" s="1" t="s">
        <v>1077</v>
      </c>
      <c r="N130">
        <f>_xlfn.NUMBERVALUE(LEFT(Table11[[#This Row],[Score]],FIND("/",Table11[[#This Row],[Score]])-1))</f>
        <v>98</v>
      </c>
      <c r="O130">
        <f>IFERROR(_xlfn.NUMBERVALUE(LEFT(Table11[[#This Row],[Score2 ]],FIND("/",Table11[[#This Row],[Score2 ]])-1)),"")</f>
        <v>94</v>
      </c>
      <c r="P130" t="s">
        <v>158</v>
      </c>
      <c r="Q130" s="1" t="s">
        <v>137</v>
      </c>
      <c r="R130" t="str">
        <f>Table11[[#This Row],[Match]]&amp;" "&amp;Table11[[#This Row],[Over]]</f>
        <v>39 24</v>
      </c>
    </row>
    <row r="131" spans="1:18" x14ac:dyDescent="0.3">
      <c r="A131">
        <v>39</v>
      </c>
      <c r="B131" s="1">
        <v>25</v>
      </c>
      <c r="C131" s="1" t="s">
        <v>1504</v>
      </c>
      <c r="D131" s="1" t="s">
        <v>904</v>
      </c>
      <c r="E131" s="1" t="s">
        <v>1505</v>
      </c>
      <c r="F131" s="1" t="s">
        <v>1068</v>
      </c>
      <c r="G131" s="1" t="s">
        <v>1506</v>
      </c>
      <c r="H131" s="1" t="s">
        <v>998</v>
      </c>
      <c r="I131" s="1" t="s">
        <v>1507</v>
      </c>
      <c r="J131" s="1" t="s">
        <v>1238</v>
      </c>
      <c r="K131" s="1" t="s">
        <v>1508</v>
      </c>
      <c r="L131" s="1" t="s">
        <v>1509</v>
      </c>
      <c r="M131" s="1" t="s">
        <v>1083</v>
      </c>
      <c r="N131">
        <f>_xlfn.NUMBERVALUE(LEFT(Table11[[#This Row],[Score]],FIND("/",Table11[[#This Row],[Score]])-1))</f>
        <v>101</v>
      </c>
      <c r="O131">
        <f>IFERROR(_xlfn.NUMBERVALUE(LEFT(Table11[[#This Row],[Score2 ]],FIND("/",Table11[[#This Row],[Score2 ]])-1)),"")</f>
        <v>98</v>
      </c>
      <c r="P131" t="s">
        <v>158</v>
      </c>
      <c r="Q131" s="1" t="s">
        <v>137</v>
      </c>
      <c r="R131" t="str">
        <f>Table11[[#This Row],[Match]]&amp;" "&amp;Table11[[#This Row],[Over]]</f>
        <v>39 25</v>
      </c>
    </row>
    <row r="132" spans="1:18" x14ac:dyDescent="0.3">
      <c r="A132">
        <v>39</v>
      </c>
      <c r="B132" s="1">
        <v>26</v>
      </c>
      <c r="C132" s="1" t="s">
        <v>1510</v>
      </c>
      <c r="D132" s="1" t="s">
        <v>1511</v>
      </c>
      <c r="E132" s="1" t="s">
        <v>1021</v>
      </c>
      <c r="F132" s="1" t="s">
        <v>1161</v>
      </c>
      <c r="G132" s="1" t="s">
        <v>1512</v>
      </c>
      <c r="H132" s="1" t="s">
        <v>950</v>
      </c>
      <c r="I132" s="1" t="s">
        <v>1513</v>
      </c>
      <c r="J132" s="1" t="s">
        <v>990</v>
      </c>
      <c r="K132" s="1" t="s">
        <v>1514</v>
      </c>
      <c r="L132" s="1" t="s">
        <v>1515</v>
      </c>
      <c r="M132" s="1" t="s">
        <v>1090</v>
      </c>
      <c r="N132">
        <f>_xlfn.NUMBERVALUE(LEFT(Table11[[#This Row],[Score]],FIND("/",Table11[[#This Row],[Score]])-1))</f>
        <v>117</v>
      </c>
      <c r="O132">
        <f>IFERROR(_xlfn.NUMBERVALUE(LEFT(Table11[[#This Row],[Score2 ]],FIND("/",Table11[[#This Row],[Score2 ]])-1)),"")</f>
        <v>103</v>
      </c>
      <c r="P132" t="s">
        <v>158</v>
      </c>
      <c r="Q132" s="1" t="s">
        <v>137</v>
      </c>
      <c r="R132" t="str">
        <f>Table11[[#This Row],[Match]]&amp;" "&amp;Table11[[#This Row],[Over]]</f>
        <v>39 26</v>
      </c>
    </row>
    <row r="133" spans="1:18" x14ac:dyDescent="0.3">
      <c r="A133">
        <v>39</v>
      </c>
      <c r="B133" s="1">
        <v>27</v>
      </c>
      <c r="C133" s="1" t="s">
        <v>1516</v>
      </c>
      <c r="D133" s="1" t="s">
        <v>898</v>
      </c>
      <c r="E133" s="1" t="s">
        <v>940</v>
      </c>
      <c r="F133" s="1" t="s">
        <v>1068</v>
      </c>
      <c r="G133" s="1" t="s">
        <v>1517</v>
      </c>
      <c r="H133" s="1" t="s">
        <v>968</v>
      </c>
      <c r="I133" s="1" t="s">
        <v>1518</v>
      </c>
      <c r="J133" s="1" t="s">
        <v>993</v>
      </c>
      <c r="K133" s="1" t="s">
        <v>1089</v>
      </c>
      <c r="L133" s="1" t="s">
        <v>1519</v>
      </c>
      <c r="M133" s="1" t="s">
        <v>1098</v>
      </c>
      <c r="N133">
        <f>_xlfn.NUMBERVALUE(LEFT(Table11[[#This Row],[Score]],FIND("/",Table11[[#This Row],[Score]])-1))</f>
        <v>119</v>
      </c>
      <c r="O133">
        <f>IFERROR(_xlfn.NUMBERVALUE(LEFT(Table11[[#This Row],[Score2 ]],FIND("/",Table11[[#This Row],[Score2 ]])-1)),"")</f>
        <v>104</v>
      </c>
      <c r="P133" t="s">
        <v>158</v>
      </c>
      <c r="Q133" s="1" t="s">
        <v>137</v>
      </c>
      <c r="R133" t="str">
        <f>Table11[[#This Row],[Match]]&amp;" "&amp;Table11[[#This Row],[Over]]</f>
        <v>39 27</v>
      </c>
    </row>
    <row r="134" spans="1:18" x14ac:dyDescent="0.3">
      <c r="A134">
        <v>39</v>
      </c>
      <c r="B134" s="1">
        <v>28</v>
      </c>
      <c r="C134" s="1" t="s">
        <v>1520</v>
      </c>
      <c r="D134" s="1" t="s">
        <v>922</v>
      </c>
      <c r="E134" s="1" t="s">
        <v>1001</v>
      </c>
      <c r="F134" s="1" t="s">
        <v>1116</v>
      </c>
      <c r="G134" s="1" t="s">
        <v>1521</v>
      </c>
      <c r="H134" s="1" t="s">
        <v>904</v>
      </c>
      <c r="I134" s="1" t="s">
        <v>1522</v>
      </c>
      <c r="J134" s="1" t="s">
        <v>1238</v>
      </c>
      <c r="K134" s="1" t="s">
        <v>1523</v>
      </c>
      <c r="L134" s="1" t="s">
        <v>1524</v>
      </c>
      <c r="M134" s="1" t="s">
        <v>1101</v>
      </c>
      <c r="N134">
        <f>_xlfn.NUMBERVALUE(LEFT(Table11[[#This Row],[Score]],FIND("/",Table11[[#This Row],[Score]])-1))</f>
        <v>125</v>
      </c>
      <c r="O134">
        <f>IFERROR(_xlfn.NUMBERVALUE(LEFT(Table11[[#This Row],[Score2 ]],FIND("/",Table11[[#This Row],[Score2 ]])-1)),"")</f>
        <v>107</v>
      </c>
      <c r="P134" t="s">
        <v>158</v>
      </c>
      <c r="Q134" s="1" t="s">
        <v>137</v>
      </c>
      <c r="R134" t="str">
        <f>Table11[[#This Row],[Match]]&amp;" "&amp;Table11[[#This Row],[Over]]</f>
        <v>39 28</v>
      </c>
    </row>
    <row r="135" spans="1:18" x14ac:dyDescent="0.3">
      <c r="A135">
        <v>39</v>
      </c>
      <c r="B135" s="1">
        <v>29</v>
      </c>
      <c r="C135" s="1" t="s">
        <v>1525</v>
      </c>
      <c r="D135" s="1" t="s">
        <v>968</v>
      </c>
      <c r="E135" s="1" t="s">
        <v>1526</v>
      </c>
      <c r="F135" s="1" t="s">
        <v>934</v>
      </c>
      <c r="G135" s="1" t="s">
        <v>1527</v>
      </c>
      <c r="H135" s="1" t="s">
        <v>950</v>
      </c>
      <c r="I135" s="1" t="s">
        <v>1497</v>
      </c>
      <c r="J135" s="1" t="s">
        <v>977</v>
      </c>
      <c r="K135" s="1" t="s">
        <v>1528</v>
      </c>
      <c r="L135" s="1" t="s">
        <v>1529</v>
      </c>
      <c r="M135" s="1" t="s">
        <v>1108</v>
      </c>
      <c r="N135">
        <f>_xlfn.NUMBERVALUE(LEFT(Table11[[#This Row],[Score]],FIND("/",Table11[[#This Row],[Score]])-1))</f>
        <v>126</v>
      </c>
      <c r="O135">
        <f>IFERROR(_xlfn.NUMBERVALUE(LEFT(Table11[[#This Row],[Score2 ]],FIND("/",Table11[[#This Row],[Score2 ]])-1)),"")</f>
        <v>112</v>
      </c>
      <c r="P135" t="s">
        <v>158</v>
      </c>
      <c r="Q135" s="1" t="s">
        <v>137</v>
      </c>
      <c r="R135" t="str">
        <f>Table11[[#This Row],[Match]]&amp;" "&amp;Table11[[#This Row],[Over]]</f>
        <v>39 29</v>
      </c>
    </row>
    <row r="136" spans="1:18" x14ac:dyDescent="0.3">
      <c r="A136">
        <v>39</v>
      </c>
      <c r="B136" s="1">
        <v>30</v>
      </c>
      <c r="C136" s="1" t="s">
        <v>1530</v>
      </c>
      <c r="D136" s="1" t="s">
        <v>898</v>
      </c>
      <c r="E136" s="1" t="s">
        <v>1382</v>
      </c>
      <c r="F136" s="1" t="s">
        <v>966</v>
      </c>
      <c r="G136" s="1" t="s">
        <v>1531</v>
      </c>
      <c r="H136" s="1" t="s">
        <v>1147</v>
      </c>
      <c r="I136" s="1" t="s">
        <v>1532</v>
      </c>
      <c r="J136" s="1" t="s">
        <v>1013</v>
      </c>
      <c r="K136" s="1" t="s">
        <v>1533</v>
      </c>
      <c r="L136" s="1" t="s">
        <v>1355</v>
      </c>
      <c r="M136" s="1" t="s">
        <v>1113</v>
      </c>
      <c r="N136">
        <f>_xlfn.NUMBERVALUE(LEFT(Table11[[#This Row],[Score]],FIND("/",Table11[[#This Row],[Score]])-1))</f>
        <v>128</v>
      </c>
      <c r="O136">
        <f>IFERROR(_xlfn.NUMBERVALUE(LEFT(Table11[[#This Row],[Score2 ]],FIND("/",Table11[[#This Row],[Score2 ]])-1)),"")</f>
        <v>127</v>
      </c>
      <c r="P136" t="s">
        <v>158</v>
      </c>
      <c r="Q136" s="1" t="s">
        <v>137</v>
      </c>
      <c r="R136" t="str">
        <f>Table11[[#This Row],[Match]]&amp;" "&amp;Table11[[#This Row],[Over]]</f>
        <v>39 30</v>
      </c>
    </row>
    <row r="137" spans="1:18" x14ac:dyDescent="0.3">
      <c r="A137">
        <v>39</v>
      </c>
      <c r="B137" s="1">
        <v>31</v>
      </c>
      <c r="C137" s="1" t="s">
        <v>1534</v>
      </c>
      <c r="D137" s="1" t="s">
        <v>904</v>
      </c>
      <c r="E137" s="1" t="s">
        <v>1535</v>
      </c>
      <c r="F137" s="1" t="s">
        <v>993</v>
      </c>
      <c r="G137" s="1" t="s">
        <v>1536</v>
      </c>
      <c r="H137" s="1" t="s">
        <v>904</v>
      </c>
      <c r="I137" s="1" t="s">
        <v>1087</v>
      </c>
      <c r="J137" s="1" t="s">
        <v>966</v>
      </c>
      <c r="K137" s="1" t="s">
        <v>1537</v>
      </c>
      <c r="L137" s="1" t="s">
        <v>1538</v>
      </c>
      <c r="M137" s="1" t="s">
        <v>1121</v>
      </c>
      <c r="N137">
        <f>_xlfn.NUMBERVALUE(LEFT(Table11[[#This Row],[Score]],FIND("/",Table11[[#This Row],[Score]])-1))</f>
        <v>131</v>
      </c>
      <c r="O137">
        <f>IFERROR(_xlfn.NUMBERVALUE(LEFT(Table11[[#This Row],[Score2 ]],FIND("/",Table11[[#This Row],[Score2 ]])-1)),"")</f>
        <v>130</v>
      </c>
      <c r="P137" t="s">
        <v>158</v>
      </c>
      <c r="Q137" s="1" t="s">
        <v>137</v>
      </c>
      <c r="R137" t="str">
        <f>Table11[[#This Row],[Match]]&amp;" "&amp;Table11[[#This Row],[Over]]</f>
        <v>39 31</v>
      </c>
    </row>
    <row r="138" spans="1:18" x14ac:dyDescent="0.3">
      <c r="A138">
        <v>39</v>
      </c>
      <c r="B138" s="1">
        <v>32</v>
      </c>
      <c r="C138" s="1" t="s">
        <v>1343</v>
      </c>
      <c r="D138" s="1" t="s">
        <v>904</v>
      </c>
      <c r="E138" s="1" t="s">
        <v>1292</v>
      </c>
      <c r="F138" s="1" t="s">
        <v>1238</v>
      </c>
      <c r="G138" s="1" t="s">
        <v>1539</v>
      </c>
      <c r="H138" s="1" t="s">
        <v>1051</v>
      </c>
      <c r="I138" s="1" t="s">
        <v>940</v>
      </c>
      <c r="J138" s="1" t="s">
        <v>1068</v>
      </c>
      <c r="K138" s="1" t="s">
        <v>1540</v>
      </c>
      <c r="L138" s="1" t="s">
        <v>1142</v>
      </c>
      <c r="M138" s="1" t="s">
        <v>1127</v>
      </c>
      <c r="N138">
        <f>_xlfn.NUMBERVALUE(LEFT(Table11[[#This Row],[Score]],FIND("/",Table11[[#This Row],[Score]])-1))</f>
        <v>134</v>
      </c>
      <c r="O138">
        <f>IFERROR(_xlfn.NUMBERVALUE(LEFT(Table11[[#This Row],[Score2 ]],FIND("/",Table11[[#This Row],[Score2 ]])-1)),"")</f>
        <v>141</v>
      </c>
      <c r="P138" t="s">
        <v>158</v>
      </c>
      <c r="Q138" s="1" t="s">
        <v>137</v>
      </c>
      <c r="R138" t="str">
        <f>Table11[[#This Row],[Match]]&amp;" "&amp;Table11[[#This Row],[Over]]</f>
        <v>39 32</v>
      </c>
    </row>
    <row r="139" spans="1:18" x14ac:dyDescent="0.3">
      <c r="A139">
        <v>39</v>
      </c>
      <c r="B139" s="1">
        <v>33</v>
      </c>
      <c r="C139" s="1" t="s">
        <v>1347</v>
      </c>
      <c r="D139" s="1" t="s">
        <v>930</v>
      </c>
      <c r="E139" s="1" t="s">
        <v>999</v>
      </c>
      <c r="F139" s="1" t="s">
        <v>1247</v>
      </c>
      <c r="G139" s="1" t="s">
        <v>1541</v>
      </c>
      <c r="H139" s="1" t="s">
        <v>930</v>
      </c>
      <c r="I139" s="1" t="s">
        <v>1542</v>
      </c>
      <c r="J139" s="1" t="s">
        <v>1335</v>
      </c>
      <c r="K139" s="1" t="s">
        <v>1543</v>
      </c>
      <c r="L139" s="1" t="s">
        <v>1544</v>
      </c>
      <c r="M139" s="1" t="s">
        <v>1132</v>
      </c>
      <c r="N139">
        <f>_xlfn.NUMBERVALUE(LEFT(Table11[[#This Row],[Score]],FIND("/",Table11[[#This Row],[Score]])-1))</f>
        <v>142</v>
      </c>
      <c r="O139">
        <f>IFERROR(_xlfn.NUMBERVALUE(LEFT(Table11[[#This Row],[Score2 ]],FIND("/",Table11[[#This Row],[Score2 ]])-1)),"")</f>
        <v>149</v>
      </c>
      <c r="P139" t="s">
        <v>158</v>
      </c>
      <c r="Q139" s="1" t="s">
        <v>137</v>
      </c>
      <c r="R139" t="str">
        <f>Table11[[#This Row],[Match]]&amp;" "&amp;Table11[[#This Row],[Over]]</f>
        <v>39 33</v>
      </c>
    </row>
    <row r="140" spans="1:18" x14ac:dyDescent="0.3">
      <c r="A140">
        <v>39</v>
      </c>
      <c r="B140" s="1">
        <v>34</v>
      </c>
      <c r="C140" s="1" t="s">
        <v>1352</v>
      </c>
      <c r="D140" s="1" t="s">
        <v>950</v>
      </c>
      <c r="E140" s="1" t="s">
        <v>1118</v>
      </c>
      <c r="F140" s="1" t="s">
        <v>931</v>
      </c>
      <c r="G140" s="1" t="s">
        <v>1545</v>
      </c>
      <c r="H140" s="1" t="s">
        <v>898</v>
      </c>
      <c r="I140" s="1" t="s">
        <v>965</v>
      </c>
      <c r="J140" s="1" t="s">
        <v>1168</v>
      </c>
      <c r="K140" s="1" t="s">
        <v>1546</v>
      </c>
      <c r="L140" s="1" t="s">
        <v>1547</v>
      </c>
      <c r="M140" s="1" t="s">
        <v>1138</v>
      </c>
      <c r="N140">
        <f>_xlfn.NUMBERVALUE(LEFT(Table11[[#This Row],[Score]],FIND("/",Table11[[#This Row],[Score]])-1))</f>
        <v>147</v>
      </c>
      <c r="O140">
        <f>IFERROR(_xlfn.NUMBERVALUE(LEFT(Table11[[#This Row],[Score2 ]],FIND("/",Table11[[#This Row],[Score2 ]])-1)),"")</f>
        <v>151</v>
      </c>
      <c r="P140" t="s">
        <v>158</v>
      </c>
      <c r="Q140" s="1" t="s">
        <v>137</v>
      </c>
      <c r="R140" t="str">
        <f>Table11[[#This Row],[Match]]&amp;" "&amp;Table11[[#This Row],[Over]]</f>
        <v>39 34</v>
      </c>
    </row>
    <row r="141" spans="1:18" x14ac:dyDescent="0.3">
      <c r="A141">
        <v>39</v>
      </c>
      <c r="B141" s="1">
        <v>35</v>
      </c>
      <c r="C141" s="1" t="s">
        <v>1548</v>
      </c>
      <c r="D141" s="1" t="s">
        <v>1051</v>
      </c>
      <c r="E141" s="1" t="s">
        <v>1542</v>
      </c>
      <c r="F141" s="1" t="s">
        <v>1019</v>
      </c>
      <c r="G141" s="1" t="s">
        <v>1548</v>
      </c>
      <c r="H141" s="1" t="s">
        <v>916</v>
      </c>
      <c r="I141" s="1" t="s">
        <v>1542</v>
      </c>
      <c r="J141" s="1" t="s">
        <v>970</v>
      </c>
      <c r="K141" s="1" t="s">
        <v>1549</v>
      </c>
      <c r="L141" s="1" t="s">
        <v>1550</v>
      </c>
      <c r="M141" s="1" t="s">
        <v>1143</v>
      </c>
      <c r="N141">
        <f>_xlfn.NUMBERVALUE(LEFT(Table11[[#This Row],[Score]],FIND("/",Table11[[#This Row],[Score]])-1))</f>
        <v>158</v>
      </c>
      <c r="O141">
        <f>IFERROR(_xlfn.NUMBERVALUE(LEFT(Table11[[#This Row],[Score2 ]],FIND("/",Table11[[#This Row],[Score2 ]])-1)),"")</f>
        <v>158</v>
      </c>
      <c r="P141" t="s">
        <v>158</v>
      </c>
      <c r="Q141" s="1" t="s">
        <v>137</v>
      </c>
      <c r="R141" t="str">
        <f>Table11[[#This Row],[Match]]&amp;" "&amp;Table11[[#This Row],[Over]]</f>
        <v>39 35</v>
      </c>
    </row>
    <row r="142" spans="1:18" x14ac:dyDescent="0.3">
      <c r="A142">
        <v>39</v>
      </c>
      <c r="B142" s="1">
        <v>36</v>
      </c>
      <c r="C142" s="1" t="s">
        <v>1551</v>
      </c>
      <c r="D142" s="1" t="s">
        <v>950</v>
      </c>
      <c r="E142" s="1" t="s">
        <v>1552</v>
      </c>
      <c r="F142" s="1" t="s">
        <v>943</v>
      </c>
      <c r="G142" s="1" t="s">
        <v>1551</v>
      </c>
      <c r="H142" s="1" t="s">
        <v>950</v>
      </c>
      <c r="I142" s="1" t="s">
        <v>1552</v>
      </c>
      <c r="J142" s="1" t="s">
        <v>960</v>
      </c>
      <c r="K142" s="1" t="s">
        <v>1553</v>
      </c>
      <c r="L142" s="1" t="s">
        <v>1554</v>
      </c>
      <c r="M142" s="1" t="s">
        <v>1150</v>
      </c>
      <c r="N142">
        <f>_xlfn.NUMBERVALUE(LEFT(Table11[[#This Row],[Score]],FIND("/",Table11[[#This Row],[Score]])-1))</f>
        <v>163</v>
      </c>
      <c r="O142">
        <f>IFERROR(_xlfn.NUMBERVALUE(LEFT(Table11[[#This Row],[Score2 ]],FIND("/",Table11[[#This Row],[Score2 ]])-1)),"")</f>
        <v>163</v>
      </c>
      <c r="P142" t="s">
        <v>158</v>
      </c>
      <c r="Q142" s="1" t="s">
        <v>137</v>
      </c>
      <c r="R142" t="str">
        <f>Table11[[#This Row],[Match]]&amp;" "&amp;Table11[[#This Row],[Over]]</f>
        <v>39 36</v>
      </c>
    </row>
    <row r="143" spans="1:18" x14ac:dyDescent="0.3">
      <c r="A143">
        <v>39</v>
      </c>
      <c r="B143" s="1">
        <v>37</v>
      </c>
      <c r="C143" s="1" t="s">
        <v>1555</v>
      </c>
      <c r="D143" s="1" t="s">
        <v>930</v>
      </c>
      <c r="E143" s="1" t="s">
        <v>1344</v>
      </c>
      <c r="F143" s="1" t="s">
        <v>1068</v>
      </c>
      <c r="G143" s="1" t="s">
        <v>1556</v>
      </c>
      <c r="H143" s="1" t="s">
        <v>916</v>
      </c>
      <c r="I143" s="1" t="s">
        <v>1557</v>
      </c>
      <c r="J143" s="1" t="s">
        <v>1013</v>
      </c>
      <c r="K143" s="1" t="s">
        <v>1558</v>
      </c>
      <c r="L143" s="1" t="s">
        <v>1559</v>
      </c>
      <c r="M143" s="1" t="s">
        <v>1156</v>
      </c>
      <c r="N143">
        <f>_xlfn.NUMBERVALUE(LEFT(Table11[[#This Row],[Score]],FIND("/",Table11[[#This Row],[Score]])-1))</f>
        <v>171</v>
      </c>
      <c r="O143">
        <f>IFERROR(_xlfn.NUMBERVALUE(LEFT(Table11[[#This Row],[Score2 ]],FIND("/",Table11[[#This Row],[Score2 ]])-1)),"")</f>
        <v>170</v>
      </c>
      <c r="P143" t="s">
        <v>158</v>
      </c>
      <c r="Q143" s="1" t="s">
        <v>137</v>
      </c>
      <c r="R143" t="str">
        <f>Table11[[#This Row],[Match]]&amp;" "&amp;Table11[[#This Row],[Over]]</f>
        <v>39 37</v>
      </c>
    </row>
    <row r="144" spans="1:18" x14ac:dyDescent="0.3">
      <c r="A144">
        <v>39</v>
      </c>
      <c r="B144" s="1">
        <v>38</v>
      </c>
      <c r="C144" s="1" t="s">
        <v>1560</v>
      </c>
      <c r="D144" s="1" t="s">
        <v>1103</v>
      </c>
      <c r="E144" s="1" t="s">
        <v>1561</v>
      </c>
      <c r="F144" s="1" t="s">
        <v>1405</v>
      </c>
      <c r="G144" s="1" t="s">
        <v>1562</v>
      </c>
      <c r="H144" s="1" t="s">
        <v>1103</v>
      </c>
      <c r="I144" s="1" t="s">
        <v>1180</v>
      </c>
      <c r="J144" s="1" t="s">
        <v>960</v>
      </c>
      <c r="K144" s="1" t="s">
        <v>1563</v>
      </c>
      <c r="L144" s="1" t="s">
        <v>1564</v>
      </c>
      <c r="M144" s="1" t="s">
        <v>1164</v>
      </c>
      <c r="N144">
        <f>_xlfn.NUMBERVALUE(LEFT(Table11[[#This Row],[Score]],FIND("/",Table11[[#This Row],[Score]])-1))</f>
        <v>183</v>
      </c>
      <c r="O144">
        <f>IFERROR(_xlfn.NUMBERVALUE(LEFT(Table11[[#This Row],[Score2 ]],FIND("/",Table11[[#This Row],[Score2 ]])-1)),"")</f>
        <v>182</v>
      </c>
      <c r="P144" t="s">
        <v>158</v>
      </c>
      <c r="Q144" s="1" t="s">
        <v>137</v>
      </c>
      <c r="R144" t="str">
        <f>Table11[[#This Row],[Match]]&amp;" "&amp;Table11[[#This Row],[Over]]</f>
        <v>39 38</v>
      </c>
    </row>
    <row r="145" spans="1:18" x14ac:dyDescent="0.3">
      <c r="A145">
        <v>39</v>
      </c>
      <c r="B145" s="1">
        <v>39</v>
      </c>
      <c r="C145" s="1" t="s">
        <v>1565</v>
      </c>
      <c r="D145" s="1" t="s">
        <v>1566</v>
      </c>
      <c r="E145" s="1" t="s">
        <v>1567</v>
      </c>
      <c r="F145" s="1" t="s">
        <v>1568</v>
      </c>
      <c r="G145" s="1" t="s">
        <v>1569</v>
      </c>
      <c r="H145" s="1" t="s">
        <v>898</v>
      </c>
      <c r="I145" s="1" t="s">
        <v>948</v>
      </c>
      <c r="J145" s="1" t="s">
        <v>960</v>
      </c>
      <c r="K145" s="1" t="s">
        <v>1570</v>
      </c>
      <c r="L145" s="1" t="s">
        <v>1571</v>
      </c>
      <c r="M145" s="1" t="s">
        <v>1171</v>
      </c>
      <c r="N145">
        <f>_xlfn.NUMBERVALUE(LEFT(Table11[[#This Row],[Score]],FIND("/",Table11[[#This Row],[Score]])-1))</f>
        <v>200</v>
      </c>
      <c r="O145">
        <f>IFERROR(_xlfn.NUMBERVALUE(LEFT(Table11[[#This Row],[Score2 ]],FIND("/",Table11[[#This Row],[Score2 ]])-1)),"")</f>
        <v>184</v>
      </c>
      <c r="P145" t="s">
        <v>158</v>
      </c>
      <c r="Q145" s="1" t="s">
        <v>137</v>
      </c>
      <c r="R145" t="str">
        <f>Table11[[#This Row],[Match]]&amp;" "&amp;Table11[[#This Row],[Over]]</f>
        <v>39 39</v>
      </c>
    </row>
    <row r="146" spans="1:18" x14ac:dyDescent="0.3">
      <c r="A146">
        <v>39</v>
      </c>
      <c r="B146" s="1">
        <v>40</v>
      </c>
      <c r="C146" s="1" t="s">
        <v>1572</v>
      </c>
      <c r="D146" s="1" t="s">
        <v>916</v>
      </c>
      <c r="E146" s="1" t="s">
        <v>1573</v>
      </c>
      <c r="F146" s="1" t="s">
        <v>1141</v>
      </c>
      <c r="G146" s="1" t="s">
        <v>1574</v>
      </c>
      <c r="H146" s="1" t="s">
        <v>1390</v>
      </c>
      <c r="I146" s="1" t="s">
        <v>1325</v>
      </c>
      <c r="J146" s="1" t="s">
        <v>1168</v>
      </c>
      <c r="K146" s="1" t="s">
        <v>1575</v>
      </c>
      <c r="L146" s="1" t="s">
        <v>1576</v>
      </c>
      <c r="M146" s="1" t="s">
        <v>1177</v>
      </c>
      <c r="N146">
        <f>_xlfn.NUMBERVALUE(LEFT(Table11[[#This Row],[Score]],FIND("/",Table11[[#This Row],[Score]])-1))</f>
        <v>207</v>
      </c>
      <c r="O146">
        <f>IFERROR(_xlfn.NUMBERVALUE(LEFT(Table11[[#This Row],[Score2 ]],FIND("/",Table11[[#This Row],[Score2 ]])-1)),"")</f>
        <v>197</v>
      </c>
      <c r="P146" t="s">
        <v>158</v>
      </c>
      <c r="Q146" s="1" t="s">
        <v>137</v>
      </c>
      <c r="R146" t="str">
        <f>Table11[[#This Row],[Match]]&amp;" "&amp;Table11[[#This Row],[Over]]</f>
        <v>39 40</v>
      </c>
    </row>
    <row r="147" spans="1:18" x14ac:dyDescent="0.3">
      <c r="A147">
        <v>39</v>
      </c>
      <c r="B147" s="1">
        <v>41</v>
      </c>
      <c r="C147" s="1" t="s">
        <v>1577</v>
      </c>
      <c r="D147" s="1" t="s">
        <v>1578</v>
      </c>
      <c r="E147" s="1" t="s">
        <v>1579</v>
      </c>
      <c r="F147" s="1" t="s">
        <v>1580</v>
      </c>
      <c r="G147" s="1" t="s">
        <v>1581</v>
      </c>
      <c r="H147" s="1" t="s">
        <v>916</v>
      </c>
      <c r="I147" s="1" t="s">
        <v>1582</v>
      </c>
      <c r="J147" s="1" t="s">
        <v>1405</v>
      </c>
      <c r="K147" s="1" t="s">
        <v>1583</v>
      </c>
      <c r="L147" s="1" t="s">
        <v>1150</v>
      </c>
      <c r="M147" s="1" t="s">
        <v>1183</v>
      </c>
      <c r="N147">
        <f>_xlfn.NUMBERVALUE(LEFT(Table11[[#This Row],[Score]],FIND("/",Table11[[#This Row],[Score]])-1))</f>
        <v>232</v>
      </c>
      <c r="O147">
        <f>IFERROR(_xlfn.NUMBERVALUE(LEFT(Table11[[#This Row],[Score2 ]],FIND("/",Table11[[#This Row],[Score2 ]])-1)),"")</f>
        <v>204</v>
      </c>
      <c r="P147" t="s">
        <v>158</v>
      </c>
      <c r="Q147" s="1" t="s">
        <v>137</v>
      </c>
      <c r="R147" t="str">
        <f>Table11[[#This Row],[Match]]&amp;" "&amp;Table11[[#This Row],[Over]]</f>
        <v>39 41</v>
      </c>
    </row>
    <row r="148" spans="1:18" x14ac:dyDescent="0.3">
      <c r="A148">
        <v>39</v>
      </c>
      <c r="B148" s="1">
        <v>42</v>
      </c>
      <c r="C148" s="1" t="s">
        <v>1584</v>
      </c>
      <c r="D148" s="1" t="s">
        <v>916</v>
      </c>
      <c r="E148" s="1" t="s">
        <v>1192</v>
      </c>
      <c r="F148" s="1" t="s">
        <v>1585</v>
      </c>
      <c r="G148" s="1" t="s">
        <v>1586</v>
      </c>
      <c r="H148" s="1" t="s">
        <v>1390</v>
      </c>
      <c r="I148" s="1" t="s">
        <v>1587</v>
      </c>
      <c r="J148" s="1" t="s">
        <v>1226</v>
      </c>
      <c r="K148" s="1" t="s">
        <v>1588</v>
      </c>
      <c r="L148" s="1" t="s">
        <v>1589</v>
      </c>
      <c r="M148" s="1" t="s">
        <v>1190</v>
      </c>
      <c r="N148">
        <f>_xlfn.NUMBERVALUE(LEFT(Table11[[#This Row],[Score]],FIND("/",Table11[[#This Row],[Score]])-1))</f>
        <v>239</v>
      </c>
      <c r="O148">
        <f>IFERROR(_xlfn.NUMBERVALUE(LEFT(Table11[[#This Row],[Score2 ]],FIND("/",Table11[[#This Row],[Score2 ]])-1)),"")</f>
        <v>217</v>
      </c>
      <c r="P148" t="s">
        <v>158</v>
      </c>
      <c r="Q148" s="1" t="s">
        <v>137</v>
      </c>
      <c r="R148" t="str">
        <f>Table11[[#This Row],[Match]]&amp;" "&amp;Table11[[#This Row],[Over]]</f>
        <v>39 42</v>
      </c>
    </row>
    <row r="149" spans="1:18" x14ac:dyDescent="0.3">
      <c r="A149">
        <v>39</v>
      </c>
      <c r="B149" s="1">
        <v>43</v>
      </c>
      <c r="C149" s="1" t="s">
        <v>1590</v>
      </c>
      <c r="D149" s="1" t="s">
        <v>898</v>
      </c>
      <c r="E149" s="1" t="s">
        <v>934</v>
      </c>
      <c r="F149" s="1" t="s">
        <v>1591</v>
      </c>
      <c r="G149" s="1" t="s">
        <v>1592</v>
      </c>
      <c r="H149" s="1" t="s">
        <v>1095</v>
      </c>
      <c r="I149" s="1" t="s">
        <v>1593</v>
      </c>
      <c r="J149" s="1" t="s">
        <v>1161</v>
      </c>
      <c r="K149" s="1" t="s">
        <v>1594</v>
      </c>
      <c r="L149" s="1" t="s">
        <v>1595</v>
      </c>
      <c r="M149" s="1" t="s">
        <v>1197</v>
      </c>
      <c r="N149">
        <f>_xlfn.NUMBERVALUE(LEFT(Table11[[#This Row],[Score]],FIND("/",Table11[[#This Row],[Score]])-1))</f>
        <v>241</v>
      </c>
      <c r="O149">
        <f>IFERROR(_xlfn.NUMBERVALUE(LEFT(Table11[[#This Row],[Score2 ]],FIND("/",Table11[[#This Row],[Score2 ]])-1)),"")</f>
        <v>227</v>
      </c>
      <c r="P149" t="s">
        <v>158</v>
      </c>
      <c r="Q149" s="1" t="s">
        <v>137</v>
      </c>
      <c r="R149" t="str">
        <f>Table11[[#This Row],[Match]]&amp;" "&amp;Table11[[#This Row],[Over]]</f>
        <v>39 43</v>
      </c>
    </row>
    <row r="150" spans="1:18" x14ac:dyDescent="0.3">
      <c r="A150">
        <v>39</v>
      </c>
      <c r="B150" s="1">
        <v>44</v>
      </c>
      <c r="C150" s="1" t="s">
        <v>1596</v>
      </c>
      <c r="D150" s="1" t="s">
        <v>1051</v>
      </c>
      <c r="E150" s="1" t="s">
        <v>1597</v>
      </c>
      <c r="F150" s="1" t="s">
        <v>1409</v>
      </c>
      <c r="G150" s="1" t="s">
        <v>1598</v>
      </c>
      <c r="H150" s="1" t="s">
        <v>1390</v>
      </c>
      <c r="I150" s="1" t="s">
        <v>1599</v>
      </c>
      <c r="J150" s="1" t="s">
        <v>1207</v>
      </c>
      <c r="K150" s="1" t="s">
        <v>1089</v>
      </c>
      <c r="L150" s="1" t="s">
        <v>1190</v>
      </c>
      <c r="M150" s="1" t="s">
        <v>1205</v>
      </c>
      <c r="N150">
        <f>_xlfn.NUMBERVALUE(LEFT(Table11[[#This Row],[Score]],FIND("/",Table11[[#This Row],[Score]])-1))</f>
        <v>252</v>
      </c>
      <c r="O150">
        <f>IFERROR(_xlfn.NUMBERVALUE(LEFT(Table11[[#This Row],[Score2 ]],FIND("/",Table11[[#This Row],[Score2 ]])-1)),"")</f>
        <v>240</v>
      </c>
      <c r="P150" t="s">
        <v>158</v>
      </c>
      <c r="Q150" s="1" t="s">
        <v>137</v>
      </c>
      <c r="R150" t="str">
        <f>Table11[[#This Row],[Match]]&amp;" "&amp;Table11[[#This Row],[Over]]</f>
        <v>39 44</v>
      </c>
    </row>
    <row r="151" spans="1:18" x14ac:dyDescent="0.3">
      <c r="A151">
        <v>39</v>
      </c>
      <c r="B151" s="1">
        <v>45</v>
      </c>
      <c r="C151" s="1" t="s">
        <v>1600</v>
      </c>
      <c r="D151" s="1" t="s">
        <v>916</v>
      </c>
      <c r="E151" s="1" t="s">
        <v>1601</v>
      </c>
      <c r="F151" s="1" t="s">
        <v>1409</v>
      </c>
      <c r="G151" s="1" t="s">
        <v>1602</v>
      </c>
      <c r="H151" s="1" t="s">
        <v>947</v>
      </c>
      <c r="I151" s="1" t="s">
        <v>1603</v>
      </c>
      <c r="J151" s="1" t="s">
        <v>1409</v>
      </c>
      <c r="K151" s="1" t="s">
        <v>1168</v>
      </c>
      <c r="L151" s="1" t="s">
        <v>1604</v>
      </c>
      <c r="M151" s="1" t="s">
        <v>1211</v>
      </c>
      <c r="N151">
        <f>_xlfn.NUMBERVALUE(LEFT(Table11[[#This Row],[Score]],FIND("/",Table11[[#This Row],[Score]])-1))</f>
        <v>259</v>
      </c>
      <c r="O151">
        <f>IFERROR(_xlfn.NUMBERVALUE(LEFT(Table11[[#This Row],[Score2 ]],FIND("/",Table11[[#This Row],[Score2 ]])-1)),"")</f>
        <v>249</v>
      </c>
      <c r="P151" t="s">
        <v>158</v>
      </c>
      <c r="Q151" s="1" t="s">
        <v>137</v>
      </c>
      <c r="R151" t="str">
        <f>Table11[[#This Row],[Match]]&amp;" "&amp;Table11[[#This Row],[Over]]</f>
        <v>39 45</v>
      </c>
    </row>
    <row r="152" spans="1:18" x14ac:dyDescent="0.3">
      <c r="A152">
        <v>39</v>
      </c>
      <c r="B152" s="1">
        <v>46</v>
      </c>
      <c r="C152" s="1" t="s">
        <v>1605</v>
      </c>
      <c r="D152" s="1" t="s">
        <v>1566</v>
      </c>
      <c r="E152" s="1" t="s">
        <v>1019</v>
      </c>
      <c r="F152" s="1" t="s">
        <v>1154</v>
      </c>
      <c r="G152" s="1" t="s">
        <v>1606</v>
      </c>
      <c r="H152" s="1" t="s">
        <v>916</v>
      </c>
      <c r="I152" s="1" t="s">
        <v>1607</v>
      </c>
      <c r="J152" s="1" t="s">
        <v>1409</v>
      </c>
      <c r="K152" s="1" t="s">
        <v>1089</v>
      </c>
      <c r="L152" s="1" t="s">
        <v>1608</v>
      </c>
      <c r="M152" s="1" t="s">
        <v>1216</v>
      </c>
      <c r="N152">
        <f>_xlfn.NUMBERVALUE(LEFT(Table11[[#This Row],[Score]],FIND("/",Table11[[#This Row],[Score]])-1))</f>
        <v>276</v>
      </c>
      <c r="O152">
        <f>IFERROR(_xlfn.NUMBERVALUE(LEFT(Table11[[#This Row],[Score2 ]],FIND("/",Table11[[#This Row],[Score2 ]])-1)),"")</f>
        <v>256</v>
      </c>
      <c r="P152" t="s">
        <v>158</v>
      </c>
      <c r="Q152" s="1" t="s">
        <v>137</v>
      </c>
      <c r="R152" t="str">
        <f>Table11[[#This Row],[Match]]&amp;" "&amp;Table11[[#This Row],[Over]]</f>
        <v>39 46</v>
      </c>
    </row>
    <row r="153" spans="1:18" x14ac:dyDescent="0.3">
      <c r="A153">
        <v>39</v>
      </c>
      <c r="B153" s="1">
        <v>47</v>
      </c>
      <c r="C153" s="1" t="s">
        <v>1609</v>
      </c>
      <c r="D153" s="1" t="s">
        <v>930</v>
      </c>
      <c r="E153" s="1" t="s">
        <v>1228</v>
      </c>
      <c r="F153" s="1" t="s">
        <v>1161</v>
      </c>
      <c r="G153" s="1" t="s">
        <v>1410</v>
      </c>
      <c r="H153" s="1" t="s">
        <v>1147</v>
      </c>
      <c r="I153" s="1" t="s">
        <v>1610</v>
      </c>
      <c r="J153" s="1" t="s">
        <v>1611</v>
      </c>
      <c r="K153" s="1" t="s">
        <v>942</v>
      </c>
      <c r="L153" s="1" t="s">
        <v>1566</v>
      </c>
      <c r="M153" s="1" t="s">
        <v>1223</v>
      </c>
      <c r="N153">
        <f>_xlfn.NUMBERVALUE(LEFT(Table11[[#This Row],[Score]],FIND("/",Table11[[#This Row],[Score]])-1))</f>
        <v>284</v>
      </c>
      <c r="O153">
        <f>IFERROR(_xlfn.NUMBERVALUE(LEFT(Table11[[#This Row],[Score2 ]],FIND("/",Table11[[#This Row],[Score2 ]])-1)),"")</f>
        <v>271</v>
      </c>
      <c r="P153" t="s">
        <v>158</v>
      </c>
      <c r="Q153" s="1" t="s">
        <v>137</v>
      </c>
      <c r="R153" t="str">
        <f>Table11[[#This Row],[Match]]&amp;" "&amp;Table11[[#This Row],[Over]]</f>
        <v>39 47</v>
      </c>
    </row>
    <row r="154" spans="1:18" x14ac:dyDescent="0.3">
      <c r="A154">
        <v>39</v>
      </c>
      <c r="B154" s="1">
        <v>48</v>
      </c>
      <c r="C154" s="1" t="s">
        <v>1612</v>
      </c>
      <c r="D154" s="1" t="s">
        <v>898</v>
      </c>
      <c r="E154" s="1" t="s">
        <v>1428</v>
      </c>
      <c r="F154" s="1" t="s">
        <v>1161</v>
      </c>
      <c r="G154" s="1" t="s">
        <v>1613</v>
      </c>
      <c r="H154" s="1" t="s">
        <v>930</v>
      </c>
      <c r="I154" s="1" t="s">
        <v>1420</v>
      </c>
      <c r="J154" s="1" t="s">
        <v>1409</v>
      </c>
      <c r="K154" s="1" t="s">
        <v>1021</v>
      </c>
      <c r="L154" s="1" t="s">
        <v>947</v>
      </c>
      <c r="M154" s="1" t="s">
        <v>1103</v>
      </c>
      <c r="N154">
        <f>_xlfn.NUMBERVALUE(LEFT(Table11[[#This Row],[Score]],FIND("/",Table11[[#This Row],[Score]])-1))</f>
        <v>286</v>
      </c>
      <c r="O154">
        <f>IFERROR(_xlfn.NUMBERVALUE(LEFT(Table11[[#This Row],[Score2 ]],FIND("/",Table11[[#This Row],[Score2 ]])-1)),"")</f>
        <v>279</v>
      </c>
      <c r="P154" t="s">
        <v>158</v>
      </c>
      <c r="Q154" s="1" t="s">
        <v>137</v>
      </c>
      <c r="R154" t="str">
        <f>Table11[[#This Row],[Match]]&amp;" "&amp;Table11[[#This Row],[Over]]</f>
        <v>39 48</v>
      </c>
    </row>
    <row r="155" spans="1:18" x14ac:dyDescent="0.3">
      <c r="A155">
        <v>39</v>
      </c>
      <c r="B155" s="1">
        <v>49</v>
      </c>
      <c r="C155" s="1" t="s">
        <v>1614</v>
      </c>
      <c r="D155" s="1" t="s">
        <v>1615</v>
      </c>
      <c r="E155" s="1" t="s">
        <v>1616</v>
      </c>
      <c r="F155" s="1" t="s">
        <v>1617</v>
      </c>
      <c r="G155" s="1" t="s">
        <v>1618</v>
      </c>
      <c r="H155" s="1" t="s">
        <v>1619</v>
      </c>
      <c r="I155" s="1" t="s">
        <v>1620</v>
      </c>
      <c r="J155" s="1" t="s">
        <v>1621</v>
      </c>
      <c r="K155" s="1" t="s">
        <v>1622</v>
      </c>
      <c r="L155" s="1" t="s">
        <v>1007</v>
      </c>
      <c r="M155" s="1" t="s">
        <v>930</v>
      </c>
      <c r="N155">
        <f>_xlfn.NUMBERVALUE(LEFT(Table11[[#This Row],[Score]],FIND("/",Table11[[#This Row],[Score]])-1))</f>
        <v>287</v>
      </c>
      <c r="O155">
        <f>IFERROR(_xlfn.NUMBERVALUE(LEFT(Table11[[#This Row],[Score2 ]],FIND("/",Table11[[#This Row],[Score2 ]])-1)),"")</f>
        <v>288</v>
      </c>
      <c r="P155" t="s">
        <v>158</v>
      </c>
      <c r="Q155" s="1" t="s">
        <v>137</v>
      </c>
      <c r="R155" t="str">
        <f>Table11[[#This Row],[Match]]&amp;" "&amp;Table11[[#This Row],[Over]]</f>
        <v>39 49</v>
      </c>
    </row>
    <row r="156" spans="1:18" x14ac:dyDescent="0.3">
      <c r="A156">
        <v>21</v>
      </c>
      <c r="B156" s="1" t="s">
        <v>968</v>
      </c>
      <c r="C156" s="1" t="s">
        <v>1232</v>
      </c>
      <c r="D156" s="1" t="s">
        <v>922</v>
      </c>
      <c r="E156" s="1" t="s">
        <v>1019</v>
      </c>
      <c r="F156" s="1" t="s">
        <v>348</v>
      </c>
      <c r="G156" s="1" t="s">
        <v>906</v>
      </c>
      <c r="H156" s="1" t="s">
        <v>998</v>
      </c>
      <c r="I156" s="1" t="s">
        <v>939</v>
      </c>
      <c r="J156" s="1" t="s">
        <v>348</v>
      </c>
      <c r="K156" s="1" t="s">
        <v>1623</v>
      </c>
      <c r="L156" s="1" t="s">
        <v>1624</v>
      </c>
      <c r="M156" s="1" t="s">
        <v>902</v>
      </c>
      <c r="N156">
        <f>_xlfn.NUMBERVALUE(LEFT(Table11[[#This Row],[Score]],FIND("/",Table11[[#This Row],[Score]])-1))</f>
        <v>6</v>
      </c>
      <c r="O156">
        <f>IFERROR(_xlfn.NUMBERVALUE(LEFT(Table11[[#This Row],[Score2 ]],FIND("/",Table11[[#This Row],[Score2 ]])-1)),"")</f>
        <v>4</v>
      </c>
      <c r="P156" t="s">
        <v>164</v>
      </c>
      <c r="Q156" s="1" t="s">
        <v>137</v>
      </c>
      <c r="R156" t="str">
        <f>Table11[[#This Row],[Match]]&amp;" "&amp;Table11[[#This Row],[Over]]</f>
        <v>21 1</v>
      </c>
    </row>
    <row r="157" spans="1:18" x14ac:dyDescent="0.3">
      <c r="A157">
        <v>21</v>
      </c>
      <c r="B157" s="1" t="s">
        <v>898</v>
      </c>
      <c r="C157" s="1" t="s">
        <v>1625</v>
      </c>
      <c r="D157" s="1" t="s">
        <v>968</v>
      </c>
      <c r="E157" s="1" t="s">
        <v>925</v>
      </c>
      <c r="F157" s="1" t="s">
        <v>348</v>
      </c>
      <c r="G157" s="1" t="s">
        <v>903</v>
      </c>
      <c r="H157" s="1" t="s">
        <v>968</v>
      </c>
      <c r="I157" s="1" t="s">
        <v>905</v>
      </c>
      <c r="J157" s="1" t="s">
        <v>348</v>
      </c>
      <c r="K157" s="1" t="s">
        <v>1626</v>
      </c>
      <c r="L157" s="1" t="s">
        <v>1196</v>
      </c>
      <c r="M157" s="1" t="s">
        <v>909</v>
      </c>
      <c r="N157">
        <f>_xlfn.NUMBERVALUE(LEFT(Table11[[#This Row],[Score]],FIND("/",Table11[[#This Row],[Score]])-1))</f>
        <v>7</v>
      </c>
      <c r="O157">
        <f>IFERROR(_xlfn.NUMBERVALUE(LEFT(Table11[[#This Row],[Score2 ]],FIND("/",Table11[[#This Row],[Score2 ]])-1)),"")</f>
        <v>5</v>
      </c>
      <c r="P157" t="s">
        <v>164</v>
      </c>
      <c r="Q157" s="1" t="s">
        <v>137</v>
      </c>
      <c r="R157" t="str">
        <f>Table11[[#This Row],[Match]]&amp;" "&amp;Table11[[#This Row],[Over]]</f>
        <v>21 2</v>
      </c>
    </row>
    <row r="158" spans="1:18" x14ac:dyDescent="0.3">
      <c r="A158">
        <v>21</v>
      </c>
      <c r="B158" s="1" t="s">
        <v>904</v>
      </c>
      <c r="C158" s="1" t="s">
        <v>1243</v>
      </c>
      <c r="D158" s="1" t="s">
        <v>950</v>
      </c>
      <c r="E158" s="1" t="s">
        <v>939</v>
      </c>
      <c r="F158" s="1" t="s">
        <v>348</v>
      </c>
      <c r="G158" s="1" t="s">
        <v>1421</v>
      </c>
      <c r="H158" s="1" t="s">
        <v>950</v>
      </c>
      <c r="I158" s="1" t="s">
        <v>1265</v>
      </c>
      <c r="J158" s="1" t="s">
        <v>348</v>
      </c>
      <c r="K158" s="1" t="s">
        <v>1627</v>
      </c>
      <c r="L158" s="1" t="s">
        <v>1628</v>
      </c>
      <c r="M158" s="1" t="s">
        <v>920</v>
      </c>
      <c r="N158">
        <f>_xlfn.NUMBERVALUE(LEFT(Table11[[#This Row],[Score]],FIND("/",Table11[[#This Row],[Score]])-1))</f>
        <v>12</v>
      </c>
      <c r="O158">
        <f>IFERROR(_xlfn.NUMBERVALUE(LEFT(Table11[[#This Row],[Score2 ]],FIND("/",Table11[[#This Row],[Score2 ]])-1)),"")</f>
        <v>10</v>
      </c>
      <c r="P158" t="s">
        <v>164</v>
      </c>
      <c r="Q158" s="1" t="s">
        <v>137</v>
      </c>
      <c r="R158" t="str">
        <f>Table11[[#This Row],[Match]]&amp;" "&amp;Table11[[#This Row],[Over]]</f>
        <v>21 3</v>
      </c>
    </row>
    <row r="159" spans="1:18" x14ac:dyDescent="0.3">
      <c r="A159">
        <v>21</v>
      </c>
      <c r="B159" s="1" t="s">
        <v>998</v>
      </c>
      <c r="C159" s="1" t="s">
        <v>1243</v>
      </c>
      <c r="D159" s="1" t="s">
        <v>1007</v>
      </c>
      <c r="E159" s="1" t="s">
        <v>1238</v>
      </c>
      <c r="F159" s="1" t="s">
        <v>348</v>
      </c>
      <c r="G159" s="1" t="s">
        <v>1421</v>
      </c>
      <c r="H159" s="1" t="s">
        <v>1007</v>
      </c>
      <c r="I159" s="1" t="s">
        <v>905</v>
      </c>
      <c r="J159" s="1" t="s">
        <v>348</v>
      </c>
      <c r="K159" s="1" t="s">
        <v>1623</v>
      </c>
      <c r="L159" s="1" t="s">
        <v>1628</v>
      </c>
      <c r="M159" s="1" t="s">
        <v>928</v>
      </c>
      <c r="N159">
        <f>_xlfn.NUMBERVALUE(LEFT(Table11[[#This Row],[Score]],FIND("/",Table11[[#This Row],[Score]])-1))</f>
        <v>12</v>
      </c>
      <c r="O159">
        <f>IFERROR(_xlfn.NUMBERVALUE(LEFT(Table11[[#This Row],[Score2 ]],FIND("/",Table11[[#This Row],[Score2 ]])-1)),"")</f>
        <v>10</v>
      </c>
      <c r="P159" t="s">
        <v>164</v>
      </c>
      <c r="Q159" s="1" t="s">
        <v>137</v>
      </c>
      <c r="R159" t="str">
        <f>Table11[[#This Row],[Match]]&amp;" "&amp;Table11[[#This Row],[Over]]</f>
        <v>21 4</v>
      </c>
    </row>
    <row r="160" spans="1:18" x14ac:dyDescent="0.3">
      <c r="A160">
        <v>21</v>
      </c>
      <c r="B160" s="1" t="s">
        <v>950</v>
      </c>
      <c r="C160" s="1" t="s">
        <v>1426</v>
      </c>
      <c r="D160" s="1" t="s">
        <v>968</v>
      </c>
      <c r="E160" s="1" t="s">
        <v>984</v>
      </c>
      <c r="F160" s="1" t="s">
        <v>984</v>
      </c>
      <c r="G160" s="1" t="s">
        <v>1629</v>
      </c>
      <c r="H160" s="1" t="s">
        <v>947</v>
      </c>
      <c r="I160" s="1" t="s">
        <v>990</v>
      </c>
      <c r="J160" s="1" t="s">
        <v>990</v>
      </c>
      <c r="K160" s="1" t="s">
        <v>1630</v>
      </c>
      <c r="L160" s="1" t="s">
        <v>1150</v>
      </c>
      <c r="M160" s="1" t="s">
        <v>937</v>
      </c>
      <c r="N160">
        <f>_xlfn.NUMBERVALUE(LEFT(Table11[[#This Row],[Score]],FIND("/",Table11[[#This Row],[Score]])-1))</f>
        <v>13</v>
      </c>
      <c r="O160">
        <f>IFERROR(_xlfn.NUMBERVALUE(LEFT(Table11[[#This Row],[Score2 ]],FIND("/",Table11[[#This Row],[Score2 ]])-1)),"")</f>
        <v>19</v>
      </c>
      <c r="P160" t="s">
        <v>164</v>
      </c>
      <c r="Q160" s="1" t="s">
        <v>137</v>
      </c>
      <c r="R160" t="str">
        <f>Table11[[#This Row],[Match]]&amp;" "&amp;Table11[[#This Row],[Over]]</f>
        <v>21 5</v>
      </c>
    </row>
    <row r="161" spans="1:18" x14ac:dyDescent="0.3">
      <c r="A161">
        <v>21</v>
      </c>
      <c r="B161" s="1" t="s">
        <v>922</v>
      </c>
      <c r="C161" s="1" t="s">
        <v>1426</v>
      </c>
      <c r="D161" s="1" t="s">
        <v>1007</v>
      </c>
      <c r="E161" s="1" t="s">
        <v>1430</v>
      </c>
      <c r="F161" s="1" t="s">
        <v>1432</v>
      </c>
      <c r="G161" s="1" t="s">
        <v>1631</v>
      </c>
      <c r="H161" s="1" t="s">
        <v>922</v>
      </c>
      <c r="I161" s="1" t="s">
        <v>1632</v>
      </c>
      <c r="J161" s="1" t="s">
        <v>931</v>
      </c>
      <c r="K161" s="1" t="s">
        <v>1633</v>
      </c>
      <c r="L161" s="1" t="s">
        <v>1156</v>
      </c>
      <c r="M161" s="1" t="s">
        <v>945</v>
      </c>
      <c r="N161">
        <f>_xlfn.NUMBERVALUE(LEFT(Table11[[#This Row],[Score]],FIND("/",Table11[[#This Row],[Score]])-1))</f>
        <v>13</v>
      </c>
      <c r="O161">
        <f>IFERROR(_xlfn.NUMBERVALUE(LEFT(Table11[[#This Row],[Score2 ]],FIND("/",Table11[[#This Row],[Score2 ]])-1)),"")</f>
        <v>25</v>
      </c>
      <c r="P161" t="s">
        <v>164</v>
      </c>
      <c r="Q161" s="1" t="s">
        <v>137</v>
      </c>
      <c r="R161" t="str">
        <f>Table11[[#This Row],[Match]]&amp;" "&amp;Table11[[#This Row],[Over]]</f>
        <v>21 6</v>
      </c>
    </row>
    <row r="162" spans="1:18" x14ac:dyDescent="0.3">
      <c r="A162">
        <v>21</v>
      </c>
      <c r="B162" s="1" t="s">
        <v>916</v>
      </c>
      <c r="C162" s="1" t="s">
        <v>1634</v>
      </c>
      <c r="D162" s="1" t="s">
        <v>904</v>
      </c>
      <c r="E162" s="1" t="s">
        <v>1635</v>
      </c>
      <c r="F162" s="1" t="s">
        <v>1636</v>
      </c>
      <c r="G162" s="1" t="s">
        <v>1264</v>
      </c>
      <c r="H162" s="1" t="s">
        <v>950</v>
      </c>
      <c r="I162" s="1" t="s">
        <v>1124</v>
      </c>
      <c r="J162" s="1" t="s">
        <v>969</v>
      </c>
      <c r="K162" s="1" t="s">
        <v>1637</v>
      </c>
      <c r="L162" s="1" t="s">
        <v>1638</v>
      </c>
      <c r="M162" s="1" t="s">
        <v>955</v>
      </c>
      <c r="N162">
        <f>_xlfn.NUMBERVALUE(LEFT(Table11[[#This Row],[Score]],FIND("/",Table11[[#This Row],[Score]])-1))</f>
        <v>16</v>
      </c>
      <c r="O162">
        <f>IFERROR(_xlfn.NUMBERVALUE(LEFT(Table11[[#This Row],[Score2 ]],FIND("/",Table11[[#This Row],[Score2 ]])-1)),"")</f>
        <v>30</v>
      </c>
      <c r="P162" t="s">
        <v>164</v>
      </c>
      <c r="Q162" s="1" t="s">
        <v>137</v>
      </c>
      <c r="R162" t="str">
        <f>Table11[[#This Row],[Match]]&amp;" "&amp;Table11[[#This Row],[Over]]</f>
        <v>21 7</v>
      </c>
    </row>
    <row r="163" spans="1:18" x14ac:dyDescent="0.3">
      <c r="A163">
        <v>21</v>
      </c>
      <c r="B163" s="1" t="s">
        <v>930</v>
      </c>
      <c r="C163" s="1" t="s">
        <v>1434</v>
      </c>
      <c r="D163" s="1" t="s">
        <v>898</v>
      </c>
      <c r="E163" s="1" t="s">
        <v>1242</v>
      </c>
      <c r="F163" s="1" t="s">
        <v>1439</v>
      </c>
      <c r="G163" s="1" t="s">
        <v>941</v>
      </c>
      <c r="H163" s="1" t="s">
        <v>998</v>
      </c>
      <c r="I163" s="1" t="s">
        <v>1074</v>
      </c>
      <c r="J163" s="1" t="s">
        <v>1093</v>
      </c>
      <c r="K163" s="1" t="s">
        <v>1639</v>
      </c>
      <c r="L163" s="1" t="s">
        <v>1640</v>
      </c>
      <c r="M163" s="1" t="s">
        <v>963</v>
      </c>
      <c r="N163">
        <f>_xlfn.NUMBERVALUE(LEFT(Table11[[#This Row],[Score]],FIND("/",Table11[[#This Row],[Score]])-1))</f>
        <v>18</v>
      </c>
      <c r="O163">
        <f>IFERROR(_xlfn.NUMBERVALUE(LEFT(Table11[[#This Row],[Score2 ]],FIND("/",Table11[[#This Row],[Score2 ]])-1)),"")</f>
        <v>34</v>
      </c>
      <c r="P163" t="s">
        <v>164</v>
      </c>
      <c r="Q163" s="1" t="s">
        <v>137</v>
      </c>
      <c r="R163" t="str">
        <f>Table11[[#This Row],[Match]]&amp;" "&amp;Table11[[#This Row],[Over]]</f>
        <v>21 8</v>
      </c>
    </row>
    <row r="164" spans="1:18" x14ac:dyDescent="0.3">
      <c r="A164">
        <v>21</v>
      </c>
      <c r="B164" s="1" t="s">
        <v>947</v>
      </c>
      <c r="C164" s="1" t="s">
        <v>1641</v>
      </c>
      <c r="D164" s="1" t="s">
        <v>922</v>
      </c>
      <c r="E164" s="1" t="s">
        <v>1642</v>
      </c>
      <c r="F164" s="1" t="s">
        <v>1088</v>
      </c>
      <c r="G164" s="1" t="s">
        <v>975</v>
      </c>
      <c r="H164" s="1" t="s">
        <v>1103</v>
      </c>
      <c r="I164" s="1" t="s">
        <v>1643</v>
      </c>
      <c r="J164" s="1" t="s">
        <v>1116</v>
      </c>
      <c r="K164" s="1" t="s">
        <v>1644</v>
      </c>
      <c r="L164" s="1" t="s">
        <v>1645</v>
      </c>
      <c r="M164" s="1" t="s">
        <v>973</v>
      </c>
      <c r="N164">
        <f>_xlfn.NUMBERVALUE(LEFT(Table11[[#This Row],[Score]],FIND("/",Table11[[#This Row],[Score]])-1))</f>
        <v>24</v>
      </c>
      <c r="O164">
        <f>IFERROR(_xlfn.NUMBERVALUE(LEFT(Table11[[#This Row],[Score2 ]],FIND("/",Table11[[#This Row],[Score2 ]])-1)),"")</f>
        <v>46</v>
      </c>
      <c r="P164" t="s">
        <v>164</v>
      </c>
      <c r="Q164" s="1" t="s">
        <v>137</v>
      </c>
      <c r="R164" t="str">
        <f>Table11[[#This Row],[Match]]&amp;" "&amp;Table11[[#This Row],[Over]]</f>
        <v>21 9</v>
      </c>
    </row>
    <row r="165" spans="1:18" x14ac:dyDescent="0.3">
      <c r="A165">
        <v>21</v>
      </c>
      <c r="B165" s="1" t="s">
        <v>1095</v>
      </c>
      <c r="C165" s="1" t="s">
        <v>1646</v>
      </c>
      <c r="D165" s="1" t="s">
        <v>998</v>
      </c>
      <c r="E165" s="1" t="s">
        <v>993</v>
      </c>
      <c r="F165" s="1" t="s">
        <v>1238</v>
      </c>
      <c r="G165" s="1" t="s">
        <v>988</v>
      </c>
      <c r="H165" s="1" t="s">
        <v>922</v>
      </c>
      <c r="I165" s="1" t="s">
        <v>1029</v>
      </c>
      <c r="J165" s="1" t="s">
        <v>960</v>
      </c>
      <c r="K165" s="1" t="s">
        <v>1647</v>
      </c>
      <c r="L165" s="1" t="s">
        <v>1648</v>
      </c>
      <c r="M165" s="1" t="s">
        <v>980</v>
      </c>
      <c r="N165">
        <f>_xlfn.NUMBERVALUE(LEFT(Table11[[#This Row],[Score]],FIND("/",Table11[[#This Row],[Score]])-1))</f>
        <v>28</v>
      </c>
      <c r="O165">
        <f>IFERROR(_xlfn.NUMBERVALUE(LEFT(Table11[[#This Row],[Score2 ]],FIND("/",Table11[[#This Row],[Score2 ]])-1)),"")</f>
        <v>52</v>
      </c>
      <c r="P165" t="s">
        <v>164</v>
      </c>
      <c r="Q165" s="1" t="s">
        <v>137</v>
      </c>
      <c r="R165" t="str">
        <f>Table11[[#This Row],[Match]]&amp;" "&amp;Table11[[#This Row],[Over]]</f>
        <v>21 10</v>
      </c>
    </row>
    <row r="166" spans="1:18" x14ac:dyDescent="0.3">
      <c r="A166">
        <v>21</v>
      </c>
      <c r="B166" s="1" t="s">
        <v>1051</v>
      </c>
      <c r="C166" s="1" t="s">
        <v>1649</v>
      </c>
      <c r="D166" s="1" t="s">
        <v>968</v>
      </c>
      <c r="E166" s="1" t="s">
        <v>1650</v>
      </c>
      <c r="F166" s="1" t="s">
        <v>1259</v>
      </c>
      <c r="G166" s="1" t="s">
        <v>1651</v>
      </c>
      <c r="H166" s="1" t="s">
        <v>916</v>
      </c>
      <c r="I166" s="1" t="s">
        <v>1652</v>
      </c>
      <c r="J166" s="1" t="s">
        <v>1053</v>
      </c>
      <c r="K166" s="1" t="s">
        <v>1653</v>
      </c>
      <c r="L166" s="1" t="s">
        <v>1654</v>
      </c>
      <c r="M166" s="1" t="s">
        <v>987</v>
      </c>
      <c r="N166">
        <f>_xlfn.NUMBERVALUE(LEFT(Table11[[#This Row],[Score]],FIND("/",Table11[[#This Row],[Score]])-1))</f>
        <v>29</v>
      </c>
      <c r="O166">
        <f>IFERROR(_xlfn.NUMBERVALUE(LEFT(Table11[[#This Row],[Score2 ]],FIND("/",Table11[[#This Row],[Score2 ]])-1)),"")</f>
        <v>59</v>
      </c>
      <c r="P166" t="s">
        <v>164</v>
      </c>
      <c r="Q166" s="1" t="s">
        <v>137</v>
      </c>
      <c r="R166" t="str">
        <f>Table11[[#This Row],[Match]]&amp;" "&amp;Table11[[#This Row],[Over]]</f>
        <v>21 11</v>
      </c>
    </row>
    <row r="167" spans="1:18" x14ac:dyDescent="0.3">
      <c r="A167">
        <v>21</v>
      </c>
      <c r="B167" s="1" t="s">
        <v>1103</v>
      </c>
      <c r="C167" s="1" t="s">
        <v>1655</v>
      </c>
      <c r="D167" s="1" t="s">
        <v>950</v>
      </c>
      <c r="E167" s="1" t="s">
        <v>1656</v>
      </c>
      <c r="F167" s="1" t="s">
        <v>977</v>
      </c>
      <c r="G167" s="1" t="s">
        <v>1287</v>
      </c>
      <c r="H167" s="1" t="s">
        <v>898</v>
      </c>
      <c r="I167" s="1" t="s">
        <v>1657</v>
      </c>
      <c r="J167" s="1" t="s">
        <v>970</v>
      </c>
      <c r="K167" s="1" t="s">
        <v>1658</v>
      </c>
      <c r="L167" s="1" t="s">
        <v>1197</v>
      </c>
      <c r="M167" s="1" t="s">
        <v>996</v>
      </c>
      <c r="N167">
        <f>_xlfn.NUMBERVALUE(LEFT(Table11[[#This Row],[Score]],FIND("/",Table11[[#This Row],[Score]])-1))</f>
        <v>34</v>
      </c>
      <c r="O167">
        <f>IFERROR(_xlfn.NUMBERVALUE(LEFT(Table11[[#This Row],[Score2 ]],FIND("/",Table11[[#This Row],[Score2 ]])-1)),"")</f>
        <v>61</v>
      </c>
      <c r="P167" t="s">
        <v>164</v>
      </c>
      <c r="Q167" s="1" t="s">
        <v>137</v>
      </c>
      <c r="R167" t="str">
        <f>Table11[[#This Row],[Match]]&amp;" "&amp;Table11[[#This Row],[Over]]</f>
        <v>21 12</v>
      </c>
    </row>
    <row r="168" spans="1:18" x14ac:dyDescent="0.3">
      <c r="A168">
        <v>21</v>
      </c>
      <c r="B168" s="1" t="s">
        <v>1390</v>
      </c>
      <c r="C168" s="1" t="s">
        <v>1450</v>
      </c>
      <c r="D168" s="1" t="s">
        <v>898</v>
      </c>
      <c r="E168" s="1" t="s">
        <v>1659</v>
      </c>
      <c r="F168" s="1" t="s">
        <v>977</v>
      </c>
      <c r="G168" s="1" t="s">
        <v>1660</v>
      </c>
      <c r="H168" s="1" t="s">
        <v>950</v>
      </c>
      <c r="I168" s="1" t="s">
        <v>1661</v>
      </c>
      <c r="J168" s="1" t="s">
        <v>943</v>
      </c>
      <c r="K168" s="1" t="s">
        <v>1662</v>
      </c>
      <c r="L168" s="1" t="s">
        <v>1663</v>
      </c>
      <c r="M168" s="1" t="s">
        <v>1004</v>
      </c>
      <c r="N168">
        <f>_xlfn.NUMBERVALUE(LEFT(Table11[[#This Row],[Score]],FIND("/",Table11[[#This Row],[Score]])-1))</f>
        <v>36</v>
      </c>
      <c r="O168">
        <f>IFERROR(_xlfn.NUMBERVALUE(LEFT(Table11[[#This Row],[Score2 ]],FIND("/",Table11[[#This Row],[Score2 ]])-1)),"")</f>
        <v>66</v>
      </c>
      <c r="P168" t="s">
        <v>164</v>
      </c>
      <c r="Q168" s="1" t="s">
        <v>137</v>
      </c>
      <c r="R168" t="str">
        <f>Table11[[#This Row],[Match]]&amp;" "&amp;Table11[[#This Row],[Over]]</f>
        <v>21 13</v>
      </c>
    </row>
    <row r="169" spans="1:18" x14ac:dyDescent="0.3">
      <c r="A169">
        <v>21</v>
      </c>
      <c r="B169" s="1" t="s">
        <v>933</v>
      </c>
      <c r="C169" s="1" t="s">
        <v>1450</v>
      </c>
      <c r="D169" s="1" t="s">
        <v>1007</v>
      </c>
      <c r="E169" s="1" t="s">
        <v>1664</v>
      </c>
      <c r="F169" s="1" t="s">
        <v>1088</v>
      </c>
      <c r="G169" s="1" t="s">
        <v>1020</v>
      </c>
      <c r="H169" s="1" t="s">
        <v>922</v>
      </c>
      <c r="I169" s="1" t="s">
        <v>1092</v>
      </c>
      <c r="J169" s="1" t="s">
        <v>1029</v>
      </c>
      <c r="K169" s="1" t="s">
        <v>1665</v>
      </c>
      <c r="L169" s="1" t="s">
        <v>1666</v>
      </c>
      <c r="M169" s="1" t="s">
        <v>1010</v>
      </c>
      <c r="N169">
        <f>_xlfn.NUMBERVALUE(LEFT(Table11[[#This Row],[Score]],FIND("/",Table11[[#This Row],[Score]])-1))</f>
        <v>36</v>
      </c>
      <c r="O169">
        <f>IFERROR(_xlfn.NUMBERVALUE(LEFT(Table11[[#This Row],[Score2 ]],FIND("/",Table11[[#This Row],[Score2 ]])-1)),"")</f>
        <v>72</v>
      </c>
      <c r="P169" t="s">
        <v>164</v>
      </c>
      <c r="Q169" s="1" t="s">
        <v>137</v>
      </c>
      <c r="R169" t="str">
        <f>Table11[[#This Row],[Match]]&amp;" "&amp;Table11[[#This Row],[Over]]</f>
        <v>21 14</v>
      </c>
    </row>
    <row r="170" spans="1:18" x14ac:dyDescent="0.3">
      <c r="A170">
        <v>21</v>
      </c>
      <c r="B170" s="1" t="s">
        <v>1147</v>
      </c>
      <c r="C170" s="1" t="s">
        <v>1667</v>
      </c>
      <c r="D170" s="1" t="s">
        <v>950</v>
      </c>
      <c r="E170" s="1" t="s">
        <v>1668</v>
      </c>
      <c r="F170" s="1" t="s">
        <v>984</v>
      </c>
      <c r="G170" s="1" t="s">
        <v>1307</v>
      </c>
      <c r="H170" s="1" t="s">
        <v>1051</v>
      </c>
      <c r="I170" s="1" t="s">
        <v>1603</v>
      </c>
      <c r="J170" s="1" t="s">
        <v>970</v>
      </c>
      <c r="K170" s="1" t="s">
        <v>1669</v>
      </c>
      <c r="L170" s="1" t="s">
        <v>1670</v>
      </c>
      <c r="M170" s="1" t="s">
        <v>1016</v>
      </c>
      <c r="N170">
        <f>_xlfn.NUMBERVALUE(LEFT(Table11[[#This Row],[Score]],FIND("/",Table11[[#This Row],[Score]])-1))</f>
        <v>41</v>
      </c>
      <c r="O170">
        <f>IFERROR(_xlfn.NUMBERVALUE(LEFT(Table11[[#This Row],[Score2 ]],FIND("/",Table11[[#This Row],[Score2 ]])-1)),"")</f>
        <v>83</v>
      </c>
      <c r="P170" t="s">
        <v>164</v>
      </c>
      <c r="Q170" s="1" t="s">
        <v>137</v>
      </c>
      <c r="R170" t="str">
        <f>Table11[[#This Row],[Match]]&amp;" "&amp;Table11[[#This Row],[Over]]</f>
        <v>21 15</v>
      </c>
    </row>
    <row r="171" spans="1:18" x14ac:dyDescent="0.3">
      <c r="A171">
        <v>21</v>
      </c>
      <c r="B171" s="1" t="s">
        <v>1511</v>
      </c>
      <c r="C171" s="1" t="s">
        <v>1671</v>
      </c>
      <c r="D171" s="1" t="s">
        <v>904</v>
      </c>
      <c r="E171" s="1" t="s">
        <v>1672</v>
      </c>
      <c r="F171" s="1" t="s">
        <v>1238</v>
      </c>
      <c r="G171" s="1" t="s">
        <v>1673</v>
      </c>
      <c r="H171" s="1" t="s">
        <v>950</v>
      </c>
      <c r="I171" s="1" t="s">
        <v>959</v>
      </c>
      <c r="J171" s="1" t="s">
        <v>1013</v>
      </c>
      <c r="K171" s="1" t="s">
        <v>1674</v>
      </c>
      <c r="L171" s="1" t="s">
        <v>1147</v>
      </c>
      <c r="M171" s="1" t="s">
        <v>1024</v>
      </c>
      <c r="N171">
        <f>_xlfn.NUMBERVALUE(LEFT(Table11[[#This Row],[Score]],FIND("/",Table11[[#This Row],[Score]])-1))</f>
        <v>44</v>
      </c>
      <c r="O171">
        <f>IFERROR(_xlfn.NUMBERVALUE(LEFT(Table11[[#This Row],[Score2 ]],FIND("/",Table11[[#This Row],[Score2 ]])-1)),"")</f>
        <v>88</v>
      </c>
      <c r="P171" t="s">
        <v>164</v>
      </c>
      <c r="Q171" s="1" t="s">
        <v>137</v>
      </c>
      <c r="R171" t="str">
        <f>Table11[[#This Row],[Match]]&amp;" "&amp;Table11[[#This Row],[Over]]</f>
        <v>21 16</v>
      </c>
    </row>
    <row r="172" spans="1:18" x14ac:dyDescent="0.3">
      <c r="A172">
        <v>21</v>
      </c>
      <c r="B172" s="1" t="s">
        <v>1566</v>
      </c>
      <c r="C172" s="1" t="s">
        <v>1675</v>
      </c>
      <c r="D172" s="1" t="s">
        <v>1007</v>
      </c>
      <c r="E172" s="1" t="s">
        <v>1676</v>
      </c>
      <c r="F172" s="1" t="s">
        <v>899</v>
      </c>
      <c r="G172" s="1" t="s">
        <v>1038</v>
      </c>
      <c r="H172" s="1" t="s">
        <v>922</v>
      </c>
      <c r="I172" s="1" t="s">
        <v>1677</v>
      </c>
      <c r="J172" s="1" t="s">
        <v>960</v>
      </c>
      <c r="K172" s="1" t="s">
        <v>1678</v>
      </c>
      <c r="L172" s="1" t="s">
        <v>947</v>
      </c>
      <c r="M172" s="1" t="s">
        <v>1031</v>
      </c>
      <c r="N172">
        <f>_xlfn.NUMBERVALUE(LEFT(Table11[[#This Row],[Score]],FIND("/",Table11[[#This Row],[Score]])-1))</f>
        <v>44</v>
      </c>
      <c r="O172">
        <f>IFERROR(_xlfn.NUMBERVALUE(LEFT(Table11[[#This Row],[Score2 ]],FIND("/",Table11[[#This Row],[Score2 ]])-1)),"")</f>
        <v>94</v>
      </c>
      <c r="P172" t="s">
        <v>164</v>
      </c>
      <c r="Q172" s="1" t="s">
        <v>137</v>
      </c>
      <c r="R172" t="str">
        <f>Table11[[#This Row],[Match]]&amp;" "&amp;Table11[[#This Row],[Over]]</f>
        <v>21 17</v>
      </c>
    </row>
    <row r="173" spans="1:18" x14ac:dyDescent="0.3">
      <c r="A173">
        <v>21</v>
      </c>
      <c r="B173" s="1" t="s">
        <v>1223</v>
      </c>
      <c r="C173" s="1" t="s">
        <v>1679</v>
      </c>
      <c r="D173" s="1" t="s">
        <v>950</v>
      </c>
      <c r="E173" s="1" t="s">
        <v>1680</v>
      </c>
      <c r="F173" s="1" t="s">
        <v>984</v>
      </c>
      <c r="G173" s="1" t="s">
        <v>1681</v>
      </c>
      <c r="H173" s="1" t="s">
        <v>922</v>
      </c>
      <c r="I173" s="1" t="s">
        <v>1682</v>
      </c>
      <c r="J173" s="1" t="s">
        <v>1053</v>
      </c>
      <c r="K173" s="1" t="s">
        <v>1683</v>
      </c>
      <c r="L173" s="1" t="s">
        <v>904</v>
      </c>
      <c r="M173" s="1" t="s">
        <v>1037</v>
      </c>
      <c r="N173">
        <f>_xlfn.NUMBERVALUE(LEFT(Table11[[#This Row],[Score]],FIND("/",Table11[[#This Row],[Score]])-1))</f>
        <v>49</v>
      </c>
      <c r="O173">
        <f>IFERROR(_xlfn.NUMBERVALUE(LEFT(Table11[[#This Row],[Score2 ]],FIND("/",Table11[[#This Row],[Score2 ]])-1)),"")</f>
        <v>100</v>
      </c>
      <c r="P173" t="s">
        <v>164</v>
      </c>
      <c r="Q173" s="1" t="s">
        <v>137</v>
      </c>
      <c r="R173" t="str">
        <f>Table11[[#This Row],[Match]]&amp;" "&amp;Table11[[#This Row],[Over]]</f>
        <v>21 18</v>
      </c>
    </row>
    <row r="174" spans="1:18" x14ac:dyDescent="0.3">
      <c r="A174">
        <v>21</v>
      </c>
      <c r="B174" s="1" t="s">
        <v>1684</v>
      </c>
      <c r="C174" s="1" t="s">
        <v>1685</v>
      </c>
      <c r="D174" s="1" t="s">
        <v>898</v>
      </c>
      <c r="E174" s="1" t="s">
        <v>1686</v>
      </c>
      <c r="F174" s="1" t="s">
        <v>1238</v>
      </c>
      <c r="G174" s="1" t="s">
        <v>1687</v>
      </c>
      <c r="H174" s="1" t="s">
        <v>1688</v>
      </c>
      <c r="I174" s="1" t="s">
        <v>1689</v>
      </c>
      <c r="J174" s="1" t="s">
        <v>1690</v>
      </c>
      <c r="K174" s="1" t="s">
        <v>1622</v>
      </c>
      <c r="L174" s="1" t="s">
        <v>1007</v>
      </c>
      <c r="M174" s="1" t="s">
        <v>1332</v>
      </c>
      <c r="N174">
        <f>_xlfn.NUMBERVALUE(LEFT(Table11[[#This Row],[Score]],FIND("/",Table11[[#This Row],[Score]])-1))</f>
        <v>51</v>
      </c>
      <c r="O174">
        <f>IFERROR(_xlfn.NUMBERVALUE(LEFT(Table11[[#This Row],[Score2 ]],FIND("/",Table11[[#This Row],[Score2 ]])-1)),"")</f>
        <v>104</v>
      </c>
      <c r="P174" t="s">
        <v>164</v>
      </c>
      <c r="Q174" s="1" t="s">
        <v>137</v>
      </c>
      <c r="R174" t="str">
        <f>Table11[[#This Row],[Match]]&amp;" "&amp;Table11[[#This Row],[Over]]</f>
        <v>21 19</v>
      </c>
    </row>
    <row r="175" spans="1:18" x14ac:dyDescent="0.3">
      <c r="A175">
        <v>21</v>
      </c>
      <c r="B175" s="1" t="s">
        <v>1670</v>
      </c>
      <c r="C175" s="1" t="s">
        <v>1691</v>
      </c>
      <c r="D175" s="1" t="s">
        <v>904</v>
      </c>
      <c r="E175" s="1" t="s">
        <v>1442</v>
      </c>
      <c r="F175" s="1" t="s">
        <v>984</v>
      </c>
      <c r="N175">
        <f>_xlfn.NUMBERVALUE(LEFT(Table11[[#This Row],[Score]],FIND("/",Table11[[#This Row],[Score]])-1))</f>
        <v>54</v>
      </c>
      <c r="O175" t="str">
        <f>IFERROR(_xlfn.NUMBERVALUE(LEFT(Table11[[#This Row],[Score2 ]],FIND("/",Table11[[#This Row],[Score2 ]])-1)),"")</f>
        <v/>
      </c>
      <c r="P175" t="s">
        <v>164</v>
      </c>
      <c r="Q175" s="1" t="s">
        <v>137</v>
      </c>
      <c r="R175" t="str">
        <f>Table11[[#This Row],[Match]]&amp;" "&amp;Table11[[#This Row],[Over]]</f>
        <v>21 20</v>
      </c>
    </row>
    <row r="176" spans="1:18" x14ac:dyDescent="0.3">
      <c r="A176">
        <v>21</v>
      </c>
      <c r="B176" s="1" t="s">
        <v>1692</v>
      </c>
      <c r="C176" s="1" t="s">
        <v>1693</v>
      </c>
      <c r="D176" s="1" t="s">
        <v>916</v>
      </c>
      <c r="E176" s="1" t="s">
        <v>1694</v>
      </c>
      <c r="F176" s="1" t="s">
        <v>1247</v>
      </c>
      <c r="N176">
        <f>_xlfn.NUMBERVALUE(LEFT(Table11[[#This Row],[Score]],FIND("/",Table11[[#This Row],[Score]])-1))</f>
        <v>61</v>
      </c>
      <c r="O176" t="str">
        <f>IFERROR(_xlfn.NUMBERVALUE(LEFT(Table11[[#This Row],[Score2 ]],FIND("/",Table11[[#This Row],[Score2 ]])-1)),"")</f>
        <v/>
      </c>
      <c r="P176" t="s">
        <v>164</v>
      </c>
      <c r="Q176" s="1" t="s">
        <v>137</v>
      </c>
      <c r="R176" t="str">
        <f>Table11[[#This Row],[Match]]&amp;" "&amp;Table11[[#This Row],[Over]]</f>
        <v>21 21</v>
      </c>
    </row>
    <row r="177" spans="1:18" x14ac:dyDescent="0.3">
      <c r="A177">
        <v>21</v>
      </c>
      <c r="B177" s="1" t="s">
        <v>1695</v>
      </c>
      <c r="C177" s="1" t="s">
        <v>1696</v>
      </c>
      <c r="D177" s="1" t="s">
        <v>922</v>
      </c>
      <c r="E177" s="1" t="s">
        <v>1697</v>
      </c>
      <c r="F177" s="1" t="s">
        <v>976</v>
      </c>
      <c r="N177">
        <f>_xlfn.NUMBERVALUE(LEFT(Table11[[#This Row],[Score]],FIND("/",Table11[[#This Row],[Score]])-1))</f>
        <v>67</v>
      </c>
      <c r="O177" t="str">
        <f>IFERROR(_xlfn.NUMBERVALUE(LEFT(Table11[[#This Row],[Score2 ]],FIND("/",Table11[[#This Row],[Score2 ]])-1)),"")</f>
        <v/>
      </c>
      <c r="P177" t="s">
        <v>164</v>
      </c>
      <c r="Q177" s="1" t="s">
        <v>137</v>
      </c>
      <c r="R177" t="str">
        <f>Table11[[#This Row],[Match]]&amp;" "&amp;Table11[[#This Row],[Over]]</f>
        <v>21 22</v>
      </c>
    </row>
    <row r="178" spans="1:18" x14ac:dyDescent="0.3">
      <c r="A178">
        <v>21</v>
      </c>
      <c r="B178" s="1" t="s">
        <v>1698</v>
      </c>
      <c r="C178" s="1" t="s">
        <v>1699</v>
      </c>
      <c r="D178" s="1" t="s">
        <v>968</v>
      </c>
      <c r="E178" s="1" t="s">
        <v>1700</v>
      </c>
      <c r="F178" s="1" t="s">
        <v>990</v>
      </c>
      <c r="N178">
        <f>_xlfn.NUMBERVALUE(LEFT(Table11[[#This Row],[Score]],FIND("/",Table11[[#This Row],[Score]])-1))</f>
        <v>68</v>
      </c>
      <c r="O178" t="str">
        <f>IFERROR(_xlfn.NUMBERVALUE(LEFT(Table11[[#This Row],[Score2 ]],FIND("/",Table11[[#This Row],[Score2 ]])-1)),"")</f>
        <v/>
      </c>
      <c r="P178" t="s">
        <v>164</v>
      </c>
      <c r="Q178" s="1" t="s">
        <v>137</v>
      </c>
      <c r="R178" t="str">
        <f>Table11[[#This Row],[Match]]&amp;" "&amp;Table11[[#This Row],[Over]]</f>
        <v>21 23</v>
      </c>
    </row>
    <row r="179" spans="1:18" x14ac:dyDescent="0.3">
      <c r="A179">
        <v>21</v>
      </c>
      <c r="B179" s="1" t="s">
        <v>1216</v>
      </c>
      <c r="C179" s="1" t="s">
        <v>1701</v>
      </c>
      <c r="D179" s="1" t="s">
        <v>904</v>
      </c>
      <c r="E179" s="1" t="s">
        <v>1700</v>
      </c>
      <c r="F179" s="1" t="s">
        <v>939</v>
      </c>
      <c r="N179">
        <f>_xlfn.NUMBERVALUE(LEFT(Table11[[#This Row],[Score]],FIND("/",Table11[[#This Row],[Score]])-1))</f>
        <v>71</v>
      </c>
      <c r="O179" t="str">
        <f>IFERROR(_xlfn.NUMBERVALUE(LEFT(Table11[[#This Row],[Score2 ]],FIND("/",Table11[[#This Row],[Score2 ]])-1)),"")</f>
        <v/>
      </c>
      <c r="P179" t="s">
        <v>164</v>
      </c>
      <c r="Q179" s="1" t="s">
        <v>137</v>
      </c>
      <c r="R179" t="str">
        <f>Table11[[#This Row],[Match]]&amp;" "&amp;Table11[[#This Row],[Over]]</f>
        <v>21 24</v>
      </c>
    </row>
    <row r="180" spans="1:18" x14ac:dyDescent="0.3">
      <c r="A180">
        <v>21</v>
      </c>
      <c r="B180" s="1" t="s">
        <v>1578</v>
      </c>
      <c r="C180" s="1" t="s">
        <v>1702</v>
      </c>
      <c r="D180" s="1" t="s">
        <v>968</v>
      </c>
      <c r="E180" s="1" t="s">
        <v>1703</v>
      </c>
      <c r="F180" s="1" t="s">
        <v>977</v>
      </c>
      <c r="N180">
        <f>_xlfn.NUMBERVALUE(LEFT(Table11[[#This Row],[Score]],FIND("/",Table11[[#This Row],[Score]])-1))</f>
        <v>72</v>
      </c>
      <c r="O180" t="str">
        <f>IFERROR(_xlfn.NUMBERVALUE(LEFT(Table11[[#This Row],[Score2 ]],FIND("/",Table11[[#This Row],[Score2 ]])-1)),"")</f>
        <v/>
      </c>
      <c r="P180" t="s">
        <v>164</v>
      </c>
      <c r="Q180" s="1" t="s">
        <v>137</v>
      </c>
      <c r="R180" t="str">
        <f>Table11[[#This Row],[Match]]&amp;" "&amp;Table11[[#This Row],[Over]]</f>
        <v>21 25</v>
      </c>
    </row>
    <row r="181" spans="1:18" x14ac:dyDescent="0.3">
      <c r="A181">
        <v>21</v>
      </c>
      <c r="B181" s="1" t="s">
        <v>1704</v>
      </c>
      <c r="C181" s="1" t="s">
        <v>1705</v>
      </c>
      <c r="D181" s="1" t="s">
        <v>922</v>
      </c>
      <c r="E181" s="1" t="s">
        <v>1238</v>
      </c>
      <c r="F181" s="1" t="s">
        <v>1247</v>
      </c>
      <c r="N181">
        <f>_xlfn.NUMBERVALUE(LEFT(Table11[[#This Row],[Score]],FIND("/",Table11[[#This Row],[Score]])-1))</f>
        <v>78</v>
      </c>
      <c r="O181" t="str">
        <f>IFERROR(_xlfn.NUMBERVALUE(LEFT(Table11[[#This Row],[Score2 ]],FIND("/",Table11[[#This Row],[Score2 ]])-1)),"")</f>
        <v/>
      </c>
      <c r="P181" t="s">
        <v>164</v>
      </c>
      <c r="Q181" s="1" t="s">
        <v>137</v>
      </c>
      <c r="R181" t="str">
        <f>Table11[[#This Row],[Match]]&amp;" "&amp;Table11[[#This Row],[Over]]</f>
        <v>21 26</v>
      </c>
    </row>
    <row r="182" spans="1:18" x14ac:dyDescent="0.3">
      <c r="A182">
        <v>21</v>
      </c>
      <c r="B182" s="1" t="s">
        <v>1706</v>
      </c>
      <c r="C182" s="1" t="s">
        <v>1707</v>
      </c>
      <c r="D182" s="1" t="s">
        <v>922</v>
      </c>
      <c r="E182" s="1" t="s">
        <v>1708</v>
      </c>
      <c r="F182" s="1" t="s">
        <v>1247</v>
      </c>
      <c r="N182">
        <f>_xlfn.NUMBERVALUE(LEFT(Table11[[#This Row],[Score]],FIND("/",Table11[[#This Row],[Score]])-1))</f>
        <v>84</v>
      </c>
      <c r="O182" t="str">
        <f>IFERROR(_xlfn.NUMBERVALUE(LEFT(Table11[[#This Row],[Score2 ]],FIND("/",Table11[[#This Row],[Score2 ]])-1)),"")</f>
        <v/>
      </c>
      <c r="P182" t="s">
        <v>164</v>
      </c>
      <c r="Q182" s="1" t="s">
        <v>137</v>
      </c>
      <c r="R182" t="str">
        <f>Table11[[#This Row],[Match]]&amp;" "&amp;Table11[[#This Row],[Over]]</f>
        <v>21 27</v>
      </c>
    </row>
    <row r="183" spans="1:18" x14ac:dyDescent="0.3">
      <c r="A183">
        <v>21</v>
      </c>
      <c r="B183" s="1" t="s">
        <v>1709</v>
      </c>
      <c r="C183" s="1" t="s">
        <v>1710</v>
      </c>
      <c r="D183" s="1" t="s">
        <v>998</v>
      </c>
      <c r="E183" s="1" t="s">
        <v>1711</v>
      </c>
      <c r="F183" s="1" t="s">
        <v>939</v>
      </c>
      <c r="N183">
        <f>_xlfn.NUMBERVALUE(LEFT(Table11[[#This Row],[Score]],FIND("/",Table11[[#This Row],[Score]])-1))</f>
        <v>88</v>
      </c>
      <c r="O183" t="str">
        <f>IFERROR(_xlfn.NUMBERVALUE(LEFT(Table11[[#This Row],[Score2 ]],FIND("/",Table11[[#This Row],[Score2 ]])-1)),"")</f>
        <v/>
      </c>
      <c r="P183" t="s">
        <v>164</v>
      </c>
      <c r="Q183" s="1" t="s">
        <v>137</v>
      </c>
      <c r="R183" t="str">
        <f>Table11[[#This Row],[Match]]&amp;" "&amp;Table11[[#This Row],[Over]]</f>
        <v>21 28</v>
      </c>
    </row>
    <row r="184" spans="1:18" x14ac:dyDescent="0.3">
      <c r="A184">
        <v>21</v>
      </c>
      <c r="B184" s="1" t="s">
        <v>1712</v>
      </c>
      <c r="C184" s="1" t="s">
        <v>1713</v>
      </c>
      <c r="D184" s="1" t="s">
        <v>898</v>
      </c>
      <c r="E184" s="1" t="s">
        <v>1714</v>
      </c>
      <c r="F184" s="1" t="s">
        <v>990</v>
      </c>
      <c r="N184">
        <f>_xlfn.NUMBERVALUE(LEFT(Table11[[#This Row],[Score]],FIND("/",Table11[[#This Row],[Score]])-1))</f>
        <v>90</v>
      </c>
      <c r="O184" t="str">
        <f>IFERROR(_xlfn.NUMBERVALUE(LEFT(Table11[[#This Row],[Score2 ]],FIND("/",Table11[[#This Row],[Score2 ]])-1)),"")</f>
        <v/>
      </c>
      <c r="P184" t="s">
        <v>164</v>
      </c>
      <c r="Q184" s="1" t="s">
        <v>137</v>
      </c>
      <c r="R184" t="str">
        <f>Table11[[#This Row],[Match]]&amp;" "&amp;Table11[[#This Row],[Over]]</f>
        <v>21 29</v>
      </c>
    </row>
    <row r="185" spans="1:18" x14ac:dyDescent="0.3">
      <c r="A185">
        <v>21</v>
      </c>
      <c r="B185" s="1" t="s">
        <v>1211</v>
      </c>
      <c r="C185" s="1" t="s">
        <v>1715</v>
      </c>
      <c r="D185" s="1" t="s">
        <v>998</v>
      </c>
      <c r="E185" s="1" t="s">
        <v>1716</v>
      </c>
      <c r="F185" s="1" t="s">
        <v>940</v>
      </c>
      <c r="N185">
        <f>_xlfn.NUMBERVALUE(LEFT(Table11[[#This Row],[Score]],FIND("/",Table11[[#This Row],[Score]])-1))</f>
        <v>94</v>
      </c>
      <c r="O185" t="str">
        <f>IFERROR(_xlfn.NUMBERVALUE(LEFT(Table11[[#This Row],[Score2 ]],FIND("/",Table11[[#This Row],[Score2 ]])-1)),"")</f>
        <v/>
      </c>
      <c r="P185" t="s">
        <v>164</v>
      </c>
      <c r="Q185" s="1" t="s">
        <v>137</v>
      </c>
      <c r="R185" t="str">
        <f>Table11[[#This Row],[Match]]&amp;" "&amp;Table11[[#This Row],[Over]]</f>
        <v>21 30</v>
      </c>
    </row>
    <row r="186" spans="1:18" x14ac:dyDescent="0.3">
      <c r="A186">
        <v>21</v>
      </c>
      <c r="B186" s="1" t="s">
        <v>1666</v>
      </c>
      <c r="C186" s="1" t="s">
        <v>1717</v>
      </c>
      <c r="D186" s="1" t="s">
        <v>998</v>
      </c>
      <c r="E186" s="1" t="s">
        <v>1251</v>
      </c>
      <c r="F186" s="1" t="s">
        <v>939</v>
      </c>
      <c r="N186">
        <f>_xlfn.NUMBERVALUE(LEFT(Table11[[#This Row],[Score]],FIND("/",Table11[[#This Row],[Score]])-1))</f>
        <v>98</v>
      </c>
      <c r="O186" t="str">
        <f>IFERROR(_xlfn.NUMBERVALUE(LEFT(Table11[[#This Row],[Score2 ]],FIND("/",Table11[[#This Row],[Score2 ]])-1)),"")</f>
        <v/>
      </c>
      <c r="P186" t="s">
        <v>164</v>
      </c>
      <c r="Q186" s="1" t="s">
        <v>137</v>
      </c>
      <c r="R186" t="str">
        <f>Table11[[#This Row],[Match]]&amp;" "&amp;Table11[[#This Row],[Over]]</f>
        <v>21 31</v>
      </c>
    </row>
    <row r="187" spans="1:18" x14ac:dyDescent="0.3">
      <c r="A187">
        <v>21</v>
      </c>
      <c r="B187" s="1" t="s">
        <v>1608</v>
      </c>
      <c r="C187" s="1" t="s">
        <v>1718</v>
      </c>
      <c r="D187" s="1" t="s">
        <v>1688</v>
      </c>
      <c r="E187" s="1" t="s">
        <v>1719</v>
      </c>
      <c r="F187" s="1" t="s">
        <v>1720</v>
      </c>
      <c r="N187">
        <f>_xlfn.NUMBERVALUE(LEFT(Table11[[#This Row],[Score]],FIND("/",Table11[[#This Row],[Score]])-1))</f>
        <v>102</v>
      </c>
      <c r="O187" t="str">
        <f>IFERROR(_xlfn.NUMBERVALUE(LEFT(Table11[[#This Row],[Score2 ]],FIND("/",Table11[[#This Row],[Score2 ]])-1)),"")</f>
        <v/>
      </c>
      <c r="P187" t="s">
        <v>164</v>
      </c>
      <c r="Q187" s="1" t="s">
        <v>137</v>
      </c>
      <c r="R187" t="str">
        <f>Table11[[#This Row],[Match]]&amp;" "&amp;Table11[[#This Row],[Over]]</f>
        <v>21 32</v>
      </c>
    </row>
    <row r="188" spans="1:18" x14ac:dyDescent="0.3">
      <c r="A188">
        <v>34</v>
      </c>
      <c r="B188" s="1">
        <v>1</v>
      </c>
      <c r="C188" s="1" t="s">
        <v>903</v>
      </c>
      <c r="D188" s="1" t="s">
        <v>950</v>
      </c>
      <c r="E188" s="1" t="s">
        <v>969</v>
      </c>
      <c r="F188" s="1" t="s">
        <v>348</v>
      </c>
      <c r="G188" s="1" t="s">
        <v>903</v>
      </c>
      <c r="H188" s="1" t="s">
        <v>950</v>
      </c>
      <c r="I188" s="1" t="s">
        <v>969</v>
      </c>
      <c r="J188" s="1" t="s">
        <v>348</v>
      </c>
      <c r="K188" s="1" t="s">
        <v>1029</v>
      </c>
      <c r="L188" s="1" t="s">
        <v>979</v>
      </c>
      <c r="M188" s="1" t="s">
        <v>902</v>
      </c>
      <c r="N188">
        <f>_xlfn.NUMBERVALUE(LEFT(Table11[[#This Row],[Score]],FIND("/",Table11[[#This Row],[Score]])-1))</f>
        <v>5</v>
      </c>
      <c r="O188">
        <f>IFERROR(_xlfn.NUMBERVALUE(LEFT(Table11[[#This Row],[Score2 ]],FIND("/",Table11[[#This Row],[Score2 ]])-1)),"")</f>
        <v>5</v>
      </c>
      <c r="P188" t="s">
        <v>169</v>
      </c>
      <c r="Q188" s="1" t="s">
        <v>137</v>
      </c>
      <c r="R188" t="str">
        <f>Table11[[#This Row],[Match]]&amp;" "&amp;Table11[[#This Row],[Over]]</f>
        <v>34 1</v>
      </c>
    </row>
    <row r="189" spans="1:18" x14ac:dyDescent="0.3">
      <c r="A189">
        <v>34</v>
      </c>
      <c r="B189" s="1">
        <v>2</v>
      </c>
      <c r="C189" s="1" t="s">
        <v>1721</v>
      </c>
      <c r="D189" s="1" t="s">
        <v>904</v>
      </c>
      <c r="E189" s="1" t="s">
        <v>939</v>
      </c>
      <c r="F189" s="1" t="s">
        <v>348</v>
      </c>
      <c r="G189" s="1" t="s">
        <v>1721</v>
      </c>
      <c r="H189" s="1" t="s">
        <v>904</v>
      </c>
      <c r="I189" s="1" t="s">
        <v>939</v>
      </c>
      <c r="J189" s="1" t="s">
        <v>348</v>
      </c>
      <c r="K189" s="1" t="s">
        <v>1722</v>
      </c>
      <c r="L189" s="1" t="s">
        <v>963</v>
      </c>
      <c r="M189" s="1" t="s">
        <v>909</v>
      </c>
      <c r="N189">
        <f>_xlfn.NUMBERVALUE(LEFT(Table11[[#This Row],[Score]],FIND("/",Table11[[#This Row],[Score]])-1))</f>
        <v>8</v>
      </c>
      <c r="O189">
        <f>IFERROR(_xlfn.NUMBERVALUE(LEFT(Table11[[#This Row],[Score2 ]],FIND("/",Table11[[#This Row],[Score2 ]])-1)),"")</f>
        <v>8</v>
      </c>
      <c r="P189" t="s">
        <v>169</v>
      </c>
      <c r="Q189" s="1" t="s">
        <v>137</v>
      </c>
      <c r="R189" t="str">
        <f>Table11[[#This Row],[Match]]&amp;" "&amp;Table11[[#This Row],[Over]]</f>
        <v>34 2</v>
      </c>
    </row>
    <row r="190" spans="1:18" x14ac:dyDescent="0.3">
      <c r="A190">
        <v>34</v>
      </c>
      <c r="B190" s="1">
        <v>3</v>
      </c>
      <c r="C190" s="1" t="s">
        <v>1629</v>
      </c>
      <c r="D190" s="1" t="s">
        <v>1051</v>
      </c>
      <c r="E190" s="1" t="s">
        <v>1723</v>
      </c>
      <c r="F190" s="1" t="s">
        <v>348</v>
      </c>
      <c r="G190" s="1" t="s">
        <v>1239</v>
      </c>
      <c r="H190" s="1" t="s">
        <v>998</v>
      </c>
      <c r="I190" s="1" t="s">
        <v>939</v>
      </c>
      <c r="J190" s="1" t="s">
        <v>348</v>
      </c>
      <c r="K190" s="1" t="s">
        <v>1593</v>
      </c>
      <c r="L190" s="1" t="s">
        <v>995</v>
      </c>
      <c r="M190" s="1" t="s">
        <v>920</v>
      </c>
      <c r="N190">
        <f>_xlfn.NUMBERVALUE(LEFT(Table11[[#This Row],[Score]],FIND("/",Table11[[#This Row],[Score]])-1))</f>
        <v>19</v>
      </c>
      <c r="O190">
        <f>IFERROR(_xlfn.NUMBERVALUE(LEFT(Table11[[#This Row],[Score2 ]],FIND("/",Table11[[#This Row],[Score2 ]])-1)),"")</f>
        <v>12</v>
      </c>
      <c r="P190" t="s">
        <v>169</v>
      </c>
      <c r="Q190" s="1" t="s">
        <v>137</v>
      </c>
      <c r="R190" t="str">
        <f>Table11[[#This Row],[Match]]&amp;" "&amp;Table11[[#This Row],[Over]]</f>
        <v>34 3</v>
      </c>
    </row>
    <row r="191" spans="1:18" x14ac:dyDescent="0.3">
      <c r="A191">
        <v>34</v>
      </c>
      <c r="B191" s="1">
        <v>4</v>
      </c>
      <c r="C191" s="1" t="s">
        <v>1724</v>
      </c>
      <c r="D191" s="1" t="s">
        <v>930</v>
      </c>
      <c r="E191" s="1" t="s">
        <v>1009</v>
      </c>
      <c r="F191" s="1" t="s">
        <v>348</v>
      </c>
      <c r="G191" s="1" t="s">
        <v>1725</v>
      </c>
      <c r="H191" s="1" t="s">
        <v>998</v>
      </c>
      <c r="I191" s="1" t="s">
        <v>939</v>
      </c>
      <c r="J191" s="1" t="s">
        <v>348</v>
      </c>
      <c r="K191" s="1" t="s">
        <v>1065</v>
      </c>
      <c r="L191" s="1" t="s">
        <v>1449</v>
      </c>
      <c r="M191" s="1" t="s">
        <v>928</v>
      </c>
      <c r="N191">
        <f>_xlfn.NUMBERVALUE(LEFT(Table11[[#This Row],[Score]],FIND("/",Table11[[#This Row],[Score]])-1))</f>
        <v>27</v>
      </c>
      <c r="O191">
        <f>IFERROR(_xlfn.NUMBERVALUE(LEFT(Table11[[#This Row],[Score2 ]],FIND("/",Table11[[#This Row],[Score2 ]])-1)),"")</f>
        <v>16</v>
      </c>
      <c r="P191" t="s">
        <v>169</v>
      </c>
      <c r="Q191" s="1" t="s">
        <v>137</v>
      </c>
      <c r="R191" t="str">
        <f>Table11[[#This Row],[Match]]&amp;" "&amp;Table11[[#This Row],[Over]]</f>
        <v>34 4</v>
      </c>
    </row>
    <row r="192" spans="1:18" x14ac:dyDescent="0.3">
      <c r="A192">
        <v>34</v>
      </c>
      <c r="B192" s="1">
        <v>5</v>
      </c>
      <c r="C192" s="1" t="s">
        <v>946</v>
      </c>
      <c r="D192" s="1" t="s">
        <v>922</v>
      </c>
      <c r="E192" s="1" t="s">
        <v>960</v>
      </c>
      <c r="F192" s="1" t="s">
        <v>960</v>
      </c>
      <c r="G192" s="1" t="s">
        <v>1726</v>
      </c>
      <c r="H192" s="1" t="s">
        <v>922</v>
      </c>
      <c r="I192" s="1" t="s">
        <v>940</v>
      </c>
      <c r="J192" s="1" t="s">
        <v>940</v>
      </c>
      <c r="K192" s="1" t="s">
        <v>1727</v>
      </c>
      <c r="L192" s="1" t="s">
        <v>1457</v>
      </c>
      <c r="M192" s="1" t="s">
        <v>937</v>
      </c>
      <c r="N192">
        <f>_xlfn.NUMBERVALUE(LEFT(Table11[[#This Row],[Score]],FIND("/",Table11[[#This Row],[Score]])-1))</f>
        <v>33</v>
      </c>
      <c r="O192">
        <f>IFERROR(_xlfn.NUMBERVALUE(LEFT(Table11[[#This Row],[Score2 ]],FIND("/",Table11[[#This Row],[Score2 ]])-1)),"")</f>
        <v>22</v>
      </c>
      <c r="P192" t="s">
        <v>169</v>
      </c>
      <c r="Q192" s="1" t="s">
        <v>137</v>
      </c>
      <c r="R192" t="str">
        <f>Table11[[#This Row],[Match]]&amp;" "&amp;Table11[[#This Row],[Over]]</f>
        <v>34 5</v>
      </c>
    </row>
    <row r="193" spans="1:18" x14ac:dyDescent="0.3">
      <c r="A193">
        <v>34</v>
      </c>
      <c r="B193" s="1">
        <v>6</v>
      </c>
      <c r="C193" s="1" t="s">
        <v>1728</v>
      </c>
      <c r="D193" s="1" t="s">
        <v>922</v>
      </c>
      <c r="E193" s="1" t="s">
        <v>1729</v>
      </c>
      <c r="F193" s="1" t="s">
        <v>1053</v>
      </c>
      <c r="G193" s="1" t="s">
        <v>1730</v>
      </c>
      <c r="H193" s="1" t="s">
        <v>968</v>
      </c>
      <c r="I193" s="1" t="s">
        <v>1731</v>
      </c>
      <c r="J193" s="1" t="s">
        <v>977</v>
      </c>
      <c r="K193" s="1" t="s">
        <v>1732</v>
      </c>
      <c r="L193" s="1" t="s">
        <v>1733</v>
      </c>
      <c r="M193" s="1" t="s">
        <v>945</v>
      </c>
      <c r="N193">
        <f>_xlfn.NUMBERVALUE(LEFT(Table11[[#This Row],[Score]],FIND("/",Table11[[#This Row],[Score]])-1))</f>
        <v>39</v>
      </c>
      <c r="O193">
        <f>IFERROR(_xlfn.NUMBERVALUE(LEFT(Table11[[#This Row],[Score2 ]],FIND("/",Table11[[#This Row],[Score2 ]])-1)),"")</f>
        <v>23</v>
      </c>
      <c r="P193" t="s">
        <v>169</v>
      </c>
      <c r="Q193" s="1" t="s">
        <v>137</v>
      </c>
      <c r="R193" t="str">
        <f>Table11[[#This Row],[Match]]&amp;" "&amp;Table11[[#This Row],[Over]]</f>
        <v>34 6</v>
      </c>
    </row>
    <row r="194" spans="1:18" x14ac:dyDescent="0.3">
      <c r="A194">
        <v>34</v>
      </c>
      <c r="B194" s="1">
        <v>7</v>
      </c>
      <c r="C194" s="1" t="s">
        <v>1734</v>
      </c>
      <c r="D194" s="1" t="s">
        <v>930</v>
      </c>
      <c r="E194" s="1" t="s">
        <v>1735</v>
      </c>
      <c r="F194" s="1" t="s">
        <v>1168</v>
      </c>
      <c r="G194" s="1" t="s">
        <v>1736</v>
      </c>
      <c r="H194" s="1" t="s">
        <v>1390</v>
      </c>
      <c r="I194" s="1" t="s">
        <v>1092</v>
      </c>
      <c r="J194" s="1" t="s">
        <v>934</v>
      </c>
      <c r="K194" s="1" t="s">
        <v>1029</v>
      </c>
      <c r="L194" s="1" t="s">
        <v>1306</v>
      </c>
      <c r="M194" s="1" t="s">
        <v>955</v>
      </c>
      <c r="N194">
        <f>_xlfn.NUMBERVALUE(LEFT(Table11[[#This Row],[Score]],FIND("/",Table11[[#This Row],[Score]])-1))</f>
        <v>47</v>
      </c>
      <c r="O194">
        <f>IFERROR(_xlfn.NUMBERVALUE(LEFT(Table11[[#This Row],[Score2 ]],FIND("/",Table11[[#This Row],[Score2 ]])-1)),"")</f>
        <v>36</v>
      </c>
      <c r="P194" t="s">
        <v>169</v>
      </c>
      <c r="Q194" s="1" t="s">
        <v>137</v>
      </c>
      <c r="R194" t="str">
        <f>Table11[[#This Row],[Match]]&amp;" "&amp;Table11[[#This Row],[Over]]</f>
        <v>34 7</v>
      </c>
    </row>
    <row r="195" spans="1:18" x14ac:dyDescent="0.3">
      <c r="A195">
        <v>34</v>
      </c>
      <c r="B195" s="1">
        <v>8</v>
      </c>
      <c r="C195" s="1" t="s">
        <v>1737</v>
      </c>
      <c r="D195" s="1" t="s">
        <v>922</v>
      </c>
      <c r="E195" s="1" t="s">
        <v>1738</v>
      </c>
      <c r="F195" s="1" t="s">
        <v>1053</v>
      </c>
      <c r="G195" s="1" t="s">
        <v>1739</v>
      </c>
      <c r="H195" s="1" t="s">
        <v>930</v>
      </c>
      <c r="I195" s="1" t="s">
        <v>959</v>
      </c>
      <c r="J195" s="1" t="s">
        <v>943</v>
      </c>
      <c r="K195" s="1" t="s">
        <v>1092</v>
      </c>
      <c r="L195" s="1" t="s">
        <v>1010</v>
      </c>
      <c r="M195" s="1" t="s">
        <v>963</v>
      </c>
      <c r="N195">
        <f>_xlfn.NUMBERVALUE(LEFT(Table11[[#This Row],[Score]],FIND("/",Table11[[#This Row],[Score]])-1))</f>
        <v>53</v>
      </c>
      <c r="O195">
        <f>IFERROR(_xlfn.NUMBERVALUE(LEFT(Table11[[#This Row],[Score2 ]],FIND("/",Table11[[#This Row],[Score2 ]])-1)),"")</f>
        <v>44</v>
      </c>
      <c r="P195" t="s">
        <v>169</v>
      </c>
      <c r="Q195" s="1" t="s">
        <v>137</v>
      </c>
      <c r="R195" t="str">
        <f>Table11[[#This Row],[Match]]&amp;" "&amp;Table11[[#This Row],[Over]]</f>
        <v>34 8</v>
      </c>
    </row>
    <row r="196" spans="1:18" x14ac:dyDescent="0.3">
      <c r="A196">
        <v>34</v>
      </c>
      <c r="B196" s="1">
        <v>9</v>
      </c>
      <c r="C196" s="1" t="s">
        <v>1740</v>
      </c>
      <c r="D196" s="1" t="s">
        <v>998</v>
      </c>
      <c r="E196" s="1" t="s">
        <v>1723</v>
      </c>
      <c r="F196" s="1" t="s">
        <v>1019</v>
      </c>
      <c r="G196" s="1" t="s">
        <v>1741</v>
      </c>
      <c r="H196" s="1" t="s">
        <v>1223</v>
      </c>
      <c r="I196" s="1" t="s">
        <v>1742</v>
      </c>
      <c r="J196" s="1" t="s">
        <v>1200</v>
      </c>
      <c r="K196" s="1" t="s">
        <v>1026</v>
      </c>
      <c r="L196" s="1" t="s">
        <v>1031</v>
      </c>
      <c r="M196" s="1" t="s">
        <v>973</v>
      </c>
      <c r="N196">
        <f>_xlfn.NUMBERVALUE(LEFT(Table11[[#This Row],[Score]],FIND("/",Table11[[#This Row],[Score]])-1))</f>
        <v>57</v>
      </c>
      <c r="O196">
        <f>IFERROR(_xlfn.NUMBERVALUE(LEFT(Table11[[#This Row],[Score2 ]],FIND("/",Table11[[#This Row],[Score2 ]])-1)),"")</f>
        <v>62</v>
      </c>
      <c r="P196" t="s">
        <v>169</v>
      </c>
      <c r="Q196" s="1" t="s">
        <v>137</v>
      </c>
      <c r="R196" t="str">
        <f>Table11[[#This Row],[Match]]&amp;" "&amp;Table11[[#This Row],[Over]]</f>
        <v>34 9</v>
      </c>
    </row>
    <row r="197" spans="1:18" x14ac:dyDescent="0.3">
      <c r="A197">
        <v>34</v>
      </c>
      <c r="B197" s="1">
        <v>10</v>
      </c>
      <c r="C197" s="1" t="s">
        <v>1743</v>
      </c>
      <c r="D197" s="1" t="s">
        <v>904</v>
      </c>
      <c r="E197" s="1" t="s">
        <v>1019</v>
      </c>
      <c r="F197" s="1" t="s">
        <v>966</v>
      </c>
      <c r="G197" s="1" t="s">
        <v>1744</v>
      </c>
      <c r="H197" s="1" t="s">
        <v>1051</v>
      </c>
      <c r="I197" s="1" t="s">
        <v>1745</v>
      </c>
      <c r="J197" s="1" t="s">
        <v>1746</v>
      </c>
      <c r="K197" s="1" t="s">
        <v>1747</v>
      </c>
      <c r="L197" s="1" t="s">
        <v>1332</v>
      </c>
      <c r="M197" s="1" t="s">
        <v>980</v>
      </c>
      <c r="N197">
        <f>_xlfn.NUMBERVALUE(LEFT(Table11[[#This Row],[Score]],FIND("/",Table11[[#This Row],[Score]])-1))</f>
        <v>60</v>
      </c>
      <c r="O197">
        <f>IFERROR(_xlfn.NUMBERVALUE(LEFT(Table11[[#This Row],[Score2 ]],FIND("/",Table11[[#This Row],[Score2 ]])-1)),"")</f>
        <v>73</v>
      </c>
      <c r="P197" t="s">
        <v>169</v>
      </c>
      <c r="Q197" s="1" t="s">
        <v>137</v>
      </c>
      <c r="R197" t="str">
        <f>Table11[[#This Row],[Match]]&amp;" "&amp;Table11[[#This Row],[Over]]</f>
        <v>34 10</v>
      </c>
    </row>
    <row r="198" spans="1:18" x14ac:dyDescent="0.3">
      <c r="A198">
        <v>34</v>
      </c>
      <c r="B198" s="1">
        <v>11</v>
      </c>
      <c r="C198" s="1" t="s">
        <v>1748</v>
      </c>
      <c r="D198" s="1" t="s">
        <v>998</v>
      </c>
      <c r="E198" s="1" t="s">
        <v>1420</v>
      </c>
      <c r="F198" s="1" t="s">
        <v>969</v>
      </c>
      <c r="G198" s="1" t="s">
        <v>1749</v>
      </c>
      <c r="H198" s="1" t="s">
        <v>968</v>
      </c>
      <c r="I198" s="1" t="s">
        <v>1030</v>
      </c>
      <c r="J198" s="1" t="s">
        <v>1746</v>
      </c>
      <c r="K198" s="1" t="s">
        <v>1187</v>
      </c>
      <c r="L198" s="1" t="s">
        <v>1043</v>
      </c>
      <c r="M198" s="1" t="s">
        <v>987</v>
      </c>
      <c r="N198">
        <f>_xlfn.NUMBERVALUE(LEFT(Table11[[#This Row],[Score]],FIND("/",Table11[[#This Row],[Score]])-1))</f>
        <v>64</v>
      </c>
      <c r="O198">
        <f>IFERROR(_xlfn.NUMBERVALUE(LEFT(Table11[[#This Row],[Score2 ]],FIND("/",Table11[[#This Row],[Score2 ]])-1)),"")</f>
        <v>74</v>
      </c>
      <c r="P198" t="s">
        <v>169</v>
      </c>
      <c r="Q198" s="1" t="s">
        <v>137</v>
      </c>
      <c r="R198" t="str">
        <f>Table11[[#This Row],[Match]]&amp;" "&amp;Table11[[#This Row],[Over]]</f>
        <v>34 11</v>
      </c>
    </row>
    <row r="199" spans="1:18" x14ac:dyDescent="0.3">
      <c r="A199">
        <v>34</v>
      </c>
      <c r="B199" s="1">
        <v>12</v>
      </c>
      <c r="C199" s="1" t="s">
        <v>1750</v>
      </c>
      <c r="D199" s="1" t="s">
        <v>950</v>
      </c>
      <c r="E199" s="1" t="s">
        <v>1601</v>
      </c>
      <c r="F199" s="1" t="s">
        <v>940</v>
      </c>
      <c r="G199" s="1" t="s">
        <v>1751</v>
      </c>
      <c r="H199" s="1" t="s">
        <v>998</v>
      </c>
      <c r="I199" s="1" t="s">
        <v>1729</v>
      </c>
      <c r="J199" s="1" t="s">
        <v>1335</v>
      </c>
      <c r="K199" s="1" t="s">
        <v>1180</v>
      </c>
      <c r="L199" s="1" t="s">
        <v>1097</v>
      </c>
      <c r="M199" s="1" t="s">
        <v>996</v>
      </c>
      <c r="N199">
        <f>_xlfn.NUMBERVALUE(LEFT(Table11[[#This Row],[Score]],FIND("/",Table11[[#This Row],[Score]])-1))</f>
        <v>69</v>
      </c>
      <c r="O199">
        <f>IFERROR(_xlfn.NUMBERVALUE(LEFT(Table11[[#This Row],[Score2 ]],FIND("/",Table11[[#This Row],[Score2 ]])-1)),"")</f>
        <v>78</v>
      </c>
      <c r="P199" t="s">
        <v>169</v>
      </c>
      <c r="Q199" s="1" t="s">
        <v>137</v>
      </c>
      <c r="R199" t="str">
        <f>Table11[[#This Row],[Match]]&amp;" "&amp;Table11[[#This Row],[Over]]</f>
        <v>34 12</v>
      </c>
    </row>
    <row r="200" spans="1:18" x14ac:dyDescent="0.3">
      <c r="A200">
        <v>34</v>
      </c>
      <c r="B200" s="1">
        <v>13</v>
      </c>
      <c r="C200" s="1" t="s">
        <v>1744</v>
      </c>
      <c r="D200" s="1" t="s">
        <v>998</v>
      </c>
      <c r="E200" s="1" t="s">
        <v>1752</v>
      </c>
      <c r="F200" s="1" t="s">
        <v>939</v>
      </c>
      <c r="G200" s="1" t="s">
        <v>1753</v>
      </c>
      <c r="H200" s="1" t="s">
        <v>930</v>
      </c>
      <c r="I200" s="1" t="s">
        <v>1754</v>
      </c>
      <c r="J200" s="1" t="s">
        <v>1335</v>
      </c>
      <c r="K200" s="1" t="s">
        <v>1321</v>
      </c>
      <c r="L200" s="1" t="s">
        <v>1056</v>
      </c>
      <c r="M200" s="1" t="s">
        <v>1004</v>
      </c>
      <c r="N200">
        <f>_xlfn.NUMBERVALUE(LEFT(Table11[[#This Row],[Score]],FIND("/",Table11[[#This Row],[Score]])-1))</f>
        <v>73</v>
      </c>
      <c r="O200">
        <f>IFERROR(_xlfn.NUMBERVALUE(LEFT(Table11[[#This Row],[Score2 ]],FIND("/",Table11[[#This Row],[Score2 ]])-1)),"")</f>
        <v>86</v>
      </c>
      <c r="P200" t="s">
        <v>169</v>
      </c>
      <c r="Q200" s="1" t="s">
        <v>137</v>
      </c>
      <c r="R200" t="str">
        <f>Table11[[#This Row],[Match]]&amp;" "&amp;Table11[[#This Row],[Over]]</f>
        <v>34 13</v>
      </c>
    </row>
    <row r="201" spans="1:18" x14ac:dyDescent="0.3">
      <c r="A201">
        <v>34</v>
      </c>
      <c r="B201" s="1">
        <v>14</v>
      </c>
      <c r="C201" s="1" t="s">
        <v>1755</v>
      </c>
      <c r="D201" s="1" t="s">
        <v>1103</v>
      </c>
      <c r="E201" s="1" t="s">
        <v>1756</v>
      </c>
      <c r="F201" s="1" t="s">
        <v>934</v>
      </c>
      <c r="G201" s="1" t="s">
        <v>1757</v>
      </c>
      <c r="H201" s="1" t="s">
        <v>1390</v>
      </c>
      <c r="I201" s="1" t="s">
        <v>1495</v>
      </c>
      <c r="J201" s="1" t="s">
        <v>1068</v>
      </c>
      <c r="K201" s="1" t="s">
        <v>1316</v>
      </c>
      <c r="L201" s="1" t="s">
        <v>1355</v>
      </c>
      <c r="M201" s="1" t="s">
        <v>1010</v>
      </c>
      <c r="N201">
        <f>_xlfn.NUMBERVALUE(LEFT(Table11[[#This Row],[Score]],FIND("/",Table11[[#This Row],[Score]])-1))</f>
        <v>85</v>
      </c>
      <c r="O201">
        <f>IFERROR(_xlfn.NUMBERVALUE(LEFT(Table11[[#This Row],[Score2 ]],FIND("/",Table11[[#This Row],[Score2 ]])-1)),"")</f>
        <v>99</v>
      </c>
      <c r="P201" t="s">
        <v>169</v>
      </c>
      <c r="Q201" s="1" t="s">
        <v>137</v>
      </c>
      <c r="R201" t="str">
        <f>Table11[[#This Row],[Match]]&amp;" "&amp;Table11[[#This Row],[Over]]</f>
        <v>34 14</v>
      </c>
    </row>
    <row r="202" spans="1:18" x14ac:dyDescent="0.3">
      <c r="A202">
        <v>34</v>
      </c>
      <c r="B202" s="1">
        <v>15</v>
      </c>
      <c r="C202" s="1" t="s">
        <v>1032</v>
      </c>
      <c r="D202" s="1" t="s">
        <v>998</v>
      </c>
      <c r="E202" s="1" t="s">
        <v>1425</v>
      </c>
      <c r="F202" s="1" t="s">
        <v>1013</v>
      </c>
      <c r="G202" s="1" t="s">
        <v>1758</v>
      </c>
      <c r="H202" s="1" t="s">
        <v>998</v>
      </c>
      <c r="I202" s="1" t="s">
        <v>1279</v>
      </c>
      <c r="J202" s="1" t="s">
        <v>1019</v>
      </c>
      <c r="K202" s="1" t="s">
        <v>1759</v>
      </c>
      <c r="L202" s="1" t="s">
        <v>1363</v>
      </c>
      <c r="M202" s="1" t="s">
        <v>1016</v>
      </c>
      <c r="N202">
        <f>_xlfn.NUMBERVALUE(LEFT(Table11[[#This Row],[Score]],FIND("/",Table11[[#This Row],[Score]])-1))</f>
        <v>89</v>
      </c>
      <c r="O202">
        <f>IFERROR(_xlfn.NUMBERVALUE(LEFT(Table11[[#This Row],[Score2 ]],FIND("/",Table11[[#This Row],[Score2 ]])-1)),"")</f>
        <v>103</v>
      </c>
      <c r="P202" t="s">
        <v>169</v>
      </c>
      <c r="Q202" s="1" t="s">
        <v>137</v>
      </c>
      <c r="R202" t="str">
        <f>Table11[[#This Row],[Match]]&amp;" "&amp;Table11[[#This Row],[Over]]</f>
        <v>34 15</v>
      </c>
    </row>
    <row r="203" spans="1:18" x14ac:dyDescent="0.3">
      <c r="A203">
        <v>34</v>
      </c>
      <c r="B203" s="1">
        <v>16</v>
      </c>
      <c r="C203" s="1" t="s">
        <v>1760</v>
      </c>
      <c r="D203" s="1" t="s">
        <v>898</v>
      </c>
      <c r="E203" s="1" t="s">
        <v>1761</v>
      </c>
      <c r="F203" s="1" t="s">
        <v>966</v>
      </c>
      <c r="G203" s="1" t="s">
        <v>1762</v>
      </c>
      <c r="H203" s="1" t="s">
        <v>998</v>
      </c>
      <c r="I203" s="1" t="s">
        <v>1015</v>
      </c>
      <c r="J203" s="1" t="s">
        <v>960</v>
      </c>
      <c r="K203" s="1" t="s">
        <v>1021</v>
      </c>
      <c r="L203" s="1" t="s">
        <v>1763</v>
      </c>
      <c r="M203" s="1" t="s">
        <v>1024</v>
      </c>
      <c r="N203">
        <f>_xlfn.NUMBERVALUE(LEFT(Table11[[#This Row],[Score]],FIND("/",Table11[[#This Row],[Score]])-1))</f>
        <v>91</v>
      </c>
      <c r="O203">
        <f>IFERROR(_xlfn.NUMBERVALUE(LEFT(Table11[[#This Row],[Score2 ]],FIND("/",Table11[[#This Row],[Score2 ]])-1)),"")</f>
        <v>107</v>
      </c>
      <c r="P203" t="s">
        <v>169</v>
      </c>
      <c r="Q203" s="1" t="s">
        <v>137</v>
      </c>
      <c r="R203" t="str">
        <f>Table11[[#This Row],[Match]]&amp;" "&amp;Table11[[#This Row],[Over]]</f>
        <v>34 16</v>
      </c>
    </row>
    <row r="204" spans="1:18" x14ac:dyDescent="0.3">
      <c r="A204">
        <v>34</v>
      </c>
      <c r="B204" s="1">
        <v>17</v>
      </c>
      <c r="C204" s="1" t="s">
        <v>1764</v>
      </c>
      <c r="D204" s="1" t="s">
        <v>968</v>
      </c>
      <c r="E204" s="1" t="s">
        <v>1373</v>
      </c>
      <c r="F204" s="1" t="s">
        <v>976</v>
      </c>
      <c r="G204" s="1" t="s">
        <v>1765</v>
      </c>
      <c r="H204" s="1" t="s">
        <v>933</v>
      </c>
      <c r="I204" s="1" t="s">
        <v>1286</v>
      </c>
      <c r="J204" s="1" t="s">
        <v>1414</v>
      </c>
      <c r="K204" s="1" t="s">
        <v>1130</v>
      </c>
      <c r="L204" s="1" t="s">
        <v>1544</v>
      </c>
      <c r="M204" s="1" t="s">
        <v>1031</v>
      </c>
      <c r="N204">
        <f>_xlfn.NUMBERVALUE(LEFT(Table11[[#This Row],[Score]],FIND("/",Table11[[#This Row],[Score]])-1))</f>
        <v>92</v>
      </c>
      <c r="O204">
        <f>IFERROR(_xlfn.NUMBERVALUE(LEFT(Table11[[#This Row],[Score2 ]],FIND("/",Table11[[#This Row],[Score2 ]])-1)),"")</f>
        <v>121</v>
      </c>
      <c r="P204" t="s">
        <v>169</v>
      </c>
      <c r="Q204" s="1" t="s">
        <v>137</v>
      </c>
      <c r="R204" t="str">
        <f>Table11[[#This Row],[Match]]&amp;" "&amp;Table11[[#This Row],[Over]]</f>
        <v>34 17</v>
      </c>
    </row>
    <row r="205" spans="1:18" x14ac:dyDescent="0.3">
      <c r="A205">
        <v>34</v>
      </c>
      <c r="B205" s="1">
        <v>18</v>
      </c>
      <c r="C205" s="1" t="s">
        <v>1766</v>
      </c>
      <c r="D205" s="1" t="s">
        <v>968</v>
      </c>
      <c r="E205" s="1" t="s">
        <v>1587</v>
      </c>
      <c r="F205" s="1" t="s">
        <v>939</v>
      </c>
      <c r="G205" s="1" t="s">
        <v>1767</v>
      </c>
      <c r="H205" s="1" t="s">
        <v>998</v>
      </c>
      <c r="I205" s="1" t="s">
        <v>1768</v>
      </c>
      <c r="J205" s="1" t="s">
        <v>1168</v>
      </c>
      <c r="K205" s="1" t="s">
        <v>1130</v>
      </c>
      <c r="L205" s="1" t="s">
        <v>1769</v>
      </c>
      <c r="M205" s="1" t="s">
        <v>1037</v>
      </c>
      <c r="N205">
        <f>_xlfn.NUMBERVALUE(LEFT(Table11[[#This Row],[Score]],FIND("/",Table11[[#This Row],[Score]])-1))</f>
        <v>93</v>
      </c>
      <c r="O205">
        <f>IFERROR(_xlfn.NUMBERVALUE(LEFT(Table11[[#This Row],[Score2 ]],FIND("/",Table11[[#This Row],[Score2 ]])-1)),"")</f>
        <v>125</v>
      </c>
      <c r="P205" t="s">
        <v>169</v>
      </c>
      <c r="Q205" s="1" t="s">
        <v>137</v>
      </c>
      <c r="R205" t="str">
        <f>Table11[[#This Row],[Match]]&amp;" "&amp;Table11[[#This Row],[Over]]</f>
        <v>34 18</v>
      </c>
    </row>
    <row r="206" spans="1:18" x14ac:dyDescent="0.3">
      <c r="A206">
        <v>34</v>
      </c>
      <c r="B206" s="1">
        <v>19</v>
      </c>
      <c r="C206" s="1" t="s">
        <v>1766</v>
      </c>
      <c r="D206" s="1" t="s">
        <v>1007</v>
      </c>
      <c r="E206" s="1" t="s">
        <v>1153</v>
      </c>
      <c r="F206" s="1" t="s">
        <v>1770</v>
      </c>
      <c r="G206" s="1" t="s">
        <v>1771</v>
      </c>
      <c r="H206" s="1" t="s">
        <v>947</v>
      </c>
      <c r="I206" s="1" t="s">
        <v>1290</v>
      </c>
      <c r="J206" s="1" t="s">
        <v>952</v>
      </c>
      <c r="K206" s="1" t="s">
        <v>1288</v>
      </c>
      <c r="L206" s="1" t="s">
        <v>1108</v>
      </c>
      <c r="M206" s="1" t="s">
        <v>1043</v>
      </c>
      <c r="N206">
        <f>_xlfn.NUMBERVALUE(LEFT(Table11[[#This Row],[Score]],FIND("/",Table11[[#This Row],[Score]])-1))</f>
        <v>93</v>
      </c>
      <c r="O206">
        <f>IFERROR(_xlfn.NUMBERVALUE(LEFT(Table11[[#This Row],[Score2 ]],FIND("/",Table11[[#This Row],[Score2 ]])-1)),"")</f>
        <v>134</v>
      </c>
      <c r="P206" t="s">
        <v>169</v>
      </c>
      <c r="Q206" s="1" t="s">
        <v>137</v>
      </c>
      <c r="R206" t="str">
        <f>Table11[[#This Row],[Match]]&amp;" "&amp;Table11[[#This Row],[Over]]</f>
        <v>34 19</v>
      </c>
    </row>
    <row r="207" spans="1:18" x14ac:dyDescent="0.3">
      <c r="A207">
        <v>34</v>
      </c>
      <c r="B207" s="1">
        <v>20</v>
      </c>
      <c r="C207" s="1" t="s">
        <v>1772</v>
      </c>
      <c r="D207" s="1" t="s">
        <v>904</v>
      </c>
      <c r="E207" s="1" t="s">
        <v>1093</v>
      </c>
      <c r="F207" s="1" t="s">
        <v>1432</v>
      </c>
      <c r="G207" s="1" t="s">
        <v>1773</v>
      </c>
      <c r="H207" s="1" t="s">
        <v>1095</v>
      </c>
      <c r="I207" s="1" t="s">
        <v>1116</v>
      </c>
      <c r="J207" s="1" t="s">
        <v>1405</v>
      </c>
      <c r="K207" s="1" t="s">
        <v>1497</v>
      </c>
      <c r="L207" s="1" t="s">
        <v>1774</v>
      </c>
      <c r="M207" s="1" t="s">
        <v>1049</v>
      </c>
      <c r="N207">
        <f>_xlfn.NUMBERVALUE(LEFT(Table11[[#This Row],[Score]],FIND("/",Table11[[#This Row],[Score]])-1))</f>
        <v>96</v>
      </c>
      <c r="O207">
        <f>IFERROR(_xlfn.NUMBERVALUE(LEFT(Table11[[#This Row],[Score2 ]],FIND("/",Table11[[#This Row],[Score2 ]])-1)),"")</f>
        <v>144</v>
      </c>
      <c r="P207" t="s">
        <v>169</v>
      </c>
      <c r="Q207" s="1" t="s">
        <v>137</v>
      </c>
      <c r="R207" t="str">
        <f>Table11[[#This Row],[Match]]&amp;" "&amp;Table11[[#This Row],[Over]]</f>
        <v>34 20</v>
      </c>
    </row>
    <row r="208" spans="1:18" x14ac:dyDescent="0.3">
      <c r="A208">
        <v>34</v>
      </c>
      <c r="B208" s="1">
        <v>21</v>
      </c>
      <c r="C208" s="1" t="s">
        <v>1054</v>
      </c>
      <c r="D208" s="1" t="s">
        <v>968</v>
      </c>
      <c r="E208" s="1" t="s">
        <v>1055</v>
      </c>
      <c r="F208" s="1" t="s">
        <v>1439</v>
      </c>
      <c r="G208" s="1" t="s">
        <v>1775</v>
      </c>
      <c r="H208" s="1" t="s">
        <v>930</v>
      </c>
      <c r="I208" s="1" t="s">
        <v>1776</v>
      </c>
      <c r="J208" s="1" t="s">
        <v>1161</v>
      </c>
      <c r="K208" s="1" t="s">
        <v>1493</v>
      </c>
      <c r="L208" s="1" t="s">
        <v>1127</v>
      </c>
      <c r="M208" s="1" t="s">
        <v>1056</v>
      </c>
      <c r="N208">
        <f>_xlfn.NUMBERVALUE(LEFT(Table11[[#This Row],[Score]],FIND("/",Table11[[#This Row],[Score]])-1))</f>
        <v>97</v>
      </c>
      <c r="O208">
        <f>IFERROR(_xlfn.NUMBERVALUE(LEFT(Table11[[#This Row],[Score2 ]],FIND("/",Table11[[#This Row],[Score2 ]])-1)),"")</f>
        <v>152</v>
      </c>
      <c r="P208" t="s">
        <v>169</v>
      </c>
      <c r="Q208" s="1" t="s">
        <v>137</v>
      </c>
      <c r="R208" t="str">
        <f>Table11[[#This Row],[Match]]&amp;" "&amp;Table11[[#This Row],[Over]]</f>
        <v>34 21</v>
      </c>
    </row>
    <row r="209" spans="1:18" x14ac:dyDescent="0.3">
      <c r="A209">
        <v>34</v>
      </c>
      <c r="B209" s="1">
        <v>22</v>
      </c>
      <c r="C209" s="1" t="s">
        <v>1777</v>
      </c>
      <c r="D209" s="1" t="s">
        <v>922</v>
      </c>
      <c r="E209" s="1" t="s">
        <v>1018</v>
      </c>
      <c r="F209" s="1" t="s">
        <v>1383</v>
      </c>
      <c r="G209" s="1" t="s">
        <v>1778</v>
      </c>
      <c r="H209" s="1" t="s">
        <v>1095</v>
      </c>
      <c r="I209" s="1" t="s">
        <v>1779</v>
      </c>
      <c r="J209" s="1" t="s">
        <v>1405</v>
      </c>
      <c r="K209" s="1" t="s">
        <v>925</v>
      </c>
      <c r="L209" s="1" t="s">
        <v>1196</v>
      </c>
      <c r="M209" s="1" t="s">
        <v>1063</v>
      </c>
      <c r="N209">
        <f>_xlfn.NUMBERVALUE(LEFT(Table11[[#This Row],[Score]],FIND("/",Table11[[#This Row],[Score]])-1))</f>
        <v>103</v>
      </c>
      <c r="O209">
        <f>IFERROR(_xlfn.NUMBERVALUE(LEFT(Table11[[#This Row],[Score2 ]],FIND("/",Table11[[#This Row],[Score2 ]])-1)),"")</f>
        <v>162</v>
      </c>
      <c r="P209" t="s">
        <v>169</v>
      </c>
      <c r="Q209" s="1" t="s">
        <v>137</v>
      </c>
      <c r="R209" t="str">
        <f>Table11[[#This Row],[Match]]&amp;" "&amp;Table11[[#This Row],[Over]]</f>
        <v>34 22</v>
      </c>
    </row>
    <row r="210" spans="1:18" x14ac:dyDescent="0.3">
      <c r="A210">
        <v>34</v>
      </c>
      <c r="B210" s="1">
        <v>23</v>
      </c>
      <c r="C210" s="1" t="s">
        <v>1780</v>
      </c>
      <c r="D210" s="1" t="s">
        <v>898</v>
      </c>
      <c r="E210" s="1" t="s">
        <v>1781</v>
      </c>
      <c r="F210" s="1" t="s">
        <v>1088</v>
      </c>
      <c r="G210" s="1" t="s">
        <v>1782</v>
      </c>
      <c r="H210" s="1" t="s">
        <v>1095</v>
      </c>
      <c r="I210" s="1" t="s">
        <v>1783</v>
      </c>
      <c r="J210" s="1" t="s">
        <v>1226</v>
      </c>
      <c r="K210" s="1" t="s">
        <v>923</v>
      </c>
      <c r="L210" s="1" t="s">
        <v>1784</v>
      </c>
      <c r="M210" s="1" t="s">
        <v>1070</v>
      </c>
      <c r="N210">
        <f>_xlfn.NUMBERVALUE(LEFT(Table11[[#This Row],[Score]],FIND("/",Table11[[#This Row],[Score]])-1))</f>
        <v>105</v>
      </c>
      <c r="O210">
        <f>IFERROR(_xlfn.NUMBERVALUE(LEFT(Table11[[#This Row],[Score2 ]],FIND("/",Table11[[#This Row],[Score2 ]])-1)),"")</f>
        <v>172</v>
      </c>
      <c r="P210" t="s">
        <v>169</v>
      </c>
      <c r="Q210" s="1" t="s">
        <v>137</v>
      </c>
      <c r="R210" t="str">
        <f>Table11[[#This Row],[Match]]&amp;" "&amp;Table11[[#This Row],[Over]]</f>
        <v>34 23</v>
      </c>
    </row>
    <row r="211" spans="1:18" x14ac:dyDescent="0.3">
      <c r="A211">
        <v>34</v>
      </c>
      <c r="B211" s="1">
        <v>24</v>
      </c>
      <c r="C211" s="1" t="s">
        <v>1785</v>
      </c>
      <c r="D211" s="1" t="s">
        <v>950</v>
      </c>
      <c r="E211" s="1" t="s">
        <v>1786</v>
      </c>
      <c r="F211" s="1" t="s">
        <v>1247</v>
      </c>
      <c r="G211" s="1" t="s">
        <v>1787</v>
      </c>
      <c r="H211" s="1" t="s">
        <v>898</v>
      </c>
      <c r="I211" s="1" t="s">
        <v>1061</v>
      </c>
      <c r="J211" s="1" t="s">
        <v>1089</v>
      </c>
      <c r="K211" s="1" t="s">
        <v>1788</v>
      </c>
      <c r="L211" s="1" t="s">
        <v>1204</v>
      </c>
      <c r="M211" s="1" t="s">
        <v>1077</v>
      </c>
      <c r="N211">
        <f>_xlfn.NUMBERVALUE(LEFT(Table11[[#This Row],[Score]],FIND("/",Table11[[#This Row],[Score]])-1))</f>
        <v>110</v>
      </c>
      <c r="O211">
        <f>IFERROR(_xlfn.NUMBERVALUE(LEFT(Table11[[#This Row],[Score2 ]],FIND("/",Table11[[#This Row],[Score2 ]])-1)),"")</f>
        <v>174</v>
      </c>
      <c r="P211" t="s">
        <v>169</v>
      </c>
      <c r="Q211" s="1" t="s">
        <v>137</v>
      </c>
      <c r="R211" t="str">
        <f>Table11[[#This Row],[Match]]&amp;" "&amp;Table11[[#This Row],[Over]]</f>
        <v>34 24</v>
      </c>
    </row>
    <row r="212" spans="1:18" x14ac:dyDescent="0.3">
      <c r="A212">
        <v>34</v>
      </c>
      <c r="B212" s="1">
        <v>25</v>
      </c>
      <c r="C212" s="1" t="s">
        <v>1789</v>
      </c>
      <c r="D212" s="1" t="s">
        <v>904</v>
      </c>
      <c r="E212" s="1" t="s">
        <v>1552</v>
      </c>
      <c r="F212" s="1" t="s">
        <v>1247</v>
      </c>
      <c r="G212" s="1" t="s">
        <v>1790</v>
      </c>
      <c r="H212" s="1" t="s">
        <v>968</v>
      </c>
      <c r="I212" s="1" t="s">
        <v>952</v>
      </c>
      <c r="J212" s="1" t="s">
        <v>970</v>
      </c>
      <c r="K212" s="1" t="s">
        <v>1247</v>
      </c>
      <c r="L212" s="1" t="s">
        <v>1791</v>
      </c>
      <c r="M212" s="1" t="s">
        <v>1083</v>
      </c>
      <c r="N212">
        <f>_xlfn.NUMBERVALUE(LEFT(Table11[[#This Row],[Score]],FIND("/",Table11[[#This Row],[Score]])-1))</f>
        <v>113</v>
      </c>
      <c r="O212">
        <f>IFERROR(_xlfn.NUMBERVALUE(LEFT(Table11[[#This Row],[Score2 ]],FIND("/",Table11[[#This Row],[Score2 ]])-1)),"")</f>
        <v>175</v>
      </c>
      <c r="P212" t="s">
        <v>169</v>
      </c>
      <c r="Q212" s="1" t="s">
        <v>137</v>
      </c>
      <c r="R212" t="str">
        <f>Table11[[#This Row],[Match]]&amp;" "&amp;Table11[[#This Row],[Over]]</f>
        <v>34 25</v>
      </c>
    </row>
    <row r="213" spans="1:18" x14ac:dyDescent="0.3">
      <c r="A213">
        <v>34</v>
      </c>
      <c r="B213" s="1">
        <v>26</v>
      </c>
      <c r="C213" s="1" t="s">
        <v>1792</v>
      </c>
      <c r="D213" s="1" t="s">
        <v>950</v>
      </c>
      <c r="E213" s="1" t="s">
        <v>1793</v>
      </c>
      <c r="F213" s="1" t="s">
        <v>931</v>
      </c>
      <c r="G213" s="1" t="s">
        <v>1794</v>
      </c>
      <c r="H213" s="1" t="s">
        <v>904</v>
      </c>
      <c r="I213" s="1" t="s">
        <v>1795</v>
      </c>
      <c r="J213" s="1" t="s">
        <v>1029</v>
      </c>
      <c r="K213" s="1" t="s">
        <v>1796</v>
      </c>
      <c r="L213" s="1" t="s">
        <v>1797</v>
      </c>
      <c r="M213" s="1" t="s">
        <v>1090</v>
      </c>
      <c r="N213">
        <f>_xlfn.NUMBERVALUE(LEFT(Table11[[#This Row],[Score]],FIND("/",Table11[[#This Row],[Score]])-1))</f>
        <v>118</v>
      </c>
      <c r="O213">
        <f>IFERROR(_xlfn.NUMBERVALUE(LEFT(Table11[[#This Row],[Score2 ]],FIND("/",Table11[[#This Row],[Score2 ]])-1)),"")</f>
        <v>178</v>
      </c>
      <c r="P213" t="s">
        <v>169</v>
      </c>
      <c r="Q213" s="1" t="s">
        <v>137</v>
      </c>
      <c r="R213" t="str">
        <f>Table11[[#This Row],[Match]]&amp;" "&amp;Table11[[#This Row],[Over]]</f>
        <v>34 26</v>
      </c>
    </row>
    <row r="214" spans="1:18" x14ac:dyDescent="0.3">
      <c r="A214">
        <v>34</v>
      </c>
      <c r="B214" s="1">
        <v>27</v>
      </c>
      <c r="C214" s="1" t="s">
        <v>1798</v>
      </c>
      <c r="D214" s="1" t="s">
        <v>998</v>
      </c>
      <c r="E214" s="1" t="s">
        <v>1542</v>
      </c>
      <c r="F214" s="1" t="s">
        <v>990</v>
      </c>
      <c r="G214" s="1" t="s">
        <v>1799</v>
      </c>
      <c r="H214" s="1" t="s">
        <v>950</v>
      </c>
      <c r="I214" s="1" t="s">
        <v>1484</v>
      </c>
      <c r="J214" s="1" t="s">
        <v>931</v>
      </c>
      <c r="K214" s="1" t="s">
        <v>1800</v>
      </c>
      <c r="L214" s="1" t="s">
        <v>1222</v>
      </c>
      <c r="M214" s="1" t="s">
        <v>1098</v>
      </c>
      <c r="N214">
        <f>_xlfn.NUMBERVALUE(LEFT(Table11[[#This Row],[Score]],FIND("/",Table11[[#This Row],[Score]])-1))</f>
        <v>122</v>
      </c>
      <c r="O214">
        <f>IFERROR(_xlfn.NUMBERVALUE(LEFT(Table11[[#This Row],[Score2 ]],FIND("/",Table11[[#This Row],[Score2 ]])-1)),"")</f>
        <v>183</v>
      </c>
      <c r="P214" t="s">
        <v>169</v>
      </c>
      <c r="Q214" s="1" t="s">
        <v>137</v>
      </c>
      <c r="R214" t="str">
        <f>Table11[[#This Row],[Match]]&amp;" "&amp;Table11[[#This Row],[Over]]</f>
        <v>34 27</v>
      </c>
    </row>
    <row r="215" spans="1:18" x14ac:dyDescent="0.3">
      <c r="A215">
        <v>34</v>
      </c>
      <c r="B215" s="1">
        <v>28</v>
      </c>
      <c r="C215" s="1" t="s">
        <v>1801</v>
      </c>
      <c r="D215" s="1" t="s">
        <v>998</v>
      </c>
      <c r="E215" s="1" t="s">
        <v>1021</v>
      </c>
      <c r="F215" s="1" t="s">
        <v>931</v>
      </c>
      <c r="G215" s="1" t="s">
        <v>1802</v>
      </c>
      <c r="H215" s="1" t="s">
        <v>930</v>
      </c>
      <c r="I215" s="1" t="s">
        <v>1803</v>
      </c>
      <c r="J215" s="1" t="s">
        <v>990</v>
      </c>
      <c r="K215" s="1" t="s">
        <v>1716</v>
      </c>
      <c r="L215" s="1" t="s">
        <v>1640</v>
      </c>
      <c r="M215" s="1" t="s">
        <v>1101</v>
      </c>
      <c r="N215">
        <f>_xlfn.NUMBERVALUE(LEFT(Table11[[#This Row],[Score]],FIND("/",Table11[[#This Row],[Score]])-1))</f>
        <v>126</v>
      </c>
      <c r="O215">
        <f>IFERROR(_xlfn.NUMBERVALUE(LEFT(Table11[[#This Row],[Score2 ]],FIND("/",Table11[[#This Row],[Score2 ]])-1)),"")</f>
        <v>191</v>
      </c>
      <c r="P215" t="s">
        <v>169</v>
      </c>
      <c r="Q215" s="1" t="s">
        <v>137</v>
      </c>
      <c r="R215" t="str">
        <f>Table11[[#This Row],[Match]]&amp;" "&amp;Table11[[#This Row],[Over]]</f>
        <v>34 28</v>
      </c>
    </row>
    <row r="216" spans="1:18" x14ac:dyDescent="0.3">
      <c r="A216">
        <v>34</v>
      </c>
      <c r="B216" s="1">
        <v>29</v>
      </c>
      <c r="C216" s="1" t="s">
        <v>1804</v>
      </c>
      <c r="D216" s="1" t="s">
        <v>998</v>
      </c>
      <c r="E216" s="1" t="s">
        <v>1759</v>
      </c>
      <c r="F216" s="1" t="s">
        <v>939</v>
      </c>
      <c r="G216" s="1" t="s">
        <v>1144</v>
      </c>
      <c r="H216" s="1" t="s">
        <v>950</v>
      </c>
      <c r="I216" s="1" t="s">
        <v>1009</v>
      </c>
      <c r="J216" s="1" t="s">
        <v>940</v>
      </c>
      <c r="K216" s="1" t="s">
        <v>1697</v>
      </c>
      <c r="L216" s="1" t="s">
        <v>1805</v>
      </c>
      <c r="M216" s="1" t="s">
        <v>1108</v>
      </c>
      <c r="N216">
        <f>_xlfn.NUMBERVALUE(LEFT(Table11[[#This Row],[Score]],FIND("/",Table11[[#This Row],[Score]])-1))</f>
        <v>130</v>
      </c>
      <c r="O216">
        <f>IFERROR(_xlfn.NUMBERVALUE(LEFT(Table11[[#This Row],[Score2 ]],FIND("/",Table11[[#This Row],[Score2 ]])-1)),"")</f>
        <v>196</v>
      </c>
      <c r="P216" t="s">
        <v>169</v>
      </c>
      <c r="Q216" s="1" t="s">
        <v>137</v>
      </c>
      <c r="R216" t="str">
        <f>Table11[[#This Row],[Match]]&amp;" "&amp;Table11[[#This Row],[Over]]</f>
        <v>34 29</v>
      </c>
    </row>
    <row r="217" spans="1:18" x14ac:dyDescent="0.3">
      <c r="A217">
        <v>34</v>
      </c>
      <c r="B217" s="1">
        <v>30</v>
      </c>
      <c r="C217" s="1" t="s">
        <v>1806</v>
      </c>
      <c r="D217" s="1" t="s">
        <v>1103</v>
      </c>
      <c r="E217" s="1" t="s">
        <v>1012</v>
      </c>
      <c r="F217" s="1" t="s">
        <v>1013</v>
      </c>
      <c r="G217" s="1" t="s">
        <v>1807</v>
      </c>
      <c r="H217" s="1" t="s">
        <v>916</v>
      </c>
      <c r="I217" s="1" t="s">
        <v>1808</v>
      </c>
      <c r="J217" s="1" t="s">
        <v>934</v>
      </c>
      <c r="K217" s="1" t="s">
        <v>1809</v>
      </c>
      <c r="L217" s="1" t="s">
        <v>1645</v>
      </c>
      <c r="M217" s="1" t="s">
        <v>1113</v>
      </c>
      <c r="N217">
        <f>_xlfn.NUMBERVALUE(LEFT(Table11[[#This Row],[Score]],FIND("/",Table11[[#This Row],[Score]])-1))</f>
        <v>142</v>
      </c>
      <c r="O217">
        <f>IFERROR(_xlfn.NUMBERVALUE(LEFT(Table11[[#This Row],[Score2 ]],FIND("/",Table11[[#This Row],[Score2 ]])-1)),"")</f>
        <v>203</v>
      </c>
      <c r="P217" t="s">
        <v>169</v>
      </c>
      <c r="Q217" s="1" t="s">
        <v>137</v>
      </c>
      <c r="R217" t="str">
        <f>Table11[[#This Row],[Match]]&amp;" "&amp;Table11[[#This Row],[Over]]</f>
        <v>34 30</v>
      </c>
    </row>
    <row r="218" spans="1:18" x14ac:dyDescent="0.3">
      <c r="A218">
        <v>34</v>
      </c>
      <c r="B218" s="1">
        <v>31</v>
      </c>
      <c r="C218" s="1" t="s">
        <v>1810</v>
      </c>
      <c r="D218" s="1" t="s">
        <v>898</v>
      </c>
      <c r="E218" s="1" t="s">
        <v>1028</v>
      </c>
      <c r="F218" s="1" t="s">
        <v>1029</v>
      </c>
      <c r="G218" s="1" t="s">
        <v>1811</v>
      </c>
      <c r="H218" s="1" t="s">
        <v>916</v>
      </c>
      <c r="I218" s="1" t="s">
        <v>1484</v>
      </c>
      <c r="J218" s="1" t="s">
        <v>943</v>
      </c>
      <c r="K218" s="1" t="s">
        <v>1650</v>
      </c>
      <c r="L218" s="1" t="s">
        <v>1812</v>
      </c>
      <c r="M218" s="1" t="s">
        <v>1121</v>
      </c>
      <c r="N218">
        <f>_xlfn.NUMBERVALUE(LEFT(Table11[[#This Row],[Score]],FIND("/",Table11[[#This Row],[Score]])-1))</f>
        <v>144</v>
      </c>
      <c r="O218">
        <f>IFERROR(_xlfn.NUMBERVALUE(LEFT(Table11[[#This Row],[Score2 ]],FIND("/",Table11[[#This Row],[Score2 ]])-1)),"")</f>
        <v>210</v>
      </c>
      <c r="P218" t="s">
        <v>169</v>
      </c>
      <c r="Q218" s="1" t="s">
        <v>137</v>
      </c>
      <c r="R218" t="str">
        <f>Table11[[#This Row],[Match]]&amp;" "&amp;Table11[[#This Row],[Over]]</f>
        <v>34 31</v>
      </c>
    </row>
    <row r="219" spans="1:18" x14ac:dyDescent="0.3">
      <c r="A219">
        <v>34</v>
      </c>
      <c r="B219" s="1">
        <v>32</v>
      </c>
      <c r="C219" s="1" t="s">
        <v>1813</v>
      </c>
      <c r="D219" s="1" t="s">
        <v>898</v>
      </c>
      <c r="E219" s="1" t="s">
        <v>1781</v>
      </c>
      <c r="F219" s="1" t="s">
        <v>1093</v>
      </c>
      <c r="G219" s="1" t="s">
        <v>1814</v>
      </c>
      <c r="H219" s="1" t="s">
        <v>930</v>
      </c>
      <c r="I219" s="1" t="s">
        <v>1815</v>
      </c>
      <c r="J219" s="1" t="s">
        <v>952</v>
      </c>
      <c r="K219" s="1" t="s">
        <v>914</v>
      </c>
      <c r="L219" s="1" t="s">
        <v>1197</v>
      </c>
      <c r="M219" s="1" t="s">
        <v>1127</v>
      </c>
      <c r="N219">
        <f>_xlfn.NUMBERVALUE(LEFT(Table11[[#This Row],[Score]],FIND("/",Table11[[#This Row],[Score]])-1))</f>
        <v>146</v>
      </c>
      <c r="O219">
        <f>IFERROR(_xlfn.NUMBERVALUE(LEFT(Table11[[#This Row],[Score2 ]],FIND("/",Table11[[#This Row],[Score2 ]])-1)),"")</f>
        <v>218</v>
      </c>
      <c r="P219" t="s">
        <v>169</v>
      </c>
      <c r="Q219" s="1" t="s">
        <v>137</v>
      </c>
      <c r="R219" t="str">
        <f>Table11[[#This Row],[Match]]&amp;" "&amp;Table11[[#This Row],[Over]]</f>
        <v>34 32</v>
      </c>
    </row>
    <row r="220" spans="1:18" x14ac:dyDescent="0.3">
      <c r="A220">
        <v>34</v>
      </c>
      <c r="B220" s="1">
        <v>33</v>
      </c>
      <c r="C220" s="1" t="s">
        <v>1816</v>
      </c>
      <c r="D220" s="1" t="s">
        <v>1095</v>
      </c>
      <c r="E220" s="1" t="s">
        <v>1194</v>
      </c>
      <c r="F220" s="1" t="s">
        <v>1019</v>
      </c>
      <c r="G220" s="1" t="s">
        <v>1817</v>
      </c>
      <c r="H220" s="1" t="s">
        <v>1095</v>
      </c>
      <c r="I220" s="1" t="s">
        <v>1818</v>
      </c>
      <c r="J220" s="1" t="s">
        <v>1068</v>
      </c>
      <c r="K220" s="1" t="s">
        <v>1819</v>
      </c>
      <c r="L220" s="1" t="s">
        <v>1608</v>
      </c>
      <c r="M220" s="1" t="s">
        <v>1132</v>
      </c>
      <c r="N220">
        <f>_xlfn.NUMBERVALUE(LEFT(Table11[[#This Row],[Score]],FIND("/",Table11[[#This Row],[Score]])-1))</f>
        <v>156</v>
      </c>
      <c r="O220">
        <f>IFERROR(_xlfn.NUMBERVALUE(LEFT(Table11[[#This Row],[Score2 ]],FIND("/",Table11[[#This Row],[Score2 ]])-1)),"")</f>
        <v>228</v>
      </c>
      <c r="P220" t="s">
        <v>169</v>
      </c>
      <c r="Q220" s="1" t="s">
        <v>137</v>
      </c>
      <c r="R220" t="str">
        <f>Table11[[#This Row],[Match]]&amp;" "&amp;Table11[[#This Row],[Over]]</f>
        <v>34 33</v>
      </c>
    </row>
    <row r="221" spans="1:18" x14ac:dyDescent="0.3">
      <c r="A221">
        <v>34</v>
      </c>
      <c r="B221" s="1">
        <v>34</v>
      </c>
      <c r="C221" s="1" t="s">
        <v>1820</v>
      </c>
      <c r="D221" s="1" t="s">
        <v>1103</v>
      </c>
      <c r="E221" s="1" t="s">
        <v>1033</v>
      </c>
      <c r="F221" s="1" t="s">
        <v>1508</v>
      </c>
      <c r="G221" s="1" t="s">
        <v>1821</v>
      </c>
      <c r="H221" s="1" t="s">
        <v>930</v>
      </c>
      <c r="I221" s="1" t="s">
        <v>1768</v>
      </c>
      <c r="J221" s="1" t="s">
        <v>1089</v>
      </c>
      <c r="K221" s="1" t="s">
        <v>1822</v>
      </c>
      <c r="L221" s="1" t="s">
        <v>1216</v>
      </c>
      <c r="M221" s="1" t="s">
        <v>1138</v>
      </c>
      <c r="N221">
        <f>_xlfn.NUMBERVALUE(LEFT(Table11[[#This Row],[Score]],FIND("/",Table11[[#This Row],[Score]])-1))</f>
        <v>168</v>
      </c>
      <c r="O221">
        <f>IFERROR(_xlfn.NUMBERVALUE(LEFT(Table11[[#This Row],[Score2 ]],FIND("/",Table11[[#This Row],[Score2 ]])-1)),"")</f>
        <v>236</v>
      </c>
      <c r="P221" t="s">
        <v>169</v>
      </c>
      <c r="Q221" s="1" t="s">
        <v>137</v>
      </c>
      <c r="R221" t="str">
        <f>Table11[[#This Row],[Match]]&amp;" "&amp;Table11[[#This Row],[Over]]</f>
        <v>34 34</v>
      </c>
    </row>
    <row r="222" spans="1:18" x14ac:dyDescent="0.3">
      <c r="A222">
        <v>34</v>
      </c>
      <c r="B222" s="1">
        <v>35</v>
      </c>
      <c r="C222" s="1" t="s">
        <v>1823</v>
      </c>
      <c r="D222" s="1" t="s">
        <v>904</v>
      </c>
      <c r="E222" s="1" t="s">
        <v>1202</v>
      </c>
      <c r="F222" s="1" t="s">
        <v>1013</v>
      </c>
      <c r="G222" s="1" t="s">
        <v>1824</v>
      </c>
      <c r="H222" s="1" t="s">
        <v>922</v>
      </c>
      <c r="I222" s="1" t="s">
        <v>1825</v>
      </c>
      <c r="J222" s="1" t="s">
        <v>1168</v>
      </c>
      <c r="K222" s="1" t="s">
        <v>1439</v>
      </c>
      <c r="L222" s="1" t="s">
        <v>1223</v>
      </c>
      <c r="M222" s="1" t="s">
        <v>1143</v>
      </c>
      <c r="N222">
        <f>_xlfn.NUMBERVALUE(LEFT(Table11[[#This Row],[Score]],FIND("/",Table11[[#This Row],[Score]])-1))</f>
        <v>171</v>
      </c>
      <c r="O222">
        <f>IFERROR(_xlfn.NUMBERVALUE(LEFT(Table11[[#This Row],[Score2 ]],FIND("/",Table11[[#This Row],[Score2 ]])-1)),"")</f>
        <v>242</v>
      </c>
      <c r="P222" t="s">
        <v>169</v>
      </c>
      <c r="Q222" s="1" t="s">
        <v>137</v>
      </c>
      <c r="R222" t="str">
        <f>Table11[[#This Row],[Match]]&amp;" "&amp;Table11[[#This Row],[Over]]</f>
        <v>34 35</v>
      </c>
    </row>
    <row r="223" spans="1:18" x14ac:dyDescent="0.3">
      <c r="A223">
        <v>34</v>
      </c>
      <c r="B223" s="1">
        <v>36</v>
      </c>
      <c r="C223" s="1" t="s">
        <v>1826</v>
      </c>
      <c r="D223" s="1" t="s">
        <v>898</v>
      </c>
      <c r="E223" s="1" t="s">
        <v>1093</v>
      </c>
      <c r="F223" s="1" t="s">
        <v>1013</v>
      </c>
      <c r="G223" s="1" t="s">
        <v>1406</v>
      </c>
      <c r="H223" s="1" t="s">
        <v>1103</v>
      </c>
      <c r="I223" s="1" t="s">
        <v>1290</v>
      </c>
      <c r="J223" s="1" t="s">
        <v>1154</v>
      </c>
      <c r="K223" s="1" t="s">
        <v>1827</v>
      </c>
      <c r="L223" s="1" t="s">
        <v>922</v>
      </c>
      <c r="M223" s="1" t="s">
        <v>1150</v>
      </c>
      <c r="N223">
        <f>_xlfn.NUMBERVALUE(LEFT(Table11[[#This Row],[Score]],FIND("/",Table11[[#This Row],[Score]])-1))</f>
        <v>173</v>
      </c>
      <c r="O223">
        <f>IFERROR(_xlfn.NUMBERVALUE(LEFT(Table11[[#This Row],[Score2 ]],FIND("/",Table11[[#This Row],[Score2 ]])-1)),"")</f>
        <v>254</v>
      </c>
      <c r="P223" t="s">
        <v>169</v>
      </c>
      <c r="Q223" s="1" t="s">
        <v>137</v>
      </c>
      <c r="R223" t="str">
        <f>Table11[[#This Row],[Match]]&amp;" "&amp;Table11[[#This Row],[Over]]</f>
        <v>34 36</v>
      </c>
    </row>
    <row r="224" spans="1:18" x14ac:dyDescent="0.3">
      <c r="A224">
        <v>34</v>
      </c>
      <c r="B224" s="1">
        <v>37</v>
      </c>
      <c r="C224" s="1" t="s">
        <v>1828</v>
      </c>
      <c r="D224" s="1" t="s">
        <v>930</v>
      </c>
      <c r="E224" s="1" t="s">
        <v>1153</v>
      </c>
      <c r="F224" s="1" t="s">
        <v>952</v>
      </c>
      <c r="G224" s="1" t="s">
        <v>1829</v>
      </c>
      <c r="H224" s="1" t="s">
        <v>1830</v>
      </c>
      <c r="I224" s="1" t="s">
        <v>1831</v>
      </c>
      <c r="J224" s="1" t="s">
        <v>1832</v>
      </c>
      <c r="K224" s="1" t="s">
        <v>1622</v>
      </c>
      <c r="L224" s="1" t="s">
        <v>1007</v>
      </c>
      <c r="M224" s="1" t="s">
        <v>1833</v>
      </c>
      <c r="N224">
        <f>_xlfn.NUMBERVALUE(LEFT(Table11[[#This Row],[Score]],FIND("/",Table11[[#This Row],[Score]])-1))</f>
        <v>181</v>
      </c>
      <c r="O224">
        <f>IFERROR(_xlfn.NUMBERVALUE(LEFT(Table11[[#This Row],[Score2 ]],FIND("/",Table11[[#This Row],[Score2 ]])-1)),"")</f>
        <v>260</v>
      </c>
      <c r="P224" t="s">
        <v>169</v>
      </c>
      <c r="Q224" s="1" t="s">
        <v>137</v>
      </c>
      <c r="R224" t="str">
        <f>Table11[[#This Row],[Match]]&amp;" "&amp;Table11[[#This Row],[Over]]</f>
        <v>34 37</v>
      </c>
    </row>
    <row r="225" spans="1:18" x14ac:dyDescent="0.3">
      <c r="A225">
        <v>34</v>
      </c>
      <c r="B225" s="1">
        <v>38</v>
      </c>
      <c r="C225" s="1" t="s">
        <v>1834</v>
      </c>
      <c r="D225" s="1" t="s">
        <v>1390</v>
      </c>
      <c r="E225" s="1" t="s">
        <v>1835</v>
      </c>
      <c r="F225" s="1" t="s">
        <v>1508</v>
      </c>
      <c r="N225">
        <f>_xlfn.NUMBERVALUE(LEFT(Table11[[#This Row],[Score]],FIND("/",Table11[[#This Row],[Score]])-1))</f>
        <v>194</v>
      </c>
      <c r="O225" t="str">
        <f>IFERROR(_xlfn.NUMBERVALUE(LEFT(Table11[[#This Row],[Score2 ]],FIND("/",Table11[[#This Row],[Score2 ]])-1)),"")</f>
        <v/>
      </c>
      <c r="P225" t="s">
        <v>169</v>
      </c>
      <c r="Q225" s="1" t="s">
        <v>137</v>
      </c>
      <c r="R225" t="str">
        <f>Table11[[#This Row],[Match]]&amp;" "&amp;Table11[[#This Row],[Over]]</f>
        <v>34 38</v>
      </c>
    </row>
    <row r="226" spans="1:18" x14ac:dyDescent="0.3">
      <c r="A226">
        <v>34</v>
      </c>
      <c r="B226" s="1">
        <v>39</v>
      </c>
      <c r="C226" s="1" t="s">
        <v>1836</v>
      </c>
      <c r="D226" s="1" t="s">
        <v>1103</v>
      </c>
      <c r="E226" s="1" t="s">
        <v>1727</v>
      </c>
      <c r="F226" s="1" t="s">
        <v>1508</v>
      </c>
      <c r="N226">
        <f>_xlfn.NUMBERVALUE(LEFT(Table11[[#This Row],[Score]],FIND("/",Table11[[#This Row],[Score]])-1))</f>
        <v>206</v>
      </c>
      <c r="O226" t="str">
        <f>IFERROR(_xlfn.NUMBERVALUE(LEFT(Table11[[#This Row],[Score2 ]],FIND("/",Table11[[#This Row],[Score2 ]])-1)),"")</f>
        <v/>
      </c>
      <c r="P226" t="s">
        <v>169</v>
      </c>
      <c r="Q226" s="1" t="s">
        <v>137</v>
      </c>
      <c r="R226" t="str">
        <f>Table11[[#This Row],[Match]]&amp;" "&amp;Table11[[#This Row],[Over]]</f>
        <v>34 39</v>
      </c>
    </row>
    <row r="227" spans="1:18" x14ac:dyDescent="0.3">
      <c r="A227">
        <v>34</v>
      </c>
      <c r="B227" s="1">
        <v>40</v>
      </c>
      <c r="C227" s="1" t="s">
        <v>1837</v>
      </c>
      <c r="D227" s="1" t="s">
        <v>922</v>
      </c>
      <c r="E227" s="1" t="s">
        <v>1065</v>
      </c>
      <c r="F227" s="1" t="s">
        <v>1405</v>
      </c>
      <c r="N227">
        <f>_xlfn.NUMBERVALUE(LEFT(Table11[[#This Row],[Score]],FIND("/",Table11[[#This Row],[Score]])-1))</f>
        <v>212</v>
      </c>
      <c r="O227" t="str">
        <f>IFERROR(_xlfn.NUMBERVALUE(LEFT(Table11[[#This Row],[Score2 ]],FIND("/",Table11[[#This Row],[Score2 ]])-1)),"")</f>
        <v/>
      </c>
      <c r="P227" t="s">
        <v>169</v>
      </c>
      <c r="Q227" s="1" t="s">
        <v>137</v>
      </c>
      <c r="R227" t="str">
        <f>Table11[[#This Row],[Match]]&amp;" "&amp;Table11[[#This Row],[Over]]</f>
        <v>34 40</v>
      </c>
    </row>
    <row r="228" spans="1:18" x14ac:dyDescent="0.3">
      <c r="A228">
        <v>34</v>
      </c>
      <c r="B228" s="1">
        <v>41</v>
      </c>
      <c r="C228" s="1" t="s">
        <v>1838</v>
      </c>
      <c r="D228" s="1" t="s">
        <v>1095</v>
      </c>
      <c r="E228" s="1" t="s">
        <v>1373</v>
      </c>
      <c r="F228" s="1" t="s">
        <v>1141</v>
      </c>
      <c r="N228">
        <f>_xlfn.NUMBERVALUE(LEFT(Table11[[#This Row],[Score]],FIND("/",Table11[[#This Row],[Score]])-1))</f>
        <v>222</v>
      </c>
      <c r="O228" t="str">
        <f>IFERROR(_xlfn.NUMBERVALUE(LEFT(Table11[[#This Row],[Score2 ]],FIND("/",Table11[[#This Row],[Score2 ]])-1)),"")</f>
        <v/>
      </c>
      <c r="P228" t="s">
        <v>169</v>
      </c>
      <c r="Q228" s="1" t="s">
        <v>137</v>
      </c>
      <c r="R228" t="str">
        <f>Table11[[#This Row],[Match]]&amp;" "&amp;Table11[[#This Row],[Over]]</f>
        <v>34 41</v>
      </c>
    </row>
    <row r="229" spans="1:18" x14ac:dyDescent="0.3">
      <c r="A229">
        <v>34</v>
      </c>
      <c r="B229" s="1">
        <v>42</v>
      </c>
      <c r="C229" s="1" t="s">
        <v>1839</v>
      </c>
      <c r="D229" s="1" t="s">
        <v>998</v>
      </c>
      <c r="E229" s="1" t="s">
        <v>1732</v>
      </c>
      <c r="F229" s="1" t="s">
        <v>1161</v>
      </c>
      <c r="N229">
        <f>_xlfn.NUMBERVALUE(LEFT(Table11[[#This Row],[Score]],FIND("/",Table11[[#This Row],[Score]])-1))</f>
        <v>226</v>
      </c>
      <c r="O229" t="str">
        <f>IFERROR(_xlfn.NUMBERVALUE(LEFT(Table11[[#This Row],[Score2 ]],FIND("/",Table11[[#This Row],[Score2 ]])-1)),"")</f>
        <v/>
      </c>
      <c r="P229" t="s">
        <v>169</v>
      </c>
      <c r="Q229" s="1" t="s">
        <v>137</v>
      </c>
      <c r="R229" t="str">
        <f>Table11[[#This Row],[Match]]&amp;" "&amp;Table11[[#This Row],[Over]]</f>
        <v>34 42</v>
      </c>
    </row>
    <row r="230" spans="1:18" x14ac:dyDescent="0.3">
      <c r="A230">
        <v>34</v>
      </c>
      <c r="B230" s="1">
        <v>43</v>
      </c>
      <c r="C230" s="1" t="s">
        <v>1840</v>
      </c>
      <c r="D230" s="1" t="s">
        <v>968</v>
      </c>
      <c r="E230" s="1" t="s">
        <v>1593</v>
      </c>
      <c r="F230" s="1" t="s">
        <v>960</v>
      </c>
      <c r="N230">
        <f>_xlfn.NUMBERVALUE(LEFT(Table11[[#This Row],[Score]],FIND("/",Table11[[#This Row],[Score]])-1))</f>
        <v>227</v>
      </c>
      <c r="O230" t="str">
        <f>IFERROR(_xlfn.NUMBERVALUE(LEFT(Table11[[#This Row],[Score2 ]],FIND("/",Table11[[#This Row],[Score2 ]])-1)),"")</f>
        <v/>
      </c>
      <c r="P230" t="s">
        <v>169</v>
      </c>
      <c r="Q230" s="1" t="s">
        <v>137</v>
      </c>
      <c r="R230" t="str">
        <f>Table11[[#This Row],[Match]]&amp;" "&amp;Table11[[#This Row],[Over]]</f>
        <v>34 43</v>
      </c>
    </row>
    <row r="231" spans="1:18" x14ac:dyDescent="0.3">
      <c r="A231">
        <v>34</v>
      </c>
      <c r="B231" s="1">
        <v>44</v>
      </c>
      <c r="C231" s="1" t="s">
        <v>1841</v>
      </c>
      <c r="D231" s="1" t="s">
        <v>922</v>
      </c>
      <c r="E231" s="1" t="s">
        <v>1072</v>
      </c>
      <c r="F231" s="1" t="s">
        <v>966</v>
      </c>
      <c r="N231">
        <f>_xlfn.NUMBERVALUE(LEFT(Table11[[#This Row],[Score]],FIND("/",Table11[[#This Row],[Score]])-1))</f>
        <v>233</v>
      </c>
      <c r="O231" t="str">
        <f>IFERROR(_xlfn.NUMBERVALUE(LEFT(Table11[[#This Row],[Score2 ]],FIND("/",Table11[[#This Row],[Score2 ]])-1)),"")</f>
        <v/>
      </c>
      <c r="P231" t="s">
        <v>169</v>
      </c>
      <c r="Q231" s="1" t="s">
        <v>137</v>
      </c>
      <c r="R231" t="str">
        <f>Table11[[#This Row],[Match]]&amp;" "&amp;Table11[[#This Row],[Over]]</f>
        <v>34 44</v>
      </c>
    </row>
    <row r="232" spans="1:18" x14ac:dyDescent="0.3">
      <c r="A232">
        <v>34</v>
      </c>
      <c r="B232" s="1">
        <v>45</v>
      </c>
      <c r="C232" s="1" t="s">
        <v>1842</v>
      </c>
      <c r="D232" s="1" t="s">
        <v>968</v>
      </c>
      <c r="E232" s="1" t="s">
        <v>1029</v>
      </c>
      <c r="F232" s="1" t="s">
        <v>940</v>
      </c>
      <c r="N232">
        <f>_xlfn.NUMBERVALUE(LEFT(Table11[[#This Row],[Score]],FIND("/",Table11[[#This Row],[Score]])-1))</f>
        <v>234</v>
      </c>
      <c r="O232" t="str">
        <f>IFERROR(_xlfn.NUMBERVALUE(LEFT(Table11[[#This Row],[Score2 ]],FIND("/",Table11[[#This Row],[Score2 ]])-1)),"")</f>
        <v/>
      </c>
      <c r="P232" t="s">
        <v>169</v>
      </c>
      <c r="Q232" s="1" t="s">
        <v>137</v>
      </c>
      <c r="R232" t="str">
        <f>Table11[[#This Row],[Match]]&amp;" "&amp;Table11[[#This Row],[Over]]</f>
        <v>34 45</v>
      </c>
    </row>
    <row r="233" spans="1:18" x14ac:dyDescent="0.3">
      <c r="A233">
        <v>34</v>
      </c>
      <c r="B233" s="1">
        <v>46</v>
      </c>
      <c r="C233" s="1" t="s">
        <v>1843</v>
      </c>
      <c r="D233" s="1" t="s">
        <v>947</v>
      </c>
      <c r="E233" s="1" t="s">
        <v>1727</v>
      </c>
      <c r="F233" s="1" t="s">
        <v>931</v>
      </c>
      <c r="N233">
        <f>_xlfn.NUMBERVALUE(LEFT(Table11[[#This Row],[Score]],FIND("/",Table11[[#This Row],[Score]])-1))</f>
        <v>243</v>
      </c>
      <c r="O233" t="str">
        <f>IFERROR(_xlfn.NUMBERVALUE(LEFT(Table11[[#This Row],[Score2 ]],FIND("/",Table11[[#This Row],[Score2 ]])-1)),"")</f>
        <v/>
      </c>
      <c r="P233" t="s">
        <v>169</v>
      </c>
      <c r="Q233" s="1" t="s">
        <v>137</v>
      </c>
      <c r="R233" t="str">
        <f>Table11[[#This Row],[Match]]&amp;" "&amp;Table11[[#This Row],[Over]]</f>
        <v>34 46</v>
      </c>
    </row>
    <row r="234" spans="1:18" x14ac:dyDescent="0.3">
      <c r="A234">
        <v>34</v>
      </c>
      <c r="B234" s="1">
        <v>47</v>
      </c>
      <c r="C234" s="1" t="s">
        <v>1844</v>
      </c>
      <c r="D234" s="1" t="s">
        <v>998</v>
      </c>
      <c r="E234" s="1" t="s">
        <v>1722</v>
      </c>
      <c r="F234" s="1" t="s">
        <v>931</v>
      </c>
      <c r="N234">
        <f>_xlfn.NUMBERVALUE(LEFT(Table11[[#This Row],[Score]],FIND("/",Table11[[#This Row],[Score]])-1))</f>
        <v>247</v>
      </c>
      <c r="O234" t="str">
        <f>IFERROR(_xlfn.NUMBERVALUE(LEFT(Table11[[#This Row],[Score2 ]],FIND("/",Table11[[#This Row],[Score2 ]])-1)),"")</f>
        <v/>
      </c>
      <c r="P234" t="s">
        <v>169</v>
      </c>
      <c r="Q234" s="1" t="s">
        <v>137</v>
      </c>
      <c r="R234" t="str">
        <f>Table11[[#This Row],[Match]]&amp;" "&amp;Table11[[#This Row],[Over]]</f>
        <v>34 47</v>
      </c>
    </row>
    <row r="235" spans="1:18" x14ac:dyDescent="0.3">
      <c r="A235">
        <v>34</v>
      </c>
      <c r="B235" s="1">
        <v>48</v>
      </c>
      <c r="C235" s="1" t="s">
        <v>1845</v>
      </c>
      <c r="D235" s="1" t="s">
        <v>922</v>
      </c>
      <c r="E235" s="1" t="s">
        <v>1593</v>
      </c>
      <c r="F235" s="1" t="s">
        <v>1029</v>
      </c>
      <c r="N235">
        <f>_xlfn.NUMBERVALUE(LEFT(Table11[[#This Row],[Score]],FIND("/",Table11[[#This Row],[Score]])-1))</f>
        <v>253</v>
      </c>
      <c r="O235" t="str">
        <f>IFERROR(_xlfn.NUMBERVALUE(LEFT(Table11[[#This Row],[Score2 ]],FIND("/",Table11[[#This Row],[Score2 ]])-1)),"")</f>
        <v/>
      </c>
      <c r="P235" t="s">
        <v>169</v>
      </c>
      <c r="Q235" s="1" t="s">
        <v>137</v>
      </c>
      <c r="R235" t="str">
        <f>Table11[[#This Row],[Match]]&amp;" "&amp;Table11[[#This Row],[Over]]</f>
        <v>34 48</v>
      </c>
    </row>
    <row r="236" spans="1:18" x14ac:dyDescent="0.3">
      <c r="A236">
        <v>34</v>
      </c>
      <c r="B236" s="1">
        <v>49</v>
      </c>
      <c r="C236" s="1" t="s">
        <v>1846</v>
      </c>
      <c r="D236" s="1" t="s">
        <v>922</v>
      </c>
      <c r="E236" s="1" t="s">
        <v>1727</v>
      </c>
      <c r="F236" s="1" t="s">
        <v>1029</v>
      </c>
      <c r="N236">
        <f>_xlfn.NUMBERVALUE(LEFT(Table11[[#This Row],[Score]],FIND("/",Table11[[#This Row],[Score]])-1))</f>
        <v>259</v>
      </c>
      <c r="O236" t="str">
        <f>IFERROR(_xlfn.NUMBERVALUE(LEFT(Table11[[#This Row],[Score2 ]],FIND("/",Table11[[#This Row],[Score2 ]])-1)),"")</f>
        <v/>
      </c>
      <c r="P236" t="s">
        <v>169</v>
      </c>
      <c r="Q236" s="1" t="s">
        <v>137</v>
      </c>
      <c r="R236" t="str">
        <f>Table11[[#This Row],[Match]]&amp;" "&amp;Table11[[#This Row],[Over]]</f>
        <v>34 49</v>
      </c>
    </row>
    <row r="237" spans="1:18" x14ac:dyDescent="0.3">
      <c r="A237">
        <v>28</v>
      </c>
      <c r="B237" s="1">
        <v>1</v>
      </c>
      <c r="C237" s="1" t="s">
        <v>903</v>
      </c>
      <c r="D237" s="1" t="s">
        <v>950</v>
      </c>
      <c r="E237" s="1" t="s">
        <v>969</v>
      </c>
      <c r="F237" s="1" t="s">
        <v>348</v>
      </c>
      <c r="G237" s="1" t="s">
        <v>897</v>
      </c>
      <c r="H237" s="1" t="s">
        <v>898</v>
      </c>
      <c r="I237" s="1" t="s">
        <v>899</v>
      </c>
      <c r="J237" s="1" t="s">
        <v>348</v>
      </c>
      <c r="K237" s="1" t="s">
        <v>1847</v>
      </c>
      <c r="L237" s="1" t="s">
        <v>1524</v>
      </c>
      <c r="M237" s="1" t="s">
        <v>902</v>
      </c>
      <c r="N237">
        <f>_xlfn.NUMBERVALUE(LEFT(Table11[[#This Row],[Score]],FIND("/",Table11[[#This Row],[Score]])-1))</f>
        <v>5</v>
      </c>
      <c r="O237">
        <f>IFERROR(_xlfn.NUMBERVALUE(LEFT(Table11[[#This Row],[Score2 ]],FIND("/",Table11[[#This Row],[Score2 ]])-1)),"")</f>
        <v>2</v>
      </c>
      <c r="P237" t="s">
        <v>170</v>
      </c>
      <c r="Q237" s="1" t="s">
        <v>137</v>
      </c>
      <c r="R237" t="str">
        <f>Table11[[#This Row],[Match]]&amp;" "&amp;Table11[[#This Row],[Over]]</f>
        <v>28 1</v>
      </c>
    </row>
    <row r="238" spans="1:18" x14ac:dyDescent="0.3">
      <c r="A238">
        <v>28</v>
      </c>
      <c r="B238" s="1">
        <v>2</v>
      </c>
      <c r="C238" s="1" t="s">
        <v>1232</v>
      </c>
      <c r="D238" s="1" t="s">
        <v>968</v>
      </c>
      <c r="E238" s="1" t="s">
        <v>1238</v>
      </c>
      <c r="F238" s="1" t="s">
        <v>348</v>
      </c>
      <c r="G238" s="1" t="s">
        <v>1418</v>
      </c>
      <c r="H238" s="1" t="s">
        <v>968</v>
      </c>
      <c r="I238" s="1" t="s">
        <v>1822</v>
      </c>
      <c r="J238" s="1" t="s">
        <v>348</v>
      </c>
      <c r="K238" s="1" t="s">
        <v>1276</v>
      </c>
      <c r="L238" s="1" t="s">
        <v>1049</v>
      </c>
      <c r="M238" s="1" t="s">
        <v>909</v>
      </c>
      <c r="N238">
        <f>_xlfn.NUMBERVALUE(LEFT(Table11[[#This Row],[Score]],FIND("/",Table11[[#This Row],[Score]])-1))</f>
        <v>6</v>
      </c>
      <c r="O238">
        <f>IFERROR(_xlfn.NUMBERVALUE(LEFT(Table11[[#This Row],[Score2 ]],FIND("/",Table11[[#This Row],[Score2 ]])-1)),"")</f>
        <v>3</v>
      </c>
      <c r="P238" t="s">
        <v>170</v>
      </c>
      <c r="Q238" s="1" t="s">
        <v>137</v>
      </c>
      <c r="R238" t="str">
        <f>Table11[[#This Row],[Match]]&amp;" "&amp;Table11[[#This Row],[Over]]</f>
        <v>28 2</v>
      </c>
    </row>
    <row r="239" spans="1:18" x14ac:dyDescent="0.3">
      <c r="A239">
        <v>28</v>
      </c>
      <c r="B239" s="1">
        <v>3</v>
      </c>
      <c r="C239" s="1" t="s">
        <v>1232</v>
      </c>
      <c r="D239" s="1" t="s">
        <v>1007</v>
      </c>
      <c r="E239" s="1" t="s">
        <v>899</v>
      </c>
      <c r="F239" s="1" t="s">
        <v>348</v>
      </c>
      <c r="G239" s="1" t="s">
        <v>1721</v>
      </c>
      <c r="H239" s="1" t="s">
        <v>950</v>
      </c>
      <c r="I239" s="1" t="s">
        <v>1642</v>
      </c>
      <c r="J239" s="1" t="s">
        <v>348</v>
      </c>
      <c r="K239" s="1" t="s">
        <v>1493</v>
      </c>
      <c r="L239" s="1" t="s">
        <v>1341</v>
      </c>
      <c r="M239" s="1" t="s">
        <v>920</v>
      </c>
      <c r="N239">
        <f>_xlfn.NUMBERVALUE(LEFT(Table11[[#This Row],[Score]],FIND("/",Table11[[#This Row],[Score]])-1))</f>
        <v>6</v>
      </c>
      <c r="O239">
        <f>IFERROR(_xlfn.NUMBERVALUE(LEFT(Table11[[#This Row],[Score2 ]],FIND("/",Table11[[#This Row],[Score2 ]])-1)),"")</f>
        <v>8</v>
      </c>
      <c r="P239" t="s">
        <v>170</v>
      </c>
      <c r="Q239" s="1" t="s">
        <v>137</v>
      </c>
      <c r="R239" t="str">
        <f>Table11[[#This Row],[Match]]&amp;" "&amp;Table11[[#This Row],[Over]]</f>
        <v>28 3</v>
      </c>
    </row>
    <row r="240" spans="1:18" x14ac:dyDescent="0.3">
      <c r="A240">
        <v>28</v>
      </c>
      <c r="B240" s="1">
        <v>4</v>
      </c>
      <c r="C240" s="1" t="s">
        <v>1232</v>
      </c>
      <c r="D240" s="1" t="s">
        <v>1007</v>
      </c>
      <c r="E240" s="1" t="s">
        <v>1822</v>
      </c>
      <c r="F240" s="1" t="s">
        <v>348</v>
      </c>
      <c r="G240" s="1" t="s">
        <v>915</v>
      </c>
      <c r="H240" s="1" t="s">
        <v>904</v>
      </c>
      <c r="I240" s="1" t="s">
        <v>1672</v>
      </c>
      <c r="J240" s="1" t="s">
        <v>348</v>
      </c>
      <c r="K240" s="1" t="s">
        <v>1848</v>
      </c>
      <c r="L240" s="1" t="s">
        <v>1849</v>
      </c>
      <c r="M240" s="1" t="s">
        <v>928</v>
      </c>
      <c r="N240">
        <f>_xlfn.NUMBERVALUE(LEFT(Table11[[#This Row],[Score]],FIND("/",Table11[[#This Row],[Score]])-1))</f>
        <v>6</v>
      </c>
      <c r="O240">
        <f>IFERROR(_xlfn.NUMBERVALUE(LEFT(Table11[[#This Row],[Score2 ]],FIND("/",Table11[[#This Row],[Score2 ]])-1)),"")</f>
        <v>11</v>
      </c>
      <c r="P240" t="s">
        <v>170</v>
      </c>
      <c r="Q240" s="1" t="s">
        <v>137</v>
      </c>
      <c r="R240" t="str">
        <f>Table11[[#This Row],[Match]]&amp;" "&amp;Table11[[#This Row],[Over]]</f>
        <v>28 4</v>
      </c>
    </row>
    <row r="241" spans="1:18" x14ac:dyDescent="0.3">
      <c r="A241">
        <v>28</v>
      </c>
      <c r="B241" s="1">
        <v>5</v>
      </c>
      <c r="C241" s="1" t="s">
        <v>1850</v>
      </c>
      <c r="D241" s="1" t="s">
        <v>898</v>
      </c>
      <c r="E241" s="1" t="s">
        <v>1770</v>
      </c>
      <c r="F241" s="1" t="s">
        <v>1770</v>
      </c>
      <c r="G241" s="1" t="s">
        <v>1243</v>
      </c>
      <c r="H241" s="1" t="s">
        <v>968</v>
      </c>
      <c r="I241" s="1" t="s">
        <v>1088</v>
      </c>
      <c r="J241" s="1" t="s">
        <v>1088</v>
      </c>
      <c r="K241" s="1" t="s">
        <v>990</v>
      </c>
      <c r="L241" s="1" t="s">
        <v>1851</v>
      </c>
      <c r="M241" s="1" t="s">
        <v>937</v>
      </c>
      <c r="N241">
        <f>_xlfn.NUMBERVALUE(LEFT(Table11[[#This Row],[Score]],FIND("/",Table11[[#This Row],[Score]])-1))</f>
        <v>8</v>
      </c>
      <c r="O241">
        <f>IFERROR(_xlfn.NUMBERVALUE(LEFT(Table11[[#This Row],[Score2 ]],FIND("/",Table11[[#This Row],[Score2 ]])-1)),"")</f>
        <v>12</v>
      </c>
      <c r="P241" t="s">
        <v>170</v>
      </c>
      <c r="Q241" s="1" t="s">
        <v>137</v>
      </c>
      <c r="R241" t="str">
        <f>Table11[[#This Row],[Match]]&amp;" "&amp;Table11[[#This Row],[Over]]</f>
        <v>28 5</v>
      </c>
    </row>
    <row r="242" spans="1:18" x14ac:dyDescent="0.3">
      <c r="A242">
        <v>28</v>
      </c>
      <c r="B242" s="1">
        <v>6</v>
      </c>
      <c r="C242" s="1" t="s">
        <v>1245</v>
      </c>
      <c r="D242" s="1" t="s">
        <v>898</v>
      </c>
      <c r="E242" s="1" t="s">
        <v>1852</v>
      </c>
      <c r="F242" s="1" t="s">
        <v>1662</v>
      </c>
      <c r="G242" s="1" t="s">
        <v>1246</v>
      </c>
      <c r="H242" s="1" t="s">
        <v>950</v>
      </c>
      <c r="I242" s="1" t="s">
        <v>1656</v>
      </c>
      <c r="J242" s="1" t="s">
        <v>1238</v>
      </c>
      <c r="K242" s="1" t="s">
        <v>1853</v>
      </c>
      <c r="L242" s="1" t="s">
        <v>1349</v>
      </c>
      <c r="M242" s="1" t="s">
        <v>945</v>
      </c>
      <c r="N242">
        <f>_xlfn.NUMBERVALUE(LEFT(Table11[[#This Row],[Score]],FIND("/",Table11[[#This Row],[Score]])-1))</f>
        <v>10</v>
      </c>
      <c r="O242">
        <f>IFERROR(_xlfn.NUMBERVALUE(LEFT(Table11[[#This Row],[Score2 ]],FIND("/",Table11[[#This Row],[Score2 ]])-1)),"")</f>
        <v>17</v>
      </c>
      <c r="P242" t="s">
        <v>170</v>
      </c>
      <c r="Q242" s="1" t="s">
        <v>137</v>
      </c>
      <c r="R242" t="str">
        <f>Table11[[#This Row],[Match]]&amp;" "&amp;Table11[[#This Row],[Over]]</f>
        <v>28 6</v>
      </c>
    </row>
    <row r="243" spans="1:18" x14ac:dyDescent="0.3">
      <c r="A243">
        <v>28</v>
      </c>
      <c r="B243" s="1">
        <v>7</v>
      </c>
      <c r="C243" s="1" t="s">
        <v>924</v>
      </c>
      <c r="D243" s="1" t="s">
        <v>998</v>
      </c>
      <c r="E243" s="1" t="s">
        <v>899</v>
      </c>
      <c r="F243" s="1" t="s">
        <v>1770</v>
      </c>
      <c r="G243" s="1" t="s">
        <v>1854</v>
      </c>
      <c r="H243" s="1" t="s">
        <v>904</v>
      </c>
      <c r="I243" s="1" t="s">
        <v>1809</v>
      </c>
      <c r="J243" s="1" t="s">
        <v>1247</v>
      </c>
      <c r="K243" s="1" t="s">
        <v>1855</v>
      </c>
      <c r="L243" s="1" t="s">
        <v>1856</v>
      </c>
      <c r="M243" s="1" t="s">
        <v>955</v>
      </c>
      <c r="N243">
        <f>_xlfn.NUMBERVALUE(LEFT(Table11[[#This Row],[Score]],FIND("/",Table11[[#This Row],[Score]])-1))</f>
        <v>14</v>
      </c>
      <c r="O243">
        <f>IFERROR(_xlfn.NUMBERVALUE(LEFT(Table11[[#This Row],[Score2 ]],FIND("/",Table11[[#This Row],[Score2 ]])-1)),"")</f>
        <v>20</v>
      </c>
      <c r="P243" t="s">
        <v>170</v>
      </c>
      <c r="Q243" s="1" t="s">
        <v>137</v>
      </c>
      <c r="R243" t="str">
        <f>Table11[[#This Row],[Match]]&amp;" "&amp;Table11[[#This Row],[Over]]</f>
        <v>28 7</v>
      </c>
    </row>
    <row r="244" spans="1:18" x14ac:dyDescent="0.3">
      <c r="A244">
        <v>28</v>
      </c>
      <c r="B244" s="1">
        <v>8</v>
      </c>
      <c r="C244" s="1" t="s">
        <v>1646</v>
      </c>
      <c r="D244" s="1" t="s">
        <v>933</v>
      </c>
      <c r="E244" s="1" t="s">
        <v>925</v>
      </c>
      <c r="F244" s="1" t="s">
        <v>940</v>
      </c>
      <c r="G244" s="1" t="s">
        <v>1857</v>
      </c>
      <c r="H244" s="1" t="s">
        <v>950</v>
      </c>
      <c r="I244" s="1" t="s">
        <v>1858</v>
      </c>
      <c r="J244" s="1" t="s">
        <v>1247</v>
      </c>
      <c r="K244" s="1" t="s">
        <v>1282</v>
      </c>
      <c r="L244" s="1" t="s">
        <v>1538</v>
      </c>
      <c r="M244" s="1" t="s">
        <v>963</v>
      </c>
      <c r="N244">
        <f>_xlfn.NUMBERVALUE(LEFT(Table11[[#This Row],[Score]],FIND("/",Table11[[#This Row],[Score]])-1))</f>
        <v>28</v>
      </c>
      <c r="O244">
        <f>IFERROR(_xlfn.NUMBERVALUE(LEFT(Table11[[#This Row],[Score2 ]],FIND("/",Table11[[#This Row],[Score2 ]])-1)),"")</f>
        <v>25</v>
      </c>
      <c r="P244" t="s">
        <v>170</v>
      </c>
      <c r="Q244" s="1" t="s">
        <v>137</v>
      </c>
      <c r="R244" t="str">
        <f>Table11[[#This Row],[Match]]&amp;" "&amp;Table11[[#This Row],[Over]]</f>
        <v>28 8</v>
      </c>
    </row>
    <row r="245" spans="1:18" x14ac:dyDescent="0.3">
      <c r="A245">
        <v>28</v>
      </c>
      <c r="B245" s="1">
        <v>9</v>
      </c>
      <c r="C245" s="1" t="s">
        <v>1859</v>
      </c>
      <c r="D245" s="1" t="s">
        <v>916</v>
      </c>
      <c r="E245" s="1" t="s">
        <v>1860</v>
      </c>
      <c r="F245" s="1" t="s">
        <v>1013</v>
      </c>
      <c r="G245" s="1" t="s">
        <v>1440</v>
      </c>
      <c r="H245" s="1" t="s">
        <v>916</v>
      </c>
      <c r="I245" s="1" t="s">
        <v>1263</v>
      </c>
      <c r="J245" s="1" t="s">
        <v>931</v>
      </c>
      <c r="K245" s="1" t="s">
        <v>1861</v>
      </c>
      <c r="L245" s="1" t="s">
        <v>1376</v>
      </c>
      <c r="M245" s="1" t="s">
        <v>973</v>
      </c>
      <c r="N245">
        <f>_xlfn.NUMBERVALUE(LEFT(Table11[[#This Row],[Score]],FIND("/",Table11[[#This Row],[Score]])-1))</f>
        <v>35</v>
      </c>
      <c r="O245">
        <f>IFERROR(_xlfn.NUMBERVALUE(LEFT(Table11[[#This Row],[Score2 ]],FIND("/",Table11[[#This Row],[Score2 ]])-1)),"")</f>
        <v>32</v>
      </c>
      <c r="P245" t="s">
        <v>170</v>
      </c>
      <c r="Q245" s="1" t="s">
        <v>137</v>
      </c>
      <c r="R245" t="str">
        <f>Table11[[#This Row],[Match]]&amp;" "&amp;Table11[[#This Row],[Over]]</f>
        <v>28 9</v>
      </c>
    </row>
    <row r="246" spans="1:18" x14ac:dyDescent="0.3">
      <c r="A246">
        <v>28</v>
      </c>
      <c r="B246" s="1">
        <v>10</v>
      </c>
      <c r="C246" s="1" t="s">
        <v>1862</v>
      </c>
      <c r="D246" s="1" t="s">
        <v>904</v>
      </c>
      <c r="E246" s="1" t="s">
        <v>990</v>
      </c>
      <c r="F246" s="1" t="s">
        <v>1019</v>
      </c>
      <c r="G246" s="1" t="s">
        <v>1863</v>
      </c>
      <c r="H246" s="1" t="s">
        <v>947</v>
      </c>
      <c r="I246" s="1" t="s">
        <v>1483</v>
      </c>
      <c r="J246" s="1" t="s">
        <v>1013</v>
      </c>
      <c r="K246" s="1" t="s">
        <v>1263</v>
      </c>
      <c r="L246" s="1" t="s">
        <v>1864</v>
      </c>
      <c r="M246" s="1" t="s">
        <v>980</v>
      </c>
      <c r="N246">
        <f>_xlfn.NUMBERVALUE(LEFT(Table11[[#This Row],[Score]],FIND("/",Table11[[#This Row],[Score]])-1))</f>
        <v>38</v>
      </c>
      <c r="O246">
        <f>IFERROR(_xlfn.NUMBERVALUE(LEFT(Table11[[#This Row],[Score2 ]],FIND("/",Table11[[#This Row],[Score2 ]])-1)),"")</f>
        <v>41</v>
      </c>
      <c r="P246" t="s">
        <v>170</v>
      </c>
      <c r="Q246" s="1" t="s">
        <v>137</v>
      </c>
      <c r="R246" t="str">
        <f>Table11[[#This Row],[Match]]&amp;" "&amp;Table11[[#This Row],[Over]]</f>
        <v>28 10</v>
      </c>
    </row>
    <row r="247" spans="1:18" x14ac:dyDescent="0.3">
      <c r="A247">
        <v>28</v>
      </c>
      <c r="B247" s="1">
        <v>11</v>
      </c>
      <c r="C247" s="1" t="s">
        <v>1865</v>
      </c>
      <c r="D247" s="1" t="s">
        <v>998</v>
      </c>
      <c r="E247" s="1" t="s">
        <v>1866</v>
      </c>
      <c r="F247" s="1" t="s">
        <v>943</v>
      </c>
      <c r="G247" s="1" t="s">
        <v>1283</v>
      </c>
      <c r="H247" s="1" t="s">
        <v>930</v>
      </c>
      <c r="I247" s="1" t="s">
        <v>1060</v>
      </c>
      <c r="J247" s="1" t="s">
        <v>943</v>
      </c>
      <c r="K247" s="1" t="s">
        <v>1867</v>
      </c>
      <c r="L247" s="1" t="s">
        <v>1868</v>
      </c>
      <c r="M247" s="1" t="s">
        <v>987</v>
      </c>
      <c r="N247">
        <f>_xlfn.NUMBERVALUE(LEFT(Table11[[#This Row],[Score]],FIND("/",Table11[[#This Row],[Score]])-1))</f>
        <v>42</v>
      </c>
      <c r="O247">
        <f>IFERROR(_xlfn.NUMBERVALUE(LEFT(Table11[[#This Row],[Score2 ]],FIND("/",Table11[[#This Row],[Score2 ]])-1)),"")</f>
        <v>49</v>
      </c>
      <c r="P247" t="s">
        <v>170</v>
      </c>
      <c r="Q247" s="1" t="s">
        <v>137</v>
      </c>
      <c r="R247" t="str">
        <f>Table11[[#This Row],[Match]]&amp;" "&amp;Table11[[#This Row],[Over]]</f>
        <v>28 11</v>
      </c>
    </row>
    <row r="248" spans="1:18" x14ac:dyDescent="0.3">
      <c r="A248">
        <v>28</v>
      </c>
      <c r="B248" s="1">
        <v>12</v>
      </c>
      <c r="C248" s="1" t="s">
        <v>1671</v>
      </c>
      <c r="D248" s="1" t="s">
        <v>898</v>
      </c>
      <c r="E248" s="1" t="s">
        <v>917</v>
      </c>
      <c r="F248" s="1" t="s">
        <v>1019</v>
      </c>
      <c r="G248" s="1" t="s">
        <v>1455</v>
      </c>
      <c r="H248" s="1" t="s">
        <v>968</v>
      </c>
      <c r="I248" s="1" t="s">
        <v>1632</v>
      </c>
      <c r="J248" s="1" t="s">
        <v>1019</v>
      </c>
      <c r="K248" s="1" t="s">
        <v>925</v>
      </c>
      <c r="L248" s="1" t="s">
        <v>1394</v>
      </c>
      <c r="M248" s="1" t="s">
        <v>996</v>
      </c>
      <c r="N248">
        <f>_xlfn.NUMBERVALUE(LEFT(Table11[[#This Row],[Score]],FIND("/",Table11[[#This Row],[Score]])-1))</f>
        <v>44</v>
      </c>
      <c r="O248">
        <f>IFERROR(_xlfn.NUMBERVALUE(LEFT(Table11[[#This Row],[Score2 ]],FIND("/",Table11[[#This Row],[Score2 ]])-1)),"")</f>
        <v>50</v>
      </c>
      <c r="P248" t="s">
        <v>170</v>
      </c>
      <c r="Q248" s="1" t="s">
        <v>137</v>
      </c>
      <c r="R248" t="str">
        <f>Table11[[#This Row],[Match]]&amp;" "&amp;Table11[[#This Row],[Over]]</f>
        <v>28 12</v>
      </c>
    </row>
    <row r="249" spans="1:18" x14ac:dyDescent="0.3">
      <c r="A249">
        <v>28</v>
      </c>
      <c r="B249" s="1">
        <v>13</v>
      </c>
      <c r="C249" s="1" t="s">
        <v>1869</v>
      </c>
      <c r="D249" s="1" t="s">
        <v>950</v>
      </c>
      <c r="E249" s="1" t="s">
        <v>1282</v>
      </c>
      <c r="F249" s="1" t="s">
        <v>931</v>
      </c>
      <c r="G249" s="1" t="s">
        <v>1870</v>
      </c>
      <c r="H249" s="1" t="s">
        <v>922</v>
      </c>
      <c r="I249" s="1" t="s">
        <v>999</v>
      </c>
      <c r="J249" s="1" t="s">
        <v>970</v>
      </c>
      <c r="K249" s="1" t="s">
        <v>1867</v>
      </c>
      <c r="L249" s="1" t="s">
        <v>1871</v>
      </c>
      <c r="M249" s="1" t="s">
        <v>1004</v>
      </c>
      <c r="N249">
        <f>_xlfn.NUMBERVALUE(LEFT(Table11[[#This Row],[Score]],FIND("/",Table11[[#This Row],[Score]])-1))</f>
        <v>49</v>
      </c>
      <c r="O249">
        <f>IFERROR(_xlfn.NUMBERVALUE(LEFT(Table11[[#This Row],[Score2 ]],FIND("/",Table11[[#This Row],[Score2 ]])-1)),"")</f>
        <v>56</v>
      </c>
      <c r="P249" t="s">
        <v>170</v>
      </c>
      <c r="Q249" s="1" t="s">
        <v>137</v>
      </c>
      <c r="R249" t="str">
        <f>Table11[[#This Row],[Match]]&amp;" "&amp;Table11[[#This Row],[Over]]</f>
        <v>28 13</v>
      </c>
    </row>
    <row r="250" spans="1:18" x14ac:dyDescent="0.3">
      <c r="A250">
        <v>28</v>
      </c>
      <c r="B250" s="1">
        <v>14</v>
      </c>
      <c r="C250" s="1" t="s">
        <v>1872</v>
      </c>
      <c r="D250" s="1" t="s">
        <v>898</v>
      </c>
      <c r="E250" s="1" t="s">
        <v>1873</v>
      </c>
      <c r="F250" s="1" t="s">
        <v>1259</v>
      </c>
      <c r="G250" s="1" t="s">
        <v>1870</v>
      </c>
      <c r="H250" s="1" t="s">
        <v>1007</v>
      </c>
      <c r="I250" s="1" t="s">
        <v>939</v>
      </c>
      <c r="J250" s="1" t="s">
        <v>1093</v>
      </c>
      <c r="K250" s="1" t="s">
        <v>1874</v>
      </c>
      <c r="L250" s="1" t="s">
        <v>1871</v>
      </c>
      <c r="M250" s="1" t="s">
        <v>1010</v>
      </c>
      <c r="N250">
        <f>_xlfn.NUMBERVALUE(LEFT(Table11[[#This Row],[Score]],FIND("/",Table11[[#This Row],[Score]])-1))</f>
        <v>51</v>
      </c>
      <c r="O250">
        <f>IFERROR(_xlfn.NUMBERVALUE(LEFT(Table11[[#This Row],[Score2 ]],FIND("/",Table11[[#This Row],[Score2 ]])-1)),"")</f>
        <v>56</v>
      </c>
      <c r="P250" t="s">
        <v>170</v>
      </c>
      <c r="Q250" s="1" t="s">
        <v>137</v>
      </c>
      <c r="R250" t="str">
        <f>Table11[[#This Row],[Match]]&amp;" "&amp;Table11[[#This Row],[Over]]</f>
        <v>28 14</v>
      </c>
    </row>
    <row r="251" spans="1:18" x14ac:dyDescent="0.3">
      <c r="A251">
        <v>28</v>
      </c>
      <c r="B251" s="1">
        <v>15</v>
      </c>
      <c r="C251" s="1" t="s">
        <v>1875</v>
      </c>
      <c r="D251" s="1" t="s">
        <v>904</v>
      </c>
      <c r="E251" s="1" t="s">
        <v>977</v>
      </c>
      <c r="F251" s="1" t="s">
        <v>1259</v>
      </c>
      <c r="G251" s="1" t="s">
        <v>1876</v>
      </c>
      <c r="H251" s="1" t="s">
        <v>916</v>
      </c>
      <c r="I251" s="1" t="s">
        <v>931</v>
      </c>
      <c r="J251" s="1" t="s">
        <v>940</v>
      </c>
      <c r="K251" s="1" t="s">
        <v>1490</v>
      </c>
      <c r="L251" s="1" t="s">
        <v>1113</v>
      </c>
      <c r="M251" s="1" t="s">
        <v>1016</v>
      </c>
      <c r="N251">
        <f>_xlfn.NUMBERVALUE(LEFT(Table11[[#This Row],[Score]],FIND("/",Table11[[#This Row],[Score]])-1))</f>
        <v>54</v>
      </c>
      <c r="O251">
        <f>IFERROR(_xlfn.NUMBERVALUE(LEFT(Table11[[#This Row],[Score2 ]],FIND("/",Table11[[#This Row],[Score2 ]])-1)),"")</f>
        <v>63</v>
      </c>
      <c r="P251" t="s">
        <v>170</v>
      </c>
      <c r="Q251" s="1" t="s">
        <v>137</v>
      </c>
      <c r="R251" t="str">
        <f>Table11[[#This Row],[Match]]&amp;" "&amp;Table11[[#This Row],[Over]]</f>
        <v>28 15</v>
      </c>
    </row>
    <row r="252" spans="1:18" x14ac:dyDescent="0.3">
      <c r="A252">
        <v>28</v>
      </c>
      <c r="B252" s="1">
        <v>16</v>
      </c>
      <c r="C252" s="1" t="s">
        <v>1877</v>
      </c>
      <c r="D252" s="1" t="s">
        <v>916</v>
      </c>
      <c r="E252" s="1" t="s">
        <v>1866</v>
      </c>
      <c r="F252" s="1" t="s">
        <v>990</v>
      </c>
      <c r="G252" s="1" t="s">
        <v>1878</v>
      </c>
      <c r="H252" s="1" t="s">
        <v>950</v>
      </c>
      <c r="I252" s="1" t="s">
        <v>1074</v>
      </c>
      <c r="J252" s="1" t="s">
        <v>990</v>
      </c>
      <c r="K252" s="1" t="s">
        <v>1879</v>
      </c>
      <c r="L252" s="1" t="s">
        <v>1880</v>
      </c>
      <c r="M252" s="1" t="s">
        <v>1024</v>
      </c>
      <c r="N252">
        <f>_xlfn.NUMBERVALUE(LEFT(Table11[[#This Row],[Score]],FIND("/",Table11[[#This Row],[Score]])-1))</f>
        <v>61</v>
      </c>
      <c r="O252">
        <f>IFERROR(_xlfn.NUMBERVALUE(LEFT(Table11[[#This Row],[Score2 ]],FIND("/",Table11[[#This Row],[Score2 ]])-1)),"")</f>
        <v>68</v>
      </c>
      <c r="P252" t="s">
        <v>170</v>
      </c>
      <c r="Q252" s="1" t="s">
        <v>137</v>
      </c>
      <c r="R252" t="str">
        <f>Table11[[#This Row],[Match]]&amp;" "&amp;Table11[[#This Row],[Over]]</f>
        <v>28 16</v>
      </c>
    </row>
    <row r="253" spans="1:18" x14ac:dyDescent="0.3">
      <c r="A253">
        <v>28</v>
      </c>
      <c r="B253" s="1">
        <v>17</v>
      </c>
      <c r="C253" s="1" t="s">
        <v>1877</v>
      </c>
      <c r="D253" s="1" t="s">
        <v>1007</v>
      </c>
      <c r="E253" s="1" t="s">
        <v>1881</v>
      </c>
      <c r="F253" s="1" t="s">
        <v>1247</v>
      </c>
      <c r="G253" s="1" t="s">
        <v>1882</v>
      </c>
      <c r="H253" s="1" t="s">
        <v>898</v>
      </c>
      <c r="I253" s="1" t="s">
        <v>1297</v>
      </c>
      <c r="J253" s="1" t="s">
        <v>939</v>
      </c>
      <c r="K253" s="1" t="s">
        <v>1490</v>
      </c>
      <c r="L253" s="1" t="s">
        <v>1170</v>
      </c>
      <c r="M253" s="1" t="s">
        <v>1031</v>
      </c>
      <c r="N253">
        <f>_xlfn.NUMBERVALUE(LEFT(Table11[[#This Row],[Score]],FIND("/",Table11[[#This Row],[Score]])-1))</f>
        <v>61</v>
      </c>
      <c r="O253">
        <f>IFERROR(_xlfn.NUMBERVALUE(LEFT(Table11[[#This Row],[Score2 ]],FIND("/",Table11[[#This Row],[Score2 ]])-1)),"")</f>
        <v>70</v>
      </c>
      <c r="P253" t="s">
        <v>170</v>
      </c>
      <c r="Q253" s="1" t="s">
        <v>137</v>
      </c>
      <c r="R253" t="str">
        <f>Table11[[#This Row],[Match]]&amp;" "&amp;Table11[[#This Row],[Over]]</f>
        <v>28 17</v>
      </c>
    </row>
    <row r="254" spans="1:18" x14ac:dyDescent="0.3">
      <c r="A254">
        <v>28</v>
      </c>
      <c r="B254" s="1">
        <v>18</v>
      </c>
      <c r="C254" s="1" t="s">
        <v>1883</v>
      </c>
      <c r="D254" s="1" t="s">
        <v>922</v>
      </c>
      <c r="E254" s="1" t="s">
        <v>1493</v>
      </c>
      <c r="F254" s="1" t="s">
        <v>977</v>
      </c>
      <c r="G254" s="1" t="s">
        <v>1884</v>
      </c>
      <c r="H254" s="1" t="s">
        <v>930</v>
      </c>
      <c r="I254" s="1" t="s">
        <v>989</v>
      </c>
      <c r="J254" s="1" t="s">
        <v>940</v>
      </c>
      <c r="K254" s="1" t="s">
        <v>1885</v>
      </c>
      <c r="L254" s="1" t="s">
        <v>1182</v>
      </c>
      <c r="M254" s="1" t="s">
        <v>1037</v>
      </c>
      <c r="N254">
        <f>_xlfn.NUMBERVALUE(LEFT(Table11[[#This Row],[Score]],FIND("/",Table11[[#This Row],[Score]])-1))</f>
        <v>67</v>
      </c>
      <c r="O254">
        <f>IFERROR(_xlfn.NUMBERVALUE(LEFT(Table11[[#This Row],[Score2 ]],FIND("/",Table11[[#This Row],[Score2 ]])-1)),"")</f>
        <v>78</v>
      </c>
      <c r="P254" t="s">
        <v>170</v>
      </c>
      <c r="Q254" s="1" t="s">
        <v>137</v>
      </c>
      <c r="R254" t="str">
        <f>Table11[[#This Row],[Match]]&amp;" "&amp;Table11[[#This Row],[Over]]</f>
        <v>28 18</v>
      </c>
    </row>
    <row r="255" spans="1:18" x14ac:dyDescent="0.3">
      <c r="A255">
        <v>28</v>
      </c>
      <c r="B255" s="1">
        <v>19</v>
      </c>
      <c r="C255" s="1" t="s">
        <v>1886</v>
      </c>
      <c r="D255" s="1" t="s">
        <v>968</v>
      </c>
      <c r="E255" s="1" t="s">
        <v>1887</v>
      </c>
      <c r="F255" s="1" t="s">
        <v>1247</v>
      </c>
      <c r="G255" s="1" t="s">
        <v>1888</v>
      </c>
      <c r="H255" s="1" t="s">
        <v>922</v>
      </c>
      <c r="I255" s="1" t="s">
        <v>1006</v>
      </c>
      <c r="J255" s="1" t="s">
        <v>934</v>
      </c>
      <c r="K255" s="1" t="s">
        <v>1889</v>
      </c>
      <c r="L255" s="1" t="s">
        <v>1624</v>
      </c>
      <c r="M255" s="1" t="s">
        <v>1043</v>
      </c>
      <c r="N255">
        <f>_xlfn.NUMBERVALUE(LEFT(Table11[[#This Row],[Score]],FIND("/",Table11[[#This Row],[Score]])-1))</f>
        <v>68</v>
      </c>
      <c r="O255">
        <f>IFERROR(_xlfn.NUMBERVALUE(LEFT(Table11[[#This Row],[Score2 ]],FIND("/",Table11[[#This Row],[Score2 ]])-1)),"")</f>
        <v>84</v>
      </c>
      <c r="P255" t="s">
        <v>170</v>
      </c>
      <c r="Q255" s="1" t="s">
        <v>137</v>
      </c>
      <c r="R255" t="str">
        <f>Table11[[#This Row],[Match]]&amp;" "&amp;Table11[[#This Row],[Over]]</f>
        <v>28 19</v>
      </c>
    </row>
    <row r="256" spans="1:18" x14ac:dyDescent="0.3">
      <c r="A256">
        <v>28</v>
      </c>
      <c r="B256" s="1">
        <v>20</v>
      </c>
      <c r="C256" s="1" t="s">
        <v>1890</v>
      </c>
      <c r="D256" s="1" t="s">
        <v>904</v>
      </c>
      <c r="E256" s="1" t="s">
        <v>1263</v>
      </c>
      <c r="F256" s="1" t="s">
        <v>1247</v>
      </c>
      <c r="G256" s="1" t="s">
        <v>1891</v>
      </c>
      <c r="H256" s="1" t="s">
        <v>947</v>
      </c>
      <c r="I256" s="1" t="s">
        <v>1330</v>
      </c>
      <c r="J256" s="1" t="s">
        <v>1019</v>
      </c>
      <c r="K256" s="1" t="s">
        <v>1238</v>
      </c>
      <c r="L256" s="1" t="s">
        <v>1143</v>
      </c>
      <c r="M256" s="1" t="s">
        <v>1049</v>
      </c>
      <c r="N256">
        <f>_xlfn.NUMBERVALUE(LEFT(Table11[[#This Row],[Score]],FIND("/",Table11[[#This Row],[Score]])-1))</f>
        <v>71</v>
      </c>
      <c r="O256">
        <f>IFERROR(_xlfn.NUMBERVALUE(LEFT(Table11[[#This Row],[Score2 ]],FIND("/",Table11[[#This Row],[Score2 ]])-1)),"")</f>
        <v>93</v>
      </c>
      <c r="P256" t="s">
        <v>170</v>
      </c>
      <c r="Q256" s="1" t="s">
        <v>137</v>
      </c>
      <c r="R256" t="str">
        <f>Table11[[#This Row],[Match]]&amp;" "&amp;Table11[[#This Row],[Over]]</f>
        <v>28 20</v>
      </c>
    </row>
    <row r="257" spans="1:18" x14ac:dyDescent="0.3">
      <c r="A257">
        <v>28</v>
      </c>
      <c r="B257" s="1">
        <v>21</v>
      </c>
      <c r="C257" s="1" t="s">
        <v>1890</v>
      </c>
      <c r="D257" s="1" t="s">
        <v>1007</v>
      </c>
      <c r="E257" s="1" t="s">
        <v>1879</v>
      </c>
      <c r="F257" s="1" t="s">
        <v>899</v>
      </c>
      <c r="G257" s="1" t="s">
        <v>1892</v>
      </c>
      <c r="H257" s="1" t="s">
        <v>998</v>
      </c>
      <c r="I257" s="1" t="s">
        <v>1055</v>
      </c>
      <c r="J257" s="1" t="s">
        <v>1013</v>
      </c>
      <c r="K257" s="1" t="s">
        <v>1893</v>
      </c>
      <c r="L257" s="1" t="s">
        <v>1204</v>
      </c>
      <c r="M257" s="1" t="s">
        <v>1056</v>
      </c>
      <c r="N257">
        <f>_xlfn.NUMBERVALUE(LEFT(Table11[[#This Row],[Score]],FIND("/",Table11[[#This Row],[Score]])-1))</f>
        <v>71</v>
      </c>
      <c r="O257">
        <f>IFERROR(_xlfn.NUMBERVALUE(LEFT(Table11[[#This Row],[Score2 ]],FIND("/",Table11[[#This Row],[Score2 ]])-1)),"")</f>
        <v>97</v>
      </c>
      <c r="P257" t="s">
        <v>170</v>
      </c>
      <c r="Q257" s="1" t="s">
        <v>137</v>
      </c>
      <c r="R257" t="str">
        <f>Table11[[#This Row],[Match]]&amp;" "&amp;Table11[[#This Row],[Over]]</f>
        <v>28 21</v>
      </c>
    </row>
    <row r="258" spans="1:18" x14ac:dyDescent="0.3">
      <c r="A258">
        <v>28</v>
      </c>
      <c r="B258" s="1">
        <v>22</v>
      </c>
      <c r="C258" s="1" t="s">
        <v>1894</v>
      </c>
      <c r="D258" s="1" t="s">
        <v>968</v>
      </c>
      <c r="E258" s="1" t="s">
        <v>1477</v>
      </c>
      <c r="F258" s="1" t="s">
        <v>1383</v>
      </c>
      <c r="G258" s="1" t="s">
        <v>1512</v>
      </c>
      <c r="H258" s="1" t="s">
        <v>922</v>
      </c>
      <c r="I258" s="1" t="s">
        <v>1018</v>
      </c>
      <c r="J258" s="1" t="s">
        <v>960</v>
      </c>
      <c r="K258" s="1" t="s">
        <v>1809</v>
      </c>
      <c r="L258" s="1" t="s">
        <v>1895</v>
      </c>
      <c r="M258" s="1" t="s">
        <v>1063</v>
      </c>
      <c r="N258">
        <f>_xlfn.NUMBERVALUE(LEFT(Table11[[#This Row],[Score]],FIND("/",Table11[[#This Row],[Score]])-1))</f>
        <v>72</v>
      </c>
      <c r="O258">
        <f>IFERROR(_xlfn.NUMBERVALUE(LEFT(Table11[[#This Row],[Score2 ]],FIND("/",Table11[[#This Row],[Score2 ]])-1)),"")</f>
        <v>103</v>
      </c>
      <c r="P258" t="s">
        <v>170</v>
      </c>
      <c r="Q258" s="1" t="s">
        <v>137</v>
      </c>
      <c r="R258" t="str">
        <f>Table11[[#This Row],[Match]]&amp;" "&amp;Table11[[#This Row],[Over]]</f>
        <v>28 22</v>
      </c>
    </row>
    <row r="259" spans="1:18" x14ac:dyDescent="0.3">
      <c r="A259">
        <v>28</v>
      </c>
      <c r="B259" s="1">
        <v>23</v>
      </c>
      <c r="C259" s="1" t="s">
        <v>1896</v>
      </c>
      <c r="D259" s="1" t="s">
        <v>1103</v>
      </c>
      <c r="E259" s="1" t="s">
        <v>1897</v>
      </c>
      <c r="F259" s="1" t="s">
        <v>1247</v>
      </c>
      <c r="G259" s="1" t="s">
        <v>1898</v>
      </c>
      <c r="H259" s="1" t="s">
        <v>998</v>
      </c>
      <c r="I259" s="1" t="s">
        <v>1330</v>
      </c>
      <c r="J259" s="1" t="s">
        <v>1013</v>
      </c>
      <c r="K259" s="1" t="s">
        <v>1899</v>
      </c>
      <c r="L259" s="1" t="s">
        <v>1900</v>
      </c>
      <c r="M259" s="1" t="s">
        <v>1070</v>
      </c>
      <c r="N259">
        <f>_xlfn.NUMBERVALUE(LEFT(Table11[[#This Row],[Score]],FIND("/",Table11[[#This Row],[Score]])-1))</f>
        <v>84</v>
      </c>
      <c r="O259">
        <f>IFERROR(_xlfn.NUMBERVALUE(LEFT(Table11[[#This Row],[Score2 ]],FIND("/",Table11[[#This Row],[Score2 ]])-1)),"")</f>
        <v>107</v>
      </c>
      <c r="P259" t="s">
        <v>170</v>
      </c>
      <c r="Q259" s="1" t="s">
        <v>137</v>
      </c>
      <c r="R259" t="str">
        <f>Table11[[#This Row],[Match]]&amp;" "&amp;Table11[[#This Row],[Over]]</f>
        <v>28 23</v>
      </c>
    </row>
    <row r="260" spans="1:18" x14ac:dyDescent="0.3">
      <c r="A260">
        <v>28</v>
      </c>
      <c r="B260" s="1">
        <v>24</v>
      </c>
      <c r="C260" s="1" t="s">
        <v>1901</v>
      </c>
      <c r="D260" s="1" t="s">
        <v>968</v>
      </c>
      <c r="E260" s="1" t="s">
        <v>1902</v>
      </c>
      <c r="F260" s="1" t="s">
        <v>1247</v>
      </c>
      <c r="G260" s="1" t="s">
        <v>1903</v>
      </c>
      <c r="H260" s="1" t="s">
        <v>922</v>
      </c>
      <c r="I260" s="1" t="s">
        <v>1321</v>
      </c>
      <c r="J260" s="1" t="s">
        <v>1013</v>
      </c>
      <c r="K260" s="1" t="s">
        <v>1904</v>
      </c>
      <c r="L260" s="1" t="s">
        <v>1905</v>
      </c>
      <c r="M260" s="1" t="s">
        <v>1077</v>
      </c>
      <c r="N260">
        <f>_xlfn.NUMBERVALUE(LEFT(Table11[[#This Row],[Score]],FIND("/",Table11[[#This Row],[Score]])-1))</f>
        <v>85</v>
      </c>
      <c r="O260">
        <f>IFERROR(_xlfn.NUMBERVALUE(LEFT(Table11[[#This Row],[Score2 ]],FIND("/",Table11[[#This Row],[Score2 ]])-1)),"")</f>
        <v>113</v>
      </c>
      <c r="P260" t="s">
        <v>170</v>
      </c>
      <c r="Q260" s="1" t="s">
        <v>137</v>
      </c>
      <c r="R260" t="str">
        <f>Table11[[#This Row],[Match]]&amp;" "&amp;Table11[[#This Row],[Over]]</f>
        <v>28 24</v>
      </c>
    </row>
    <row r="261" spans="1:18" x14ac:dyDescent="0.3">
      <c r="A261">
        <v>28</v>
      </c>
      <c r="B261" s="1">
        <v>25</v>
      </c>
      <c r="C261" s="1" t="s">
        <v>1906</v>
      </c>
      <c r="D261" s="1" t="s">
        <v>904</v>
      </c>
      <c r="E261" s="1" t="s">
        <v>1874</v>
      </c>
      <c r="F261" s="1" t="s">
        <v>1247</v>
      </c>
      <c r="G261" s="1" t="s">
        <v>1907</v>
      </c>
      <c r="H261" s="1" t="s">
        <v>968</v>
      </c>
      <c r="I261" s="1" t="s">
        <v>1781</v>
      </c>
      <c r="J261" s="1" t="s">
        <v>931</v>
      </c>
      <c r="K261" s="1" t="s">
        <v>1659</v>
      </c>
      <c r="L261" s="1" t="s">
        <v>1640</v>
      </c>
      <c r="M261" s="1" t="s">
        <v>1083</v>
      </c>
      <c r="N261">
        <f>_xlfn.NUMBERVALUE(LEFT(Table11[[#This Row],[Score]],FIND("/",Table11[[#This Row],[Score]])-1))</f>
        <v>88</v>
      </c>
      <c r="O261">
        <f>IFERROR(_xlfn.NUMBERVALUE(LEFT(Table11[[#This Row],[Score2 ]],FIND("/",Table11[[#This Row],[Score2 ]])-1)),"")</f>
        <v>114</v>
      </c>
      <c r="P261" t="s">
        <v>170</v>
      </c>
      <c r="Q261" s="1" t="s">
        <v>137</v>
      </c>
      <c r="R261" t="str">
        <f>Table11[[#This Row],[Match]]&amp;" "&amp;Table11[[#This Row],[Over]]</f>
        <v>28 25</v>
      </c>
    </row>
    <row r="262" spans="1:18" x14ac:dyDescent="0.3">
      <c r="A262">
        <v>28</v>
      </c>
      <c r="B262" s="1">
        <v>26</v>
      </c>
      <c r="C262" s="1" t="s">
        <v>1908</v>
      </c>
      <c r="D262" s="1" t="s">
        <v>950</v>
      </c>
      <c r="E262" s="1" t="s">
        <v>1887</v>
      </c>
      <c r="F262" s="1" t="s">
        <v>940</v>
      </c>
      <c r="G262" s="1" t="s">
        <v>1909</v>
      </c>
      <c r="H262" s="1" t="s">
        <v>998</v>
      </c>
      <c r="I262" s="1" t="s">
        <v>1793</v>
      </c>
      <c r="J262" s="1" t="s">
        <v>931</v>
      </c>
      <c r="K262" s="1" t="s">
        <v>1442</v>
      </c>
      <c r="L262" s="1" t="s">
        <v>1910</v>
      </c>
      <c r="M262" s="1" t="s">
        <v>1090</v>
      </c>
      <c r="N262">
        <f>_xlfn.NUMBERVALUE(LEFT(Table11[[#This Row],[Score]],FIND("/",Table11[[#This Row],[Score]])-1))</f>
        <v>93</v>
      </c>
      <c r="O262">
        <f>IFERROR(_xlfn.NUMBERVALUE(LEFT(Table11[[#This Row],[Score2 ]],FIND("/",Table11[[#This Row],[Score2 ]])-1)),"")</f>
        <v>118</v>
      </c>
      <c r="P262" t="s">
        <v>170</v>
      </c>
      <c r="Q262" s="1" t="s">
        <v>137</v>
      </c>
      <c r="R262" t="str">
        <f>Table11[[#This Row],[Match]]&amp;" "&amp;Table11[[#This Row],[Over]]</f>
        <v>28 26</v>
      </c>
    </row>
    <row r="263" spans="1:18" x14ac:dyDescent="0.3">
      <c r="A263">
        <v>28</v>
      </c>
      <c r="B263" s="1">
        <v>27</v>
      </c>
      <c r="C263" s="1" t="s">
        <v>1911</v>
      </c>
      <c r="D263" s="1" t="s">
        <v>904</v>
      </c>
      <c r="E263" s="1" t="s">
        <v>1263</v>
      </c>
      <c r="F263" s="1" t="s">
        <v>1093</v>
      </c>
      <c r="G263" s="1" t="s">
        <v>1912</v>
      </c>
      <c r="H263" s="1" t="s">
        <v>998</v>
      </c>
      <c r="I263" s="1" t="s">
        <v>1542</v>
      </c>
      <c r="J263" s="1" t="s">
        <v>990</v>
      </c>
      <c r="K263" s="1" t="s">
        <v>1913</v>
      </c>
      <c r="L263" s="1" t="s">
        <v>1595</v>
      </c>
      <c r="M263" s="1" t="s">
        <v>1098</v>
      </c>
      <c r="N263">
        <f>_xlfn.NUMBERVALUE(LEFT(Table11[[#This Row],[Score]],FIND("/",Table11[[#This Row],[Score]])-1))</f>
        <v>96</v>
      </c>
      <c r="O263">
        <f>IFERROR(_xlfn.NUMBERVALUE(LEFT(Table11[[#This Row],[Score2 ]],FIND("/",Table11[[#This Row],[Score2 ]])-1)),"")</f>
        <v>122</v>
      </c>
      <c r="P263" t="s">
        <v>170</v>
      </c>
      <c r="Q263" s="1" t="s">
        <v>137</v>
      </c>
      <c r="R263" t="str">
        <f>Table11[[#This Row],[Match]]&amp;" "&amp;Table11[[#This Row],[Over]]</f>
        <v>28 27</v>
      </c>
    </row>
    <row r="264" spans="1:18" x14ac:dyDescent="0.3">
      <c r="A264">
        <v>28</v>
      </c>
      <c r="B264" s="1">
        <v>28</v>
      </c>
      <c r="C264" s="1" t="s">
        <v>1914</v>
      </c>
      <c r="D264" s="1" t="s">
        <v>998</v>
      </c>
      <c r="E264" s="1" t="s">
        <v>1887</v>
      </c>
      <c r="F264" s="1" t="s">
        <v>1259</v>
      </c>
      <c r="G264" s="1" t="s">
        <v>1915</v>
      </c>
      <c r="H264" s="1" t="s">
        <v>922</v>
      </c>
      <c r="I264" s="1" t="s">
        <v>1362</v>
      </c>
      <c r="J264" s="1" t="s">
        <v>931</v>
      </c>
      <c r="K264" s="1" t="s">
        <v>905</v>
      </c>
      <c r="L264" s="1" t="s">
        <v>1916</v>
      </c>
      <c r="M264" s="1" t="s">
        <v>1101</v>
      </c>
      <c r="N264">
        <f>_xlfn.NUMBERVALUE(LEFT(Table11[[#This Row],[Score]],FIND("/",Table11[[#This Row],[Score]])-1))</f>
        <v>100</v>
      </c>
      <c r="O264">
        <f>IFERROR(_xlfn.NUMBERVALUE(LEFT(Table11[[#This Row],[Score2 ]],FIND("/",Table11[[#This Row],[Score2 ]])-1)),"")</f>
        <v>128</v>
      </c>
      <c r="P264" t="s">
        <v>170</v>
      </c>
      <c r="Q264" s="1" t="s">
        <v>137</v>
      </c>
      <c r="R264" t="str">
        <f>Table11[[#This Row],[Match]]&amp;" "&amp;Table11[[#This Row],[Over]]</f>
        <v>28 28</v>
      </c>
    </row>
    <row r="265" spans="1:18" x14ac:dyDescent="0.3">
      <c r="A265">
        <v>28</v>
      </c>
      <c r="B265" s="1">
        <v>29</v>
      </c>
      <c r="C265" s="1" t="s">
        <v>1917</v>
      </c>
      <c r="D265" s="1" t="s">
        <v>968</v>
      </c>
      <c r="E265" s="1" t="s">
        <v>1918</v>
      </c>
      <c r="F265" s="1" t="s">
        <v>1259</v>
      </c>
      <c r="G265" s="1" t="s">
        <v>1110</v>
      </c>
      <c r="H265" s="1" t="s">
        <v>998</v>
      </c>
      <c r="I265" s="1" t="s">
        <v>1919</v>
      </c>
      <c r="J265" s="1" t="s">
        <v>990</v>
      </c>
      <c r="K265" s="1" t="s">
        <v>1920</v>
      </c>
      <c r="L265" s="1" t="s">
        <v>1648</v>
      </c>
      <c r="M265" s="1" t="s">
        <v>1108</v>
      </c>
      <c r="N265">
        <f>_xlfn.NUMBERVALUE(LEFT(Table11[[#This Row],[Score]],FIND("/",Table11[[#This Row],[Score]])-1))</f>
        <v>101</v>
      </c>
      <c r="O265">
        <f>IFERROR(_xlfn.NUMBERVALUE(LEFT(Table11[[#This Row],[Score2 ]],FIND("/",Table11[[#This Row],[Score2 ]])-1)),"")</f>
        <v>132</v>
      </c>
      <c r="P265" t="s">
        <v>170</v>
      </c>
      <c r="Q265" s="1" t="s">
        <v>137</v>
      </c>
      <c r="R265" t="str">
        <f>Table11[[#This Row],[Match]]&amp;" "&amp;Table11[[#This Row],[Over]]</f>
        <v>28 29</v>
      </c>
    </row>
    <row r="266" spans="1:18" x14ac:dyDescent="0.3">
      <c r="A266">
        <v>28</v>
      </c>
      <c r="B266" s="1">
        <v>30</v>
      </c>
      <c r="C266" s="1" t="s">
        <v>1921</v>
      </c>
      <c r="D266" s="1" t="s">
        <v>998</v>
      </c>
      <c r="E266" s="1" t="s">
        <v>925</v>
      </c>
      <c r="F266" s="1" t="s">
        <v>1247</v>
      </c>
      <c r="G266" s="1" t="s">
        <v>1922</v>
      </c>
      <c r="H266" s="1" t="s">
        <v>904</v>
      </c>
      <c r="I266" s="1" t="s">
        <v>1021</v>
      </c>
      <c r="J266" s="1" t="s">
        <v>931</v>
      </c>
      <c r="K266" s="1" t="s">
        <v>1088</v>
      </c>
      <c r="L266" s="1" t="s">
        <v>1190</v>
      </c>
      <c r="M266" s="1" t="s">
        <v>1113</v>
      </c>
      <c r="N266">
        <f>_xlfn.NUMBERVALUE(LEFT(Table11[[#This Row],[Score]],FIND("/",Table11[[#This Row],[Score]])-1))</f>
        <v>105</v>
      </c>
      <c r="O266">
        <f>IFERROR(_xlfn.NUMBERVALUE(LEFT(Table11[[#This Row],[Score2 ]],FIND("/",Table11[[#This Row],[Score2 ]])-1)),"")</f>
        <v>135</v>
      </c>
      <c r="P266" t="s">
        <v>170</v>
      </c>
      <c r="Q266" s="1" t="s">
        <v>137</v>
      </c>
      <c r="R266" t="str">
        <f>Table11[[#This Row],[Match]]&amp;" "&amp;Table11[[#This Row],[Over]]</f>
        <v>28 30</v>
      </c>
    </row>
    <row r="267" spans="1:18" x14ac:dyDescent="0.3">
      <c r="A267">
        <v>28</v>
      </c>
      <c r="B267" s="1">
        <v>31</v>
      </c>
      <c r="C267" s="1" t="s">
        <v>1923</v>
      </c>
      <c r="D267" s="1" t="s">
        <v>998</v>
      </c>
      <c r="E267" s="1" t="s">
        <v>1924</v>
      </c>
      <c r="F267" s="1" t="s">
        <v>1259</v>
      </c>
      <c r="G267" s="1" t="s">
        <v>1925</v>
      </c>
      <c r="H267" s="1" t="s">
        <v>904</v>
      </c>
      <c r="I267" s="1" t="s">
        <v>1060</v>
      </c>
      <c r="J267" s="1" t="s">
        <v>939</v>
      </c>
      <c r="K267" s="1" t="s">
        <v>1926</v>
      </c>
      <c r="L267" s="1" t="s">
        <v>1927</v>
      </c>
      <c r="M267" s="1" t="s">
        <v>1121</v>
      </c>
      <c r="N267">
        <f>_xlfn.NUMBERVALUE(LEFT(Table11[[#This Row],[Score]],FIND("/",Table11[[#This Row],[Score]])-1))</f>
        <v>109</v>
      </c>
      <c r="O267">
        <f>IFERROR(_xlfn.NUMBERVALUE(LEFT(Table11[[#This Row],[Score2 ]],FIND("/",Table11[[#This Row],[Score2 ]])-1)),"")</f>
        <v>138</v>
      </c>
      <c r="P267" t="s">
        <v>170</v>
      </c>
      <c r="Q267" s="1" t="s">
        <v>137</v>
      </c>
      <c r="R267" t="str">
        <f>Table11[[#This Row],[Match]]&amp;" "&amp;Table11[[#This Row],[Over]]</f>
        <v>28 31</v>
      </c>
    </row>
    <row r="268" spans="1:18" x14ac:dyDescent="0.3">
      <c r="A268">
        <v>28</v>
      </c>
      <c r="B268" s="1">
        <v>32</v>
      </c>
      <c r="C268" s="1" t="s">
        <v>1928</v>
      </c>
      <c r="D268" s="1" t="s">
        <v>922</v>
      </c>
      <c r="E268" s="1" t="s">
        <v>1929</v>
      </c>
      <c r="F268" s="1" t="s">
        <v>990</v>
      </c>
      <c r="G268" s="1" t="s">
        <v>1930</v>
      </c>
      <c r="H268" s="1" t="s">
        <v>1095</v>
      </c>
      <c r="I268" s="1" t="s">
        <v>1344</v>
      </c>
      <c r="J268" s="1" t="s">
        <v>1029</v>
      </c>
      <c r="K268" s="1" t="s">
        <v>1931</v>
      </c>
      <c r="L268" s="1" t="s">
        <v>1932</v>
      </c>
      <c r="M268" s="1" t="s">
        <v>1127</v>
      </c>
      <c r="N268">
        <f>_xlfn.NUMBERVALUE(LEFT(Table11[[#This Row],[Score]],FIND("/",Table11[[#This Row],[Score]])-1))</f>
        <v>115</v>
      </c>
      <c r="O268">
        <f>IFERROR(_xlfn.NUMBERVALUE(LEFT(Table11[[#This Row],[Score2 ]],FIND("/",Table11[[#This Row],[Score2 ]])-1)),"")</f>
        <v>148</v>
      </c>
      <c r="P268" t="s">
        <v>170</v>
      </c>
      <c r="Q268" s="1" t="s">
        <v>137</v>
      </c>
      <c r="R268" t="str">
        <f>Table11[[#This Row],[Match]]&amp;" "&amp;Table11[[#This Row],[Over]]</f>
        <v>28 32</v>
      </c>
    </row>
    <row r="269" spans="1:18" x14ac:dyDescent="0.3">
      <c r="A269">
        <v>28</v>
      </c>
      <c r="B269" s="1">
        <v>33</v>
      </c>
      <c r="C269" s="1" t="s">
        <v>1933</v>
      </c>
      <c r="D269" s="1" t="s">
        <v>898</v>
      </c>
      <c r="E269" s="1" t="s">
        <v>1902</v>
      </c>
      <c r="F269" s="1" t="s">
        <v>1247</v>
      </c>
      <c r="G269" s="1" t="s">
        <v>1934</v>
      </c>
      <c r="H269" s="1" t="s">
        <v>950</v>
      </c>
      <c r="I269" s="1" t="s">
        <v>1935</v>
      </c>
      <c r="J269" s="1" t="s">
        <v>969</v>
      </c>
      <c r="K269" s="1" t="s">
        <v>1936</v>
      </c>
      <c r="L269" s="1" t="s">
        <v>1211</v>
      </c>
      <c r="M269" s="1" t="s">
        <v>1132</v>
      </c>
      <c r="N269">
        <f>_xlfn.NUMBERVALUE(LEFT(Table11[[#This Row],[Score]],FIND("/",Table11[[#This Row],[Score]])-1))</f>
        <v>117</v>
      </c>
      <c r="O269">
        <f>IFERROR(_xlfn.NUMBERVALUE(LEFT(Table11[[#This Row],[Score2 ]],FIND("/",Table11[[#This Row],[Score2 ]])-1)),"")</f>
        <v>153</v>
      </c>
      <c r="P269" t="s">
        <v>170</v>
      </c>
      <c r="Q269" s="1" t="s">
        <v>137</v>
      </c>
      <c r="R269" t="str">
        <f>Table11[[#This Row],[Match]]&amp;" "&amp;Table11[[#This Row],[Over]]</f>
        <v>28 33</v>
      </c>
    </row>
    <row r="270" spans="1:18" x14ac:dyDescent="0.3">
      <c r="A270">
        <v>28</v>
      </c>
      <c r="B270" s="1">
        <v>34</v>
      </c>
      <c r="C270" s="1" t="s">
        <v>1937</v>
      </c>
      <c r="D270" s="1" t="s">
        <v>898</v>
      </c>
      <c r="E270" s="1" t="s">
        <v>925</v>
      </c>
      <c r="F270" s="1" t="s">
        <v>977</v>
      </c>
      <c r="G270" s="1" t="s">
        <v>1938</v>
      </c>
      <c r="H270" s="1" t="s">
        <v>898</v>
      </c>
      <c r="I270" s="1" t="s">
        <v>1919</v>
      </c>
      <c r="J270" s="1" t="s">
        <v>976</v>
      </c>
      <c r="K270" s="1" t="s">
        <v>1939</v>
      </c>
      <c r="L270" s="1" t="s">
        <v>1709</v>
      </c>
      <c r="M270" s="1" t="s">
        <v>1138</v>
      </c>
      <c r="N270">
        <f>_xlfn.NUMBERVALUE(LEFT(Table11[[#This Row],[Score]],FIND("/",Table11[[#This Row],[Score]])-1))</f>
        <v>119</v>
      </c>
      <c r="O270">
        <f>IFERROR(_xlfn.NUMBERVALUE(LEFT(Table11[[#This Row],[Score2 ]],FIND("/",Table11[[#This Row],[Score2 ]])-1)),"")</f>
        <v>155</v>
      </c>
      <c r="P270" t="s">
        <v>170</v>
      </c>
      <c r="Q270" s="1" t="s">
        <v>137</v>
      </c>
      <c r="R270" t="str">
        <f>Table11[[#This Row],[Match]]&amp;" "&amp;Table11[[#This Row],[Over]]</f>
        <v>28 34</v>
      </c>
    </row>
    <row r="271" spans="1:18" x14ac:dyDescent="0.3">
      <c r="A271">
        <v>28</v>
      </c>
      <c r="B271" s="1">
        <v>35</v>
      </c>
      <c r="C271" s="1" t="s">
        <v>1940</v>
      </c>
      <c r="D271" s="1" t="s">
        <v>968</v>
      </c>
      <c r="E271" s="1" t="s">
        <v>1490</v>
      </c>
      <c r="F271" s="1" t="s">
        <v>1238</v>
      </c>
      <c r="G271" s="1" t="s">
        <v>1941</v>
      </c>
      <c r="H271" s="1" t="s">
        <v>947</v>
      </c>
      <c r="I271" s="1" t="s">
        <v>1018</v>
      </c>
      <c r="J271" s="1" t="s">
        <v>1013</v>
      </c>
      <c r="K271" s="1" t="s">
        <v>1942</v>
      </c>
      <c r="L271" s="1" t="s">
        <v>1684</v>
      </c>
      <c r="M271" s="1" t="s">
        <v>1143</v>
      </c>
      <c r="N271">
        <f>_xlfn.NUMBERVALUE(LEFT(Table11[[#This Row],[Score]],FIND("/",Table11[[#This Row],[Score]])-1))</f>
        <v>120</v>
      </c>
      <c r="O271">
        <f>IFERROR(_xlfn.NUMBERVALUE(LEFT(Table11[[#This Row],[Score2 ]],FIND("/",Table11[[#This Row],[Score2 ]])-1)),"")</f>
        <v>164</v>
      </c>
      <c r="P271" t="s">
        <v>170</v>
      </c>
      <c r="Q271" s="1" t="s">
        <v>137</v>
      </c>
      <c r="R271" t="str">
        <f>Table11[[#This Row],[Match]]&amp;" "&amp;Table11[[#This Row],[Over]]</f>
        <v>28 35</v>
      </c>
    </row>
    <row r="272" spans="1:18" x14ac:dyDescent="0.3">
      <c r="A272">
        <v>28</v>
      </c>
      <c r="B272" s="1">
        <v>36</v>
      </c>
      <c r="C272" s="1" t="s">
        <v>1943</v>
      </c>
      <c r="D272" s="1" t="s">
        <v>950</v>
      </c>
      <c r="E272" s="1" t="s">
        <v>1944</v>
      </c>
      <c r="F272" s="1" t="s">
        <v>1259</v>
      </c>
      <c r="G272" s="1" t="s">
        <v>1945</v>
      </c>
      <c r="H272" s="1" t="s">
        <v>898</v>
      </c>
      <c r="I272" s="1" t="s">
        <v>1055</v>
      </c>
      <c r="J272" s="1" t="s">
        <v>934</v>
      </c>
      <c r="K272" s="1" t="s">
        <v>1946</v>
      </c>
      <c r="L272" s="1" t="s">
        <v>1566</v>
      </c>
      <c r="M272" s="1" t="s">
        <v>1150</v>
      </c>
      <c r="N272">
        <f>_xlfn.NUMBERVALUE(LEFT(Table11[[#This Row],[Score]],FIND("/",Table11[[#This Row],[Score]])-1))</f>
        <v>125</v>
      </c>
      <c r="O272">
        <f>IFERROR(_xlfn.NUMBERVALUE(LEFT(Table11[[#This Row],[Score2 ]],FIND("/",Table11[[#This Row],[Score2 ]])-1)),"")</f>
        <v>166</v>
      </c>
      <c r="P272" t="s">
        <v>170</v>
      </c>
      <c r="Q272" s="1" t="s">
        <v>137</v>
      </c>
      <c r="R272" t="str">
        <f>Table11[[#This Row],[Match]]&amp;" "&amp;Table11[[#This Row],[Over]]</f>
        <v>28 36</v>
      </c>
    </row>
    <row r="273" spans="1:18" x14ac:dyDescent="0.3">
      <c r="A273">
        <v>28</v>
      </c>
      <c r="B273" s="1">
        <v>37</v>
      </c>
      <c r="C273" s="1" t="s">
        <v>1947</v>
      </c>
      <c r="D273" s="1" t="s">
        <v>947</v>
      </c>
      <c r="E273" s="1" t="s">
        <v>1258</v>
      </c>
      <c r="F273" s="1" t="s">
        <v>990</v>
      </c>
      <c r="G273" s="1" t="s">
        <v>1948</v>
      </c>
      <c r="H273" s="1" t="s">
        <v>950</v>
      </c>
      <c r="I273" s="1" t="s">
        <v>1344</v>
      </c>
      <c r="J273" s="1" t="s">
        <v>976</v>
      </c>
      <c r="K273" s="1" t="s">
        <v>1949</v>
      </c>
      <c r="L273" s="1" t="s">
        <v>1103</v>
      </c>
      <c r="M273" s="1" t="s">
        <v>1156</v>
      </c>
      <c r="N273">
        <f>_xlfn.NUMBERVALUE(LEFT(Table11[[#This Row],[Score]],FIND("/",Table11[[#This Row],[Score]])-1))</f>
        <v>134</v>
      </c>
      <c r="O273">
        <f>IFERROR(_xlfn.NUMBERVALUE(LEFT(Table11[[#This Row],[Score2 ]],FIND("/",Table11[[#This Row],[Score2 ]])-1)),"")</f>
        <v>171</v>
      </c>
      <c r="P273" t="s">
        <v>170</v>
      </c>
      <c r="Q273" s="1" t="s">
        <v>137</v>
      </c>
      <c r="R273" t="str">
        <f>Table11[[#This Row],[Match]]&amp;" "&amp;Table11[[#This Row],[Over]]</f>
        <v>28 37</v>
      </c>
    </row>
    <row r="274" spans="1:18" x14ac:dyDescent="0.3">
      <c r="A274">
        <v>28</v>
      </c>
      <c r="B274" s="1">
        <v>38</v>
      </c>
      <c r="C274" s="1" t="s">
        <v>1950</v>
      </c>
      <c r="D274" s="1" t="s">
        <v>1051</v>
      </c>
      <c r="E274" s="1" t="s">
        <v>1866</v>
      </c>
      <c r="F274" s="1" t="s">
        <v>934</v>
      </c>
      <c r="G274" s="1" t="s">
        <v>1951</v>
      </c>
      <c r="H274" s="1" t="s">
        <v>898</v>
      </c>
      <c r="I274" s="1" t="s">
        <v>1919</v>
      </c>
      <c r="J274" s="1" t="s">
        <v>939</v>
      </c>
      <c r="K274" s="1" t="s">
        <v>1952</v>
      </c>
      <c r="L274" s="1" t="s">
        <v>1095</v>
      </c>
      <c r="M274" s="1" t="s">
        <v>1164</v>
      </c>
      <c r="N274">
        <f>_xlfn.NUMBERVALUE(LEFT(Table11[[#This Row],[Score]],FIND("/",Table11[[#This Row],[Score]])-1))</f>
        <v>145</v>
      </c>
      <c r="O274">
        <f>IFERROR(_xlfn.NUMBERVALUE(LEFT(Table11[[#This Row],[Score2 ]],FIND("/",Table11[[#This Row],[Score2 ]])-1)),"")</f>
        <v>173</v>
      </c>
      <c r="P274" t="s">
        <v>170</v>
      </c>
      <c r="Q274" s="1" t="s">
        <v>137</v>
      </c>
      <c r="R274" t="str">
        <f>Table11[[#This Row],[Match]]&amp;" "&amp;Table11[[#This Row],[Over]]</f>
        <v>28 38</v>
      </c>
    </row>
    <row r="275" spans="1:18" x14ac:dyDescent="0.3">
      <c r="A275">
        <v>28</v>
      </c>
      <c r="B275" s="1">
        <v>39</v>
      </c>
      <c r="C275" s="1" t="s">
        <v>1953</v>
      </c>
      <c r="D275" s="1" t="s">
        <v>922</v>
      </c>
      <c r="E275" s="1" t="s">
        <v>1436</v>
      </c>
      <c r="F275" s="1" t="s">
        <v>943</v>
      </c>
      <c r="G275" s="1" t="s">
        <v>1954</v>
      </c>
      <c r="H275" s="1" t="s">
        <v>930</v>
      </c>
      <c r="I275" s="1" t="s">
        <v>1028</v>
      </c>
      <c r="J275" s="1" t="s">
        <v>1029</v>
      </c>
      <c r="K275" s="1" t="s">
        <v>1955</v>
      </c>
      <c r="L275" s="1" t="s">
        <v>898</v>
      </c>
      <c r="M275" s="1" t="s">
        <v>1171</v>
      </c>
      <c r="N275">
        <f>_xlfn.NUMBERVALUE(LEFT(Table11[[#This Row],[Score]],FIND("/",Table11[[#This Row],[Score]])-1))</f>
        <v>151</v>
      </c>
      <c r="O275">
        <f>IFERROR(_xlfn.NUMBERVALUE(LEFT(Table11[[#This Row],[Score2 ]],FIND("/",Table11[[#This Row],[Score2 ]])-1)),"")</f>
        <v>181</v>
      </c>
      <c r="P275" t="s">
        <v>170</v>
      </c>
      <c r="Q275" s="1" t="s">
        <v>137</v>
      </c>
      <c r="R275" t="str">
        <f>Table11[[#This Row],[Match]]&amp;" "&amp;Table11[[#This Row],[Over]]</f>
        <v>28 39</v>
      </c>
    </row>
    <row r="276" spans="1:18" x14ac:dyDescent="0.3">
      <c r="A276">
        <v>28</v>
      </c>
      <c r="B276" s="1">
        <v>40</v>
      </c>
      <c r="C276" s="1" t="s">
        <v>1956</v>
      </c>
      <c r="D276" s="1" t="s">
        <v>1051</v>
      </c>
      <c r="E276" s="1" t="s">
        <v>1957</v>
      </c>
      <c r="F276" s="1" t="s">
        <v>1335</v>
      </c>
      <c r="G276" s="1" t="s">
        <v>1958</v>
      </c>
      <c r="H276" s="1" t="s">
        <v>1688</v>
      </c>
      <c r="I276" s="1" t="s">
        <v>1959</v>
      </c>
      <c r="J276" s="1" t="s">
        <v>1960</v>
      </c>
      <c r="K276" s="1" t="s">
        <v>1622</v>
      </c>
      <c r="L276" s="1" t="s">
        <v>1007</v>
      </c>
      <c r="M276" s="1" t="s">
        <v>1910</v>
      </c>
      <c r="N276">
        <f>_xlfn.NUMBERVALUE(LEFT(Table11[[#This Row],[Score]],FIND("/",Table11[[#This Row],[Score]])-1))</f>
        <v>162</v>
      </c>
      <c r="O276">
        <f>IFERROR(_xlfn.NUMBERVALUE(LEFT(Table11[[#This Row],[Score2 ]],FIND("/",Table11[[#This Row],[Score2 ]])-1)),"")</f>
        <v>185</v>
      </c>
      <c r="P276" t="s">
        <v>170</v>
      </c>
      <c r="Q276" s="1" t="s">
        <v>137</v>
      </c>
      <c r="R276" t="str">
        <f>Table11[[#This Row],[Match]]&amp;" "&amp;Table11[[#This Row],[Over]]</f>
        <v>28 40</v>
      </c>
    </row>
    <row r="277" spans="1:18" x14ac:dyDescent="0.3">
      <c r="A277">
        <v>28</v>
      </c>
      <c r="B277" s="1">
        <v>41</v>
      </c>
      <c r="C277" s="1" t="s">
        <v>1961</v>
      </c>
      <c r="D277" s="1" t="s">
        <v>922</v>
      </c>
      <c r="E277" s="1" t="s">
        <v>981</v>
      </c>
      <c r="F277" s="1" t="s">
        <v>1414</v>
      </c>
      <c r="N277">
        <f>_xlfn.NUMBERVALUE(LEFT(Table11[[#This Row],[Score]],FIND("/",Table11[[#This Row],[Score]])-1))</f>
        <v>168</v>
      </c>
      <c r="O277" t="str">
        <f>IFERROR(_xlfn.NUMBERVALUE(LEFT(Table11[[#This Row],[Score2 ]],FIND("/",Table11[[#This Row],[Score2 ]])-1)),"")</f>
        <v/>
      </c>
      <c r="P277" t="s">
        <v>170</v>
      </c>
      <c r="Q277" s="1" t="s">
        <v>137</v>
      </c>
      <c r="R277" t="str">
        <f>Table11[[#This Row],[Match]]&amp;" "&amp;Table11[[#This Row],[Over]]</f>
        <v>28 41</v>
      </c>
    </row>
    <row r="278" spans="1:18" x14ac:dyDescent="0.3">
      <c r="A278">
        <v>28</v>
      </c>
      <c r="B278" s="1">
        <v>42</v>
      </c>
      <c r="C278" s="1" t="s">
        <v>1962</v>
      </c>
      <c r="D278" s="1" t="s">
        <v>998</v>
      </c>
      <c r="E278" s="1" t="s">
        <v>981</v>
      </c>
      <c r="F278" s="1" t="s">
        <v>1508</v>
      </c>
      <c r="N278">
        <f>_xlfn.NUMBERVALUE(LEFT(Table11[[#This Row],[Score]],FIND("/",Table11[[#This Row],[Score]])-1))</f>
        <v>172</v>
      </c>
      <c r="O278" t="str">
        <f>IFERROR(_xlfn.NUMBERVALUE(LEFT(Table11[[#This Row],[Score2 ]],FIND("/",Table11[[#This Row],[Score2 ]])-1)),"")</f>
        <v/>
      </c>
      <c r="P278" t="s">
        <v>170</v>
      </c>
      <c r="Q278" s="1" t="s">
        <v>137</v>
      </c>
      <c r="R278" t="str">
        <f>Table11[[#This Row],[Match]]&amp;" "&amp;Table11[[#This Row],[Over]]</f>
        <v>28 42</v>
      </c>
    </row>
    <row r="279" spans="1:18" x14ac:dyDescent="0.3">
      <c r="A279">
        <v>28</v>
      </c>
      <c r="B279" s="1">
        <v>43</v>
      </c>
      <c r="C279" s="1" t="s">
        <v>1392</v>
      </c>
      <c r="D279" s="1" t="s">
        <v>904</v>
      </c>
      <c r="E279" s="1" t="s">
        <v>1288</v>
      </c>
      <c r="F279" s="1" t="s">
        <v>1019</v>
      </c>
      <c r="N279">
        <f>_xlfn.NUMBERVALUE(LEFT(Table11[[#This Row],[Score]],FIND("/",Table11[[#This Row],[Score]])-1))</f>
        <v>175</v>
      </c>
      <c r="O279" t="str">
        <f>IFERROR(_xlfn.NUMBERVALUE(LEFT(Table11[[#This Row],[Score2 ]],FIND("/",Table11[[#This Row],[Score2 ]])-1)),"")</f>
        <v/>
      </c>
      <c r="P279" t="s">
        <v>170</v>
      </c>
      <c r="Q279" s="1" t="s">
        <v>137</v>
      </c>
      <c r="R279" t="str">
        <f>Table11[[#This Row],[Match]]&amp;" "&amp;Table11[[#This Row],[Over]]</f>
        <v>28 43</v>
      </c>
    </row>
    <row r="280" spans="1:18" x14ac:dyDescent="0.3">
      <c r="A280">
        <v>28</v>
      </c>
      <c r="B280" s="1">
        <v>44</v>
      </c>
      <c r="C280" s="1" t="s">
        <v>1963</v>
      </c>
      <c r="D280" s="1" t="s">
        <v>916</v>
      </c>
      <c r="E280" s="1" t="s">
        <v>1964</v>
      </c>
      <c r="F280" s="1" t="s">
        <v>970</v>
      </c>
      <c r="N280">
        <f>_xlfn.NUMBERVALUE(LEFT(Table11[[#This Row],[Score]],FIND("/",Table11[[#This Row],[Score]])-1))</f>
        <v>182</v>
      </c>
      <c r="O280" t="str">
        <f>IFERROR(_xlfn.NUMBERVALUE(LEFT(Table11[[#This Row],[Score2 ]],FIND("/",Table11[[#This Row],[Score2 ]])-1)),"")</f>
        <v/>
      </c>
      <c r="P280" t="s">
        <v>170</v>
      </c>
      <c r="Q280" s="1" t="s">
        <v>137</v>
      </c>
      <c r="R280" t="str">
        <f>Table11[[#This Row],[Match]]&amp;" "&amp;Table11[[#This Row],[Over]]</f>
        <v>28 44</v>
      </c>
    </row>
    <row r="281" spans="1:18" x14ac:dyDescent="0.3">
      <c r="A281">
        <v>28</v>
      </c>
      <c r="B281" s="1">
        <v>45</v>
      </c>
      <c r="C281" s="1" t="s">
        <v>1965</v>
      </c>
      <c r="D281" s="1" t="s">
        <v>1966</v>
      </c>
      <c r="E281" s="1" t="s">
        <v>1967</v>
      </c>
      <c r="F281" s="1" t="s">
        <v>1400</v>
      </c>
      <c r="N281">
        <f>_xlfn.NUMBERVALUE(LEFT(Table11[[#This Row],[Score]],FIND("/",Table11[[#This Row],[Score]])-1))</f>
        <v>182</v>
      </c>
      <c r="O281" t="str">
        <f>IFERROR(_xlfn.NUMBERVALUE(LEFT(Table11[[#This Row],[Score2 ]],FIND("/",Table11[[#This Row],[Score2 ]])-1)),"")</f>
        <v/>
      </c>
      <c r="P281" t="s">
        <v>170</v>
      </c>
      <c r="Q281" s="1" t="s">
        <v>137</v>
      </c>
      <c r="R281" t="str">
        <f>Table11[[#This Row],[Match]]&amp;" "&amp;Table11[[#This Row],[Over]]</f>
        <v>28 45</v>
      </c>
    </row>
    <row r="282" spans="1:18" x14ac:dyDescent="0.3">
      <c r="A282">
        <v>44</v>
      </c>
      <c r="B282" s="1">
        <v>1</v>
      </c>
      <c r="C282" s="1" t="s">
        <v>1721</v>
      </c>
      <c r="D282" s="1" t="s">
        <v>930</v>
      </c>
      <c r="E282" s="1" t="s">
        <v>1089</v>
      </c>
      <c r="F282" s="1" t="s">
        <v>348</v>
      </c>
      <c r="G282" s="1" t="s">
        <v>1418</v>
      </c>
      <c r="H282" s="1" t="s">
        <v>904</v>
      </c>
      <c r="I282" s="1" t="s">
        <v>1238</v>
      </c>
      <c r="J282" s="1" t="s">
        <v>348</v>
      </c>
      <c r="K282" s="1" t="s">
        <v>1968</v>
      </c>
      <c r="L282" s="1" t="s">
        <v>1969</v>
      </c>
      <c r="M282" s="1" t="s">
        <v>902</v>
      </c>
      <c r="N282">
        <f>_xlfn.NUMBERVALUE(LEFT(Table11[[#This Row],[Score]],FIND("/",Table11[[#This Row],[Score]])-1))</f>
        <v>8</v>
      </c>
      <c r="O282">
        <f>IFERROR(_xlfn.NUMBERVALUE(LEFT(Table11[[#This Row],[Score2 ]],FIND("/",Table11[[#This Row],[Score2 ]])-1)),"")</f>
        <v>3</v>
      </c>
      <c r="P282" t="s">
        <v>137</v>
      </c>
      <c r="Q282" s="1" t="s">
        <v>181</v>
      </c>
      <c r="R282" t="str">
        <f>Table11[[#This Row],[Match]]&amp;" "&amp;Table11[[#This Row],[Over]]</f>
        <v>44 1</v>
      </c>
    </row>
    <row r="283" spans="1:18" x14ac:dyDescent="0.3">
      <c r="A283">
        <v>44</v>
      </c>
      <c r="B283" s="1">
        <v>2</v>
      </c>
      <c r="C283" s="1" t="s">
        <v>1239</v>
      </c>
      <c r="D283" s="1" t="s">
        <v>998</v>
      </c>
      <c r="E283" s="1" t="s">
        <v>1019</v>
      </c>
      <c r="F283" s="1" t="s">
        <v>348</v>
      </c>
      <c r="G283" s="1" t="s">
        <v>913</v>
      </c>
      <c r="H283" s="1" t="s">
        <v>998</v>
      </c>
      <c r="I283" s="1" t="s">
        <v>925</v>
      </c>
      <c r="J283" s="1" t="s">
        <v>348</v>
      </c>
      <c r="K283" s="1" t="s">
        <v>1233</v>
      </c>
      <c r="L283" s="1" t="s">
        <v>1241</v>
      </c>
      <c r="M283" s="1" t="s">
        <v>909</v>
      </c>
      <c r="N283">
        <f>_xlfn.NUMBERVALUE(LEFT(Table11[[#This Row],[Score]],FIND("/",Table11[[#This Row],[Score]])-1))</f>
        <v>12</v>
      </c>
      <c r="O283">
        <f>IFERROR(_xlfn.NUMBERVALUE(LEFT(Table11[[#This Row],[Score2 ]],FIND("/",Table11[[#This Row],[Score2 ]])-1)),"")</f>
        <v>7</v>
      </c>
      <c r="P283" t="s">
        <v>137</v>
      </c>
      <c r="Q283" s="1" t="s">
        <v>181</v>
      </c>
      <c r="R283" t="str">
        <f>Table11[[#This Row],[Match]]&amp;" "&amp;Table11[[#This Row],[Over]]</f>
        <v>44 2</v>
      </c>
    </row>
    <row r="284" spans="1:18" x14ac:dyDescent="0.3">
      <c r="A284">
        <v>44</v>
      </c>
      <c r="B284" s="1">
        <v>3</v>
      </c>
      <c r="C284" s="1" t="s">
        <v>1970</v>
      </c>
      <c r="D284" s="1" t="s">
        <v>950</v>
      </c>
      <c r="E284" s="1" t="s">
        <v>942</v>
      </c>
      <c r="F284" s="1" t="s">
        <v>348</v>
      </c>
      <c r="G284" s="1" t="s">
        <v>913</v>
      </c>
      <c r="H284" s="1" t="s">
        <v>1007</v>
      </c>
      <c r="I284" s="1" t="s">
        <v>914</v>
      </c>
      <c r="J284" s="1" t="s">
        <v>348</v>
      </c>
      <c r="K284" s="1" t="s">
        <v>1240</v>
      </c>
      <c r="L284" s="1" t="s">
        <v>1241</v>
      </c>
      <c r="M284" s="1" t="s">
        <v>920</v>
      </c>
      <c r="N284">
        <f>_xlfn.NUMBERVALUE(LEFT(Table11[[#This Row],[Score]],FIND("/",Table11[[#This Row],[Score]])-1))</f>
        <v>17</v>
      </c>
      <c r="O284">
        <f>IFERROR(_xlfn.NUMBERVALUE(LEFT(Table11[[#This Row],[Score2 ]],FIND("/",Table11[[#This Row],[Score2 ]])-1)),"")</f>
        <v>7</v>
      </c>
      <c r="P284" t="s">
        <v>137</v>
      </c>
      <c r="Q284" s="1" t="s">
        <v>181</v>
      </c>
      <c r="R284" t="str">
        <f>Table11[[#This Row],[Match]]&amp;" "&amp;Table11[[#This Row],[Over]]</f>
        <v>44 3</v>
      </c>
    </row>
    <row r="285" spans="1:18" x14ac:dyDescent="0.3">
      <c r="A285">
        <v>44</v>
      </c>
      <c r="B285" s="1">
        <v>4</v>
      </c>
      <c r="C285" s="1" t="s">
        <v>1730</v>
      </c>
      <c r="D285" s="1" t="s">
        <v>922</v>
      </c>
      <c r="E285" s="1" t="s">
        <v>1601</v>
      </c>
      <c r="F285" s="1" t="s">
        <v>348</v>
      </c>
      <c r="G285" s="1" t="s">
        <v>1427</v>
      </c>
      <c r="H285" s="1" t="s">
        <v>1390</v>
      </c>
      <c r="I285" s="1" t="s">
        <v>969</v>
      </c>
      <c r="J285" s="1" t="s">
        <v>348</v>
      </c>
      <c r="K285" s="1" t="s">
        <v>1971</v>
      </c>
      <c r="L285" s="1" t="s">
        <v>1972</v>
      </c>
      <c r="M285" s="1" t="s">
        <v>928</v>
      </c>
      <c r="N285">
        <f>_xlfn.NUMBERVALUE(LEFT(Table11[[#This Row],[Score]],FIND("/",Table11[[#This Row],[Score]])-1))</f>
        <v>23</v>
      </c>
      <c r="O285">
        <f>IFERROR(_xlfn.NUMBERVALUE(LEFT(Table11[[#This Row],[Score2 ]],FIND("/",Table11[[#This Row],[Score2 ]])-1)),"")</f>
        <v>20</v>
      </c>
      <c r="P285" t="s">
        <v>137</v>
      </c>
      <c r="Q285" s="1" t="s">
        <v>181</v>
      </c>
      <c r="R285" t="str">
        <f>Table11[[#This Row],[Match]]&amp;" "&amp;Table11[[#This Row],[Over]]</f>
        <v>44 4</v>
      </c>
    </row>
    <row r="286" spans="1:18" x14ac:dyDescent="0.3">
      <c r="A286">
        <v>44</v>
      </c>
      <c r="B286" s="1">
        <v>5</v>
      </c>
      <c r="C286" s="1" t="s">
        <v>1973</v>
      </c>
      <c r="D286" s="1" t="s">
        <v>904</v>
      </c>
      <c r="E286" s="1" t="s">
        <v>1029</v>
      </c>
      <c r="F286" s="1" t="s">
        <v>1029</v>
      </c>
      <c r="G286" s="1" t="s">
        <v>1730</v>
      </c>
      <c r="H286" s="1" t="s">
        <v>904</v>
      </c>
      <c r="I286" s="1" t="s">
        <v>976</v>
      </c>
      <c r="J286" s="1" t="s">
        <v>976</v>
      </c>
      <c r="K286" s="1" t="s">
        <v>1236</v>
      </c>
      <c r="L286" s="1" t="s">
        <v>1261</v>
      </c>
      <c r="M286" s="1" t="s">
        <v>937</v>
      </c>
      <c r="N286">
        <f>_xlfn.NUMBERVALUE(LEFT(Table11[[#This Row],[Score]],FIND("/",Table11[[#This Row],[Score]])-1))</f>
        <v>26</v>
      </c>
      <c r="O286">
        <f>IFERROR(_xlfn.NUMBERVALUE(LEFT(Table11[[#This Row],[Score2 ]],FIND("/",Table11[[#This Row],[Score2 ]])-1)),"")</f>
        <v>23</v>
      </c>
      <c r="P286" t="s">
        <v>137</v>
      </c>
      <c r="Q286" s="1" t="s">
        <v>181</v>
      </c>
      <c r="R286" t="str">
        <f>Table11[[#This Row],[Match]]&amp;" "&amp;Table11[[#This Row],[Over]]</f>
        <v>44 5</v>
      </c>
    </row>
    <row r="287" spans="1:18" x14ac:dyDescent="0.3">
      <c r="A287">
        <v>44</v>
      </c>
      <c r="B287" s="1">
        <v>6</v>
      </c>
      <c r="C287" s="1" t="s">
        <v>1974</v>
      </c>
      <c r="D287" s="1" t="s">
        <v>898</v>
      </c>
      <c r="E287" s="1" t="s">
        <v>1975</v>
      </c>
      <c r="F287" s="1" t="s">
        <v>939</v>
      </c>
      <c r="G287" s="1" t="s">
        <v>1976</v>
      </c>
      <c r="H287" s="1" t="s">
        <v>930</v>
      </c>
      <c r="I287" s="1" t="s">
        <v>1587</v>
      </c>
      <c r="J287" s="1" t="s">
        <v>934</v>
      </c>
      <c r="K287" s="1" t="s">
        <v>907</v>
      </c>
      <c r="L287" s="1" t="s">
        <v>1977</v>
      </c>
      <c r="M287" s="1" t="s">
        <v>945</v>
      </c>
      <c r="N287">
        <f>_xlfn.NUMBERVALUE(LEFT(Table11[[#This Row],[Score]],FIND("/",Table11[[#This Row],[Score]])-1))</f>
        <v>28</v>
      </c>
      <c r="O287">
        <f>IFERROR(_xlfn.NUMBERVALUE(LEFT(Table11[[#This Row],[Score2 ]],FIND("/",Table11[[#This Row],[Score2 ]])-1)),"")</f>
        <v>31</v>
      </c>
      <c r="P287" t="s">
        <v>137</v>
      </c>
      <c r="Q287" s="1" t="s">
        <v>181</v>
      </c>
      <c r="R287" t="str">
        <f>Table11[[#This Row],[Match]]&amp;" "&amp;Table11[[#This Row],[Over]]</f>
        <v>44 6</v>
      </c>
    </row>
    <row r="288" spans="1:18" x14ac:dyDescent="0.3">
      <c r="A288">
        <v>44</v>
      </c>
      <c r="B288" s="1">
        <v>7</v>
      </c>
      <c r="C288" s="1" t="s">
        <v>1736</v>
      </c>
      <c r="D288" s="1" t="s">
        <v>930</v>
      </c>
      <c r="E288" s="1" t="s">
        <v>1092</v>
      </c>
      <c r="F288" s="1" t="s">
        <v>1093</v>
      </c>
      <c r="G288" s="1" t="s">
        <v>1978</v>
      </c>
      <c r="H288" s="1" t="s">
        <v>898</v>
      </c>
      <c r="I288" s="1" t="s">
        <v>948</v>
      </c>
      <c r="J288" s="1" t="s">
        <v>1029</v>
      </c>
      <c r="K288" s="1" t="s">
        <v>1979</v>
      </c>
      <c r="L288" s="1" t="s">
        <v>937</v>
      </c>
      <c r="M288" s="1" t="s">
        <v>955</v>
      </c>
      <c r="N288">
        <f>_xlfn.NUMBERVALUE(LEFT(Table11[[#This Row],[Score]],FIND("/",Table11[[#This Row],[Score]])-1))</f>
        <v>36</v>
      </c>
      <c r="O288">
        <f>IFERROR(_xlfn.NUMBERVALUE(LEFT(Table11[[#This Row],[Score2 ]],FIND("/",Table11[[#This Row],[Score2 ]])-1)),"")</f>
        <v>33</v>
      </c>
      <c r="P288" t="s">
        <v>137</v>
      </c>
      <c r="Q288" s="1" t="s">
        <v>181</v>
      </c>
      <c r="R288" t="str">
        <f>Table11[[#This Row],[Match]]&amp;" "&amp;Table11[[#This Row],[Over]]</f>
        <v>44 7</v>
      </c>
    </row>
    <row r="289" spans="1:18" x14ac:dyDescent="0.3">
      <c r="A289">
        <v>44</v>
      </c>
      <c r="B289" s="1">
        <v>8</v>
      </c>
      <c r="C289" s="1" t="s">
        <v>1980</v>
      </c>
      <c r="D289" s="1" t="s">
        <v>950</v>
      </c>
      <c r="E289" s="1" t="s">
        <v>1567</v>
      </c>
      <c r="F289" s="1" t="s">
        <v>1093</v>
      </c>
      <c r="G289" s="1" t="s">
        <v>1981</v>
      </c>
      <c r="H289" s="1" t="s">
        <v>950</v>
      </c>
      <c r="I289" s="1" t="s">
        <v>1319</v>
      </c>
      <c r="J289" s="1" t="s">
        <v>970</v>
      </c>
      <c r="K289" s="1" t="s">
        <v>1982</v>
      </c>
      <c r="L289" s="1" t="s">
        <v>1275</v>
      </c>
      <c r="M289" s="1" t="s">
        <v>963</v>
      </c>
      <c r="N289">
        <f>_xlfn.NUMBERVALUE(LEFT(Table11[[#This Row],[Score]],FIND("/",Table11[[#This Row],[Score]])-1))</f>
        <v>41</v>
      </c>
      <c r="O289">
        <f>IFERROR(_xlfn.NUMBERVALUE(LEFT(Table11[[#This Row],[Score2 ]],FIND("/",Table11[[#This Row],[Score2 ]])-1)),"")</f>
        <v>38</v>
      </c>
      <c r="P289" t="s">
        <v>137</v>
      </c>
      <c r="Q289" s="1" t="s">
        <v>181</v>
      </c>
      <c r="R289" t="str">
        <f>Table11[[#This Row],[Match]]&amp;" "&amp;Table11[[#This Row],[Over]]</f>
        <v>44 8</v>
      </c>
    </row>
    <row r="290" spans="1:18" x14ac:dyDescent="0.3">
      <c r="A290">
        <v>44</v>
      </c>
      <c r="B290" s="1">
        <v>9</v>
      </c>
      <c r="C290" s="1" t="s">
        <v>1734</v>
      </c>
      <c r="D290" s="1" t="s">
        <v>922</v>
      </c>
      <c r="E290" s="1" t="s">
        <v>1058</v>
      </c>
      <c r="F290" s="1" t="s">
        <v>1093</v>
      </c>
      <c r="G290" s="1" t="s">
        <v>1983</v>
      </c>
      <c r="H290" s="1" t="s">
        <v>968</v>
      </c>
      <c r="I290" s="1" t="s">
        <v>989</v>
      </c>
      <c r="J290" s="1" t="s">
        <v>990</v>
      </c>
      <c r="K290" s="1" t="s">
        <v>1244</v>
      </c>
      <c r="L290" s="1" t="s">
        <v>945</v>
      </c>
      <c r="M290" s="1" t="s">
        <v>973</v>
      </c>
      <c r="N290">
        <f>_xlfn.NUMBERVALUE(LEFT(Table11[[#This Row],[Score]],FIND("/",Table11[[#This Row],[Score]])-1))</f>
        <v>47</v>
      </c>
      <c r="O290">
        <f>IFERROR(_xlfn.NUMBERVALUE(LEFT(Table11[[#This Row],[Score2 ]],FIND("/",Table11[[#This Row],[Score2 ]])-1)),"")</f>
        <v>39</v>
      </c>
      <c r="P290" t="s">
        <v>137</v>
      </c>
      <c r="Q290" s="1" t="s">
        <v>181</v>
      </c>
      <c r="R290" t="str">
        <f>Table11[[#This Row],[Match]]&amp;" "&amp;Table11[[#This Row],[Over]]</f>
        <v>44 9</v>
      </c>
    </row>
    <row r="291" spans="1:18" x14ac:dyDescent="0.3">
      <c r="A291">
        <v>44</v>
      </c>
      <c r="B291" s="1">
        <v>10</v>
      </c>
      <c r="C291" s="1" t="s">
        <v>1984</v>
      </c>
      <c r="D291" s="1" t="s">
        <v>998</v>
      </c>
      <c r="E291" s="1" t="s">
        <v>1835</v>
      </c>
      <c r="F291" s="1" t="s">
        <v>969</v>
      </c>
      <c r="G291" s="1" t="s">
        <v>1447</v>
      </c>
      <c r="H291" s="1" t="s">
        <v>950</v>
      </c>
      <c r="I291" s="1" t="s">
        <v>940</v>
      </c>
      <c r="J291" s="1" t="s">
        <v>931</v>
      </c>
      <c r="K291" s="1" t="s">
        <v>1985</v>
      </c>
      <c r="L291" s="1" t="s">
        <v>1284</v>
      </c>
      <c r="M291" s="1" t="s">
        <v>980</v>
      </c>
      <c r="N291">
        <f>_xlfn.NUMBERVALUE(LEFT(Table11[[#This Row],[Score]],FIND("/",Table11[[#This Row],[Score]])-1))</f>
        <v>51</v>
      </c>
      <c r="O291">
        <f>IFERROR(_xlfn.NUMBERVALUE(LEFT(Table11[[#This Row],[Score2 ]],FIND("/",Table11[[#This Row],[Score2 ]])-1)),"")</f>
        <v>44</v>
      </c>
      <c r="P291" t="s">
        <v>137</v>
      </c>
      <c r="Q291" s="1" t="s">
        <v>181</v>
      </c>
      <c r="R291" t="str">
        <f>Table11[[#This Row],[Match]]&amp;" "&amp;Table11[[#This Row],[Over]]</f>
        <v>44 10</v>
      </c>
    </row>
    <row r="292" spans="1:18" x14ac:dyDescent="0.3">
      <c r="A292">
        <v>44</v>
      </c>
      <c r="B292" s="1">
        <v>11</v>
      </c>
      <c r="C292" s="1" t="s">
        <v>1986</v>
      </c>
      <c r="D292" s="1" t="s">
        <v>998</v>
      </c>
      <c r="E292" s="1" t="s">
        <v>969</v>
      </c>
      <c r="F292" s="1" t="s">
        <v>966</v>
      </c>
      <c r="G292" s="1" t="s">
        <v>1987</v>
      </c>
      <c r="H292" s="1" t="s">
        <v>898</v>
      </c>
      <c r="I292" s="1" t="s">
        <v>1292</v>
      </c>
      <c r="J292" s="1" t="s">
        <v>1238</v>
      </c>
      <c r="K292" s="1" t="s">
        <v>1988</v>
      </c>
      <c r="L292" s="1" t="s">
        <v>962</v>
      </c>
      <c r="M292" s="1" t="s">
        <v>987</v>
      </c>
      <c r="N292">
        <f>_xlfn.NUMBERVALUE(LEFT(Table11[[#This Row],[Score]],FIND("/",Table11[[#This Row],[Score]])-1))</f>
        <v>55</v>
      </c>
      <c r="O292">
        <f>IFERROR(_xlfn.NUMBERVALUE(LEFT(Table11[[#This Row],[Score2 ]],FIND("/",Table11[[#This Row],[Score2 ]])-1)),"")</f>
        <v>46</v>
      </c>
      <c r="P292" t="s">
        <v>137</v>
      </c>
      <c r="Q292" s="1" t="s">
        <v>181</v>
      </c>
      <c r="R292" t="str">
        <f>Table11[[#This Row],[Match]]&amp;" "&amp;Table11[[#This Row],[Over]]</f>
        <v>44 11</v>
      </c>
    </row>
    <row r="293" spans="1:18" x14ac:dyDescent="0.3">
      <c r="A293">
        <v>44</v>
      </c>
      <c r="B293" s="1">
        <v>12</v>
      </c>
      <c r="C293" s="1" t="s">
        <v>1989</v>
      </c>
      <c r="D293" s="1" t="s">
        <v>968</v>
      </c>
      <c r="E293" s="1" t="s">
        <v>1975</v>
      </c>
      <c r="F293" s="1" t="s">
        <v>939</v>
      </c>
      <c r="G293" s="1" t="s">
        <v>1987</v>
      </c>
      <c r="H293" s="1" t="s">
        <v>1007</v>
      </c>
      <c r="I293" s="1" t="s">
        <v>1731</v>
      </c>
      <c r="J293" s="1" t="s">
        <v>984</v>
      </c>
      <c r="K293" s="1" t="s">
        <v>1808</v>
      </c>
      <c r="L293" s="1" t="s">
        <v>962</v>
      </c>
      <c r="M293" s="1" t="s">
        <v>996</v>
      </c>
      <c r="N293">
        <f>_xlfn.NUMBERVALUE(LEFT(Table11[[#This Row],[Score]],FIND("/",Table11[[#This Row],[Score]])-1))</f>
        <v>56</v>
      </c>
      <c r="O293">
        <f>IFERROR(_xlfn.NUMBERVALUE(LEFT(Table11[[#This Row],[Score2 ]],FIND("/",Table11[[#This Row],[Score2 ]])-1)),"")</f>
        <v>46</v>
      </c>
      <c r="P293" t="s">
        <v>137</v>
      </c>
      <c r="Q293" s="1" t="s">
        <v>181</v>
      </c>
      <c r="R293" t="str">
        <f>Table11[[#This Row],[Match]]&amp;" "&amp;Table11[[#This Row],[Over]]</f>
        <v>44 12</v>
      </c>
    </row>
    <row r="294" spans="1:18" x14ac:dyDescent="0.3">
      <c r="A294">
        <v>44</v>
      </c>
      <c r="B294" s="1">
        <v>13</v>
      </c>
      <c r="C294" s="1" t="s">
        <v>1990</v>
      </c>
      <c r="D294" s="1" t="s">
        <v>904</v>
      </c>
      <c r="E294" s="1" t="s">
        <v>1793</v>
      </c>
      <c r="F294" s="1" t="s">
        <v>977</v>
      </c>
      <c r="G294" s="1" t="s">
        <v>1991</v>
      </c>
      <c r="H294" s="1" t="s">
        <v>930</v>
      </c>
      <c r="I294" s="1" t="s">
        <v>1303</v>
      </c>
      <c r="J294" s="1" t="s">
        <v>1259</v>
      </c>
      <c r="K294" s="1" t="s">
        <v>1030</v>
      </c>
      <c r="L294" s="1" t="s">
        <v>1992</v>
      </c>
      <c r="M294" s="1" t="s">
        <v>1004</v>
      </c>
      <c r="N294">
        <f>_xlfn.NUMBERVALUE(LEFT(Table11[[#This Row],[Score]],FIND("/",Table11[[#This Row],[Score]])-1))</f>
        <v>59</v>
      </c>
      <c r="O294">
        <f>IFERROR(_xlfn.NUMBERVALUE(LEFT(Table11[[#This Row],[Score2 ]],FIND("/",Table11[[#This Row],[Score2 ]])-1)),"")</f>
        <v>54</v>
      </c>
      <c r="P294" t="s">
        <v>137</v>
      </c>
      <c r="Q294" s="1" t="s">
        <v>181</v>
      </c>
      <c r="R294" t="str">
        <f>Table11[[#This Row],[Match]]&amp;" "&amp;Table11[[#This Row],[Over]]</f>
        <v>44 13</v>
      </c>
    </row>
    <row r="295" spans="1:18" x14ac:dyDescent="0.3">
      <c r="A295">
        <v>44</v>
      </c>
      <c r="B295" s="1">
        <v>14</v>
      </c>
      <c r="C295" s="1" t="s">
        <v>1993</v>
      </c>
      <c r="D295" s="1" t="s">
        <v>998</v>
      </c>
      <c r="E295" s="1" t="s">
        <v>1021</v>
      </c>
      <c r="F295" s="1" t="s">
        <v>1259</v>
      </c>
      <c r="G295" s="1" t="s">
        <v>1289</v>
      </c>
      <c r="H295" s="1" t="s">
        <v>916</v>
      </c>
      <c r="I295" s="1" t="s">
        <v>1299</v>
      </c>
      <c r="J295" s="1" t="s">
        <v>940</v>
      </c>
      <c r="K295" s="1" t="s">
        <v>1030</v>
      </c>
      <c r="L295" s="1" t="s">
        <v>1994</v>
      </c>
      <c r="M295" s="1" t="s">
        <v>1010</v>
      </c>
      <c r="N295">
        <f>_xlfn.NUMBERVALUE(LEFT(Table11[[#This Row],[Score]],FIND("/",Table11[[#This Row],[Score]])-1))</f>
        <v>63</v>
      </c>
      <c r="O295">
        <f>IFERROR(_xlfn.NUMBERVALUE(LEFT(Table11[[#This Row],[Score2 ]],FIND("/",Table11[[#This Row],[Score2 ]])-1)),"")</f>
        <v>61</v>
      </c>
      <c r="P295" t="s">
        <v>137</v>
      </c>
      <c r="Q295" s="1" t="s">
        <v>181</v>
      </c>
      <c r="R295" t="str">
        <f>Table11[[#This Row],[Match]]&amp;" "&amp;Table11[[#This Row],[Over]]</f>
        <v>44 14</v>
      </c>
    </row>
    <row r="296" spans="1:18" x14ac:dyDescent="0.3">
      <c r="A296">
        <v>44</v>
      </c>
      <c r="B296" s="1">
        <v>15</v>
      </c>
      <c r="C296" s="1" t="s">
        <v>1995</v>
      </c>
      <c r="D296" s="1" t="s">
        <v>916</v>
      </c>
      <c r="E296" s="1" t="s">
        <v>1975</v>
      </c>
      <c r="F296" s="1" t="s">
        <v>990</v>
      </c>
      <c r="G296" s="1" t="s">
        <v>1293</v>
      </c>
      <c r="H296" s="1" t="s">
        <v>898</v>
      </c>
      <c r="I296" s="1" t="s">
        <v>931</v>
      </c>
      <c r="J296" s="1" t="s">
        <v>990</v>
      </c>
      <c r="K296" s="1" t="s">
        <v>1996</v>
      </c>
      <c r="L296" s="1" t="s">
        <v>980</v>
      </c>
      <c r="M296" s="1" t="s">
        <v>1016</v>
      </c>
      <c r="N296">
        <f>_xlfn.NUMBERVALUE(LEFT(Table11[[#This Row],[Score]],FIND("/",Table11[[#This Row],[Score]])-1))</f>
        <v>70</v>
      </c>
      <c r="O296">
        <f>IFERROR(_xlfn.NUMBERVALUE(LEFT(Table11[[#This Row],[Score2 ]],FIND("/",Table11[[#This Row],[Score2 ]])-1)),"")</f>
        <v>63</v>
      </c>
      <c r="P296" t="s">
        <v>137</v>
      </c>
      <c r="Q296" s="1" t="s">
        <v>181</v>
      </c>
      <c r="R296" t="str">
        <f>Table11[[#This Row],[Match]]&amp;" "&amp;Table11[[#This Row],[Over]]</f>
        <v>44 15</v>
      </c>
    </row>
    <row r="297" spans="1:18" x14ac:dyDescent="0.3">
      <c r="A297">
        <v>44</v>
      </c>
      <c r="B297" s="1">
        <v>16</v>
      </c>
      <c r="C297" s="1" t="s">
        <v>1997</v>
      </c>
      <c r="D297" s="1" t="s">
        <v>898</v>
      </c>
      <c r="E297" s="1" t="s">
        <v>1021</v>
      </c>
      <c r="F297" s="1" t="s">
        <v>1247</v>
      </c>
      <c r="G297" s="1" t="s">
        <v>1998</v>
      </c>
      <c r="H297" s="1" t="s">
        <v>930</v>
      </c>
      <c r="I297" s="1" t="s">
        <v>1999</v>
      </c>
      <c r="J297" s="1" t="s">
        <v>969</v>
      </c>
      <c r="K297" s="1" t="s">
        <v>1803</v>
      </c>
      <c r="L297" s="1" t="s">
        <v>2000</v>
      </c>
      <c r="M297" s="1" t="s">
        <v>1024</v>
      </c>
      <c r="N297">
        <f>_xlfn.NUMBERVALUE(LEFT(Table11[[#This Row],[Score]],FIND("/",Table11[[#This Row],[Score]])-1))</f>
        <v>72</v>
      </c>
      <c r="O297">
        <f>IFERROR(_xlfn.NUMBERVALUE(LEFT(Table11[[#This Row],[Score2 ]],FIND("/",Table11[[#This Row],[Score2 ]])-1)),"")</f>
        <v>71</v>
      </c>
      <c r="P297" t="s">
        <v>137</v>
      </c>
      <c r="Q297" s="1" t="s">
        <v>181</v>
      </c>
      <c r="R297" t="str">
        <f>Table11[[#This Row],[Match]]&amp;" "&amp;Table11[[#This Row],[Over]]</f>
        <v>44 16</v>
      </c>
    </row>
    <row r="298" spans="1:18" x14ac:dyDescent="0.3">
      <c r="A298">
        <v>44</v>
      </c>
      <c r="B298" s="1">
        <v>17</v>
      </c>
      <c r="C298" s="1" t="s">
        <v>2001</v>
      </c>
      <c r="D298" s="1" t="s">
        <v>922</v>
      </c>
      <c r="E298" s="1" t="s">
        <v>1786</v>
      </c>
      <c r="F298" s="1" t="s">
        <v>940</v>
      </c>
      <c r="G298" s="1" t="s">
        <v>1473</v>
      </c>
      <c r="H298" s="1" t="s">
        <v>898</v>
      </c>
      <c r="I298" s="1" t="s">
        <v>1474</v>
      </c>
      <c r="J298" s="1" t="s">
        <v>966</v>
      </c>
      <c r="K298" s="1" t="s">
        <v>1047</v>
      </c>
      <c r="L298" s="1" t="s">
        <v>1460</v>
      </c>
      <c r="M298" s="1" t="s">
        <v>1031</v>
      </c>
      <c r="N298">
        <f>_xlfn.NUMBERVALUE(LEFT(Table11[[#This Row],[Score]],FIND("/",Table11[[#This Row],[Score]])-1))</f>
        <v>78</v>
      </c>
      <c r="O298">
        <f>IFERROR(_xlfn.NUMBERVALUE(LEFT(Table11[[#This Row],[Score2 ]],FIND("/",Table11[[#This Row],[Score2 ]])-1)),"")</f>
        <v>73</v>
      </c>
      <c r="P298" t="s">
        <v>137</v>
      </c>
      <c r="Q298" s="1" t="s">
        <v>181</v>
      </c>
      <c r="R298" t="str">
        <f>Table11[[#This Row],[Match]]&amp;" "&amp;Table11[[#This Row],[Over]]</f>
        <v>44 17</v>
      </c>
    </row>
    <row r="299" spans="1:18" x14ac:dyDescent="0.3">
      <c r="A299">
        <v>44</v>
      </c>
      <c r="B299" s="1">
        <v>18</v>
      </c>
      <c r="C299" s="1" t="s">
        <v>1034</v>
      </c>
      <c r="D299" s="1" t="s">
        <v>968</v>
      </c>
      <c r="E299" s="1" t="s">
        <v>1035</v>
      </c>
      <c r="F299" s="1" t="s">
        <v>939</v>
      </c>
      <c r="G299" s="1" t="s">
        <v>2002</v>
      </c>
      <c r="H299" s="1" t="s">
        <v>916</v>
      </c>
      <c r="I299" s="1" t="s">
        <v>965</v>
      </c>
      <c r="J299" s="1" t="s">
        <v>1029</v>
      </c>
      <c r="K299" s="1" t="s">
        <v>1047</v>
      </c>
      <c r="L299" s="1" t="s">
        <v>1464</v>
      </c>
      <c r="M299" s="1" t="s">
        <v>1037</v>
      </c>
      <c r="N299">
        <f>_xlfn.NUMBERVALUE(LEFT(Table11[[#This Row],[Score]],FIND("/",Table11[[#This Row],[Score]])-1))</f>
        <v>79</v>
      </c>
      <c r="O299">
        <f>IFERROR(_xlfn.NUMBERVALUE(LEFT(Table11[[#This Row],[Score2 ]],FIND("/",Table11[[#This Row],[Score2 ]])-1)),"")</f>
        <v>80</v>
      </c>
      <c r="P299" t="s">
        <v>137</v>
      </c>
      <c r="Q299" s="1" t="s">
        <v>181</v>
      </c>
      <c r="R299" t="str">
        <f>Table11[[#This Row],[Match]]&amp;" "&amp;Table11[[#This Row],[Over]]</f>
        <v>44 18</v>
      </c>
    </row>
    <row r="300" spans="1:18" x14ac:dyDescent="0.3">
      <c r="A300">
        <v>44</v>
      </c>
      <c r="B300" s="1">
        <v>19</v>
      </c>
      <c r="C300" s="1" t="s">
        <v>2003</v>
      </c>
      <c r="D300" s="1" t="s">
        <v>898</v>
      </c>
      <c r="E300" s="1" t="s">
        <v>1382</v>
      </c>
      <c r="F300" s="1" t="s">
        <v>977</v>
      </c>
      <c r="G300" s="1" t="s">
        <v>1486</v>
      </c>
      <c r="H300" s="1" t="s">
        <v>904</v>
      </c>
      <c r="I300" s="1" t="s">
        <v>1040</v>
      </c>
      <c r="J300" s="1" t="s">
        <v>940</v>
      </c>
      <c r="K300" s="1" t="s">
        <v>1300</v>
      </c>
      <c r="L300" s="1" t="s">
        <v>2004</v>
      </c>
      <c r="M300" s="1" t="s">
        <v>1043</v>
      </c>
      <c r="N300">
        <f>_xlfn.NUMBERVALUE(LEFT(Table11[[#This Row],[Score]],FIND("/",Table11[[#This Row],[Score]])-1))</f>
        <v>81</v>
      </c>
      <c r="O300">
        <f>IFERROR(_xlfn.NUMBERVALUE(LEFT(Table11[[#This Row],[Score2 ]],FIND("/",Table11[[#This Row],[Score2 ]])-1)),"")</f>
        <v>83</v>
      </c>
      <c r="P300" t="s">
        <v>137</v>
      </c>
      <c r="Q300" s="1" t="s">
        <v>181</v>
      </c>
      <c r="R300" t="str">
        <f>Table11[[#This Row],[Match]]&amp;" "&amp;Table11[[#This Row],[Over]]</f>
        <v>44 19</v>
      </c>
    </row>
    <row r="301" spans="1:18" x14ac:dyDescent="0.3">
      <c r="A301">
        <v>44</v>
      </c>
      <c r="B301" s="1">
        <v>20</v>
      </c>
      <c r="C301" s="1" t="s">
        <v>1304</v>
      </c>
      <c r="D301" s="1" t="s">
        <v>904</v>
      </c>
      <c r="E301" s="1" t="s">
        <v>931</v>
      </c>
      <c r="F301" s="1" t="s">
        <v>993</v>
      </c>
      <c r="G301" s="1" t="s">
        <v>2005</v>
      </c>
      <c r="H301" s="1" t="s">
        <v>904</v>
      </c>
      <c r="I301" s="1" t="s">
        <v>999</v>
      </c>
      <c r="J301" s="1" t="s">
        <v>976</v>
      </c>
      <c r="K301" s="1" t="s">
        <v>1776</v>
      </c>
      <c r="L301" s="1" t="s">
        <v>2006</v>
      </c>
      <c r="M301" s="1" t="s">
        <v>1049</v>
      </c>
      <c r="N301">
        <f>_xlfn.NUMBERVALUE(LEFT(Table11[[#This Row],[Score]],FIND("/",Table11[[#This Row],[Score]])-1))</f>
        <v>84</v>
      </c>
      <c r="O301">
        <f>IFERROR(_xlfn.NUMBERVALUE(LEFT(Table11[[#This Row],[Score2 ]],FIND("/",Table11[[#This Row],[Score2 ]])-1)),"")</f>
        <v>86</v>
      </c>
      <c r="P301" t="s">
        <v>137</v>
      </c>
      <c r="Q301" s="1" t="s">
        <v>181</v>
      </c>
      <c r="R301" t="str">
        <f>Table11[[#This Row],[Match]]&amp;" "&amp;Table11[[#This Row],[Over]]</f>
        <v>44 20</v>
      </c>
    </row>
    <row r="302" spans="1:18" x14ac:dyDescent="0.3">
      <c r="A302">
        <v>44</v>
      </c>
      <c r="B302" s="1">
        <v>21</v>
      </c>
      <c r="C302" s="1" t="s">
        <v>2007</v>
      </c>
      <c r="D302" s="1" t="s">
        <v>898</v>
      </c>
      <c r="E302" s="1" t="s">
        <v>981</v>
      </c>
      <c r="F302" s="1" t="s">
        <v>993</v>
      </c>
      <c r="G302" s="1" t="s">
        <v>2008</v>
      </c>
      <c r="H302" s="1" t="s">
        <v>998</v>
      </c>
      <c r="I302" s="1" t="s">
        <v>1124</v>
      </c>
      <c r="J302" s="1" t="s">
        <v>990</v>
      </c>
      <c r="K302" s="1" t="s">
        <v>2009</v>
      </c>
      <c r="L302" s="1" t="s">
        <v>2010</v>
      </c>
      <c r="M302" s="1" t="s">
        <v>1056</v>
      </c>
      <c r="N302">
        <f>_xlfn.NUMBERVALUE(LEFT(Table11[[#This Row],[Score]],FIND("/",Table11[[#This Row],[Score]])-1))</f>
        <v>86</v>
      </c>
      <c r="O302">
        <f>IFERROR(_xlfn.NUMBERVALUE(LEFT(Table11[[#This Row],[Score2 ]],FIND("/",Table11[[#This Row],[Score2 ]])-1)),"")</f>
        <v>90</v>
      </c>
      <c r="P302" t="s">
        <v>137</v>
      </c>
      <c r="Q302" s="1" t="s">
        <v>181</v>
      </c>
      <c r="R302" t="str">
        <f>Table11[[#This Row],[Match]]&amp;" "&amp;Table11[[#This Row],[Over]]</f>
        <v>44 21</v>
      </c>
    </row>
    <row r="303" spans="1:18" x14ac:dyDescent="0.3">
      <c r="A303">
        <v>44</v>
      </c>
      <c r="B303" s="1">
        <v>22</v>
      </c>
      <c r="C303" s="1" t="s">
        <v>2011</v>
      </c>
      <c r="D303" s="1" t="s">
        <v>904</v>
      </c>
      <c r="E303" s="1" t="s">
        <v>1505</v>
      </c>
      <c r="F303" s="1" t="s">
        <v>1383</v>
      </c>
      <c r="G303" s="1" t="s">
        <v>2008</v>
      </c>
      <c r="H303" s="1" t="s">
        <v>1007</v>
      </c>
      <c r="I303" s="1" t="s">
        <v>981</v>
      </c>
      <c r="J303" s="1" t="s">
        <v>1247</v>
      </c>
      <c r="K303" s="1" t="s">
        <v>1508</v>
      </c>
      <c r="L303" s="1" t="s">
        <v>2010</v>
      </c>
      <c r="M303" s="1" t="s">
        <v>1063</v>
      </c>
      <c r="N303">
        <f>_xlfn.NUMBERVALUE(LEFT(Table11[[#This Row],[Score]],FIND("/",Table11[[#This Row],[Score]])-1))</f>
        <v>89</v>
      </c>
      <c r="O303">
        <f>IFERROR(_xlfn.NUMBERVALUE(LEFT(Table11[[#This Row],[Score2 ]],FIND("/",Table11[[#This Row],[Score2 ]])-1)),"")</f>
        <v>90</v>
      </c>
      <c r="P303" t="s">
        <v>137</v>
      </c>
      <c r="Q303" s="1" t="s">
        <v>181</v>
      </c>
      <c r="R303" t="str">
        <f>Table11[[#This Row],[Match]]&amp;" "&amp;Table11[[#This Row],[Over]]</f>
        <v>44 22</v>
      </c>
    </row>
    <row r="304" spans="1:18" x14ac:dyDescent="0.3">
      <c r="A304">
        <v>44</v>
      </c>
      <c r="B304" s="1">
        <v>23</v>
      </c>
      <c r="C304" s="1" t="s">
        <v>2012</v>
      </c>
      <c r="D304" s="1" t="s">
        <v>922</v>
      </c>
      <c r="E304" s="1" t="s">
        <v>1964</v>
      </c>
      <c r="F304" s="1" t="s">
        <v>1259</v>
      </c>
      <c r="G304" s="1" t="s">
        <v>2008</v>
      </c>
      <c r="H304" s="1" t="s">
        <v>1007</v>
      </c>
      <c r="I304" s="1" t="s">
        <v>1278</v>
      </c>
      <c r="J304" s="1" t="s">
        <v>899</v>
      </c>
      <c r="K304" s="1" t="s">
        <v>2013</v>
      </c>
      <c r="L304" s="1" t="s">
        <v>2010</v>
      </c>
      <c r="M304" s="1" t="s">
        <v>1070</v>
      </c>
      <c r="N304">
        <f>_xlfn.NUMBERVALUE(LEFT(Table11[[#This Row],[Score]],FIND("/",Table11[[#This Row],[Score]])-1))</f>
        <v>95</v>
      </c>
      <c r="O304">
        <f>IFERROR(_xlfn.NUMBERVALUE(LEFT(Table11[[#This Row],[Score2 ]],FIND("/",Table11[[#This Row],[Score2 ]])-1)),"")</f>
        <v>90</v>
      </c>
      <c r="P304" t="s">
        <v>137</v>
      </c>
      <c r="Q304" s="1" t="s">
        <v>181</v>
      </c>
      <c r="R304" t="str">
        <f>Table11[[#This Row],[Match]]&amp;" "&amp;Table11[[#This Row],[Over]]</f>
        <v>44 23</v>
      </c>
    </row>
    <row r="305" spans="1:18" x14ac:dyDescent="0.3">
      <c r="A305">
        <v>44</v>
      </c>
      <c r="B305" s="1">
        <v>24</v>
      </c>
      <c r="C305" s="1" t="s">
        <v>1772</v>
      </c>
      <c r="D305" s="1" t="s">
        <v>968</v>
      </c>
      <c r="E305" s="1" t="s">
        <v>939</v>
      </c>
      <c r="F305" s="1" t="s">
        <v>1238</v>
      </c>
      <c r="G305" s="1" t="s">
        <v>2014</v>
      </c>
      <c r="H305" s="1" t="s">
        <v>968</v>
      </c>
      <c r="I305" s="1" t="s">
        <v>1855</v>
      </c>
      <c r="J305" s="1" t="s">
        <v>1770</v>
      </c>
      <c r="K305" s="1" t="s">
        <v>2015</v>
      </c>
      <c r="L305" s="1" t="s">
        <v>2016</v>
      </c>
      <c r="M305" s="1" t="s">
        <v>1077</v>
      </c>
      <c r="N305">
        <f>_xlfn.NUMBERVALUE(LEFT(Table11[[#This Row],[Score]],FIND("/",Table11[[#This Row],[Score]])-1))</f>
        <v>96</v>
      </c>
      <c r="O305">
        <f>IFERROR(_xlfn.NUMBERVALUE(LEFT(Table11[[#This Row],[Score2 ]],FIND("/",Table11[[#This Row],[Score2 ]])-1)),"")</f>
        <v>91</v>
      </c>
      <c r="P305" t="s">
        <v>137</v>
      </c>
      <c r="Q305" s="1" t="s">
        <v>181</v>
      </c>
      <c r="R305" t="str">
        <f>Table11[[#This Row],[Match]]&amp;" "&amp;Table11[[#This Row],[Over]]</f>
        <v>44 24</v>
      </c>
    </row>
    <row r="306" spans="1:18" x14ac:dyDescent="0.3">
      <c r="A306">
        <v>44</v>
      </c>
      <c r="B306" s="1">
        <v>25</v>
      </c>
      <c r="C306" s="1" t="s">
        <v>2017</v>
      </c>
      <c r="D306" s="1" t="s">
        <v>904</v>
      </c>
      <c r="E306" s="1" t="s">
        <v>1513</v>
      </c>
      <c r="F306" s="1" t="s">
        <v>1238</v>
      </c>
      <c r="G306" s="1" t="s">
        <v>2018</v>
      </c>
      <c r="H306" s="1" t="s">
        <v>998</v>
      </c>
      <c r="I306" s="1" t="s">
        <v>990</v>
      </c>
      <c r="J306" s="1" t="s">
        <v>1636</v>
      </c>
      <c r="K306" s="1" t="s">
        <v>2019</v>
      </c>
      <c r="L306" s="1" t="s">
        <v>2020</v>
      </c>
      <c r="M306" s="1" t="s">
        <v>1083</v>
      </c>
      <c r="N306">
        <f>_xlfn.NUMBERVALUE(LEFT(Table11[[#This Row],[Score]],FIND("/",Table11[[#This Row],[Score]])-1))</f>
        <v>99</v>
      </c>
      <c r="O306">
        <f>IFERROR(_xlfn.NUMBERVALUE(LEFT(Table11[[#This Row],[Score2 ]],FIND("/",Table11[[#This Row],[Score2 ]])-1)),"")</f>
        <v>95</v>
      </c>
      <c r="P306" t="s">
        <v>137</v>
      </c>
      <c r="Q306" s="1" t="s">
        <v>181</v>
      </c>
      <c r="R306" t="str">
        <f>Table11[[#This Row],[Match]]&amp;" "&amp;Table11[[#This Row],[Over]]</f>
        <v>44 25</v>
      </c>
    </row>
    <row r="307" spans="1:18" x14ac:dyDescent="0.3">
      <c r="A307">
        <v>44</v>
      </c>
      <c r="B307" s="1">
        <v>26</v>
      </c>
      <c r="C307" s="1" t="s">
        <v>1780</v>
      </c>
      <c r="D307" s="1" t="s">
        <v>922</v>
      </c>
      <c r="E307" s="1" t="s">
        <v>2021</v>
      </c>
      <c r="F307" s="1" t="s">
        <v>990</v>
      </c>
      <c r="G307" s="1" t="s">
        <v>2022</v>
      </c>
      <c r="H307" s="1" t="s">
        <v>950</v>
      </c>
      <c r="I307" s="1" t="s">
        <v>1456</v>
      </c>
      <c r="J307" s="1" t="s">
        <v>899</v>
      </c>
      <c r="K307" s="1" t="s">
        <v>1111</v>
      </c>
      <c r="L307" s="1" t="s">
        <v>1062</v>
      </c>
      <c r="M307" s="1" t="s">
        <v>1090</v>
      </c>
      <c r="N307">
        <f>_xlfn.NUMBERVALUE(LEFT(Table11[[#This Row],[Score]],FIND("/",Table11[[#This Row],[Score]])-1))</f>
        <v>105</v>
      </c>
      <c r="O307">
        <f>IFERROR(_xlfn.NUMBERVALUE(LEFT(Table11[[#This Row],[Score2 ]],FIND("/",Table11[[#This Row],[Score2 ]])-1)),"")</f>
        <v>100</v>
      </c>
      <c r="P307" t="s">
        <v>137</v>
      </c>
      <c r="Q307" s="1" t="s">
        <v>181</v>
      </c>
      <c r="R307" t="str">
        <f>Table11[[#This Row],[Match]]&amp;" "&amp;Table11[[#This Row],[Over]]</f>
        <v>44 26</v>
      </c>
    </row>
    <row r="308" spans="1:18" x14ac:dyDescent="0.3">
      <c r="A308">
        <v>44</v>
      </c>
      <c r="B308" s="1">
        <v>27</v>
      </c>
      <c r="C308" s="1" t="s">
        <v>2023</v>
      </c>
      <c r="D308" s="1" t="s">
        <v>904</v>
      </c>
      <c r="E308" s="1" t="s">
        <v>939</v>
      </c>
      <c r="F308" s="1" t="s">
        <v>990</v>
      </c>
      <c r="G308" s="1" t="s">
        <v>1073</v>
      </c>
      <c r="H308" s="1" t="s">
        <v>898</v>
      </c>
      <c r="I308" s="1" t="s">
        <v>1853</v>
      </c>
      <c r="J308" s="1" t="s">
        <v>1088</v>
      </c>
      <c r="K308" s="1" t="s">
        <v>2024</v>
      </c>
      <c r="L308" s="1" t="s">
        <v>1314</v>
      </c>
      <c r="M308" s="1" t="s">
        <v>1098</v>
      </c>
      <c r="N308">
        <f>_xlfn.NUMBERVALUE(LEFT(Table11[[#This Row],[Score]],FIND("/",Table11[[#This Row],[Score]])-1))</f>
        <v>108</v>
      </c>
      <c r="O308">
        <f>IFERROR(_xlfn.NUMBERVALUE(LEFT(Table11[[#This Row],[Score2 ]],FIND("/",Table11[[#This Row],[Score2 ]])-1)),"")</f>
        <v>102</v>
      </c>
      <c r="P308" t="s">
        <v>137</v>
      </c>
      <c r="Q308" s="1" t="s">
        <v>181</v>
      </c>
      <c r="R308" t="str">
        <f>Table11[[#This Row],[Match]]&amp;" "&amp;Table11[[#This Row],[Over]]</f>
        <v>44 27</v>
      </c>
    </row>
    <row r="309" spans="1:18" x14ac:dyDescent="0.3">
      <c r="A309">
        <v>44</v>
      </c>
      <c r="B309" s="1">
        <v>28</v>
      </c>
      <c r="C309" s="1" t="s">
        <v>1326</v>
      </c>
      <c r="D309" s="1" t="s">
        <v>916</v>
      </c>
      <c r="E309" s="1" t="s">
        <v>1483</v>
      </c>
      <c r="F309" s="1" t="s">
        <v>939</v>
      </c>
      <c r="G309" s="1" t="s">
        <v>1517</v>
      </c>
      <c r="H309" s="1" t="s">
        <v>898</v>
      </c>
      <c r="I309" s="1" t="s">
        <v>1255</v>
      </c>
      <c r="J309" s="1" t="s">
        <v>993</v>
      </c>
      <c r="K309" s="1" t="s">
        <v>2025</v>
      </c>
      <c r="L309" s="1" t="s">
        <v>1076</v>
      </c>
      <c r="M309" s="1" t="s">
        <v>1101</v>
      </c>
      <c r="N309">
        <f>_xlfn.NUMBERVALUE(LEFT(Table11[[#This Row],[Score]],FIND("/",Table11[[#This Row],[Score]])-1))</f>
        <v>115</v>
      </c>
      <c r="O309">
        <f>IFERROR(_xlfn.NUMBERVALUE(LEFT(Table11[[#This Row],[Score2 ]],FIND("/",Table11[[#This Row],[Score2 ]])-1)),"")</f>
        <v>104</v>
      </c>
      <c r="P309" t="s">
        <v>137</v>
      </c>
      <c r="Q309" s="1" t="s">
        <v>181</v>
      </c>
      <c r="R309" t="str">
        <f>Table11[[#This Row],[Match]]&amp;" "&amp;Table11[[#This Row],[Over]]</f>
        <v>44 28</v>
      </c>
    </row>
    <row r="310" spans="1:18" x14ac:dyDescent="0.3">
      <c r="A310">
        <v>44</v>
      </c>
      <c r="B310" s="1">
        <v>29</v>
      </c>
      <c r="C310" s="1" t="s">
        <v>2026</v>
      </c>
      <c r="D310" s="1" t="s">
        <v>950</v>
      </c>
      <c r="E310" s="1" t="s">
        <v>1964</v>
      </c>
      <c r="F310" s="1" t="s">
        <v>1093</v>
      </c>
      <c r="G310" s="1" t="s">
        <v>1080</v>
      </c>
      <c r="H310" s="1" t="s">
        <v>968</v>
      </c>
      <c r="I310" s="1" t="s">
        <v>1258</v>
      </c>
      <c r="J310" s="1" t="s">
        <v>993</v>
      </c>
      <c r="K310" s="1" t="s">
        <v>1149</v>
      </c>
      <c r="L310" s="1" t="s">
        <v>1031</v>
      </c>
      <c r="M310" s="1" t="s">
        <v>1108</v>
      </c>
      <c r="N310">
        <f>_xlfn.NUMBERVALUE(LEFT(Table11[[#This Row],[Score]],FIND("/",Table11[[#This Row],[Score]])-1))</f>
        <v>120</v>
      </c>
      <c r="O310">
        <f>IFERROR(_xlfn.NUMBERVALUE(LEFT(Table11[[#This Row],[Score2 ]],FIND("/",Table11[[#This Row],[Score2 ]])-1)),"")</f>
        <v>105</v>
      </c>
      <c r="P310" t="s">
        <v>137</v>
      </c>
      <c r="Q310" s="1" t="s">
        <v>181</v>
      </c>
      <c r="R310" t="str">
        <f>Table11[[#This Row],[Match]]&amp;" "&amp;Table11[[#This Row],[Over]]</f>
        <v>44 29</v>
      </c>
    </row>
    <row r="311" spans="1:18" x14ac:dyDescent="0.3">
      <c r="A311">
        <v>44</v>
      </c>
      <c r="B311" s="1">
        <v>30</v>
      </c>
      <c r="C311" s="1" t="s">
        <v>2027</v>
      </c>
      <c r="D311" s="1" t="s">
        <v>922</v>
      </c>
      <c r="E311" s="1" t="s">
        <v>931</v>
      </c>
      <c r="F311" s="1" t="s">
        <v>966</v>
      </c>
      <c r="G311" s="1" t="s">
        <v>1898</v>
      </c>
      <c r="H311" s="1" t="s">
        <v>898</v>
      </c>
      <c r="I311" s="1" t="s">
        <v>2028</v>
      </c>
      <c r="J311" s="1" t="s">
        <v>1088</v>
      </c>
      <c r="K311" s="1" t="s">
        <v>1141</v>
      </c>
      <c r="L311" s="1" t="s">
        <v>1082</v>
      </c>
      <c r="M311" s="1" t="s">
        <v>1113</v>
      </c>
      <c r="N311">
        <f>_xlfn.NUMBERVALUE(LEFT(Table11[[#This Row],[Score]],FIND("/",Table11[[#This Row],[Score]])-1))</f>
        <v>126</v>
      </c>
      <c r="O311">
        <f>IFERROR(_xlfn.NUMBERVALUE(LEFT(Table11[[#This Row],[Score2 ]],FIND("/",Table11[[#This Row],[Score2 ]])-1)),"")</f>
        <v>107</v>
      </c>
      <c r="P311" t="s">
        <v>137</v>
      </c>
      <c r="Q311" s="1" t="s">
        <v>181</v>
      </c>
      <c r="R311" t="str">
        <f>Table11[[#This Row],[Match]]&amp;" "&amp;Table11[[#This Row],[Over]]</f>
        <v>44 30</v>
      </c>
    </row>
    <row r="312" spans="1:18" x14ac:dyDescent="0.3">
      <c r="A312">
        <v>44</v>
      </c>
      <c r="B312" s="1">
        <v>31</v>
      </c>
      <c r="C312" s="1" t="s">
        <v>2029</v>
      </c>
      <c r="D312" s="1" t="s">
        <v>922</v>
      </c>
      <c r="E312" s="1" t="s">
        <v>1074</v>
      </c>
      <c r="F312" s="1" t="s">
        <v>966</v>
      </c>
      <c r="G312" s="1" t="s">
        <v>1907</v>
      </c>
      <c r="H312" s="1" t="s">
        <v>916</v>
      </c>
      <c r="I312" s="1" t="s">
        <v>2030</v>
      </c>
      <c r="J312" s="1" t="s">
        <v>993</v>
      </c>
      <c r="K312" s="1" t="s">
        <v>2031</v>
      </c>
      <c r="L312" s="1" t="s">
        <v>2032</v>
      </c>
      <c r="M312" s="1" t="s">
        <v>1121</v>
      </c>
      <c r="N312">
        <f>_xlfn.NUMBERVALUE(LEFT(Table11[[#This Row],[Score]],FIND("/",Table11[[#This Row],[Score]])-1))</f>
        <v>132</v>
      </c>
      <c r="O312">
        <f>IFERROR(_xlfn.NUMBERVALUE(LEFT(Table11[[#This Row],[Score2 ]],FIND("/",Table11[[#This Row],[Score2 ]])-1)),"")</f>
        <v>114</v>
      </c>
      <c r="P312" t="s">
        <v>137</v>
      </c>
      <c r="Q312" s="1" t="s">
        <v>181</v>
      </c>
      <c r="R312" t="str">
        <f>Table11[[#This Row],[Match]]&amp;" "&amp;Table11[[#This Row],[Over]]</f>
        <v>44 31</v>
      </c>
    </row>
    <row r="313" spans="1:18" x14ac:dyDescent="0.3">
      <c r="A313">
        <v>44</v>
      </c>
      <c r="B313" s="1">
        <v>32</v>
      </c>
      <c r="C313" s="1" t="s">
        <v>2033</v>
      </c>
      <c r="D313" s="1" t="s">
        <v>1051</v>
      </c>
      <c r="E313" s="1" t="s">
        <v>1001</v>
      </c>
      <c r="F313" s="1" t="s">
        <v>952</v>
      </c>
      <c r="G313" s="1" t="s">
        <v>1094</v>
      </c>
      <c r="H313" s="1" t="s">
        <v>950</v>
      </c>
      <c r="I313" s="1" t="s">
        <v>1255</v>
      </c>
      <c r="J313" s="1" t="s">
        <v>1247</v>
      </c>
      <c r="K313" s="1" t="s">
        <v>2034</v>
      </c>
      <c r="L313" s="1" t="s">
        <v>1519</v>
      </c>
      <c r="M313" s="1" t="s">
        <v>1127</v>
      </c>
      <c r="N313">
        <f>_xlfn.NUMBERVALUE(LEFT(Table11[[#This Row],[Score]],FIND("/",Table11[[#This Row],[Score]])-1))</f>
        <v>143</v>
      </c>
      <c r="O313">
        <f>IFERROR(_xlfn.NUMBERVALUE(LEFT(Table11[[#This Row],[Score2 ]],FIND("/",Table11[[#This Row],[Score2 ]])-1)),"")</f>
        <v>119</v>
      </c>
      <c r="P313" t="s">
        <v>137</v>
      </c>
      <c r="Q313" s="1" t="s">
        <v>181</v>
      </c>
      <c r="R313" t="str">
        <f>Table11[[#This Row],[Match]]&amp;" "&amp;Table11[[#This Row],[Over]]</f>
        <v>44 32</v>
      </c>
    </row>
    <row r="314" spans="1:18" x14ac:dyDescent="0.3">
      <c r="A314">
        <v>44</v>
      </c>
      <c r="B314" s="1">
        <v>33</v>
      </c>
      <c r="C314" s="1" t="s">
        <v>2035</v>
      </c>
      <c r="D314" s="1" t="s">
        <v>998</v>
      </c>
      <c r="E314" s="1" t="s">
        <v>1060</v>
      </c>
      <c r="F314" s="1" t="s">
        <v>943</v>
      </c>
      <c r="G314" s="1" t="s">
        <v>2036</v>
      </c>
      <c r="H314" s="1" t="s">
        <v>930</v>
      </c>
      <c r="I314" s="1" t="s">
        <v>1456</v>
      </c>
      <c r="J314" s="1" t="s">
        <v>976</v>
      </c>
      <c r="K314" s="1" t="s">
        <v>2037</v>
      </c>
      <c r="L314" s="1" t="s">
        <v>1529</v>
      </c>
      <c r="M314" s="1" t="s">
        <v>1132</v>
      </c>
      <c r="N314">
        <f>_xlfn.NUMBERVALUE(LEFT(Table11[[#This Row],[Score]],FIND("/",Table11[[#This Row],[Score]])-1))</f>
        <v>147</v>
      </c>
      <c r="O314">
        <f>IFERROR(_xlfn.NUMBERVALUE(LEFT(Table11[[#This Row],[Score2 ]],FIND("/",Table11[[#This Row],[Score2 ]])-1)),"")</f>
        <v>127</v>
      </c>
      <c r="P314" t="s">
        <v>137</v>
      </c>
      <c r="Q314" s="1" t="s">
        <v>181</v>
      </c>
      <c r="R314" t="str">
        <f>Table11[[#This Row],[Match]]&amp;" "&amp;Table11[[#This Row],[Over]]</f>
        <v>44 33</v>
      </c>
    </row>
    <row r="315" spans="1:18" x14ac:dyDescent="0.3">
      <c r="A315">
        <v>44</v>
      </c>
      <c r="B315" s="1">
        <v>34</v>
      </c>
      <c r="C315" s="1" t="s">
        <v>2038</v>
      </c>
      <c r="D315" s="1" t="s">
        <v>950</v>
      </c>
      <c r="E315" s="1" t="s">
        <v>1316</v>
      </c>
      <c r="F315" s="1" t="s">
        <v>943</v>
      </c>
      <c r="G315" s="1" t="s">
        <v>2039</v>
      </c>
      <c r="H315" s="1" t="s">
        <v>922</v>
      </c>
      <c r="I315" s="1" t="s">
        <v>1278</v>
      </c>
      <c r="J315" s="1" t="s">
        <v>934</v>
      </c>
      <c r="K315" s="1" t="s">
        <v>2040</v>
      </c>
      <c r="L315" s="1" t="s">
        <v>2041</v>
      </c>
      <c r="M315" s="1" t="s">
        <v>1138</v>
      </c>
      <c r="N315">
        <f>_xlfn.NUMBERVALUE(LEFT(Table11[[#This Row],[Score]],FIND("/",Table11[[#This Row],[Score]])-1))</f>
        <v>152</v>
      </c>
      <c r="O315">
        <f>IFERROR(_xlfn.NUMBERVALUE(LEFT(Table11[[#This Row],[Score2 ]],FIND("/",Table11[[#This Row],[Score2 ]])-1)),"")</f>
        <v>133</v>
      </c>
      <c r="P315" t="s">
        <v>137</v>
      </c>
      <c r="Q315" s="1" t="s">
        <v>181</v>
      </c>
      <c r="R315" t="str">
        <f>Table11[[#This Row],[Match]]&amp;" "&amp;Table11[[#This Row],[Over]]</f>
        <v>44 34</v>
      </c>
    </row>
    <row r="316" spans="1:18" x14ac:dyDescent="0.3">
      <c r="A316">
        <v>44</v>
      </c>
      <c r="B316" s="1">
        <v>35</v>
      </c>
      <c r="C316" s="1" t="s">
        <v>2042</v>
      </c>
      <c r="D316" s="1" t="s">
        <v>904</v>
      </c>
      <c r="E316" s="1" t="s">
        <v>1006</v>
      </c>
      <c r="F316" s="1" t="s">
        <v>1013</v>
      </c>
      <c r="G316" s="1" t="s">
        <v>1129</v>
      </c>
      <c r="H316" s="1" t="s">
        <v>922</v>
      </c>
      <c r="I316" s="1" t="s">
        <v>2043</v>
      </c>
      <c r="J316" s="1" t="s">
        <v>943</v>
      </c>
      <c r="K316" s="1" t="s">
        <v>2044</v>
      </c>
      <c r="L316" s="1" t="s">
        <v>1126</v>
      </c>
      <c r="M316" s="1" t="s">
        <v>1143</v>
      </c>
      <c r="N316">
        <f>_xlfn.NUMBERVALUE(LEFT(Table11[[#This Row],[Score]],FIND("/",Table11[[#This Row],[Score]])-1))</f>
        <v>155</v>
      </c>
      <c r="O316">
        <f>IFERROR(_xlfn.NUMBERVALUE(LEFT(Table11[[#This Row],[Score2 ]],FIND("/",Table11[[#This Row],[Score2 ]])-1)),"")</f>
        <v>139</v>
      </c>
      <c r="P316" t="s">
        <v>137</v>
      </c>
      <c r="Q316" s="1" t="s">
        <v>181</v>
      </c>
      <c r="R316" t="str">
        <f>Table11[[#This Row],[Match]]&amp;" "&amp;Table11[[#This Row],[Over]]</f>
        <v>44 35</v>
      </c>
    </row>
    <row r="317" spans="1:18" x14ac:dyDescent="0.3">
      <c r="A317">
        <v>44</v>
      </c>
      <c r="B317" s="1">
        <v>36</v>
      </c>
      <c r="C317" s="1" t="s">
        <v>2045</v>
      </c>
      <c r="D317" s="1" t="s">
        <v>947</v>
      </c>
      <c r="E317" s="1" t="s">
        <v>1919</v>
      </c>
      <c r="F317" s="1" t="s">
        <v>943</v>
      </c>
      <c r="G317" s="1" t="s">
        <v>2046</v>
      </c>
      <c r="H317" s="1" t="s">
        <v>1390</v>
      </c>
      <c r="I317" s="1" t="s">
        <v>1535</v>
      </c>
      <c r="J317" s="1" t="s">
        <v>1508</v>
      </c>
      <c r="K317" s="1" t="s">
        <v>1375</v>
      </c>
      <c r="L317" s="1" t="s">
        <v>1376</v>
      </c>
      <c r="M317" s="1" t="s">
        <v>1150</v>
      </c>
      <c r="N317">
        <f>_xlfn.NUMBERVALUE(LEFT(Table11[[#This Row],[Score]],FIND("/",Table11[[#This Row],[Score]])-1))</f>
        <v>164</v>
      </c>
      <c r="O317">
        <f>IFERROR(_xlfn.NUMBERVALUE(LEFT(Table11[[#This Row],[Score2 ]],FIND("/",Table11[[#This Row],[Score2 ]])-1)),"")</f>
        <v>152</v>
      </c>
      <c r="P317" t="s">
        <v>137</v>
      </c>
      <c r="Q317" s="1" t="s">
        <v>181</v>
      </c>
      <c r="R317" t="str">
        <f>Table11[[#This Row],[Match]]&amp;" "&amp;Table11[[#This Row],[Over]]</f>
        <v>44 36</v>
      </c>
    </row>
    <row r="318" spans="1:18" x14ac:dyDescent="0.3">
      <c r="A318">
        <v>44</v>
      </c>
      <c r="B318" s="1">
        <v>37</v>
      </c>
      <c r="C318" s="1" t="s">
        <v>2047</v>
      </c>
      <c r="D318" s="1" t="s">
        <v>1051</v>
      </c>
      <c r="E318" s="1" t="s">
        <v>1194</v>
      </c>
      <c r="F318" s="1" t="s">
        <v>943</v>
      </c>
      <c r="G318" s="1" t="s">
        <v>2048</v>
      </c>
      <c r="H318" s="1" t="s">
        <v>916</v>
      </c>
      <c r="I318" s="1" t="s">
        <v>1474</v>
      </c>
      <c r="J318" s="1" t="s">
        <v>1089</v>
      </c>
      <c r="K318" s="1" t="s">
        <v>2049</v>
      </c>
      <c r="L318" s="1" t="s">
        <v>1090</v>
      </c>
      <c r="M318" s="1" t="s">
        <v>1156</v>
      </c>
      <c r="N318">
        <f>_xlfn.NUMBERVALUE(LEFT(Table11[[#This Row],[Score]],FIND("/",Table11[[#This Row],[Score]])-1))</f>
        <v>175</v>
      </c>
      <c r="O318">
        <f>IFERROR(_xlfn.NUMBERVALUE(LEFT(Table11[[#This Row],[Score2 ]],FIND("/",Table11[[#This Row],[Score2 ]])-1)),"")</f>
        <v>159</v>
      </c>
      <c r="P318" t="s">
        <v>137</v>
      </c>
      <c r="Q318" s="1" t="s">
        <v>181</v>
      </c>
      <c r="R318" t="str">
        <f>Table11[[#This Row],[Match]]&amp;" "&amp;Table11[[#This Row],[Over]]</f>
        <v>44 37</v>
      </c>
    </row>
    <row r="319" spans="1:18" x14ac:dyDescent="0.3">
      <c r="A319">
        <v>44</v>
      </c>
      <c r="B319" s="1">
        <v>38</v>
      </c>
      <c r="C319" s="1" t="s">
        <v>2050</v>
      </c>
      <c r="D319" s="1" t="s">
        <v>947</v>
      </c>
      <c r="E319" s="1" t="s">
        <v>1160</v>
      </c>
      <c r="F319" s="1" t="s">
        <v>1068</v>
      </c>
      <c r="G319" s="1" t="s">
        <v>2051</v>
      </c>
      <c r="H319" s="1" t="s">
        <v>898</v>
      </c>
      <c r="I319" s="1" t="s">
        <v>1532</v>
      </c>
      <c r="J319" s="1" t="s">
        <v>1053</v>
      </c>
      <c r="K319" s="1" t="s">
        <v>2052</v>
      </c>
      <c r="L319" s="1" t="s">
        <v>1864</v>
      </c>
      <c r="M319" s="1" t="s">
        <v>1164</v>
      </c>
      <c r="N319">
        <f>_xlfn.NUMBERVALUE(LEFT(Table11[[#This Row],[Score]],FIND("/",Table11[[#This Row],[Score]])-1))</f>
        <v>184</v>
      </c>
      <c r="O319">
        <f>IFERROR(_xlfn.NUMBERVALUE(LEFT(Table11[[#This Row],[Score2 ]],FIND("/",Table11[[#This Row],[Score2 ]])-1)),"")</f>
        <v>161</v>
      </c>
      <c r="P319" t="s">
        <v>137</v>
      </c>
      <c r="Q319" s="1" t="s">
        <v>181</v>
      </c>
      <c r="R319" t="str">
        <f>Table11[[#This Row],[Match]]&amp;" "&amp;Table11[[#This Row],[Over]]</f>
        <v>44 38</v>
      </c>
    </row>
    <row r="320" spans="1:18" x14ac:dyDescent="0.3">
      <c r="A320">
        <v>44</v>
      </c>
      <c r="B320" s="1">
        <v>39</v>
      </c>
      <c r="C320" s="1" t="s">
        <v>1834</v>
      </c>
      <c r="D320" s="1" t="s">
        <v>1095</v>
      </c>
      <c r="E320" s="1" t="s">
        <v>1582</v>
      </c>
      <c r="F320" s="1" t="s">
        <v>1335</v>
      </c>
      <c r="G320" s="1" t="s">
        <v>2053</v>
      </c>
      <c r="H320" s="1" t="s">
        <v>998</v>
      </c>
      <c r="I320" s="1" t="s">
        <v>1532</v>
      </c>
      <c r="J320" s="1" t="s">
        <v>943</v>
      </c>
      <c r="K320" s="1" t="s">
        <v>1388</v>
      </c>
      <c r="L320" s="1" t="s">
        <v>1098</v>
      </c>
      <c r="M320" s="1" t="s">
        <v>1171</v>
      </c>
      <c r="N320">
        <f>_xlfn.NUMBERVALUE(LEFT(Table11[[#This Row],[Score]],FIND("/",Table11[[#This Row],[Score]])-1))</f>
        <v>194</v>
      </c>
      <c r="O320">
        <f>IFERROR(_xlfn.NUMBERVALUE(LEFT(Table11[[#This Row],[Score2 ]],FIND("/",Table11[[#This Row],[Score2 ]])-1)),"")</f>
        <v>165</v>
      </c>
      <c r="P320" t="s">
        <v>137</v>
      </c>
      <c r="Q320" s="1" t="s">
        <v>181</v>
      </c>
      <c r="R320" t="str">
        <f>Table11[[#This Row],[Match]]&amp;" "&amp;Table11[[#This Row],[Over]]</f>
        <v>44 39</v>
      </c>
    </row>
    <row r="321" spans="1:18" x14ac:dyDescent="0.3">
      <c r="A321">
        <v>44</v>
      </c>
      <c r="B321" s="1">
        <v>40</v>
      </c>
      <c r="C321" s="1" t="s">
        <v>2054</v>
      </c>
      <c r="D321" s="1" t="s">
        <v>1051</v>
      </c>
      <c r="E321" s="1" t="s">
        <v>1567</v>
      </c>
      <c r="F321" s="1" t="s">
        <v>2055</v>
      </c>
      <c r="G321" s="1" t="s">
        <v>2056</v>
      </c>
      <c r="H321" s="1" t="s">
        <v>998</v>
      </c>
      <c r="I321" s="1" t="s">
        <v>1535</v>
      </c>
      <c r="J321" s="1" t="s">
        <v>1019</v>
      </c>
      <c r="K321" s="1" t="s">
        <v>2057</v>
      </c>
      <c r="L321" s="1" t="s">
        <v>1868</v>
      </c>
      <c r="M321" s="1" t="s">
        <v>1177</v>
      </c>
      <c r="N321">
        <f>_xlfn.NUMBERVALUE(LEFT(Table11[[#This Row],[Score]],FIND("/",Table11[[#This Row],[Score]])-1))</f>
        <v>205</v>
      </c>
      <c r="O321">
        <f>IFERROR(_xlfn.NUMBERVALUE(LEFT(Table11[[#This Row],[Score2 ]],FIND("/",Table11[[#This Row],[Score2 ]])-1)),"")</f>
        <v>169</v>
      </c>
      <c r="P321" t="s">
        <v>137</v>
      </c>
      <c r="Q321" s="1" t="s">
        <v>181</v>
      </c>
      <c r="R321" t="str">
        <f>Table11[[#This Row],[Match]]&amp;" "&amp;Table11[[#This Row],[Over]]</f>
        <v>44 40</v>
      </c>
    </row>
    <row r="322" spans="1:18" x14ac:dyDescent="0.3">
      <c r="A322">
        <v>44</v>
      </c>
      <c r="B322" s="1">
        <v>41</v>
      </c>
      <c r="C322" s="1" t="s">
        <v>2058</v>
      </c>
      <c r="D322" s="1" t="s">
        <v>1103</v>
      </c>
      <c r="E322" s="1" t="s">
        <v>1072</v>
      </c>
      <c r="F322" s="1" t="s">
        <v>1568</v>
      </c>
      <c r="G322" s="1" t="s">
        <v>2059</v>
      </c>
      <c r="H322" s="1" t="s">
        <v>950</v>
      </c>
      <c r="I322" s="1" t="s">
        <v>2060</v>
      </c>
      <c r="J322" s="1" t="s">
        <v>940</v>
      </c>
      <c r="K322" s="1" t="s">
        <v>1203</v>
      </c>
      <c r="L322" s="1" t="s">
        <v>2061</v>
      </c>
      <c r="M322" s="1" t="s">
        <v>1183</v>
      </c>
      <c r="N322">
        <f>_xlfn.NUMBERVALUE(LEFT(Table11[[#This Row],[Score]],FIND("/",Table11[[#This Row],[Score]])-1))</f>
        <v>217</v>
      </c>
      <c r="O322">
        <f>IFERROR(_xlfn.NUMBERVALUE(LEFT(Table11[[#This Row],[Score2 ]],FIND("/",Table11[[#This Row],[Score2 ]])-1)),"")</f>
        <v>174</v>
      </c>
      <c r="P322" t="s">
        <v>137</v>
      </c>
      <c r="Q322" s="1" t="s">
        <v>181</v>
      </c>
      <c r="R322" t="str">
        <f>Table11[[#This Row],[Match]]&amp;" "&amp;Table11[[#This Row],[Over]]</f>
        <v>44 41</v>
      </c>
    </row>
    <row r="323" spans="1:18" x14ac:dyDescent="0.3">
      <c r="A323">
        <v>44</v>
      </c>
      <c r="B323" s="1">
        <v>42</v>
      </c>
      <c r="C323" s="1" t="s">
        <v>2062</v>
      </c>
      <c r="D323" s="1" t="s">
        <v>1103</v>
      </c>
      <c r="E323" s="1" t="s">
        <v>1599</v>
      </c>
      <c r="F323" s="1" t="s">
        <v>1611</v>
      </c>
      <c r="G323" s="1" t="s">
        <v>2063</v>
      </c>
      <c r="H323" s="1" t="s">
        <v>950</v>
      </c>
      <c r="I323" s="1" t="s">
        <v>1382</v>
      </c>
      <c r="J323" s="1" t="s">
        <v>939</v>
      </c>
      <c r="K323" s="1" t="s">
        <v>2064</v>
      </c>
      <c r="L323" s="1" t="s">
        <v>2065</v>
      </c>
      <c r="M323" s="1" t="s">
        <v>1190</v>
      </c>
      <c r="N323">
        <f>_xlfn.NUMBERVALUE(LEFT(Table11[[#This Row],[Score]],FIND("/",Table11[[#This Row],[Score]])-1))</f>
        <v>229</v>
      </c>
      <c r="O323">
        <f>IFERROR(_xlfn.NUMBERVALUE(LEFT(Table11[[#This Row],[Score2 ]],FIND("/",Table11[[#This Row],[Score2 ]])-1)),"")</f>
        <v>179</v>
      </c>
      <c r="P323" t="s">
        <v>137</v>
      </c>
      <c r="Q323" s="1" t="s">
        <v>181</v>
      </c>
      <c r="R323" t="str">
        <f>Table11[[#This Row],[Match]]&amp;" "&amp;Table11[[#This Row],[Over]]</f>
        <v>44 42</v>
      </c>
    </row>
    <row r="324" spans="1:18" x14ac:dyDescent="0.3">
      <c r="A324">
        <v>44</v>
      </c>
      <c r="B324" s="1">
        <v>43</v>
      </c>
      <c r="C324" s="1" t="s">
        <v>2066</v>
      </c>
      <c r="D324" s="1" t="s">
        <v>998</v>
      </c>
      <c r="E324" s="1" t="s">
        <v>1373</v>
      </c>
      <c r="F324" s="1" t="s">
        <v>1141</v>
      </c>
      <c r="G324" s="1" t="s">
        <v>2067</v>
      </c>
      <c r="H324" s="1" t="s">
        <v>1095</v>
      </c>
      <c r="I324" s="1" t="s">
        <v>1067</v>
      </c>
      <c r="J324" s="1" t="s">
        <v>934</v>
      </c>
      <c r="K324" s="1" t="s">
        <v>2068</v>
      </c>
      <c r="L324" s="1" t="s">
        <v>1121</v>
      </c>
      <c r="M324" s="1" t="s">
        <v>1197</v>
      </c>
      <c r="N324">
        <f>_xlfn.NUMBERVALUE(LEFT(Table11[[#This Row],[Score]],FIND("/",Table11[[#This Row],[Score]])-1))</f>
        <v>233</v>
      </c>
      <c r="O324">
        <f>IFERROR(_xlfn.NUMBERVALUE(LEFT(Table11[[#This Row],[Score2 ]],FIND("/",Table11[[#This Row],[Score2 ]])-1)),"")</f>
        <v>189</v>
      </c>
      <c r="P324" t="s">
        <v>137</v>
      </c>
      <c r="Q324" s="1" t="s">
        <v>181</v>
      </c>
      <c r="R324" t="str">
        <f>Table11[[#This Row],[Match]]&amp;" "&amp;Table11[[#This Row],[Over]]</f>
        <v>44 43</v>
      </c>
    </row>
    <row r="325" spans="1:18" x14ac:dyDescent="0.3">
      <c r="A325">
        <v>44</v>
      </c>
      <c r="B325" s="1">
        <v>44</v>
      </c>
      <c r="C325" s="1" t="s">
        <v>2069</v>
      </c>
      <c r="D325" s="1" t="s">
        <v>930</v>
      </c>
      <c r="E325" s="1" t="s">
        <v>2070</v>
      </c>
      <c r="F325" s="1" t="s">
        <v>1226</v>
      </c>
      <c r="G325" s="1" t="s">
        <v>2071</v>
      </c>
      <c r="H325" s="1" t="s">
        <v>904</v>
      </c>
      <c r="I325" s="1" t="s">
        <v>1040</v>
      </c>
      <c r="J325" s="1" t="s">
        <v>966</v>
      </c>
      <c r="K325" s="1" t="s">
        <v>2072</v>
      </c>
      <c r="L325" s="1" t="s">
        <v>2073</v>
      </c>
      <c r="M325" s="1" t="s">
        <v>1205</v>
      </c>
      <c r="N325">
        <f>_xlfn.NUMBERVALUE(LEFT(Table11[[#This Row],[Score]],FIND("/",Table11[[#This Row],[Score]])-1))</f>
        <v>241</v>
      </c>
      <c r="O325">
        <f>IFERROR(_xlfn.NUMBERVALUE(LEFT(Table11[[#This Row],[Score2 ]],FIND("/",Table11[[#This Row],[Score2 ]])-1)),"")</f>
        <v>192</v>
      </c>
      <c r="P325" t="s">
        <v>137</v>
      </c>
      <c r="Q325" s="1" t="s">
        <v>181</v>
      </c>
      <c r="R325" t="str">
        <f>Table11[[#This Row],[Match]]&amp;" "&amp;Table11[[#This Row],[Over]]</f>
        <v>44 44</v>
      </c>
    </row>
    <row r="326" spans="1:18" x14ac:dyDescent="0.3">
      <c r="A326">
        <v>44</v>
      </c>
      <c r="B326" s="1">
        <v>45</v>
      </c>
      <c r="C326" s="1" t="s">
        <v>2074</v>
      </c>
      <c r="D326" s="1" t="s">
        <v>998</v>
      </c>
      <c r="E326" s="1" t="s">
        <v>1145</v>
      </c>
      <c r="F326" s="1" t="s">
        <v>1089</v>
      </c>
      <c r="G326" s="1" t="s">
        <v>2075</v>
      </c>
      <c r="H326" s="1" t="s">
        <v>968</v>
      </c>
      <c r="I326" s="1" t="s">
        <v>1124</v>
      </c>
      <c r="J326" s="1" t="s">
        <v>1093</v>
      </c>
      <c r="K326" s="1" t="s">
        <v>2076</v>
      </c>
      <c r="L326" s="1" t="s">
        <v>2077</v>
      </c>
      <c r="M326" s="1" t="s">
        <v>1211</v>
      </c>
      <c r="N326">
        <f>_xlfn.NUMBERVALUE(LEFT(Table11[[#This Row],[Score]],FIND("/",Table11[[#This Row],[Score]])-1))</f>
        <v>245</v>
      </c>
      <c r="O326">
        <f>IFERROR(_xlfn.NUMBERVALUE(LEFT(Table11[[#This Row],[Score2 ]],FIND("/",Table11[[#This Row],[Score2 ]])-1)),"")</f>
        <v>193</v>
      </c>
      <c r="P326" t="s">
        <v>137</v>
      </c>
      <c r="Q326" s="1" t="s">
        <v>181</v>
      </c>
      <c r="R326" t="str">
        <f>Table11[[#This Row],[Match]]&amp;" "&amp;Table11[[#This Row],[Over]]</f>
        <v>44 45</v>
      </c>
    </row>
    <row r="327" spans="1:18" x14ac:dyDescent="0.3">
      <c r="A327">
        <v>44</v>
      </c>
      <c r="B327" s="1">
        <v>46</v>
      </c>
      <c r="C327" s="1" t="s">
        <v>2078</v>
      </c>
      <c r="D327" s="1" t="s">
        <v>1511</v>
      </c>
      <c r="E327" s="1" t="s">
        <v>1391</v>
      </c>
      <c r="F327" s="1" t="s">
        <v>1154</v>
      </c>
      <c r="N327">
        <f>_xlfn.NUMBERVALUE(LEFT(Table11[[#This Row],[Score]],FIND("/",Table11[[#This Row],[Score]])-1))</f>
        <v>261</v>
      </c>
      <c r="O327" t="str">
        <f>IFERROR(_xlfn.NUMBERVALUE(LEFT(Table11[[#This Row],[Score2 ]],FIND("/",Table11[[#This Row],[Score2 ]])-1)),"")</f>
        <v/>
      </c>
      <c r="P327" t="s">
        <v>137</v>
      </c>
      <c r="Q327" s="1" t="s">
        <v>181</v>
      </c>
      <c r="R327" t="str">
        <f>Table11[[#This Row],[Match]]&amp;" "&amp;Table11[[#This Row],[Over]]</f>
        <v>44 46</v>
      </c>
    </row>
    <row r="328" spans="1:18" x14ac:dyDescent="0.3">
      <c r="A328">
        <v>44</v>
      </c>
      <c r="B328" s="1">
        <v>47</v>
      </c>
      <c r="C328" s="1" t="s">
        <v>2079</v>
      </c>
      <c r="D328" s="1" t="s">
        <v>1103</v>
      </c>
      <c r="E328" s="1" t="s">
        <v>1013</v>
      </c>
      <c r="F328" s="1" t="s">
        <v>1154</v>
      </c>
      <c r="N328">
        <f>_xlfn.NUMBERVALUE(LEFT(Table11[[#This Row],[Score]],FIND("/",Table11[[#This Row],[Score]])-1))</f>
        <v>273</v>
      </c>
      <c r="O328" t="str">
        <f>IFERROR(_xlfn.NUMBERVALUE(LEFT(Table11[[#This Row],[Score2 ]],FIND("/",Table11[[#This Row],[Score2 ]])-1)),"")</f>
        <v/>
      </c>
      <c r="P328" t="s">
        <v>137</v>
      </c>
      <c r="Q328" s="1" t="s">
        <v>181</v>
      </c>
      <c r="R328" t="str">
        <f>Table11[[#This Row],[Match]]&amp;" "&amp;Table11[[#This Row],[Over]]</f>
        <v>44 47</v>
      </c>
    </row>
    <row r="329" spans="1:18" x14ac:dyDescent="0.3">
      <c r="A329">
        <v>44</v>
      </c>
      <c r="B329" s="1">
        <v>48</v>
      </c>
      <c r="C329" s="1" t="s">
        <v>2080</v>
      </c>
      <c r="D329" s="1" t="s">
        <v>1095</v>
      </c>
      <c r="E329" s="1" t="s">
        <v>2081</v>
      </c>
      <c r="F329" s="1" t="s">
        <v>2055</v>
      </c>
      <c r="N329">
        <f>_xlfn.NUMBERVALUE(LEFT(Table11[[#This Row],[Score]],FIND("/",Table11[[#This Row],[Score]])-1))</f>
        <v>283</v>
      </c>
      <c r="O329" t="str">
        <f>IFERROR(_xlfn.NUMBERVALUE(LEFT(Table11[[#This Row],[Score2 ]],FIND("/",Table11[[#This Row],[Score2 ]])-1)),"")</f>
        <v/>
      </c>
      <c r="P329" t="s">
        <v>137</v>
      </c>
      <c r="Q329" s="1" t="s">
        <v>181</v>
      </c>
      <c r="R329" t="str">
        <f>Table11[[#This Row],[Match]]&amp;" "&amp;Table11[[#This Row],[Over]]</f>
        <v>44 48</v>
      </c>
    </row>
    <row r="330" spans="1:18" x14ac:dyDescent="0.3">
      <c r="A330">
        <v>44</v>
      </c>
      <c r="B330" s="1">
        <v>49</v>
      </c>
      <c r="C330" s="1" t="s">
        <v>2082</v>
      </c>
      <c r="D330" s="1" t="s">
        <v>1390</v>
      </c>
      <c r="E330" s="1" t="s">
        <v>1228</v>
      </c>
      <c r="F330" s="1" t="s">
        <v>1213</v>
      </c>
      <c r="N330">
        <f>_xlfn.NUMBERVALUE(LEFT(Table11[[#This Row],[Score]],FIND("/",Table11[[#This Row],[Score]])-1))</f>
        <v>296</v>
      </c>
      <c r="O330" t="str">
        <f>IFERROR(_xlfn.NUMBERVALUE(LEFT(Table11[[#This Row],[Score2 ]],FIND("/",Table11[[#This Row],[Score2 ]])-1)),"")</f>
        <v/>
      </c>
      <c r="P330" t="s">
        <v>137</v>
      </c>
      <c r="Q330" s="1" t="s">
        <v>181</v>
      </c>
      <c r="R330" t="str">
        <f>Table11[[#This Row],[Match]]&amp;" "&amp;Table11[[#This Row],[Over]]</f>
        <v>44 49</v>
      </c>
    </row>
    <row r="331" spans="1:18" x14ac:dyDescent="0.3">
      <c r="A331">
        <v>44</v>
      </c>
      <c r="B331" s="1">
        <v>50</v>
      </c>
      <c r="C331" s="1" t="s">
        <v>2083</v>
      </c>
      <c r="D331" s="1" t="s">
        <v>922</v>
      </c>
      <c r="E331" s="1" t="s">
        <v>1228</v>
      </c>
      <c r="F331" s="1" t="s">
        <v>2084</v>
      </c>
      <c r="N331">
        <f>_xlfn.NUMBERVALUE(LEFT(Table11[[#This Row],[Score]],FIND("/",Table11[[#This Row],[Score]])-1))</f>
        <v>302</v>
      </c>
      <c r="O331" t="str">
        <f>IFERROR(_xlfn.NUMBERVALUE(LEFT(Table11[[#This Row],[Score2 ]],FIND("/",Table11[[#This Row],[Score2 ]])-1)),"")</f>
        <v/>
      </c>
      <c r="P331" t="s">
        <v>137</v>
      </c>
      <c r="Q331" s="1" t="s">
        <v>181</v>
      </c>
      <c r="R331" t="str">
        <f>Table11[[#This Row],[Match]]&amp;" "&amp;Table11[[#This Row],[Over]]</f>
        <v>44 50</v>
      </c>
    </row>
    <row r="332" spans="1:18" x14ac:dyDescent="0.3">
      <c r="A332">
        <v>1</v>
      </c>
      <c r="B332" s="1">
        <v>1</v>
      </c>
      <c r="C332" s="1" t="s">
        <v>1232</v>
      </c>
      <c r="D332" s="1" t="s">
        <v>922</v>
      </c>
      <c r="E332" s="1" t="s">
        <v>1019</v>
      </c>
      <c r="F332" s="1" t="s">
        <v>348</v>
      </c>
      <c r="G332" s="1" t="s">
        <v>1418</v>
      </c>
      <c r="H332" s="1" t="s">
        <v>904</v>
      </c>
      <c r="I332" s="1" t="s">
        <v>1238</v>
      </c>
      <c r="J332" s="1" t="s">
        <v>348</v>
      </c>
      <c r="K332" s="1" t="s">
        <v>1735</v>
      </c>
      <c r="L332" s="1" t="s">
        <v>2085</v>
      </c>
      <c r="M332" s="1" t="s">
        <v>902</v>
      </c>
      <c r="N332">
        <f>_xlfn.NUMBERVALUE(LEFT(Table11[[#This Row],[Score]],FIND("/",Table11[[#This Row],[Score]])-1))</f>
        <v>6</v>
      </c>
      <c r="O332">
        <f>IFERROR(_xlfn.NUMBERVALUE(LEFT(Table11[[#This Row],[Score2 ]],FIND("/",Table11[[#This Row],[Score2 ]])-1)),"")</f>
        <v>3</v>
      </c>
      <c r="P332" t="s">
        <v>140</v>
      </c>
      <c r="Q332" s="1" t="s">
        <v>145</v>
      </c>
      <c r="R332" t="str">
        <f>Table11[[#This Row],[Match]]&amp;" "&amp;Table11[[#This Row],[Over]]</f>
        <v>1 1</v>
      </c>
    </row>
    <row r="333" spans="1:18" x14ac:dyDescent="0.3">
      <c r="A333">
        <v>1</v>
      </c>
      <c r="B333" s="1">
        <v>2</v>
      </c>
      <c r="C333" s="1" t="s">
        <v>1424</v>
      </c>
      <c r="D333" s="1" t="s">
        <v>947</v>
      </c>
      <c r="E333" s="1" t="s">
        <v>1322</v>
      </c>
      <c r="F333" s="1" t="s">
        <v>348</v>
      </c>
      <c r="G333" s="1" t="s">
        <v>921</v>
      </c>
      <c r="H333" s="1" t="s">
        <v>1095</v>
      </c>
      <c r="I333" s="1" t="s">
        <v>1729</v>
      </c>
      <c r="J333" s="1" t="s">
        <v>348</v>
      </c>
      <c r="K333" s="1" t="s">
        <v>2086</v>
      </c>
      <c r="L333" s="1" t="s">
        <v>2087</v>
      </c>
      <c r="M333" s="1" t="s">
        <v>909</v>
      </c>
      <c r="N333">
        <f>_xlfn.NUMBERVALUE(LEFT(Table11[[#This Row],[Score]],FIND("/",Table11[[#This Row],[Score]])-1))</f>
        <v>15</v>
      </c>
      <c r="O333">
        <f>IFERROR(_xlfn.NUMBERVALUE(LEFT(Table11[[#This Row],[Score2 ]],FIND("/",Table11[[#This Row],[Score2 ]])-1)),"")</f>
        <v>13</v>
      </c>
      <c r="P333" t="s">
        <v>140</v>
      </c>
      <c r="Q333" s="1" t="s">
        <v>145</v>
      </c>
      <c r="R333" t="str">
        <f>Table11[[#This Row],[Match]]&amp;" "&amp;Table11[[#This Row],[Over]]</f>
        <v>1 2</v>
      </c>
    </row>
    <row r="334" spans="1:18" x14ac:dyDescent="0.3">
      <c r="A334">
        <v>1</v>
      </c>
      <c r="B334" s="1">
        <v>3</v>
      </c>
      <c r="C334" s="1" t="s">
        <v>1427</v>
      </c>
      <c r="D334" s="1" t="s">
        <v>950</v>
      </c>
      <c r="E334" s="1" t="s">
        <v>1260</v>
      </c>
      <c r="F334" s="1" t="s">
        <v>348</v>
      </c>
      <c r="G334" s="1" t="s">
        <v>921</v>
      </c>
      <c r="H334" s="1" t="s">
        <v>1007</v>
      </c>
      <c r="I334" s="1" t="s">
        <v>989</v>
      </c>
      <c r="J334" s="1" t="s">
        <v>348</v>
      </c>
      <c r="K334" s="1" t="s">
        <v>1266</v>
      </c>
      <c r="L334" s="1" t="s">
        <v>2087</v>
      </c>
      <c r="M334" s="1" t="s">
        <v>920</v>
      </c>
      <c r="N334">
        <f>_xlfn.NUMBERVALUE(LEFT(Table11[[#This Row],[Score]],FIND("/",Table11[[#This Row],[Score]])-1))</f>
        <v>20</v>
      </c>
      <c r="O334">
        <f>IFERROR(_xlfn.NUMBERVALUE(LEFT(Table11[[#This Row],[Score2 ]],FIND("/",Table11[[#This Row],[Score2 ]])-1)),"")</f>
        <v>13</v>
      </c>
      <c r="P334" t="s">
        <v>140</v>
      </c>
      <c r="Q334" s="1" t="s">
        <v>145</v>
      </c>
      <c r="R334" t="str">
        <f>Table11[[#This Row],[Match]]&amp;" "&amp;Table11[[#This Row],[Over]]</f>
        <v>1 3</v>
      </c>
    </row>
    <row r="335" spans="1:18" x14ac:dyDescent="0.3">
      <c r="A335">
        <v>1</v>
      </c>
      <c r="B335" s="1">
        <v>4</v>
      </c>
      <c r="C335" s="1" t="s">
        <v>1631</v>
      </c>
      <c r="D335" s="1" t="s">
        <v>950</v>
      </c>
      <c r="E335" s="1" t="s">
        <v>1448</v>
      </c>
      <c r="F335" s="1" t="s">
        <v>348</v>
      </c>
      <c r="G335" s="1" t="s">
        <v>1424</v>
      </c>
      <c r="H335" s="1" t="s">
        <v>898</v>
      </c>
      <c r="I335" s="1" t="s">
        <v>1276</v>
      </c>
      <c r="J335" s="1" t="s">
        <v>348</v>
      </c>
      <c r="K335" s="1" t="s">
        <v>2088</v>
      </c>
      <c r="L335" s="1" t="s">
        <v>2089</v>
      </c>
      <c r="M335" s="1" t="s">
        <v>928</v>
      </c>
      <c r="N335">
        <f>_xlfn.NUMBERVALUE(LEFT(Table11[[#This Row],[Score]],FIND("/",Table11[[#This Row],[Score]])-1))</f>
        <v>25</v>
      </c>
      <c r="O335">
        <f>IFERROR(_xlfn.NUMBERVALUE(LEFT(Table11[[#This Row],[Score2 ]],FIND("/",Table11[[#This Row],[Score2 ]])-1)),"")</f>
        <v>15</v>
      </c>
      <c r="P335" t="s">
        <v>140</v>
      </c>
      <c r="Q335" s="1" t="s">
        <v>145</v>
      </c>
      <c r="R335" t="str">
        <f>Table11[[#This Row],[Match]]&amp;" "&amp;Table11[[#This Row],[Over]]</f>
        <v>1 4</v>
      </c>
    </row>
    <row r="336" spans="1:18" x14ac:dyDescent="0.3">
      <c r="A336">
        <v>1</v>
      </c>
      <c r="B336" s="1">
        <v>5</v>
      </c>
      <c r="C336" s="1" t="s">
        <v>2090</v>
      </c>
      <c r="D336" s="1" t="s">
        <v>1390</v>
      </c>
      <c r="E336" s="1" t="s">
        <v>1508</v>
      </c>
      <c r="F336" s="1" t="s">
        <v>1508</v>
      </c>
      <c r="G336" s="1" t="s">
        <v>1970</v>
      </c>
      <c r="H336" s="1" t="s">
        <v>898</v>
      </c>
      <c r="I336" s="1" t="s">
        <v>1247</v>
      </c>
      <c r="J336" s="1" t="s">
        <v>1247</v>
      </c>
      <c r="K336" s="1" t="s">
        <v>952</v>
      </c>
      <c r="L336" s="1" t="s">
        <v>2091</v>
      </c>
      <c r="M336" s="1" t="s">
        <v>937</v>
      </c>
      <c r="N336">
        <f>_xlfn.NUMBERVALUE(LEFT(Table11[[#This Row],[Score]],FIND("/",Table11[[#This Row],[Score]])-1))</f>
        <v>38</v>
      </c>
      <c r="O336">
        <f>IFERROR(_xlfn.NUMBERVALUE(LEFT(Table11[[#This Row],[Score2 ]],FIND("/",Table11[[#This Row],[Score2 ]])-1)),"")</f>
        <v>17</v>
      </c>
      <c r="P336" t="s">
        <v>140</v>
      </c>
      <c r="Q336" s="1" t="s">
        <v>145</v>
      </c>
      <c r="R336" t="str">
        <f>Table11[[#This Row],[Match]]&amp;" "&amp;Table11[[#This Row],[Over]]</f>
        <v>1 5</v>
      </c>
    </row>
    <row r="337" spans="1:18" x14ac:dyDescent="0.3">
      <c r="A337">
        <v>1</v>
      </c>
      <c r="B337" s="1">
        <v>6</v>
      </c>
      <c r="C337" s="1" t="s">
        <v>1739</v>
      </c>
      <c r="D337" s="1" t="s">
        <v>922</v>
      </c>
      <c r="E337" s="1" t="s">
        <v>2092</v>
      </c>
      <c r="F337" s="1" t="s">
        <v>1508</v>
      </c>
      <c r="G337" s="1" t="s">
        <v>938</v>
      </c>
      <c r="H337" s="1" t="s">
        <v>916</v>
      </c>
      <c r="I337" s="1" t="s">
        <v>939</v>
      </c>
      <c r="J337" s="1" t="s">
        <v>931</v>
      </c>
      <c r="K337" s="1" t="s">
        <v>952</v>
      </c>
      <c r="L337" s="1" t="s">
        <v>2093</v>
      </c>
      <c r="M337" s="1" t="s">
        <v>945</v>
      </c>
      <c r="N337">
        <f>_xlfn.NUMBERVALUE(LEFT(Table11[[#This Row],[Score]],FIND("/",Table11[[#This Row],[Score]])-1))</f>
        <v>44</v>
      </c>
      <c r="O337">
        <f>IFERROR(_xlfn.NUMBERVALUE(LEFT(Table11[[#This Row],[Score2 ]],FIND("/",Table11[[#This Row],[Score2 ]])-1)),"")</f>
        <v>24</v>
      </c>
      <c r="P337" t="s">
        <v>140</v>
      </c>
      <c r="Q337" s="1" t="s">
        <v>145</v>
      </c>
      <c r="R337" t="str">
        <f>Table11[[#This Row],[Match]]&amp;" "&amp;Table11[[#This Row],[Over]]</f>
        <v>1 6</v>
      </c>
    </row>
    <row r="338" spans="1:18" x14ac:dyDescent="0.3">
      <c r="A338">
        <v>1</v>
      </c>
      <c r="B338" s="1">
        <v>7</v>
      </c>
      <c r="C338" s="1" t="s">
        <v>2094</v>
      </c>
      <c r="D338" s="1" t="s">
        <v>968</v>
      </c>
      <c r="E338" s="1" t="s">
        <v>2095</v>
      </c>
      <c r="F338" s="1" t="s">
        <v>1019</v>
      </c>
      <c r="G338" s="1" t="s">
        <v>2096</v>
      </c>
      <c r="H338" s="1" t="s">
        <v>950</v>
      </c>
      <c r="I338" s="1" t="s">
        <v>1008</v>
      </c>
      <c r="J338" s="1" t="s">
        <v>1259</v>
      </c>
      <c r="K338" s="1" t="s">
        <v>2097</v>
      </c>
      <c r="L338" s="1" t="s">
        <v>2098</v>
      </c>
      <c r="M338" s="1" t="s">
        <v>955</v>
      </c>
      <c r="N338">
        <f>_xlfn.NUMBERVALUE(LEFT(Table11[[#This Row],[Score]],FIND("/",Table11[[#This Row],[Score]])-1))</f>
        <v>45</v>
      </c>
      <c r="O338">
        <f>IFERROR(_xlfn.NUMBERVALUE(LEFT(Table11[[#This Row],[Score2 ]],FIND("/",Table11[[#This Row],[Score2 ]])-1)),"")</f>
        <v>29</v>
      </c>
      <c r="P338" t="s">
        <v>140</v>
      </c>
      <c r="Q338" s="1" t="s">
        <v>145</v>
      </c>
      <c r="R338" t="str">
        <f>Table11[[#This Row],[Match]]&amp;" "&amp;Table11[[#This Row],[Over]]</f>
        <v>1 7</v>
      </c>
    </row>
    <row r="339" spans="1:18" x14ac:dyDescent="0.3">
      <c r="A339">
        <v>1</v>
      </c>
      <c r="B339" s="1">
        <v>8</v>
      </c>
      <c r="C339" s="1" t="s">
        <v>2099</v>
      </c>
      <c r="D339" s="1" t="s">
        <v>1698</v>
      </c>
      <c r="E339" s="1" t="s">
        <v>2100</v>
      </c>
      <c r="F339" s="1" t="s">
        <v>1219</v>
      </c>
      <c r="G339" s="1" t="s">
        <v>2101</v>
      </c>
      <c r="H339" s="1" t="s">
        <v>930</v>
      </c>
      <c r="I339" s="1" t="s">
        <v>1344</v>
      </c>
      <c r="J339" s="1" t="s">
        <v>1093</v>
      </c>
      <c r="K339" s="1" t="s">
        <v>2102</v>
      </c>
      <c r="L339" s="1" t="s">
        <v>2103</v>
      </c>
      <c r="M339" s="1" t="s">
        <v>963</v>
      </c>
      <c r="N339">
        <f>_xlfn.NUMBERVALUE(LEFT(Table11[[#This Row],[Score]],FIND("/",Table11[[#This Row],[Score]])-1))</f>
        <v>68</v>
      </c>
      <c r="O339">
        <f>IFERROR(_xlfn.NUMBERVALUE(LEFT(Table11[[#This Row],[Score2 ]],FIND("/",Table11[[#This Row],[Score2 ]])-1)),"")</f>
        <v>37</v>
      </c>
      <c r="P339" t="s">
        <v>140</v>
      </c>
      <c r="Q339" s="1" t="s">
        <v>145</v>
      </c>
      <c r="R339" t="str">
        <f>Table11[[#This Row],[Match]]&amp;" "&amp;Table11[[#This Row],[Over]]</f>
        <v>1 8</v>
      </c>
    </row>
    <row r="340" spans="1:18" x14ac:dyDescent="0.3">
      <c r="A340">
        <v>1</v>
      </c>
      <c r="B340" s="1">
        <v>9</v>
      </c>
      <c r="C340" s="1" t="s">
        <v>1749</v>
      </c>
      <c r="D340" s="1" t="s">
        <v>922</v>
      </c>
      <c r="E340" s="1" t="s">
        <v>1523</v>
      </c>
      <c r="F340" s="1" t="s">
        <v>1141</v>
      </c>
      <c r="G340" s="1" t="s">
        <v>2104</v>
      </c>
      <c r="H340" s="1" t="s">
        <v>950</v>
      </c>
      <c r="I340" s="1" t="s">
        <v>1975</v>
      </c>
      <c r="J340" s="1" t="s">
        <v>966</v>
      </c>
      <c r="K340" s="1" t="s">
        <v>1495</v>
      </c>
      <c r="L340" s="1" t="s">
        <v>919</v>
      </c>
      <c r="M340" s="1" t="s">
        <v>973</v>
      </c>
      <c r="N340">
        <f>_xlfn.NUMBERVALUE(LEFT(Table11[[#This Row],[Score]],FIND("/",Table11[[#This Row],[Score]])-1))</f>
        <v>74</v>
      </c>
      <c r="O340">
        <f>IFERROR(_xlfn.NUMBERVALUE(LEFT(Table11[[#This Row],[Score2 ]],FIND("/",Table11[[#This Row],[Score2 ]])-1)),"")</f>
        <v>42</v>
      </c>
      <c r="P340" t="s">
        <v>140</v>
      </c>
      <c r="Q340" s="1" t="s">
        <v>145</v>
      </c>
      <c r="R340" t="str">
        <f>Table11[[#This Row],[Match]]&amp;" "&amp;Table11[[#This Row],[Over]]</f>
        <v>1 9</v>
      </c>
    </row>
    <row r="341" spans="1:18" x14ac:dyDescent="0.3">
      <c r="A341">
        <v>1</v>
      </c>
      <c r="B341" s="1">
        <v>10</v>
      </c>
      <c r="C341" s="1" t="s">
        <v>2105</v>
      </c>
      <c r="D341" s="1" t="s">
        <v>904</v>
      </c>
      <c r="E341" s="1" t="s">
        <v>1514</v>
      </c>
      <c r="F341" s="1" t="s">
        <v>1168</v>
      </c>
      <c r="G341" s="1" t="s">
        <v>2106</v>
      </c>
      <c r="H341" s="1" t="s">
        <v>998</v>
      </c>
      <c r="I341" s="1" t="s">
        <v>976</v>
      </c>
      <c r="J341" s="1" t="s">
        <v>1013</v>
      </c>
      <c r="K341" s="1" t="s">
        <v>1302</v>
      </c>
      <c r="L341" s="1" t="s">
        <v>2107</v>
      </c>
      <c r="M341" s="1" t="s">
        <v>980</v>
      </c>
      <c r="N341">
        <f>_xlfn.NUMBERVALUE(LEFT(Table11[[#This Row],[Score]],FIND("/",Table11[[#This Row],[Score]])-1))</f>
        <v>77</v>
      </c>
      <c r="O341">
        <f>IFERROR(_xlfn.NUMBERVALUE(LEFT(Table11[[#This Row],[Score2 ]],FIND("/",Table11[[#This Row],[Score2 ]])-1)),"")</f>
        <v>46</v>
      </c>
      <c r="P341" t="s">
        <v>140</v>
      </c>
      <c r="Q341" s="1" t="s">
        <v>145</v>
      </c>
      <c r="R341" t="str">
        <f>Table11[[#This Row],[Match]]&amp;" "&amp;Table11[[#This Row],[Over]]</f>
        <v>1 10</v>
      </c>
    </row>
    <row r="342" spans="1:18" x14ac:dyDescent="0.3">
      <c r="A342">
        <v>1</v>
      </c>
      <c r="B342" s="1">
        <v>11</v>
      </c>
      <c r="C342" s="1" t="s">
        <v>1751</v>
      </c>
      <c r="D342" s="1" t="s">
        <v>968</v>
      </c>
      <c r="E342" s="1" t="s">
        <v>1300</v>
      </c>
      <c r="F342" s="1" t="s">
        <v>1053</v>
      </c>
      <c r="G342" s="1" t="s">
        <v>2108</v>
      </c>
      <c r="H342" s="1" t="s">
        <v>922</v>
      </c>
      <c r="I342" s="1" t="s">
        <v>1194</v>
      </c>
      <c r="J342" s="1" t="s">
        <v>934</v>
      </c>
      <c r="K342" s="1" t="s">
        <v>1313</v>
      </c>
      <c r="L342" s="1" t="s">
        <v>1261</v>
      </c>
      <c r="M342" s="1" t="s">
        <v>987</v>
      </c>
      <c r="N342">
        <f>_xlfn.NUMBERVALUE(LEFT(Table11[[#This Row],[Score]],FIND("/",Table11[[#This Row],[Score]])-1))</f>
        <v>78</v>
      </c>
      <c r="O342">
        <f>IFERROR(_xlfn.NUMBERVALUE(LEFT(Table11[[#This Row],[Score2 ]],FIND("/",Table11[[#This Row],[Score2 ]])-1)),"")</f>
        <v>52</v>
      </c>
      <c r="P342" t="s">
        <v>140</v>
      </c>
      <c r="Q342" s="1" t="s">
        <v>145</v>
      </c>
      <c r="R342" t="str">
        <f>Table11[[#This Row],[Match]]&amp;" "&amp;Table11[[#This Row],[Over]]</f>
        <v>1 11</v>
      </c>
    </row>
    <row r="343" spans="1:18" x14ac:dyDescent="0.3">
      <c r="A343">
        <v>1</v>
      </c>
      <c r="B343" s="1">
        <v>12</v>
      </c>
      <c r="C343" s="1" t="s">
        <v>2109</v>
      </c>
      <c r="D343" s="1" t="s">
        <v>947</v>
      </c>
      <c r="E343" s="1" t="s">
        <v>1061</v>
      </c>
      <c r="F343" s="1" t="s">
        <v>1335</v>
      </c>
      <c r="G343" s="1" t="s">
        <v>1748</v>
      </c>
      <c r="H343" s="1" t="s">
        <v>1103</v>
      </c>
      <c r="I343" s="1" t="s">
        <v>2110</v>
      </c>
      <c r="J343" s="1" t="s">
        <v>952</v>
      </c>
      <c r="K343" s="1" t="s">
        <v>1290</v>
      </c>
      <c r="L343" s="1" t="s">
        <v>1429</v>
      </c>
      <c r="M343" s="1" t="s">
        <v>996</v>
      </c>
      <c r="N343">
        <f>_xlfn.NUMBERVALUE(LEFT(Table11[[#This Row],[Score]],FIND("/",Table11[[#This Row],[Score]])-1))</f>
        <v>87</v>
      </c>
      <c r="O343">
        <f>IFERROR(_xlfn.NUMBERVALUE(LEFT(Table11[[#This Row],[Score2 ]],FIND("/",Table11[[#This Row],[Score2 ]])-1)),"")</f>
        <v>64</v>
      </c>
      <c r="P343" t="s">
        <v>140</v>
      </c>
      <c r="Q343" s="1" t="s">
        <v>145</v>
      </c>
      <c r="R343" t="str">
        <f>Table11[[#This Row],[Match]]&amp;" "&amp;Table11[[#This Row],[Over]]</f>
        <v>1 12</v>
      </c>
    </row>
    <row r="344" spans="1:18" x14ac:dyDescent="0.3">
      <c r="A344">
        <v>1</v>
      </c>
      <c r="B344" s="1">
        <v>13</v>
      </c>
      <c r="C344" s="1" t="s">
        <v>2111</v>
      </c>
      <c r="D344" s="1" t="s">
        <v>1095</v>
      </c>
      <c r="E344" s="1" t="s">
        <v>1502</v>
      </c>
      <c r="F344" s="1" t="s">
        <v>1013</v>
      </c>
      <c r="G344" s="1" t="s">
        <v>1014</v>
      </c>
      <c r="H344" s="1" t="s">
        <v>904</v>
      </c>
      <c r="I344" s="1" t="s">
        <v>1085</v>
      </c>
      <c r="J344" s="1" t="s">
        <v>1019</v>
      </c>
      <c r="K344" s="1" t="s">
        <v>2112</v>
      </c>
      <c r="L344" s="1" t="s">
        <v>1275</v>
      </c>
      <c r="M344" s="1" t="s">
        <v>1004</v>
      </c>
      <c r="N344">
        <f>_xlfn.NUMBERVALUE(LEFT(Table11[[#This Row],[Score]],FIND("/",Table11[[#This Row],[Score]])-1))</f>
        <v>97</v>
      </c>
      <c r="O344">
        <f>IFERROR(_xlfn.NUMBERVALUE(LEFT(Table11[[#This Row],[Score2 ]],FIND("/",Table11[[#This Row],[Score2 ]])-1)),"")</f>
        <v>67</v>
      </c>
      <c r="P344" t="s">
        <v>140</v>
      </c>
      <c r="Q344" s="1" t="s">
        <v>145</v>
      </c>
      <c r="R344" t="str">
        <f>Table11[[#This Row],[Match]]&amp;" "&amp;Table11[[#This Row],[Over]]</f>
        <v>1 13</v>
      </c>
    </row>
    <row r="345" spans="1:18" x14ac:dyDescent="0.3">
      <c r="A345">
        <v>1</v>
      </c>
      <c r="B345" s="1">
        <v>14</v>
      </c>
      <c r="C345" s="1" t="s">
        <v>2113</v>
      </c>
      <c r="D345" s="1" t="s">
        <v>916</v>
      </c>
      <c r="E345" s="1" t="s">
        <v>2114</v>
      </c>
      <c r="F345" s="1" t="s">
        <v>1019</v>
      </c>
      <c r="G345" s="1" t="s">
        <v>2115</v>
      </c>
      <c r="H345" s="1" t="s">
        <v>898</v>
      </c>
      <c r="I345" s="1" t="s">
        <v>1325</v>
      </c>
      <c r="J345" s="1" t="s">
        <v>966</v>
      </c>
      <c r="K345" s="1" t="s">
        <v>1745</v>
      </c>
      <c r="L345" s="1" t="s">
        <v>2116</v>
      </c>
      <c r="M345" s="1" t="s">
        <v>1010</v>
      </c>
      <c r="N345">
        <f>_xlfn.NUMBERVALUE(LEFT(Table11[[#This Row],[Score]],FIND("/",Table11[[#This Row],[Score]])-1))</f>
        <v>104</v>
      </c>
      <c r="O345">
        <f>IFERROR(_xlfn.NUMBERVALUE(LEFT(Table11[[#This Row],[Score2 ]],FIND("/",Table11[[#This Row],[Score2 ]])-1)),"")</f>
        <v>69</v>
      </c>
      <c r="P345" t="s">
        <v>140</v>
      </c>
      <c r="Q345" s="1" t="s">
        <v>145</v>
      </c>
      <c r="R345" t="str">
        <f>Table11[[#This Row],[Match]]&amp;" "&amp;Table11[[#This Row],[Over]]</f>
        <v>1 14</v>
      </c>
    </row>
    <row r="346" spans="1:18" x14ac:dyDescent="0.3">
      <c r="A346">
        <v>1</v>
      </c>
      <c r="B346" s="1">
        <v>15</v>
      </c>
      <c r="C346" s="1" t="s">
        <v>2117</v>
      </c>
      <c r="D346" s="1" t="s">
        <v>922</v>
      </c>
      <c r="E346" s="1" t="s">
        <v>2092</v>
      </c>
      <c r="F346" s="1" t="s">
        <v>960</v>
      </c>
      <c r="G346" s="1" t="s">
        <v>2118</v>
      </c>
      <c r="H346" s="1" t="s">
        <v>950</v>
      </c>
      <c r="I346" s="1" t="s">
        <v>1351</v>
      </c>
      <c r="J346" s="1" t="s">
        <v>934</v>
      </c>
      <c r="K346" s="1" t="s">
        <v>2119</v>
      </c>
      <c r="L346" s="1" t="s">
        <v>955</v>
      </c>
      <c r="M346" s="1" t="s">
        <v>1016</v>
      </c>
      <c r="N346">
        <f>_xlfn.NUMBERVALUE(LEFT(Table11[[#This Row],[Score]],FIND("/",Table11[[#This Row],[Score]])-1))</f>
        <v>110</v>
      </c>
      <c r="O346">
        <f>IFERROR(_xlfn.NUMBERVALUE(LEFT(Table11[[#This Row],[Score2 ]],FIND("/",Table11[[#This Row],[Score2 ]])-1)),"")</f>
        <v>74</v>
      </c>
      <c r="P346" t="s">
        <v>140</v>
      </c>
      <c r="Q346" s="1" t="s">
        <v>145</v>
      </c>
      <c r="R346" t="str">
        <f>Table11[[#This Row],[Match]]&amp;" "&amp;Table11[[#This Row],[Over]]</f>
        <v>1 15</v>
      </c>
    </row>
    <row r="347" spans="1:18" x14ac:dyDescent="0.3">
      <c r="A347">
        <v>1</v>
      </c>
      <c r="B347" s="1">
        <v>16</v>
      </c>
      <c r="C347" s="1" t="s">
        <v>2120</v>
      </c>
      <c r="D347" s="1" t="s">
        <v>968</v>
      </c>
      <c r="E347" s="1" t="s">
        <v>1036</v>
      </c>
      <c r="F347" s="1" t="s">
        <v>960</v>
      </c>
      <c r="G347" s="1" t="s">
        <v>2121</v>
      </c>
      <c r="H347" s="1" t="s">
        <v>1103</v>
      </c>
      <c r="I347" s="1" t="s">
        <v>1104</v>
      </c>
      <c r="J347" s="1" t="s">
        <v>1053</v>
      </c>
      <c r="K347" s="1" t="s">
        <v>1776</v>
      </c>
      <c r="L347" s="1" t="s">
        <v>973</v>
      </c>
      <c r="M347" s="1" t="s">
        <v>1024</v>
      </c>
      <c r="N347">
        <f>_xlfn.NUMBERVALUE(LEFT(Table11[[#This Row],[Score]],FIND("/",Table11[[#This Row],[Score]])-1))</f>
        <v>111</v>
      </c>
      <c r="O347">
        <f>IFERROR(_xlfn.NUMBERVALUE(LEFT(Table11[[#This Row],[Score2 ]],FIND("/",Table11[[#This Row],[Score2 ]])-1)),"")</f>
        <v>86</v>
      </c>
      <c r="P347" t="s">
        <v>140</v>
      </c>
      <c r="Q347" s="1" t="s">
        <v>145</v>
      </c>
      <c r="R347" t="str">
        <f>Table11[[#This Row],[Match]]&amp;" "&amp;Table11[[#This Row],[Over]]</f>
        <v>1 16</v>
      </c>
    </row>
    <row r="348" spans="1:18" x14ac:dyDescent="0.3">
      <c r="A348">
        <v>1</v>
      </c>
      <c r="B348" s="1">
        <v>17</v>
      </c>
      <c r="C348" s="1" t="s">
        <v>2122</v>
      </c>
      <c r="D348" s="1" t="s">
        <v>968</v>
      </c>
      <c r="E348" s="1" t="s">
        <v>1988</v>
      </c>
      <c r="F348" s="1" t="s">
        <v>969</v>
      </c>
      <c r="G348" s="1" t="s">
        <v>1760</v>
      </c>
      <c r="H348" s="1" t="s">
        <v>950</v>
      </c>
      <c r="I348" s="1" t="s">
        <v>2123</v>
      </c>
      <c r="J348" s="1" t="s">
        <v>966</v>
      </c>
      <c r="K348" s="1" t="s">
        <v>1745</v>
      </c>
      <c r="L348" s="1" t="s">
        <v>2124</v>
      </c>
      <c r="M348" s="1" t="s">
        <v>1031</v>
      </c>
      <c r="N348">
        <f>_xlfn.NUMBERVALUE(LEFT(Table11[[#This Row],[Score]],FIND("/",Table11[[#This Row],[Score]])-1))</f>
        <v>112</v>
      </c>
      <c r="O348">
        <f>IFERROR(_xlfn.NUMBERVALUE(LEFT(Table11[[#This Row],[Score2 ]],FIND("/",Table11[[#This Row],[Score2 ]])-1)),"")</f>
        <v>91</v>
      </c>
      <c r="P348" t="s">
        <v>140</v>
      </c>
      <c r="Q348" s="1" t="s">
        <v>145</v>
      </c>
      <c r="R348" t="str">
        <f>Table11[[#This Row],[Match]]&amp;" "&amp;Table11[[#This Row],[Over]]</f>
        <v>1 17</v>
      </c>
    </row>
    <row r="349" spans="1:18" x14ac:dyDescent="0.3">
      <c r="A349">
        <v>1</v>
      </c>
      <c r="B349" s="1">
        <v>18</v>
      </c>
      <c r="C349" s="1" t="s">
        <v>1318</v>
      </c>
      <c r="D349" s="1" t="s">
        <v>898</v>
      </c>
      <c r="E349" s="1" t="s">
        <v>1723</v>
      </c>
      <c r="F349" s="1" t="s">
        <v>1247</v>
      </c>
      <c r="G349" s="1" t="s">
        <v>2125</v>
      </c>
      <c r="H349" s="1" t="s">
        <v>922</v>
      </c>
      <c r="I349" s="1" t="s">
        <v>1732</v>
      </c>
      <c r="J349" s="1" t="s">
        <v>1019</v>
      </c>
      <c r="K349" s="1" t="s">
        <v>2009</v>
      </c>
      <c r="L349" s="1" t="s">
        <v>2126</v>
      </c>
      <c r="M349" s="1" t="s">
        <v>1037</v>
      </c>
      <c r="N349">
        <f>_xlfn.NUMBERVALUE(LEFT(Table11[[#This Row],[Score]],FIND("/",Table11[[#This Row],[Score]])-1))</f>
        <v>114</v>
      </c>
      <c r="O349">
        <f>IFERROR(_xlfn.NUMBERVALUE(LEFT(Table11[[#This Row],[Score2 ]],FIND("/",Table11[[#This Row],[Score2 ]])-1)),"")</f>
        <v>97</v>
      </c>
      <c r="P349" t="s">
        <v>140</v>
      </c>
      <c r="Q349" s="1" t="s">
        <v>145</v>
      </c>
      <c r="R349" t="str">
        <f>Table11[[#This Row],[Match]]&amp;" "&amp;Table11[[#This Row],[Over]]</f>
        <v>1 18</v>
      </c>
    </row>
    <row r="350" spans="1:18" x14ac:dyDescent="0.3">
      <c r="A350">
        <v>1</v>
      </c>
      <c r="B350" s="1">
        <v>19</v>
      </c>
      <c r="C350" s="1" t="s">
        <v>1064</v>
      </c>
      <c r="D350" s="1" t="s">
        <v>930</v>
      </c>
      <c r="E350" s="1" t="s">
        <v>2095</v>
      </c>
      <c r="F350" s="1" t="s">
        <v>977</v>
      </c>
      <c r="G350" s="1" t="s">
        <v>1315</v>
      </c>
      <c r="H350" s="1" t="s">
        <v>922</v>
      </c>
      <c r="I350" s="1" t="s">
        <v>1158</v>
      </c>
      <c r="J350" s="1" t="s">
        <v>1053</v>
      </c>
      <c r="K350" s="1" t="s">
        <v>2127</v>
      </c>
      <c r="L350" s="1" t="s">
        <v>1023</v>
      </c>
      <c r="M350" s="1" t="s">
        <v>1043</v>
      </c>
      <c r="N350">
        <f>_xlfn.NUMBERVALUE(LEFT(Table11[[#This Row],[Score]],FIND("/",Table11[[#This Row],[Score]])-1))</f>
        <v>122</v>
      </c>
      <c r="O350">
        <f>IFERROR(_xlfn.NUMBERVALUE(LEFT(Table11[[#This Row],[Score2 ]],FIND("/",Table11[[#This Row],[Score2 ]])-1)),"")</f>
        <v>103</v>
      </c>
      <c r="P350" t="s">
        <v>140</v>
      </c>
      <c r="Q350" s="1" t="s">
        <v>145</v>
      </c>
      <c r="R350" t="str">
        <f>Table11[[#This Row],[Match]]&amp;" "&amp;Table11[[#This Row],[Over]]</f>
        <v>1 19</v>
      </c>
    </row>
    <row r="351" spans="1:18" x14ac:dyDescent="0.3">
      <c r="A351">
        <v>1</v>
      </c>
      <c r="B351" s="1">
        <v>20</v>
      </c>
      <c r="C351" s="1" t="s">
        <v>1071</v>
      </c>
      <c r="D351" s="1" t="s">
        <v>950</v>
      </c>
      <c r="E351" s="1" t="s">
        <v>2128</v>
      </c>
      <c r="F351" s="1" t="s">
        <v>1247</v>
      </c>
      <c r="G351" s="1" t="s">
        <v>2122</v>
      </c>
      <c r="H351" s="1" t="s">
        <v>947</v>
      </c>
      <c r="I351" s="1" t="s">
        <v>934</v>
      </c>
      <c r="J351" s="1" t="s">
        <v>1508</v>
      </c>
      <c r="K351" s="1" t="s">
        <v>2092</v>
      </c>
      <c r="L351" s="1" t="s">
        <v>2004</v>
      </c>
      <c r="M351" s="1" t="s">
        <v>1049</v>
      </c>
      <c r="N351">
        <f>_xlfn.NUMBERVALUE(LEFT(Table11[[#This Row],[Score]],FIND("/",Table11[[#This Row],[Score]])-1))</f>
        <v>127</v>
      </c>
      <c r="O351">
        <f>IFERROR(_xlfn.NUMBERVALUE(LEFT(Table11[[#This Row],[Score2 ]],FIND("/",Table11[[#This Row],[Score2 ]])-1)),"")</f>
        <v>112</v>
      </c>
      <c r="P351" t="s">
        <v>140</v>
      </c>
      <c r="Q351" s="1" t="s">
        <v>145</v>
      </c>
      <c r="R351" t="str">
        <f>Table11[[#This Row],[Match]]&amp;" "&amp;Table11[[#This Row],[Over]]</f>
        <v>1 20</v>
      </c>
    </row>
    <row r="352" spans="1:18" x14ac:dyDescent="0.3">
      <c r="A352">
        <v>1</v>
      </c>
      <c r="B352" s="1">
        <v>21</v>
      </c>
      <c r="C352" s="1" t="s">
        <v>2129</v>
      </c>
      <c r="D352" s="1" t="s">
        <v>968</v>
      </c>
      <c r="E352" s="1" t="s">
        <v>953</v>
      </c>
      <c r="F352" s="1" t="s">
        <v>1247</v>
      </c>
      <c r="G352" s="1" t="s">
        <v>2130</v>
      </c>
      <c r="H352" s="1" t="s">
        <v>916</v>
      </c>
      <c r="I352" s="1" t="s">
        <v>942</v>
      </c>
      <c r="J352" s="1" t="s">
        <v>960</v>
      </c>
      <c r="K352" s="1" t="s">
        <v>2009</v>
      </c>
      <c r="L352" s="1" t="s">
        <v>2010</v>
      </c>
      <c r="M352" s="1" t="s">
        <v>1056</v>
      </c>
      <c r="N352">
        <f>_xlfn.NUMBERVALUE(LEFT(Table11[[#This Row],[Score]],FIND("/",Table11[[#This Row],[Score]])-1))</f>
        <v>128</v>
      </c>
      <c r="O352">
        <f>IFERROR(_xlfn.NUMBERVALUE(LEFT(Table11[[#This Row],[Score2 ]],FIND("/",Table11[[#This Row],[Score2 ]])-1)),"")</f>
        <v>119</v>
      </c>
      <c r="P352" t="s">
        <v>140</v>
      </c>
      <c r="Q352" s="1" t="s">
        <v>145</v>
      </c>
      <c r="R352" t="str">
        <f>Table11[[#This Row],[Match]]&amp;" "&amp;Table11[[#This Row],[Over]]</f>
        <v>1 21</v>
      </c>
    </row>
    <row r="353" spans="1:18" x14ac:dyDescent="0.3">
      <c r="A353">
        <v>1</v>
      </c>
      <c r="B353" s="1">
        <v>22</v>
      </c>
      <c r="C353" s="1" t="s">
        <v>2131</v>
      </c>
      <c r="D353" s="1" t="s">
        <v>998</v>
      </c>
      <c r="E353" s="1" t="s">
        <v>1019</v>
      </c>
      <c r="F353" s="1" t="s">
        <v>939</v>
      </c>
      <c r="G353" s="1" t="s">
        <v>2132</v>
      </c>
      <c r="H353" s="1" t="s">
        <v>950</v>
      </c>
      <c r="I353" s="1" t="s">
        <v>2133</v>
      </c>
      <c r="J353" s="1" t="s">
        <v>960</v>
      </c>
      <c r="K353" s="1" t="s">
        <v>2114</v>
      </c>
      <c r="L353" s="1" t="s">
        <v>2020</v>
      </c>
      <c r="M353" s="1" t="s">
        <v>1063</v>
      </c>
      <c r="N353">
        <f>_xlfn.NUMBERVALUE(LEFT(Table11[[#This Row],[Score]],FIND("/",Table11[[#This Row],[Score]])-1))</f>
        <v>132</v>
      </c>
      <c r="O353">
        <f>IFERROR(_xlfn.NUMBERVALUE(LEFT(Table11[[#This Row],[Score2 ]],FIND("/",Table11[[#This Row],[Score2 ]])-1)),"")</f>
        <v>124</v>
      </c>
      <c r="P353" t="s">
        <v>140</v>
      </c>
      <c r="Q353" s="1" t="s">
        <v>145</v>
      </c>
      <c r="R353" t="str">
        <f>Table11[[#This Row],[Match]]&amp;" "&amp;Table11[[#This Row],[Over]]</f>
        <v>1 22</v>
      </c>
    </row>
    <row r="354" spans="1:18" x14ac:dyDescent="0.3">
      <c r="A354">
        <v>1</v>
      </c>
      <c r="B354" s="1">
        <v>23</v>
      </c>
      <c r="C354" s="1" t="s">
        <v>2134</v>
      </c>
      <c r="D354" s="1" t="s">
        <v>950</v>
      </c>
      <c r="E354" s="1" t="s">
        <v>1428</v>
      </c>
      <c r="F354" s="1" t="s">
        <v>976</v>
      </c>
      <c r="G354" s="1" t="s">
        <v>1520</v>
      </c>
      <c r="H354" s="1" t="s">
        <v>968</v>
      </c>
      <c r="I354" s="1" t="s">
        <v>2135</v>
      </c>
      <c r="J354" s="1" t="s">
        <v>934</v>
      </c>
      <c r="K354" s="1" t="s">
        <v>2136</v>
      </c>
      <c r="L354" s="1" t="s">
        <v>2137</v>
      </c>
      <c r="M354" s="1" t="s">
        <v>1070</v>
      </c>
      <c r="N354">
        <f>_xlfn.NUMBERVALUE(LEFT(Table11[[#This Row],[Score]],FIND("/",Table11[[#This Row],[Score]])-1))</f>
        <v>137</v>
      </c>
      <c r="O354">
        <f>IFERROR(_xlfn.NUMBERVALUE(LEFT(Table11[[#This Row],[Score2 ]],FIND("/",Table11[[#This Row],[Score2 ]])-1)),"")</f>
        <v>125</v>
      </c>
      <c r="P354" t="s">
        <v>140</v>
      </c>
      <c r="Q354" s="1" t="s">
        <v>145</v>
      </c>
      <c r="R354" t="str">
        <f>Table11[[#This Row],[Match]]&amp;" "&amp;Table11[[#This Row],[Over]]</f>
        <v>1 23</v>
      </c>
    </row>
    <row r="355" spans="1:18" x14ac:dyDescent="0.3">
      <c r="A355">
        <v>1</v>
      </c>
      <c r="B355" s="1">
        <v>24</v>
      </c>
      <c r="C355" s="1" t="s">
        <v>1806</v>
      </c>
      <c r="D355" s="1" t="s">
        <v>950</v>
      </c>
      <c r="E355" s="1" t="s">
        <v>1422</v>
      </c>
      <c r="F355" s="1" t="s">
        <v>939</v>
      </c>
      <c r="G355" s="1" t="s">
        <v>2138</v>
      </c>
      <c r="H355" s="1" t="s">
        <v>930</v>
      </c>
      <c r="I355" s="1" t="s">
        <v>2139</v>
      </c>
      <c r="J355" s="1" t="s">
        <v>1019</v>
      </c>
      <c r="K355" s="1" t="s">
        <v>1075</v>
      </c>
      <c r="L355" s="1" t="s">
        <v>1076</v>
      </c>
      <c r="M355" s="1" t="s">
        <v>1077</v>
      </c>
      <c r="N355">
        <f>_xlfn.NUMBERVALUE(LEFT(Table11[[#This Row],[Score]],FIND("/",Table11[[#This Row],[Score]])-1))</f>
        <v>142</v>
      </c>
      <c r="O355">
        <f>IFERROR(_xlfn.NUMBERVALUE(LEFT(Table11[[#This Row],[Score2 ]],FIND("/",Table11[[#This Row],[Score2 ]])-1)),"")</f>
        <v>133</v>
      </c>
      <c r="P355" t="s">
        <v>140</v>
      </c>
      <c r="Q355" s="1" t="s">
        <v>145</v>
      </c>
      <c r="R355" t="str">
        <f>Table11[[#This Row],[Match]]&amp;" "&amp;Table11[[#This Row],[Over]]</f>
        <v>1 24</v>
      </c>
    </row>
    <row r="356" spans="1:18" x14ac:dyDescent="0.3">
      <c r="A356">
        <v>1</v>
      </c>
      <c r="B356" s="1">
        <v>25</v>
      </c>
      <c r="C356" s="1" t="s">
        <v>2140</v>
      </c>
      <c r="D356" s="1" t="s">
        <v>904</v>
      </c>
      <c r="E356" s="1" t="s">
        <v>1013</v>
      </c>
      <c r="F356" s="1" t="s">
        <v>977</v>
      </c>
      <c r="G356" s="1" t="s">
        <v>2141</v>
      </c>
      <c r="H356" s="1" t="s">
        <v>904</v>
      </c>
      <c r="I356" s="1" t="s">
        <v>1145</v>
      </c>
      <c r="J356" s="1" t="s">
        <v>1093</v>
      </c>
      <c r="K356" s="1" t="s">
        <v>1081</v>
      </c>
      <c r="L356" s="1" t="s">
        <v>1082</v>
      </c>
      <c r="M356" s="1" t="s">
        <v>1083</v>
      </c>
      <c r="N356">
        <f>_xlfn.NUMBERVALUE(LEFT(Table11[[#This Row],[Score]],FIND("/",Table11[[#This Row],[Score]])-1))</f>
        <v>145</v>
      </c>
      <c r="O356">
        <f>IFERROR(_xlfn.NUMBERVALUE(LEFT(Table11[[#This Row],[Score2 ]],FIND("/",Table11[[#This Row],[Score2 ]])-1)),"")</f>
        <v>136</v>
      </c>
      <c r="P356" t="s">
        <v>140</v>
      </c>
      <c r="Q356" s="1" t="s">
        <v>145</v>
      </c>
      <c r="R356" t="str">
        <f>Table11[[#This Row],[Match]]&amp;" "&amp;Table11[[#This Row],[Over]]</f>
        <v>1 25</v>
      </c>
    </row>
    <row r="357" spans="1:18" x14ac:dyDescent="0.3">
      <c r="A357">
        <v>1</v>
      </c>
      <c r="B357" s="1">
        <v>26</v>
      </c>
      <c r="C357" s="1" t="s">
        <v>2142</v>
      </c>
      <c r="D357" s="1" t="s">
        <v>998</v>
      </c>
      <c r="E357" s="1" t="s">
        <v>2143</v>
      </c>
      <c r="F357" s="1" t="s">
        <v>931</v>
      </c>
      <c r="G357" s="1" t="s">
        <v>1347</v>
      </c>
      <c r="H357" s="1" t="s">
        <v>922</v>
      </c>
      <c r="I357" s="1" t="s">
        <v>1166</v>
      </c>
      <c r="J357" s="1" t="s">
        <v>976</v>
      </c>
      <c r="K357" s="1" t="s">
        <v>1096</v>
      </c>
      <c r="L357" s="1" t="s">
        <v>1509</v>
      </c>
      <c r="M357" s="1" t="s">
        <v>1090</v>
      </c>
      <c r="N357">
        <f>_xlfn.NUMBERVALUE(LEFT(Table11[[#This Row],[Score]],FIND("/",Table11[[#This Row],[Score]])-1))</f>
        <v>149</v>
      </c>
      <c r="O357">
        <f>IFERROR(_xlfn.NUMBERVALUE(LEFT(Table11[[#This Row],[Score2 ]],FIND("/",Table11[[#This Row],[Score2 ]])-1)),"")</f>
        <v>142</v>
      </c>
      <c r="P357" t="s">
        <v>140</v>
      </c>
      <c r="Q357" s="1" t="s">
        <v>145</v>
      </c>
      <c r="R357" t="str">
        <f>Table11[[#This Row],[Match]]&amp;" "&amp;Table11[[#This Row],[Over]]</f>
        <v>1 26</v>
      </c>
    </row>
    <row r="358" spans="1:18" x14ac:dyDescent="0.3">
      <c r="A358">
        <v>1</v>
      </c>
      <c r="B358" s="1">
        <v>27</v>
      </c>
      <c r="C358" s="1" t="s">
        <v>2144</v>
      </c>
      <c r="D358" s="1" t="s">
        <v>898</v>
      </c>
      <c r="E358" s="1" t="s">
        <v>1185</v>
      </c>
      <c r="F358" s="1" t="s">
        <v>990</v>
      </c>
      <c r="G358" s="1" t="s">
        <v>1352</v>
      </c>
      <c r="H358" s="1" t="s">
        <v>950</v>
      </c>
      <c r="I358" s="1" t="s">
        <v>1145</v>
      </c>
      <c r="J358" s="1" t="s">
        <v>976</v>
      </c>
      <c r="K358" s="1" t="s">
        <v>2145</v>
      </c>
      <c r="L358" s="1" t="s">
        <v>1515</v>
      </c>
      <c r="M358" s="1" t="s">
        <v>1098</v>
      </c>
      <c r="N358">
        <f>_xlfn.NUMBERVALUE(LEFT(Table11[[#This Row],[Score]],FIND("/",Table11[[#This Row],[Score]])-1))</f>
        <v>151</v>
      </c>
      <c r="O358">
        <f>IFERROR(_xlfn.NUMBERVALUE(LEFT(Table11[[#This Row],[Score2 ]],FIND("/",Table11[[#This Row],[Score2 ]])-1)),"")</f>
        <v>147</v>
      </c>
      <c r="P358" t="s">
        <v>140</v>
      </c>
      <c r="Q358" s="1" t="s">
        <v>145</v>
      </c>
      <c r="R358" t="str">
        <f>Table11[[#This Row],[Match]]&amp;" "&amp;Table11[[#This Row],[Over]]</f>
        <v>1 27</v>
      </c>
    </row>
    <row r="359" spans="1:18" x14ac:dyDescent="0.3">
      <c r="A359">
        <v>1</v>
      </c>
      <c r="B359" s="1">
        <v>28</v>
      </c>
      <c r="C359" s="1" t="s">
        <v>1350</v>
      </c>
      <c r="D359" s="1" t="s">
        <v>898</v>
      </c>
      <c r="E359" s="1" t="s">
        <v>1166</v>
      </c>
      <c r="F359" s="1" t="s">
        <v>1259</v>
      </c>
      <c r="G359" s="1" t="s">
        <v>2146</v>
      </c>
      <c r="H359" s="1" t="s">
        <v>904</v>
      </c>
      <c r="I359" s="1" t="s">
        <v>2123</v>
      </c>
      <c r="J359" s="1" t="s">
        <v>969</v>
      </c>
      <c r="K359" s="1" t="s">
        <v>1100</v>
      </c>
      <c r="L359" s="1" t="s">
        <v>1097</v>
      </c>
      <c r="M359" s="1" t="s">
        <v>1101</v>
      </c>
      <c r="N359">
        <f>_xlfn.NUMBERVALUE(LEFT(Table11[[#This Row],[Score]],FIND("/",Table11[[#This Row],[Score]])-1))</f>
        <v>153</v>
      </c>
      <c r="O359">
        <f>IFERROR(_xlfn.NUMBERVALUE(LEFT(Table11[[#This Row],[Score2 ]],FIND("/",Table11[[#This Row],[Score2 ]])-1)),"")</f>
        <v>150</v>
      </c>
      <c r="P359" t="s">
        <v>140</v>
      </c>
      <c r="Q359" s="1" t="s">
        <v>145</v>
      </c>
      <c r="R359" t="str">
        <f>Table11[[#This Row],[Match]]&amp;" "&amp;Table11[[#This Row],[Over]]</f>
        <v>1 28</v>
      </c>
    </row>
    <row r="360" spans="1:18" x14ac:dyDescent="0.3">
      <c r="A360">
        <v>1</v>
      </c>
      <c r="B360" s="1">
        <v>29</v>
      </c>
      <c r="C360" s="1" t="s">
        <v>2147</v>
      </c>
      <c r="D360" s="1" t="s">
        <v>950</v>
      </c>
      <c r="E360" s="1" t="s">
        <v>1145</v>
      </c>
      <c r="F360" s="1" t="s">
        <v>1259</v>
      </c>
      <c r="G360" s="1" t="s">
        <v>1545</v>
      </c>
      <c r="H360" s="1" t="s">
        <v>968</v>
      </c>
      <c r="I360" s="1" t="s">
        <v>1029</v>
      </c>
      <c r="J360" s="1" t="s">
        <v>977</v>
      </c>
      <c r="K360" s="1" t="s">
        <v>2148</v>
      </c>
      <c r="L360" s="1" t="s">
        <v>1524</v>
      </c>
      <c r="M360" s="1" t="s">
        <v>1108</v>
      </c>
      <c r="N360">
        <f>_xlfn.NUMBERVALUE(LEFT(Table11[[#This Row],[Score]],FIND("/",Table11[[#This Row],[Score]])-1))</f>
        <v>158</v>
      </c>
      <c r="O360">
        <f>IFERROR(_xlfn.NUMBERVALUE(LEFT(Table11[[#This Row],[Score2 ]],FIND("/",Table11[[#This Row],[Score2 ]])-1)),"")</f>
        <v>151</v>
      </c>
      <c r="P360" t="s">
        <v>140</v>
      </c>
      <c r="Q360" s="1" t="s">
        <v>145</v>
      </c>
      <c r="R360" t="str">
        <f>Table11[[#This Row],[Match]]&amp;" "&amp;Table11[[#This Row],[Over]]</f>
        <v>1 29</v>
      </c>
    </row>
    <row r="361" spans="1:18" x14ac:dyDescent="0.3">
      <c r="A361">
        <v>1</v>
      </c>
      <c r="B361" s="1">
        <v>30</v>
      </c>
      <c r="C361" s="1" t="s">
        <v>2149</v>
      </c>
      <c r="D361" s="1" t="s">
        <v>930</v>
      </c>
      <c r="E361" s="1" t="s">
        <v>1603</v>
      </c>
      <c r="F361" s="1" t="s">
        <v>931</v>
      </c>
      <c r="G361" s="1" t="s">
        <v>2150</v>
      </c>
      <c r="H361" s="1" t="s">
        <v>998</v>
      </c>
      <c r="I361" s="1" t="s">
        <v>1587</v>
      </c>
      <c r="J361" s="1" t="s">
        <v>990</v>
      </c>
      <c r="K361" s="1" t="s">
        <v>2151</v>
      </c>
      <c r="L361" s="1" t="s">
        <v>1107</v>
      </c>
      <c r="M361" s="1" t="s">
        <v>1113</v>
      </c>
      <c r="N361">
        <f>_xlfn.NUMBERVALUE(LEFT(Table11[[#This Row],[Score]],FIND("/",Table11[[#This Row],[Score]])-1))</f>
        <v>166</v>
      </c>
      <c r="O361">
        <f>IFERROR(_xlfn.NUMBERVALUE(LEFT(Table11[[#This Row],[Score2 ]],FIND("/",Table11[[#This Row],[Score2 ]])-1)),"")</f>
        <v>155</v>
      </c>
      <c r="P361" t="s">
        <v>140</v>
      </c>
      <c r="Q361" s="1" t="s">
        <v>145</v>
      </c>
      <c r="R361" t="str">
        <f>Table11[[#This Row],[Match]]&amp;" "&amp;Table11[[#This Row],[Over]]</f>
        <v>1 30</v>
      </c>
    </row>
    <row r="362" spans="1:18" x14ac:dyDescent="0.3">
      <c r="A362">
        <v>1</v>
      </c>
      <c r="B362" s="1">
        <v>31</v>
      </c>
      <c r="C362" s="1" t="s">
        <v>1114</v>
      </c>
      <c r="D362" s="1" t="s">
        <v>998</v>
      </c>
      <c r="E362" s="1" t="s">
        <v>1115</v>
      </c>
      <c r="F362" s="1" t="s">
        <v>931</v>
      </c>
      <c r="G362" s="1" t="s">
        <v>2152</v>
      </c>
      <c r="H362" s="1" t="s">
        <v>922</v>
      </c>
      <c r="I362" s="1" t="s">
        <v>1052</v>
      </c>
      <c r="J362" s="1" t="s">
        <v>990</v>
      </c>
      <c r="K362" s="1" t="s">
        <v>1161</v>
      </c>
      <c r="L362" s="1" t="s">
        <v>1851</v>
      </c>
      <c r="M362" s="1" t="s">
        <v>1121</v>
      </c>
      <c r="N362">
        <f>_xlfn.NUMBERVALUE(LEFT(Table11[[#This Row],[Score]],FIND("/",Table11[[#This Row],[Score]])-1))</f>
        <v>170</v>
      </c>
      <c r="O362">
        <f>IFERROR(_xlfn.NUMBERVALUE(LEFT(Table11[[#This Row],[Score2 ]],FIND("/",Table11[[#This Row],[Score2 ]])-1)),"")</f>
        <v>161</v>
      </c>
      <c r="P362" t="s">
        <v>140</v>
      </c>
      <c r="Q362" s="1" t="s">
        <v>145</v>
      </c>
      <c r="R362" t="str">
        <f>Table11[[#This Row],[Match]]&amp;" "&amp;Table11[[#This Row],[Over]]</f>
        <v>1 31</v>
      </c>
    </row>
    <row r="363" spans="1:18" x14ac:dyDescent="0.3">
      <c r="A363">
        <v>1</v>
      </c>
      <c r="B363" s="1">
        <v>32</v>
      </c>
      <c r="C363" s="1" t="s">
        <v>1369</v>
      </c>
      <c r="D363" s="1" t="s">
        <v>1390</v>
      </c>
      <c r="E363" s="1" t="s">
        <v>2153</v>
      </c>
      <c r="F363" s="1" t="s">
        <v>943</v>
      </c>
      <c r="G363" s="1" t="s">
        <v>2154</v>
      </c>
      <c r="H363" s="1" t="s">
        <v>916</v>
      </c>
      <c r="I363" s="1" t="s">
        <v>1722</v>
      </c>
      <c r="J363" s="1" t="s">
        <v>931</v>
      </c>
      <c r="K363" s="1" t="s">
        <v>1125</v>
      </c>
      <c r="L363" s="1" t="s">
        <v>1126</v>
      </c>
      <c r="M363" s="1" t="s">
        <v>1127</v>
      </c>
      <c r="N363">
        <f>_xlfn.NUMBERVALUE(LEFT(Table11[[#This Row],[Score]],FIND("/",Table11[[#This Row],[Score]])-1))</f>
        <v>183</v>
      </c>
      <c r="O363">
        <f>IFERROR(_xlfn.NUMBERVALUE(LEFT(Table11[[#This Row],[Score2 ]],FIND("/",Table11[[#This Row],[Score2 ]])-1)),"")</f>
        <v>168</v>
      </c>
      <c r="P363" t="s">
        <v>140</v>
      </c>
      <c r="Q363" s="1" t="s">
        <v>145</v>
      </c>
      <c r="R363" t="str">
        <f>Table11[[#This Row],[Match]]&amp;" "&amp;Table11[[#This Row],[Over]]</f>
        <v>1 32</v>
      </c>
    </row>
    <row r="364" spans="1:18" x14ac:dyDescent="0.3">
      <c r="A364">
        <v>1</v>
      </c>
      <c r="B364" s="1">
        <v>33</v>
      </c>
      <c r="C364" s="1" t="s">
        <v>1139</v>
      </c>
      <c r="D364" s="1" t="s">
        <v>947</v>
      </c>
      <c r="E364" s="1" t="s">
        <v>1420</v>
      </c>
      <c r="F364" s="1" t="s">
        <v>1168</v>
      </c>
      <c r="G364" s="1" t="s">
        <v>2155</v>
      </c>
      <c r="H364" s="1" t="s">
        <v>898</v>
      </c>
      <c r="I364" s="1" t="s">
        <v>1085</v>
      </c>
      <c r="J364" s="1" t="s">
        <v>939</v>
      </c>
      <c r="K364" s="1" t="s">
        <v>1131</v>
      </c>
      <c r="L364" s="1" t="s">
        <v>1070</v>
      </c>
      <c r="M364" s="1" t="s">
        <v>1132</v>
      </c>
      <c r="N364">
        <f>_xlfn.NUMBERVALUE(LEFT(Table11[[#This Row],[Score]],FIND("/",Table11[[#This Row],[Score]])-1))</f>
        <v>192</v>
      </c>
      <c r="O364">
        <f>IFERROR(_xlfn.NUMBERVALUE(LEFT(Table11[[#This Row],[Score2 ]],FIND("/",Table11[[#This Row],[Score2 ]])-1)),"")</f>
        <v>170</v>
      </c>
      <c r="P364" t="s">
        <v>140</v>
      </c>
      <c r="Q364" s="1" t="s">
        <v>145</v>
      </c>
      <c r="R364" t="str">
        <f>Table11[[#This Row],[Match]]&amp;" "&amp;Table11[[#This Row],[Over]]</f>
        <v>1 33</v>
      </c>
    </row>
    <row r="365" spans="1:18" x14ac:dyDescent="0.3">
      <c r="A365">
        <v>1</v>
      </c>
      <c r="B365" s="1">
        <v>34</v>
      </c>
      <c r="C365" s="1" t="s">
        <v>2156</v>
      </c>
      <c r="D365" s="1" t="s">
        <v>968</v>
      </c>
      <c r="E365" s="1" t="s">
        <v>1391</v>
      </c>
      <c r="F365" s="1" t="s">
        <v>952</v>
      </c>
      <c r="G365" s="1" t="s">
        <v>2157</v>
      </c>
      <c r="H365" s="1" t="s">
        <v>916</v>
      </c>
      <c r="I365" s="1" t="s">
        <v>1029</v>
      </c>
      <c r="J365" s="1" t="s">
        <v>1029</v>
      </c>
      <c r="K365" s="1" t="s">
        <v>1367</v>
      </c>
      <c r="L365" s="1" t="s">
        <v>1368</v>
      </c>
      <c r="M365" s="1" t="s">
        <v>1138</v>
      </c>
      <c r="N365">
        <f>_xlfn.NUMBERVALUE(LEFT(Table11[[#This Row],[Score]],FIND("/",Table11[[#This Row],[Score]])-1))</f>
        <v>193</v>
      </c>
      <c r="O365">
        <f>IFERROR(_xlfn.NUMBERVALUE(LEFT(Table11[[#This Row],[Score2 ]],FIND("/",Table11[[#This Row],[Score2 ]])-1)),"")</f>
        <v>177</v>
      </c>
      <c r="P365" t="s">
        <v>140</v>
      </c>
      <c r="Q365" s="1" t="s">
        <v>145</v>
      </c>
      <c r="R365" t="str">
        <f>Table11[[#This Row],[Match]]&amp;" "&amp;Table11[[#This Row],[Over]]</f>
        <v>1 34</v>
      </c>
    </row>
    <row r="366" spans="1:18" x14ac:dyDescent="0.3">
      <c r="A366">
        <v>1</v>
      </c>
      <c r="B366" s="1">
        <v>35</v>
      </c>
      <c r="C366" s="1" t="s">
        <v>2158</v>
      </c>
      <c r="D366" s="1" t="s">
        <v>904</v>
      </c>
      <c r="E366" s="1" t="s">
        <v>934</v>
      </c>
      <c r="F366" s="1" t="s">
        <v>1019</v>
      </c>
      <c r="G366" s="1" t="s">
        <v>2063</v>
      </c>
      <c r="H366" s="1" t="s">
        <v>898</v>
      </c>
      <c r="I366" s="1" t="s">
        <v>1643</v>
      </c>
      <c r="J366" s="1" t="s">
        <v>1093</v>
      </c>
      <c r="K366" s="1" t="s">
        <v>1746</v>
      </c>
      <c r="L366" s="1" t="s">
        <v>1763</v>
      </c>
      <c r="M366" s="1" t="s">
        <v>1143</v>
      </c>
      <c r="N366">
        <f>_xlfn.NUMBERVALUE(LEFT(Table11[[#This Row],[Score]],FIND("/",Table11[[#This Row],[Score]])-1))</f>
        <v>196</v>
      </c>
      <c r="O366">
        <f>IFERROR(_xlfn.NUMBERVALUE(LEFT(Table11[[#This Row],[Score2 ]],FIND("/",Table11[[#This Row],[Score2 ]])-1)),"")</f>
        <v>179</v>
      </c>
      <c r="P366" t="s">
        <v>140</v>
      </c>
      <c r="Q366" s="1" t="s">
        <v>145</v>
      </c>
      <c r="R366" t="str">
        <f>Table11[[#This Row],[Match]]&amp;" "&amp;Table11[[#This Row],[Over]]</f>
        <v>1 35</v>
      </c>
    </row>
    <row r="367" spans="1:18" x14ac:dyDescent="0.3">
      <c r="A367">
        <v>1</v>
      </c>
      <c r="B367" s="1">
        <v>36</v>
      </c>
      <c r="C367" s="1" t="s">
        <v>1574</v>
      </c>
      <c r="D367" s="1" t="s">
        <v>968</v>
      </c>
      <c r="E367" s="1" t="s">
        <v>2070</v>
      </c>
      <c r="F367" s="1" t="s">
        <v>966</v>
      </c>
      <c r="G367" s="1" t="s">
        <v>2159</v>
      </c>
      <c r="H367" s="1" t="s">
        <v>998</v>
      </c>
      <c r="I367" s="1" t="s">
        <v>1657</v>
      </c>
      <c r="J367" s="1" t="s">
        <v>940</v>
      </c>
      <c r="K367" s="1" t="s">
        <v>2160</v>
      </c>
      <c r="L367" s="1" t="s">
        <v>2161</v>
      </c>
      <c r="M367" s="1" t="s">
        <v>1150</v>
      </c>
      <c r="N367">
        <f>_xlfn.NUMBERVALUE(LEFT(Table11[[#This Row],[Score]],FIND("/",Table11[[#This Row],[Score]])-1))</f>
        <v>197</v>
      </c>
      <c r="O367">
        <f>IFERROR(_xlfn.NUMBERVALUE(LEFT(Table11[[#This Row],[Score2 ]],FIND("/",Table11[[#This Row],[Score2 ]])-1)),"")</f>
        <v>183</v>
      </c>
      <c r="P367" t="s">
        <v>140</v>
      </c>
      <c r="Q367" s="1" t="s">
        <v>145</v>
      </c>
      <c r="R367" t="str">
        <f>Table11[[#This Row],[Match]]&amp;" "&amp;Table11[[#This Row],[Over]]</f>
        <v>1 36</v>
      </c>
    </row>
    <row r="368" spans="1:18" x14ac:dyDescent="0.3">
      <c r="A368">
        <v>1</v>
      </c>
      <c r="B368" s="1">
        <v>37</v>
      </c>
      <c r="C368" s="1" t="s">
        <v>2162</v>
      </c>
      <c r="D368" s="1" t="s">
        <v>1390</v>
      </c>
      <c r="E368" s="1" t="s">
        <v>1391</v>
      </c>
      <c r="F368" s="1" t="s">
        <v>966</v>
      </c>
      <c r="G368" s="1" t="s">
        <v>2163</v>
      </c>
      <c r="H368" s="1" t="s">
        <v>998</v>
      </c>
      <c r="I368" s="1" t="s">
        <v>1365</v>
      </c>
      <c r="J368" s="1" t="s">
        <v>990</v>
      </c>
      <c r="K368" s="1" t="s">
        <v>2164</v>
      </c>
      <c r="L368" s="1" t="s">
        <v>2165</v>
      </c>
      <c r="M368" s="1" t="s">
        <v>1156</v>
      </c>
      <c r="N368">
        <f>_xlfn.NUMBERVALUE(LEFT(Table11[[#This Row],[Score]],FIND("/",Table11[[#This Row],[Score]])-1))</f>
        <v>210</v>
      </c>
      <c r="O368">
        <f>IFERROR(_xlfn.NUMBERVALUE(LEFT(Table11[[#This Row],[Score2 ]],FIND("/",Table11[[#This Row],[Score2 ]])-1)),"")</f>
        <v>187</v>
      </c>
      <c r="P368" t="s">
        <v>140</v>
      </c>
      <c r="Q368" s="1" t="s">
        <v>145</v>
      </c>
      <c r="R368" t="str">
        <f>Table11[[#This Row],[Match]]&amp;" "&amp;Table11[[#This Row],[Over]]</f>
        <v>1 37</v>
      </c>
    </row>
    <row r="369" spans="1:18" x14ac:dyDescent="0.3">
      <c r="A369">
        <v>1</v>
      </c>
      <c r="B369" s="1">
        <v>38</v>
      </c>
      <c r="C369" s="1" t="s">
        <v>1586</v>
      </c>
      <c r="D369" s="1" t="s">
        <v>916</v>
      </c>
      <c r="E369" s="1" t="s">
        <v>2153</v>
      </c>
      <c r="F369" s="1" t="s">
        <v>969</v>
      </c>
      <c r="G369" s="1" t="s">
        <v>2166</v>
      </c>
      <c r="H369" s="1" t="s">
        <v>930</v>
      </c>
      <c r="I369" s="1" t="s">
        <v>2167</v>
      </c>
      <c r="J369" s="1" t="s">
        <v>969</v>
      </c>
      <c r="K369" s="1" t="s">
        <v>2168</v>
      </c>
      <c r="L369" s="1" t="s">
        <v>1547</v>
      </c>
      <c r="M369" s="1" t="s">
        <v>1164</v>
      </c>
      <c r="N369">
        <f>_xlfn.NUMBERVALUE(LEFT(Table11[[#This Row],[Score]],FIND("/",Table11[[#This Row],[Score]])-1))</f>
        <v>217</v>
      </c>
      <c r="O369">
        <f>IFERROR(_xlfn.NUMBERVALUE(LEFT(Table11[[#This Row],[Score2 ]],FIND("/",Table11[[#This Row],[Score2 ]])-1)),"")</f>
        <v>195</v>
      </c>
      <c r="P369" t="s">
        <v>140</v>
      </c>
      <c r="Q369" s="1" t="s">
        <v>145</v>
      </c>
      <c r="R369" t="str">
        <f>Table11[[#This Row],[Match]]&amp;" "&amp;Table11[[#This Row],[Over]]</f>
        <v>1 38</v>
      </c>
    </row>
    <row r="370" spans="1:18" x14ac:dyDescent="0.3">
      <c r="A370">
        <v>1</v>
      </c>
      <c r="B370" s="1">
        <v>39</v>
      </c>
      <c r="C370" s="1" t="s">
        <v>2169</v>
      </c>
      <c r="D370" s="1" t="s">
        <v>930</v>
      </c>
      <c r="E370" s="1" t="s">
        <v>1610</v>
      </c>
      <c r="F370" s="1" t="s">
        <v>943</v>
      </c>
      <c r="G370" s="1" t="s">
        <v>2170</v>
      </c>
      <c r="H370" s="1" t="s">
        <v>922</v>
      </c>
      <c r="I370" s="1" t="s">
        <v>1085</v>
      </c>
      <c r="J370" s="1" t="s">
        <v>1093</v>
      </c>
      <c r="K370" s="1" t="s">
        <v>2171</v>
      </c>
      <c r="L370" s="1" t="s">
        <v>1402</v>
      </c>
      <c r="M370" s="1" t="s">
        <v>1171</v>
      </c>
      <c r="N370">
        <f>_xlfn.NUMBERVALUE(LEFT(Table11[[#This Row],[Score]],FIND("/",Table11[[#This Row],[Score]])-1))</f>
        <v>225</v>
      </c>
      <c r="O370">
        <f>IFERROR(_xlfn.NUMBERVALUE(LEFT(Table11[[#This Row],[Score2 ]],FIND("/",Table11[[#This Row],[Score2 ]])-1)),"")</f>
        <v>201</v>
      </c>
      <c r="P370" t="s">
        <v>140</v>
      </c>
      <c r="Q370" s="1" t="s">
        <v>145</v>
      </c>
      <c r="R370" t="str">
        <f>Table11[[#This Row],[Match]]&amp;" "&amp;Table11[[#This Row],[Over]]</f>
        <v>1 39</v>
      </c>
    </row>
    <row r="371" spans="1:18" x14ac:dyDescent="0.3">
      <c r="A371">
        <v>1</v>
      </c>
      <c r="B371" s="1">
        <v>40</v>
      </c>
      <c r="C371" s="1" t="s">
        <v>2172</v>
      </c>
      <c r="D371" s="1" t="s">
        <v>998</v>
      </c>
      <c r="E371" s="1" t="s">
        <v>1597</v>
      </c>
      <c r="F371" s="1" t="s">
        <v>960</v>
      </c>
      <c r="G371" s="1" t="s">
        <v>2173</v>
      </c>
      <c r="H371" s="1" t="s">
        <v>930</v>
      </c>
      <c r="I371" s="1" t="s">
        <v>1058</v>
      </c>
      <c r="J371" s="1" t="s">
        <v>1019</v>
      </c>
      <c r="K371" s="1" t="s">
        <v>2174</v>
      </c>
      <c r="L371" s="1" t="s">
        <v>2175</v>
      </c>
      <c r="M371" s="1" t="s">
        <v>1177</v>
      </c>
      <c r="N371">
        <f>_xlfn.NUMBERVALUE(LEFT(Table11[[#This Row],[Score]],FIND("/",Table11[[#This Row],[Score]])-1))</f>
        <v>229</v>
      </c>
      <c r="O371">
        <f>IFERROR(_xlfn.NUMBERVALUE(LEFT(Table11[[#This Row],[Score2 ]],FIND("/",Table11[[#This Row],[Score2 ]])-1)),"")</f>
        <v>209</v>
      </c>
      <c r="P371" t="s">
        <v>140</v>
      </c>
      <c r="Q371" s="1" t="s">
        <v>145</v>
      </c>
      <c r="R371" t="str">
        <f>Table11[[#This Row],[Match]]&amp;" "&amp;Table11[[#This Row],[Over]]</f>
        <v>1 40</v>
      </c>
    </row>
    <row r="372" spans="1:18" x14ac:dyDescent="0.3">
      <c r="A372">
        <v>1</v>
      </c>
      <c r="B372" s="1">
        <v>41</v>
      </c>
      <c r="C372" s="1" t="s">
        <v>2176</v>
      </c>
      <c r="D372" s="1" t="s">
        <v>947</v>
      </c>
      <c r="E372" s="1" t="s">
        <v>1013</v>
      </c>
      <c r="F372" s="1" t="s">
        <v>1405</v>
      </c>
      <c r="G372" s="1" t="s">
        <v>2177</v>
      </c>
      <c r="H372" s="1" t="s">
        <v>916</v>
      </c>
      <c r="I372" s="1" t="s">
        <v>2178</v>
      </c>
      <c r="J372" s="1" t="s">
        <v>960</v>
      </c>
      <c r="K372" s="1" t="s">
        <v>2179</v>
      </c>
      <c r="L372" s="1" t="s">
        <v>1774</v>
      </c>
      <c r="M372" s="1" t="s">
        <v>1183</v>
      </c>
      <c r="N372">
        <f>_xlfn.NUMBERVALUE(LEFT(Table11[[#This Row],[Score]],FIND("/",Table11[[#This Row],[Score]])-1))</f>
        <v>238</v>
      </c>
      <c r="O372">
        <f>IFERROR(_xlfn.NUMBERVALUE(LEFT(Table11[[#This Row],[Score2 ]],FIND("/",Table11[[#This Row],[Score2 ]])-1)),"")</f>
        <v>216</v>
      </c>
      <c r="P372" t="s">
        <v>140</v>
      </c>
      <c r="Q372" s="1" t="s">
        <v>145</v>
      </c>
      <c r="R372" t="str">
        <f>Table11[[#This Row],[Match]]&amp;" "&amp;Table11[[#This Row],[Over]]</f>
        <v>1 41</v>
      </c>
    </row>
    <row r="373" spans="1:18" x14ac:dyDescent="0.3">
      <c r="A373">
        <v>1</v>
      </c>
      <c r="B373" s="1">
        <v>42</v>
      </c>
      <c r="C373" s="1" t="s">
        <v>2180</v>
      </c>
      <c r="D373" s="1" t="s">
        <v>998</v>
      </c>
      <c r="E373" s="1" t="s">
        <v>1610</v>
      </c>
      <c r="F373" s="1" t="s">
        <v>943</v>
      </c>
      <c r="G373" s="1" t="s">
        <v>2181</v>
      </c>
      <c r="H373" s="1" t="s">
        <v>898</v>
      </c>
      <c r="I373" s="1" t="s">
        <v>1052</v>
      </c>
      <c r="J373" s="1" t="s">
        <v>970</v>
      </c>
      <c r="K373" s="1" t="s">
        <v>2182</v>
      </c>
      <c r="L373" s="1" t="s">
        <v>1121</v>
      </c>
      <c r="M373" s="1" t="s">
        <v>1190</v>
      </c>
      <c r="N373">
        <f>_xlfn.NUMBERVALUE(LEFT(Table11[[#This Row],[Score]],FIND("/",Table11[[#This Row],[Score]])-1))</f>
        <v>242</v>
      </c>
      <c r="O373">
        <f>IFERROR(_xlfn.NUMBERVALUE(LEFT(Table11[[#This Row],[Score2 ]],FIND("/",Table11[[#This Row],[Score2 ]])-1)),"")</f>
        <v>218</v>
      </c>
      <c r="P373" t="s">
        <v>140</v>
      </c>
      <c r="Q373" s="1" t="s">
        <v>145</v>
      </c>
      <c r="R373" t="str">
        <f>Table11[[#This Row],[Match]]&amp;" "&amp;Table11[[#This Row],[Over]]</f>
        <v>1 42</v>
      </c>
    </row>
    <row r="374" spans="1:18" x14ac:dyDescent="0.3">
      <c r="A374">
        <v>1</v>
      </c>
      <c r="B374" s="1">
        <v>43</v>
      </c>
      <c r="C374" s="1" t="s">
        <v>2183</v>
      </c>
      <c r="D374" s="1" t="s">
        <v>1095</v>
      </c>
      <c r="E374" s="1" t="s">
        <v>2184</v>
      </c>
      <c r="F374" s="1" t="s">
        <v>952</v>
      </c>
      <c r="G374" s="1" t="s">
        <v>2185</v>
      </c>
      <c r="H374" s="1" t="s">
        <v>968</v>
      </c>
      <c r="I374" s="1" t="s">
        <v>2186</v>
      </c>
      <c r="J374" s="1" t="s">
        <v>1093</v>
      </c>
      <c r="K374" s="1" t="s">
        <v>2187</v>
      </c>
      <c r="L374" s="1" t="s">
        <v>1170</v>
      </c>
      <c r="M374" s="1" t="s">
        <v>1197</v>
      </c>
      <c r="N374">
        <f>_xlfn.NUMBERVALUE(LEFT(Table11[[#This Row],[Score]],FIND("/",Table11[[#This Row],[Score]])-1))</f>
        <v>252</v>
      </c>
      <c r="O374">
        <f>IFERROR(_xlfn.NUMBERVALUE(LEFT(Table11[[#This Row],[Score2 ]],FIND("/",Table11[[#This Row],[Score2 ]])-1)),"")</f>
        <v>219</v>
      </c>
      <c r="P374" t="s">
        <v>140</v>
      </c>
      <c r="Q374" s="1" t="s">
        <v>145</v>
      </c>
      <c r="R374" t="str">
        <f>Table11[[#This Row],[Match]]&amp;" "&amp;Table11[[#This Row],[Over]]</f>
        <v>1 43</v>
      </c>
    </row>
    <row r="375" spans="1:18" x14ac:dyDescent="0.3">
      <c r="A375">
        <v>1</v>
      </c>
      <c r="B375" s="1">
        <v>44</v>
      </c>
      <c r="C375" s="1" t="s">
        <v>2188</v>
      </c>
      <c r="D375" s="1" t="s">
        <v>930</v>
      </c>
      <c r="E375" s="1" t="s">
        <v>1407</v>
      </c>
      <c r="F375" s="1" t="s">
        <v>952</v>
      </c>
      <c r="G375" s="1" t="s">
        <v>2189</v>
      </c>
      <c r="H375" s="1" t="s">
        <v>950</v>
      </c>
      <c r="I375" s="1" t="s">
        <v>2186</v>
      </c>
      <c r="J375" s="1" t="s">
        <v>976</v>
      </c>
      <c r="K375" s="1" t="s">
        <v>2190</v>
      </c>
      <c r="L375" s="1" t="s">
        <v>1127</v>
      </c>
      <c r="M375" s="1" t="s">
        <v>1205</v>
      </c>
      <c r="N375">
        <f>_xlfn.NUMBERVALUE(LEFT(Table11[[#This Row],[Score]],FIND("/",Table11[[#This Row],[Score]])-1))</f>
        <v>260</v>
      </c>
      <c r="O375">
        <f>IFERROR(_xlfn.NUMBERVALUE(LEFT(Table11[[#This Row],[Score2 ]],FIND("/",Table11[[#This Row],[Score2 ]])-1)),"")</f>
        <v>224</v>
      </c>
      <c r="P375" t="s">
        <v>140</v>
      </c>
      <c r="Q375" s="1" t="s">
        <v>145</v>
      </c>
      <c r="R375" t="str">
        <f>Table11[[#This Row],[Match]]&amp;" "&amp;Table11[[#This Row],[Over]]</f>
        <v>1 44</v>
      </c>
    </row>
    <row r="376" spans="1:18" x14ac:dyDescent="0.3">
      <c r="A376">
        <v>1</v>
      </c>
      <c r="B376" s="1">
        <v>45</v>
      </c>
      <c r="C376" s="1" t="s">
        <v>2191</v>
      </c>
      <c r="D376" s="1" t="s">
        <v>1095</v>
      </c>
      <c r="E376" s="1" t="s">
        <v>1019</v>
      </c>
      <c r="F376" s="1" t="s">
        <v>1405</v>
      </c>
      <c r="G376" s="1" t="s">
        <v>2192</v>
      </c>
      <c r="H376" s="1" t="s">
        <v>904</v>
      </c>
      <c r="I376" s="1" t="s">
        <v>2193</v>
      </c>
      <c r="J376" s="1" t="s">
        <v>977</v>
      </c>
      <c r="K376" s="1" t="s">
        <v>2194</v>
      </c>
      <c r="L376" s="1" t="s">
        <v>1182</v>
      </c>
      <c r="M376" s="1" t="s">
        <v>1211</v>
      </c>
      <c r="N376">
        <f>_xlfn.NUMBERVALUE(LEFT(Table11[[#This Row],[Score]],FIND("/",Table11[[#This Row],[Score]])-1))</f>
        <v>270</v>
      </c>
      <c r="O376">
        <f>IFERROR(_xlfn.NUMBERVALUE(LEFT(Table11[[#This Row],[Score2 ]],FIND("/",Table11[[#This Row],[Score2 ]])-1)),"")</f>
        <v>227</v>
      </c>
      <c r="P376" t="s">
        <v>140</v>
      </c>
      <c r="Q376" s="1" t="s">
        <v>145</v>
      </c>
      <c r="R376" t="str">
        <f>Table11[[#This Row],[Match]]&amp;" "&amp;Table11[[#This Row],[Over]]</f>
        <v>1 45</v>
      </c>
    </row>
    <row r="377" spans="1:18" x14ac:dyDescent="0.3">
      <c r="A377">
        <v>1</v>
      </c>
      <c r="B377" s="1">
        <v>46</v>
      </c>
      <c r="C377" s="1" t="s">
        <v>2195</v>
      </c>
      <c r="D377" s="1" t="s">
        <v>1566</v>
      </c>
      <c r="E377" s="1" t="s">
        <v>926</v>
      </c>
      <c r="F377" s="1" t="s">
        <v>1141</v>
      </c>
      <c r="G377" s="1" t="s">
        <v>2196</v>
      </c>
      <c r="H377" s="1" t="s">
        <v>950</v>
      </c>
      <c r="I377" s="1" t="s">
        <v>2193</v>
      </c>
      <c r="J377" s="1" t="s">
        <v>1259</v>
      </c>
      <c r="K377" s="1" t="s">
        <v>2197</v>
      </c>
      <c r="L377" s="1" t="s">
        <v>2198</v>
      </c>
      <c r="M377" s="1" t="s">
        <v>1216</v>
      </c>
      <c r="N377">
        <f>_xlfn.NUMBERVALUE(LEFT(Table11[[#This Row],[Score]],FIND("/",Table11[[#This Row],[Score]])-1))</f>
        <v>287</v>
      </c>
      <c r="O377">
        <f>IFERROR(_xlfn.NUMBERVALUE(LEFT(Table11[[#This Row],[Score2 ]],FIND("/",Table11[[#This Row],[Score2 ]])-1)),"")</f>
        <v>232</v>
      </c>
      <c r="P377" t="s">
        <v>140</v>
      </c>
      <c r="Q377" s="1" t="s">
        <v>145</v>
      </c>
      <c r="R377" t="str">
        <f>Table11[[#This Row],[Match]]&amp;" "&amp;Table11[[#This Row],[Over]]</f>
        <v>1 46</v>
      </c>
    </row>
    <row r="378" spans="1:18" x14ac:dyDescent="0.3">
      <c r="A378">
        <v>1</v>
      </c>
      <c r="B378" s="1">
        <v>47</v>
      </c>
      <c r="C378" s="1" t="s">
        <v>2199</v>
      </c>
      <c r="D378" s="1" t="s">
        <v>916</v>
      </c>
      <c r="E378" s="1" t="s">
        <v>1448</v>
      </c>
      <c r="F378" s="1" t="s">
        <v>1409</v>
      </c>
      <c r="G378" s="1" t="s">
        <v>2200</v>
      </c>
      <c r="H378" s="1" t="s">
        <v>1615</v>
      </c>
      <c r="I378" s="1" t="s">
        <v>1960</v>
      </c>
      <c r="J378" s="1" t="s">
        <v>2201</v>
      </c>
      <c r="K378" s="1" t="s">
        <v>2202</v>
      </c>
      <c r="L378" s="1" t="s">
        <v>1624</v>
      </c>
      <c r="M378" s="1" t="s">
        <v>1698</v>
      </c>
      <c r="N378">
        <f>_xlfn.NUMBERVALUE(LEFT(Table11[[#This Row],[Score]],FIND("/",Table11[[#This Row],[Score]])-1))</f>
        <v>294</v>
      </c>
      <c r="O378">
        <f>IFERROR(_xlfn.NUMBERVALUE(LEFT(Table11[[#This Row],[Score2 ]],FIND("/",Table11[[#This Row],[Score2 ]])-1)),"")</f>
        <v>233</v>
      </c>
      <c r="P378" t="s">
        <v>140</v>
      </c>
      <c r="Q378" s="1" t="s">
        <v>145</v>
      </c>
      <c r="R378" t="str">
        <f>Table11[[#This Row],[Match]]&amp;" "&amp;Table11[[#This Row],[Over]]</f>
        <v>1 47</v>
      </c>
    </row>
    <row r="379" spans="1:18" x14ac:dyDescent="0.3">
      <c r="A379">
        <v>1</v>
      </c>
      <c r="B379" s="1">
        <v>48</v>
      </c>
      <c r="C379" s="1" t="s">
        <v>2203</v>
      </c>
      <c r="D379" s="1" t="s">
        <v>1147</v>
      </c>
      <c r="E379" s="1" t="s">
        <v>1244</v>
      </c>
      <c r="F379" s="1" t="s">
        <v>2084</v>
      </c>
      <c r="N379">
        <f>_xlfn.NUMBERVALUE(LEFT(Table11[[#This Row],[Score]],FIND("/",Table11[[#This Row],[Score]])-1))</f>
        <v>309</v>
      </c>
      <c r="O379" t="str">
        <f>IFERROR(_xlfn.NUMBERVALUE(LEFT(Table11[[#This Row],[Score2 ]],FIND("/",Table11[[#This Row],[Score2 ]])-1)),"")</f>
        <v/>
      </c>
      <c r="P379" t="s">
        <v>140</v>
      </c>
      <c r="Q379" s="1" t="s">
        <v>145</v>
      </c>
      <c r="R379" t="str">
        <f>Table11[[#This Row],[Match]]&amp;" "&amp;Table11[[#This Row],[Over]]</f>
        <v>1 48</v>
      </c>
    </row>
    <row r="380" spans="1:18" x14ac:dyDescent="0.3">
      <c r="A380">
        <v>1</v>
      </c>
      <c r="B380" s="1">
        <v>49</v>
      </c>
      <c r="C380" s="1" t="s">
        <v>2204</v>
      </c>
      <c r="D380" s="1" t="s">
        <v>1095</v>
      </c>
      <c r="E380" s="1" t="s">
        <v>985</v>
      </c>
      <c r="F380" s="1" t="s">
        <v>2205</v>
      </c>
      <c r="N380">
        <f>_xlfn.NUMBERVALUE(LEFT(Table11[[#This Row],[Score]],FIND("/",Table11[[#This Row],[Score]])-1))</f>
        <v>319</v>
      </c>
      <c r="O380" t="str">
        <f>IFERROR(_xlfn.NUMBERVALUE(LEFT(Table11[[#This Row],[Score2 ]],FIND("/",Table11[[#This Row],[Score2 ]])-1)),"")</f>
        <v/>
      </c>
      <c r="P380" t="s">
        <v>140</v>
      </c>
      <c r="Q380" s="1" t="s">
        <v>145</v>
      </c>
      <c r="R380" t="str">
        <f>Table11[[#This Row],[Match]]&amp;" "&amp;Table11[[#This Row],[Over]]</f>
        <v>1 49</v>
      </c>
    </row>
    <row r="381" spans="1:18" x14ac:dyDescent="0.3">
      <c r="A381">
        <v>1</v>
      </c>
      <c r="B381" s="1">
        <v>50</v>
      </c>
      <c r="C381" s="1" t="s">
        <v>2206</v>
      </c>
      <c r="D381" s="1" t="s">
        <v>1103</v>
      </c>
      <c r="E381" s="1" t="s">
        <v>1738</v>
      </c>
      <c r="F381" s="1" t="s">
        <v>2207</v>
      </c>
      <c r="N381">
        <f>_xlfn.NUMBERVALUE(LEFT(Table11[[#This Row],[Score]],FIND("/",Table11[[#This Row],[Score]])-1))</f>
        <v>331</v>
      </c>
      <c r="O381" t="str">
        <f>IFERROR(_xlfn.NUMBERVALUE(LEFT(Table11[[#This Row],[Score2 ]],FIND("/",Table11[[#This Row],[Score2 ]])-1)),"")</f>
        <v/>
      </c>
      <c r="P381" t="s">
        <v>140</v>
      </c>
      <c r="Q381" s="1" t="s">
        <v>145</v>
      </c>
      <c r="R381" t="str">
        <f>Table11[[#This Row],[Match]]&amp;" "&amp;Table11[[#This Row],[Over]]</f>
        <v>1 50</v>
      </c>
    </row>
    <row r="382" spans="1:18" x14ac:dyDescent="0.3">
      <c r="A382">
        <v>2</v>
      </c>
      <c r="B382" s="1">
        <v>1</v>
      </c>
      <c r="C382" s="1" t="s">
        <v>1418</v>
      </c>
      <c r="D382" s="1" t="s">
        <v>904</v>
      </c>
      <c r="E382" s="1" t="s">
        <v>1238</v>
      </c>
      <c r="F382" s="1" t="s">
        <v>348</v>
      </c>
      <c r="G382" s="1" t="s">
        <v>1230</v>
      </c>
      <c r="H382" s="1" t="s">
        <v>1007</v>
      </c>
      <c r="I382" s="1" t="s">
        <v>1231</v>
      </c>
      <c r="J382" s="1" t="s">
        <v>348</v>
      </c>
      <c r="K382" s="1" t="s">
        <v>952</v>
      </c>
      <c r="L382" s="1" t="s">
        <v>2208</v>
      </c>
      <c r="M382" s="1" t="s">
        <v>902</v>
      </c>
      <c r="N382">
        <f>_xlfn.NUMBERVALUE(LEFT(Table11[[#This Row],[Score]],FIND("/",Table11[[#This Row],[Score]])-1))</f>
        <v>3</v>
      </c>
      <c r="O382">
        <f>IFERROR(_xlfn.NUMBERVALUE(LEFT(Table11[[#This Row],[Score2 ]],FIND("/",Table11[[#This Row],[Score2 ]])-1)),"")</f>
        <v>0</v>
      </c>
      <c r="P382" t="s">
        <v>149</v>
      </c>
      <c r="Q382" s="1" t="s">
        <v>154</v>
      </c>
      <c r="R382" t="str">
        <f>Table11[[#This Row],[Match]]&amp;" "&amp;Table11[[#This Row],[Over]]</f>
        <v>2 1</v>
      </c>
    </row>
    <row r="383" spans="1:18" x14ac:dyDescent="0.3">
      <c r="A383">
        <v>2</v>
      </c>
      <c r="B383" s="1">
        <v>2</v>
      </c>
      <c r="C383" s="1" t="s">
        <v>1232</v>
      </c>
      <c r="D383" s="1" t="s">
        <v>904</v>
      </c>
      <c r="E383" s="1" t="s">
        <v>1238</v>
      </c>
      <c r="F383" s="1" t="s">
        <v>348</v>
      </c>
      <c r="G383" s="1" t="s">
        <v>903</v>
      </c>
      <c r="H383" s="1" t="s">
        <v>950</v>
      </c>
      <c r="I383" s="1" t="s">
        <v>905</v>
      </c>
      <c r="J383" s="1" t="s">
        <v>348</v>
      </c>
      <c r="K383" s="1" t="s">
        <v>2097</v>
      </c>
      <c r="L383" s="1" t="s">
        <v>2209</v>
      </c>
      <c r="M383" s="1" t="s">
        <v>909</v>
      </c>
      <c r="N383">
        <f>_xlfn.NUMBERVALUE(LEFT(Table11[[#This Row],[Score]],FIND("/",Table11[[#This Row],[Score]])-1))</f>
        <v>6</v>
      </c>
      <c r="O383">
        <f>IFERROR(_xlfn.NUMBERVALUE(LEFT(Table11[[#This Row],[Score2 ]],FIND("/",Table11[[#This Row],[Score2 ]])-1)),"")</f>
        <v>5</v>
      </c>
      <c r="P383" t="s">
        <v>149</v>
      </c>
      <c r="Q383" s="1" t="s">
        <v>154</v>
      </c>
      <c r="R383" t="str">
        <f>Table11[[#This Row],[Match]]&amp;" "&amp;Table11[[#This Row],[Over]]</f>
        <v>2 2</v>
      </c>
    </row>
    <row r="384" spans="1:18" x14ac:dyDescent="0.3">
      <c r="A384">
        <v>2</v>
      </c>
      <c r="B384" s="1">
        <v>3</v>
      </c>
      <c r="C384" s="1" t="s">
        <v>1721</v>
      </c>
      <c r="D384" s="1" t="s">
        <v>898</v>
      </c>
      <c r="E384" s="1" t="s">
        <v>1642</v>
      </c>
      <c r="F384" s="1" t="s">
        <v>348</v>
      </c>
      <c r="G384" s="1" t="s">
        <v>1421</v>
      </c>
      <c r="H384" s="1" t="s">
        <v>950</v>
      </c>
      <c r="I384" s="1" t="s">
        <v>1265</v>
      </c>
      <c r="J384" s="1" t="s">
        <v>348</v>
      </c>
      <c r="K384" s="1" t="s">
        <v>2210</v>
      </c>
      <c r="L384" s="1" t="s">
        <v>2211</v>
      </c>
      <c r="M384" s="1" t="s">
        <v>920</v>
      </c>
      <c r="N384">
        <f>_xlfn.NUMBERVALUE(LEFT(Table11[[#This Row],[Score]],FIND("/",Table11[[#This Row],[Score]])-1))</f>
        <v>8</v>
      </c>
      <c r="O384">
        <f>IFERROR(_xlfn.NUMBERVALUE(LEFT(Table11[[#This Row],[Score2 ]],FIND("/",Table11[[#This Row],[Score2 ]])-1)),"")</f>
        <v>10</v>
      </c>
      <c r="P384" t="s">
        <v>149</v>
      </c>
      <c r="Q384" s="1" t="s">
        <v>154</v>
      </c>
      <c r="R384" t="str">
        <f>Table11[[#This Row],[Match]]&amp;" "&amp;Table11[[#This Row],[Over]]</f>
        <v>2 3</v>
      </c>
    </row>
    <row r="385" spans="1:18" x14ac:dyDescent="0.3">
      <c r="A385">
        <v>2</v>
      </c>
      <c r="B385" s="1">
        <v>4</v>
      </c>
      <c r="C385" s="1" t="s">
        <v>1730</v>
      </c>
      <c r="D385" s="1" t="s">
        <v>1147</v>
      </c>
      <c r="E385" s="1" t="s">
        <v>1601</v>
      </c>
      <c r="F385" s="1" t="s">
        <v>348</v>
      </c>
      <c r="G385" s="1" t="s">
        <v>938</v>
      </c>
      <c r="H385" s="1" t="s">
        <v>933</v>
      </c>
      <c r="I385" s="1" t="s">
        <v>1019</v>
      </c>
      <c r="J385" s="1" t="s">
        <v>348</v>
      </c>
      <c r="K385" s="1" t="s">
        <v>1036</v>
      </c>
      <c r="L385" s="1" t="s">
        <v>2087</v>
      </c>
      <c r="M385" s="1" t="s">
        <v>928</v>
      </c>
      <c r="N385">
        <f>_xlfn.NUMBERVALUE(LEFT(Table11[[#This Row],[Score]],FIND("/",Table11[[#This Row],[Score]])-1))</f>
        <v>23</v>
      </c>
      <c r="O385">
        <f>IFERROR(_xlfn.NUMBERVALUE(LEFT(Table11[[#This Row],[Score2 ]],FIND("/",Table11[[#This Row],[Score2 ]])-1)),"")</f>
        <v>24</v>
      </c>
      <c r="P385" t="s">
        <v>149</v>
      </c>
      <c r="Q385" s="1" t="s">
        <v>154</v>
      </c>
      <c r="R385" t="str">
        <f>Table11[[#This Row],[Match]]&amp;" "&amp;Table11[[#This Row],[Over]]</f>
        <v>2 4</v>
      </c>
    </row>
    <row r="386" spans="1:18" x14ac:dyDescent="0.3">
      <c r="A386">
        <v>2</v>
      </c>
      <c r="B386" s="1">
        <v>5</v>
      </c>
      <c r="C386" s="1" t="s">
        <v>1980</v>
      </c>
      <c r="D386" s="1" t="s">
        <v>1223</v>
      </c>
      <c r="E386" s="1" t="s">
        <v>1405</v>
      </c>
      <c r="F386" s="1" t="s">
        <v>1405</v>
      </c>
      <c r="G386" s="1" t="s">
        <v>1257</v>
      </c>
      <c r="H386" s="1" t="s">
        <v>950</v>
      </c>
      <c r="I386" s="1" t="s">
        <v>1013</v>
      </c>
      <c r="J386" s="1" t="s">
        <v>1013</v>
      </c>
      <c r="K386" s="1" t="s">
        <v>2212</v>
      </c>
      <c r="L386" s="1" t="s">
        <v>2213</v>
      </c>
      <c r="M386" s="1" t="s">
        <v>937</v>
      </c>
      <c r="N386">
        <f>_xlfn.NUMBERVALUE(LEFT(Table11[[#This Row],[Score]],FIND("/",Table11[[#This Row],[Score]])-1))</f>
        <v>41</v>
      </c>
      <c r="O386">
        <f>IFERROR(_xlfn.NUMBERVALUE(LEFT(Table11[[#This Row],[Score2 ]],FIND("/",Table11[[#This Row],[Score2 ]])-1)),"")</f>
        <v>29</v>
      </c>
      <c r="P386" t="s">
        <v>149</v>
      </c>
      <c r="Q386" s="1" t="s">
        <v>154</v>
      </c>
      <c r="R386" t="str">
        <f>Table11[[#This Row],[Match]]&amp;" "&amp;Table11[[#This Row],[Over]]</f>
        <v>2 5</v>
      </c>
    </row>
    <row r="387" spans="1:18" x14ac:dyDescent="0.3">
      <c r="A387">
        <v>2</v>
      </c>
      <c r="B387" s="1">
        <v>6</v>
      </c>
      <c r="C387" s="1" t="s">
        <v>1734</v>
      </c>
      <c r="D387" s="1" t="s">
        <v>922</v>
      </c>
      <c r="E387" s="1" t="s">
        <v>2214</v>
      </c>
      <c r="F387" s="1" t="s">
        <v>1154</v>
      </c>
      <c r="G387" s="1" t="s">
        <v>1269</v>
      </c>
      <c r="H387" s="1" t="s">
        <v>947</v>
      </c>
      <c r="I387" s="1" t="s">
        <v>1723</v>
      </c>
      <c r="J387" s="1" t="s">
        <v>1508</v>
      </c>
      <c r="K387" s="1" t="s">
        <v>1036</v>
      </c>
      <c r="L387" s="1" t="s">
        <v>2215</v>
      </c>
      <c r="M387" s="1" t="s">
        <v>945</v>
      </c>
      <c r="N387">
        <f>_xlfn.NUMBERVALUE(LEFT(Table11[[#This Row],[Score]],FIND("/",Table11[[#This Row],[Score]])-1))</f>
        <v>47</v>
      </c>
      <c r="O387">
        <f>IFERROR(_xlfn.NUMBERVALUE(LEFT(Table11[[#This Row],[Score2 ]],FIND("/",Table11[[#This Row],[Score2 ]])-1)),"")</f>
        <v>38</v>
      </c>
      <c r="P387" t="s">
        <v>149</v>
      </c>
      <c r="Q387" s="1" t="s">
        <v>154</v>
      </c>
      <c r="R387" t="str">
        <f>Table11[[#This Row],[Match]]&amp;" "&amp;Table11[[#This Row],[Over]]</f>
        <v>2 6</v>
      </c>
    </row>
    <row r="388" spans="1:18" x14ac:dyDescent="0.3">
      <c r="A388">
        <v>2</v>
      </c>
      <c r="B388" s="1">
        <v>7</v>
      </c>
      <c r="C388" s="1" t="s">
        <v>2108</v>
      </c>
      <c r="D388" s="1" t="s">
        <v>950</v>
      </c>
      <c r="E388" s="1" t="s">
        <v>2114</v>
      </c>
      <c r="F388" s="1" t="s">
        <v>1200</v>
      </c>
      <c r="G388" s="1" t="s">
        <v>2216</v>
      </c>
      <c r="H388" s="1" t="s">
        <v>904</v>
      </c>
      <c r="I388" s="1" t="s">
        <v>2217</v>
      </c>
      <c r="J388" s="1" t="s">
        <v>1116</v>
      </c>
      <c r="K388" s="1" t="s">
        <v>2102</v>
      </c>
      <c r="L388" s="1" t="s">
        <v>1234</v>
      </c>
      <c r="M388" s="1" t="s">
        <v>955</v>
      </c>
      <c r="N388">
        <f>_xlfn.NUMBERVALUE(LEFT(Table11[[#This Row],[Score]],FIND("/",Table11[[#This Row],[Score]])-1))</f>
        <v>52</v>
      </c>
      <c r="O388">
        <f>IFERROR(_xlfn.NUMBERVALUE(LEFT(Table11[[#This Row],[Score2 ]],FIND("/",Table11[[#This Row],[Score2 ]])-1)),"")</f>
        <v>41</v>
      </c>
      <c r="P388" t="s">
        <v>149</v>
      </c>
      <c r="Q388" s="1" t="s">
        <v>154</v>
      </c>
      <c r="R388" t="str">
        <f>Table11[[#This Row],[Match]]&amp;" "&amp;Table11[[#This Row],[Over]]</f>
        <v>2 7</v>
      </c>
    </row>
    <row r="389" spans="1:18" x14ac:dyDescent="0.3">
      <c r="A389">
        <v>2</v>
      </c>
      <c r="B389" s="1">
        <v>8</v>
      </c>
      <c r="C389" s="1" t="s">
        <v>2218</v>
      </c>
      <c r="D389" s="1" t="s">
        <v>950</v>
      </c>
      <c r="E389" s="1" t="s">
        <v>2219</v>
      </c>
      <c r="F389" s="1" t="s">
        <v>1141</v>
      </c>
      <c r="G389" s="1" t="s">
        <v>2220</v>
      </c>
      <c r="H389" s="1" t="s">
        <v>898</v>
      </c>
      <c r="I389" s="1" t="s">
        <v>1104</v>
      </c>
      <c r="J389" s="1" t="s">
        <v>960</v>
      </c>
      <c r="K389" s="1" t="s">
        <v>2221</v>
      </c>
      <c r="L389" s="1" t="s">
        <v>1969</v>
      </c>
      <c r="M389" s="1" t="s">
        <v>963</v>
      </c>
      <c r="N389">
        <f>_xlfn.NUMBERVALUE(LEFT(Table11[[#This Row],[Score]],FIND("/",Table11[[#This Row],[Score]])-1))</f>
        <v>57</v>
      </c>
      <c r="O389">
        <f>IFERROR(_xlfn.NUMBERVALUE(LEFT(Table11[[#This Row],[Score2 ]],FIND("/",Table11[[#This Row],[Score2 ]])-1)),"")</f>
        <v>43</v>
      </c>
      <c r="P389" t="s">
        <v>149</v>
      </c>
      <c r="Q389" s="1" t="s">
        <v>154</v>
      </c>
      <c r="R389" t="str">
        <f>Table11[[#This Row],[Match]]&amp;" "&amp;Table11[[#This Row],[Over]]</f>
        <v>2 8</v>
      </c>
    </row>
    <row r="390" spans="1:18" x14ac:dyDescent="0.3">
      <c r="A390">
        <v>2</v>
      </c>
      <c r="B390" s="1">
        <v>9</v>
      </c>
      <c r="C390" s="1" t="s">
        <v>2222</v>
      </c>
      <c r="D390" s="1" t="s">
        <v>904</v>
      </c>
      <c r="E390" s="1" t="s">
        <v>1260</v>
      </c>
      <c r="F390" s="1" t="s">
        <v>1068</v>
      </c>
      <c r="G390" s="1" t="s">
        <v>2223</v>
      </c>
      <c r="H390" s="1" t="s">
        <v>950</v>
      </c>
      <c r="I390" s="1" t="s">
        <v>2110</v>
      </c>
      <c r="J390" s="1" t="s">
        <v>1093</v>
      </c>
      <c r="K390" s="1" t="s">
        <v>2224</v>
      </c>
      <c r="L390" s="1" t="s">
        <v>2103</v>
      </c>
      <c r="M390" s="1" t="s">
        <v>973</v>
      </c>
      <c r="N390">
        <f>_xlfn.NUMBERVALUE(LEFT(Table11[[#This Row],[Score]],FIND("/",Table11[[#This Row],[Score]])-1))</f>
        <v>60</v>
      </c>
      <c r="O390">
        <f>IFERROR(_xlfn.NUMBERVALUE(LEFT(Table11[[#This Row],[Score2 ]],FIND("/",Table11[[#This Row],[Score2 ]])-1)),"")</f>
        <v>48</v>
      </c>
      <c r="P390" t="s">
        <v>149</v>
      </c>
      <c r="Q390" s="1" t="s">
        <v>154</v>
      </c>
      <c r="R390" t="str">
        <f>Table11[[#This Row],[Match]]&amp;" "&amp;Table11[[#This Row],[Over]]</f>
        <v>2 9</v>
      </c>
    </row>
    <row r="391" spans="1:18" x14ac:dyDescent="0.3">
      <c r="A391">
        <v>2</v>
      </c>
      <c r="B391" s="1">
        <v>10</v>
      </c>
      <c r="C391" s="1" t="s">
        <v>2225</v>
      </c>
      <c r="D391" s="1" t="s">
        <v>922</v>
      </c>
      <c r="E391" s="1" t="s">
        <v>960</v>
      </c>
      <c r="F391" s="1" t="s">
        <v>969</v>
      </c>
      <c r="G391" s="1" t="s">
        <v>1455</v>
      </c>
      <c r="H391" s="1" t="s">
        <v>898</v>
      </c>
      <c r="I391" s="1" t="s">
        <v>969</v>
      </c>
      <c r="J391" s="1" t="s">
        <v>931</v>
      </c>
      <c r="K391" s="1" t="s">
        <v>2226</v>
      </c>
      <c r="L391" s="1" t="s">
        <v>2227</v>
      </c>
      <c r="M391" s="1" t="s">
        <v>980</v>
      </c>
      <c r="N391">
        <f>_xlfn.NUMBERVALUE(LEFT(Table11[[#This Row],[Score]],FIND("/",Table11[[#This Row],[Score]])-1))</f>
        <v>66</v>
      </c>
      <c r="O391">
        <f>IFERROR(_xlfn.NUMBERVALUE(LEFT(Table11[[#This Row],[Score2 ]],FIND("/",Table11[[#This Row],[Score2 ]])-1)),"")</f>
        <v>50</v>
      </c>
      <c r="P391" t="s">
        <v>149</v>
      </c>
      <c r="Q391" s="1" t="s">
        <v>154</v>
      </c>
      <c r="R391" t="str">
        <f>Table11[[#This Row],[Match]]&amp;" "&amp;Table11[[#This Row],[Over]]</f>
        <v>2 10</v>
      </c>
    </row>
    <row r="392" spans="1:18" x14ac:dyDescent="0.3">
      <c r="A392">
        <v>2</v>
      </c>
      <c r="B392" s="1">
        <v>11</v>
      </c>
      <c r="C392" s="1" t="s">
        <v>1489</v>
      </c>
      <c r="D392" s="1" t="s">
        <v>922</v>
      </c>
      <c r="E392" s="1" t="s">
        <v>2228</v>
      </c>
      <c r="F392" s="1" t="s">
        <v>969</v>
      </c>
      <c r="G392" s="1" t="s">
        <v>1991</v>
      </c>
      <c r="H392" s="1" t="s">
        <v>998</v>
      </c>
      <c r="I392" s="1" t="s">
        <v>1045</v>
      </c>
      <c r="J392" s="1" t="s">
        <v>1259</v>
      </c>
      <c r="K392" s="1" t="s">
        <v>2229</v>
      </c>
      <c r="L392" s="1" t="s">
        <v>1252</v>
      </c>
      <c r="M392" s="1" t="s">
        <v>987</v>
      </c>
      <c r="N392">
        <f>_xlfn.NUMBERVALUE(LEFT(Table11[[#This Row],[Score]],FIND("/",Table11[[#This Row],[Score]])-1))</f>
        <v>72</v>
      </c>
      <c r="O392">
        <f>IFERROR(_xlfn.NUMBERVALUE(LEFT(Table11[[#This Row],[Score2 ]],FIND("/",Table11[[#This Row],[Score2 ]])-1)),"")</f>
        <v>54</v>
      </c>
      <c r="P392" t="s">
        <v>149</v>
      </c>
      <c r="Q392" s="1" t="s">
        <v>154</v>
      </c>
      <c r="R392" t="str">
        <f>Table11[[#This Row],[Match]]&amp;" "&amp;Table11[[#This Row],[Over]]</f>
        <v>2 11</v>
      </c>
    </row>
    <row r="393" spans="1:18" x14ac:dyDescent="0.3">
      <c r="A393">
        <v>2</v>
      </c>
      <c r="B393" s="1">
        <v>12</v>
      </c>
      <c r="C393" s="1" t="s">
        <v>2230</v>
      </c>
      <c r="D393" s="1" t="s">
        <v>950</v>
      </c>
      <c r="E393" s="1" t="s">
        <v>2231</v>
      </c>
      <c r="F393" s="1" t="s">
        <v>969</v>
      </c>
      <c r="G393" s="1" t="s">
        <v>2222</v>
      </c>
      <c r="H393" s="1" t="s">
        <v>922</v>
      </c>
      <c r="I393" s="1" t="s">
        <v>969</v>
      </c>
      <c r="J393" s="1" t="s">
        <v>990</v>
      </c>
      <c r="K393" s="1" t="s">
        <v>2232</v>
      </c>
      <c r="L393" s="1" t="s">
        <v>1972</v>
      </c>
      <c r="M393" s="1" t="s">
        <v>996</v>
      </c>
      <c r="N393">
        <f>_xlfn.NUMBERVALUE(LEFT(Table11[[#This Row],[Score]],FIND("/",Table11[[#This Row],[Score]])-1))</f>
        <v>77</v>
      </c>
      <c r="O393">
        <f>IFERROR(_xlfn.NUMBERVALUE(LEFT(Table11[[#This Row],[Score2 ]],FIND("/",Table11[[#This Row],[Score2 ]])-1)),"")</f>
        <v>60</v>
      </c>
      <c r="P393" t="s">
        <v>149</v>
      </c>
      <c r="Q393" s="1" t="s">
        <v>154</v>
      </c>
      <c r="R393" t="str">
        <f>Table11[[#This Row],[Match]]&amp;" "&amp;Table11[[#This Row],[Over]]</f>
        <v>2 12</v>
      </c>
    </row>
    <row r="394" spans="1:18" x14ac:dyDescent="0.3">
      <c r="A394">
        <v>2</v>
      </c>
      <c r="B394" s="1">
        <v>13</v>
      </c>
      <c r="C394" s="1" t="s">
        <v>2233</v>
      </c>
      <c r="D394" s="1" t="s">
        <v>998</v>
      </c>
      <c r="E394" s="1" t="s">
        <v>926</v>
      </c>
      <c r="F394" s="1" t="s">
        <v>1093</v>
      </c>
      <c r="G394" s="1" t="s">
        <v>1463</v>
      </c>
      <c r="H394" s="1" t="s">
        <v>950</v>
      </c>
      <c r="I394" s="1" t="s">
        <v>969</v>
      </c>
      <c r="J394" s="1" t="s">
        <v>940</v>
      </c>
      <c r="K394" s="1" t="s">
        <v>2234</v>
      </c>
      <c r="L394" s="1" t="s">
        <v>1267</v>
      </c>
      <c r="M394" s="1" t="s">
        <v>1004</v>
      </c>
      <c r="N394">
        <f>_xlfn.NUMBERVALUE(LEFT(Table11[[#This Row],[Score]],FIND("/",Table11[[#This Row],[Score]])-1))</f>
        <v>81</v>
      </c>
      <c r="O394">
        <f>IFERROR(_xlfn.NUMBERVALUE(LEFT(Table11[[#This Row],[Score2 ]],FIND("/",Table11[[#This Row],[Score2 ]])-1)),"")</f>
        <v>65</v>
      </c>
      <c r="P394" t="s">
        <v>149</v>
      </c>
      <c r="Q394" s="1" t="s">
        <v>154</v>
      </c>
      <c r="R394" t="str">
        <f>Table11[[#This Row],[Match]]&amp;" "&amp;Table11[[#This Row],[Over]]</f>
        <v>2 13</v>
      </c>
    </row>
    <row r="395" spans="1:18" x14ac:dyDescent="0.3">
      <c r="A395">
        <v>2</v>
      </c>
      <c r="B395" s="1">
        <v>14</v>
      </c>
      <c r="C395" s="1" t="s">
        <v>1486</v>
      </c>
      <c r="D395" s="1" t="s">
        <v>898</v>
      </c>
      <c r="E395" s="1" t="s">
        <v>2235</v>
      </c>
      <c r="F395" s="1" t="s">
        <v>976</v>
      </c>
      <c r="G395" s="1" t="s">
        <v>2236</v>
      </c>
      <c r="H395" s="1" t="s">
        <v>968</v>
      </c>
      <c r="I395" s="1" t="s">
        <v>948</v>
      </c>
      <c r="J395" s="1" t="s">
        <v>977</v>
      </c>
      <c r="K395" s="1" t="s">
        <v>1337</v>
      </c>
      <c r="L395" s="1" t="s">
        <v>2237</v>
      </c>
      <c r="M395" s="1" t="s">
        <v>1010</v>
      </c>
      <c r="N395">
        <f>_xlfn.NUMBERVALUE(LEFT(Table11[[#This Row],[Score]],FIND("/",Table11[[#This Row],[Score]])-1))</f>
        <v>83</v>
      </c>
      <c r="O395">
        <f>IFERROR(_xlfn.NUMBERVALUE(LEFT(Table11[[#This Row],[Score2 ]],FIND("/",Table11[[#This Row],[Score2 ]])-1)),"")</f>
        <v>66</v>
      </c>
      <c r="P395" t="s">
        <v>149</v>
      </c>
      <c r="Q395" s="1" t="s">
        <v>154</v>
      </c>
      <c r="R395" t="str">
        <f>Table11[[#This Row],[Match]]&amp;" "&amp;Table11[[#This Row],[Over]]</f>
        <v>2 14</v>
      </c>
    </row>
    <row r="396" spans="1:18" x14ac:dyDescent="0.3">
      <c r="A396">
        <v>2</v>
      </c>
      <c r="B396" s="1">
        <v>15</v>
      </c>
      <c r="C396" s="1" t="s">
        <v>2005</v>
      </c>
      <c r="D396" s="1" t="s">
        <v>904</v>
      </c>
      <c r="E396" s="1" t="s">
        <v>2143</v>
      </c>
      <c r="F396" s="1" t="s">
        <v>939</v>
      </c>
      <c r="G396" s="1" t="s">
        <v>1883</v>
      </c>
      <c r="H396" s="1" t="s">
        <v>968</v>
      </c>
      <c r="I396" s="1" t="s">
        <v>1001</v>
      </c>
      <c r="J396" s="1" t="s">
        <v>1247</v>
      </c>
      <c r="K396" s="1" t="s">
        <v>2013</v>
      </c>
      <c r="L396" s="1" t="s">
        <v>928</v>
      </c>
      <c r="M396" s="1" t="s">
        <v>1016</v>
      </c>
      <c r="N396">
        <f>_xlfn.NUMBERVALUE(LEFT(Table11[[#This Row],[Score]],FIND("/",Table11[[#This Row],[Score]])-1))</f>
        <v>86</v>
      </c>
      <c r="O396">
        <f>IFERROR(_xlfn.NUMBERVALUE(LEFT(Table11[[#This Row],[Score2 ]],FIND("/",Table11[[#This Row],[Score2 ]])-1)),"")</f>
        <v>67</v>
      </c>
      <c r="P396" t="s">
        <v>149</v>
      </c>
      <c r="Q396" s="1" t="s">
        <v>154</v>
      </c>
      <c r="R396" t="str">
        <f>Table11[[#This Row],[Match]]&amp;" "&amp;Table11[[#This Row],[Over]]</f>
        <v>2 15</v>
      </c>
    </row>
    <row r="397" spans="1:18" x14ac:dyDescent="0.3">
      <c r="A397">
        <v>2</v>
      </c>
      <c r="B397" s="1">
        <v>16</v>
      </c>
      <c r="C397" s="1" t="s">
        <v>2238</v>
      </c>
      <c r="D397" s="1" t="s">
        <v>916</v>
      </c>
      <c r="E397" s="1" t="s">
        <v>1420</v>
      </c>
      <c r="F397" s="1" t="s">
        <v>931</v>
      </c>
      <c r="G397" s="1" t="s">
        <v>2239</v>
      </c>
      <c r="H397" s="1" t="s">
        <v>904</v>
      </c>
      <c r="I397" s="1" t="s">
        <v>957</v>
      </c>
      <c r="J397" s="1" t="s">
        <v>1259</v>
      </c>
      <c r="K397" s="1" t="s">
        <v>2240</v>
      </c>
      <c r="L397" s="1" t="s">
        <v>936</v>
      </c>
      <c r="M397" s="1" t="s">
        <v>1024</v>
      </c>
      <c r="N397">
        <f>_xlfn.NUMBERVALUE(LEFT(Table11[[#This Row],[Score]],FIND("/",Table11[[#This Row],[Score]])-1))</f>
        <v>93</v>
      </c>
      <c r="O397">
        <f>IFERROR(_xlfn.NUMBERVALUE(LEFT(Table11[[#This Row],[Score2 ]],FIND("/",Table11[[#This Row],[Score2 ]])-1)),"")</f>
        <v>70</v>
      </c>
      <c r="P397" t="s">
        <v>149</v>
      </c>
      <c r="Q397" s="1" t="s">
        <v>154</v>
      </c>
      <c r="R397" t="str">
        <f>Table11[[#This Row],[Match]]&amp;" "&amp;Table11[[#This Row],[Over]]</f>
        <v>2 16</v>
      </c>
    </row>
    <row r="398" spans="1:18" x14ac:dyDescent="0.3">
      <c r="A398">
        <v>2</v>
      </c>
      <c r="B398" s="1">
        <v>17</v>
      </c>
      <c r="C398" s="1" t="s">
        <v>2241</v>
      </c>
      <c r="D398" s="1" t="s">
        <v>904</v>
      </c>
      <c r="E398" s="1" t="s">
        <v>2242</v>
      </c>
      <c r="F398" s="1" t="s">
        <v>990</v>
      </c>
      <c r="G398" s="1" t="s">
        <v>2243</v>
      </c>
      <c r="H398" s="1" t="s">
        <v>898</v>
      </c>
      <c r="I398" s="1" t="s">
        <v>1532</v>
      </c>
      <c r="J398" s="1" t="s">
        <v>1088</v>
      </c>
      <c r="K398" s="1" t="s">
        <v>2244</v>
      </c>
      <c r="L398" s="1" t="s">
        <v>2245</v>
      </c>
      <c r="M398" s="1" t="s">
        <v>1031</v>
      </c>
      <c r="N398">
        <f>_xlfn.NUMBERVALUE(LEFT(Table11[[#This Row],[Score]],FIND("/",Table11[[#This Row],[Score]])-1))</f>
        <v>96</v>
      </c>
      <c r="O398">
        <f>IFERROR(_xlfn.NUMBERVALUE(LEFT(Table11[[#This Row],[Score2 ]],FIND("/",Table11[[#This Row],[Score2 ]])-1)),"")</f>
        <v>72</v>
      </c>
      <c r="P398" t="s">
        <v>149</v>
      </c>
      <c r="Q398" s="1" t="s">
        <v>154</v>
      </c>
      <c r="R398" t="str">
        <f>Table11[[#This Row],[Match]]&amp;" "&amp;Table11[[#This Row],[Over]]</f>
        <v>2 17</v>
      </c>
    </row>
    <row r="399" spans="1:18" x14ac:dyDescent="0.3">
      <c r="A399">
        <v>2</v>
      </c>
      <c r="B399" s="1">
        <v>18</v>
      </c>
      <c r="C399" s="1" t="s">
        <v>2246</v>
      </c>
      <c r="D399" s="1" t="s">
        <v>922</v>
      </c>
      <c r="E399" s="1" t="s">
        <v>942</v>
      </c>
      <c r="F399" s="1" t="s">
        <v>931</v>
      </c>
      <c r="G399" s="1" t="s">
        <v>2247</v>
      </c>
      <c r="H399" s="1" t="s">
        <v>968</v>
      </c>
      <c r="I399" s="1" t="s">
        <v>1957</v>
      </c>
      <c r="J399" s="1" t="s">
        <v>1770</v>
      </c>
      <c r="K399" s="1" t="s">
        <v>2248</v>
      </c>
      <c r="L399" s="1" t="s">
        <v>937</v>
      </c>
      <c r="M399" s="1" t="s">
        <v>1037</v>
      </c>
      <c r="N399">
        <f>_xlfn.NUMBERVALUE(LEFT(Table11[[#This Row],[Score]],FIND("/",Table11[[#This Row],[Score]])-1))</f>
        <v>102</v>
      </c>
      <c r="O399">
        <f>IFERROR(_xlfn.NUMBERVALUE(LEFT(Table11[[#This Row],[Score2 ]],FIND("/",Table11[[#This Row],[Score2 ]])-1)),"")</f>
        <v>73</v>
      </c>
      <c r="P399" t="s">
        <v>149</v>
      </c>
      <c r="Q399" s="1" t="s">
        <v>154</v>
      </c>
      <c r="R399" t="str">
        <f>Table11[[#This Row],[Match]]&amp;" "&amp;Table11[[#This Row],[Over]]</f>
        <v>2 18</v>
      </c>
    </row>
    <row r="400" spans="1:18" x14ac:dyDescent="0.3">
      <c r="A400">
        <v>2</v>
      </c>
      <c r="B400" s="1">
        <v>19</v>
      </c>
      <c r="C400" s="1" t="s">
        <v>2249</v>
      </c>
      <c r="D400" s="1" t="s">
        <v>898</v>
      </c>
      <c r="E400" s="1" t="s">
        <v>2070</v>
      </c>
      <c r="F400" s="1" t="s">
        <v>931</v>
      </c>
      <c r="G400" s="1" t="s">
        <v>2250</v>
      </c>
      <c r="H400" s="1" t="s">
        <v>922</v>
      </c>
      <c r="I400" s="1" t="s">
        <v>1303</v>
      </c>
      <c r="J400" s="1" t="s">
        <v>984</v>
      </c>
      <c r="K400" s="1" t="s">
        <v>2251</v>
      </c>
      <c r="L400" s="1" t="s">
        <v>945</v>
      </c>
      <c r="M400" s="1" t="s">
        <v>1043</v>
      </c>
      <c r="N400">
        <f>_xlfn.NUMBERVALUE(LEFT(Table11[[#This Row],[Score]],FIND("/",Table11[[#This Row],[Score]])-1))</f>
        <v>104</v>
      </c>
      <c r="O400">
        <f>IFERROR(_xlfn.NUMBERVALUE(LEFT(Table11[[#This Row],[Score2 ]],FIND("/",Table11[[#This Row],[Score2 ]])-1)),"")</f>
        <v>79</v>
      </c>
      <c r="P400" t="s">
        <v>149</v>
      </c>
      <c r="Q400" s="1" t="s">
        <v>154</v>
      </c>
      <c r="R400" t="str">
        <f>Table11[[#This Row],[Match]]&amp;" "&amp;Table11[[#This Row],[Over]]</f>
        <v>2 19</v>
      </c>
    </row>
    <row r="401" spans="1:18" x14ac:dyDescent="0.3">
      <c r="A401">
        <v>2</v>
      </c>
      <c r="B401" s="1">
        <v>20</v>
      </c>
      <c r="C401" s="1" t="s">
        <v>2252</v>
      </c>
      <c r="D401" s="1" t="s">
        <v>968</v>
      </c>
      <c r="E401" s="1" t="s">
        <v>1722</v>
      </c>
      <c r="F401" s="1" t="s">
        <v>990</v>
      </c>
      <c r="G401" s="1" t="s">
        <v>2253</v>
      </c>
      <c r="H401" s="1" t="s">
        <v>898</v>
      </c>
      <c r="I401" s="1" t="s">
        <v>1957</v>
      </c>
      <c r="J401" s="1" t="s">
        <v>993</v>
      </c>
      <c r="K401" s="1" t="s">
        <v>2024</v>
      </c>
      <c r="L401" s="1" t="s">
        <v>954</v>
      </c>
      <c r="M401" s="1" t="s">
        <v>1049</v>
      </c>
      <c r="N401">
        <f>_xlfn.NUMBERVALUE(LEFT(Table11[[#This Row],[Score]],FIND("/",Table11[[#This Row],[Score]])-1))</f>
        <v>105</v>
      </c>
      <c r="O401">
        <f>IFERROR(_xlfn.NUMBERVALUE(LEFT(Table11[[#This Row],[Score2 ]],FIND("/",Table11[[#This Row],[Score2 ]])-1)),"")</f>
        <v>81</v>
      </c>
      <c r="P401" t="s">
        <v>149</v>
      </c>
      <c r="Q401" s="1" t="s">
        <v>154</v>
      </c>
      <c r="R401" t="str">
        <f>Table11[[#This Row],[Match]]&amp;" "&amp;Table11[[#This Row],[Over]]</f>
        <v>2 20</v>
      </c>
    </row>
    <row r="402" spans="1:18" x14ac:dyDescent="0.3">
      <c r="A402">
        <v>2</v>
      </c>
      <c r="B402" s="1">
        <v>21</v>
      </c>
      <c r="C402" s="1" t="s">
        <v>2254</v>
      </c>
      <c r="D402" s="1" t="s">
        <v>898</v>
      </c>
      <c r="E402" s="1" t="s">
        <v>2186</v>
      </c>
      <c r="F402" s="1" t="s">
        <v>993</v>
      </c>
      <c r="G402" s="1" t="s">
        <v>2255</v>
      </c>
      <c r="H402" s="1" t="s">
        <v>1095</v>
      </c>
      <c r="I402" s="1" t="s">
        <v>989</v>
      </c>
      <c r="J402" s="1" t="s">
        <v>931</v>
      </c>
      <c r="K402" s="1" t="s">
        <v>2256</v>
      </c>
      <c r="L402" s="1" t="s">
        <v>963</v>
      </c>
      <c r="M402" s="1" t="s">
        <v>1056</v>
      </c>
      <c r="N402">
        <f>_xlfn.NUMBERVALUE(LEFT(Table11[[#This Row],[Score]],FIND("/",Table11[[#This Row],[Score]])-1))</f>
        <v>107</v>
      </c>
      <c r="O402">
        <f>IFERROR(_xlfn.NUMBERVALUE(LEFT(Table11[[#This Row],[Score2 ]],FIND("/",Table11[[#This Row],[Score2 ]])-1)),"")</f>
        <v>91</v>
      </c>
      <c r="P402" t="s">
        <v>149</v>
      </c>
      <c r="Q402" s="1" t="s">
        <v>154</v>
      </c>
      <c r="R402" t="str">
        <f>Table11[[#This Row],[Match]]&amp;" "&amp;Table11[[#This Row],[Over]]</f>
        <v>2 21</v>
      </c>
    </row>
    <row r="403" spans="1:18" x14ac:dyDescent="0.3">
      <c r="A403">
        <v>2</v>
      </c>
      <c r="B403" s="1">
        <v>22</v>
      </c>
      <c r="C403" s="1" t="s">
        <v>1510</v>
      </c>
      <c r="D403" s="1" t="s">
        <v>1095</v>
      </c>
      <c r="E403" s="1" t="s">
        <v>2257</v>
      </c>
      <c r="F403" s="1" t="s">
        <v>931</v>
      </c>
      <c r="G403" s="1" t="s">
        <v>2258</v>
      </c>
      <c r="H403" s="1" t="s">
        <v>904</v>
      </c>
      <c r="I403" s="1" t="s">
        <v>983</v>
      </c>
      <c r="J403" s="1" t="s">
        <v>940</v>
      </c>
      <c r="K403" s="1" t="s">
        <v>2259</v>
      </c>
      <c r="L403" s="1" t="s">
        <v>1992</v>
      </c>
      <c r="M403" s="1" t="s">
        <v>1063</v>
      </c>
      <c r="N403">
        <f>_xlfn.NUMBERVALUE(LEFT(Table11[[#This Row],[Score]],FIND("/",Table11[[#This Row],[Score]])-1))</f>
        <v>117</v>
      </c>
      <c r="O403">
        <f>IFERROR(_xlfn.NUMBERVALUE(LEFT(Table11[[#This Row],[Score2 ]],FIND("/",Table11[[#This Row],[Score2 ]])-1)),"")</f>
        <v>94</v>
      </c>
      <c r="P403" t="s">
        <v>149</v>
      </c>
      <c r="Q403" s="1" t="s">
        <v>154</v>
      </c>
      <c r="R403" t="str">
        <f>Table11[[#This Row],[Match]]&amp;" "&amp;Table11[[#This Row],[Over]]</f>
        <v>2 22</v>
      </c>
    </row>
    <row r="404" spans="1:18" x14ac:dyDescent="0.3">
      <c r="A404">
        <v>2</v>
      </c>
      <c r="B404" s="1">
        <v>23</v>
      </c>
      <c r="C404" s="1" t="s">
        <v>1520</v>
      </c>
      <c r="D404" s="1" t="s">
        <v>930</v>
      </c>
      <c r="E404" s="1" t="s">
        <v>2135</v>
      </c>
      <c r="F404" s="1" t="s">
        <v>976</v>
      </c>
      <c r="G404" s="1" t="s">
        <v>2260</v>
      </c>
      <c r="H404" s="1" t="s">
        <v>950</v>
      </c>
      <c r="I404" s="1" t="s">
        <v>999</v>
      </c>
      <c r="J404" s="1" t="s">
        <v>1029</v>
      </c>
      <c r="K404" s="1" t="s">
        <v>2261</v>
      </c>
      <c r="L404" s="1" t="s">
        <v>1449</v>
      </c>
      <c r="M404" s="1" t="s">
        <v>1070</v>
      </c>
      <c r="N404">
        <f>_xlfn.NUMBERVALUE(LEFT(Table11[[#This Row],[Score]],FIND("/",Table11[[#This Row],[Score]])-1))</f>
        <v>125</v>
      </c>
      <c r="O404">
        <f>IFERROR(_xlfn.NUMBERVALUE(LEFT(Table11[[#This Row],[Score2 ]],FIND("/",Table11[[#This Row],[Score2 ]])-1)),"")</f>
        <v>99</v>
      </c>
      <c r="P404" t="s">
        <v>149</v>
      </c>
      <c r="Q404" s="1" t="s">
        <v>154</v>
      </c>
      <c r="R404" t="str">
        <f>Table11[[#This Row],[Match]]&amp;" "&amp;Table11[[#This Row],[Over]]</f>
        <v>2 23</v>
      </c>
    </row>
    <row r="405" spans="1:18" x14ac:dyDescent="0.3">
      <c r="A405">
        <v>2</v>
      </c>
      <c r="B405" s="1">
        <v>24</v>
      </c>
      <c r="C405" s="1" t="s">
        <v>2262</v>
      </c>
      <c r="D405" s="1" t="s">
        <v>998</v>
      </c>
      <c r="E405" s="1" t="s">
        <v>1104</v>
      </c>
      <c r="F405" s="1" t="s">
        <v>969</v>
      </c>
      <c r="G405" s="1" t="s">
        <v>2263</v>
      </c>
      <c r="H405" s="1" t="s">
        <v>930</v>
      </c>
      <c r="I405" s="1" t="s">
        <v>1060</v>
      </c>
      <c r="J405" s="1" t="s">
        <v>934</v>
      </c>
      <c r="K405" s="1" t="s">
        <v>1558</v>
      </c>
      <c r="L405" s="1" t="s">
        <v>2264</v>
      </c>
      <c r="M405" s="1" t="s">
        <v>1077</v>
      </c>
      <c r="N405">
        <f>_xlfn.NUMBERVALUE(LEFT(Table11[[#This Row],[Score]],FIND("/",Table11[[#This Row],[Score]])-1))</f>
        <v>129</v>
      </c>
      <c r="O405">
        <f>IFERROR(_xlfn.NUMBERVALUE(LEFT(Table11[[#This Row],[Score2 ]],FIND("/",Table11[[#This Row],[Score2 ]])-1)),"")</f>
        <v>107</v>
      </c>
      <c r="P405" t="s">
        <v>149</v>
      </c>
      <c r="Q405" s="1" t="s">
        <v>154</v>
      </c>
      <c r="R405" t="str">
        <f>Table11[[#This Row],[Match]]&amp;" "&amp;Table11[[#This Row],[Over]]</f>
        <v>2 24</v>
      </c>
    </row>
    <row r="406" spans="1:18" x14ac:dyDescent="0.3">
      <c r="A406">
        <v>2</v>
      </c>
      <c r="B406" s="1">
        <v>25</v>
      </c>
      <c r="C406" s="1" t="s">
        <v>2265</v>
      </c>
      <c r="D406" s="1" t="s">
        <v>1051</v>
      </c>
      <c r="E406" s="1" t="s">
        <v>934</v>
      </c>
      <c r="F406" s="1" t="s">
        <v>952</v>
      </c>
      <c r="G406" s="1" t="s">
        <v>2266</v>
      </c>
      <c r="H406" s="1" t="s">
        <v>922</v>
      </c>
      <c r="I406" s="1" t="s">
        <v>1552</v>
      </c>
      <c r="J406" s="1" t="s">
        <v>943</v>
      </c>
      <c r="K406" s="1" t="s">
        <v>1200</v>
      </c>
      <c r="L406" s="1" t="s">
        <v>1460</v>
      </c>
      <c r="M406" s="1" t="s">
        <v>1083</v>
      </c>
      <c r="N406">
        <f>_xlfn.NUMBERVALUE(LEFT(Table11[[#This Row],[Score]],FIND("/",Table11[[#This Row],[Score]])-1))</f>
        <v>140</v>
      </c>
      <c r="O406">
        <f>IFERROR(_xlfn.NUMBERVALUE(LEFT(Table11[[#This Row],[Score2 ]],FIND("/",Table11[[#This Row],[Score2 ]])-1)),"")</f>
        <v>113</v>
      </c>
      <c r="P406" t="s">
        <v>149</v>
      </c>
      <c r="Q406" s="1" t="s">
        <v>154</v>
      </c>
      <c r="R406" t="str">
        <f>Table11[[#This Row],[Match]]&amp;" "&amp;Table11[[#This Row],[Over]]</f>
        <v>2 25</v>
      </c>
    </row>
    <row r="407" spans="1:18" x14ac:dyDescent="0.3">
      <c r="A407">
        <v>2</v>
      </c>
      <c r="B407" s="1">
        <v>26</v>
      </c>
      <c r="C407" s="1" t="s">
        <v>1813</v>
      </c>
      <c r="D407" s="1" t="s">
        <v>922</v>
      </c>
      <c r="E407" s="1" t="s">
        <v>1752</v>
      </c>
      <c r="F407" s="1" t="s">
        <v>1168</v>
      </c>
      <c r="G407" s="1" t="s">
        <v>2267</v>
      </c>
      <c r="H407" s="1" t="s">
        <v>898</v>
      </c>
      <c r="I407" s="1" t="s">
        <v>1006</v>
      </c>
      <c r="J407" s="1" t="s">
        <v>1093</v>
      </c>
      <c r="K407" s="1" t="s">
        <v>1136</v>
      </c>
      <c r="L407" s="1" t="s">
        <v>996</v>
      </c>
      <c r="M407" s="1" t="s">
        <v>1090</v>
      </c>
      <c r="N407">
        <f>_xlfn.NUMBERVALUE(LEFT(Table11[[#This Row],[Score]],FIND("/",Table11[[#This Row],[Score]])-1))</f>
        <v>146</v>
      </c>
      <c r="O407">
        <f>IFERROR(_xlfn.NUMBERVALUE(LEFT(Table11[[#This Row],[Score2 ]],FIND("/",Table11[[#This Row],[Score2 ]])-1)),"")</f>
        <v>115</v>
      </c>
      <c r="P407" t="s">
        <v>149</v>
      </c>
      <c r="Q407" s="1" t="s">
        <v>154</v>
      </c>
      <c r="R407" t="str">
        <f>Table11[[#This Row],[Match]]&amp;" "&amp;Table11[[#This Row],[Over]]</f>
        <v>2 26</v>
      </c>
    </row>
    <row r="408" spans="1:18" x14ac:dyDescent="0.3">
      <c r="A408">
        <v>2</v>
      </c>
      <c r="B408" s="1">
        <v>27</v>
      </c>
      <c r="C408" s="1" t="s">
        <v>2038</v>
      </c>
      <c r="D408" s="1" t="s">
        <v>922</v>
      </c>
      <c r="E408" s="1" t="s">
        <v>2268</v>
      </c>
      <c r="F408" s="1" t="s">
        <v>952</v>
      </c>
      <c r="G408" s="1" t="s">
        <v>2269</v>
      </c>
      <c r="H408" s="1" t="s">
        <v>947</v>
      </c>
      <c r="I408" s="1" t="s">
        <v>1557</v>
      </c>
      <c r="J408" s="1" t="s">
        <v>1019</v>
      </c>
      <c r="K408" s="1" t="s">
        <v>1131</v>
      </c>
      <c r="L408" s="1" t="s">
        <v>1470</v>
      </c>
      <c r="M408" s="1" t="s">
        <v>1098</v>
      </c>
      <c r="N408">
        <f>_xlfn.NUMBERVALUE(LEFT(Table11[[#This Row],[Score]],FIND("/",Table11[[#This Row],[Score]])-1))</f>
        <v>152</v>
      </c>
      <c r="O408">
        <f>IFERROR(_xlfn.NUMBERVALUE(LEFT(Table11[[#This Row],[Score2 ]],FIND("/",Table11[[#This Row],[Score2 ]])-1)),"")</f>
        <v>124</v>
      </c>
      <c r="P408" t="s">
        <v>149</v>
      </c>
      <c r="Q408" s="1" t="s">
        <v>154</v>
      </c>
      <c r="R408" t="str">
        <f>Table11[[#This Row],[Match]]&amp;" "&amp;Table11[[#This Row],[Over]]</f>
        <v>2 27</v>
      </c>
    </row>
    <row r="409" spans="1:18" x14ac:dyDescent="0.3">
      <c r="A409">
        <v>2</v>
      </c>
      <c r="B409" s="1">
        <v>28</v>
      </c>
      <c r="C409" s="1" t="s">
        <v>1816</v>
      </c>
      <c r="D409" s="1" t="s">
        <v>998</v>
      </c>
      <c r="E409" s="1" t="s">
        <v>951</v>
      </c>
      <c r="F409" s="1" t="s">
        <v>970</v>
      </c>
      <c r="G409" s="1" t="s">
        <v>2270</v>
      </c>
      <c r="H409" s="1" t="s">
        <v>916</v>
      </c>
      <c r="I409" s="1" t="s">
        <v>1747</v>
      </c>
      <c r="J409" s="1" t="s">
        <v>943</v>
      </c>
      <c r="K409" s="1" t="s">
        <v>2271</v>
      </c>
      <c r="L409" s="1" t="s">
        <v>2016</v>
      </c>
      <c r="M409" s="1" t="s">
        <v>1101</v>
      </c>
      <c r="N409">
        <f>_xlfn.NUMBERVALUE(LEFT(Table11[[#This Row],[Score]],FIND("/",Table11[[#This Row],[Score]])-1))</f>
        <v>156</v>
      </c>
      <c r="O409">
        <f>IFERROR(_xlfn.NUMBERVALUE(LEFT(Table11[[#This Row],[Score2 ]],FIND("/",Table11[[#This Row],[Score2 ]])-1)),"")</f>
        <v>131</v>
      </c>
      <c r="P409" t="s">
        <v>149</v>
      </c>
      <c r="Q409" s="1" t="s">
        <v>154</v>
      </c>
      <c r="R409" t="str">
        <f>Table11[[#This Row],[Match]]&amp;" "&amp;Table11[[#This Row],[Over]]</f>
        <v>2 28</v>
      </c>
    </row>
    <row r="410" spans="1:18" x14ac:dyDescent="0.3">
      <c r="A410">
        <v>2</v>
      </c>
      <c r="B410" s="1">
        <v>29</v>
      </c>
      <c r="C410" s="1" t="s">
        <v>2272</v>
      </c>
      <c r="D410" s="1" t="s">
        <v>898</v>
      </c>
      <c r="E410" s="1" t="s">
        <v>1145</v>
      </c>
      <c r="F410" s="1" t="s">
        <v>1013</v>
      </c>
      <c r="G410" s="1" t="s">
        <v>2273</v>
      </c>
      <c r="H410" s="1" t="s">
        <v>1095</v>
      </c>
      <c r="I410" s="1" t="s">
        <v>1312</v>
      </c>
      <c r="J410" s="1" t="s">
        <v>1053</v>
      </c>
      <c r="K410" s="1" t="s">
        <v>2274</v>
      </c>
      <c r="L410" s="1" t="s">
        <v>2275</v>
      </c>
      <c r="M410" s="1" t="s">
        <v>1108</v>
      </c>
      <c r="N410">
        <f>_xlfn.NUMBERVALUE(LEFT(Table11[[#This Row],[Score]],FIND("/",Table11[[#This Row],[Score]])-1))</f>
        <v>158</v>
      </c>
      <c r="O410">
        <f>IFERROR(_xlfn.NUMBERVALUE(LEFT(Table11[[#This Row],[Score2 ]],FIND("/",Table11[[#This Row],[Score2 ]])-1)),"")</f>
        <v>141</v>
      </c>
      <c r="P410" t="s">
        <v>149</v>
      </c>
      <c r="Q410" s="1" t="s">
        <v>154</v>
      </c>
      <c r="R410" t="str">
        <f>Table11[[#This Row],[Match]]&amp;" "&amp;Table11[[#This Row],[Over]]</f>
        <v>2 29</v>
      </c>
    </row>
    <row r="411" spans="1:18" x14ac:dyDescent="0.3">
      <c r="A411">
        <v>2</v>
      </c>
      <c r="B411" s="1">
        <v>30</v>
      </c>
      <c r="C411" s="1" t="s">
        <v>2276</v>
      </c>
      <c r="D411" s="1" t="s">
        <v>904</v>
      </c>
      <c r="E411" s="1" t="s">
        <v>1652</v>
      </c>
      <c r="F411" s="1" t="s">
        <v>931</v>
      </c>
      <c r="G411" s="1" t="s">
        <v>1934</v>
      </c>
      <c r="H411" s="1" t="s">
        <v>1103</v>
      </c>
      <c r="I411" s="1" t="s">
        <v>1835</v>
      </c>
      <c r="J411" s="1" t="s">
        <v>1089</v>
      </c>
      <c r="K411" s="1" t="s">
        <v>1136</v>
      </c>
      <c r="L411" s="1" t="s">
        <v>1509</v>
      </c>
      <c r="M411" s="1" t="s">
        <v>1113</v>
      </c>
      <c r="N411">
        <f>_xlfn.NUMBERVALUE(LEFT(Table11[[#This Row],[Score]],FIND("/",Table11[[#This Row],[Score]])-1))</f>
        <v>161</v>
      </c>
      <c r="O411">
        <f>IFERROR(_xlfn.NUMBERVALUE(LEFT(Table11[[#This Row],[Score2 ]],FIND("/",Table11[[#This Row],[Score2 ]])-1)),"")</f>
        <v>153</v>
      </c>
      <c r="P411" t="s">
        <v>149</v>
      </c>
      <c r="Q411" s="1" t="s">
        <v>154</v>
      </c>
      <c r="R411" t="str">
        <f>Table11[[#This Row],[Match]]&amp;" "&amp;Table11[[#This Row],[Over]]</f>
        <v>2 30</v>
      </c>
    </row>
    <row r="412" spans="1:18" x14ac:dyDescent="0.3">
      <c r="A412">
        <v>2</v>
      </c>
      <c r="B412" s="1">
        <v>31</v>
      </c>
      <c r="C412" s="1" t="s">
        <v>2277</v>
      </c>
      <c r="D412" s="1" t="s">
        <v>1051</v>
      </c>
      <c r="E412" s="1" t="s">
        <v>2139</v>
      </c>
      <c r="F412" s="1" t="s">
        <v>1029</v>
      </c>
      <c r="G412" s="1" t="s">
        <v>2278</v>
      </c>
      <c r="H412" s="1" t="s">
        <v>998</v>
      </c>
      <c r="I412" s="1" t="s">
        <v>2279</v>
      </c>
      <c r="J412" s="1" t="s">
        <v>1335</v>
      </c>
      <c r="K412" s="1" t="s">
        <v>2280</v>
      </c>
      <c r="L412" s="1" t="s">
        <v>1043</v>
      </c>
      <c r="M412" s="1" t="s">
        <v>1121</v>
      </c>
      <c r="N412">
        <f>_xlfn.NUMBERVALUE(LEFT(Table11[[#This Row],[Score]],FIND("/",Table11[[#This Row],[Score]])-1))</f>
        <v>172</v>
      </c>
      <c r="O412">
        <f>IFERROR(_xlfn.NUMBERVALUE(LEFT(Table11[[#This Row],[Score2 ]],FIND("/",Table11[[#This Row],[Score2 ]])-1)),"")</f>
        <v>157</v>
      </c>
      <c r="P412" t="s">
        <v>149</v>
      </c>
      <c r="Q412" s="1" t="s">
        <v>154</v>
      </c>
      <c r="R412" t="str">
        <f>Table11[[#This Row],[Match]]&amp;" "&amp;Table11[[#This Row],[Over]]</f>
        <v>2 31</v>
      </c>
    </row>
    <row r="413" spans="1:18" x14ac:dyDescent="0.3">
      <c r="A413">
        <v>2</v>
      </c>
      <c r="B413" s="1">
        <v>32</v>
      </c>
      <c r="C413" s="1" t="s">
        <v>2281</v>
      </c>
      <c r="D413" s="1" t="s">
        <v>998</v>
      </c>
      <c r="E413" s="1" t="s">
        <v>959</v>
      </c>
      <c r="F413" s="1" t="s">
        <v>1093</v>
      </c>
      <c r="G413" s="1" t="s">
        <v>2048</v>
      </c>
      <c r="H413" s="1" t="s">
        <v>898</v>
      </c>
      <c r="I413" s="1" t="s">
        <v>2282</v>
      </c>
      <c r="J413" s="1" t="s">
        <v>952</v>
      </c>
      <c r="K413" s="1" t="s">
        <v>2034</v>
      </c>
      <c r="L413" s="1" t="s">
        <v>1519</v>
      </c>
      <c r="M413" s="1" t="s">
        <v>1127</v>
      </c>
      <c r="N413">
        <f>_xlfn.NUMBERVALUE(LEFT(Table11[[#This Row],[Score]],FIND("/",Table11[[#This Row],[Score]])-1))</f>
        <v>176</v>
      </c>
      <c r="O413">
        <f>IFERROR(_xlfn.NUMBERVALUE(LEFT(Table11[[#This Row],[Score2 ]],FIND("/",Table11[[#This Row],[Score2 ]])-1)),"")</f>
        <v>159</v>
      </c>
      <c r="P413" t="s">
        <v>149</v>
      </c>
      <c r="Q413" s="1" t="s">
        <v>154</v>
      </c>
      <c r="R413" t="str">
        <f>Table11[[#This Row],[Match]]&amp;" "&amp;Table11[[#This Row],[Over]]</f>
        <v>2 32</v>
      </c>
    </row>
    <row r="414" spans="1:18" x14ac:dyDescent="0.3">
      <c r="A414">
        <v>2</v>
      </c>
      <c r="B414" s="1">
        <v>33</v>
      </c>
      <c r="C414" s="1" t="s">
        <v>2283</v>
      </c>
      <c r="D414" s="1" t="s">
        <v>904</v>
      </c>
      <c r="E414" s="1" t="s">
        <v>1158</v>
      </c>
      <c r="F414" s="1" t="s">
        <v>976</v>
      </c>
      <c r="G414" s="1" t="s">
        <v>2284</v>
      </c>
      <c r="H414" s="1" t="s">
        <v>998</v>
      </c>
      <c r="I414" s="1" t="s">
        <v>1351</v>
      </c>
      <c r="J414" s="1" t="s">
        <v>943</v>
      </c>
      <c r="K414" s="1" t="s">
        <v>2285</v>
      </c>
      <c r="L414" s="1" t="s">
        <v>1049</v>
      </c>
      <c r="M414" s="1" t="s">
        <v>1132</v>
      </c>
      <c r="N414">
        <f>_xlfn.NUMBERVALUE(LEFT(Table11[[#This Row],[Score]],FIND("/",Table11[[#This Row],[Score]])-1))</f>
        <v>179</v>
      </c>
      <c r="O414">
        <f>IFERROR(_xlfn.NUMBERVALUE(LEFT(Table11[[#This Row],[Score2 ]],FIND("/",Table11[[#This Row],[Score2 ]])-1)),"")</f>
        <v>163</v>
      </c>
      <c r="P414" t="s">
        <v>149</v>
      </c>
      <c r="Q414" s="1" t="s">
        <v>154</v>
      </c>
      <c r="R414" t="str">
        <f>Table11[[#This Row],[Match]]&amp;" "&amp;Table11[[#This Row],[Over]]</f>
        <v>2 33</v>
      </c>
    </row>
    <row r="415" spans="1:18" x14ac:dyDescent="0.3">
      <c r="A415">
        <v>2</v>
      </c>
      <c r="B415" s="1">
        <v>34</v>
      </c>
      <c r="C415" s="1" t="s">
        <v>2286</v>
      </c>
      <c r="D415" s="1" t="s">
        <v>947</v>
      </c>
      <c r="E415" s="1" t="s">
        <v>1677</v>
      </c>
      <c r="F415" s="1" t="s">
        <v>1019</v>
      </c>
      <c r="G415" s="1" t="s">
        <v>2287</v>
      </c>
      <c r="H415" s="1" t="s">
        <v>1390</v>
      </c>
      <c r="I415" s="1" t="s">
        <v>1573</v>
      </c>
      <c r="J415" s="1" t="s">
        <v>952</v>
      </c>
      <c r="K415" s="1" t="s">
        <v>2288</v>
      </c>
      <c r="L415" s="1" t="s">
        <v>1120</v>
      </c>
      <c r="M415" s="1" t="s">
        <v>1138</v>
      </c>
      <c r="N415">
        <f>_xlfn.NUMBERVALUE(LEFT(Table11[[#This Row],[Score]],FIND("/",Table11[[#This Row],[Score]])-1))</f>
        <v>188</v>
      </c>
      <c r="O415">
        <f>IFERROR(_xlfn.NUMBERVALUE(LEFT(Table11[[#This Row],[Score2 ]],FIND("/",Table11[[#This Row],[Score2 ]])-1)),"")</f>
        <v>176</v>
      </c>
      <c r="P415" t="s">
        <v>149</v>
      </c>
      <c r="Q415" s="1" t="s">
        <v>154</v>
      </c>
      <c r="R415" t="str">
        <f>Table11[[#This Row],[Match]]&amp;" "&amp;Table11[[#This Row],[Over]]</f>
        <v>2 34</v>
      </c>
    </row>
    <row r="416" spans="1:18" x14ac:dyDescent="0.3">
      <c r="A416">
        <v>2</v>
      </c>
      <c r="B416" s="1">
        <v>35</v>
      </c>
      <c r="C416" s="1" t="s">
        <v>1834</v>
      </c>
      <c r="D416" s="1" t="s">
        <v>922</v>
      </c>
      <c r="E416" s="1" t="s">
        <v>2139</v>
      </c>
      <c r="F416" s="1" t="s">
        <v>960</v>
      </c>
      <c r="G416" s="1" t="s">
        <v>2289</v>
      </c>
      <c r="H416" s="1" t="s">
        <v>930</v>
      </c>
      <c r="I416" s="1" t="s">
        <v>1722</v>
      </c>
      <c r="J416" s="1" t="s">
        <v>970</v>
      </c>
      <c r="K416" s="1" t="s">
        <v>1568</v>
      </c>
      <c r="L416" s="1" t="s">
        <v>2290</v>
      </c>
      <c r="M416" s="1" t="s">
        <v>1143</v>
      </c>
      <c r="N416">
        <f>_xlfn.NUMBERVALUE(LEFT(Table11[[#This Row],[Score]],FIND("/",Table11[[#This Row],[Score]])-1))</f>
        <v>194</v>
      </c>
      <c r="O416">
        <f>IFERROR(_xlfn.NUMBERVALUE(LEFT(Table11[[#This Row],[Score2 ]],FIND("/",Table11[[#This Row],[Score2 ]])-1)),"")</f>
        <v>184</v>
      </c>
      <c r="P416" t="s">
        <v>149</v>
      </c>
      <c r="Q416" s="1" t="s">
        <v>154</v>
      </c>
      <c r="R416" t="str">
        <f>Table11[[#This Row],[Match]]&amp;" "&amp;Table11[[#This Row],[Over]]</f>
        <v>2 35</v>
      </c>
    </row>
    <row r="417" spans="1:18" x14ac:dyDescent="0.3">
      <c r="A417">
        <v>2</v>
      </c>
      <c r="B417" s="1">
        <v>36</v>
      </c>
      <c r="C417" s="1" t="s">
        <v>2291</v>
      </c>
      <c r="D417" s="1" t="s">
        <v>1511</v>
      </c>
      <c r="E417" s="1" t="s">
        <v>1404</v>
      </c>
      <c r="F417" s="1" t="s">
        <v>1508</v>
      </c>
      <c r="G417" s="1" t="s">
        <v>1173</v>
      </c>
      <c r="H417" s="1" t="s">
        <v>1095</v>
      </c>
      <c r="I417" s="1" t="s">
        <v>1732</v>
      </c>
      <c r="J417" s="1" t="s">
        <v>1068</v>
      </c>
      <c r="K417" s="1" t="s">
        <v>2160</v>
      </c>
      <c r="L417" s="1" t="s">
        <v>2161</v>
      </c>
      <c r="M417" s="1" t="s">
        <v>1150</v>
      </c>
      <c r="N417">
        <f>_xlfn.NUMBERVALUE(LEFT(Table11[[#This Row],[Score]],FIND("/",Table11[[#This Row],[Score]])-1))</f>
        <v>210</v>
      </c>
      <c r="O417">
        <f>IFERROR(_xlfn.NUMBERVALUE(LEFT(Table11[[#This Row],[Score2 ]],FIND("/",Table11[[#This Row],[Score2 ]])-1)),"")</f>
        <v>194</v>
      </c>
      <c r="P417" t="s">
        <v>149</v>
      </c>
      <c r="Q417" s="1" t="s">
        <v>154</v>
      </c>
      <c r="R417" t="str">
        <f>Table11[[#This Row],[Match]]&amp;" "&amp;Table11[[#This Row],[Over]]</f>
        <v>2 36</v>
      </c>
    </row>
    <row r="418" spans="1:18" x14ac:dyDescent="0.3">
      <c r="A418">
        <v>2</v>
      </c>
      <c r="B418" s="1">
        <v>37</v>
      </c>
      <c r="C418" s="1" t="s">
        <v>2292</v>
      </c>
      <c r="D418" s="1" t="s">
        <v>947</v>
      </c>
      <c r="E418" s="1" t="s">
        <v>1422</v>
      </c>
      <c r="F418" s="1" t="s">
        <v>1414</v>
      </c>
      <c r="G418" s="1" t="s">
        <v>2293</v>
      </c>
      <c r="H418" s="1" t="s">
        <v>968</v>
      </c>
      <c r="I418" s="1" t="s">
        <v>1593</v>
      </c>
      <c r="J418" s="1" t="s">
        <v>1116</v>
      </c>
      <c r="K418" s="1" t="s">
        <v>2294</v>
      </c>
      <c r="L418" s="1" t="s">
        <v>2295</v>
      </c>
      <c r="M418" s="1" t="s">
        <v>1156</v>
      </c>
      <c r="N418">
        <f>_xlfn.NUMBERVALUE(LEFT(Table11[[#This Row],[Score]],FIND("/",Table11[[#This Row],[Score]])-1))</f>
        <v>219</v>
      </c>
      <c r="O418">
        <f>IFERROR(_xlfn.NUMBERVALUE(LEFT(Table11[[#This Row],[Score2 ]],FIND("/",Table11[[#This Row],[Score2 ]])-1)),"")</f>
        <v>195</v>
      </c>
      <c r="P418" t="s">
        <v>149</v>
      </c>
      <c r="Q418" s="1" t="s">
        <v>154</v>
      </c>
      <c r="R418" t="str">
        <f>Table11[[#This Row],[Match]]&amp;" "&amp;Table11[[#This Row],[Over]]</f>
        <v>2 37</v>
      </c>
    </row>
    <row r="419" spans="1:18" x14ac:dyDescent="0.3">
      <c r="A419">
        <v>2</v>
      </c>
      <c r="B419" s="1">
        <v>38</v>
      </c>
      <c r="C419" s="1" t="s">
        <v>2296</v>
      </c>
      <c r="D419" s="1" t="s">
        <v>947</v>
      </c>
      <c r="E419" s="1" t="s">
        <v>1019</v>
      </c>
      <c r="F419" s="1" t="s">
        <v>1141</v>
      </c>
      <c r="G419" s="1" t="s">
        <v>2297</v>
      </c>
      <c r="H419" s="1" t="s">
        <v>1095</v>
      </c>
      <c r="I419" s="1" t="s">
        <v>2298</v>
      </c>
      <c r="J419" s="1" t="s">
        <v>1335</v>
      </c>
      <c r="K419" s="1" t="s">
        <v>2299</v>
      </c>
      <c r="L419" s="1" t="s">
        <v>1098</v>
      </c>
      <c r="M419" s="1" t="s">
        <v>1164</v>
      </c>
      <c r="N419">
        <f>_xlfn.NUMBERVALUE(LEFT(Table11[[#This Row],[Score]],FIND("/",Table11[[#This Row],[Score]])-1))</f>
        <v>228</v>
      </c>
      <c r="O419">
        <f>IFERROR(_xlfn.NUMBERVALUE(LEFT(Table11[[#This Row],[Score2 ]],FIND("/",Table11[[#This Row],[Score2 ]])-1)),"")</f>
        <v>205</v>
      </c>
      <c r="P419" t="s">
        <v>149</v>
      </c>
      <c r="Q419" s="1" t="s">
        <v>154</v>
      </c>
      <c r="R419" t="str">
        <f>Table11[[#This Row],[Match]]&amp;" "&amp;Table11[[#This Row],[Over]]</f>
        <v>2 38</v>
      </c>
    </row>
    <row r="420" spans="1:18" x14ac:dyDescent="0.3">
      <c r="A420">
        <v>2</v>
      </c>
      <c r="B420" s="1">
        <v>39</v>
      </c>
      <c r="C420" s="1" t="s">
        <v>2300</v>
      </c>
      <c r="D420" s="1" t="s">
        <v>898</v>
      </c>
      <c r="E420" s="1" t="s">
        <v>2081</v>
      </c>
      <c r="F420" s="1" t="s">
        <v>1335</v>
      </c>
      <c r="G420" s="1" t="s">
        <v>2181</v>
      </c>
      <c r="H420" s="1" t="s">
        <v>1390</v>
      </c>
      <c r="I420" s="1" t="s">
        <v>1134</v>
      </c>
      <c r="J420" s="1" t="s">
        <v>1335</v>
      </c>
      <c r="K420" s="1" t="s">
        <v>2301</v>
      </c>
      <c r="L420" s="1" t="s">
        <v>1554</v>
      </c>
      <c r="M420" s="1" t="s">
        <v>1171</v>
      </c>
      <c r="N420">
        <f>_xlfn.NUMBERVALUE(LEFT(Table11[[#This Row],[Score]],FIND("/",Table11[[#This Row],[Score]])-1))</f>
        <v>230</v>
      </c>
      <c r="O420">
        <f>IFERROR(_xlfn.NUMBERVALUE(LEFT(Table11[[#This Row],[Score2 ]],FIND("/",Table11[[#This Row],[Score2 ]])-1)),"")</f>
        <v>218</v>
      </c>
      <c r="P420" t="s">
        <v>149</v>
      </c>
      <c r="Q420" s="1" t="s">
        <v>154</v>
      </c>
      <c r="R420" t="str">
        <f>Table11[[#This Row],[Match]]&amp;" "&amp;Table11[[#This Row],[Over]]</f>
        <v>2 39</v>
      </c>
    </row>
    <row r="421" spans="1:18" x14ac:dyDescent="0.3">
      <c r="A421">
        <v>2</v>
      </c>
      <c r="B421" s="1">
        <v>40</v>
      </c>
      <c r="C421" s="1" t="s">
        <v>2302</v>
      </c>
      <c r="D421" s="1" t="s">
        <v>916</v>
      </c>
      <c r="E421" s="1" t="s">
        <v>2235</v>
      </c>
      <c r="F421" s="1" t="s">
        <v>1414</v>
      </c>
      <c r="G421" s="1" t="s">
        <v>2303</v>
      </c>
      <c r="H421" s="1" t="s">
        <v>904</v>
      </c>
      <c r="I421" s="1" t="s">
        <v>1677</v>
      </c>
      <c r="J421" s="1" t="s">
        <v>1068</v>
      </c>
      <c r="K421" s="1" t="s">
        <v>2207</v>
      </c>
      <c r="L421" s="1" t="s">
        <v>2304</v>
      </c>
      <c r="M421" s="1" t="s">
        <v>1177</v>
      </c>
      <c r="N421">
        <f>_xlfn.NUMBERVALUE(LEFT(Table11[[#This Row],[Score]],FIND("/",Table11[[#This Row],[Score]])-1))</f>
        <v>237</v>
      </c>
      <c r="O421">
        <f>IFERROR(_xlfn.NUMBERVALUE(LEFT(Table11[[#This Row],[Score2 ]],FIND("/",Table11[[#This Row],[Score2 ]])-1)),"")</f>
        <v>221</v>
      </c>
      <c r="P421" t="s">
        <v>149</v>
      </c>
      <c r="Q421" s="1" t="s">
        <v>154</v>
      </c>
      <c r="R421" t="str">
        <f>Table11[[#This Row],[Match]]&amp;" "&amp;Table11[[#This Row],[Over]]</f>
        <v>2 40</v>
      </c>
    </row>
    <row r="422" spans="1:18" x14ac:dyDescent="0.3">
      <c r="A422">
        <v>2</v>
      </c>
      <c r="B422" s="1">
        <v>41</v>
      </c>
      <c r="C422" s="1" t="s">
        <v>2305</v>
      </c>
      <c r="D422" s="1" t="s">
        <v>904</v>
      </c>
      <c r="E422" s="1" t="s">
        <v>2217</v>
      </c>
      <c r="F422" s="1" t="s">
        <v>1019</v>
      </c>
      <c r="G422" s="1" t="s">
        <v>2306</v>
      </c>
      <c r="H422" s="1" t="s">
        <v>998</v>
      </c>
      <c r="I422" s="1" t="s">
        <v>1115</v>
      </c>
      <c r="J422" s="1" t="s">
        <v>970</v>
      </c>
      <c r="K422" s="1" t="s">
        <v>2307</v>
      </c>
      <c r="L422" s="1" t="s">
        <v>1559</v>
      </c>
      <c r="M422" s="1" t="s">
        <v>1183</v>
      </c>
      <c r="N422">
        <f>_xlfn.NUMBERVALUE(LEFT(Table11[[#This Row],[Score]],FIND("/",Table11[[#This Row],[Score]])-1))</f>
        <v>240</v>
      </c>
      <c r="O422">
        <f>IFERROR(_xlfn.NUMBERVALUE(LEFT(Table11[[#This Row],[Score2 ]],FIND("/",Table11[[#This Row],[Score2 ]])-1)),"")</f>
        <v>225</v>
      </c>
      <c r="P422" t="s">
        <v>149</v>
      </c>
      <c r="Q422" s="1" t="s">
        <v>154</v>
      </c>
      <c r="R422" t="str">
        <f>Table11[[#This Row],[Match]]&amp;" "&amp;Table11[[#This Row],[Over]]</f>
        <v>2 41</v>
      </c>
    </row>
    <row r="423" spans="1:18" x14ac:dyDescent="0.3">
      <c r="A423">
        <v>2</v>
      </c>
      <c r="B423" s="1">
        <v>42</v>
      </c>
      <c r="C423" s="1" t="s">
        <v>2308</v>
      </c>
      <c r="D423" s="1" t="s">
        <v>1095</v>
      </c>
      <c r="E423" s="1" t="s">
        <v>1428</v>
      </c>
      <c r="F423" s="1" t="s">
        <v>970</v>
      </c>
      <c r="G423" s="1" t="s">
        <v>2309</v>
      </c>
      <c r="H423" s="1" t="s">
        <v>1830</v>
      </c>
      <c r="I423" s="1" t="s">
        <v>1689</v>
      </c>
      <c r="J423" s="1" t="s">
        <v>2310</v>
      </c>
      <c r="K423" s="1" t="s">
        <v>2311</v>
      </c>
      <c r="L423" s="1" t="s">
        <v>2312</v>
      </c>
      <c r="M423" s="1" t="s">
        <v>2313</v>
      </c>
      <c r="N423">
        <f>_xlfn.NUMBERVALUE(LEFT(Table11[[#This Row],[Score]],FIND("/",Table11[[#This Row],[Score]])-1))</f>
        <v>250</v>
      </c>
      <c r="O423">
        <f>IFERROR(_xlfn.NUMBERVALUE(LEFT(Table11[[#This Row],[Score2 ]],FIND("/",Table11[[#This Row],[Score2 ]])-1)),"")</f>
        <v>231</v>
      </c>
      <c r="P423" t="s">
        <v>149</v>
      </c>
      <c r="Q423" s="1" t="s">
        <v>154</v>
      </c>
      <c r="R423" t="str">
        <f>Table11[[#This Row],[Match]]&amp;" "&amp;Table11[[#This Row],[Over]]</f>
        <v>2 42</v>
      </c>
    </row>
    <row r="424" spans="1:18" x14ac:dyDescent="0.3">
      <c r="A424">
        <v>2</v>
      </c>
      <c r="B424" s="1">
        <v>43</v>
      </c>
      <c r="C424" s="1" t="s">
        <v>2314</v>
      </c>
      <c r="D424" s="1" t="s">
        <v>930</v>
      </c>
      <c r="E424" s="1" t="s">
        <v>1019</v>
      </c>
      <c r="F424" s="1" t="s">
        <v>1019</v>
      </c>
      <c r="N424">
        <f>_xlfn.NUMBERVALUE(LEFT(Table11[[#This Row],[Score]],FIND("/",Table11[[#This Row],[Score]])-1))</f>
        <v>258</v>
      </c>
      <c r="O424" t="str">
        <f>IFERROR(_xlfn.NUMBERVALUE(LEFT(Table11[[#This Row],[Score2 ]],FIND("/",Table11[[#This Row],[Score2 ]])-1)),"")</f>
        <v/>
      </c>
      <c r="P424" t="s">
        <v>149</v>
      </c>
      <c r="Q424" s="1" t="s">
        <v>154</v>
      </c>
      <c r="R424" t="str">
        <f>Table11[[#This Row],[Match]]&amp;" "&amp;Table11[[#This Row],[Over]]</f>
        <v>2 43</v>
      </c>
    </row>
    <row r="425" spans="1:18" x14ac:dyDescent="0.3">
      <c r="A425">
        <v>2</v>
      </c>
      <c r="B425" s="1">
        <v>44</v>
      </c>
      <c r="C425" s="1" t="s">
        <v>2315</v>
      </c>
      <c r="D425" s="1" t="s">
        <v>930</v>
      </c>
      <c r="E425" s="1" t="s">
        <v>1228</v>
      </c>
      <c r="F425" s="1" t="s">
        <v>1116</v>
      </c>
      <c r="N425">
        <f>_xlfn.NUMBERVALUE(LEFT(Table11[[#This Row],[Score]],FIND("/",Table11[[#This Row],[Score]])-1))</f>
        <v>266</v>
      </c>
      <c r="O425" t="str">
        <f>IFERROR(_xlfn.NUMBERVALUE(LEFT(Table11[[#This Row],[Score2 ]],FIND("/",Table11[[#This Row],[Score2 ]])-1)),"")</f>
        <v/>
      </c>
      <c r="P425" t="s">
        <v>149</v>
      </c>
      <c r="Q425" s="1" t="s">
        <v>154</v>
      </c>
      <c r="R425" t="str">
        <f>Table11[[#This Row],[Match]]&amp;" "&amp;Table11[[#This Row],[Over]]</f>
        <v>2 44</v>
      </c>
    </row>
    <row r="426" spans="1:18" x14ac:dyDescent="0.3">
      <c r="A426">
        <v>2</v>
      </c>
      <c r="B426" s="1">
        <v>45</v>
      </c>
      <c r="C426" s="1" t="s">
        <v>2316</v>
      </c>
      <c r="D426" s="1" t="s">
        <v>1147</v>
      </c>
      <c r="E426" s="1" t="s">
        <v>971</v>
      </c>
      <c r="F426" s="1" t="s">
        <v>1154</v>
      </c>
      <c r="N426">
        <f>_xlfn.NUMBERVALUE(LEFT(Table11[[#This Row],[Score]],FIND("/",Table11[[#This Row],[Score]])-1))</f>
        <v>281</v>
      </c>
      <c r="O426" t="str">
        <f>IFERROR(_xlfn.NUMBERVALUE(LEFT(Table11[[#This Row],[Score2 ]],FIND("/",Table11[[#This Row],[Score2 ]])-1)),"")</f>
        <v/>
      </c>
      <c r="P426" t="s">
        <v>149</v>
      </c>
      <c r="Q426" s="1" t="s">
        <v>154</v>
      </c>
      <c r="R426" t="str">
        <f>Table11[[#This Row],[Match]]&amp;" "&amp;Table11[[#This Row],[Over]]</f>
        <v>2 45</v>
      </c>
    </row>
    <row r="427" spans="1:18" x14ac:dyDescent="0.3">
      <c r="A427">
        <v>2</v>
      </c>
      <c r="B427" s="1">
        <v>46</v>
      </c>
      <c r="C427" s="1" t="s">
        <v>2317</v>
      </c>
      <c r="D427" s="1" t="s">
        <v>1223</v>
      </c>
      <c r="E427" s="1" t="s">
        <v>1729</v>
      </c>
      <c r="F427" s="1" t="s">
        <v>2205</v>
      </c>
      <c r="N427">
        <f>_xlfn.NUMBERVALUE(LEFT(Table11[[#This Row],[Score]],FIND("/",Table11[[#This Row],[Score]])-1))</f>
        <v>299</v>
      </c>
      <c r="O427" t="str">
        <f>IFERROR(_xlfn.NUMBERVALUE(LEFT(Table11[[#This Row],[Score2 ]],FIND("/",Table11[[#This Row],[Score2 ]])-1)),"")</f>
        <v/>
      </c>
      <c r="P427" t="s">
        <v>149</v>
      </c>
      <c r="Q427" s="1" t="s">
        <v>154</v>
      </c>
      <c r="R427" t="str">
        <f>Table11[[#This Row],[Match]]&amp;" "&amp;Table11[[#This Row],[Over]]</f>
        <v>2 46</v>
      </c>
    </row>
    <row r="428" spans="1:18" x14ac:dyDescent="0.3">
      <c r="A428">
        <v>2</v>
      </c>
      <c r="B428" s="1">
        <v>47</v>
      </c>
      <c r="C428" s="1" t="s">
        <v>2318</v>
      </c>
      <c r="D428" s="1" t="s">
        <v>1051</v>
      </c>
      <c r="E428" s="1" t="s">
        <v>2319</v>
      </c>
      <c r="F428" s="1" t="s">
        <v>2320</v>
      </c>
      <c r="N428">
        <f>_xlfn.NUMBERVALUE(LEFT(Table11[[#This Row],[Score]],FIND("/",Table11[[#This Row],[Score]])-1))</f>
        <v>310</v>
      </c>
      <c r="O428" t="str">
        <f>IFERROR(_xlfn.NUMBERVALUE(LEFT(Table11[[#This Row],[Score2 ]],FIND("/",Table11[[#This Row],[Score2 ]])-1)),"")</f>
        <v/>
      </c>
      <c r="P428" t="s">
        <v>149</v>
      </c>
      <c r="Q428" s="1" t="s">
        <v>154</v>
      </c>
      <c r="R428" t="str">
        <f>Table11[[#This Row],[Match]]&amp;" "&amp;Table11[[#This Row],[Over]]</f>
        <v>2 47</v>
      </c>
    </row>
    <row r="429" spans="1:18" x14ac:dyDescent="0.3">
      <c r="A429">
        <v>2</v>
      </c>
      <c r="B429" s="1">
        <v>48</v>
      </c>
      <c r="C429" s="1" t="s">
        <v>2321</v>
      </c>
      <c r="D429" s="1" t="s">
        <v>1051</v>
      </c>
      <c r="E429" s="1" t="s">
        <v>1015</v>
      </c>
      <c r="F429" s="1" t="s">
        <v>2322</v>
      </c>
      <c r="N429">
        <f>_xlfn.NUMBERVALUE(LEFT(Table11[[#This Row],[Score]],FIND("/",Table11[[#This Row],[Score]])-1))</f>
        <v>321</v>
      </c>
      <c r="O429" t="str">
        <f>IFERROR(_xlfn.NUMBERVALUE(LEFT(Table11[[#This Row],[Score2 ]],FIND("/",Table11[[#This Row],[Score2 ]])-1)),"")</f>
        <v/>
      </c>
      <c r="P429" t="s">
        <v>149</v>
      </c>
      <c r="Q429" s="1" t="s">
        <v>154</v>
      </c>
      <c r="R429" t="str">
        <f>Table11[[#This Row],[Match]]&amp;" "&amp;Table11[[#This Row],[Over]]</f>
        <v>2 48</v>
      </c>
    </row>
    <row r="430" spans="1:18" x14ac:dyDescent="0.3">
      <c r="A430">
        <v>2</v>
      </c>
      <c r="B430" s="1">
        <v>49</v>
      </c>
      <c r="C430" s="1" t="s">
        <v>2323</v>
      </c>
      <c r="D430" s="1" t="s">
        <v>1390</v>
      </c>
      <c r="E430" s="1" t="s">
        <v>1815</v>
      </c>
      <c r="F430" s="1" t="s">
        <v>1585</v>
      </c>
      <c r="N430">
        <f>_xlfn.NUMBERVALUE(LEFT(Table11[[#This Row],[Score]],FIND("/",Table11[[#This Row],[Score]])-1))</f>
        <v>334</v>
      </c>
      <c r="O430" t="str">
        <f>IFERROR(_xlfn.NUMBERVALUE(LEFT(Table11[[#This Row],[Score2 ]],FIND("/",Table11[[#This Row],[Score2 ]])-1)),"")</f>
        <v/>
      </c>
      <c r="P430" t="s">
        <v>149</v>
      </c>
      <c r="Q430" s="1" t="s">
        <v>154</v>
      </c>
      <c r="R430" t="str">
        <f>Table11[[#This Row],[Match]]&amp;" "&amp;Table11[[#This Row],[Over]]</f>
        <v>2 49</v>
      </c>
    </row>
    <row r="431" spans="1:18" x14ac:dyDescent="0.3">
      <c r="A431">
        <v>2</v>
      </c>
      <c r="B431" s="1">
        <v>50</v>
      </c>
      <c r="C431" s="1" t="s">
        <v>2324</v>
      </c>
      <c r="D431" s="1" t="s">
        <v>930</v>
      </c>
      <c r="E431" s="1" t="s">
        <v>1795</v>
      </c>
      <c r="F431" s="1" t="s">
        <v>2207</v>
      </c>
      <c r="N431">
        <f>_xlfn.NUMBERVALUE(LEFT(Table11[[#This Row],[Score]],FIND("/",Table11[[#This Row],[Score]])-1))</f>
        <v>342</v>
      </c>
      <c r="O431" t="str">
        <f>IFERROR(_xlfn.NUMBERVALUE(LEFT(Table11[[#This Row],[Score2 ]],FIND("/",Table11[[#This Row],[Score2 ]])-1)),"")</f>
        <v/>
      </c>
      <c r="P431" t="s">
        <v>149</v>
      </c>
      <c r="Q431" s="1" t="s">
        <v>154</v>
      </c>
      <c r="R431" t="str">
        <f>Table11[[#This Row],[Match]]&amp;" "&amp;Table11[[#This Row],[Over]]</f>
        <v>2 50</v>
      </c>
    </row>
    <row r="432" spans="1:18" x14ac:dyDescent="0.3">
      <c r="A432">
        <v>3</v>
      </c>
      <c r="B432" s="1">
        <v>1</v>
      </c>
      <c r="C432" s="1" t="s">
        <v>1230</v>
      </c>
      <c r="D432" s="1" t="s">
        <v>1007</v>
      </c>
      <c r="E432" s="1" t="s">
        <v>1231</v>
      </c>
      <c r="F432" s="1" t="s">
        <v>348</v>
      </c>
      <c r="G432" s="1" t="s">
        <v>1232</v>
      </c>
      <c r="H432" s="1" t="s">
        <v>922</v>
      </c>
      <c r="I432" s="1" t="s">
        <v>1019</v>
      </c>
      <c r="J432" s="1" t="s">
        <v>348</v>
      </c>
      <c r="K432" s="1" t="s">
        <v>1815</v>
      </c>
      <c r="L432" s="1" t="s">
        <v>2325</v>
      </c>
      <c r="M432" s="1" t="s">
        <v>902</v>
      </c>
      <c r="N432">
        <f>_xlfn.NUMBERVALUE(LEFT(Table11[[#This Row],[Score]],FIND("/",Table11[[#This Row],[Score]])-1))</f>
        <v>0</v>
      </c>
      <c r="O432">
        <f>IFERROR(_xlfn.NUMBERVALUE(LEFT(Table11[[#This Row],[Score2 ]],FIND("/",Table11[[#This Row],[Score2 ]])-1)),"")</f>
        <v>6</v>
      </c>
      <c r="P432" t="s">
        <v>141</v>
      </c>
      <c r="Q432" s="1" t="s">
        <v>158</v>
      </c>
      <c r="R432" t="str">
        <f>Table11[[#This Row],[Match]]&amp;" "&amp;Table11[[#This Row],[Over]]</f>
        <v>3 1</v>
      </c>
    </row>
    <row r="433" spans="1:18" x14ac:dyDescent="0.3">
      <c r="A433">
        <v>3</v>
      </c>
      <c r="B433" s="1">
        <v>2</v>
      </c>
      <c r="C433" s="1" t="s">
        <v>1418</v>
      </c>
      <c r="D433" s="1" t="s">
        <v>904</v>
      </c>
      <c r="E433" s="1" t="s">
        <v>1822</v>
      </c>
      <c r="F433" s="1" t="s">
        <v>348</v>
      </c>
      <c r="G433" s="1" t="s">
        <v>2326</v>
      </c>
      <c r="H433" s="1" t="s">
        <v>1103</v>
      </c>
      <c r="I433" s="1" t="s">
        <v>1161</v>
      </c>
      <c r="J433" s="1" t="s">
        <v>348</v>
      </c>
      <c r="K433" s="1" t="s">
        <v>2327</v>
      </c>
      <c r="L433" s="1" t="s">
        <v>2328</v>
      </c>
      <c r="M433" s="1" t="s">
        <v>909</v>
      </c>
      <c r="N433">
        <f>_xlfn.NUMBERVALUE(LEFT(Table11[[#This Row],[Score]],FIND("/",Table11[[#This Row],[Score]])-1))</f>
        <v>3</v>
      </c>
      <c r="O433">
        <f>IFERROR(_xlfn.NUMBERVALUE(LEFT(Table11[[#This Row],[Score2 ]],FIND("/",Table11[[#This Row],[Score2 ]])-1)),"")</f>
        <v>18</v>
      </c>
      <c r="P433" t="s">
        <v>141</v>
      </c>
      <c r="Q433" s="1" t="s">
        <v>158</v>
      </c>
      <c r="R433" t="str">
        <f>Table11[[#This Row],[Match]]&amp;" "&amp;Table11[[#This Row],[Over]]</f>
        <v>3 2</v>
      </c>
    </row>
    <row r="434" spans="1:18" x14ac:dyDescent="0.3">
      <c r="A434">
        <v>3</v>
      </c>
      <c r="B434" s="1">
        <v>3</v>
      </c>
      <c r="C434" s="1" t="s">
        <v>1721</v>
      </c>
      <c r="D434" s="1" t="s">
        <v>950</v>
      </c>
      <c r="E434" s="1" t="s">
        <v>1642</v>
      </c>
      <c r="F434" s="1" t="s">
        <v>348</v>
      </c>
      <c r="G434" s="1" t="s">
        <v>929</v>
      </c>
      <c r="H434" s="1" t="s">
        <v>904</v>
      </c>
      <c r="I434" s="1" t="s">
        <v>952</v>
      </c>
      <c r="J434" s="1" t="s">
        <v>348</v>
      </c>
      <c r="K434" s="1" t="s">
        <v>1266</v>
      </c>
      <c r="L434" s="1" t="s">
        <v>2087</v>
      </c>
      <c r="M434" s="1" t="s">
        <v>920</v>
      </c>
      <c r="N434">
        <f>_xlfn.NUMBERVALUE(LEFT(Table11[[#This Row],[Score]],FIND("/",Table11[[#This Row],[Score]])-1))</f>
        <v>8</v>
      </c>
      <c r="O434">
        <f>IFERROR(_xlfn.NUMBERVALUE(LEFT(Table11[[#This Row],[Score2 ]],FIND("/",Table11[[#This Row],[Score2 ]])-1)),"")</f>
        <v>21</v>
      </c>
      <c r="P434" t="s">
        <v>141</v>
      </c>
      <c r="Q434" s="1" t="s">
        <v>158</v>
      </c>
      <c r="R434" t="str">
        <f>Table11[[#This Row],[Match]]&amp;" "&amp;Table11[[#This Row],[Over]]</f>
        <v>3 3</v>
      </c>
    </row>
    <row r="435" spans="1:18" x14ac:dyDescent="0.3">
      <c r="A435">
        <v>3</v>
      </c>
      <c r="B435" s="1">
        <v>4</v>
      </c>
      <c r="C435" s="1" t="s">
        <v>1245</v>
      </c>
      <c r="D435" s="1" t="s">
        <v>898</v>
      </c>
      <c r="E435" s="1" t="s">
        <v>905</v>
      </c>
      <c r="F435" s="1" t="s">
        <v>348</v>
      </c>
      <c r="G435" s="1" t="s">
        <v>1724</v>
      </c>
      <c r="H435" s="1" t="s">
        <v>922</v>
      </c>
      <c r="I435" s="1" t="s">
        <v>1009</v>
      </c>
      <c r="J435" s="1" t="s">
        <v>348</v>
      </c>
      <c r="K435" s="1" t="s">
        <v>1053</v>
      </c>
      <c r="L435" s="1" t="s">
        <v>2329</v>
      </c>
      <c r="M435" s="1" t="s">
        <v>928</v>
      </c>
      <c r="N435">
        <f>_xlfn.NUMBERVALUE(LEFT(Table11[[#This Row],[Score]],FIND("/",Table11[[#This Row],[Score]])-1))</f>
        <v>10</v>
      </c>
      <c r="O435">
        <f>IFERROR(_xlfn.NUMBERVALUE(LEFT(Table11[[#This Row],[Score2 ]],FIND("/",Table11[[#This Row],[Score2 ]])-1)),"")</f>
        <v>27</v>
      </c>
      <c r="P435" t="s">
        <v>141</v>
      </c>
      <c r="Q435" s="1" t="s">
        <v>158</v>
      </c>
      <c r="R435" t="str">
        <f>Table11[[#This Row],[Match]]&amp;" "&amp;Table11[[#This Row],[Over]]</f>
        <v>3 4</v>
      </c>
    </row>
    <row r="436" spans="1:18" x14ac:dyDescent="0.3">
      <c r="A436">
        <v>3</v>
      </c>
      <c r="B436" s="1">
        <v>5</v>
      </c>
      <c r="C436" s="1" t="s">
        <v>1423</v>
      </c>
      <c r="D436" s="1" t="s">
        <v>904</v>
      </c>
      <c r="E436" s="1" t="s">
        <v>984</v>
      </c>
      <c r="F436" s="1" t="s">
        <v>984</v>
      </c>
      <c r="G436" s="1" t="s">
        <v>2330</v>
      </c>
      <c r="H436" s="1" t="s">
        <v>950</v>
      </c>
      <c r="I436" s="1" t="s">
        <v>943</v>
      </c>
      <c r="J436" s="1" t="s">
        <v>943</v>
      </c>
      <c r="K436" s="1" t="s">
        <v>1795</v>
      </c>
      <c r="L436" s="1" t="s">
        <v>2093</v>
      </c>
      <c r="M436" s="1" t="s">
        <v>937</v>
      </c>
      <c r="N436">
        <f>_xlfn.NUMBERVALUE(LEFT(Table11[[#This Row],[Score]],FIND("/",Table11[[#This Row],[Score]])-1))</f>
        <v>13</v>
      </c>
      <c r="O436">
        <f>IFERROR(_xlfn.NUMBERVALUE(LEFT(Table11[[#This Row],[Score2 ]],FIND("/",Table11[[#This Row],[Score2 ]])-1)),"")</f>
        <v>32</v>
      </c>
      <c r="P436" t="s">
        <v>141</v>
      </c>
      <c r="Q436" s="1" t="s">
        <v>158</v>
      </c>
      <c r="R436" t="str">
        <f>Table11[[#This Row],[Match]]&amp;" "&amp;Table11[[#This Row],[Over]]</f>
        <v>3 5</v>
      </c>
    </row>
    <row r="437" spans="1:18" x14ac:dyDescent="0.3">
      <c r="A437">
        <v>3</v>
      </c>
      <c r="B437" s="1">
        <v>6</v>
      </c>
      <c r="C437" s="1" t="s">
        <v>1423</v>
      </c>
      <c r="D437" s="1" t="s">
        <v>1007</v>
      </c>
      <c r="E437" s="1" t="s">
        <v>1430</v>
      </c>
      <c r="F437" s="1" t="s">
        <v>984</v>
      </c>
      <c r="G437" s="1" t="s">
        <v>2330</v>
      </c>
      <c r="H437" s="1" t="s">
        <v>1007</v>
      </c>
      <c r="I437" s="1" t="s">
        <v>2110</v>
      </c>
      <c r="J437" s="1" t="s">
        <v>1029</v>
      </c>
      <c r="K437" s="1" t="s">
        <v>952</v>
      </c>
      <c r="L437" s="1" t="s">
        <v>2093</v>
      </c>
      <c r="M437" s="1" t="s">
        <v>945</v>
      </c>
      <c r="N437">
        <f>_xlfn.NUMBERVALUE(LEFT(Table11[[#This Row],[Score]],FIND("/",Table11[[#This Row],[Score]])-1))</f>
        <v>13</v>
      </c>
      <c r="O437">
        <f>IFERROR(_xlfn.NUMBERVALUE(LEFT(Table11[[#This Row],[Score2 ]],FIND("/",Table11[[#This Row],[Score2 ]])-1)),"")</f>
        <v>32</v>
      </c>
      <c r="P437" t="s">
        <v>141</v>
      </c>
      <c r="Q437" s="1" t="s">
        <v>158</v>
      </c>
      <c r="R437" t="str">
        <f>Table11[[#This Row],[Match]]&amp;" "&amp;Table11[[#This Row],[Over]]</f>
        <v>3 6</v>
      </c>
    </row>
    <row r="438" spans="1:18" x14ac:dyDescent="0.3">
      <c r="A438">
        <v>3</v>
      </c>
      <c r="B438" s="1">
        <v>7</v>
      </c>
      <c r="C438" s="1" t="s">
        <v>2331</v>
      </c>
      <c r="D438" s="1" t="s">
        <v>916</v>
      </c>
      <c r="E438" s="1" t="s">
        <v>1809</v>
      </c>
      <c r="F438" s="1" t="s">
        <v>1247</v>
      </c>
      <c r="G438" s="1" t="s">
        <v>956</v>
      </c>
      <c r="H438" s="1" t="s">
        <v>904</v>
      </c>
      <c r="I438" s="1" t="s">
        <v>969</v>
      </c>
      <c r="J438" s="1" t="s">
        <v>1247</v>
      </c>
      <c r="K438" s="1" t="s">
        <v>1300</v>
      </c>
      <c r="L438" s="1" t="s">
        <v>2215</v>
      </c>
      <c r="M438" s="1" t="s">
        <v>955</v>
      </c>
      <c r="N438">
        <f>_xlfn.NUMBERVALUE(LEFT(Table11[[#This Row],[Score]],FIND("/",Table11[[#This Row],[Score]])-1))</f>
        <v>20</v>
      </c>
      <c r="O438">
        <f>IFERROR(_xlfn.NUMBERVALUE(LEFT(Table11[[#This Row],[Score2 ]],FIND("/",Table11[[#This Row],[Score2 ]])-1)),"")</f>
        <v>35</v>
      </c>
      <c r="P438" t="s">
        <v>141</v>
      </c>
      <c r="Q438" s="1" t="s">
        <v>158</v>
      </c>
      <c r="R438" t="str">
        <f>Table11[[#This Row],[Match]]&amp;" "&amp;Table11[[#This Row],[Over]]</f>
        <v>3 7</v>
      </c>
    </row>
    <row r="439" spans="1:18" x14ac:dyDescent="0.3">
      <c r="A439">
        <v>3</v>
      </c>
      <c r="B439" s="1">
        <v>8</v>
      </c>
      <c r="C439" s="1" t="s">
        <v>2332</v>
      </c>
      <c r="D439" s="1" t="s">
        <v>968</v>
      </c>
      <c r="E439" s="1" t="s">
        <v>2333</v>
      </c>
      <c r="F439" s="1" t="s">
        <v>984</v>
      </c>
      <c r="G439" s="1" t="s">
        <v>982</v>
      </c>
      <c r="H439" s="1" t="s">
        <v>1103</v>
      </c>
      <c r="I439" s="1" t="s">
        <v>2334</v>
      </c>
      <c r="J439" s="1" t="s">
        <v>1029</v>
      </c>
      <c r="K439" s="1" t="s">
        <v>2212</v>
      </c>
      <c r="L439" s="1" t="s">
        <v>2227</v>
      </c>
      <c r="M439" s="1" t="s">
        <v>963</v>
      </c>
      <c r="N439">
        <f>_xlfn.NUMBERVALUE(LEFT(Table11[[#This Row],[Score]],FIND("/",Table11[[#This Row],[Score]])-1))</f>
        <v>21</v>
      </c>
      <c r="O439">
        <f>IFERROR(_xlfn.NUMBERVALUE(LEFT(Table11[[#This Row],[Score2 ]],FIND("/",Table11[[#This Row],[Score2 ]])-1)),"")</f>
        <v>47</v>
      </c>
      <c r="P439" t="s">
        <v>141</v>
      </c>
      <c r="Q439" s="1" t="s">
        <v>158</v>
      </c>
      <c r="R439" t="str">
        <f>Table11[[#This Row],[Match]]&amp;" "&amp;Table11[[#This Row],[Over]]</f>
        <v>3 8</v>
      </c>
    </row>
    <row r="440" spans="1:18" x14ac:dyDescent="0.3">
      <c r="A440">
        <v>3</v>
      </c>
      <c r="B440" s="1">
        <v>9</v>
      </c>
      <c r="C440" s="1" t="s">
        <v>1433</v>
      </c>
      <c r="D440" s="1" t="s">
        <v>1007</v>
      </c>
      <c r="E440" s="1" t="s">
        <v>914</v>
      </c>
      <c r="F440" s="1" t="s">
        <v>1383</v>
      </c>
      <c r="G440" s="1" t="s">
        <v>2335</v>
      </c>
      <c r="H440" s="1" t="s">
        <v>904</v>
      </c>
      <c r="I440" s="1" t="s">
        <v>1682</v>
      </c>
      <c r="J440" s="1" t="s">
        <v>976</v>
      </c>
      <c r="K440" s="1" t="s">
        <v>1495</v>
      </c>
      <c r="L440" s="1" t="s">
        <v>919</v>
      </c>
      <c r="M440" s="1" t="s">
        <v>973</v>
      </c>
      <c r="N440">
        <f>_xlfn.NUMBERVALUE(LEFT(Table11[[#This Row],[Score]],FIND("/",Table11[[#This Row],[Score]])-1))</f>
        <v>21</v>
      </c>
      <c r="O440">
        <f>IFERROR(_xlfn.NUMBERVALUE(LEFT(Table11[[#This Row],[Score2 ]],FIND("/",Table11[[#This Row],[Score2 ]])-1)),"")</f>
        <v>50</v>
      </c>
      <c r="P440" t="s">
        <v>141</v>
      </c>
      <c r="Q440" s="1" t="s">
        <v>158</v>
      </c>
      <c r="R440" t="str">
        <f>Table11[[#This Row],[Match]]&amp;" "&amp;Table11[[#This Row],[Over]]</f>
        <v>3 9</v>
      </c>
    </row>
    <row r="441" spans="1:18" x14ac:dyDescent="0.3">
      <c r="A441">
        <v>3</v>
      </c>
      <c r="B441" s="1">
        <v>10</v>
      </c>
      <c r="C441" s="1" t="s">
        <v>1646</v>
      </c>
      <c r="D441" s="1" t="s">
        <v>916</v>
      </c>
      <c r="E441" s="1" t="s">
        <v>993</v>
      </c>
      <c r="F441" s="1" t="s">
        <v>1238</v>
      </c>
      <c r="G441" s="1" t="s">
        <v>997</v>
      </c>
      <c r="H441" s="1" t="s">
        <v>922</v>
      </c>
      <c r="I441" s="1" t="s">
        <v>934</v>
      </c>
      <c r="J441" s="1" t="s">
        <v>1093</v>
      </c>
      <c r="K441" s="1" t="s">
        <v>2336</v>
      </c>
      <c r="L441" s="1" t="s">
        <v>2337</v>
      </c>
      <c r="M441" s="1" t="s">
        <v>980</v>
      </c>
      <c r="N441">
        <f>_xlfn.NUMBERVALUE(LEFT(Table11[[#This Row],[Score]],FIND("/",Table11[[#This Row],[Score]])-1))</f>
        <v>28</v>
      </c>
      <c r="O441">
        <f>IFERROR(_xlfn.NUMBERVALUE(LEFT(Table11[[#This Row],[Score2 ]],FIND("/",Table11[[#This Row],[Score2 ]])-1)),"")</f>
        <v>56</v>
      </c>
      <c r="P441" t="s">
        <v>141</v>
      </c>
      <c r="Q441" s="1" t="s">
        <v>158</v>
      </c>
      <c r="R441" t="str">
        <f>Table11[[#This Row],[Match]]&amp;" "&amp;Table11[[#This Row],[Over]]</f>
        <v>3 10</v>
      </c>
    </row>
    <row r="442" spans="1:18" x14ac:dyDescent="0.3">
      <c r="A442">
        <v>3</v>
      </c>
      <c r="B442" s="1">
        <v>11</v>
      </c>
      <c r="C442" s="1" t="s">
        <v>2338</v>
      </c>
      <c r="D442" s="1" t="s">
        <v>898</v>
      </c>
      <c r="E442" s="1" t="s">
        <v>1680</v>
      </c>
      <c r="F442" s="1" t="s">
        <v>1247</v>
      </c>
      <c r="G442" s="1" t="s">
        <v>1005</v>
      </c>
      <c r="H442" s="1" t="s">
        <v>922</v>
      </c>
      <c r="I442" s="1" t="s">
        <v>2133</v>
      </c>
      <c r="J442" s="1" t="s">
        <v>1019</v>
      </c>
      <c r="K442" s="1" t="s">
        <v>2219</v>
      </c>
      <c r="L442" s="1" t="s">
        <v>1267</v>
      </c>
      <c r="M442" s="1" t="s">
        <v>987</v>
      </c>
      <c r="N442">
        <f>_xlfn.NUMBERVALUE(LEFT(Table11[[#This Row],[Score]],FIND("/",Table11[[#This Row],[Score]])-1))</f>
        <v>30</v>
      </c>
      <c r="O442">
        <f>IFERROR(_xlfn.NUMBERVALUE(LEFT(Table11[[#This Row],[Score2 ]],FIND("/",Table11[[#This Row],[Score2 ]])-1)),"")</f>
        <v>62</v>
      </c>
      <c r="P442" t="s">
        <v>141</v>
      </c>
      <c r="Q442" s="1" t="s">
        <v>158</v>
      </c>
      <c r="R442" t="str">
        <f>Table11[[#This Row],[Match]]&amp;" "&amp;Table11[[#This Row],[Over]]</f>
        <v>3 11</v>
      </c>
    </row>
    <row r="443" spans="1:18" x14ac:dyDescent="0.3">
      <c r="A443">
        <v>3</v>
      </c>
      <c r="B443" s="1">
        <v>12</v>
      </c>
      <c r="C443" s="1" t="s">
        <v>2339</v>
      </c>
      <c r="D443" s="1" t="s">
        <v>998</v>
      </c>
      <c r="E443" s="1" t="s">
        <v>1656</v>
      </c>
      <c r="F443" s="1" t="s">
        <v>993</v>
      </c>
      <c r="G443" s="1" t="s">
        <v>2340</v>
      </c>
      <c r="H443" s="1" t="s">
        <v>904</v>
      </c>
      <c r="I443" s="1" t="s">
        <v>1373</v>
      </c>
      <c r="J443" s="1" t="s">
        <v>1019</v>
      </c>
      <c r="K443" s="1" t="s">
        <v>1776</v>
      </c>
      <c r="L443" s="1" t="s">
        <v>2341</v>
      </c>
      <c r="M443" s="1" t="s">
        <v>996</v>
      </c>
      <c r="N443">
        <f>_xlfn.NUMBERVALUE(LEFT(Table11[[#This Row],[Score]],FIND("/",Table11[[#This Row],[Score]])-1))</f>
        <v>34</v>
      </c>
      <c r="O443">
        <f>IFERROR(_xlfn.NUMBERVALUE(LEFT(Table11[[#This Row],[Score2 ]],FIND("/",Table11[[#This Row],[Score2 ]])-1)),"")</f>
        <v>65</v>
      </c>
      <c r="P443" t="s">
        <v>141</v>
      </c>
      <c r="Q443" s="1" t="s">
        <v>158</v>
      </c>
      <c r="R443" t="str">
        <f>Table11[[#This Row],[Match]]&amp;" "&amp;Table11[[#This Row],[Over]]</f>
        <v>3 12</v>
      </c>
    </row>
    <row r="444" spans="1:18" x14ac:dyDescent="0.3">
      <c r="A444">
        <v>3</v>
      </c>
      <c r="B444" s="1">
        <v>13</v>
      </c>
      <c r="C444" s="1" t="s">
        <v>1863</v>
      </c>
      <c r="D444" s="1" t="s">
        <v>916</v>
      </c>
      <c r="E444" s="1" t="s">
        <v>2342</v>
      </c>
      <c r="F444" s="1" t="s">
        <v>939</v>
      </c>
      <c r="G444" s="1" t="s">
        <v>1011</v>
      </c>
      <c r="H444" s="1" t="s">
        <v>922</v>
      </c>
      <c r="I444" s="1" t="s">
        <v>1166</v>
      </c>
      <c r="J444" s="1" t="s">
        <v>1093</v>
      </c>
      <c r="K444" s="1" t="s">
        <v>1309</v>
      </c>
      <c r="L444" s="1" t="s">
        <v>2343</v>
      </c>
      <c r="M444" s="1" t="s">
        <v>1004</v>
      </c>
      <c r="N444">
        <f>_xlfn.NUMBERVALUE(LEFT(Table11[[#This Row],[Score]],FIND("/",Table11[[#This Row],[Score]])-1))</f>
        <v>41</v>
      </c>
      <c r="O444">
        <f>IFERROR(_xlfn.NUMBERVALUE(LEFT(Table11[[#This Row],[Score2 ]],FIND("/",Table11[[#This Row],[Score2 ]])-1)),"")</f>
        <v>71</v>
      </c>
      <c r="P444" t="s">
        <v>141</v>
      </c>
      <c r="Q444" s="1" t="s">
        <v>158</v>
      </c>
      <c r="R444" t="str">
        <f>Table11[[#This Row],[Match]]&amp;" "&amp;Table11[[#This Row],[Over]]</f>
        <v>3 13</v>
      </c>
    </row>
    <row r="445" spans="1:18" x14ac:dyDescent="0.3">
      <c r="A445">
        <v>3</v>
      </c>
      <c r="B445" s="1">
        <v>14</v>
      </c>
      <c r="C445" s="1" t="s">
        <v>2344</v>
      </c>
      <c r="D445" s="1" t="s">
        <v>916</v>
      </c>
      <c r="E445" s="1" t="s">
        <v>1490</v>
      </c>
      <c r="F445" s="1" t="s">
        <v>966</v>
      </c>
      <c r="G445" s="1" t="s">
        <v>1020</v>
      </c>
      <c r="H445" s="1" t="s">
        <v>968</v>
      </c>
      <c r="I445" s="1" t="s">
        <v>1092</v>
      </c>
      <c r="J445" s="1" t="s">
        <v>940</v>
      </c>
      <c r="K445" s="1" t="s">
        <v>2232</v>
      </c>
      <c r="L445" s="1" t="s">
        <v>1429</v>
      </c>
      <c r="M445" s="1" t="s">
        <v>1010</v>
      </c>
      <c r="N445">
        <f>_xlfn.NUMBERVALUE(LEFT(Table11[[#This Row],[Score]],FIND("/",Table11[[#This Row],[Score]])-1))</f>
        <v>48</v>
      </c>
      <c r="O445">
        <f>IFERROR(_xlfn.NUMBERVALUE(LEFT(Table11[[#This Row],[Score2 ]],FIND("/",Table11[[#This Row],[Score2 ]])-1)),"")</f>
        <v>72</v>
      </c>
      <c r="P445" t="s">
        <v>141</v>
      </c>
      <c r="Q445" s="1" t="s">
        <v>158</v>
      </c>
      <c r="R445" t="str">
        <f>Table11[[#This Row],[Match]]&amp;" "&amp;Table11[[#This Row],[Over]]</f>
        <v>3 14</v>
      </c>
    </row>
    <row r="446" spans="1:18" x14ac:dyDescent="0.3">
      <c r="A446">
        <v>3</v>
      </c>
      <c r="B446" s="1">
        <v>15</v>
      </c>
      <c r="C446" s="1" t="s">
        <v>2345</v>
      </c>
      <c r="D446" s="1" t="s">
        <v>916</v>
      </c>
      <c r="E446" s="1" t="s">
        <v>917</v>
      </c>
      <c r="F446" s="1" t="s">
        <v>966</v>
      </c>
      <c r="G446" s="1" t="s">
        <v>2346</v>
      </c>
      <c r="H446" s="1" t="s">
        <v>947</v>
      </c>
      <c r="I446" s="1" t="s">
        <v>966</v>
      </c>
      <c r="J446" s="1" t="s">
        <v>969</v>
      </c>
      <c r="K446" s="1" t="s">
        <v>1068</v>
      </c>
      <c r="L446" s="1" t="s">
        <v>1284</v>
      </c>
      <c r="M446" s="1" t="s">
        <v>1016</v>
      </c>
      <c r="N446">
        <f>_xlfn.NUMBERVALUE(LEFT(Table11[[#This Row],[Score]],FIND("/",Table11[[#This Row],[Score]])-1))</f>
        <v>55</v>
      </c>
      <c r="O446">
        <f>IFERROR(_xlfn.NUMBERVALUE(LEFT(Table11[[#This Row],[Score2 ]],FIND("/",Table11[[#This Row],[Score2 ]])-1)),"")</f>
        <v>81</v>
      </c>
      <c r="P446" t="s">
        <v>141</v>
      </c>
      <c r="Q446" s="1" t="s">
        <v>158</v>
      </c>
      <c r="R446" t="str">
        <f>Table11[[#This Row],[Match]]&amp;" "&amp;Table11[[#This Row],[Over]]</f>
        <v>3 15</v>
      </c>
    </row>
    <row r="447" spans="1:18" x14ac:dyDescent="0.3">
      <c r="A447">
        <v>3</v>
      </c>
      <c r="B447" s="1">
        <v>16</v>
      </c>
      <c r="C447" s="1" t="s">
        <v>2347</v>
      </c>
      <c r="D447" s="1" t="s">
        <v>998</v>
      </c>
      <c r="E447" s="1" t="s">
        <v>1861</v>
      </c>
      <c r="F447" s="1" t="s">
        <v>1013</v>
      </c>
      <c r="G447" s="1" t="s">
        <v>1760</v>
      </c>
      <c r="H447" s="1" t="s">
        <v>1095</v>
      </c>
      <c r="I447" s="1" t="s">
        <v>1761</v>
      </c>
      <c r="J447" s="1" t="s">
        <v>1013</v>
      </c>
      <c r="K447" s="1" t="s">
        <v>2226</v>
      </c>
      <c r="L447" s="1" t="s">
        <v>1992</v>
      </c>
      <c r="M447" s="1" t="s">
        <v>1024</v>
      </c>
      <c r="N447">
        <f>_xlfn.NUMBERVALUE(LEFT(Table11[[#This Row],[Score]],FIND("/",Table11[[#This Row],[Score]])-1))</f>
        <v>59</v>
      </c>
      <c r="O447">
        <f>IFERROR(_xlfn.NUMBERVALUE(LEFT(Table11[[#This Row],[Score2 ]],FIND("/",Table11[[#This Row],[Score2 ]])-1)),"")</f>
        <v>91</v>
      </c>
      <c r="P447" t="s">
        <v>141</v>
      </c>
      <c r="Q447" s="1" t="s">
        <v>158</v>
      </c>
      <c r="R447" t="str">
        <f>Table11[[#This Row],[Match]]&amp;" "&amp;Table11[[#This Row],[Over]]</f>
        <v>3 16</v>
      </c>
    </row>
    <row r="448" spans="1:18" x14ac:dyDescent="0.3">
      <c r="A448">
        <v>3</v>
      </c>
      <c r="B448" s="1">
        <v>17</v>
      </c>
      <c r="C448" s="1" t="s">
        <v>2348</v>
      </c>
      <c r="D448" s="1" t="s">
        <v>930</v>
      </c>
      <c r="E448" s="1" t="s">
        <v>2349</v>
      </c>
      <c r="F448" s="1" t="s">
        <v>960</v>
      </c>
      <c r="G448" s="1" t="s">
        <v>1038</v>
      </c>
      <c r="H448" s="1" t="s">
        <v>904</v>
      </c>
      <c r="I448" s="1" t="s">
        <v>1677</v>
      </c>
      <c r="J448" s="1" t="s">
        <v>1013</v>
      </c>
      <c r="K448" s="1" t="s">
        <v>2350</v>
      </c>
      <c r="L448" s="1" t="s">
        <v>973</v>
      </c>
      <c r="M448" s="1" t="s">
        <v>1031</v>
      </c>
      <c r="N448">
        <f>_xlfn.NUMBERVALUE(LEFT(Table11[[#This Row],[Score]],FIND("/",Table11[[#This Row],[Score]])-1))</f>
        <v>67</v>
      </c>
      <c r="O448">
        <f>IFERROR(_xlfn.NUMBERVALUE(LEFT(Table11[[#This Row],[Score2 ]],FIND("/",Table11[[#This Row],[Score2 ]])-1)),"")</f>
        <v>94</v>
      </c>
      <c r="P448" t="s">
        <v>141</v>
      </c>
      <c r="Q448" s="1" t="s">
        <v>158</v>
      </c>
      <c r="R448" t="str">
        <f>Table11[[#This Row],[Match]]&amp;" "&amp;Table11[[#This Row],[Over]]</f>
        <v>3 17</v>
      </c>
    </row>
    <row r="449" spans="1:18" x14ac:dyDescent="0.3">
      <c r="A449">
        <v>3</v>
      </c>
      <c r="B449" s="1">
        <v>18</v>
      </c>
      <c r="C449" s="1" t="s">
        <v>1489</v>
      </c>
      <c r="D449" s="1" t="s">
        <v>950</v>
      </c>
      <c r="E449" s="1" t="s">
        <v>939</v>
      </c>
      <c r="F449" s="1" t="s">
        <v>970</v>
      </c>
      <c r="G449" s="1" t="s">
        <v>2125</v>
      </c>
      <c r="H449" s="1" t="s">
        <v>904</v>
      </c>
      <c r="I449" s="1" t="s">
        <v>1732</v>
      </c>
      <c r="J449" s="1" t="s">
        <v>1029</v>
      </c>
      <c r="K449" s="1" t="s">
        <v>2351</v>
      </c>
      <c r="L449" s="1" t="s">
        <v>1003</v>
      </c>
      <c r="M449" s="1" t="s">
        <v>1037</v>
      </c>
      <c r="N449">
        <f>_xlfn.NUMBERVALUE(LEFT(Table11[[#This Row],[Score]],FIND("/",Table11[[#This Row],[Score]])-1))</f>
        <v>72</v>
      </c>
      <c r="O449">
        <f>IFERROR(_xlfn.NUMBERVALUE(LEFT(Table11[[#This Row],[Score2 ]],FIND("/",Table11[[#This Row],[Score2 ]])-1)),"")</f>
        <v>97</v>
      </c>
      <c r="P449" t="s">
        <v>141</v>
      </c>
      <c r="Q449" s="1" t="s">
        <v>158</v>
      </c>
      <c r="R449" t="str">
        <f>Table11[[#This Row],[Match]]&amp;" "&amp;Table11[[#This Row],[Over]]</f>
        <v>3 18</v>
      </c>
    </row>
    <row r="450" spans="1:18" x14ac:dyDescent="0.3">
      <c r="A450">
        <v>3</v>
      </c>
      <c r="B450" s="1">
        <v>19</v>
      </c>
      <c r="C450" s="1" t="s">
        <v>2002</v>
      </c>
      <c r="D450" s="1" t="s">
        <v>930</v>
      </c>
      <c r="E450" s="1" t="s">
        <v>1130</v>
      </c>
      <c r="F450" s="1" t="s">
        <v>943</v>
      </c>
      <c r="G450" s="1" t="s">
        <v>2352</v>
      </c>
      <c r="H450" s="1" t="s">
        <v>998</v>
      </c>
      <c r="I450" s="1" t="s">
        <v>2257</v>
      </c>
      <c r="J450" s="1" t="s">
        <v>1013</v>
      </c>
      <c r="K450" s="1" t="s">
        <v>1514</v>
      </c>
      <c r="L450" s="1" t="s">
        <v>2353</v>
      </c>
      <c r="M450" s="1" t="s">
        <v>1043</v>
      </c>
      <c r="N450">
        <f>_xlfn.NUMBERVALUE(LEFT(Table11[[#This Row],[Score]],FIND("/",Table11[[#This Row],[Score]])-1))</f>
        <v>80</v>
      </c>
      <c r="O450">
        <f>IFERROR(_xlfn.NUMBERVALUE(LEFT(Table11[[#This Row],[Score2 ]],FIND("/",Table11[[#This Row],[Score2 ]])-1)),"")</f>
        <v>101</v>
      </c>
      <c r="P450" t="s">
        <v>141</v>
      </c>
      <c r="Q450" s="1" t="s">
        <v>158</v>
      </c>
      <c r="R450" t="str">
        <f>Table11[[#This Row],[Match]]&amp;" "&amp;Table11[[#This Row],[Over]]</f>
        <v>3 19</v>
      </c>
    </row>
    <row r="451" spans="1:18" x14ac:dyDescent="0.3">
      <c r="A451">
        <v>3</v>
      </c>
      <c r="B451" s="1">
        <v>20</v>
      </c>
      <c r="C451" s="1" t="s">
        <v>1486</v>
      </c>
      <c r="D451" s="1" t="s">
        <v>904</v>
      </c>
      <c r="E451" s="1" t="s">
        <v>1303</v>
      </c>
      <c r="F451" s="1" t="s">
        <v>934</v>
      </c>
      <c r="G451" s="1" t="s">
        <v>2354</v>
      </c>
      <c r="H451" s="1" t="s">
        <v>968</v>
      </c>
      <c r="I451" s="1" t="s">
        <v>1835</v>
      </c>
      <c r="J451" s="1" t="s">
        <v>931</v>
      </c>
      <c r="K451" s="1" t="s">
        <v>2355</v>
      </c>
      <c r="L451" s="1" t="s">
        <v>1457</v>
      </c>
      <c r="M451" s="1" t="s">
        <v>1049</v>
      </c>
      <c r="N451">
        <f>_xlfn.NUMBERVALUE(LEFT(Table11[[#This Row],[Score]],FIND("/",Table11[[#This Row],[Score]])-1))</f>
        <v>83</v>
      </c>
      <c r="O451">
        <f>IFERROR(_xlfn.NUMBERVALUE(LEFT(Table11[[#This Row],[Score2 ]],FIND("/",Table11[[#This Row],[Score2 ]])-1)),"")</f>
        <v>102</v>
      </c>
      <c r="P451" t="s">
        <v>141</v>
      </c>
      <c r="Q451" s="1" t="s">
        <v>158</v>
      </c>
      <c r="R451" t="str">
        <f>Table11[[#This Row],[Match]]&amp;" "&amp;Table11[[#This Row],[Over]]</f>
        <v>3 20</v>
      </c>
    </row>
    <row r="452" spans="1:18" x14ac:dyDescent="0.3">
      <c r="A452">
        <v>3</v>
      </c>
      <c r="B452" s="1">
        <v>21</v>
      </c>
      <c r="C452" s="1" t="s">
        <v>1888</v>
      </c>
      <c r="D452" s="1" t="s">
        <v>968</v>
      </c>
      <c r="E452" s="1" t="s">
        <v>939</v>
      </c>
      <c r="F452" s="1" t="s">
        <v>969</v>
      </c>
      <c r="G452" s="1" t="s">
        <v>1318</v>
      </c>
      <c r="H452" s="1" t="s">
        <v>1103</v>
      </c>
      <c r="I452" s="1" t="s">
        <v>1158</v>
      </c>
      <c r="J452" s="1" t="s">
        <v>976</v>
      </c>
      <c r="K452" s="1" t="s">
        <v>1331</v>
      </c>
      <c r="L452" s="1" t="s">
        <v>2356</v>
      </c>
      <c r="M452" s="1" t="s">
        <v>1056</v>
      </c>
      <c r="N452">
        <f>_xlfn.NUMBERVALUE(LEFT(Table11[[#This Row],[Score]],FIND("/",Table11[[#This Row],[Score]])-1))</f>
        <v>84</v>
      </c>
      <c r="O452">
        <f>IFERROR(_xlfn.NUMBERVALUE(LEFT(Table11[[#This Row],[Score2 ]],FIND("/",Table11[[#This Row],[Score2 ]])-1)),"")</f>
        <v>114</v>
      </c>
      <c r="P452" t="s">
        <v>141</v>
      </c>
      <c r="Q452" s="1" t="s">
        <v>158</v>
      </c>
      <c r="R452" t="str">
        <f>Table11[[#This Row],[Match]]&amp;" "&amp;Table11[[#This Row],[Over]]</f>
        <v>3 21</v>
      </c>
    </row>
    <row r="453" spans="1:18" x14ac:dyDescent="0.3">
      <c r="A453">
        <v>3</v>
      </c>
      <c r="B453" s="1">
        <v>22</v>
      </c>
      <c r="C453" s="1" t="s">
        <v>2357</v>
      </c>
      <c r="D453" s="1" t="s">
        <v>998</v>
      </c>
      <c r="E453" s="1" t="s">
        <v>939</v>
      </c>
      <c r="F453" s="1" t="s">
        <v>931</v>
      </c>
      <c r="G453" s="1" t="s">
        <v>2358</v>
      </c>
      <c r="H453" s="1" t="s">
        <v>998</v>
      </c>
      <c r="I453" s="1" t="s">
        <v>1652</v>
      </c>
      <c r="J453" s="1" t="s">
        <v>1093</v>
      </c>
      <c r="K453" s="1" t="s">
        <v>2359</v>
      </c>
      <c r="L453" s="1" t="s">
        <v>1004</v>
      </c>
      <c r="M453" s="1" t="s">
        <v>1063</v>
      </c>
      <c r="N453">
        <f>_xlfn.NUMBERVALUE(LEFT(Table11[[#This Row],[Score]],FIND("/",Table11[[#This Row],[Score]])-1))</f>
        <v>88</v>
      </c>
      <c r="O453">
        <f>IFERROR(_xlfn.NUMBERVALUE(LEFT(Table11[[#This Row],[Score2 ]],FIND("/",Table11[[#This Row],[Score2 ]])-1)),"")</f>
        <v>118</v>
      </c>
      <c r="P453" t="s">
        <v>141</v>
      </c>
      <c r="Q453" s="1" t="s">
        <v>158</v>
      </c>
      <c r="R453" t="str">
        <f>Table11[[#This Row],[Match]]&amp;" "&amp;Table11[[#This Row],[Over]]</f>
        <v>3 22</v>
      </c>
    </row>
    <row r="454" spans="1:18" x14ac:dyDescent="0.3">
      <c r="A454">
        <v>3</v>
      </c>
      <c r="B454" s="1">
        <v>23</v>
      </c>
      <c r="C454" s="1" t="s">
        <v>2008</v>
      </c>
      <c r="D454" s="1" t="s">
        <v>898</v>
      </c>
      <c r="E454" s="1" t="s">
        <v>1278</v>
      </c>
      <c r="F454" s="1" t="s">
        <v>977</v>
      </c>
      <c r="G454" s="1" t="s">
        <v>2360</v>
      </c>
      <c r="H454" s="1" t="s">
        <v>1103</v>
      </c>
      <c r="I454" s="1" t="s">
        <v>1579</v>
      </c>
      <c r="J454" s="1" t="s">
        <v>960</v>
      </c>
      <c r="K454" s="1" t="s">
        <v>2361</v>
      </c>
      <c r="L454" s="1" t="s">
        <v>1016</v>
      </c>
      <c r="M454" s="1" t="s">
        <v>1070</v>
      </c>
      <c r="N454">
        <f>_xlfn.NUMBERVALUE(LEFT(Table11[[#This Row],[Score]],FIND("/",Table11[[#This Row],[Score]])-1))</f>
        <v>90</v>
      </c>
      <c r="O454">
        <f>IFERROR(_xlfn.NUMBERVALUE(LEFT(Table11[[#This Row],[Score2 ]],FIND("/",Table11[[#This Row],[Score2 ]])-1)),"")</f>
        <v>130</v>
      </c>
      <c r="P454" t="s">
        <v>141</v>
      </c>
      <c r="Q454" s="1" t="s">
        <v>158</v>
      </c>
      <c r="R454" t="str">
        <f>Table11[[#This Row],[Match]]&amp;" "&amp;Table11[[#This Row],[Over]]</f>
        <v>3 23</v>
      </c>
    </row>
    <row r="455" spans="1:18" x14ac:dyDescent="0.3">
      <c r="A455">
        <v>3</v>
      </c>
      <c r="B455" s="1">
        <v>24</v>
      </c>
      <c r="C455" s="1" t="s">
        <v>1506</v>
      </c>
      <c r="D455" s="1" t="s">
        <v>930</v>
      </c>
      <c r="E455" s="1" t="s">
        <v>1500</v>
      </c>
      <c r="F455" s="1" t="s">
        <v>977</v>
      </c>
      <c r="G455" s="1" t="s">
        <v>2134</v>
      </c>
      <c r="H455" s="1" t="s">
        <v>916</v>
      </c>
      <c r="I455" s="1" t="s">
        <v>2362</v>
      </c>
      <c r="J455" s="1" t="s">
        <v>1116</v>
      </c>
      <c r="K455" s="1" t="s">
        <v>1168</v>
      </c>
      <c r="L455" s="1" t="s">
        <v>1062</v>
      </c>
      <c r="M455" s="1" t="s">
        <v>1077</v>
      </c>
      <c r="N455">
        <f>_xlfn.NUMBERVALUE(LEFT(Table11[[#This Row],[Score]],FIND("/",Table11[[#This Row],[Score]])-1))</f>
        <v>98</v>
      </c>
      <c r="O455">
        <f>IFERROR(_xlfn.NUMBERVALUE(LEFT(Table11[[#This Row],[Score2 ]],FIND("/",Table11[[#This Row],[Score2 ]])-1)),"")</f>
        <v>137</v>
      </c>
      <c r="P455" t="s">
        <v>141</v>
      </c>
      <c r="Q455" s="1" t="s">
        <v>158</v>
      </c>
      <c r="R455" t="str">
        <f>Table11[[#This Row],[Match]]&amp;" "&amp;Table11[[#This Row],[Over]]</f>
        <v>3 24</v>
      </c>
    </row>
    <row r="456" spans="1:18" x14ac:dyDescent="0.3">
      <c r="A456">
        <v>3</v>
      </c>
      <c r="B456" s="1">
        <v>25</v>
      </c>
      <c r="C456" s="1" t="s">
        <v>1073</v>
      </c>
      <c r="D456" s="1" t="s">
        <v>998</v>
      </c>
      <c r="E456" s="1" t="s">
        <v>1500</v>
      </c>
      <c r="F456" s="1" t="s">
        <v>990</v>
      </c>
      <c r="G456" s="1" t="s">
        <v>1346</v>
      </c>
      <c r="H456" s="1" t="s">
        <v>947</v>
      </c>
      <c r="I456" s="1" t="s">
        <v>2363</v>
      </c>
      <c r="J456" s="1" t="s">
        <v>1154</v>
      </c>
      <c r="K456" s="1" t="s">
        <v>2364</v>
      </c>
      <c r="L456" s="1" t="s">
        <v>1503</v>
      </c>
      <c r="M456" s="1" t="s">
        <v>1083</v>
      </c>
      <c r="N456">
        <f>_xlfn.NUMBERVALUE(LEFT(Table11[[#This Row],[Score]],FIND("/",Table11[[#This Row],[Score]])-1))</f>
        <v>102</v>
      </c>
      <c r="O456">
        <f>IFERROR(_xlfn.NUMBERVALUE(LEFT(Table11[[#This Row],[Score2 ]],FIND("/",Table11[[#This Row],[Score2 ]])-1)),"")</f>
        <v>146</v>
      </c>
      <c r="P456" t="s">
        <v>141</v>
      </c>
      <c r="Q456" s="1" t="s">
        <v>158</v>
      </c>
      <c r="R456" t="str">
        <f>Table11[[#This Row],[Match]]&amp;" "&amp;Table11[[#This Row],[Over]]</f>
        <v>3 25</v>
      </c>
    </row>
    <row r="457" spans="1:18" x14ac:dyDescent="0.3">
      <c r="A457">
        <v>3</v>
      </c>
      <c r="B457" s="1">
        <v>26</v>
      </c>
      <c r="C457" s="1" t="s">
        <v>2365</v>
      </c>
      <c r="D457" s="1" t="s">
        <v>916</v>
      </c>
      <c r="E457" s="1" t="s">
        <v>1087</v>
      </c>
      <c r="F457" s="1" t="s">
        <v>969</v>
      </c>
      <c r="G457" s="1" t="s">
        <v>1350</v>
      </c>
      <c r="H457" s="1" t="s">
        <v>916</v>
      </c>
      <c r="I457" s="1" t="s">
        <v>1199</v>
      </c>
      <c r="J457" s="1" t="s">
        <v>1168</v>
      </c>
      <c r="K457" s="1" t="s">
        <v>1331</v>
      </c>
      <c r="L457" s="1" t="s">
        <v>1332</v>
      </c>
      <c r="M457" s="1" t="s">
        <v>1090</v>
      </c>
      <c r="N457">
        <f>_xlfn.NUMBERVALUE(LEFT(Table11[[#This Row],[Score]],FIND("/",Table11[[#This Row],[Score]])-1))</f>
        <v>109</v>
      </c>
      <c r="O457">
        <f>IFERROR(_xlfn.NUMBERVALUE(LEFT(Table11[[#This Row],[Score2 ]],FIND("/",Table11[[#This Row],[Score2 ]])-1)),"")</f>
        <v>153</v>
      </c>
      <c r="P457" t="s">
        <v>141</v>
      </c>
      <c r="Q457" s="1" t="s">
        <v>158</v>
      </c>
      <c r="R457" t="str">
        <f>Table11[[#This Row],[Match]]&amp;" "&amp;Table11[[#This Row],[Over]]</f>
        <v>3 26</v>
      </c>
    </row>
    <row r="458" spans="1:18" x14ac:dyDescent="0.3">
      <c r="A458">
        <v>3</v>
      </c>
      <c r="B458" s="1">
        <v>27</v>
      </c>
      <c r="C458" s="1" t="s">
        <v>2366</v>
      </c>
      <c r="D458" s="1" t="s">
        <v>950</v>
      </c>
      <c r="E458" s="1" t="s">
        <v>1535</v>
      </c>
      <c r="F458" s="1" t="s">
        <v>1029</v>
      </c>
      <c r="G458" s="1" t="s">
        <v>2367</v>
      </c>
      <c r="H458" s="1" t="s">
        <v>930</v>
      </c>
      <c r="I458" s="1" t="s">
        <v>2368</v>
      </c>
      <c r="J458" s="1" t="s">
        <v>1414</v>
      </c>
      <c r="K458" s="1" t="s">
        <v>2369</v>
      </c>
      <c r="L458" s="1" t="s">
        <v>2370</v>
      </c>
      <c r="M458" s="1" t="s">
        <v>1098</v>
      </c>
      <c r="N458">
        <f>_xlfn.NUMBERVALUE(LEFT(Table11[[#This Row],[Score]],FIND("/",Table11[[#This Row],[Score]])-1))</f>
        <v>114</v>
      </c>
      <c r="O458">
        <f>IFERROR(_xlfn.NUMBERVALUE(LEFT(Table11[[#This Row],[Score2 ]],FIND("/",Table11[[#This Row],[Score2 ]])-1)),"")</f>
        <v>161</v>
      </c>
      <c r="P458" t="s">
        <v>141</v>
      </c>
      <c r="Q458" s="1" t="s">
        <v>158</v>
      </c>
      <c r="R458" t="str">
        <f>Table11[[#This Row],[Match]]&amp;" "&amp;Table11[[#This Row],[Over]]</f>
        <v>3 27</v>
      </c>
    </row>
    <row r="459" spans="1:18" x14ac:dyDescent="0.3">
      <c r="A459">
        <v>3</v>
      </c>
      <c r="B459" s="1">
        <v>28</v>
      </c>
      <c r="C459" s="1" t="s">
        <v>2371</v>
      </c>
      <c r="D459" s="1" t="s">
        <v>916</v>
      </c>
      <c r="E459" s="1" t="s">
        <v>1118</v>
      </c>
      <c r="F459" s="1" t="s">
        <v>970</v>
      </c>
      <c r="G459" s="1" t="s">
        <v>2149</v>
      </c>
      <c r="H459" s="1" t="s">
        <v>950</v>
      </c>
      <c r="I459" s="1" t="s">
        <v>2235</v>
      </c>
      <c r="J459" s="1" t="s">
        <v>1116</v>
      </c>
      <c r="K459" s="1" t="s">
        <v>2372</v>
      </c>
      <c r="L459" s="1" t="s">
        <v>1056</v>
      </c>
      <c r="M459" s="1" t="s">
        <v>1101</v>
      </c>
      <c r="N459">
        <f>_xlfn.NUMBERVALUE(LEFT(Table11[[#This Row],[Score]],FIND("/",Table11[[#This Row],[Score]])-1))</f>
        <v>121</v>
      </c>
      <c r="O459">
        <f>IFERROR(_xlfn.NUMBERVALUE(LEFT(Table11[[#This Row],[Score2 ]],FIND("/",Table11[[#This Row],[Score2 ]])-1)),"")</f>
        <v>166</v>
      </c>
      <c r="P459" t="s">
        <v>141</v>
      </c>
      <c r="Q459" s="1" t="s">
        <v>158</v>
      </c>
      <c r="R459" t="str">
        <f>Table11[[#This Row],[Match]]&amp;" "&amp;Table11[[#This Row],[Over]]</f>
        <v>3 28</v>
      </c>
    </row>
    <row r="460" spans="1:18" x14ac:dyDescent="0.3">
      <c r="A460">
        <v>3</v>
      </c>
      <c r="B460" s="1">
        <v>29</v>
      </c>
      <c r="C460" s="1" t="s">
        <v>2373</v>
      </c>
      <c r="D460" s="1" t="s">
        <v>998</v>
      </c>
      <c r="E460" s="1" t="s">
        <v>1468</v>
      </c>
      <c r="F460" s="1" t="s">
        <v>966</v>
      </c>
      <c r="G460" s="1" t="s">
        <v>2374</v>
      </c>
      <c r="H460" s="1" t="s">
        <v>904</v>
      </c>
      <c r="I460" s="1" t="s">
        <v>2375</v>
      </c>
      <c r="J460" s="1" t="s">
        <v>943</v>
      </c>
      <c r="K460" s="1" t="s">
        <v>2376</v>
      </c>
      <c r="L460" s="1" t="s">
        <v>1851</v>
      </c>
      <c r="M460" s="1" t="s">
        <v>1108</v>
      </c>
      <c r="N460">
        <f>_xlfn.NUMBERVALUE(LEFT(Table11[[#This Row],[Score]],FIND("/",Table11[[#This Row],[Score]])-1))</f>
        <v>125</v>
      </c>
      <c r="O460">
        <f>IFERROR(_xlfn.NUMBERVALUE(LEFT(Table11[[#This Row],[Score2 ]],FIND("/",Table11[[#This Row],[Score2 ]])-1)),"")</f>
        <v>169</v>
      </c>
      <c r="P460" t="s">
        <v>141</v>
      </c>
      <c r="Q460" s="1" t="s">
        <v>158</v>
      </c>
      <c r="R460" t="str">
        <f>Table11[[#This Row],[Match]]&amp;" "&amp;Table11[[#This Row],[Over]]</f>
        <v>3 29</v>
      </c>
    </row>
    <row r="461" spans="1:18" x14ac:dyDescent="0.3">
      <c r="A461">
        <v>3</v>
      </c>
      <c r="B461" s="1">
        <v>30</v>
      </c>
      <c r="C461" s="1" t="s">
        <v>1534</v>
      </c>
      <c r="D461" s="1" t="s">
        <v>922</v>
      </c>
      <c r="E461" s="1" t="s">
        <v>1040</v>
      </c>
      <c r="F461" s="1" t="s">
        <v>1013</v>
      </c>
      <c r="G461" s="1" t="s">
        <v>2377</v>
      </c>
      <c r="H461" s="1" t="s">
        <v>947</v>
      </c>
      <c r="I461" s="1" t="s">
        <v>1425</v>
      </c>
      <c r="J461" s="1" t="s">
        <v>943</v>
      </c>
      <c r="K461" s="1" t="s">
        <v>2378</v>
      </c>
      <c r="L461" s="1" t="s">
        <v>1070</v>
      </c>
      <c r="M461" s="1" t="s">
        <v>1113</v>
      </c>
      <c r="N461">
        <f>_xlfn.NUMBERVALUE(LEFT(Table11[[#This Row],[Score]],FIND("/",Table11[[#This Row],[Score]])-1))</f>
        <v>131</v>
      </c>
      <c r="O461">
        <f>IFERROR(_xlfn.NUMBERVALUE(LEFT(Table11[[#This Row],[Score2 ]],FIND("/",Table11[[#This Row],[Score2 ]])-1)),"")</f>
        <v>178</v>
      </c>
      <c r="P461" t="s">
        <v>141</v>
      </c>
      <c r="Q461" s="1" t="s">
        <v>158</v>
      </c>
      <c r="R461" t="str">
        <f>Table11[[#This Row],[Match]]&amp;" "&amp;Table11[[#This Row],[Over]]</f>
        <v>3 30</v>
      </c>
    </row>
    <row r="462" spans="1:18" x14ac:dyDescent="0.3">
      <c r="A462">
        <v>3</v>
      </c>
      <c r="B462" s="1">
        <v>31</v>
      </c>
      <c r="C462" s="1" t="s">
        <v>2138</v>
      </c>
      <c r="D462" s="1" t="s">
        <v>898</v>
      </c>
      <c r="E462" s="1" t="s">
        <v>1474</v>
      </c>
      <c r="F462" s="1" t="s">
        <v>1093</v>
      </c>
      <c r="G462" s="1" t="s">
        <v>1128</v>
      </c>
      <c r="H462" s="1" t="s">
        <v>904</v>
      </c>
      <c r="I462" s="1" t="s">
        <v>1404</v>
      </c>
      <c r="J462" s="1" t="s">
        <v>934</v>
      </c>
      <c r="K462" s="1" t="s">
        <v>2379</v>
      </c>
      <c r="L462" s="1" t="s">
        <v>2290</v>
      </c>
      <c r="M462" s="1" t="s">
        <v>1121</v>
      </c>
      <c r="N462">
        <f>_xlfn.NUMBERVALUE(LEFT(Table11[[#This Row],[Score]],FIND("/",Table11[[#This Row],[Score]])-1))</f>
        <v>133</v>
      </c>
      <c r="O462">
        <f>IFERROR(_xlfn.NUMBERVALUE(LEFT(Table11[[#This Row],[Score2 ]],FIND("/",Table11[[#This Row],[Score2 ]])-1)),"")</f>
        <v>181</v>
      </c>
      <c r="P462" t="s">
        <v>141</v>
      </c>
      <c r="Q462" s="1" t="s">
        <v>158</v>
      </c>
      <c r="R462" t="str">
        <f>Table11[[#This Row],[Match]]&amp;" "&amp;Table11[[#This Row],[Over]]</f>
        <v>3 31</v>
      </c>
    </row>
    <row r="463" spans="1:18" x14ac:dyDescent="0.3">
      <c r="A463">
        <v>3</v>
      </c>
      <c r="B463" s="1">
        <v>32</v>
      </c>
      <c r="C463" s="1" t="s">
        <v>2141</v>
      </c>
      <c r="D463" s="1" t="s">
        <v>904</v>
      </c>
      <c r="E463" s="1" t="s">
        <v>1074</v>
      </c>
      <c r="F463" s="1" t="s">
        <v>940</v>
      </c>
      <c r="G463" s="1" t="s">
        <v>2380</v>
      </c>
      <c r="H463" s="1" t="s">
        <v>930</v>
      </c>
      <c r="I463" s="1" t="s">
        <v>1407</v>
      </c>
      <c r="J463" s="1" t="s">
        <v>934</v>
      </c>
      <c r="K463" s="1" t="s">
        <v>1528</v>
      </c>
      <c r="L463" s="1" t="s">
        <v>1376</v>
      </c>
      <c r="M463" s="1" t="s">
        <v>1127</v>
      </c>
      <c r="N463">
        <f>_xlfn.NUMBERVALUE(LEFT(Table11[[#This Row],[Score]],FIND("/",Table11[[#This Row],[Score]])-1))</f>
        <v>136</v>
      </c>
      <c r="O463">
        <f>IFERROR(_xlfn.NUMBERVALUE(LEFT(Table11[[#This Row],[Score2 ]],FIND("/",Table11[[#This Row],[Score2 ]])-1)),"")</f>
        <v>189</v>
      </c>
      <c r="P463" t="s">
        <v>141</v>
      </c>
      <c r="Q463" s="1" t="s">
        <v>158</v>
      </c>
      <c r="R463" t="str">
        <f>Table11[[#This Row],[Match]]&amp;" "&amp;Table11[[#This Row],[Over]]</f>
        <v>3 32</v>
      </c>
    </row>
    <row r="464" spans="1:18" x14ac:dyDescent="0.3">
      <c r="A464">
        <v>3</v>
      </c>
      <c r="B464" s="1">
        <v>33</v>
      </c>
      <c r="C464" s="1" t="s">
        <v>2381</v>
      </c>
      <c r="D464" s="1" t="s">
        <v>916</v>
      </c>
      <c r="E464" s="1" t="s">
        <v>989</v>
      </c>
      <c r="F464" s="1" t="s">
        <v>940</v>
      </c>
      <c r="G464" s="1" t="s">
        <v>2382</v>
      </c>
      <c r="H464" s="1" t="s">
        <v>898</v>
      </c>
      <c r="I464" s="1" t="s">
        <v>1396</v>
      </c>
      <c r="J464" s="1" t="s">
        <v>969</v>
      </c>
      <c r="K464" s="1" t="s">
        <v>2383</v>
      </c>
      <c r="L464" s="1" t="s">
        <v>2161</v>
      </c>
      <c r="M464" s="1" t="s">
        <v>1132</v>
      </c>
      <c r="N464">
        <f>_xlfn.NUMBERVALUE(LEFT(Table11[[#This Row],[Score]],FIND("/",Table11[[#This Row],[Score]])-1))</f>
        <v>143</v>
      </c>
      <c r="O464">
        <f>IFERROR(_xlfn.NUMBERVALUE(LEFT(Table11[[#This Row],[Score2 ]],FIND("/",Table11[[#This Row],[Score2 ]])-1)),"")</f>
        <v>191</v>
      </c>
      <c r="P464" t="s">
        <v>141</v>
      </c>
      <c r="Q464" s="1" t="s">
        <v>158</v>
      </c>
      <c r="R464" t="str">
        <f>Table11[[#This Row],[Match]]&amp;" "&amp;Table11[[#This Row],[Over]]</f>
        <v>3 33</v>
      </c>
    </row>
    <row r="465" spans="1:18" x14ac:dyDescent="0.3">
      <c r="A465">
        <v>3</v>
      </c>
      <c r="B465" s="1">
        <v>34</v>
      </c>
      <c r="C465" s="1" t="s">
        <v>2384</v>
      </c>
      <c r="D465" s="1" t="s">
        <v>898</v>
      </c>
      <c r="E465" s="1" t="s">
        <v>1382</v>
      </c>
      <c r="F465" s="1" t="s">
        <v>939</v>
      </c>
      <c r="G465" s="1" t="s">
        <v>1834</v>
      </c>
      <c r="H465" s="1" t="s">
        <v>904</v>
      </c>
      <c r="I465" s="1" t="s">
        <v>2362</v>
      </c>
      <c r="J465" s="1" t="s">
        <v>969</v>
      </c>
      <c r="K465" s="1" t="s">
        <v>2385</v>
      </c>
      <c r="L465" s="1" t="s">
        <v>1385</v>
      </c>
      <c r="M465" s="1" t="s">
        <v>1138</v>
      </c>
      <c r="N465">
        <f>_xlfn.NUMBERVALUE(LEFT(Table11[[#This Row],[Score]],FIND("/",Table11[[#This Row],[Score]])-1))</f>
        <v>145</v>
      </c>
      <c r="O465">
        <f>IFERROR(_xlfn.NUMBERVALUE(LEFT(Table11[[#This Row],[Score2 ]],FIND("/",Table11[[#This Row],[Score2 ]])-1)),"")</f>
        <v>194</v>
      </c>
      <c r="P465" t="s">
        <v>141</v>
      </c>
      <c r="Q465" s="1" t="s">
        <v>158</v>
      </c>
      <c r="R465" t="str">
        <f>Table11[[#This Row],[Match]]&amp;" "&amp;Table11[[#This Row],[Over]]</f>
        <v>3 34</v>
      </c>
    </row>
    <row r="466" spans="1:18" x14ac:dyDescent="0.3">
      <c r="A466">
        <v>3</v>
      </c>
      <c r="B466" s="1">
        <v>35</v>
      </c>
      <c r="C466" s="1" t="s">
        <v>1545</v>
      </c>
      <c r="D466" s="1" t="s">
        <v>922</v>
      </c>
      <c r="E466" s="1" t="s">
        <v>1468</v>
      </c>
      <c r="F466" s="1" t="s">
        <v>939</v>
      </c>
      <c r="G466" s="1" t="s">
        <v>2386</v>
      </c>
      <c r="H466" s="1" t="s">
        <v>1390</v>
      </c>
      <c r="I466" s="1" t="s">
        <v>1422</v>
      </c>
      <c r="J466" s="1" t="s">
        <v>1013</v>
      </c>
      <c r="K466" s="1" t="s">
        <v>2387</v>
      </c>
      <c r="L466" s="1" t="s">
        <v>1394</v>
      </c>
      <c r="M466" s="1" t="s">
        <v>1143</v>
      </c>
      <c r="N466">
        <f>_xlfn.NUMBERVALUE(LEFT(Table11[[#This Row],[Score]],FIND("/",Table11[[#This Row],[Score]])-1))</f>
        <v>151</v>
      </c>
      <c r="O466">
        <f>IFERROR(_xlfn.NUMBERVALUE(LEFT(Table11[[#This Row],[Score2 ]],FIND("/",Table11[[#This Row],[Score2 ]])-1)),"")</f>
        <v>207</v>
      </c>
      <c r="P466" t="s">
        <v>141</v>
      </c>
      <c r="Q466" s="1" t="s">
        <v>158</v>
      </c>
      <c r="R466" t="str">
        <f>Table11[[#This Row],[Match]]&amp;" "&amp;Table11[[#This Row],[Over]]</f>
        <v>3 35</v>
      </c>
    </row>
    <row r="467" spans="1:18" x14ac:dyDescent="0.3">
      <c r="A467">
        <v>3</v>
      </c>
      <c r="B467" s="1">
        <v>36</v>
      </c>
      <c r="C467" s="1" t="s">
        <v>2150</v>
      </c>
      <c r="D467" s="1" t="s">
        <v>998</v>
      </c>
      <c r="E467" s="1" t="s">
        <v>999</v>
      </c>
      <c r="F467" s="1" t="s">
        <v>940</v>
      </c>
      <c r="G467" s="1" t="s">
        <v>2388</v>
      </c>
      <c r="H467" s="1" t="s">
        <v>916</v>
      </c>
      <c r="I467" s="1" t="s">
        <v>2389</v>
      </c>
      <c r="J467" s="1" t="s">
        <v>960</v>
      </c>
      <c r="K467" s="1" t="s">
        <v>1161</v>
      </c>
      <c r="L467" s="1" t="s">
        <v>1108</v>
      </c>
      <c r="M467" s="1" t="s">
        <v>1150</v>
      </c>
      <c r="N467">
        <f>_xlfn.NUMBERVALUE(LEFT(Table11[[#This Row],[Score]],FIND("/",Table11[[#This Row],[Score]])-1))</f>
        <v>155</v>
      </c>
      <c r="O467">
        <f>IFERROR(_xlfn.NUMBERVALUE(LEFT(Table11[[#This Row],[Score2 ]],FIND("/",Table11[[#This Row],[Score2 ]])-1)),"")</f>
        <v>214</v>
      </c>
      <c r="P467" t="s">
        <v>141</v>
      </c>
      <c r="Q467" s="1" t="s">
        <v>158</v>
      </c>
      <c r="R467" t="str">
        <f>Table11[[#This Row],[Match]]&amp;" "&amp;Table11[[#This Row],[Over]]</f>
        <v>3 36</v>
      </c>
    </row>
    <row r="468" spans="1:18" x14ac:dyDescent="0.3">
      <c r="A468">
        <v>3</v>
      </c>
      <c r="B468" s="1">
        <v>37</v>
      </c>
      <c r="C468" s="1" t="s">
        <v>2390</v>
      </c>
      <c r="D468" s="1" t="s">
        <v>1095</v>
      </c>
      <c r="E468" s="1" t="s">
        <v>1060</v>
      </c>
      <c r="F468" s="1" t="s">
        <v>1013</v>
      </c>
      <c r="G468" s="1" t="s">
        <v>1586</v>
      </c>
      <c r="H468" s="1" t="s">
        <v>904</v>
      </c>
      <c r="I468" s="1" t="s">
        <v>2184</v>
      </c>
      <c r="J468" s="1" t="s">
        <v>934</v>
      </c>
      <c r="K468" s="1" t="s">
        <v>2391</v>
      </c>
      <c r="L468" s="1" t="s">
        <v>2175</v>
      </c>
      <c r="M468" s="1" t="s">
        <v>1156</v>
      </c>
      <c r="N468">
        <f>_xlfn.NUMBERVALUE(LEFT(Table11[[#This Row],[Score]],FIND("/",Table11[[#This Row],[Score]])-1))</f>
        <v>165</v>
      </c>
      <c r="O468">
        <f>IFERROR(_xlfn.NUMBERVALUE(LEFT(Table11[[#This Row],[Score2 ]],FIND("/",Table11[[#This Row],[Score2 ]])-1)),"")</f>
        <v>217</v>
      </c>
      <c r="P468" t="s">
        <v>141</v>
      </c>
      <c r="Q468" s="1" t="s">
        <v>158</v>
      </c>
      <c r="R468" t="str">
        <f>Table11[[#This Row],[Match]]&amp;" "&amp;Table11[[#This Row],[Over]]</f>
        <v>3 37</v>
      </c>
    </row>
    <row r="469" spans="1:18" x14ac:dyDescent="0.3">
      <c r="A469">
        <v>3</v>
      </c>
      <c r="B469" s="1">
        <v>38</v>
      </c>
      <c r="C469" s="1" t="s">
        <v>2392</v>
      </c>
      <c r="D469" s="1" t="s">
        <v>947</v>
      </c>
      <c r="E469" s="1" t="s">
        <v>1362</v>
      </c>
      <c r="F469" s="1" t="s">
        <v>970</v>
      </c>
      <c r="G469" s="1" t="s">
        <v>2393</v>
      </c>
      <c r="H469" s="1" t="s">
        <v>904</v>
      </c>
      <c r="I469" s="1" t="s">
        <v>1396</v>
      </c>
      <c r="J469" s="1" t="s">
        <v>1013</v>
      </c>
      <c r="K469" s="1" t="s">
        <v>2055</v>
      </c>
      <c r="L469" s="1" t="s">
        <v>1113</v>
      </c>
      <c r="M469" s="1" t="s">
        <v>1164</v>
      </c>
      <c r="N469">
        <f>_xlfn.NUMBERVALUE(LEFT(Table11[[#This Row],[Score]],FIND("/",Table11[[#This Row],[Score]])-1))</f>
        <v>174</v>
      </c>
      <c r="O469">
        <f>IFERROR(_xlfn.NUMBERVALUE(LEFT(Table11[[#This Row],[Score2 ]],FIND("/",Table11[[#This Row],[Score2 ]])-1)),"")</f>
        <v>220</v>
      </c>
      <c r="P469" t="s">
        <v>141</v>
      </c>
      <c r="Q469" s="1" t="s">
        <v>158</v>
      </c>
      <c r="R469" t="str">
        <f>Table11[[#This Row],[Match]]&amp;" "&amp;Table11[[#This Row],[Over]]</f>
        <v>3 38</v>
      </c>
    </row>
    <row r="470" spans="1:18" x14ac:dyDescent="0.3">
      <c r="A470">
        <v>3</v>
      </c>
      <c r="B470" s="1">
        <v>39</v>
      </c>
      <c r="C470" s="1" t="s">
        <v>1560</v>
      </c>
      <c r="D470" s="1" t="s">
        <v>947</v>
      </c>
      <c r="E470" s="1" t="s">
        <v>1148</v>
      </c>
      <c r="F470" s="1" t="s">
        <v>1508</v>
      </c>
      <c r="G470" s="1" t="s">
        <v>2394</v>
      </c>
      <c r="H470" s="1" t="s">
        <v>930</v>
      </c>
      <c r="I470" s="1" t="s">
        <v>2363</v>
      </c>
      <c r="J470" s="1" t="s">
        <v>1053</v>
      </c>
      <c r="K470" s="1" t="s">
        <v>2395</v>
      </c>
      <c r="L470" s="1" t="s">
        <v>2312</v>
      </c>
      <c r="M470" s="1" t="s">
        <v>1171</v>
      </c>
      <c r="N470">
        <f>_xlfn.NUMBERVALUE(LEFT(Table11[[#This Row],[Score]],FIND("/",Table11[[#This Row],[Score]])-1))</f>
        <v>183</v>
      </c>
      <c r="O470">
        <f>IFERROR(_xlfn.NUMBERVALUE(LEFT(Table11[[#This Row],[Score2 ]],FIND("/",Table11[[#This Row],[Score2 ]])-1)),"")</f>
        <v>228</v>
      </c>
      <c r="P470" t="s">
        <v>141</v>
      </c>
      <c r="Q470" s="1" t="s">
        <v>158</v>
      </c>
      <c r="R470" t="str">
        <f>Table11[[#This Row],[Match]]&amp;" "&amp;Table11[[#This Row],[Over]]</f>
        <v>3 39</v>
      </c>
    </row>
    <row r="471" spans="1:18" x14ac:dyDescent="0.3">
      <c r="A471">
        <v>3</v>
      </c>
      <c r="B471" s="1">
        <v>40</v>
      </c>
      <c r="C471" s="1" t="s">
        <v>2156</v>
      </c>
      <c r="D471" s="1" t="s">
        <v>1095</v>
      </c>
      <c r="E471" s="1" t="s">
        <v>1026</v>
      </c>
      <c r="F471" s="1" t="s">
        <v>1335</v>
      </c>
      <c r="G471" s="1" t="s">
        <v>2396</v>
      </c>
      <c r="H471" s="1" t="s">
        <v>922</v>
      </c>
      <c r="I471" s="1" t="s">
        <v>2217</v>
      </c>
      <c r="J471" s="1" t="s">
        <v>966</v>
      </c>
      <c r="K471" s="1" t="s">
        <v>1568</v>
      </c>
      <c r="L471" s="1" t="s">
        <v>1564</v>
      </c>
      <c r="M471" s="1" t="s">
        <v>1177</v>
      </c>
      <c r="N471">
        <f>_xlfn.NUMBERVALUE(LEFT(Table11[[#This Row],[Score]],FIND("/",Table11[[#This Row],[Score]])-1))</f>
        <v>193</v>
      </c>
      <c r="O471">
        <f>IFERROR(_xlfn.NUMBERVALUE(LEFT(Table11[[#This Row],[Score2 ]],FIND("/",Table11[[#This Row],[Score2 ]])-1)),"")</f>
        <v>234</v>
      </c>
      <c r="P471" t="s">
        <v>141</v>
      </c>
      <c r="Q471" s="1" t="s">
        <v>158</v>
      </c>
      <c r="R471" t="str">
        <f>Table11[[#This Row],[Match]]&amp;" "&amp;Table11[[#This Row],[Over]]</f>
        <v>3 40</v>
      </c>
    </row>
    <row r="472" spans="1:18" x14ac:dyDescent="0.3">
      <c r="A472">
        <v>3</v>
      </c>
      <c r="B472" s="1">
        <v>41</v>
      </c>
      <c r="C472" s="1" t="s">
        <v>1572</v>
      </c>
      <c r="D472" s="1" t="s">
        <v>933</v>
      </c>
      <c r="E472" s="1" t="s">
        <v>2193</v>
      </c>
      <c r="F472" s="1" t="s">
        <v>1409</v>
      </c>
      <c r="G472" s="1" t="s">
        <v>2397</v>
      </c>
      <c r="H472" s="1" t="s">
        <v>904</v>
      </c>
      <c r="I472" s="1" t="s">
        <v>1396</v>
      </c>
      <c r="J472" s="1" t="s">
        <v>976</v>
      </c>
      <c r="K472" s="1" t="s">
        <v>2398</v>
      </c>
      <c r="L472" s="1" t="s">
        <v>2399</v>
      </c>
      <c r="M472" s="1" t="s">
        <v>1183</v>
      </c>
      <c r="N472">
        <f>_xlfn.NUMBERVALUE(LEFT(Table11[[#This Row],[Score]],FIND("/",Table11[[#This Row],[Score]])-1))</f>
        <v>207</v>
      </c>
      <c r="O472">
        <f>IFERROR(_xlfn.NUMBERVALUE(LEFT(Table11[[#This Row],[Score2 ]],FIND("/",Table11[[#This Row],[Score2 ]])-1)),"")</f>
        <v>237</v>
      </c>
      <c r="P472" t="s">
        <v>141</v>
      </c>
      <c r="Q472" s="1" t="s">
        <v>158</v>
      </c>
      <c r="R472" t="str">
        <f>Table11[[#This Row],[Match]]&amp;" "&amp;Table11[[#This Row],[Over]]</f>
        <v>3 41</v>
      </c>
    </row>
    <row r="473" spans="1:18" x14ac:dyDescent="0.3">
      <c r="A473">
        <v>3</v>
      </c>
      <c r="B473" s="1">
        <v>42</v>
      </c>
      <c r="C473" s="1" t="s">
        <v>2400</v>
      </c>
      <c r="D473" s="1" t="s">
        <v>916</v>
      </c>
      <c r="E473" s="1" t="s">
        <v>2186</v>
      </c>
      <c r="F473" s="1" t="s">
        <v>1141</v>
      </c>
      <c r="G473" s="1" t="s">
        <v>2401</v>
      </c>
      <c r="H473" s="1" t="s">
        <v>968</v>
      </c>
      <c r="I473" s="1" t="s">
        <v>942</v>
      </c>
      <c r="J473" s="1" t="s">
        <v>931</v>
      </c>
      <c r="K473" s="1" t="s">
        <v>2402</v>
      </c>
      <c r="L473" s="1" t="s">
        <v>1132</v>
      </c>
      <c r="M473" s="1" t="s">
        <v>1190</v>
      </c>
      <c r="N473">
        <f>_xlfn.NUMBERVALUE(LEFT(Table11[[#This Row],[Score]],FIND("/",Table11[[#This Row],[Score]])-1))</f>
        <v>214</v>
      </c>
      <c r="O473">
        <f>IFERROR(_xlfn.NUMBERVALUE(LEFT(Table11[[#This Row],[Score2 ]],FIND("/",Table11[[#This Row],[Score2 ]])-1)),"")</f>
        <v>238</v>
      </c>
      <c r="P473" t="s">
        <v>141</v>
      </c>
      <c r="Q473" s="1" t="s">
        <v>158</v>
      </c>
      <c r="R473" t="str">
        <f>Table11[[#This Row],[Match]]&amp;" "&amp;Table11[[#This Row],[Over]]</f>
        <v>3 42</v>
      </c>
    </row>
    <row r="474" spans="1:18" x14ac:dyDescent="0.3">
      <c r="A474">
        <v>3</v>
      </c>
      <c r="B474" s="1">
        <v>43</v>
      </c>
      <c r="C474" s="1" t="s">
        <v>2403</v>
      </c>
      <c r="D474" s="1" t="s">
        <v>922</v>
      </c>
      <c r="E474" s="1" t="s">
        <v>1643</v>
      </c>
      <c r="F474" s="1" t="s">
        <v>1200</v>
      </c>
      <c r="G474" s="1" t="s">
        <v>2404</v>
      </c>
      <c r="H474" s="1" t="s">
        <v>898</v>
      </c>
      <c r="I474" s="1" t="s">
        <v>1134</v>
      </c>
      <c r="J474" s="1" t="s">
        <v>939</v>
      </c>
      <c r="K474" s="1" t="s">
        <v>2405</v>
      </c>
      <c r="L474" s="1" t="s">
        <v>2198</v>
      </c>
      <c r="M474" s="1" t="s">
        <v>1197</v>
      </c>
      <c r="N474">
        <f>_xlfn.NUMBERVALUE(LEFT(Table11[[#This Row],[Score]],FIND("/",Table11[[#This Row],[Score]])-1))</f>
        <v>220</v>
      </c>
      <c r="O474">
        <f>IFERROR(_xlfn.NUMBERVALUE(LEFT(Table11[[#This Row],[Score2 ]],FIND("/",Table11[[#This Row],[Score2 ]])-1)),"")</f>
        <v>240</v>
      </c>
      <c r="P474" t="s">
        <v>141</v>
      </c>
      <c r="Q474" s="1" t="s">
        <v>158</v>
      </c>
      <c r="R474" t="str">
        <f>Table11[[#This Row],[Match]]&amp;" "&amp;Table11[[#This Row],[Over]]</f>
        <v>3 43</v>
      </c>
    </row>
    <row r="475" spans="1:18" x14ac:dyDescent="0.3">
      <c r="A475">
        <v>3</v>
      </c>
      <c r="B475" s="1">
        <v>44</v>
      </c>
      <c r="C475" s="1" t="s">
        <v>2296</v>
      </c>
      <c r="D475" s="1" t="s">
        <v>930</v>
      </c>
      <c r="E475" s="1" t="s">
        <v>2406</v>
      </c>
      <c r="F475" s="1" t="s">
        <v>1161</v>
      </c>
      <c r="G475" s="1" t="s">
        <v>2407</v>
      </c>
      <c r="H475" s="1" t="s">
        <v>922</v>
      </c>
      <c r="I475" s="1" t="s">
        <v>1185</v>
      </c>
      <c r="J475" s="1" t="s">
        <v>977</v>
      </c>
      <c r="K475" s="1" t="s">
        <v>2408</v>
      </c>
      <c r="L475" s="1" t="s">
        <v>2409</v>
      </c>
      <c r="M475" s="1" t="s">
        <v>1205</v>
      </c>
      <c r="N475">
        <f>_xlfn.NUMBERVALUE(LEFT(Table11[[#This Row],[Score]],FIND("/",Table11[[#This Row],[Score]])-1))</f>
        <v>228</v>
      </c>
      <c r="O475">
        <f>IFERROR(_xlfn.NUMBERVALUE(LEFT(Table11[[#This Row],[Score2 ]],FIND("/",Table11[[#This Row],[Score2 ]])-1)),"")</f>
        <v>246</v>
      </c>
      <c r="P475" t="s">
        <v>141</v>
      </c>
      <c r="Q475" s="1" t="s">
        <v>158</v>
      </c>
      <c r="R475" t="str">
        <f>Table11[[#This Row],[Match]]&amp;" "&amp;Table11[[#This Row],[Over]]</f>
        <v>3 44</v>
      </c>
    </row>
    <row r="476" spans="1:18" x14ac:dyDescent="0.3">
      <c r="A476">
        <v>3</v>
      </c>
      <c r="B476" s="1">
        <v>45</v>
      </c>
      <c r="C476" s="1" t="s">
        <v>2410</v>
      </c>
      <c r="D476" s="1" t="s">
        <v>1147</v>
      </c>
      <c r="E476" s="1" t="s">
        <v>966</v>
      </c>
      <c r="F476" s="1" t="s">
        <v>2055</v>
      </c>
      <c r="G476" s="1" t="s">
        <v>2411</v>
      </c>
      <c r="H476" s="1" t="s">
        <v>1511</v>
      </c>
      <c r="I476" s="1" t="s">
        <v>2375</v>
      </c>
      <c r="J476" s="1" t="s">
        <v>934</v>
      </c>
      <c r="K476" s="1" t="s">
        <v>2412</v>
      </c>
      <c r="L476" s="1" t="s">
        <v>1156</v>
      </c>
      <c r="M476" s="1" t="s">
        <v>1211</v>
      </c>
      <c r="N476">
        <f>_xlfn.NUMBERVALUE(LEFT(Table11[[#This Row],[Score]],FIND("/",Table11[[#This Row],[Score]])-1))</f>
        <v>243</v>
      </c>
      <c r="O476">
        <f>IFERROR(_xlfn.NUMBERVALUE(LEFT(Table11[[#This Row],[Score2 ]],FIND("/",Table11[[#This Row],[Score2 ]])-1)),"")</f>
        <v>262</v>
      </c>
      <c r="P476" t="s">
        <v>141</v>
      </c>
      <c r="Q476" s="1" t="s">
        <v>158</v>
      </c>
      <c r="R476" t="str">
        <f>Table11[[#This Row],[Match]]&amp;" "&amp;Table11[[#This Row],[Over]]</f>
        <v>3 45</v>
      </c>
    </row>
    <row r="477" spans="1:18" x14ac:dyDescent="0.3">
      <c r="A477">
        <v>3</v>
      </c>
      <c r="B477" s="1">
        <v>46</v>
      </c>
      <c r="C477" s="1" t="s">
        <v>2413</v>
      </c>
      <c r="D477" s="1" t="s">
        <v>1684</v>
      </c>
      <c r="E477" s="1" t="s">
        <v>1192</v>
      </c>
      <c r="F477" s="1" t="s">
        <v>1213</v>
      </c>
      <c r="G477" s="1" t="s">
        <v>2414</v>
      </c>
      <c r="H477" s="1" t="s">
        <v>898</v>
      </c>
      <c r="I477" s="1" t="s">
        <v>2143</v>
      </c>
      <c r="J477" s="1" t="s">
        <v>966</v>
      </c>
      <c r="K477" s="1" t="s">
        <v>2415</v>
      </c>
      <c r="L477" s="1" t="s">
        <v>1900</v>
      </c>
      <c r="M477" s="1" t="s">
        <v>1216</v>
      </c>
      <c r="N477">
        <f>_xlfn.NUMBERVALUE(LEFT(Table11[[#This Row],[Score]],FIND("/",Table11[[#This Row],[Score]])-1))</f>
        <v>262</v>
      </c>
      <c r="O477">
        <f>IFERROR(_xlfn.NUMBERVALUE(LEFT(Table11[[#This Row],[Score2 ]],FIND("/",Table11[[#This Row],[Score2 ]])-1)),"")</f>
        <v>264</v>
      </c>
      <c r="P477" t="s">
        <v>141</v>
      </c>
      <c r="Q477" s="1" t="s">
        <v>158</v>
      </c>
      <c r="R477" t="str">
        <f>Table11[[#This Row],[Match]]&amp;" "&amp;Table11[[#This Row],[Over]]</f>
        <v>3 46</v>
      </c>
    </row>
    <row r="478" spans="1:18" x14ac:dyDescent="0.3">
      <c r="A478">
        <v>3</v>
      </c>
      <c r="B478" s="1">
        <v>47</v>
      </c>
      <c r="C478" s="1" t="s">
        <v>2416</v>
      </c>
      <c r="D478" s="1" t="s">
        <v>1511</v>
      </c>
      <c r="E478" s="1" t="s">
        <v>1422</v>
      </c>
      <c r="F478" s="1" t="s">
        <v>2417</v>
      </c>
      <c r="G478" s="1" t="s">
        <v>2418</v>
      </c>
      <c r="H478" s="1" t="s">
        <v>930</v>
      </c>
      <c r="I478" s="1" t="s">
        <v>1396</v>
      </c>
      <c r="J478" s="1" t="s">
        <v>1053</v>
      </c>
      <c r="K478" s="1" t="s">
        <v>2419</v>
      </c>
      <c r="L478" s="1" t="s">
        <v>2420</v>
      </c>
      <c r="M478" s="1" t="s">
        <v>1223</v>
      </c>
      <c r="N478">
        <f>_xlfn.NUMBERVALUE(LEFT(Table11[[#This Row],[Score]],FIND("/",Table11[[#This Row],[Score]])-1))</f>
        <v>278</v>
      </c>
      <c r="O478">
        <f>IFERROR(_xlfn.NUMBERVALUE(LEFT(Table11[[#This Row],[Score2 ]],FIND("/",Table11[[#This Row],[Score2 ]])-1)),"")</f>
        <v>272</v>
      </c>
      <c r="P478" t="s">
        <v>141</v>
      </c>
      <c r="Q478" s="1" t="s">
        <v>158</v>
      </c>
      <c r="R478" t="str">
        <f>Table11[[#This Row],[Match]]&amp;" "&amp;Table11[[#This Row],[Over]]</f>
        <v>3 47</v>
      </c>
    </row>
    <row r="479" spans="1:18" x14ac:dyDescent="0.3">
      <c r="A479">
        <v>3</v>
      </c>
      <c r="B479" s="1">
        <v>48</v>
      </c>
      <c r="C479" s="1" t="s">
        <v>2421</v>
      </c>
      <c r="D479" s="1" t="s">
        <v>1211</v>
      </c>
      <c r="E479" s="1" t="s">
        <v>2231</v>
      </c>
      <c r="F479" s="1" t="s">
        <v>2422</v>
      </c>
      <c r="G479" s="1" t="s">
        <v>2423</v>
      </c>
      <c r="H479" s="1" t="s">
        <v>950</v>
      </c>
      <c r="I479" s="1" t="s">
        <v>2424</v>
      </c>
      <c r="J479" s="1" t="s">
        <v>1068</v>
      </c>
      <c r="K479" s="1" t="s">
        <v>2425</v>
      </c>
      <c r="L479" s="1" t="s">
        <v>2426</v>
      </c>
      <c r="M479" s="1" t="s">
        <v>1103</v>
      </c>
      <c r="N479">
        <f>_xlfn.NUMBERVALUE(LEFT(Table11[[#This Row],[Score]],FIND("/",Table11[[#This Row],[Score]])-1))</f>
        <v>308</v>
      </c>
      <c r="O479">
        <f>IFERROR(_xlfn.NUMBERVALUE(LEFT(Table11[[#This Row],[Score2 ]],FIND("/",Table11[[#This Row],[Score2 ]])-1)),"")</f>
        <v>277</v>
      </c>
      <c r="P479" t="s">
        <v>141</v>
      </c>
      <c r="Q479" s="1" t="s">
        <v>158</v>
      </c>
      <c r="R479" t="str">
        <f>Table11[[#This Row],[Match]]&amp;" "&amp;Table11[[#This Row],[Over]]</f>
        <v>3 48</v>
      </c>
    </row>
    <row r="480" spans="1:18" x14ac:dyDescent="0.3">
      <c r="A480">
        <v>3</v>
      </c>
      <c r="B480" s="1">
        <v>49</v>
      </c>
      <c r="C480" s="1" t="s">
        <v>2427</v>
      </c>
      <c r="D480" s="1" t="s">
        <v>1103</v>
      </c>
      <c r="E480" s="1" t="s">
        <v>2428</v>
      </c>
      <c r="F480" s="1" t="s">
        <v>2429</v>
      </c>
      <c r="G480" s="1" t="s">
        <v>2430</v>
      </c>
      <c r="H480" s="1" t="s">
        <v>1966</v>
      </c>
      <c r="I480" s="1" t="s">
        <v>2431</v>
      </c>
      <c r="J480" s="1" t="s">
        <v>2432</v>
      </c>
      <c r="K480" s="1" t="s">
        <v>2433</v>
      </c>
      <c r="L480" s="1" t="s">
        <v>2426</v>
      </c>
      <c r="M480" s="1" t="s">
        <v>1095</v>
      </c>
      <c r="N480">
        <f>_xlfn.NUMBERVALUE(LEFT(Table11[[#This Row],[Score]],FIND("/",Table11[[#This Row],[Score]])-1))</f>
        <v>320</v>
      </c>
      <c r="O480">
        <f>IFERROR(_xlfn.NUMBERVALUE(LEFT(Table11[[#This Row],[Score2 ]],FIND("/",Table11[[#This Row],[Score2 ]])-1)),"")</f>
        <v>277</v>
      </c>
      <c r="P480" t="s">
        <v>141</v>
      </c>
      <c r="Q480" s="1" t="s">
        <v>158</v>
      </c>
      <c r="R480" t="str">
        <f>Table11[[#This Row],[Match]]&amp;" "&amp;Table11[[#This Row],[Over]]</f>
        <v>3 49</v>
      </c>
    </row>
    <row r="481" spans="1:18" x14ac:dyDescent="0.3">
      <c r="A481">
        <v>3</v>
      </c>
      <c r="B481" s="1">
        <v>50</v>
      </c>
      <c r="C481" s="1" t="s">
        <v>2434</v>
      </c>
      <c r="D481" s="1" t="s">
        <v>1684</v>
      </c>
      <c r="E481" s="1" t="s">
        <v>1266</v>
      </c>
      <c r="F481" s="1" t="s">
        <v>2435</v>
      </c>
      <c r="N481">
        <f>_xlfn.NUMBERVALUE(LEFT(Table11[[#This Row],[Score]],FIND("/",Table11[[#This Row],[Score]])-1))</f>
        <v>339</v>
      </c>
      <c r="O481" t="str">
        <f>IFERROR(_xlfn.NUMBERVALUE(LEFT(Table11[[#This Row],[Score2 ]],FIND("/",Table11[[#This Row],[Score2 ]])-1)),"")</f>
        <v/>
      </c>
      <c r="P481" t="s">
        <v>141</v>
      </c>
      <c r="Q481" s="1" t="s">
        <v>158</v>
      </c>
      <c r="R481" t="str">
        <f>Table11[[#This Row],[Match]]&amp;" "&amp;Table11[[#This Row],[Over]]</f>
        <v>3 50</v>
      </c>
    </row>
    <row r="482" spans="1:18" x14ac:dyDescent="0.3">
      <c r="A482">
        <v>5</v>
      </c>
      <c r="B482" s="1">
        <v>1</v>
      </c>
      <c r="C482" s="1" t="s">
        <v>1230</v>
      </c>
      <c r="D482" s="1" t="s">
        <v>1007</v>
      </c>
      <c r="E482" s="1" t="s">
        <v>1231</v>
      </c>
      <c r="F482" s="1" t="s">
        <v>348</v>
      </c>
      <c r="G482" s="1" t="s">
        <v>1721</v>
      </c>
      <c r="H482" s="1" t="s">
        <v>930</v>
      </c>
      <c r="I482" s="1" t="s">
        <v>1089</v>
      </c>
      <c r="J482" s="1" t="s">
        <v>348</v>
      </c>
      <c r="K482" s="1" t="s">
        <v>935</v>
      </c>
      <c r="L482" s="1" t="s">
        <v>908</v>
      </c>
      <c r="M482" s="1" t="s">
        <v>902</v>
      </c>
      <c r="N482">
        <f>_xlfn.NUMBERVALUE(LEFT(Table11[[#This Row],[Score]],FIND("/",Table11[[#This Row],[Score]])-1))</f>
        <v>0</v>
      </c>
      <c r="O482">
        <f>IFERROR(_xlfn.NUMBERVALUE(LEFT(Table11[[#This Row],[Score2 ]],FIND("/",Table11[[#This Row],[Score2 ]])-1)),"")</f>
        <v>8</v>
      </c>
      <c r="P482" t="s">
        <v>170</v>
      </c>
      <c r="Q482" s="1" t="s">
        <v>169</v>
      </c>
      <c r="R482" t="str">
        <f>Table11[[#This Row],[Match]]&amp;" "&amp;Table11[[#This Row],[Over]]</f>
        <v>5 1</v>
      </c>
    </row>
    <row r="483" spans="1:18" x14ac:dyDescent="0.3">
      <c r="A483">
        <v>5</v>
      </c>
      <c r="B483" s="1">
        <v>2</v>
      </c>
      <c r="C483" s="1" t="s">
        <v>1418</v>
      </c>
      <c r="D483" s="1" t="s">
        <v>904</v>
      </c>
      <c r="E483" s="1" t="s">
        <v>1822</v>
      </c>
      <c r="F483" s="1" t="s">
        <v>348</v>
      </c>
      <c r="G483" s="1" t="s">
        <v>1725</v>
      </c>
      <c r="H483" s="1" t="s">
        <v>930</v>
      </c>
      <c r="I483" s="1" t="s">
        <v>1089</v>
      </c>
      <c r="J483" s="1" t="s">
        <v>348</v>
      </c>
      <c r="K483" s="1" t="s">
        <v>1218</v>
      </c>
      <c r="L483" s="1" t="s">
        <v>1252</v>
      </c>
      <c r="M483" s="1" t="s">
        <v>909</v>
      </c>
      <c r="N483">
        <f>_xlfn.NUMBERVALUE(LEFT(Table11[[#This Row],[Score]],FIND("/",Table11[[#This Row],[Score]])-1))</f>
        <v>3</v>
      </c>
      <c r="O483">
        <f>IFERROR(_xlfn.NUMBERVALUE(LEFT(Table11[[#This Row],[Score2 ]],FIND("/",Table11[[#This Row],[Score2 ]])-1)),"")</f>
        <v>16</v>
      </c>
      <c r="P483" t="s">
        <v>170</v>
      </c>
      <c r="Q483" s="1" t="s">
        <v>169</v>
      </c>
      <c r="R483" t="str">
        <f>Table11[[#This Row],[Match]]&amp;" "&amp;Table11[[#This Row],[Over]]</f>
        <v>5 2</v>
      </c>
    </row>
    <row r="484" spans="1:18" x14ac:dyDescent="0.3">
      <c r="A484">
        <v>5</v>
      </c>
      <c r="B484" s="1">
        <v>3</v>
      </c>
      <c r="C484" s="1" t="s">
        <v>1232</v>
      </c>
      <c r="D484" s="1" t="s">
        <v>904</v>
      </c>
      <c r="E484" s="1" t="s">
        <v>899</v>
      </c>
      <c r="F484" s="1" t="s">
        <v>348</v>
      </c>
      <c r="G484" s="1" t="s">
        <v>929</v>
      </c>
      <c r="H484" s="1" t="s">
        <v>950</v>
      </c>
      <c r="I484" s="1" t="s">
        <v>952</v>
      </c>
      <c r="J484" s="1" t="s">
        <v>348</v>
      </c>
      <c r="K484" s="1" t="s">
        <v>1228</v>
      </c>
      <c r="L484" s="1" t="s">
        <v>2337</v>
      </c>
      <c r="M484" s="1" t="s">
        <v>920</v>
      </c>
      <c r="N484">
        <f>_xlfn.NUMBERVALUE(LEFT(Table11[[#This Row],[Score]],FIND("/",Table11[[#This Row],[Score]])-1))</f>
        <v>6</v>
      </c>
      <c r="O484">
        <f>IFERROR(_xlfn.NUMBERVALUE(LEFT(Table11[[#This Row],[Score2 ]],FIND("/",Table11[[#This Row],[Score2 ]])-1)),"")</f>
        <v>21</v>
      </c>
      <c r="P484" t="s">
        <v>170</v>
      </c>
      <c r="Q484" s="1" t="s">
        <v>169</v>
      </c>
      <c r="R484" t="str">
        <f>Table11[[#This Row],[Match]]&amp;" "&amp;Table11[[#This Row],[Over]]</f>
        <v>5 3</v>
      </c>
    </row>
    <row r="485" spans="1:18" x14ac:dyDescent="0.3">
      <c r="A485">
        <v>5</v>
      </c>
      <c r="B485" s="1">
        <v>4</v>
      </c>
      <c r="C485" s="1" t="s">
        <v>1239</v>
      </c>
      <c r="D485" s="1" t="s">
        <v>922</v>
      </c>
      <c r="E485" s="1" t="s">
        <v>1238</v>
      </c>
      <c r="F485" s="1" t="s">
        <v>348</v>
      </c>
      <c r="G485" s="1" t="s">
        <v>1976</v>
      </c>
      <c r="H485" s="1" t="s">
        <v>1095</v>
      </c>
      <c r="I485" s="1" t="s">
        <v>2436</v>
      </c>
      <c r="J485" s="1" t="s">
        <v>348</v>
      </c>
      <c r="K485" s="1" t="s">
        <v>1428</v>
      </c>
      <c r="L485" s="1" t="s">
        <v>2437</v>
      </c>
      <c r="M485" s="1" t="s">
        <v>928</v>
      </c>
      <c r="N485">
        <f>_xlfn.NUMBERVALUE(LEFT(Table11[[#This Row],[Score]],FIND("/",Table11[[#This Row],[Score]])-1))</f>
        <v>12</v>
      </c>
      <c r="O485">
        <f>IFERROR(_xlfn.NUMBERVALUE(LEFT(Table11[[#This Row],[Score2 ]],FIND("/",Table11[[#This Row],[Score2 ]])-1)),"")</f>
        <v>31</v>
      </c>
      <c r="P485" t="s">
        <v>170</v>
      </c>
      <c r="Q485" s="1" t="s">
        <v>169</v>
      </c>
      <c r="R485" t="str">
        <f>Table11[[#This Row],[Match]]&amp;" "&amp;Table11[[#This Row],[Over]]</f>
        <v>5 4</v>
      </c>
    </row>
    <row r="486" spans="1:18" x14ac:dyDescent="0.3">
      <c r="A486">
        <v>5</v>
      </c>
      <c r="B486" s="1">
        <v>5</v>
      </c>
      <c r="C486" s="1" t="s">
        <v>929</v>
      </c>
      <c r="D486" s="1" t="s">
        <v>947</v>
      </c>
      <c r="E486" s="1" t="s">
        <v>931</v>
      </c>
      <c r="F486" s="1" t="s">
        <v>931</v>
      </c>
      <c r="G486" s="1" t="s">
        <v>2330</v>
      </c>
      <c r="H486" s="1" t="s">
        <v>968</v>
      </c>
      <c r="I486" s="1" t="s">
        <v>943</v>
      </c>
      <c r="J486" s="1" t="s">
        <v>943</v>
      </c>
      <c r="K486" s="1" t="s">
        <v>935</v>
      </c>
      <c r="L486" s="1" t="s">
        <v>936</v>
      </c>
      <c r="M486" s="1" t="s">
        <v>937</v>
      </c>
      <c r="N486">
        <f>_xlfn.NUMBERVALUE(LEFT(Table11[[#This Row],[Score]],FIND("/",Table11[[#This Row],[Score]])-1))</f>
        <v>21</v>
      </c>
      <c r="O486">
        <f>IFERROR(_xlfn.NUMBERVALUE(LEFT(Table11[[#This Row],[Score2 ]],FIND("/",Table11[[#This Row],[Score2 ]])-1)),"")</f>
        <v>32</v>
      </c>
      <c r="P486" t="s">
        <v>170</v>
      </c>
      <c r="Q486" s="1" t="s">
        <v>169</v>
      </c>
      <c r="R486" t="str">
        <f>Table11[[#This Row],[Match]]&amp;" "&amp;Table11[[#This Row],[Over]]</f>
        <v>5 5</v>
      </c>
    </row>
    <row r="487" spans="1:18" x14ac:dyDescent="0.3">
      <c r="A487">
        <v>5</v>
      </c>
      <c r="B487" s="1">
        <v>6</v>
      </c>
      <c r="C487" s="1" t="s">
        <v>2096</v>
      </c>
      <c r="D487" s="1" t="s">
        <v>930</v>
      </c>
      <c r="E487" s="1" t="s">
        <v>2438</v>
      </c>
      <c r="F487" s="1" t="s">
        <v>1013</v>
      </c>
      <c r="G487" s="1" t="s">
        <v>2439</v>
      </c>
      <c r="H487" s="1" t="s">
        <v>930</v>
      </c>
      <c r="I487" s="1" t="s">
        <v>1260</v>
      </c>
      <c r="J487" s="1" t="s">
        <v>943</v>
      </c>
      <c r="K487" s="1" t="s">
        <v>1218</v>
      </c>
      <c r="L487" s="1" t="s">
        <v>1275</v>
      </c>
      <c r="M487" s="1" t="s">
        <v>945</v>
      </c>
      <c r="N487">
        <f>_xlfn.NUMBERVALUE(LEFT(Table11[[#This Row],[Score]],FIND("/",Table11[[#This Row],[Score]])-1))</f>
        <v>29</v>
      </c>
      <c r="O487">
        <f>IFERROR(_xlfn.NUMBERVALUE(LEFT(Table11[[#This Row],[Score2 ]],FIND("/",Table11[[#This Row],[Score2 ]])-1)),"")</f>
        <v>40</v>
      </c>
      <c r="P487" t="s">
        <v>170</v>
      </c>
      <c r="Q487" s="1" t="s">
        <v>169</v>
      </c>
      <c r="R487" t="str">
        <f>Table11[[#This Row],[Match]]&amp;" "&amp;Table11[[#This Row],[Over]]</f>
        <v>5 6</v>
      </c>
    </row>
    <row r="488" spans="1:18" x14ac:dyDescent="0.3">
      <c r="A488">
        <v>5</v>
      </c>
      <c r="B488" s="1">
        <v>7</v>
      </c>
      <c r="C488" s="1" t="s">
        <v>2096</v>
      </c>
      <c r="D488" s="1" t="s">
        <v>1007</v>
      </c>
      <c r="E488" s="1" t="s">
        <v>1008</v>
      </c>
      <c r="F488" s="1" t="s">
        <v>1029</v>
      </c>
      <c r="G488" s="1" t="s">
        <v>1739</v>
      </c>
      <c r="H488" s="1" t="s">
        <v>998</v>
      </c>
      <c r="I488" s="1" t="s">
        <v>2440</v>
      </c>
      <c r="J488" s="1" t="s">
        <v>934</v>
      </c>
      <c r="K488" s="1" t="s">
        <v>935</v>
      </c>
      <c r="L488" s="1" t="s">
        <v>1280</v>
      </c>
      <c r="M488" s="1" t="s">
        <v>955</v>
      </c>
      <c r="N488">
        <f>_xlfn.NUMBERVALUE(LEFT(Table11[[#This Row],[Score]],FIND("/",Table11[[#This Row],[Score]])-1))</f>
        <v>29</v>
      </c>
      <c r="O488">
        <f>IFERROR(_xlfn.NUMBERVALUE(LEFT(Table11[[#This Row],[Score2 ]],FIND("/",Table11[[#This Row],[Score2 ]])-1)),"")</f>
        <v>44</v>
      </c>
      <c r="P488" t="s">
        <v>170</v>
      </c>
      <c r="Q488" s="1" t="s">
        <v>169</v>
      </c>
      <c r="R488" t="str">
        <f>Table11[[#This Row],[Match]]&amp;" "&amp;Table11[[#This Row],[Over]]</f>
        <v>5 7</v>
      </c>
    </row>
    <row r="489" spans="1:18" x14ac:dyDescent="0.3">
      <c r="A489">
        <v>5</v>
      </c>
      <c r="B489" s="1">
        <v>8</v>
      </c>
      <c r="C489" s="1" t="s">
        <v>1435</v>
      </c>
      <c r="D489" s="1" t="s">
        <v>898</v>
      </c>
      <c r="E489" s="1" t="s">
        <v>1436</v>
      </c>
      <c r="F489" s="1" t="s">
        <v>969</v>
      </c>
      <c r="G489" s="1" t="s">
        <v>2441</v>
      </c>
      <c r="H489" s="1" t="s">
        <v>1095</v>
      </c>
      <c r="I489" s="1" t="s">
        <v>1009</v>
      </c>
      <c r="J489" s="1" t="s">
        <v>960</v>
      </c>
      <c r="K489" s="1" t="s">
        <v>2442</v>
      </c>
      <c r="L489" s="1" t="s">
        <v>2443</v>
      </c>
      <c r="M489" s="1" t="s">
        <v>963</v>
      </c>
      <c r="N489">
        <f>_xlfn.NUMBERVALUE(LEFT(Table11[[#This Row],[Score]],FIND("/",Table11[[#This Row],[Score]])-1))</f>
        <v>31</v>
      </c>
      <c r="O489">
        <f>IFERROR(_xlfn.NUMBERVALUE(LEFT(Table11[[#This Row],[Score2 ]],FIND("/",Table11[[#This Row],[Score2 ]])-1)),"")</f>
        <v>54</v>
      </c>
      <c r="P489" t="s">
        <v>170</v>
      </c>
      <c r="Q489" s="1" t="s">
        <v>169</v>
      </c>
      <c r="R489" t="str">
        <f>Table11[[#This Row],[Match]]&amp;" "&amp;Table11[[#This Row],[Over]]</f>
        <v>5 8</v>
      </c>
    </row>
    <row r="490" spans="1:18" x14ac:dyDescent="0.3">
      <c r="A490">
        <v>5</v>
      </c>
      <c r="B490" s="1">
        <v>9</v>
      </c>
      <c r="C490" s="1" t="s">
        <v>1983</v>
      </c>
      <c r="D490" s="1" t="s">
        <v>930</v>
      </c>
      <c r="E490" s="1" t="s">
        <v>989</v>
      </c>
      <c r="F490" s="1" t="s">
        <v>966</v>
      </c>
      <c r="G490" s="1" t="s">
        <v>1989</v>
      </c>
      <c r="H490" s="1" t="s">
        <v>898</v>
      </c>
      <c r="I490" s="1" t="s">
        <v>1236</v>
      </c>
      <c r="J490" s="1" t="s">
        <v>969</v>
      </c>
      <c r="K490" s="1" t="s">
        <v>1756</v>
      </c>
      <c r="L490" s="1" t="s">
        <v>1992</v>
      </c>
      <c r="M490" s="1" t="s">
        <v>973</v>
      </c>
      <c r="N490">
        <f>_xlfn.NUMBERVALUE(LEFT(Table11[[#This Row],[Score]],FIND("/",Table11[[#This Row],[Score]])-1))</f>
        <v>39</v>
      </c>
      <c r="O490">
        <f>IFERROR(_xlfn.NUMBERVALUE(LEFT(Table11[[#This Row],[Score2 ]],FIND("/",Table11[[#This Row],[Score2 ]])-1)),"")</f>
        <v>56</v>
      </c>
      <c r="P490" t="s">
        <v>170</v>
      </c>
      <c r="Q490" s="1" t="s">
        <v>169</v>
      </c>
      <c r="R490" t="str">
        <f>Table11[[#This Row],[Match]]&amp;" "&amp;Table11[[#This Row],[Over]]</f>
        <v>5 9</v>
      </c>
    </row>
    <row r="491" spans="1:18" x14ac:dyDescent="0.3">
      <c r="A491">
        <v>5</v>
      </c>
      <c r="B491" s="1">
        <v>10</v>
      </c>
      <c r="C491" s="1" t="s">
        <v>2444</v>
      </c>
      <c r="D491" s="1" t="s">
        <v>968</v>
      </c>
      <c r="E491" s="1" t="s">
        <v>939</v>
      </c>
      <c r="F491" s="1" t="s">
        <v>990</v>
      </c>
      <c r="G491" s="1" t="s">
        <v>2445</v>
      </c>
      <c r="H491" s="1" t="s">
        <v>950</v>
      </c>
      <c r="I491" s="1" t="s">
        <v>900</v>
      </c>
      <c r="J491" s="1" t="s">
        <v>1013</v>
      </c>
      <c r="K491" s="1" t="s">
        <v>900</v>
      </c>
      <c r="L491" s="1" t="s">
        <v>1449</v>
      </c>
      <c r="M491" s="1" t="s">
        <v>980</v>
      </c>
      <c r="N491">
        <f>_xlfn.NUMBERVALUE(LEFT(Table11[[#This Row],[Score]],FIND("/",Table11[[#This Row],[Score]])-1))</f>
        <v>40</v>
      </c>
      <c r="O491">
        <f>IFERROR(_xlfn.NUMBERVALUE(LEFT(Table11[[#This Row],[Score2 ]],FIND("/",Table11[[#This Row],[Score2 ]])-1)),"")</f>
        <v>61</v>
      </c>
      <c r="P491" t="s">
        <v>170</v>
      </c>
      <c r="Q491" s="1" t="s">
        <v>169</v>
      </c>
      <c r="R491" t="str">
        <f>Table11[[#This Row],[Match]]&amp;" "&amp;Table11[[#This Row],[Over]]</f>
        <v>5 10</v>
      </c>
    </row>
    <row r="492" spans="1:18" x14ac:dyDescent="0.3">
      <c r="A492">
        <v>5</v>
      </c>
      <c r="B492" s="1">
        <v>11</v>
      </c>
      <c r="C492" s="1" t="s">
        <v>1863</v>
      </c>
      <c r="D492" s="1" t="s">
        <v>968</v>
      </c>
      <c r="E492" s="1" t="s">
        <v>1493</v>
      </c>
      <c r="F492" s="1" t="s">
        <v>1088</v>
      </c>
      <c r="G492" s="1" t="s">
        <v>2446</v>
      </c>
      <c r="H492" s="1" t="s">
        <v>998</v>
      </c>
      <c r="I492" s="1" t="s">
        <v>1407</v>
      </c>
      <c r="J492" s="1" t="s">
        <v>969</v>
      </c>
      <c r="K492" s="1" t="s">
        <v>1971</v>
      </c>
      <c r="L492" s="1" t="s">
        <v>980</v>
      </c>
      <c r="M492" s="1" t="s">
        <v>987</v>
      </c>
      <c r="N492">
        <f>_xlfn.NUMBERVALUE(LEFT(Table11[[#This Row],[Score]],FIND("/",Table11[[#This Row],[Score]])-1))</f>
        <v>41</v>
      </c>
      <c r="O492">
        <f>IFERROR(_xlfn.NUMBERVALUE(LEFT(Table11[[#This Row],[Score2 ]],FIND("/",Table11[[#This Row],[Score2 ]])-1)),"")</f>
        <v>65</v>
      </c>
      <c r="P492" t="s">
        <v>170</v>
      </c>
      <c r="Q492" s="1" t="s">
        <v>169</v>
      </c>
      <c r="R492" t="str">
        <f>Table11[[#This Row],[Match]]&amp;" "&amp;Table11[[#This Row],[Over]]</f>
        <v>5 11</v>
      </c>
    </row>
    <row r="493" spans="1:18" x14ac:dyDescent="0.3">
      <c r="A493">
        <v>5</v>
      </c>
      <c r="B493" s="1">
        <v>12</v>
      </c>
      <c r="C493" s="1" t="s">
        <v>1987</v>
      </c>
      <c r="D493" s="1" t="s">
        <v>950</v>
      </c>
      <c r="E493" s="1" t="s">
        <v>1731</v>
      </c>
      <c r="F493" s="1" t="s">
        <v>1247</v>
      </c>
      <c r="G493" s="1" t="s">
        <v>2447</v>
      </c>
      <c r="H493" s="1" t="s">
        <v>968</v>
      </c>
      <c r="I493" s="1" t="s">
        <v>959</v>
      </c>
      <c r="J493" s="1" t="s">
        <v>940</v>
      </c>
      <c r="K493" s="1" t="s">
        <v>2440</v>
      </c>
      <c r="L493" s="1" t="s">
        <v>2353</v>
      </c>
      <c r="M493" s="1" t="s">
        <v>996</v>
      </c>
      <c r="N493">
        <f>_xlfn.NUMBERVALUE(LEFT(Table11[[#This Row],[Score]],FIND("/",Table11[[#This Row],[Score]])-1))</f>
        <v>46</v>
      </c>
      <c r="O493">
        <f>IFERROR(_xlfn.NUMBERVALUE(LEFT(Table11[[#This Row],[Score2 ]],FIND("/",Table11[[#This Row],[Score2 ]])-1)),"")</f>
        <v>66</v>
      </c>
      <c r="P493" t="s">
        <v>170</v>
      </c>
      <c r="Q493" s="1" t="s">
        <v>169</v>
      </c>
      <c r="R493" t="str">
        <f>Table11[[#This Row],[Match]]&amp;" "&amp;Table11[[#This Row],[Over]]</f>
        <v>5 12</v>
      </c>
    </row>
    <row r="494" spans="1:18" x14ac:dyDescent="0.3">
      <c r="A494">
        <v>5</v>
      </c>
      <c r="B494" s="1">
        <v>13</v>
      </c>
      <c r="C494" s="1" t="s">
        <v>2344</v>
      </c>
      <c r="D494" s="1" t="s">
        <v>898</v>
      </c>
      <c r="E494" s="1" t="s">
        <v>1847</v>
      </c>
      <c r="F494" s="1" t="s">
        <v>1247</v>
      </c>
      <c r="G494" s="1" t="s">
        <v>1995</v>
      </c>
      <c r="H494" s="1" t="s">
        <v>998</v>
      </c>
      <c r="I494" s="1" t="s">
        <v>1732</v>
      </c>
      <c r="J494" s="1" t="s">
        <v>1259</v>
      </c>
      <c r="K494" s="1" t="s">
        <v>2128</v>
      </c>
      <c r="L494" s="1" t="s">
        <v>2126</v>
      </c>
      <c r="M494" s="1" t="s">
        <v>1004</v>
      </c>
      <c r="N494">
        <f>_xlfn.NUMBERVALUE(LEFT(Table11[[#This Row],[Score]],FIND("/",Table11[[#This Row],[Score]])-1))</f>
        <v>48</v>
      </c>
      <c r="O494">
        <f>IFERROR(_xlfn.NUMBERVALUE(LEFT(Table11[[#This Row],[Score2 ]],FIND("/",Table11[[#This Row],[Score2 ]])-1)),"")</f>
        <v>70</v>
      </c>
      <c r="P494" t="s">
        <v>170</v>
      </c>
      <c r="Q494" s="1" t="s">
        <v>169</v>
      </c>
      <c r="R494" t="str">
        <f>Table11[[#This Row],[Match]]&amp;" "&amp;Table11[[#This Row],[Over]]</f>
        <v>5 13</v>
      </c>
    </row>
    <row r="495" spans="1:18" x14ac:dyDescent="0.3">
      <c r="A495">
        <v>5</v>
      </c>
      <c r="B495" s="1">
        <v>14</v>
      </c>
      <c r="C495" s="1" t="s">
        <v>1283</v>
      </c>
      <c r="D495" s="1" t="s">
        <v>968</v>
      </c>
      <c r="E495" s="1" t="s">
        <v>925</v>
      </c>
      <c r="F495" s="1" t="s">
        <v>899</v>
      </c>
      <c r="G495" s="1" t="s">
        <v>2448</v>
      </c>
      <c r="H495" s="1" t="s">
        <v>904</v>
      </c>
      <c r="I495" s="1" t="s">
        <v>2449</v>
      </c>
      <c r="J495" s="1" t="s">
        <v>1247</v>
      </c>
      <c r="K495" s="1" t="s">
        <v>1469</v>
      </c>
      <c r="L495" s="1" t="s">
        <v>2000</v>
      </c>
      <c r="M495" s="1" t="s">
        <v>1010</v>
      </c>
      <c r="N495">
        <f>_xlfn.NUMBERVALUE(LEFT(Table11[[#This Row],[Score]],FIND("/",Table11[[#This Row],[Score]])-1))</f>
        <v>49</v>
      </c>
      <c r="O495">
        <f>IFERROR(_xlfn.NUMBERVALUE(LEFT(Table11[[#This Row],[Score2 ]],FIND("/",Table11[[#This Row],[Score2 ]])-1)),"")</f>
        <v>73</v>
      </c>
      <c r="P495" t="s">
        <v>170</v>
      </c>
      <c r="Q495" s="1" t="s">
        <v>169</v>
      </c>
      <c r="R495" t="str">
        <f>Table11[[#This Row],[Match]]&amp;" "&amp;Table11[[#This Row],[Over]]</f>
        <v>5 14</v>
      </c>
    </row>
    <row r="496" spans="1:18" x14ac:dyDescent="0.3">
      <c r="A496">
        <v>5</v>
      </c>
      <c r="B496" s="1">
        <v>15</v>
      </c>
      <c r="C496" s="1" t="s">
        <v>1455</v>
      </c>
      <c r="D496" s="1" t="s">
        <v>968</v>
      </c>
      <c r="E496" s="1" t="s">
        <v>1265</v>
      </c>
      <c r="F496" s="1" t="s">
        <v>899</v>
      </c>
      <c r="G496" s="1" t="s">
        <v>2450</v>
      </c>
      <c r="H496" s="1" t="s">
        <v>904</v>
      </c>
      <c r="I496" s="1" t="s">
        <v>2279</v>
      </c>
      <c r="J496" s="1" t="s">
        <v>1238</v>
      </c>
      <c r="K496" s="1" t="s">
        <v>2228</v>
      </c>
      <c r="L496" s="1" t="s">
        <v>1023</v>
      </c>
      <c r="M496" s="1" t="s">
        <v>1016</v>
      </c>
      <c r="N496">
        <f>_xlfn.NUMBERVALUE(LEFT(Table11[[#This Row],[Score]],FIND("/",Table11[[#This Row],[Score]])-1))</f>
        <v>50</v>
      </c>
      <c r="O496">
        <f>IFERROR(_xlfn.NUMBERVALUE(LEFT(Table11[[#This Row],[Score2 ]],FIND("/",Table11[[#This Row],[Score2 ]])-1)),"")</f>
        <v>76</v>
      </c>
      <c r="P496" t="s">
        <v>170</v>
      </c>
      <c r="Q496" s="1" t="s">
        <v>169</v>
      </c>
      <c r="R496" t="str">
        <f>Table11[[#This Row],[Match]]&amp;" "&amp;Table11[[#This Row],[Over]]</f>
        <v>5 15</v>
      </c>
    </row>
    <row r="497" spans="1:18" x14ac:dyDescent="0.3">
      <c r="A497">
        <v>5</v>
      </c>
      <c r="B497" s="1">
        <v>16</v>
      </c>
      <c r="C497" s="1" t="s">
        <v>2451</v>
      </c>
      <c r="D497" s="1" t="s">
        <v>968</v>
      </c>
      <c r="E497" s="1" t="s">
        <v>2452</v>
      </c>
      <c r="F497" s="1" t="s">
        <v>899</v>
      </c>
      <c r="G497" s="1" t="s">
        <v>1307</v>
      </c>
      <c r="H497" s="1" t="s">
        <v>916</v>
      </c>
      <c r="I497" s="1" t="s">
        <v>2406</v>
      </c>
      <c r="J497" s="1" t="s">
        <v>977</v>
      </c>
      <c r="K497" s="1" t="s">
        <v>994</v>
      </c>
      <c r="L497" s="1" t="s">
        <v>1004</v>
      </c>
      <c r="M497" s="1" t="s">
        <v>1024</v>
      </c>
      <c r="N497">
        <f>_xlfn.NUMBERVALUE(LEFT(Table11[[#This Row],[Score]],FIND("/",Table11[[#This Row],[Score]])-1))</f>
        <v>51</v>
      </c>
      <c r="O497">
        <f>IFERROR(_xlfn.NUMBERVALUE(LEFT(Table11[[#This Row],[Score2 ]],FIND("/",Table11[[#This Row],[Score2 ]])-1)),"")</f>
        <v>83</v>
      </c>
      <c r="P497" t="s">
        <v>170</v>
      </c>
      <c r="Q497" s="1" t="s">
        <v>169</v>
      </c>
      <c r="R497" t="str">
        <f>Table11[[#This Row],[Match]]&amp;" "&amp;Table11[[#This Row],[Over]]</f>
        <v>5 16</v>
      </c>
    </row>
    <row r="498" spans="1:18" x14ac:dyDescent="0.3">
      <c r="A498">
        <v>5</v>
      </c>
      <c r="B498" s="1">
        <v>17</v>
      </c>
      <c r="C498" s="1" t="s">
        <v>1991</v>
      </c>
      <c r="D498" s="1" t="s">
        <v>904</v>
      </c>
      <c r="E498" s="1" t="s">
        <v>2453</v>
      </c>
      <c r="F498" s="1" t="s">
        <v>1770</v>
      </c>
      <c r="G498" s="1" t="s">
        <v>1764</v>
      </c>
      <c r="H498" s="1" t="s">
        <v>947</v>
      </c>
      <c r="I498" s="1" t="s">
        <v>1373</v>
      </c>
      <c r="J498" s="1" t="s">
        <v>1029</v>
      </c>
      <c r="K498" s="1" t="s">
        <v>2454</v>
      </c>
      <c r="L498" s="1" t="s">
        <v>2010</v>
      </c>
      <c r="M498" s="1" t="s">
        <v>1031</v>
      </c>
      <c r="N498">
        <f>_xlfn.NUMBERVALUE(LEFT(Table11[[#This Row],[Score]],FIND("/",Table11[[#This Row],[Score]])-1))</f>
        <v>54</v>
      </c>
      <c r="O498">
        <f>IFERROR(_xlfn.NUMBERVALUE(LEFT(Table11[[#This Row],[Score2 ]],FIND("/",Table11[[#This Row],[Score2 ]])-1)),"")</f>
        <v>92</v>
      </c>
      <c r="P498" t="s">
        <v>170</v>
      </c>
      <c r="Q498" s="1" t="s">
        <v>169</v>
      </c>
      <c r="R498" t="str">
        <f>Table11[[#This Row],[Match]]&amp;" "&amp;Table11[[#This Row],[Over]]</f>
        <v>5 17</v>
      </c>
    </row>
    <row r="499" spans="1:18" x14ac:dyDescent="0.3">
      <c r="A499">
        <v>5</v>
      </c>
      <c r="B499" s="1">
        <v>18</v>
      </c>
      <c r="C499" s="1" t="s">
        <v>2455</v>
      </c>
      <c r="D499" s="1" t="s">
        <v>930</v>
      </c>
      <c r="E499" s="1" t="s">
        <v>2456</v>
      </c>
      <c r="F499" s="1" t="s">
        <v>993</v>
      </c>
      <c r="G499" s="1" t="s">
        <v>2457</v>
      </c>
      <c r="H499" s="1" t="s">
        <v>916</v>
      </c>
      <c r="I499" s="1" t="s">
        <v>959</v>
      </c>
      <c r="J499" s="1" t="s">
        <v>1013</v>
      </c>
      <c r="K499" s="1" t="s">
        <v>1244</v>
      </c>
      <c r="L499" s="1" t="s">
        <v>2458</v>
      </c>
      <c r="M499" s="1" t="s">
        <v>1037</v>
      </c>
      <c r="N499">
        <f>_xlfn.NUMBERVALUE(LEFT(Table11[[#This Row],[Score]],FIND("/",Table11[[#This Row],[Score]])-1))</f>
        <v>62</v>
      </c>
      <c r="O499">
        <f>IFERROR(_xlfn.NUMBERVALUE(LEFT(Table11[[#This Row],[Score2 ]],FIND("/",Table11[[#This Row],[Score2 ]])-1)),"")</f>
        <v>99</v>
      </c>
      <c r="P499" t="s">
        <v>170</v>
      </c>
      <c r="Q499" s="1" t="s">
        <v>169</v>
      </c>
      <c r="R499" t="str">
        <f>Table11[[#This Row],[Match]]&amp;" "&amp;Table11[[#This Row],[Over]]</f>
        <v>5 18</v>
      </c>
    </row>
    <row r="500" spans="1:18" x14ac:dyDescent="0.3">
      <c r="A500">
        <v>5</v>
      </c>
      <c r="B500" s="1">
        <v>19</v>
      </c>
      <c r="C500" s="1" t="s">
        <v>2459</v>
      </c>
      <c r="D500" s="1" t="s">
        <v>950</v>
      </c>
      <c r="E500" s="1" t="s">
        <v>1874</v>
      </c>
      <c r="F500" s="1" t="s">
        <v>977</v>
      </c>
      <c r="G500" s="1" t="s">
        <v>2354</v>
      </c>
      <c r="H500" s="1" t="s">
        <v>904</v>
      </c>
      <c r="I500" s="1" t="s">
        <v>1652</v>
      </c>
      <c r="J500" s="1" t="s">
        <v>1013</v>
      </c>
      <c r="K500" s="1" t="s">
        <v>2228</v>
      </c>
      <c r="L500" s="1" t="s">
        <v>1062</v>
      </c>
      <c r="M500" s="1" t="s">
        <v>1043</v>
      </c>
      <c r="N500">
        <f>_xlfn.NUMBERVALUE(LEFT(Table11[[#This Row],[Score]],FIND("/",Table11[[#This Row],[Score]])-1))</f>
        <v>67</v>
      </c>
      <c r="O500">
        <f>IFERROR(_xlfn.NUMBERVALUE(LEFT(Table11[[#This Row],[Score2 ]],FIND("/",Table11[[#This Row],[Score2 ]])-1)),"")</f>
        <v>102</v>
      </c>
      <c r="P500" t="s">
        <v>170</v>
      </c>
      <c r="Q500" s="1" t="s">
        <v>169</v>
      </c>
      <c r="R500" t="str">
        <f>Table11[[#This Row],[Match]]&amp;" "&amp;Table11[[#This Row],[Over]]</f>
        <v>5 19</v>
      </c>
    </row>
    <row r="501" spans="1:18" x14ac:dyDescent="0.3">
      <c r="A501">
        <v>5</v>
      </c>
      <c r="B501" s="1">
        <v>20</v>
      </c>
      <c r="C501" s="1" t="s">
        <v>1998</v>
      </c>
      <c r="D501" s="1" t="s">
        <v>998</v>
      </c>
      <c r="E501" s="1" t="s">
        <v>1263</v>
      </c>
      <c r="F501" s="1" t="s">
        <v>931</v>
      </c>
      <c r="G501" s="1" t="s">
        <v>2460</v>
      </c>
      <c r="H501" s="1" t="s">
        <v>998</v>
      </c>
      <c r="I501" s="1" t="s">
        <v>1065</v>
      </c>
      <c r="J501" s="1" t="s">
        <v>1019</v>
      </c>
      <c r="K501" s="1" t="s">
        <v>2461</v>
      </c>
      <c r="L501" s="1" t="s">
        <v>1076</v>
      </c>
      <c r="M501" s="1" t="s">
        <v>1049</v>
      </c>
      <c r="N501">
        <f>_xlfn.NUMBERVALUE(LEFT(Table11[[#This Row],[Score]],FIND("/",Table11[[#This Row],[Score]])-1))</f>
        <v>71</v>
      </c>
      <c r="O501">
        <f>IFERROR(_xlfn.NUMBERVALUE(LEFT(Table11[[#This Row],[Score2 ]],FIND("/",Table11[[#This Row],[Score2 ]])-1)),"")</f>
        <v>106</v>
      </c>
      <c r="P501" t="s">
        <v>170</v>
      </c>
      <c r="Q501" s="1" t="s">
        <v>169</v>
      </c>
      <c r="R501" t="str">
        <f>Table11[[#This Row],[Match]]&amp;" "&amp;Table11[[#This Row],[Over]]</f>
        <v>5 20</v>
      </c>
    </row>
    <row r="502" spans="1:18" x14ac:dyDescent="0.3">
      <c r="A502">
        <v>5</v>
      </c>
      <c r="B502" s="1">
        <v>21</v>
      </c>
      <c r="C502" s="1" t="s">
        <v>2462</v>
      </c>
      <c r="D502" s="1" t="s">
        <v>916</v>
      </c>
      <c r="E502" s="1" t="s">
        <v>1255</v>
      </c>
      <c r="F502" s="1" t="s">
        <v>966</v>
      </c>
      <c r="G502" s="1" t="s">
        <v>1057</v>
      </c>
      <c r="H502" s="1" t="s">
        <v>947</v>
      </c>
      <c r="I502" s="1" t="s">
        <v>2070</v>
      </c>
      <c r="J502" s="1" t="s">
        <v>943</v>
      </c>
      <c r="K502" s="1" t="s">
        <v>1256</v>
      </c>
      <c r="L502" s="1" t="s">
        <v>1509</v>
      </c>
      <c r="M502" s="1" t="s">
        <v>1056</v>
      </c>
      <c r="N502">
        <f>_xlfn.NUMBERVALUE(LEFT(Table11[[#This Row],[Score]],FIND("/",Table11[[#This Row],[Score]])-1))</f>
        <v>78</v>
      </c>
      <c r="O502">
        <f>IFERROR(_xlfn.NUMBERVALUE(LEFT(Table11[[#This Row],[Score2 ]],FIND("/",Table11[[#This Row],[Score2 ]])-1)),"")</f>
        <v>115</v>
      </c>
      <c r="P502" t="s">
        <v>170</v>
      </c>
      <c r="Q502" s="1" t="s">
        <v>169</v>
      </c>
      <c r="R502" t="str">
        <f>Table11[[#This Row],[Match]]&amp;" "&amp;Table11[[#This Row],[Over]]</f>
        <v>5 21</v>
      </c>
    </row>
    <row r="503" spans="1:18" x14ac:dyDescent="0.3">
      <c r="A503">
        <v>5</v>
      </c>
      <c r="B503" s="1">
        <v>22</v>
      </c>
      <c r="C503" s="1" t="s">
        <v>1888</v>
      </c>
      <c r="D503" s="1" t="s">
        <v>922</v>
      </c>
      <c r="E503" s="1" t="s">
        <v>1866</v>
      </c>
      <c r="F503" s="1" t="s">
        <v>1019</v>
      </c>
      <c r="G503" s="1" t="s">
        <v>2130</v>
      </c>
      <c r="H503" s="1" t="s">
        <v>998</v>
      </c>
      <c r="I503" s="1" t="s">
        <v>966</v>
      </c>
      <c r="J503" s="1" t="s">
        <v>966</v>
      </c>
      <c r="K503" s="1" t="s">
        <v>2086</v>
      </c>
      <c r="L503" s="1" t="s">
        <v>1043</v>
      </c>
      <c r="M503" s="1" t="s">
        <v>1063</v>
      </c>
      <c r="N503">
        <f>_xlfn.NUMBERVALUE(LEFT(Table11[[#This Row],[Score]],FIND("/",Table11[[#This Row],[Score]])-1))</f>
        <v>84</v>
      </c>
      <c r="O503">
        <f>IFERROR(_xlfn.NUMBERVALUE(LEFT(Table11[[#This Row],[Score2 ]],FIND("/",Table11[[#This Row],[Score2 ]])-1)),"")</f>
        <v>119</v>
      </c>
      <c r="P503" t="s">
        <v>170</v>
      </c>
      <c r="Q503" s="1" t="s">
        <v>169</v>
      </c>
      <c r="R503" t="str">
        <f>Table11[[#This Row],[Match]]&amp;" "&amp;Table11[[#This Row],[Over]]</f>
        <v>5 22</v>
      </c>
    </row>
    <row r="504" spans="1:18" x14ac:dyDescent="0.3">
      <c r="A504">
        <v>5</v>
      </c>
      <c r="B504" s="1">
        <v>23</v>
      </c>
      <c r="C504" s="1" t="s">
        <v>2463</v>
      </c>
      <c r="D504" s="1" t="s">
        <v>898</v>
      </c>
      <c r="E504" s="1" t="s">
        <v>1848</v>
      </c>
      <c r="F504" s="1" t="s">
        <v>1093</v>
      </c>
      <c r="G504" s="1" t="s">
        <v>1078</v>
      </c>
      <c r="H504" s="1" t="s">
        <v>1103</v>
      </c>
      <c r="I504" s="1" t="s">
        <v>1192</v>
      </c>
      <c r="J504" s="1" t="s">
        <v>943</v>
      </c>
      <c r="K504" s="1" t="s">
        <v>1469</v>
      </c>
      <c r="L504" s="1" t="s">
        <v>1056</v>
      </c>
      <c r="M504" s="1" t="s">
        <v>1070</v>
      </c>
      <c r="N504">
        <f>_xlfn.NUMBERVALUE(LEFT(Table11[[#This Row],[Score]],FIND("/",Table11[[#This Row],[Score]])-1))</f>
        <v>86</v>
      </c>
      <c r="O504">
        <f>IFERROR(_xlfn.NUMBERVALUE(LEFT(Table11[[#This Row],[Score2 ]],FIND("/",Table11[[#This Row],[Score2 ]])-1)),"")</f>
        <v>131</v>
      </c>
      <c r="P504" t="s">
        <v>170</v>
      </c>
      <c r="Q504" s="1" t="s">
        <v>169</v>
      </c>
      <c r="R504" t="str">
        <f>Table11[[#This Row],[Match]]&amp;" "&amp;Table11[[#This Row],[Over]]</f>
        <v>5 23</v>
      </c>
    </row>
    <row r="505" spans="1:18" x14ac:dyDescent="0.3">
      <c r="A505">
        <v>5</v>
      </c>
      <c r="B505" s="1">
        <v>24</v>
      </c>
      <c r="C505" s="1" t="s">
        <v>2464</v>
      </c>
      <c r="D505" s="1" t="s">
        <v>998</v>
      </c>
      <c r="E505" s="1" t="s">
        <v>1276</v>
      </c>
      <c r="F505" s="1" t="s">
        <v>976</v>
      </c>
      <c r="G505" s="1" t="s">
        <v>1099</v>
      </c>
      <c r="H505" s="1" t="s">
        <v>1390</v>
      </c>
      <c r="I505" s="1" t="s">
        <v>1019</v>
      </c>
      <c r="J505" s="1" t="s">
        <v>1335</v>
      </c>
      <c r="K505" s="1" t="s">
        <v>2465</v>
      </c>
      <c r="L505" s="1" t="s">
        <v>1355</v>
      </c>
      <c r="M505" s="1" t="s">
        <v>1077</v>
      </c>
      <c r="N505">
        <f>_xlfn.NUMBERVALUE(LEFT(Table11[[#This Row],[Score]],FIND("/",Table11[[#This Row],[Score]])-1))</f>
        <v>90</v>
      </c>
      <c r="O505">
        <f>IFERROR(_xlfn.NUMBERVALUE(LEFT(Table11[[#This Row],[Score2 ]],FIND("/",Table11[[#This Row],[Score2 ]])-1)),"")</f>
        <v>144</v>
      </c>
      <c r="P505" t="s">
        <v>170</v>
      </c>
      <c r="Q505" s="1" t="s">
        <v>169</v>
      </c>
      <c r="R505" t="str">
        <f>Table11[[#This Row],[Match]]&amp;" "&amp;Table11[[#This Row],[Over]]</f>
        <v>5 24</v>
      </c>
    </row>
    <row r="506" spans="1:18" x14ac:dyDescent="0.3">
      <c r="A506">
        <v>5</v>
      </c>
      <c r="B506" s="1">
        <v>25</v>
      </c>
      <c r="C506" s="1" t="s">
        <v>2466</v>
      </c>
      <c r="D506" s="1" t="s">
        <v>904</v>
      </c>
      <c r="E506" s="1" t="s">
        <v>1493</v>
      </c>
      <c r="F506" s="1" t="s">
        <v>940</v>
      </c>
      <c r="G506" s="1" t="s">
        <v>2467</v>
      </c>
      <c r="H506" s="1" t="s">
        <v>1223</v>
      </c>
      <c r="I506" s="1" t="s">
        <v>2468</v>
      </c>
      <c r="J506" s="1" t="s">
        <v>1207</v>
      </c>
      <c r="K506" s="1" t="s">
        <v>1597</v>
      </c>
      <c r="L506" s="1" t="s">
        <v>2469</v>
      </c>
      <c r="M506" s="1" t="s">
        <v>1083</v>
      </c>
      <c r="N506">
        <f>_xlfn.NUMBERVALUE(LEFT(Table11[[#This Row],[Score]],FIND("/",Table11[[#This Row],[Score]])-1))</f>
        <v>93</v>
      </c>
      <c r="O506">
        <f>IFERROR(_xlfn.NUMBERVALUE(LEFT(Table11[[#This Row],[Score2 ]],FIND("/",Table11[[#This Row],[Score2 ]])-1)),"")</f>
        <v>162</v>
      </c>
      <c r="P506" t="s">
        <v>170</v>
      </c>
      <c r="Q506" s="1" t="s">
        <v>169</v>
      </c>
      <c r="R506" t="str">
        <f>Table11[[#This Row],[Match]]&amp;" "&amp;Table11[[#This Row],[Over]]</f>
        <v>5 25</v>
      </c>
    </row>
    <row r="507" spans="1:18" x14ac:dyDescent="0.3">
      <c r="A507">
        <v>5</v>
      </c>
      <c r="B507" s="1">
        <v>26</v>
      </c>
      <c r="C507" s="1" t="s">
        <v>2470</v>
      </c>
      <c r="D507" s="1" t="s">
        <v>922</v>
      </c>
      <c r="E507" s="1" t="s">
        <v>990</v>
      </c>
      <c r="F507" s="1" t="s">
        <v>931</v>
      </c>
      <c r="G507" s="1" t="s">
        <v>2471</v>
      </c>
      <c r="H507" s="1" t="s">
        <v>998</v>
      </c>
      <c r="I507" s="1" t="s">
        <v>1459</v>
      </c>
      <c r="J507" s="1" t="s">
        <v>1746</v>
      </c>
      <c r="K507" s="1" t="s">
        <v>2472</v>
      </c>
      <c r="L507" s="1" t="s">
        <v>1544</v>
      </c>
      <c r="M507" s="1" t="s">
        <v>1090</v>
      </c>
      <c r="N507">
        <f>_xlfn.NUMBERVALUE(LEFT(Table11[[#This Row],[Score]],FIND("/",Table11[[#This Row],[Score]])-1))</f>
        <v>99</v>
      </c>
      <c r="O507">
        <f>IFERROR(_xlfn.NUMBERVALUE(LEFT(Table11[[#This Row],[Score2 ]],FIND("/",Table11[[#This Row],[Score2 ]])-1)),"")</f>
        <v>166</v>
      </c>
      <c r="P507" t="s">
        <v>170</v>
      </c>
      <c r="Q507" s="1" t="s">
        <v>169</v>
      </c>
      <c r="R507" t="str">
        <f>Table11[[#This Row],[Match]]&amp;" "&amp;Table11[[#This Row],[Over]]</f>
        <v>5 26</v>
      </c>
    </row>
    <row r="508" spans="1:18" x14ac:dyDescent="0.3">
      <c r="A508">
        <v>5</v>
      </c>
      <c r="B508" s="1">
        <v>27</v>
      </c>
      <c r="C508" s="1" t="s">
        <v>2473</v>
      </c>
      <c r="D508" s="1" t="s">
        <v>898</v>
      </c>
      <c r="E508" s="1" t="s">
        <v>2474</v>
      </c>
      <c r="F508" s="1" t="s">
        <v>1247</v>
      </c>
      <c r="G508" s="1" t="s">
        <v>2475</v>
      </c>
      <c r="H508" s="1" t="s">
        <v>950</v>
      </c>
      <c r="I508" s="1" t="s">
        <v>1723</v>
      </c>
      <c r="J508" s="1" t="s">
        <v>1409</v>
      </c>
      <c r="K508" s="1" t="s">
        <v>2375</v>
      </c>
      <c r="L508" s="1" t="s">
        <v>1868</v>
      </c>
      <c r="M508" s="1" t="s">
        <v>1098</v>
      </c>
      <c r="N508">
        <f>_xlfn.NUMBERVALUE(LEFT(Table11[[#This Row],[Score]],FIND("/",Table11[[#This Row],[Score]])-1))</f>
        <v>101</v>
      </c>
      <c r="O508">
        <f>IFERROR(_xlfn.NUMBERVALUE(LEFT(Table11[[#This Row],[Score2 ]],FIND("/",Table11[[#This Row],[Score2 ]])-1)),"")</f>
        <v>171</v>
      </c>
      <c r="P508" t="s">
        <v>170</v>
      </c>
      <c r="Q508" s="1" t="s">
        <v>169</v>
      </c>
      <c r="R508" t="str">
        <f>Table11[[#This Row],[Match]]&amp;" "&amp;Table11[[#This Row],[Over]]</f>
        <v>5 27</v>
      </c>
    </row>
    <row r="509" spans="1:18" x14ac:dyDescent="0.3">
      <c r="A509">
        <v>5</v>
      </c>
      <c r="B509" s="1">
        <v>28</v>
      </c>
      <c r="C509" s="1" t="s">
        <v>2476</v>
      </c>
      <c r="D509" s="1" t="s">
        <v>968</v>
      </c>
      <c r="E509" s="1" t="s">
        <v>1873</v>
      </c>
      <c r="F509" s="1" t="s">
        <v>1259</v>
      </c>
      <c r="G509" s="1" t="s">
        <v>2477</v>
      </c>
      <c r="H509" s="1" t="s">
        <v>922</v>
      </c>
      <c r="I509" s="1" t="s">
        <v>1444</v>
      </c>
      <c r="J509" s="1" t="s">
        <v>1200</v>
      </c>
      <c r="K509" s="1" t="s">
        <v>1420</v>
      </c>
      <c r="L509" s="1" t="s">
        <v>2478</v>
      </c>
      <c r="M509" s="1" t="s">
        <v>1101</v>
      </c>
      <c r="N509">
        <f>_xlfn.NUMBERVALUE(LEFT(Table11[[#This Row],[Score]],FIND("/",Table11[[#This Row],[Score]])-1))</f>
        <v>102</v>
      </c>
      <c r="O509">
        <f>IFERROR(_xlfn.NUMBERVALUE(LEFT(Table11[[#This Row],[Score2 ]],FIND("/",Table11[[#This Row],[Score2 ]])-1)),"")</f>
        <v>177</v>
      </c>
      <c r="P509" t="s">
        <v>170</v>
      </c>
      <c r="Q509" s="1" t="s">
        <v>169</v>
      </c>
      <c r="R509" t="str">
        <f>Table11[[#This Row],[Match]]&amp;" "&amp;Table11[[#This Row],[Over]]</f>
        <v>5 28</v>
      </c>
    </row>
    <row r="510" spans="1:18" x14ac:dyDescent="0.3">
      <c r="A510">
        <v>5</v>
      </c>
      <c r="B510" s="1">
        <v>29</v>
      </c>
      <c r="C510" s="1" t="s">
        <v>2479</v>
      </c>
      <c r="D510" s="1" t="s">
        <v>898</v>
      </c>
      <c r="E510" s="1" t="s">
        <v>1881</v>
      </c>
      <c r="F510" s="1" t="s">
        <v>993</v>
      </c>
      <c r="G510" s="1" t="s">
        <v>2480</v>
      </c>
      <c r="H510" s="1" t="s">
        <v>904</v>
      </c>
      <c r="I510" s="1" t="s">
        <v>970</v>
      </c>
      <c r="J510" s="1" t="s">
        <v>1116</v>
      </c>
      <c r="K510" s="1" t="s">
        <v>1428</v>
      </c>
      <c r="L510" s="1" t="s">
        <v>1554</v>
      </c>
      <c r="M510" s="1" t="s">
        <v>1108</v>
      </c>
      <c r="N510">
        <f>_xlfn.NUMBERVALUE(LEFT(Table11[[#This Row],[Score]],FIND("/",Table11[[#This Row],[Score]])-1))</f>
        <v>104</v>
      </c>
      <c r="O510">
        <f>IFERROR(_xlfn.NUMBERVALUE(LEFT(Table11[[#This Row],[Score2 ]],FIND("/",Table11[[#This Row],[Score2 ]])-1)),"")</f>
        <v>180</v>
      </c>
      <c r="P510" t="s">
        <v>170</v>
      </c>
      <c r="Q510" s="1" t="s">
        <v>169</v>
      </c>
      <c r="R510" t="str">
        <f>Table11[[#This Row],[Match]]&amp;" "&amp;Table11[[#This Row],[Over]]</f>
        <v>5 29</v>
      </c>
    </row>
    <row r="511" spans="1:18" x14ac:dyDescent="0.3">
      <c r="A511">
        <v>5</v>
      </c>
      <c r="B511" s="1">
        <v>30</v>
      </c>
      <c r="C511" s="1" t="s">
        <v>2481</v>
      </c>
      <c r="D511" s="1" t="s">
        <v>898</v>
      </c>
      <c r="E511" s="1" t="s">
        <v>2482</v>
      </c>
      <c r="F511" s="1" t="s">
        <v>984</v>
      </c>
      <c r="G511" s="1" t="s">
        <v>2483</v>
      </c>
      <c r="H511" s="1" t="s">
        <v>922</v>
      </c>
      <c r="I511" s="1" t="s">
        <v>970</v>
      </c>
      <c r="J511" s="1" t="s">
        <v>1093</v>
      </c>
      <c r="K511" s="1" t="s">
        <v>1428</v>
      </c>
      <c r="L511" s="1" t="s">
        <v>2484</v>
      </c>
      <c r="M511" s="1" t="s">
        <v>1113</v>
      </c>
      <c r="N511">
        <f>_xlfn.NUMBERVALUE(LEFT(Table11[[#This Row],[Score]],FIND("/",Table11[[#This Row],[Score]])-1))</f>
        <v>106</v>
      </c>
      <c r="O511">
        <f>IFERROR(_xlfn.NUMBERVALUE(LEFT(Table11[[#This Row],[Score2 ]],FIND("/",Table11[[#This Row],[Score2 ]])-1)),"")</f>
        <v>186</v>
      </c>
      <c r="P511" t="s">
        <v>170</v>
      </c>
      <c r="Q511" s="1" t="s">
        <v>169</v>
      </c>
      <c r="R511" t="str">
        <f>Table11[[#This Row],[Match]]&amp;" "&amp;Table11[[#This Row],[Over]]</f>
        <v>5 30</v>
      </c>
    </row>
    <row r="512" spans="1:18" x14ac:dyDescent="0.3">
      <c r="A512">
        <v>5</v>
      </c>
      <c r="B512" s="1">
        <v>31</v>
      </c>
      <c r="C512" s="1" t="s">
        <v>2485</v>
      </c>
      <c r="D512" s="1" t="s">
        <v>998</v>
      </c>
      <c r="E512" s="1" t="s">
        <v>1902</v>
      </c>
      <c r="F512" s="1" t="s">
        <v>1383</v>
      </c>
      <c r="G512" s="1" t="s">
        <v>1139</v>
      </c>
      <c r="H512" s="1" t="s">
        <v>922</v>
      </c>
      <c r="I512" s="1" t="s">
        <v>2465</v>
      </c>
      <c r="J512" s="1" t="s">
        <v>1029</v>
      </c>
      <c r="K512" s="1" t="s">
        <v>2389</v>
      </c>
      <c r="L512" s="1" t="s">
        <v>1170</v>
      </c>
      <c r="M512" s="1" t="s">
        <v>1121</v>
      </c>
      <c r="N512">
        <f>_xlfn.NUMBERVALUE(LEFT(Table11[[#This Row],[Score]],FIND("/",Table11[[#This Row],[Score]])-1))</f>
        <v>110</v>
      </c>
      <c r="O512">
        <f>IFERROR(_xlfn.NUMBERVALUE(LEFT(Table11[[#This Row],[Score2 ]],FIND("/",Table11[[#This Row],[Score2 ]])-1)),"")</f>
        <v>192</v>
      </c>
      <c r="P512" t="s">
        <v>170</v>
      </c>
      <c r="Q512" s="1" t="s">
        <v>169</v>
      </c>
      <c r="R512" t="str">
        <f>Table11[[#This Row],[Match]]&amp;" "&amp;Table11[[#This Row],[Over]]</f>
        <v>5 31</v>
      </c>
    </row>
    <row r="513" spans="1:18" x14ac:dyDescent="0.3">
      <c r="A513">
        <v>5</v>
      </c>
      <c r="B513" s="1">
        <v>32</v>
      </c>
      <c r="C513" s="1" t="s">
        <v>2486</v>
      </c>
      <c r="D513" s="1" t="s">
        <v>1095</v>
      </c>
      <c r="E513" s="1" t="s">
        <v>1276</v>
      </c>
      <c r="F513" s="1" t="s">
        <v>990</v>
      </c>
      <c r="G513" s="1" t="s">
        <v>2487</v>
      </c>
      <c r="H513" s="1" t="s">
        <v>947</v>
      </c>
      <c r="I513" s="1" t="s">
        <v>2440</v>
      </c>
      <c r="J513" s="1" t="s">
        <v>1019</v>
      </c>
      <c r="K513" s="1" t="s">
        <v>2424</v>
      </c>
      <c r="L513" s="1" t="s">
        <v>1571</v>
      </c>
      <c r="M513" s="1" t="s">
        <v>1127</v>
      </c>
      <c r="N513">
        <f>_xlfn.NUMBERVALUE(LEFT(Table11[[#This Row],[Score]],FIND("/",Table11[[#This Row],[Score]])-1))</f>
        <v>120</v>
      </c>
      <c r="O513">
        <f>IFERROR(_xlfn.NUMBERVALUE(LEFT(Table11[[#This Row],[Score2 ]],FIND("/",Table11[[#This Row],[Score2 ]])-1)),"")</f>
        <v>201</v>
      </c>
      <c r="P513" t="s">
        <v>170</v>
      </c>
      <c r="Q513" s="1" t="s">
        <v>169</v>
      </c>
      <c r="R513" t="str">
        <f>Table11[[#This Row],[Match]]&amp;" "&amp;Table11[[#This Row],[Over]]</f>
        <v>5 32</v>
      </c>
    </row>
    <row r="514" spans="1:18" x14ac:dyDescent="0.3">
      <c r="A514">
        <v>5</v>
      </c>
      <c r="B514" s="1">
        <v>33</v>
      </c>
      <c r="C514" s="1" t="s">
        <v>2488</v>
      </c>
      <c r="D514" s="1" t="s">
        <v>904</v>
      </c>
      <c r="E514" s="1" t="s">
        <v>1493</v>
      </c>
      <c r="F514" s="1" t="s">
        <v>931</v>
      </c>
      <c r="G514" s="1" t="s">
        <v>1165</v>
      </c>
      <c r="H514" s="1" t="s">
        <v>1103</v>
      </c>
      <c r="I514" s="1" t="s">
        <v>2454</v>
      </c>
      <c r="J514" s="1" t="s">
        <v>1116</v>
      </c>
      <c r="K514" s="1" t="s">
        <v>1373</v>
      </c>
      <c r="L514" s="1" t="s">
        <v>2489</v>
      </c>
      <c r="M514" s="1" t="s">
        <v>1132</v>
      </c>
      <c r="N514">
        <f>_xlfn.NUMBERVALUE(LEFT(Table11[[#This Row],[Score]],FIND("/",Table11[[#This Row],[Score]])-1))</f>
        <v>123</v>
      </c>
      <c r="O514">
        <f>IFERROR(_xlfn.NUMBERVALUE(LEFT(Table11[[#This Row],[Score2 ]],FIND("/",Table11[[#This Row],[Score2 ]])-1)),"")</f>
        <v>213</v>
      </c>
      <c r="P514" t="s">
        <v>170</v>
      </c>
      <c r="Q514" s="1" t="s">
        <v>169</v>
      </c>
      <c r="R514" t="str">
        <f>Table11[[#This Row],[Match]]&amp;" "&amp;Table11[[#This Row],[Over]]</f>
        <v>5 33</v>
      </c>
    </row>
    <row r="515" spans="1:18" x14ac:dyDescent="0.3">
      <c r="A515">
        <v>5</v>
      </c>
      <c r="B515" s="1">
        <v>34</v>
      </c>
      <c r="C515" s="1" t="s">
        <v>2490</v>
      </c>
      <c r="D515" s="1" t="s">
        <v>922</v>
      </c>
      <c r="E515" s="1" t="s">
        <v>1855</v>
      </c>
      <c r="F515" s="1" t="s">
        <v>969</v>
      </c>
      <c r="G515" s="1" t="s">
        <v>1178</v>
      </c>
      <c r="H515" s="1" t="s">
        <v>1051</v>
      </c>
      <c r="I515" s="1" t="s">
        <v>1988</v>
      </c>
      <c r="J515" s="1" t="s">
        <v>1154</v>
      </c>
      <c r="K515" s="1" t="s">
        <v>2279</v>
      </c>
      <c r="L515" s="1" t="s">
        <v>1210</v>
      </c>
      <c r="M515" s="1" t="s">
        <v>1138</v>
      </c>
      <c r="N515">
        <f>_xlfn.NUMBERVALUE(LEFT(Table11[[#This Row],[Score]],FIND("/",Table11[[#This Row],[Score]])-1))</f>
        <v>129</v>
      </c>
      <c r="O515">
        <f>IFERROR(_xlfn.NUMBERVALUE(LEFT(Table11[[#This Row],[Score2 ]],FIND("/",Table11[[#This Row],[Score2 ]])-1)),"")</f>
        <v>224</v>
      </c>
      <c r="P515" t="s">
        <v>170</v>
      </c>
      <c r="Q515" s="1" t="s">
        <v>169</v>
      </c>
      <c r="R515" t="str">
        <f>Table11[[#This Row],[Match]]&amp;" "&amp;Table11[[#This Row],[Over]]</f>
        <v>5 34</v>
      </c>
    </row>
    <row r="516" spans="1:18" x14ac:dyDescent="0.3">
      <c r="A516">
        <v>5</v>
      </c>
      <c r="B516" s="1">
        <v>35</v>
      </c>
      <c r="C516" s="1" t="s">
        <v>1123</v>
      </c>
      <c r="D516" s="1" t="s">
        <v>930</v>
      </c>
      <c r="E516" s="1" t="s">
        <v>1278</v>
      </c>
      <c r="F516" s="1" t="s">
        <v>970</v>
      </c>
      <c r="G516" s="1" t="s">
        <v>2491</v>
      </c>
      <c r="H516" s="1" t="s">
        <v>947</v>
      </c>
      <c r="I516" s="1" t="s">
        <v>2492</v>
      </c>
      <c r="J516" s="1" t="s">
        <v>1226</v>
      </c>
      <c r="K516" s="1" t="s">
        <v>1093</v>
      </c>
      <c r="L516" s="1" t="s">
        <v>1164</v>
      </c>
      <c r="M516" s="1" t="s">
        <v>1143</v>
      </c>
      <c r="N516">
        <f>_xlfn.NUMBERVALUE(LEFT(Table11[[#This Row],[Score]],FIND("/",Table11[[#This Row],[Score]])-1))</f>
        <v>137</v>
      </c>
      <c r="O516">
        <f>IFERROR(_xlfn.NUMBERVALUE(LEFT(Table11[[#This Row],[Score2 ]],FIND("/",Table11[[#This Row],[Score2 ]])-1)),"")</f>
        <v>233</v>
      </c>
      <c r="P516" t="s">
        <v>170</v>
      </c>
      <c r="Q516" s="1" t="s">
        <v>169</v>
      </c>
      <c r="R516" t="str">
        <f>Table11[[#This Row],[Match]]&amp;" "&amp;Table11[[#This Row],[Over]]</f>
        <v>5 35</v>
      </c>
    </row>
    <row r="517" spans="1:18" x14ac:dyDescent="0.3">
      <c r="A517">
        <v>5</v>
      </c>
      <c r="B517" s="1">
        <v>36</v>
      </c>
      <c r="C517" s="1" t="s">
        <v>2493</v>
      </c>
      <c r="D517" s="1" t="s">
        <v>916</v>
      </c>
      <c r="E517" s="1" t="s">
        <v>939</v>
      </c>
      <c r="F517" s="1" t="s">
        <v>1053</v>
      </c>
      <c r="G517" s="1" t="s">
        <v>2494</v>
      </c>
      <c r="H517" s="1" t="s">
        <v>950</v>
      </c>
      <c r="I517" s="1" t="s">
        <v>1754</v>
      </c>
      <c r="J517" s="1" t="s">
        <v>1200</v>
      </c>
      <c r="K517" s="1" t="s">
        <v>1180</v>
      </c>
      <c r="L517" s="1" t="s">
        <v>2495</v>
      </c>
      <c r="M517" s="1" t="s">
        <v>1150</v>
      </c>
      <c r="N517">
        <f>_xlfn.NUMBERVALUE(LEFT(Table11[[#This Row],[Score]],FIND("/",Table11[[#This Row],[Score]])-1))</f>
        <v>144</v>
      </c>
      <c r="O517">
        <f>IFERROR(_xlfn.NUMBERVALUE(LEFT(Table11[[#This Row],[Score2 ]],FIND("/",Table11[[#This Row],[Score2 ]])-1)),"")</f>
        <v>238</v>
      </c>
      <c r="P517" t="s">
        <v>170</v>
      </c>
      <c r="Q517" s="1" t="s">
        <v>169</v>
      </c>
      <c r="R517" t="str">
        <f>Table11[[#This Row],[Match]]&amp;" "&amp;Table11[[#This Row],[Over]]</f>
        <v>5 36</v>
      </c>
    </row>
    <row r="518" spans="1:18" x14ac:dyDescent="0.3">
      <c r="A518">
        <v>5</v>
      </c>
      <c r="B518" s="1">
        <v>37</v>
      </c>
      <c r="C518" s="1" t="s">
        <v>2496</v>
      </c>
      <c r="D518" s="1" t="s">
        <v>930</v>
      </c>
      <c r="E518" s="1" t="s">
        <v>1483</v>
      </c>
      <c r="F518" s="1" t="s">
        <v>943</v>
      </c>
      <c r="G518" s="1" t="s">
        <v>2497</v>
      </c>
      <c r="H518" s="1" t="s">
        <v>922</v>
      </c>
      <c r="I518" s="1" t="s">
        <v>2319</v>
      </c>
      <c r="J518" s="1" t="s">
        <v>1414</v>
      </c>
      <c r="K518" s="1" t="s">
        <v>1148</v>
      </c>
      <c r="L518" s="1" t="s">
        <v>1595</v>
      </c>
      <c r="M518" s="1" t="s">
        <v>1156</v>
      </c>
      <c r="N518">
        <f>_xlfn.NUMBERVALUE(LEFT(Table11[[#This Row],[Score]],FIND("/",Table11[[#This Row],[Score]])-1))</f>
        <v>152</v>
      </c>
      <c r="O518">
        <f>IFERROR(_xlfn.NUMBERVALUE(LEFT(Table11[[#This Row],[Score2 ]],FIND("/",Table11[[#This Row],[Score2 ]])-1)),"")</f>
        <v>244</v>
      </c>
      <c r="P518" t="s">
        <v>170</v>
      </c>
      <c r="Q518" s="1" t="s">
        <v>169</v>
      </c>
      <c r="R518" t="str">
        <f>Table11[[#This Row],[Match]]&amp;" "&amp;Table11[[#This Row],[Over]]</f>
        <v>5 37</v>
      </c>
    </row>
    <row r="519" spans="1:18" x14ac:dyDescent="0.3">
      <c r="A519">
        <v>5</v>
      </c>
      <c r="B519" s="1">
        <v>38</v>
      </c>
      <c r="C519" s="1" t="s">
        <v>2498</v>
      </c>
      <c r="D519" s="1" t="s">
        <v>1051</v>
      </c>
      <c r="E519" s="1" t="s">
        <v>1124</v>
      </c>
      <c r="F519" s="1" t="s">
        <v>1089</v>
      </c>
      <c r="G519" s="1" t="s">
        <v>2499</v>
      </c>
      <c r="H519" s="1" t="s">
        <v>1051</v>
      </c>
      <c r="I519" s="1" t="s">
        <v>1735</v>
      </c>
      <c r="J519" s="1" t="s">
        <v>1335</v>
      </c>
      <c r="K519" s="1" t="s">
        <v>1632</v>
      </c>
      <c r="L519" s="1" t="s">
        <v>1812</v>
      </c>
      <c r="M519" s="1" t="s">
        <v>1164</v>
      </c>
      <c r="N519">
        <f>_xlfn.NUMBERVALUE(LEFT(Table11[[#This Row],[Score]],FIND("/",Table11[[#This Row],[Score]])-1))</f>
        <v>163</v>
      </c>
      <c r="O519">
        <f>IFERROR(_xlfn.NUMBERVALUE(LEFT(Table11[[#This Row],[Score2 ]],FIND("/",Table11[[#This Row],[Score2 ]])-1)),"")</f>
        <v>255</v>
      </c>
      <c r="P519" t="s">
        <v>170</v>
      </c>
      <c r="Q519" s="1" t="s">
        <v>169</v>
      </c>
      <c r="R519" t="str">
        <f>Table11[[#This Row],[Match]]&amp;" "&amp;Table11[[#This Row],[Over]]</f>
        <v>5 38</v>
      </c>
    </row>
    <row r="520" spans="1:18" x14ac:dyDescent="0.3">
      <c r="A520">
        <v>5</v>
      </c>
      <c r="B520" s="1">
        <v>39</v>
      </c>
      <c r="C520" s="1" t="s">
        <v>2500</v>
      </c>
      <c r="D520" s="1" t="s">
        <v>950</v>
      </c>
      <c r="E520" s="1" t="s">
        <v>999</v>
      </c>
      <c r="F520" s="1" t="s">
        <v>1168</v>
      </c>
      <c r="G520" s="1" t="s">
        <v>2501</v>
      </c>
      <c r="H520" s="1" t="s">
        <v>933</v>
      </c>
      <c r="I520" s="1" t="s">
        <v>2088</v>
      </c>
      <c r="J520" s="1" t="s">
        <v>1161</v>
      </c>
      <c r="K520" s="1" t="s">
        <v>1477</v>
      </c>
      <c r="L520" s="1" t="s">
        <v>1205</v>
      </c>
      <c r="M520" s="1" t="s">
        <v>1171</v>
      </c>
      <c r="N520">
        <f>_xlfn.NUMBERVALUE(LEFT(Table11[[#This Row],[Score]],FIND("/",Table11[[#This Row],[Score]])-1))</f>
        <v>168</v>
      </c>
      <c r="O520">
        <f>IFERROR(_xlfn.NUMBERVALUE(LEFT(Table11[[#This Row],[Score2 ]],FIND("/",Table11[[#This Row],[Score2 ]])-1)),"")</f>
        <v>269</v>
      </c>
      <c r="P520" t="s">
        <v>170</v>
      </c>
      <c r="Q520" s="1" t="s">
        <v>169</v>
      </c>
      <c r="R520" t="str">
        <f>Table11[[#This Row],[Match]]&amp;" "&amp;Table11[[#This Row],[Over]]</f>
        <v>5 39</v>
      </c>
    </row>
    <row r="521" spans="1:18" x14ac:dyDescent="0.3">
      <c r="A521">
        <v>5</v>
      </c>
      <c r="B521" s="1">
        <v>40</v>
      </c>
      <c r="C521" s="1" t="s">
        <v>2502</v>
      </c>
      <c r="D521" s="1" t="s">
        <v>1103</v>
      </c>
      <c r="E521" s="1" t="s">
        <v>1021</v>
      </c>
      <c r="F521" s="1" t="s">
        <v>1414</v>
      </c>
      <c r="G521" s="1" t="s">
        <v>1217</v>
      </c>
      <c r="H521" s="1" t="s">
        <v>933</v>
      </c>
      <c r="I521" s="1" t="s">
        <v>1495</v>
      </c>
      <c r="J521" s="1" t="s">
        <v>2055</v>
      </c>
      <c r="K521" s="1" t="s">
        <v>1383</v>
      </c>
      <c r="L521" s="1" t="s">
        <v>1695</v>
      </c>
      <c r="M521" s="1" t="s">
        <v>1177</v>
      </c>
      <c r="N521">
        <f>_xlfn.NUMBERVALUE(LEFT(Table11[[#This Row],[Score]],FIND("/",Table11[[#This Row],[Score]])-1))</f>
        <v>180</v>
      </c>
      <c r="O521">
        <f>IFERROR(_xlfn.NUMBERVALUE(LEFT(Table11[[#This Row],[Score2 ]],FIND("/",Table11[[#This Row],[Score2 ]])-1)),"")</f>
        <v>283</v>
      </c>
      <c r="P521" t="s">
        <v>170</v>
      </c>
      <c r="Q521" s="1" t="s">
        <v>169</v>
      </c>
      <c r="R521" t="str">
        <f>Table11[[#This Row],[Match]]&amp;" "&amp;Table11[[#This Row],[Over]]</f>
        <v>5 40</v>
      </c>
    </row>
    <row r="522" spans="1:18" x14ac:dyDescent="0.3">
      <c r="A522">
        <v>5</v>
      </c>
      <c r="B522" s="1">
        <v>41</v>
      </c>
      <c r="C522" s="1" t="s">
        <v>2503</v>
      </c>
      <c r="D522" s="1" t="s">
        <v>1095</v>
      </c>
      <c r="E522" s="1" t="s">
        <v>1935</v>
      </c>
      <c r="F522" s="1" t="s">
        <v>1200</v>
      </c>
      <c r="G522" s="1" t="s">
        <v>2504</v>
      </c>
      <c r="H522" s="1" t="s">
        <v>898</v>
      </c>
      <c r="I522" s="1" t="s">
        <v>2505</v>
      </c>
      <c r="J522" s="1" t="s">
        <v>1226</v>
      </c>
      <c r="K522" s="1" t="s">
        <v>2506</v>
      </c>
      <c r="L522" s="1" t="s">
        <v>1670</v>
      </c>
      <c r="M522" s="1" t="s">
        <v>1183</v>
      </c>
      <c r="N522">
        <f>_xlfn.NUMBERVALUE(LEFT(Table11[[#This Row],[Score]],FIND("/",Table11[[#This Row],[Score]])-1))</f>
        <v>190</v>
      </c>
      <c r="O522">
        <f>IFERROR(_xlfn.NUMBERVALUE(LEFT(Table11[[#This Row],[Score2 ]],FIND("/",Table11[[#This Row],[Score2 ]])-1)),"")</f>
        <v>285</v>
      </c>
      <c r="P522" t="s">
        <v>170</v>
      </c>
      <c r="Q522" s="1" t="s">
        <v>169</v>
      </c>
      <c r="R522" t="str">
        <f>Table11[[#This Row],[Match]]&amp;" "&amp;Table11[[#This Row],[Over]]</f>
        <v>5 41</v>
      </c>
    </row>
    <row r="523" spans="1:18" x14ac:dyDescent="0.3">
      <c r="A523">
        <v>5</v>
      </c>
      <c r="B523" s="1">
        <v>42</v>
      </c>
      <c r="C523" s="1" t="s">
        <v>2507</v>
      </c>
      <c r="D523" s="1" t="s">
        <v>930</v>
      </c>
      <c r="E523" s="1" t="s">
        <v>948</v>
      </c>
      <c r="F523" s="1" t="s">
        <v>1200</v>
      </c>
      <c r="G523" s="1" t="s">
        <v>2508</v>
      </c>
      <c r="H523" s="1" t="s">
        <v>968</v>
      </c>
      <c r="I523" s="1" t="s">
        <v>1053</v>
      </c>
      <c r="J523" s="1" t="s">
        <v>1335</v>
      </c>
      <c r="K523" s="1" t="s">
        <v>2509</v>
      </c>
      <c r="L523" s="1" t="s">
        <v>1684</v>
      </c>
      <c r="M523" s="1" t="s">
        <v>1190</v>
      </c>
      <c r="N523">
        <f>_xlfn.NUMBERVALUE(LEFT(Table11[[#This Row],[Score]],FIND("/",Table11[[#This Row],[Score]])-1))</f>
        <v>198</v>
      </c>
      <c r="O523">
        <f>IFERROR(_xlfn.NUMBERVALUE(LEFT(Table11[[#This Row],[Score2 ]],FIND("/",Table11[[#This Row],[Score2 ]])-1)),"")</f>
        <v>286</v>
      </c>
      <c r="P523" t="s">
        <v>170</v>
      </c>
      <c r="Q523" s="1" t="s">
        <v>169</v>
      </c>
      <c r="R523" t="str">
        <f>Table11[[#This Row],[Match]]&amp;" "&amp;Table11[[#This Row],[Over]]</f>
        <v>5 42</v>
      </c>
    </row>
    <row r="524" spans="1:18" x14ac:dyDescent="0.3">
      <c r="A524">
        <v>5</v>
      </c>
      <c r="B524" s="1">
        <v>43</v>
      </c>
      <c r="C524" s="1" t="s">
        <v>2510</v>
      </c>
      <c r="D524" s="1" t="s">
        <v>930</v>
      </c>
      <c r="E524" s="1" t="s">
        <v>2511</v>
      </c>
      <c r="F524" s="1" t="s">
        <v>1414</v>
      </c>
      <c r="G524" s="1" t="s">
        <v>2512</v>
      </c>
      <c r="H524" s="1" t="s">
        <v>904</v>
      </c>
      <c r="I524" s="1" t="s">
        <v>1030</v>
      </c>
      <c r="J524" s="1" t="s">
        <v>1053</v>
      </c>
      <c r="K524" s="1" t="s">
        <v>1635</v>
      </c>
      <c r="L524" s="1" t="s">
        <v>1511</v>
      </c>
      <c r="M524" s="1" t="s">
        <v>1197</v>
      </c>
      <c r="N524">
        <f>_xlfn.NUMBERVALUE(LEFT(Table11[[#This Row],[Score]],FIND("/",Table11[[#This Row],[Score]])-1))</f>
        <v>206</v>
      </c>
      <c r="O524">
        <f>IFERROR(_xlfn.NUMBERVALUE(LEFT(Table11[[#This Row],[Score2 ]],FIND("/",Table11[[#This Row],[Score2 ]])-1)),"")</f>
        <v>289</v>
      </c>
      <c r="P524" t="s">
        <v>170</v>
      </c>
      <c r="Q524" s="1" t="s">
        <v>169</v>
      </c>
      <c r="R524" t="str">
        <f>Table11[[#This Row],[Match]]&amp;" "&amp;Table11[[#This Row],[Over]]</f>
        <v>5 43</v>
      </c>
    </row>
    <row r="525" spans="1:18" x14ac:dyDescent="0.3">
      <c r="A525">
        <v>5</v>
      </c>
      <c r="B525" s="1">
        <v>44</v>
      </c>
      <c r="C525" s="1" t="s">
        <v>2394</v>
      </c>
      <c r="D525" s="1" t="s">
        <v>1695</v>
      </c>
      <c r="E525" s="1" t="s">
        <v>2406</v>
      </c>
      <c r="F525" s="1" t="s">
        <v>2320</v>
      </c>
      <c r="G525" s="1" t="s">
        <v>2513</v>
      </c>
      <c r="H525" s="1" t="s">
        <v>968</v>
      </c>
      <c r="I525" s="1" t="s">
        <v>2319</v>
      </c>
      <c r="J525" s="1" t="s">
        <v>931</v>
      </c>
      <c r="K525" s="1" t="s">
        <v>905</v>
      </c>
      <c r="L525" s="1" t="s">
        <v>1147</v>
      </c>
      <c r="M525" s="1" t="s">
        <v>1205</v>
      </c>
      <c r="N525">
        <f>_xlfn.NUMBERVALUE(LEFT(Table11[[#This Row],[Score]],FIND("/",Table11[[#This Row],[Score]])-1))</f>
        <v>228</v>
      </c>
      <c r="O525">
        <f>IFERROR(_xlfn.NUMBERVALUE(LEFT(Table11[[#This Row],[Score2 ]],FIND("/",Table11[[#This Row],[Score2 ]])-1)),"")</f>
        <v>290</v>
      </c>
      <c r="P525" t="s">
        <v>170</v>
      </c>
      <c r="Q525" s="1" t="s">
        <v>169</v>
      </c>
      <c r="R525" t="str">
        <f>Table11[[#This Row],[Match]]&amp;" "&amp;Table11[[#This Row],[Over]]</f>
        <v>5 44</v>
      </c>
    </row>
    <row r="526" spans="1:18" x14ac:dyDescent="0.3">
      <c r="A526">
        <v>5</v>
      </c>
      <c r="B526" s="1">
        <v>45</v>
      </c>
      <c r="C526" s="1" t="s">
        <v>2514</v>
      </c>
      <c r="D526" s="1" t="s">
        <v>1147</v>
      </c>
      <c r="E526" s="1" t="s">
        <v>966</v>
      </c>
      <c r="F526" s="1" t="s">
        <v>2322</v>
      </c>
      <c r="G526" s="1" t="s">
        <v>2515</v>
      </c>
      <c r="H526" s="1" t="s">
        <v>1051</v>
      </c>
      <c r="I526" s="1" t="s">
        <v>1015</v>
      </c>
      <c r="J526" s="1" t="s">
        <v>977</v>
      </c>
      <c r="K526" s="1" t="s">
        <v>2516</v>
      </c>
      <c r="L526" s="1" t="s">
        <v>998</v>
      </c>
      <c r="M526" s="1" t="s">
        <v>1211</v>
      </c>
      <c r="N526">
        <f>_xlfn.NUMBERVALUE(LEFT(Table11[[#This Row],[Score]],FIND("/",Table11[[#This Row],[Score]])-1))</f>
        <v>243</v>
      </c>
      <c r="O526">
        <f>IFERROR(_xlfn.NUMBERVALUE(LEFT(Table11[[#This Row],[Score2 ]],FIND("/",Table11[[#This Row],[Score2 ]])-1)),"")</f>
        <v>301</v>
      </c>
      <c r="P526" t="s">
        <v>170</v>
      </c>
      <c r="Q526" s="1" t="s">
        <v>169</v>
      </c>
      <c r="R526" t="str">
        <f>Table11[[#This Row],[Match]]&amp;" "&amp;Table11[[#This Row],[Over]]</f>
        <v>5 45</v>
      </c>
    </row>
    <row r="527" spans="1:18" x14ac:dyDescent="0.3">
      <c r="A527">
        <v>5</v>
      </c>
      <c r="B527" s="1">
        <v>46</v>
      </c>
      <c r="C527" s="1" t="s">
        <v>2517</v>
      </c>
      <c r="D527" s="1" t="s">
        <v>1051</v>
      </c>
      <c r="E527" s="1" t="s">
        <v>1677</v>
      </c>
      <c r="F527" s="1" t="s">
        <v>2417</v>
      </c>
      <c r="G527" s="1" t="s">
        <v>2518</v>
      </c>
      <c r="H527" s="1" t="s">
        <v>1830</v>
      </c>
      <c r="I527" s="1" t="s">
        <v>2519</v>
      </c>
      <c r="J527" s="1" t="s">
        <v>2520</v>
      </c>
      <c r="K527" s="1" t="s">
        <v>1622</v>
      </c>
      <c r="L527" s="1" t="s">
        <v>1007</v>
      </c>
      <c r="M527" s="1" t="s">
        <v>1578</v>
      </c>
      <c r="N527">
        <f>_xlfn.NUMBERVALUE(LEFT(Table11[[#This Row],[Score]],FIND("/",Table11[[#This Row],[Score]])-1))</f>
        <v>254</v>
      </c>
      <c r="O527">
        <f>IFERROR(_xlfn.NUMBERVALUE(LEFT(Table11[[#This Row],[Score2 ]],FIND("/",Table11[[#This Row],[Score2 ]])-1)),"")</f>
        <v>307</v>
      </c>
      <c r="P527" t="s">
        <v>170</v>
      </c>
      <c r="Q527" s="1" t="s">
        <v>169</v>
      </c>
      <c r="R527" t="str">
        <f>Table11[[#This Row],[Match]]&amp;" "&amp;Table11[[#This Row],[Over]]</f>
        <v>5 46</v>
      </c>
    </row>
    <row r="528" spans="1:18" x14ac:dyDescent="0.3">
      <c r="A528">
        <v>5</v>
      </c>
      <c r="B528" s="1">
        <v>47</v>
      </c>
      <c r="C528" s="1" t="s">
        <v>2521</v>
      </c>
      <c r="D528" s="1" t="s">
        <v>916</v>
      </c>
      <c r="E528" s="1" t="s">
        <v>1682</v>
      </c>
      <c r="F528" s="1" t="s">
        <v>2322</v>
      </c>
      <c r="N528">
        <f>_xlfn.NUMBERVALUE(LEFT(Table11[[#This Row],[Score]],FIND("/",Table11[[#This Row],[Score]])-1))</f>
        <v>261</v>
      </c>
      <c r="O528" t="str">
        <f>IFERROR(_xlfn.NUMBERVALUE(LEFT(Table11[[#This Row],[Score2 ]],FIND("/",Table11[[#This Row],[Score2 ]])-1)),"")</f>
        <v/>
      </c>
      <c r="P528" t="s">
        <v>170</v>
      </c>
      <c r="Q528" s="1" t="s">
        <v>169</v>
      </c>
      <c r="R528" t="str">
        <f>Table11[[#This Row],[Match]]&amp;" "&amp;Table11[[#This Row],[Over]]</f>
        <v>5 47</v>
      </c>
    </row>
    <row r="529" spans="1:18" x14ac:dyDescent="0.3">
      <c r="A529">
        <v>5</v>
      </c>
      <c r="B529" s="1">
        <v>48</v>
      </c>
      <c r="C529" s="1" t="s">
        <v>2522</v>
      </c>
      <c r="D529" s="1" t="s">
        <v>1684</v>
      </c>
      <c r="E529" s="1" t="s">
        <v>1404</v>
      </c>
      <c r="F529" s="1" t="s">
        <v>2523</v>
      </c>
      <c r="N529">
        <f>_xlfn.NUMBERVALUE(LEFT(Table11[[#This Row],[Score]],FIND("/",Table11[[#This Row],[Score]])-1))</f>
        <v>280</v>
      </c>
      <c r="O529" t="str">
        <f>IFERROR(_xlfn.NUMBERVALUE(LEFT(Table11[[#This Row],[Score2 ]],FIND("/",Table11[[#This Row],[Score2 ]])-1)),"")</f>
        <v/>
      </c>
      <c r="P529" t="s">
        <v>170</v>
      </c>
      <c r="Q529" s="1" t="s">
        <v>169</v>
      </c>
      <c r="R529" t="str">
        <f>Table11[[#This Row],[Match]]&amp;" "&amp;Table11[[#This Row],[Over]]</f>
        <v>5 48</v>
      </c>
    </row>
    <row r="530" spans="1:18" x14ac:dyDescent="0.3">
      <c r="A530">
        <v>5</v>
      </c>
      <c r="B530" s="1">
        <v>49</v>
      </c>
      <c r="C530" s="1" t="s">
        <v>2524</v>
      </c>
      <c r="D530" s="1" t="s">
        <v>1147</v>
      </c>
      <c r="E530" s="1" t="s">
        <v>1218</v>
      </c>
      <c r="F530" s="1" t="s">
        <v>2057</v>
      </c>
      <c r="N530">
        <f>_xlfn.NUMBERVALUE(LEFT(Table11[[#This Row],[Score]],FIND("/",Table11[[#This Row],[Score]])-1))</f>
        <v>295</v>
      </c>
      <c r="O530" t="str">
        <f>IFERROR(_xlfn.NUMBERVALUE(LEFT(Table11[[#This Row],[Score2 ]],FIND("/",Table11[[#This Row],[Score2 ]])-1)),"")</f>
        <v/>
      </c>
      <c r="P530" t="s">
        <v>170</v>
      </c>
      <c r="Q530" s="1" t="s">
        <v>169</v>
      </c>
      <c r="R530" t="str">
        <f>Table11[[#This Row],[Match]]&amp;" "&amp;Table11[[#This Row],[Over]]</f>
        <v>5 49</v>
      </c>
    </row>
    <row r="531" spans="1:18" x14ac:dyDescent="0.3">
      <c r="A531">
        <v>5</v>
      </c>
      <c r="B531" s="1">
        <v>50</v>
      </c>
      <c r="C531" s="1" t="s">
        <v>2525</v>
      </c>
      <c r="D531" s="1" t="s">
        <v>947</v>
      </c>
      <c r="E531" s="1" t="s">
        <v>1225</v>
      </c>
      <c r="F531" s="1" t="s">
        <v>2207</v>
      </c>
      <c r="N531">
        <f>_xlfn.NUMBERVALUE(LEFT(Table11[[#This Row],[Score]],FIND("/",Table11[[#This Row],[Score]])-1))</f>
        <v>304</v>
      </c>
      <c r="O531" t="str">
        <f>IFERROR(_xlfn.NUMBERVALUE(LEFT(Table11[[#This Row],[Score2 ]],FIND("/",Table11[[#This Row],[Score2 ]])-1)),"")</f>
        <v/>
      </c>
      <c r="P531" t="s">
        <v>170</v>
      </c>
      <c r="Q531" s="1" t="s">
        <v>169</v>
      </c>
      <c r="R531" t="str">
        <f>Table11[[#This Row],[Match]]&amp;" "&amp;Table11[[#This Row],[Over]]</f>
        <v>5 50</v>
      </c>
    </row>
    <row r="532" spans="1:18" x14ac:dyDescent="0.3">
      <c r="A532">
        <v>6</v>
      </c>
      <c r="B532" s="1">
        <v>1</v>
      </c>
      <c r="C532" s="1" t="s">
        <v>1230</v>
      </c>
      <c r="D532" s="1" t="s">
        <v>1007</v>
      </c>
      <c r="E532" s="1" t="s">
        <v>1231</v>
      </c>
      <c r="F532" s="1" t="s">
        <v>348</v>
      </c>
      <c r="G532" s="1" t="s">
        <v>906</v>
      </c>
      <c r="H532" s="1" t="s">
        <v>998</v>
      </c>
      <c r="I532" s="1" t="s">
        <v>939</v>
      </c>
      <c r="J532" s="1" t="s">
        <v>348</v>
      </c>
      <c r="K532" s="1" t="s">
        <v>1656</v>
      </c>
      <c r="L532" s="1" t="s">
        <v>1544</v>
      </c>
      <c r="M532" s="1" t="s">
        <v>902</v>
      </c>
      <c r="N532">
        <f>_xlfn.NUMBERVALUE(LEFT(Table11[[#This Row],[Score]],FIND("/",Table11[[#This Row],[Score]])-1))</f>
        <v>0</v>
      </c>
      <c r="O532">
        <f>IFERROR(_xlfn.NUMBERVALUE(LEFT(Table11[[#This Row],[Score2 ]],FIND("/",Table11[[#This Row],[Score2 ]])-1)),"")</f>
        <v>4</v>
      </c>
      <c r="P532" t="s">
        <v>176</v>
      </c>
      <c r="Q532" s="1" t="s">
        <v>140</v>
      </c>
      <c r="R532" t="str">
        <f>Table11[[#This Row],[Match]]&amp;" "&amp;Table11[[#This Row],[Over]]</f>
        <v>6 1</v>
      </c>
    </row>
    <row r="533" spans="1:18" x14ac:dyDescent="0.3">
      <c r="A533">
        <v>6</v>
      </c>
      <c r="B533" s="1">
        <v>2</v>
      </c>
      <c r="C533" s="1" t="s">
        <v>2526</v>
      </c>
      <c r="D533" s="1" t="s">
        <v>968</v>
      </c>
      <c r="E533" s="1" t="s">
        <v>2527</v>
      </c>
      <c r="F533" s="1" t="s">
        <v>348</v>
      </c>
      <c r="G533" s="1" t="s">
        <v>1421</v>
      </c>
      <c r="H533" s="1" t="s">
        <v>922</v>
      </c>
      <c r="I533" s="1" t="s">
        <v>969</v>
      </c>
      <c r="J533" s="1" t="s">
        <v>348</v>
      </c>
      <c r="K533" s="1" t="s">
        <v>2528</v>
      </c>
      <c r="L533" s="1" t="s">
        <v>1394</v>
      </c>
      <c r="M533" s="1" t="s">
        <v>909</v>
      </c>
      <c r="N533">
        <f>_xlfn.NUMBERVALUE(LEFT(Table11[[#This Row],[Score]],FIND("/",Table11[[#This Row],[Score]])-1))</f>
        <v>1</v>
      </c>
      <c r="O533">
        <f>IFERROR(_xlfn.NUMBERVALUE(LEFT(Table11[[#This Row],[Score2 ]],FIND("/",Table11[[#This Row],[Score2 ]])-1)),"")</f>
        <v>10</v>
      </c>
      <c r="P533" t="s">
        <v>176</v>
      </c>
      <c r="Q533" s="1" t="s">
        <v>140</v>
      </c>
      <c r="R533" t="str">
        <f>Table11[[#This Row],[Match]]&amp;" "&amp;Table11[[#This Row],[Over]]</f>
        <v>6 2</v>
      </c>
    </row>
    <row r="534" spans="1:18" x14ac:dyDescent="0.3">
      <c r="A534">
        <v>6</v>
      </c>
      <c r="B534" s="1">
        <v>3</v>
      </c>
      <c r="C534" s="1" t="s">
        <v>2529</v>
      </c>
      <c r="D534" s="1" t="s">
        <v>922</v>
      </c>
      <c r="E534" s="1" t="s">
        <v>914</v>
      </c>
      <c r="F534" s="1" t="s">
        <v>348</v>
      </c>
      <c r="G534" s="1" t="s">
        <v>2530</v>
      </c>
      <c r="H534" s="1" t="s">
        <v>930</v>
      </c>
      <c r="I534" s="1" t="s">
        <v>1019</v>
      </c>
      <c r="J534" s="1" t="s">
        <v>348</v>
      </c>
      <c r="K534" s="1" t="s">
        <v>1913</v>
      </c>
      <c r="L534" s="1" t="s">
        <v>1554</v>
      </c>
      <c r="M534" s="1" t="s">
        <v>920</v>
      </c>
      <c r="N534">
        <f>_xlfn.NUMBERVALUE(LEFT(Table11[[#This Row],[Score]],FIND("/",Table11[[#This Row],[Score]])-1))</f>
        <v>7</v>
      </c>
      <c r="O534">
        <f>IFERROR(_xlfn.NUMBERVALUE(LEFT(Table11[[#This Row],[Score2 ]],FIND("/",Table11[[#This Row],[Score2 ]])-1)),"")</f>
        <v>18</v>
      </c>
      <c r="P534" t="s">
        <v>176</v>
      </c>
      <c r="Q534" s="1" t="s">
        <v>140</v>
      </c>
      <c r="R534" t="str">
        <f>Table11[[#This Row],[Match]]&amp;" "&amp;Table11[[#This Row],[Over]]</f>
        <v>6 3</v>
      </c>
    </row>
    <row r="535" spans="1:18" x14ac:dyDescent="0.3">
      <c r="A535">
        <v>6</v>
      </c>
      <c r="B535" s="1">
        <v>4</v>
      </c>
      <c r="C535" s="1" t="s">
        <v>2531</v>
      </c>
      <c r="D535" s="1" t="s">
        <v>950</v>
      </c>
      <c r="E535" s="1" t="s">
        <v>1238</v>
      </c>
      <c r="F535" s="1" t="s">
        <v>348</v>
      </c>
      <c r="G535" s="1" t="s">
        <v>1257</v>
      </c>
      <c r="H535" s="1" t="s">
        <v>1051</v>
      </c>
      <c r="I535" s="1" t="s">
        <v>1061</v>
      </c>
      <c r="J535" s="1" t="s">
        <v>348</v>
      </c>
      <c r="K535" s="1" t="s">
        <v>2532</v>
      </c>
      <c r="L535" s="1" t="s">
        <v>1121</v>
      </c>
      <c r="M535" s="1" t="s">
        <v>928</v>
      </c>
      <c r="N535">
        <f>_xlfn.NUMBERVALUE(LEFT(Table11[[#This Row],[Score]],FIND("/",Table11[[#This Row],[Score]])-1))</f>
        <v>12</v>
      </c>
      <c r="O535">
        <f>IFERROR(_xlfn.NUMBERVALUE(LEFT(Table11[[#This Row],[Score2 ]],FIND("/",Table11[[#This Row],[Score2 ]])-1)),"")</f>
        <v>29</v>
      </c>
      <c r="P535" t="s">
        <v>176</v>
      </c>
      <c r="Q535" s="1" t="s">
        <v>140</v>
      </c>
      <c r="R535" t="str">
        <f>Table11[[#This Row],[Match]]&amp;" "&amp;Table11[[#This Row],[Over]]</f>
        <v>6 4</v>
      </c>
    </row>
    <row r="536" spans="1:18" x14ac:dyDescent="0.3">
      <c r="A536">
        <v>6</v>
      </c>
      <c r="B536" s="1">
        <v>5</v>
      </c>
      <c r="C536" s="1" t="s">
        <v>2533</v>
      </c>
      <c r="D536" s="1" t="s">
        <v>1007</v>
      </c>
      <c r="E536" s="1" t="s">
        <v>1088</v>
      </c>
      <c r="F536" s="1" t="s">
        <v>1088</v>
      </c>
      <c r="G536" s="1" t="s">
        <v>1270</v>
      </c>
      <c r="H536" s="1" t="s">
        <v>930</v>
      </c>
      <c r="I536" s="1" t="s">
        <v>1068</v>
      </c>
      <c r="J536" s="1" t="s">
        <v>1068</v>
      </c>
      <c r="K536" s="1" t="s">
        <v>2534</v>
      </c>
      <c r="L536" s="1" t="s">
        <v>1564</v>
      </c>
      <c r="M536" s="1" t="s">
        <v>937</v>
      </c>
      <c r="N536">
        <f>_xlfn.NUMBERVALUE(LEFT(Table11[[#This Row],[Score]],FIND("/",Table11[[#This Row],[Score]])-1))</f>
        <v>12</v>
      </c>
      <c r="O536">
        <f>IFERROR(_xlfn.NUMBERVALUE(LEFT(Table11[[#This Row],[Score2 ]],FIND("/",Table11[[#This Row],[Score2 ]])-1)),"")</f>
        <v>37</v>
      </c>
      <c r="P536" t="s">
        <v>176</v>
      </c>
      <c r="Q536" s="1" t="s">
        <v>140</v>
      </c>
      <c r="R536" t="str">
        <f>Table11[[#This Row],[Match]]&amp;" "&amp;Table11[[#This Row],[Over]]</f>
        <v>6 5</v>
      </c>
    </row>
    <row r="537" spans="1:18" x14ac:dyDescent="0.3">
      <c r="A537">
        <v>6</v>
      </c>
      <c r="B537" s="1">
        <v>6</v>
      </c>
      <c r="C537" s="1" t="s">
        <v>2535</v>
      </c>
      <c r="D537" s="1" t="s">
        <v>898</v>
      </c>
      <c r="E537" s="1" t="s">
        <v>914</v>
      </c>
      <c r="F537" s="1" t="s">
        <v>993</v>
      </c>
      <c r="G537" s="1" t="s">
        <v>949</v>
      </c>
      <c r="H537" s="1" t="s">
        <v>898</v>
      </c>
      <c r="I537" s="1" t="s">
        <v>1729</v>
      </c>
      <c r="J537" s="1" t="s">
        <v>952</v>
      </c>
      <c r="K537" s="1" t="s">
        <v>1926</v>
      </c>
      <c r="L537" s="1" t="s">
        <v>1571</v>
      </c>
      <c r="M537" s="1" t="s">
        <v>945</v>
      </c>
      <c r="N537">
        <f>_xlfn.NUMBERVALUE(LEFT(Table11[[#This Row],[Score]],FIND("/",Table11[[#This Row],[Score]])-1))</f>
        <v>14</v>
      </c>
      <c r="O537">
        <f>IFERROR(_xlfn.NUMBERVALUE(LEFT(Table11[[#This Row],[Score2 ]],FIND("/",Table11[[#This Row],[Score2 ]])-1)),"")</f>
        <v>39</v>
      </c>
      <c r="P537" t="s">
        <v>176</v>
      </c>
      <c r="Q537" s="1" t="s">
        <v>140</v>
      </c>
      <c r="R537" t="str">
        <f>Table11[[#This Row],[Match]]&amp;" "&amp;Table11[[#This Row],[Over]]</f>
        <v>6 6</v>
      </c>
    </row>
    <row r="538" spans="1:18" x14ac:dyDescent="0.3">
      <c r="A538">
        <v>6</v>
      </c>
      <c r="B538" s="1">
        <v>7</v>
      </c>
      <c r="C538" s="1" t="s">
        <v>2536</v>
      </c>
      <c r="D538" s="1" t="s">
        <v>950</v>
      </c>
      <c r="E538" s="1" t="s">
        <v>1253</v>
      </c>
      <c r="F538" s="1" t="s">
        <v>977</v>
      </c>
      <c r="G538" s="1" t="s">
        <v>2344</v>
      </c>
      <c r="H538" s="1" t="s">
        <v>947</v>
      </c>
      <c r="I538" s="1" t="s">
        <v>1996</v>
      </c>
      <c r="J538" s="1" t="s">
        <v>1508</v>
      </c>
      <c r="K538" s="1" t="s">
        <v>1383</v>
      </c>
      <c r="L538" s="1" t="s">
        <v>2537</v>
      </c>
      <c r="M538" s="1" t="s">
        <v>955</v>
      </c>
      <c r="N538">
        <f>_xlfn.NUMBERVALUE(LEFT(Table11[[#This Row],[Score]],FIND("/",Table11[[#This Row],[Score]])-1))</f>
        <v>19</v>
      </c>
      <c r="O538">
        <f>IFERROR(_xlfn.NUMBERVALUE(LEFT(Table11[[#This Row],[Score2 ]],FIND("/",Table11[[#This Row],[Score2 ]])-1)),"")</f>
        <v>48</v>
      </c>
      <c r="P538" t="s">
        <v>176</v>
      </c>
      <c r="Q538" s="1" t="s">
        <v>140</v>
      </c>
      <c r="R538" t="str">
        <f>Table11[[#This Row],[Match]]&amp;" "&amp;Table11[[#This Row],[Over]]</f>
        <v>6 7</v>
      </c>
    </row>
    <row r="539" spans="1:18" x14ac:dyDescent="0.3">
      <c r="A539">
        <v>6</v>
      </c>
      <c r="B539" s="1">
        <v>8</v>
      </c>
      <c r="C539" s="1" t="s">
        <v>2538</v>
      </c>
      <c r="D539" s="1" t="s">
        <v>904</v>
      </c>
      <c r="E539" s="1" t="s">
        <v>1672</v>
      </c>
      <c r="F539" s="1" t="s">
        <v>1238</v>
      </c>
      <c r="G539" s="1" t="s">
        <v>1870</v>
      </c>
      <c r="H539" s="1" t="s">
        <v>930</v>
      </c>
      <c r="I539" s="1" t="s">
        <v>952</v>
      </c>
      <c r="J539" s="1" t="s">
        <v>1508</v>
      </c>
      <c r="K539" s="1" t="s">
        <v>2539</v>
      </c>
      <c r="L539" s="1" t="s">
        <v>2540</v>
      </c>
      <c r="M539" s="1" t="s">
        <v>963</v>
      </c>
      <c r="N539">
        <f>_xlfn.NUMBERVALUE(LEFT(Table11[[#This Row],[Score]],FIND("/",Table11[[#This Row],[Score]])-1))</f>
        <v>22</v>
      </c>
      <c r="O539">
        <f>IFERROR(_xlfn.NUMBERVALUE(LEFT(Table11[[#This Row],[Score2 ]],FIND("/",Table11[[#This Row],[Score2 ]])-1)),"")</f>
        <v>56</v>
      </c>
      <c r="P539" t="s">
        <v>176</v>
      </c>
      <c r="Q539" s="1" t="s">
        <v>140</v>
      </c>
      <c r="R539" t="str">
        <f>Table11[[#This Row],[Match]]&amp;" "&amp;Table11[[#This Row],[Over]]</f>
        <v>6 8</v>
      </c>
    </row>
    <row r="540" spans="1:18" x14ac:dyDescent="0.3">
      <c r="A540">
        <v>6</v>
      </c>
      <c r="B540" s="1">
        <v>9</v>
      </c>
      <c r="C540" s="1" t="s">
        <v>2538</v>
      </c>
      <c r="D540" s="1" t="s">
        <v>1007</v>
      </c>
      <c r="E540" s="1" t="s">
        <v>2541</v>
      </c>
      <c r="F540" s="1" t="s">
        <v>899</v>
      </c>
      <c r="G540" s="1" t="s">
        <v>1293</v>
      </c>
      <c r="H540" s="1" t="s">
        <v>916</v>
      </c>
      <c r="I540" s="1" t="s">
        <v>952</v>
      </c>
      <c r="J540" s="1" t="s">
        <v>1053</v>
      </c>
      <c r="K540" s="1" t="s">
        <v>2542</v>
      </c>
      <c r="L540" s="1" t="s">
        <v>1895</v>
      </c>
      <c r="M540" s="1" t="s">
        <v>973</v>
      </c>
      <c r="N540">
        <f>_xlfn.NUMBERVALUE(LEFT(Table11[[#This Row],[Score]],FIND("/",Table11[[#This Row],[Score]])-1))</f>
        <v>22</v>
      </c>
      <c r="O540">
        <f>IFERROR(_xlfn.NUMBERVALUE(LEFT(Table11[[#This Row],[Score2 ]],FIND("/",Table11[[#This Row],[Score2 ]])-1)),"")</f>
        <v>63</v>
      </c>
      <c r="P540" t="s">
        <v>176</v>
      </c>
      <c r="Q540" s="1" t="s">
        <v>140</v>
      </c>
      <c r="R540" t="str">
        <f>Table11[[#This Row],[Match]]&amp;" "&amp;Table11[[#This Row],[Over]]</f>
        <v>6 9</v>
      </c>
    </row>
    <row r="541" spans="1:18" x14ac:dyDescent="0.3">
      <c r="A541">
        <v>6</v>
      </c>
      <c r="B541" s="1">
        <v>10</v>
      </c>
      <c r="C541" s="1" t="s">
        <v>2538</v>
      </c>
      <c r="D541" s="1" t="s">
        <v>1007</v>
      </c>
      <c r="E541" s="1" t="s">
        <v>1383</v>
      </c>
      <c r="F541" s="1" t="s">
        <v>899</v>
      </c>
      <c r="G541" s="1" t="s">
        <v>2225</v>
      </c>
      <c r="H541" s="1" t="s">
        <v>904</v>
      </c>
      <c r="I541" s="1" t="s">
        <v>960</v>
      </c>
      <c r="J541" s="1" t="s">
        <v>1013</v>
      </c>
      <c r="K541" s="1" t="s">
        <v>2543</v>
      </c>
      <c r="L541" s="1" t="s">
        <v>1222</v>
      </c>
      <c r="M541" s="1" t="s">
        <v>980</v>
      </c>
      <c r="N541">
        <f>_xlfn.NUMBERVALUE(LEFT(Table11[[#This Row],[Score]],FIND("/",Table11[[#This Row],[Score]])-1))</f>
        <v>22</v>
      </c>
      <c r="O541">
        <f>IFERROR(_xlfn.NUMBERVALUE(LEFT(Table11[[#This Row],[Score2 ]],FIND("/",Table11[[#This Row],[Score2 ]])-1)),"")</f>
        <v>66</v>
      </c>
      <c r="P541" t="s">
        <v>176</v>
      </c>
      <c r="Q541" s="1" t="s">
        <v>140</v>
      </c>
      <c r="R541" t="str">
        <f>Table11[[#This Row],[Match]]&amp;" "&amp;Table11[[#This Row],[Over]]</f>
        <v>6 10</v>
      </c>
    </row>
    <row r="542" spans="1:18" x14ac:dyDescent="0.3">
      <c r="A542">
        <v>6</v>
      </c>
      <c r="B542" s="1">
        <v>11</v>
      </c>
      <c r="C542" s="1" t="s">
        <v>2544</v>
      </c>
      <c r="D542" s="1" t="s">
        <v>950</v>
      </c>
      <c r="E542" s="1" t="s">
        <v>2545</v>
      </c>
      <c r="F542" s="1" t="s">
        <v>984</v>
      </c>
      <c r="G542" s="1" t="s">
        <v>2348</v>
      </c>
      <c r="H542" s="1" t="s">
        <v>968</v>
      </c>
      <c r="I542" s="1" t="s">
        <v>953</v>
      </c>
      <c r="J542" s="1" t="s">
        <v>934</v>
      </c>
      <c r="K542" s="1" t="s">
        <v>1931</v>
      </c>
      <c r="L542" s="1" t="s">
        <v>1900</v>
      </c>
      <c r="M542" s="1" t="s">
        <v>987</v>
      </c>
      <c r="N542">
        <f>_xlfn.NUMBERVALUE(LEFT(Table11[[#This Row],[Score]],FIND("/",Table11[[#This Row],[Score]])-1))</f>
        <v>27</v>
      </c>
      <c r="O542">
        <f>IFERROR(_xlfn.NUMBERVALUE(LEFT(Table11[[#This Row],[Score2 ]],FIND("/",Table11[[#This Row],[Score2 ]])-1)),"")</f>
        <v>67</v>
      </c>
      <c r="P542" t="s">
        <v>176</v>
      </c>
      <c r="Q542" s="1" t="s">
        <v>140</v>
      </c>
      <c r="R542" t="str">
        <f>Table11[[#This Row],[Match]]&amp;" "&amp;Table11[[#This Row],[Over]]</f>
        <v>6 11</v>
      </c>
    </row>
    <row r="543" spans="1:18" x14ac:dyDescent="0.3">
      <c r="A543">
        <v>6</v>
      </c>
      <c r="B543" s="1">
        <v>12</v>
      </c>
      <c r="C543" s="1" t="s">
        <v>1862</v>
      </c>
      <c r="D543" s="1" t="s">
        <v>1051</v>
      </c>
      <c r="E543" s="1" t="s">
        <v>1251</v>
      </c>
      <c r="F543" s="1" t="s">
        <v>990</v>
      </c>
      <c r="G543" s="1" t="s">
        <v>2546</v>
      </c>
      <c r="H543" s="1" t="s">
        <v>898</v>
      </c>
      <c r="I543" s="1" t="s">
        <v>1601</v>
      </c>
      <c r="J543" s="1" t="s">
        <v>931</v>
      </c>
      <c r="K543" s="1" t="s">
        <v>1931</v>
      </c>
      <c r="L543" s="1" t="s">
        <v>2547</v>
      </c>
      <c r="M543" s="1" t="s">
        <v>996</v>
      </c>
      <c r="N543">
        <f>_xlfn.NUMBERVALUE(LEFT(Table11[[#This Row],[Score]],FIND("/",Table11[[#This Row],[Score]])-1))</f>
        <v>38</v>
      </c>
      <c r="O543">
        <f>IFERROR(_xlfn.NUMBERVALUE(LEFT(Table11[[#This Row],[Score2 ]],FIND("/",Table11[[#This Row],[Score2 ]])-1)),"")</f>
        <v>69</v>
      </c>
      <c r="P543" t="s">
        <v>176</v>
      </c>
      <c r="Q543" s="1" t="s">
        <v>140</v>
      </c>
      <c r="R543" t="str">
        <f>Table11[[#This Row],[Match]]&amp;" "&amp;Table11[[#This Row],[Over]]</f>
        <v>6 12</v>
      </c>
    </row>
    <row r="544" spans="1:18" x14ac:dyDescent="0.3">
      <c r="A544">
        <v>6</v>
      </c>
      <c r="B544" s="1">
        <v>13</v>
      </c>
      <c r="C544" s="1" t="s">
        <v>2548</v>
      </c>
      <c r="D544" s="1" t="s">
        <v>898</v>
      </c>
      <c r="E544" s="1" t="s">
        <v>2549</v>
      </c>
      <c r="F544" s="1" t="s">
        <v>977</v>
      </c>
      <c r="G544" s="1" t="s">
        <v>2550</v>
      </c>
      <c r="H544" s="1" t="s">
        <v>922</v>
      </c>
      <c r="I544" s="1" t="s">
        <v>1610</v>
      </c>
      <c r="J544" s="1" t="s">
        <v>990</v>
      </c>
      <c r="K544" s="1" t="s">
        <v>2551</v>
      </c>
      <c r="L544" s="1" t="s">
        <v>2420</v>
      </c>
      <c r="M544" s="1" t="s">
        <v>1004</v>
      </c>
      <c r="N544">
        <f>_xlfn.NUMBERVALUE(LEFT(Table11[[#This Row],[Score]],FIND("/",Table11[[#This Row],[Score]])-1))</f>
        <v>40</v>
      </c>
      <c r="O544">
        <f>IFERROR(_xlfn.NUMBERVALUE(LEFT(Table11[[#This Row],[Score2 ]],FIND("/",Table11[[#This Row],[Score2 ]])-1)),"")</f>
        <v>75</v>
      </c>
      <c r="P544" t="s">
        <v>176</v>
      </c>
      <c r="Q544" s="1" t="s">
        <v>140</v>
      </c>
      <c r="R544" t="str">
        <f>Table11[[#This Row],[Match]]&amp;" "&amp;Table11[[#This Row],[Over]]</f>
        <v>6 13</v>
      </c>
    </row>
    <row r="545" spans="1:18" x14ac:dyDescent="0.3">
      <c r="A545">
        <v>6</v>
      </c>
      <c r="B545" s="1">
        <v>14</v>
      </c>
      <c r="C545" s="1" t="s">
        <v>2552</v>
      </c>
      <c r="D545" s="1" t="s">
        <v>904</v>
      </c>
      <c r="E545" s="1" t="s">
        <v>2549</v>
      </c>
      <c r="F545" s="1" t="s">
        <v>931</v>
      </c>
      <c r="G545" s="1" t="s">
        <v>1491</v>
      </c>
      <c r="H545" s="1" t="s">
        <v>947</v>
      </c>
      <c r="I545" s="1" t="s">
        <v>1019</v>
      </c>
      <c r="J545" s="1" t="s">
        <v>931</v>
      </c>
      <c r="K545" s="1" t="s">
        <v>2553</v>
      </c>
      <c r="L545" s="1" t="s">
        <v>2554</v>
      </c>
      <c r="M545" s="1" t="s">
        <v>1010</v>
      </c>
      <c r="N545">
        <f>_xlfn.NUMBERVALUE(LEFT(Table11[[#This Row],[Score]],FIND("/",Table11[[#This Row],[Score]])-1))</f>
        <v>43</v>
      </c>
      <c r="O545">
        <f>IFERROR(_xlfn.NUMBERVALUE(LEFT(Table11[[#This Row],[Score2 ]],FIND("/",Table11[[#This Row],[Score2 ]])-1)),"")</f>
        <v>84</v>
      </c>
      <c r="P545" t="s">
        <v>176</v>
      </c>
      <c r="Q545" s="1" t="s">
        <v>140</v>
      </c>
      <c r="R545" t="str">
        <f>Table11[[#This Row],[Match]]&amp;" "&amp;Table11[[#This Row],[Over]]</f>
        <v>6 14</v>
      </c>
    </row>
    <row r="546" spans="1:18" x14ac:dyDescent="0.3">
      <c r="A546">
        <v>6</v>
      </c>
      <c r="B546" s="1">
        <v>15</v>
      </c>
      <c r="C546" s="1" t="s">
        <v>2555</v>
      </c>
      <c r="D546" s="1" t="s">
        <v>998</v>
      </c>
      <c r="E546" s="1" t="s">
        <v>1716</v>
      </c>
      <c r="F546" s="1" t="s">
        <v>969</v>
      </c>
      <c r="G546" s="1" t="s">
        <v>2556</v>
      </c>
      <c r="H546" s="1" t="s">
        <v>916</v>
      </c>
      <c r="I546" s="1" t="s">
        <v>935</v>
      </c>
      <c r="J546" s="1" t="s">
        <v>969</v>
      </c>
      <c r="K546" s="1" t="s">
        <v>2557</v>
      </c>
      <c r="L546" s="1" t="s">
        <v>2558</v>
      </c>
      <c r="M546" s="1" t="s">
        <v>1016</v>
      </c>
      <c r="N546">
        <f>_xlfn.NUMBERVALUE(LEFT(Table11[[#This Row],[Score]],FIND("/",Table11[[#This Row],[Score]])-1))</f>
        <v>47</v>
      </c>
      <c r="O546">
        <f>IFERROR(_xlfn.NUMBERVALUE(LEFT(Table11[[#This Row],[Score2 ]],FIND("/",Table11[[#This Row],[Score2 ]])-1)),"")</f>
        <v>91</v>
      </c>
      <c r="P546" t="s">
        <v>176</v>
      </c>
      <c r="Q546" s="1" t="s">
        <v>140</v>
      </c>
      <c r="R546" t="str">
        <f>Table11[[#This Row],[Match]]&amp;" "&amp;Table11[[#This Row],[Over]]</f>
        <v>6 15</v>
      </c>
    </row>
    <row r="547" spans="1:18" x14ac:dyDescent="0.3">
      <c r="A547">
        <v>6</v>
      </c>
      <c r="B547" s="1">
        <v>16</v>
      </c>
      <c r="C547" s="1" t="s">
        <v>2555</v>
      </c>
      <c r="D547" s="1" t="s">
        <v>1007</v>
      </c>
      <c r="E547" s="1" t="s">
        <v>2559</v>
      </c>
      <c r="F547" s="1" t="s">
        <v>939</v>
      </c>
      <c r="G547" s="1" t="s">
        <v>2560</v>
      </c>
      <c r="H547" s="1" t="s">
        <v>922</v>
      </c>
      <c r="I547" s="1" t="s">
        <v>935</v>
      </c>
      <c r="J547" s="1" t="s">
        <v>1019</v>
      </c>
      <c r="K547" s="1" t="s">
        <v>2561</v>
      </c>
      <c r="L547" s="1" t="s">
        <v>2562</v>
      </c>
      <c r="M547" s="1" t="s">
        <v>1024</v>
      </c>
      <c r="N547">
        <f>_xlfn.NUMBERVALUE(LEFT(Table11[[#This Row],[Score]],FIND("/",Table11[[#This Row],[Score]])-1))</f>
        <v>47</v>
      </c>
      <c r="O547">
        <f>IFERROR(_xlfn.NUMBERVALUE(LEFT(Table11[[#This Row],[Score2 ]],FIND("/",Table11[[#This Row],[Score2 ]])-1)),"")</f>
        <v>97</v>
      </c>
      <c r="P547" t="s">
        <v>176</v>
      </c>
      <c r="Q547" s="1" t="s">
        <v>140</v>
      </c>
      <c r="R547" t="str">
        <f>Table11[[#This Row],[Match]]&amp;" "&amp;Table11[[#This Row],[Over]]</f>
        <v>6 16</v>
      </c>
    </row>
    <row r="548" spans="1:18" x14ac:dyDescent="0.3">
      <c r="A548">
        <v>6</v>
      </c>
      <c r="B548" s="1">
        <v>17</v>
      </c>
      <c r="C548" s="1" t="s">
        <v>2563</v>
      </c>
      <c r="D548" s="1" t="s">
        <v>950</v>
      </c>
      <c r="E548" s="1" t="s">
        <v>2564</v>
      </c>
      <c r="F548" s="1" t="s">
        <v>993</v>
      </c>
      <c r="G548" s="1" t="s">
        <v>2249</v>
      </c>
      <c r="H548" s="1" t="s">
        <v>916</v>
      </c>
      <c r="I548" s="1" t="s">
        <v>961</v>
      </c>
      <c r="J548" s="1" t="s">
        <v>952</v>
      </c>
      <c r="K548" s="1" t="s">
        <v>2565</v>
      </c>
      <c r="L548" s="1" t="s">
        <v>1604</v>
      </c>
      <c r="M548" s="1" t="s">
        <v>1031</v>
      </c>
      <c r="N548">
        <f>_xlfn.NUMBERVALUE(LEFT(Table11[[#This Row],[Score]],FIND("/",Table11[[#This Row],[Score]])-1))</f>
        <v>52</v>
      </c>
      <c r="O548">
        <f>IFERROR(_xlfn.NUMBERVALUE(LEFT(Table11[[#This Row],[Score2 ]],FIND("/",Table11[[#This Row],[Score2 ]])-1)),"")</f>
        <v>104</v>
      </c>
      <c r="P548" t="s">
        <v>176</v>
      </c>
      <c r="Q548" s="1" t="s">
        <v>140</v>
      </c>
      <c r="R548" t="str">
        <f>Table11[[#This Row],[Match]]&amp;" "&amp;Table11[[#This Row],[Over]]</f>
        <v>6 17</v>
      </c>
    </row>
    <row r="549" spans="1:18" x14ac:dyDescent="0.3">
      <c r="A549">
        <v>6</v>
      </c>
      <c r="B549" s="1">
        <v>18</v>
      </c>
      <c r="C549" s="1" t="s">
        <v>2566</v>
      </c>
      <c r="D549" s="1" t="s">
        <v>904</v>
      </c>
      <c r="E549" s="1" t="s">
        <v>2564</v>
      </c>
      <c r="F549" s="1" t="s">
        <v>1238</v>
      </c>
      <c r="G549" s="1" t="s">
        <v>1521</v>
      </c>
      <c r="H549" s="1" t="s">
        <v>904</v>
      </c>
      <c r="I549" s="1" t="s">
        <v>2389</v>
      </c>
      <c r="J549" s="1" t="s">
        <v>943</v>
      </c>
      <c r="K549" s="1" t="s">
        <v>1653</v>
      </c>
      <c r="L549" s="1" t="s">
        <v>1205</v>
      </c>
      <c r="M549" s="1" t="s">
        <v>1037</v>
      </c>
      <c r="N549">
        <f>_xlfn.NUMBERVALUE(LEFT(Table11[[#This Row],[Score]],FIND("/",Table11[[#This Row],[Score]])-1))</f>
        <v>55</v>
      </c>
      <c r="O549">
        <f>IFERROR(_xlfn.NUMBERVALUE(LEFT(Table11[[#This Row],[Score2 ]],FIND("/",Table11[[#This Row],[Score2 ]])-1)),"")</f>
        <v>107</v>
      </c>
      <c r="P549" t="s">
        <v>176</v>
      </c>
      <c r="Q549" s="1" t="s">
        <v>140</v>
      </c>
      <c r="R549" t="str">
        <f>Table11[[#This Row],[Match]]&amp;" "&amp;Table11[[#This Row],[Over]]</f>
        <v>6 18</v>
      </c>
    </row>
    <row r="550" spans="1:18" x14ac:dyDescent="0.3">
      <c r="A550">
        <v>6</v>
      </c>
      <c r="B550" s="1">
        <v>19</v>
      </c>
      <c r="C550" s="1" t="s">
        <v>2567</v>
      </c>
      <c r="D550" s="1" t="s">
        <v>904</v>
      </c>
      <c r="E550" s="1" t="s">
        <v>2564</v>
      </c>
      <c r="F550" s="1" t="s">
        <v>1238</v>
      </c>
      <c r="G550" s="1" t="s">
        <v>2365</v>
      </c>
      <c r="H550" s="1" t="s">
        <v>898</v>
      </c>
      <c r="I550" s="1" t="s">
        <v>2143</v>
      </c>
      <c r="J550" s="1" t="s">
        <v>969</v>
      </c>
      <c r="K550" s="1" t="s">
        <v>2568</v>
      </c>
      <c r="L550" s="1" t="s">
        <v>2569</v>
      </c>
      <c r="M550" s="1" t="s">
        <v>1043</v>
      </c>
      <c r="N550">
        <f>_xlfn.NUMBERVALUE(LEFT(Table11[[#This Row],[Score]],FIND("/",Table11[[#This Row],[Score]])-1))</f>
        <v>58</v>
      </c>
      <c r="O550">
        <f>IFERROR(_xlfn.NUMBERVALUE(LEFT(Table11[[#This Row],[Score2 ]],FIND("/",Table11[[#This Row],[Score2 ]])-1)),"")</f>
        <v>109</v>
      </c>
      <c r="P550" t="s">
        <v>176</v>
      </c>
      <c r="Q550" s="1" t="s">
        <v>140</v>
      </c>
      <c r="R550" t="str">
        <f>Table11[[#This Row],[Match]]&amp;" "&amp;Table11[[#This Row],[Over]]</f>
        <v>6 19</v>
      </c>
    </row>
    <row r="551" spans="1:18" x14ac:dyDescent="0.3">
      <c r="A551">
        <v>6</v>
      </c>
      <c r="B551" s="1">
        <v>20</v>
      </c>
      <c r="C551" s="1" t="s">
        <v>2570</v>
      </c>
      <c r="D551" s="1" t="s">
        <v>898</v>
      </c>
      <c r="E551" s="1" t="s">
        <v>1238</v>
      </c>
      <c r="F551" s="1" t="s">
        <v>984</v>
      </c>
      <c r="G551" s="1" t="s">
        <v>2571</v>
      </c>
      <c r="H551" s="1" t="s">
        <v>968</v>
      </c>
      <c r="I551" s="1" t="s">
        <v>959</v>
      </c>
      <c r="J551" s="1" t="s">
        <v>990</v>
      </c>
      <c r="K551" s="1" t="s">
        <v>1658</v>
      </c>
      <c r="L551" s="1" t="s">
        <v>2572</v>
      </c>
      <c r="M551" s="1" t="s">
        <v>1049</v>
      </c>
      <c r="N551">
        <f>_xlfn.NUMBERVALUE(LEFT(Table11[[#This Row],[Score]],FIND("/",Table11[[#This Row],[Score]])-1))</f>
        <v>60</v>
      </c>
      <c r="O551">
        <f>IFERROR(_xlfn.NUMBERVALUE(LEFT(Table11[[#This Row],[Score2 ]],FIND("/",Table11[[#This Row],[Score2 ]])-1)),"")</f>
        <v>110</v>
      </c>
      <c r="P551" t="s">
        <v>176</v>
      </c>
      <c r="Q551" s="1" t="s">
        <v>140</v>
      </c>
      <c r="R551" t="str">
        <f>Table11[[#This Row],[Match]]&amp;" "&amp;Table11[[#This Row],[Over]]</f>
        <v>6 20</v>
      </c>
    </row>
    <row r="552" spans="1:18" x14ac:dyDescent="0.3">
      <c r="A552">
        <v>6</v>
      </c>
      <c r="B552" s="1">
        <v>21</v>
      </c>
      <c r="C552" s="1" t="s">
        <v>2573</v>
      </c>
      <c r="D552" s="1" t="s">
        <v>947</v>
      </c>
      <c r="E552" s="1" t="s">
        <v>1885</v>
      </c>
      <c r="F552" s="1" t="s">
        <v>940</v>
      </c>
      <c r="G552" s="1" t="s">
        <v>2574</v>
      </c>
      <c r="H552" s="1" t="s">
        <v>916</v>
      </c>
      <c r="I552" s="1" t="s">
        <v>951</v>
      </c>
      <c r="J552" s="1" t="s">
        <v>939</v>
      </c>
      <c r="K552" s="1" t="s">
        <v>2575</v>
      </c>
      <c r="L552" s="1" t="s">
        <v>1704</v>
      </c>
      <c r="M552" s="1" t="s">
        <v>1056</v>
      </c>
      <c r="N552">
        <f>_xlfn.NUMBERVALUE(LEFT(Table11[[#This Row],[Score]],FIND("/",Table11[[#This Row],[Score]])-1))</f>
        <v>69</v>
      </c>
      <c r="O552">
        <f>IFERROR(_xlfn.NUMBERVALUE(LEFT(Table11[[#This Row],[Score2 ]],FIND("/",Table11[[#This Row],[Score2 ]])-1)),"")</f>
        <v>117</v>
      </c>
      <c r="P552" t="s">
        <v>176</v>
      </c>
      <c r="Q552" s="1" t="s">
        <v>140</v>
      </c>
      <c r="R552" t="str">
        <f>Table11[[#This Row],[Match]]&amp;" "&amp;Table11[[#This Row],[Over]]</f>
        <v>6 21</v>
      </c>
    </row>
    <row r="553" spans="1:18" x14ac:dyDescent="0.3">
      <c r="A553">
        <v>6</v>
      </c>
      <c r="B553" s="1">
        <v>22</v>
      </c>
      <c r="C553" s="1" t="s">
        <v>2576</v>
      </c>
      <c r="D553" s="1" t="s">
        <v>898</v>
      </c>
      <c r="E553" s="1" t="s">
        <v>2577</v>
      </c>
      <c r="F553" s="1" t="s">
        <v>990</v>
      </c>
      <c r="G553" s="1" t="s">
        <v>1912</v>
      </c>
      <c r="H553" s="1" t="s">
        <v>950</v>
      </c>
      <c r="I553" s="1" t="s">
        <v>2139</v>
      </c>
      <c r="J553" s="1" t="s">
        <v>977</v>
      </c>
      <c r="K553" s="1" t="s">
        <v>2578</v>
      </c>
      <c r="L553" s="1" t="s">
        <v>1692</v>
      </c>
      <c r="M553" s="1" t="s">
        <v>1063</v>
      </c>
      <c r="N553">
        <f>_xlfn.NUMBERVALUE(LEFT(Table11[[#This Row],[Score]],FIND("/",Table11[[#This Row],[Score]])-1))</f>
        <v>71</v>
      </c>
      <c r="O553">
        <f>IFERROR(_xlfn.NUMBERVALUE(LEFT(Table11[[#This Row],[Score2 ]],FIND("/",Table11[[#This Row],[Score2 ]])-1)),"")</f>
        <v>122</v>
      </c>
      <c r="P553" t="s">
        <v>176</v>
      </c>
      <c r="Q553" s="1" t="s">
        <v>140</v>
      </c>
      <c r="R553" t="str">
        <f>Table11[[#This Row],[Match]]&amp;" "&amp;Table11[[#This Row],[Over]]</f>
        <v>6 22</v>
      </c>
    </row>
    <row r="554" spans="1:18" x14ac:dyDescent="0.3">
      <c r="A554">
        <v>6</v>
      </c>
      <c r="B554" s="1">
        <v>23</v>
      </c>
      <c r="C554" s="1" t="s">
        <v>2579</v>
      </c>
      <c r="D554" s="1" t="s">
        <v>1103</v>
      </c>
      <c r="E554" s="1" t="s">
        <v>977</v>
      </c>
      <c r="F554" s="1" t="s">
        <v>934</v>
      </c>
      <c r="G554" s="1" t="s">
        <v>2490</v>
      </c>
      <c r="H554" s="1" t="s">
        <v>916</v>
      </c>
      <c r="I554" s="1" t="s">
        <v>934</v>
      </c>
      <c r="J554" s="1" t="s">
        <v>940</v>
      </c>
      <c r="K554" s="1" t="s">
        <v>2580</v>
      </c>
      <c r="L554" s="1" t="s">
        <v>933</v>
      </c>
      <c r="M554" s="1" t="s">
        <v>1070</v>
      </c>
      <c r="N554">
        <f>_xlfn.NUMBERVALUE(LEFT(Table11[[#This Row],[Score]],FIND("/",Table11[[#This Row],[Score]])-1))</f>
        <v>83</v>
      </c>
      <c r="O554">
        <f>IFERROR(_xlfn.NUMBERVALUE(LEFT(Table11[[#This Row],[Score2 ]],FIND("/",Table11[[#This Row],[Score2 ]])-1)),"")</f>
        <v>129</v>
      </c>
      <c r="P554" t="s">
        <v>176</v>
      </c>
      <c r="Q554" s="1" t="s">
        <v>140</v>
      </c>
      <c r="R554" t="str">
        <f>Table11[[#This Row],[Match]]&amp;" "&amp;Table11[[#This Row],[Over]]</f>
        <v>6 23</v>
      </c>
    </row>
    <row r="555" spans="1:18" x14ac:dyDescent="0.3">
      <c r="A555">
        <v>6</v>
      </c>
      <c r="B555" s="1">
        <v>24</v>
      </c>
      <c r="C555" s="1" t="s">
        <v>2463</v>
      </c>
      <c r="D555" s="1" t="s">
        <v>904</v>
      </c>
      <c r="E555" s="1" t="s">
        <v>1881</v>
      </c>
      <c r="F555" s="1" t="s">
        <v>934</v>
      </c>
      <c r="G555" s="1" t="s">
        <v>2581</v>
      </c>
      <c r="H555" s="1" t="s">
        <v>947</v>
      </c>
      <c r="I555" s="1" t="s">
        <v>1601</v>
      </c>
      <c r="J555" s="1" t="s">
        <v>1013</v>
      </c>
      <c r="K555" s="1" t="s">
        <v>2582</v>
      </c>
      <c r="L555" s="1" t="s">
        <v>950</v>
      </c>
      <c r="M555" s="1" t="s">
        <v>1077</v>
      </c>
      <c r="N555">
        <f>_xlfn.NUMBERVALUE(LEFT(Table11[[#This Row],[Score]],FIND("/",Table11[[#This Row],[Score]])-1))</f>
        <v>86</v>
      </c>
      <c r="O555">
        <f>IFERROR(_xlfn.NUMBERVALUE(LEFT(Table11[[#This Row],[Score2 ]],FIND("/",Table11[[#This Row],[Score2 ]])-1)),"")</f>
        <v>138</v>
      </c>
      <c r="P555" t="s">
        <v>176</v>
      </c>
      <c r="Q555" s="1" t="s">
        <v>140</v>
      </c>
      <c r="R555" t="str">
        <f>Table11[[#This Row],[Match]]&amp;" "&amp;Table11[[#This Row],[Over]]</f>
        <v>6 24</v>
      </c>
    </row>
    <row r="556" spans="1:18" x14ac:dyDescent="0.3">
      <c r="A556">
        <v>6</v>
      </c>
      <c r="B556" s="1">
        <v>25</v>
      </c>
      <c r="C556" s="1" t="s">
        <v>2583</v>
      </c>
      <c r="D556" s="1" t="s">
        <v>904</v>
      </c>
      <c r="E556" s="1" t="s">
        <v>2028</v>
      </c>
      <c r="F556" s="1" t="s">
        <v>1013</v>
      </c>
      <c r="G556" s="1" t="s">
        <v>2584</v>
      </c>
      <c r="H556" s="1" t="s">
        <v>2585</v>
      </c>
      <c r="I556" s="1" t="s">
        <v>1616</v>
      </c>
      <c r="J556" s="1" t="s">
        <v>2310</v>
      </c>
      <c r="K556" s="1" t="s">
        <v>1622</v>
      </c>
      <c r="L556" s="1" t="s">
        <v>1007</v>
      </c>
      <c r="M556" s="1" t="s">
        <v>1376</v>
      </c>
      <c r="N556">
        <f>_xlfn.NUMBERVALUE(LEFT(Table11[[#This Row],[Score]],FIND("/",Table11[[#This Row],[Score]])-1))</f>
        <v>89</v>
      </c>
      <c r="O556">
        <f>IFERROR(_xlfn.NUMBERVALUE(LEFT(Table11[[#This Row],[Score2 ]],FIND("/",Table11[[#This Row],[Score2 ]])-1)),"")</f>
        <v>146</v>
      </c>
      <c r="P556" t="s">
        <v>176</v>
      </c>
      <c r="Q556" s="1" t="s">
        <v>140</v>
      </c>
      <c r="R556" t="str">
        <f>Table11[[#This Row],[Match]]&amp;" "&amp;Table11[[#This Row],[Over]]</f>
        <v>6 25</v>
      </c>
    </row>
    <row r="557" spans="1:18" x14ac:dyDescent="0.3">
      <c r="A557">
        <v>6</v>
      </c>
      <c r="B557" s="1">
        <v>26</v>
      </c>
      <c r="C557" s="1" t="s">
        <v>1892</v>
      </c>
      <c r="D557" s="1" t="s">
        <v>930</v>
      </c>
      <c r="E557" s="1" t="s">
        <v>1848</v>
      </c>
      <c r="F557" s="1" t="s">
        <v>934</v>
      </c>
      <c r="N557">
        <f>_xlfn.NUMBERVALUE(LEFT(Table11[[#This Row],[Score]],FIND("/",Table11[[#This Row],[Score]])-1))</f>
        <v>97</v>
      </c>
      <c r="O557" t="str">
        <f>IFERROR(_xlfn.NUMBERVALUE(LEFT(Table11[[#This Row],[Score2 ]],FIND("/",Table11[[#This Row],[Score2 ]])-1)),"")</f>
        <v/>
      </c>
      <c r="P557" t="s">
        <v>176</v>
      </c>
      <c r="Q557" s="1" t="s">
        <v>140</v>
      </c>
      <c r="R557" t="str">
        <f>Table11[[#This Row],[Match]]&amp;" "&amp;Table11[[#This Row],[Over]]</f>
        <v>6 26</v>
      </c>
    </row>
    <row r="558" spans="1:18" x14ac:dyDescent="0.3">
      <c r="A558">
        <v>6</v>
      </c>
      <c r="B558" s="1">
        <v>27</v>
      </c>
      <c r="C558" s="1" t="s">
        <v>2586</v>
      </c>
      <c r="D558" s="1" t="s">
        <v>930</v>
      </c>
      <c r="E558" s="1" t="s">
        <v>1860</v>
      </c>
      <c r="F558" s="1" t="s">
        <v>1053</v>
      </c>
      <c r="N558">
        <f>_xlfn.NUMBERVALUE(LEFT(Table11[[#This Row],[Score]],FIND("/",Table11[[#This Row],[Score]])-1))</f>
        <v>105</v>
      </c>
      <c r="O558" t="str">
        <f>IFERROR(_xlfn.NUMBERVALUE(LEFT(Table11[[#This Row],[Score2 ]],FIND("/",Table11[[#This Row],[Score2 ]])-1)),"")</f>
        <v/>
      </c>
      <c r="P558" t="s">
        <v>176</v>
      </c>
      <c r="Q558" s="1" t="s">
        <v>140</v>
      </c>
      <c r="R558" t="str">
        <f>Table11[[#This Row],[Match]]&amp;" "&amp;Table11[[#This Row],[Over]]</f>
        <v>6 27</v>
      </c>
    </row>
    <row r="559" spans="1:18" x14ac:dyDescent="0.3">
      <c r="A559">
        <v>6</v>
      </c>
      <c r="B559" s="1">
        <v>28</v>
      </c>
      <c r="C559" s="1" t="s">
        <v>2485</v>
      </c>
      <c r="D559" s="1" t="s">
        <v>950</v>
      </c>
      <c r="E559" s="1" t="s">
        <v>1507</v>
      </c>
      <c r="F559" s="1" t="s">
        <v>966</v>
      </c>
      <c r="N559">
        <f>_xlfn.NUMBERVALUE(LEFT(Table11[[#This Row],[Score]],FIND("/",Table11[[#This Row],[Score]])-1))</f>
        <v>110</v>
      </c>
      <c r="O559" t="str">
        <f>IFERROR(_xlfn.NUMBERVALUE(LEFT(Table11[[#This Row],[Score2 ]],FIND("/",Table11[[#This Row],[Score2 ]])-1)),"")</f>
        <v/>
      </c>
      <c r="P559" t="s">
        <v>176</v>
      </c>
      <c r="Q559" s="1" t="s">
        <v>140</v>
      </c>
      <c r="R559" t="str">
        <f>Table11[[#This Row],[Match]]&amp;" "&amp;Table11[[#This Row],[Over]]</f>
        <v>6 28</v>
      </c>
    </row>
    <row r="560" spans="1:18" x14ac:dyDescent="0.3">
      <c r="A560">
        <v>6</v>
      </c>
      <c r="B560" s="1">
        <v>29</v>
      </c>
      <c r="C560" s="1" t="s">
        <v>2587</v>
      </c>
      <c r="D560" s="1" t="s">
        <v>950</v>
      </c>
      <c r="E560" s="1" t="s">
        <v>1513</v>
      </c>
      <c r="F560" s="1" t="s">
        <v>1013</v>
      </c>
      <c r="N560">
        <f>_xlfn.NUMBERVALUE(LEFT(Table11[[#This Row],[Score]],FIND("/",Table11[[#This Row],[Score]])-1))</f>
        <v>115</v>
      </c>
      <c r="O560" t="str">
        <f>IFERROR(_xlfn.NUMBERVALUE(LEFT(Table11[[#This Row],[Score2 ]],FIND("/",Table11[[#This Row],[Score2 ]])-1)),"")</f>
        <v/>
      </c>
      <c r="P560" t="s">
        <v>176</v>
      </c>
      <c r="Q560" s="1" t="s">
        <v>140</v>
      </c>
      <c r="R560" t="str">
        <f>Table11[[#This Row],[Match]]&amp;" "&amp;Table11[[#This Row],[Over]]</f>
        <v>6 29</v>
      </c>
    </row>
    <row r="561" spans="1:18" x14ac:dyDescent="0.3">
      <c r="A561">
        <v>6</v>
      </c>
      <c r="B561" s="1">
        <v>30</v>
      </c>
      <c r="C561" s="1" t="s">
        <v>2588</v>
      </c>
      <c r="D561" s="1" t="s">
        <v>904</v>
      </c>
      <c r="E561" s="1" t="s">
        <v>1294</v>
      </c>
      <c r="F561" s="1" t="s">
        <v>1013</v>
      </c>
      <c r="N561">
        <f>_xlfn.NUMBERVALUE(LEFT(Table11[[#This Row],[Score]],FIND("/",Table11[[#This Row],[Score]])-1))</f>
        <v>118</v>
      </c>
      <c r="O561" t="str">
        <f>IFERROR(_xlfn.NUMBERVALUE(LEFT(Table11[[#This Row],[Score2 ]],FIND("/",Table11[[#This Row],[Score2 ]])-1)),"")</f>
        <v/>
      </c>
      <c r="P561" t="s">
        <v>176</v>
      </c>
      <c r="Q561" s="1" t="s">
        <v>140</v>
      </c>
      <c r="R561" t="str">
        <f>Table11[[#This Row],[Match]]&amp;" "&amp;Table11[[#This Row],[Over]]</f>
        <v>6 30</v>
      </c>
    </row>
    <row r="562" spans="1:18" x14ac:dyDescent="0.3">
      <c r="A562">
        <v>6</v>
      </c>
      <c r="B562" s="1">
        <v>31</v>
      </c>
      <c r="C562" s="1" t="s">
        <v>2589</v>
      </c>
      <c r="D562" s="1" t="s">
        <v>998</v>
      </c>
      <c r="E562" s="1" t="s">
        <v>1294</v>
      </c>
      <c r="F562" s="1" t="s">
        <v>969</v>
      </c>
      <c r="N562">
        <f>_xlfn.NUMBERVALUE(LEFT(Table11[[#This Row],[Score]],FIND("/",Table11[[#This Row],[Score]])-1))</f>
        <v>122</v>
      </c>
      <c r="O562" t="str">
        <f>IFERROR(_xlfn.NUMBERVALUE(LEFT(Table11[[#This Row],[Score2 ]],FIND("/",Table11[[#This Row],[Score2 ]])-1)),"")</f>
        <v/>
      </c>
      <c r="P562" t="s">
        <v>176</v>
      </c>
      <c r="Q562" s="1" t="s">
        <v>140</v>
      </c>
      <c r="R562" t="str">
        <f>Table11[[#This Row],[Match]]&amp;" "&amp;Table11[[#This Row],[Over]]</f>
        <v>6 31</v>
      </c>
    </row>
    <row r="563" spans="1:18" x14ac:dyDescent="0.3">
      <c r="A563">
        <v>6</v>
      </c>
      <c r="B563" s="1">
        <v>32</v>
      </c>
      <c r="C563" s="1" t="s">
        <v>2589</v>
      </c>
      <c r="D563" s="1" t="s">
        <v>1007</v>
      </c>
      <c r="E563" s="1" t="s">
        <v>1866</v>
      </c>
      <c r="F563" s="1" t="s">
        <v>1247</v>
      </c>
      <c r="N563">
        <f>_xlfn.NUMBERVALUE(LEFT(Table11[[#This Row],[Score]],FIND("/",Table11[[#This Row],[Score]])-1))</f>
        <v>122</v>
      </c>
      <c r="O563" t="str">
        <f>IFERROR(_xlfn.NUMBERVALUE(LEFT(Table11[[#This Row],[Score2 ]],FIND("/",Table11[[#This Row],[Score2 ]])-1)),"")</f>
        <v/>
      </c>
      <c r="P563" t="s">
        <v>176</v>
      </c>
      <c r="Q563" s="1" t="s">
        <v>140</v>
      </c>
      <c r="R563" t="str">
        <f>Table11[[#This Row],[Match]]&amp;" "&amp;Table11[[#This Row],[Over]]</f>
        <v>6 32</v>
      </c>
    </row>
    <row r="564" spans="1:18" x14ac:dyDescent="0.3">
      <c r="A564">
        <v>6</v>
      </c>
      <c r="B564" s="1">
        <v>33</v>
      </c>
      <c r="C564" s="1" t="s">
        <v>2590</v>
      </c>
      <c r="D564" s="1" t="s">
        <v>916</v>
      </c>
      <c r="E564" s="1" t="s">
        <v>1273</v>
      </c>
      <c r="F564" s="1" t="s">
        <v>990</v>
      </c>
      <c r="N564">
        <f>_xlfn.NUMBERVALUE(LEFT(Table11[[#This Row],[Score]],FIND("/",Table11[[#This Row],[Score]])-1))</f>
        <v>129</v>
      </c>
      <c r="O564" t="str">
        <f>IFERROR(_xlfn.NUMBERVALUE(LEFT(Table11[[#This Row],[Score2 ]],FIND("/",Table11[[#This Row],[Score2 ]])-1)),"")</f>
        <v/>
      </c>
      <c r="P564" t="s">
        <v>176</v>
      </c>
      <c r="Q564" s="1" t="s">
        <v>140</v>
      </c>
      <c r="R564" t="str">
        <f>Table11[[#This Row],[Match]]&amp;" "&amp;Table11[[#This Row],[Over]]</f>
        <v>6 33</v>
      </c>
    </row>
    <row r="565" spans="1:18" x14ac:dyDescent="0.3">
      <c r="A565">
        <v>6</v>
      </c>
      <c r="B565" s="1">
        <v>34</v>
      </c>
      <c r="C565" s="1" t="s">
        <v>2591</v>
      </c>
      <c r="D565" s="1" t="s">
        <v>998</v>
      </c>
      <c r="E565" s="1" t="s">
        <v>1278</v>
      </c>
      <c r="F565" s="1" t="s">
        <v>977</v>
      </c>
      <c r="N565">
        <f>_xlfn.NUMBERVALUE(LEFT(Table11[[#This Row],[Score]],FIND("/",Table11[[#This Row],[Score]])-1))</f>
        <v>133</v>
      </c>
      <c r="O565" t="str">
        <f>IFERROR(_xlfn.NUMBERVALUE(LEFT(Table11[[#This Row],[Score2 ]],FIND("/",Table11[[#This Row],[Score2 ]])-1)),"")</f>
        <v/>
      </c>
      <c r="P565" t="s">
        <v>176</v>
      </c>
      <c r="Q565" s="1" t="s">
        <v>140</v>
      </c>
      <c r="R565" t="str">
        <f>Table11[[#This Row],[Match]]&amp;" "&amp;Table11[[#This Row],[Over]]</f>
        <v>6 34</v>
      </c>
    </row>
    <row r="566" spans="1:18" x14ac:dyDescent="0.3">
      <c r="A566">
        <v>6</v>
      </c>
      <c r="B566" s="1">
        <v>35</v>
      </c>
      <c r="C566" s="1" t="s">
        <v>2592</v>
      </c>
      <c r="D566" s="1" t="s">
        <v>904</v>
      </c>
      <c r="E566" s="1" t="s">
        <v>1860</v>
      </c>
      <c r="F566" s="1" t="s">
        <v>977</v>
      </c>
      <c r="N566">
        <f>_xlfn.NUMBERVALUE(LEFT(Table11[[#This Row],[Score]],FIND("/",Table11[[#This Row],[Score]])-1))</f>
        <v>136</v>
      </c>
      <c r="O566" t="str">
        <f>IFERROR(_xlfn.NUMBERVALUE(LEFT(Table11[[#This Row],[Score2 ]],FIND("/",Table11[[#This Row],[Score2 ]])-1)),"")</f>
        <v/>
      </c>
      <c r="P566" t="s">
        <v>176</v>
      </c>
      <c r="Q566" s="1" t="s">
        <v>140</v>
      </c>
      <c r="R566" t="str">
        <f>Table11[[#This Row],[Match]]&amp;" "&amp;Table11[[#This Row],[Over]]</f>
        <v>6 35</v>
      </c>
    </row>
    <row r="567" spans="1:18" x14ac:dyDescent="0.3">
      <c r="A567">
        <v>6</v>
      </c>
      <c r="B567" s="1">
        <v>36</v>
      </c>
      <c r="C567" s="1" t="s">
        <v>2593</v>
      </c>
      <c r="D567" s="1" t="s">
        <v>922</v>
      </c>
      <c r="E567" s="1" t="s">
        <v>2349</v>
      </c>
      <c r="F567" s="1" t="s">
        <v>939</v>
      </c>
      <c r="N567">
        <f>_xlfn.NUMBERVALUE(LEFT(Table11[[#This Row],[Score]],FIND("/",Table11[[#This Row],[Score]])-1))</f>
        <v>142</v>
      </c>
      <c r="O567" t="str">
        <f>IFERROR(_xlfn.NUMBERVALUE(LEFT(Table11[[#This Row],[Score2 ]],FIND("/",Table11[[#This Row],[Score2 ]])-1)),"")</f>
        <v/>
      </c>
      <c r="P567" t="s">
        <v>176</v>
      </c>
      <c r="Q567" s="1" t="s">
        <v>140</v>
      </c>
      <c r="R567" t="str">
        <f>Table11[[#This Row],[Match]]&amp;" "&amp;Table11[[#This Row],[Over]]</f>
        <v>6 36</v>
      </c>
    </row>
    <row r="568" spans="1:18" x14ac:dyDescent="0.3">
      <c r="A568">
        <v>6</v>
      </c>
      <c r="B568" s="1">
        <v>37</v>
      </c>
      <c r="C568" s="1" t="s">
        <v>2594</v>
      </c>
      <c r="D568" s="1" t="s">
        <v>1966</v>
      </c>
      <c r="E568" s="1" t="s">
        <v>2595</v>
      </c>
      <c r="F568" s="1" t="s">
        <v>1400</v>
      </c>
      <c r="N568">
        <f>_xlfn.NUMBERVALUE(LEFT(Table11[[#This Row],[Score]],FIND("/",Table11[[#This Row],[Score]])-1))</f>
        <v>142</v>
      </c>
      <c r="O568" t="str">
        <f>IFERROR(_xlfn.NUMBERVALUE(LEFT(Table11[[#This Row],[Score2 ]],FIND("/",Table11[[#This Row],[Score2 ]])-1)),"")</f>
        <v/>
      </c>
      <c r="P568" t="s">
        <v>176</v>
      </c>
      <c r="Q568" s="1" t="s">
        <v>140</v>
      </c>
      <c r="R568" t="str">
        <f>Table11[[#This Row],[Match]]&amp;" "&amp;Table11[[#This Row],[Over]]</f>
        <v>6 37</v>
      </c>
    </row>
    <row r="569" spans="1:18" x14ac:dyDescent="0.3">
      <c r="A569">
        <v>7</v>
      </c>
      <c r="B569" s="1">
        <v>1</v>
      </c>
      <c r="C569" s="1" t="s">
        <v>897</v>
      </c>
      <c r="D569" s="1" t="s">
        <v>898</v>
      </c>
      <c r="E569" s="1" t="s">
        <v>899</v>
      </c>
      <c r="F569" s="1" t="s">
        <v>348</v>
      </c>
      <c r="G569" s="1" t="s">
        <v>2596</v>
      </c>
      <c r="H569" s="1" t="s">
        <v>898</v>
      </c>
      <c r="I569" s="1" t="s">
        <v>899</v>
      </c>
      <c r="J569" s="1" t="s">
        <v>348</v>
      </c>
      <c r="K569" s="1" t="s">
        <v>1158</v>
      </c>
      <c r="L569" s="1" t="s">
        <v>2597</v>
      </c>
      <c r="M569" s="1" t="s">
        <v>902</v>
      </c>
      <c r="N569">
        <f>_xlfn.NUMBERVALUE(LEFT(Table11[[#This Row],[Score]],FIND("/",Table11[[#This Row],[Score]])-1))</f>
        <v>2</v>
      </c>
      <c r="O569">
        <f>IFERROR(_xlfn.NUMBERVALUE(LEFT(Table11[[#This Row],[Score2 ]],FIND("/",Table11[[#This Row],[Score2 ]])-1)),"")</f>
        <v>2</v>
      </c>
      <c r="P569" t="s">
        <v>181</v>
      </c>
      <c r="Q569" s="1" t="s">
        <v>185</v>
      </c>
      <c r="R569" t="str">
        <f>Table11[[#This Row],[Match]]&amp;" "&amp;Table11[[#This Row],[Over]]</f>
        <v>7 1</v>
      </c>
    </row>
    <row r="570" spans="1:18" x14ac:dyDescent="0.3">
      <c r="A570">
        <v>7</v>
      </c>
      <c r="B570" s="1">
        <v>2</v>
      </c>
      <c r="C570" s="1" t="s">
        <v>906</v>
      </c>
      <c r="D570" s="1" t="s">
        <v>898</v>
      </c>
      <c r="E570" s="1" t="s">
        <v>899</v>
      </c>
      <c r="F570" s="1" t="s">
        <v>348</v>
      </c>
      <c r="G570" s="1" t="s">
        <v>2598</v>
      </c>
      <c r="H570" s="1" t="s">
        <v>968</v>
      </c>
      <c r="I570" s="1" t="s">
        <v>1822</v>
      </c>
      <c r="J570" s="1" t="s">
        <v>348</v>
      </c>
      <c r="K570" s="1" t="s">
        <v>1677</v>
      </c>
      <c r="L570" s="1" t="s">
        <v>1275</v>
      </c>
      <c r="M570" s="1" t="s">
        <v>909</v>
      </c>
      <c r="N570">
        <f>_xlfn.NUMBERVALUE(LEFT(Table11[[#This Row],[Score]],FIND("/",Table11[[#This Row],[Score]])-1))</f>
        <v>4</v>
      </c>
      <c r="O570">
        <f>IFERROR(_xlfn.NUMBERVALUE(LEFT(Table11[[#This Row],[Score2 ]],FIND("/",Table11[[#This Row],[Score2 ]])-1)),"")</f>
        <v>3</v>
      </c>
      <c r="P570" t="s">
        <v>181</v>
      </c>
      <c r="Q570" s="1" t="s">
        <v>185</v>
      </c>
      <c r="R570" t="str">
        <f>Table11[[#This Row],[Match]]&amp;" "&amp;Table11[[#This Row],[Over]]</f>
        <v>7 2</v>
      </c>
    </row>
    <row r="571" spans="1:18" x14ac:dyDescent="0.3">
      <c r="A571">
        <v>7</v>
      </c>
      <c r="B571" s="1">
        <v>3</v>
      </c>
      <c r="C571" s="1" t="s">
        <v>1421</v>
      </c>
      <c r="D571" s="1" t="s">
        <v>922</v>
      </c>
      <c r="E571" s="1" t="s">
        <v>1265</v>
      </c>
      <c r="F571" s="1" t="s">
        <v>348</v>
      </c>
      <c r="G571" s="1" t="s">
        <v>2599</v>
      </c>
      <c r="H571" s="1" t="s">
        <v>1007</v>
      </c>
      <c r="I571" s="1" t="s">
        <v>1662</v>
      </c>
      <c r="J571" s="1" t="s">
        <v>348</v>
      </c>
      <c r="K571" s="1" t="s">
        <v>2133</v>
      </c>
      <c r="L571" s="1" t="s">
        <v>1275</v>
      </c>
      <c r="M571" s="1" t="s">
        <v>920</v>
      </c>
      <c r="N571">
        <f>_xlfn.NUMBERVALUE(LEFT(Table11[[#This Row],[Score]],FIND("/",Table11[[#This Row],[Score]])-1))</f>
        <v>10</v>
      </c>
      <c r="O571">
        <f>IFERROR(_xlfn.NUMBERVALUE(LEFT(Table11[[#This Row],[Score2 ]],FIND("/",Table11[[#This Row],[Score2 ]])-1)),"")</f>
        <v>3</v>
      </c>
      <c r="P571" t="s">
        <v>181</v>
      </c>
      <c r="Q571" s="1" t="s">
        <v>185</v>
      </c>
      <c r="R571" t="str">
        <f>Table11[[#This Row],[Match]]&amp;" "&amp;Table11[[#This Row],[Over]]</f>
        <v>7 3</v>
      </c>
    </row>
    <row r="572" spans="1:18" x14ac:dyDescent="0.3">
      <c r="A572">
        <v>7</v>
      </c>
      <c r="B572" s="1">
        <v>4</v>
      </c>
      <c r="C572" s="1" t="s">
        <v>921</v>
      </c>
      <c r="D572" s="1" t="s">
        <v>904</v>
      </c>
      <c r="E572" s="1" t="s">
        <v>923</v>
      </c>
      <c r="F572" s="1" t="s">
        <v>348</v>
      </c>
      <c r="G572" s="1" t="s">
        <v>2600</v>
      </c>
      <c r="H572" s="1" t="s">
        <v>904</v>
      </c>
      <c r="I572" s="1" t="s">
        <v>1822</v>
      </c>
      <c r="J572" s="1" t="s">
        <v>348</v>
      </c>
      <c r="K572" s="1" t="s">
        <v>1192</v>
      </c>
      <c r="L572" s="1" t="s">
        <v>954</v>
      </c>
      <c r="M572" s="1" t="s">
        <v>928</v>
      </c>
      <c r="N572">
        <f>_xlfn.NUMBERVALUE(LEFT(Table11[[#This Row],[Score]],FIND("/",Table11[[#This Row],[Score]])-1))</f>
        <v>13</v>
      </c>
      <c r="O572">
        <f>IFERROR(_xlfn.NUMBERVALUE(LEFT(Table11[[#This Row],[Score2 ]],FIND("/",Table11[[#This Row],[Score2 ]])-1)),"")</f>
        <v>6</v>
      </c>
      <c r="P572" t="s">
        <v>181</v>
      </c>
      <c r="Q572" s="1" t="s">
        <v>185</v>
      </c>
      <c r="R572" t="str">
        <f>Table11[[#This Row],[Match]]&amp;" "&amp;Table11[[#This Row],[Over]]</f>
        <v>7 4</v>
      </c>
    </row>
    <row r="573" spans="1:18" x14ac:dyDescent="0.3">
      <c r="A573">
        <v>7</v>
      </c>
      <c r="B573" s="1">
        <v>5</v>
      </c>
      <c r="C573" s="1" t="s">
        <v>1629</v>
      </c>
      <c r="D573" s="1" t="s">
        <v>922</v>
      </c>
      <c r="E573" s="1" t="s">
        <v>990</v>
      </c>
      <c r="F573" s="1" t="s">
        <v>990</v>
      </c>
      <c r="G573" s="1" t="s">
        <v>2601</v>
      </c>
      <c r="H573" s="1" t="s">
        <v>898</v>
      </c>
      <c r="I573" s="1" t="s">
        <v>1770</v>
      </c>
      <c r="J573" s="1" t="s">
        <v>1770</v>
      </c>
      <c r="K573" s="1" t="s">
        <v>2424</v>
      </c>
      <c r="L573" s="1" t="s">
        <v>2602</v>
      </c>
      <c r="M573" s="1" t="s">
        <v>937</v>
      </c>
      <c r="N573">
        <f>_xlfn.NUMBERVALUE(LEFT(Table11[[#This Row],[Score]],FIND("/",Table11[[#This Row],[Score]])-1))</f>
        <v>19</v>
      </c>
      <c r="O573">
        <f>IFERROR(_xlfn.NUMBERVALUE(LEFT(Table11[[#This Row],[Score2 ]],FIND("/",Table11[[#This Row],[Score2 ]])-1)),"")</f>
        <v>8</v>
      </c>
      <c r="P573" t="s">
        <v>181</v>
      </c>
      <c r="Q573" s="1" t="s">
        <v>185</v>
      </c>
      <c r="R573" t="str">
        <f>Table11[[#This Row],[Match]]&amp;" "&amp;Table11[[#This Row],[Over]]</f>
        <v>7 5</v>
      </c>
    </row>
    <row r="574" spans="1:18" x14ac:dyDescent="0.3">
      <c r="A574">
        <v>7</v>
      </c>
      <c r="B574" s="1">
        <v>6</v>
      </c>
      <c r="C574" s="1" t="s">
        <v>1629</v>
      </c>
      <c r="D574" s="1" t="s">
        <v>1007</v>
      </c>
      <c r="E574" s="1" t="s">
        <v>1251</v>
      </c>
      <c r="F574" s="1" t="s">
        <v>1247</v>
      </c>
      <c r="G574" s="1" t="s">
        <v>2603</v>
      </c>
      <c r="H574" s="1" t="s">
        <v>998</v>
      </c>
      <c r="I574" s="1" t="s">
        <v>899</v>
      </c>
      <c r="J574" s="1" t="s">
        <v>899</v>
      </c>
      <c r="K574" s="1" t="s">
        <v>1420</v>
      </c>
      <c r="L574" s="1" t="s">
        <v>972</v>
      </c>
      <c r="M574" s="1" t="s">
        <v>945</v>
      </c>
      <c r="N574">
        <f>_xlfn.NUMBERVALUE(LEFT(Table11[[#This Row],[Score]],FIND("/",Table11[[#This Row],[Score]])-1))</f>
        <v>19</v>
      </c>
      <c r="O574">
        <f>IFERROR(_xlfn.NUMBERVALUE(LEFT(Table11[[#This Row],[Score2 ]],FIND("/",Table11[[#This Row],[Score2 ]])-1)),"")</f>
        <v>12</v>
      </c>
      <c r="P574" t="s">
        <v>181</v>
      </c>
      <c r="Q574" s="1" t="s">
        <v>185</v>
      </c>
      <c r="R574" t="str">
        <f>Table11[[#This Row],[Match]]&amp;" "&amp;Table11[[#This Row],[Over]]</f>
        <v>7 6</v>
      </c>
    </row>
    <row r="575" spans="1:18" x14ac:dyDescent="0.3">
      <c r="A575">
        <v>7</v>
      </c>
      <c r="B575" s="1">
        <v>7</v>
      </c>
      <c r="C575" s="1" t="s">
        <v>1730</v>
      </c>
      <c r="D575" s="1" t="s">
        <v>998</v>
      </c>
      <c r="E575" s="1" t="s">
        <v>1885</v>
      </c>
      <c r="F575" s="1" t="s">
        <v>990</v>
      </c>
      <c r="G575" s="1" t="s">
        <v>2604</v>
      </c>
      <c r="H575" s="1" t="s">
        <v>968</v>
      </c>
      <c r="I575" s="1" t="s">
        <v>1431</v>
      </c>
      <c r="J575" s="1" t="s">
        <v>899</v>
      </c>
      <c r="K575" s="1" t="s">
        <v>1425</v>
      </c>
      <c r="L575" s="1" t="s">
        <v>979</v>
      </c>
      <c r="M575" s="1" t="s">
        <v>955</v>
      </c>
      <c r="N575">
        <f>_xlfn.NUMBERVALUE(LEFT(Table11[[#This Row],[Score]],FIND("/",Table11[[#This Row],[Score]])-1))</f>
        <v>23</v>
      </c>
      <c r="O575">
        <f>IFERROR(_xlfn.NUMBERVALUE(LEFT(Table11[[#This Row],[Score2 ]],FIND("/",Table11[[#This Row],[Score2 ]])-1)),"")</f>
        <v>13</v>
      </c>
      <c r="P575" t="s">
        <v>181</v>
      </c>
      <c r="Q575" s="1" t="s">
        <v>185</v>
      </c>
      <c r="R575" t="str">
        <f>Table11[[#This Row],[Match]]&amp;" "&amp;Table11[[#This Row],[Over]]</f>
        <v>7 7</v>
      </c>
    </row>
    <row r="576" spans="1:18" x14ac:dyDescent="0.3">
      <c r="A576">
        <v>7</v>
      </c>
      <c r="B576" s="1">
        <v>8</v>
      </c>
      <c r="C576" s="1" t="s">
        <v>938</v>
      </c>
      <c r="D576" s="1" t="s">
        <v>968</v>
      </c>
      <c r="E576" s="1" t="s">
        <v>1238</v>
      </c>
      <c r="F576" s="1" t="s">
        <v>993</v>
      </c>
      <c r="G576" s="1" t="s">
        <v>2605</v>
      </c>
      <c r="H576" s="1" t="s">
        <v>950</v>
      </c>
      <c r="I576" s="1" t="s">
        <v>1242</v>
      </c>
      <c r="J576" s="1" t="s">
        <v>1238</v>
      </c>
      <c r="K576" s="1" t="s">
        <v>1428</v>
      </c>
      <c r="L576" s="1" t="s">
        <v>2606</v>
      </c>
      <c r="M576" s="1" t="s">
        <v>963</v>
      </c>
      <c r="N576">
        <f>_xlfn.NUMBERVALUE(LEFT(Table11[[#This Row],[Score]],FIND("/",Table11[[#This Row],[Score]])-1))</f>
        <v>24</v>
      </c>
      <c r="O576">
        <f>IFERROR(_xlfn.NUMBERVALUE(LEFT(Table11[[#This Row],[Score2 ]],FIND("/",Table11[[#This Row],[Score2 ]])-1)),"")</f>
        <v>18</v>
      </c>
      <c r="P576" t="s">
        <v>181</v>
      </c>
      <c r="Q576" s="1" t="s">
        <v>185</v>
      </c>
      <c r="R576" t="str">
        <f>Table11[[#This Row],[Match]]&amp;" "&amp;Table11[[#This Row],[Over]]</f>
        <v>7 8</v>
      </c>
    </row>
    <row r="577" spans="1:18" x14ac:dyDescent="0.3">
      <c r="A577">
        <v>7</v>
      </c>
      <c r="B577" s="1">
        <v>9</v>
      </c>
      <c r="C577" s="1" t="s">
        <v>1974</v>
      </c>
      <c r="D577" s="1" t="s">
        <v>998</v>
      </c>
      <c r="E577" s="1" t="s">
        <v>1708</v>
      </c>
      <c r="F577" s="1" t="s">
        <v>1238</v>
      </c>
      <c r="G577" s="1" t="s">
        <v>2607</v>
      </c>
      <c r="H577" s="1" t="s">
        <v>968</v>
      </c>
      <c r="I577" s="1" t="s">
        <v>1438</v>
      </c>
      <c r="J577" s="1" t="s">
        <v>984</v>
      </c>
      <c r="K577" s="1" t="s">
        <v>1756</v>
      </c>
      <c r="L577" s="1" t="s">
        <v>1992</v>
      </c>
      <c r="M577" s="1" t="s">
        <v>973</v>
      </c>
      <c r="N577">
        <f>_xlfn.NUMBERVALUE(LEFT(Table11[[#This Row],[Score]],FIND("/",Table11[[#This Row],[Score]])-1))</f>
        <v>28</v>
      </c>
      <c r="O577">
        <f>IFERROR(_xlfn.NUMBERVALUE(LEFT(Table11[[#This Row],[Score2 ]],FIND("/",Table11[[#This Row],[Score2 ]])-1)),"")</f>
        <v>19</v>
      </c>
      <c r="P577" t="s">
        <v>181</v>
      </c>
      <c r="Q577" s="1" t="s">
        <v>185</v>
      </c>
      <c r="R577" t="str">
        <f>Table11[[#This Row],[Match]]&amp;" "&amp;Table11[[#This Row],[Over]]</f>
        <v>7 9</v>
      </c>
    </row>
    <row r="578" spans="1:18" x14ac:dyDescent="0.3">
      <c r="A578">
        <v>7</v>
      </c>
      <c r="B578" s="1">
        <v>10</v>
      </c>
      <c r="C578" s="1" t="s">
        <v>2090</v>
      </c>
      <c r="D578" s="1" t="s">
        <v>1095</v>
      </c>
      <c r="E578" s="1" t="s">
        <v>990</v>
      </c>
      <c r="F578" s="1" t="s">
        <v>990</v>
      </c>
      <c r="G578" s="1" t="s">
        <v>2608</v>
      </c>
      <c r="H578" s="1" t="s">
        <v>950</v>
      </c>
      <c r="I578" s="1" t="s">
        <v>1088</v>
      </c>
      <c r="J578" s="1" t="s">
        <v>1259</v>
      </c>
      <c r="K578" s="1" t="s">
        <v>900</v>
      </c>
      <c r="L578" s="1" t="s">
        <v>1449</v>
      </c>
      <c r="M578" s="1" t="s">
        <v>980</v>
      </c>
      <c r="N578">
        <f>_xlfn.NUMBERVALUE(LEFT(Table11[[#This Row],[Score]],FIND("/",Table11[[#This Row],[Score]])-1))</f>
        <v>38</v>
      </c>
      <c r="O578">
        <f>IFERROR(_xlfn.NUMBERVALUE(LEFT(Table11[[#This Row],[Score2 ]],FIND("/",Table11[[#This Row],[Score2 ]])-1)),"")</f>
        <v>24</v>
      </c>
      <c r="P578" t="s">
        <v>181</v>
      </c>
      <c r="Q578" s="1" t="s">
        <v>185</v>
      </c>
      <c r="R578" t="str">
        <f>Table11[[#This Row],[Match]]&amp;" "&amp;Table11[[#This Row],[Over]]</f>
        <v>7 10</v>
      </c>
    </row>
    <row r="579" spans="1:18" x14ac:dyDescent="0.3">
      <c r="A579">
        <v>7</v>
      </c>
      <c r="B579" s="1">
        <v>11</v>
      </c>
      <c r="C579" s="1" t="s">
        <v>2090</v>
      </c>
      <c r="D579" s="1" t="s">
        <v>1007</v>
      </c>
      <c r="E579" s="1" t="s">
        <v>2609</v>
      </c>
      <c r="F579" s="1" t="s">
        <v>990</v>
      </c>
      <c r="G579" s="1" t="s">
        <v>2610</v>
      </c>
      <c r="H579" s="1" t="s">
        <v>968</v>
      </c>
      <c r="I579" s="1" t="s">
        <v>2611</v>
      </c>
      <c r="J579" s="1" t="s">
        <v>984</v>
      </c>
      <c r="K579" s="1" t="s">
        <v>926</v>
      </c>
      <c r="L579" s="1" t="s">
        <v>1003</v>
      </c>
      <c r="M579" s="1" t="s">
        <v>987</v>
      </c>
      <c r="N579">
        <f>_xlfn.NUMBERVALUE(LEFT(Table11[[#This Row],[Score]],FIND("/",Table11[[#This Row],[Score]])-1))</f>
        <v>38</v>
      </c>
      <c r="O579">
        <f>IFERROR(_xlfn.NUMBERVALUE(LEFT(Table11[[#This Row],[Score2 ]],FIND("/",Table11[[#This Row],[Score2 ]])-1)),"")</f>
        <v>25</v>
      </c>
      <c r="P579" t="s">
        <v>181</v>
      </c>
      <c r="Q579" s="1" t="s">
        <v>185</v>
      </c>
      <c r="R579" t="str">
        <f>Table11[[#This Row],[Match]]&amp;" "&amp;Table11[[#This Row],[Over]]</f>
        <v>7 11</v>
      </c>
    </row>
    <row r="580" spans="1:18" x14ac:dyDescent="0.3">
      <c r="A580">
        <v>7</v>
      </c>
      <c r="B580" s="1">
        <v>12</v>
      </c>
      <c r="C580" s="1" t="s">
        <v>1980</v>
      </c>
      <c r="D580" s="1" t="s">
        <v>904</v>
      </c>
      <c r="E580" s="1" t="s">
        <v>1796</v>
      </c>
      <c r="F580" s="1" t="s">
        <v>977</v>
      </c>
      <c r="G580" s="1" t="s">
        <v>2610</v>
      </c>
      <c r="H580" s="1" t="s">
        <v>1007</v>
      </c>
      <c r="I580" s="1" t="s">
        <v>2612</v>
      </c>
      <c r="J580" s="1" t="s">
        <v>1088</v>
      </c>
      <c r="K580" s="1" t="s">
        <v>1452</v>
      </c>
      <c r="L580" s="1" t="s">
        <v>1003</v>
      </c>
      <c r="M580" s="1" t="s">
        <v>996</v>
      </c>
      <c r="N580">
        <f>_xlfn.NUMBERVALUE(LEFT(Table11[[#This Row],[Score]],FIND("/",Table11[[#This Row],[Score]])-1))</f>
        <v>41</v>
      </c>
      <c r="O580">
        <f>IFERROR(_xlfn.NUMBERVALUE(LEFT(Table11[[#This Row],[Score2 ]],FIND("/",Table11[[#This Row],[Score2 ]])-1)),"")</f>
        <v>25</v>
      </c>
      <c r="P580" t="s">
        <v>181</v>
      </c>
      <c r="Q580" s="1" t="s">
        <v>185</v>
      </c>
      <c r="R580" t="str">
        <f>Table11[[#This Row],[Match]]&amp;" "&amp;Table11[[#This Row],[Over]]</f>
        <v>7 12</v>
      </c>
    </row>
    <row r="581" spans="1:18" x14ac:dyDescent="0.3">
      <c r="A581">
        <v>7</v>
      </c>
      <c r="B581" s="1">
        <v>13</v>
      </c>
      <c r="C581" s="1" t="s">
        <v>2613</v>
      </c>
      <c r="D581" s="1" t="s">
        <v>898</v>
      </c>
      <c r="E581" s="1" t="s">
        <v>1788</v>
      </c>
      <c r="F581" s="1" t="s">
        <v>990</v>
      </c>
      <c r="G581" s="1" t="s">
        <v>1649</v>
      </c>
      <c r="H581" s="1" t="s">
        <v>998</v>
      </c>
      <c r="I581" s="1" t="s">
        <v>2614</v>
      </c>
      <c r="J581" s="1" t="s">
        <v>1383</v>
      </c>
      <c r="K581" s="1" t="s">
        <v>2454</v>
      </c>
      <c r="L581" s="1" t="s">
        <v>2353</v>
      </c>
      <c r="M581" s="1" t="s">
        <v>1004</v>
      </c>
      <c r="N581">
        <f>_xlfn.NUMBERVALUE(LEFT(Table11[[#This Row],[Score]],FIND("/",Table11[[#This Row],[Score]])-1))</f>
        <v>43</v>
      </c>
      <c r="O581">
        <f>IFERROR(_xlfn.NUMBERVALUE(LEFT(Table11[[#This Row],[Score2 ]],FIND("/",Table11[[#This Row],[Score2 ]])-1)),"")</f>
        <v>29</v>
      </c>
      <c r="P581" t="s">
        <v>181</v>
      </c>
      <c r="Q581" s="1" t="s">
        <v>185</v>
      </c>
      <c r="R581" t="str">
        <f>Table11[[#This Row],[Match]]&amp;" "&amp;Table11[[#This Row],[Over]]</f>
        <v>7 13</v>
      </c>
    </row>
    <row r="582" spans="1:18" x14ac:dyDescent="0.3">
      <c r="A582">
        <v>7</v>
      </c>
      <c r="B582" s="1">
        <v>14</v>
      </c>
      <c r="C582" s="1" t="s">
        <v>1734</v>
      </c>
      <c r="D582" s="1" t="s">
        <v>998</v>
      </c>
      <c r="E582" s="1" t="s">
        <v>2615</v>
      </c>
      <c r="F582" s="1" t="s">
        <v>990</v>
      </c>
      <c r="G582" s="1" t="s">
        <v>1859</v>
      </c>
      <c r="H582" s="1" t="s">
        <v>922</v>
      </c>
      <c r="I582" s="1" t="s">
        <v>905</v>
      </c>
      <c r="J582" s="1" t="s">
        <v>1259</v>
      </c>
      <c r="K582" s="1" t="s">
        <v>1985</v>
      </c>
      <c r="L582" s="1" t="s">
        <v>2616</v>
      </c>
      <c r="M582" s="1" t="s">
        <v>1010</v>
      </c>
      <c r="N582">
        <f>_xlfn.NUMBERVALUE(LEFT(Table11[[#This Row],[Score]],FIND("/",Table11[[#This Row],[Score]])-1))</f>
        <v>47</v>
      </c>
      <c r="O582">
        <f>IFERROR(_xlfn.NUMBERVALUE(LEFT(Table11[[#This Row],[Score2 ]],FIND("/",Table11[[#This Row],[Score2 ]])-1)),"")</f>
        <v>35</v>
      </c>
      <c r="P582" t="s">
        <v>181</v>
      </c>
      <c r="Q582" s="1" t="s">
        <v>185</v>
      </c>
      <c r="R582" t="str">
        <f>Table11[[#This Row],[Match]]&amp;" "&amp;Table11[[#This Row],[Over]]</f>
        <v>7 14</v>
      </c>
    </row>
    <row r="583" spans="1:18" x14ac:dyDescent="0.3">
      <c r="A583">
        <v>7</v>
      </c>
      <c r="B583" s="1">
        <v>15</v>
      </c>
      <c r="C583" s="1" t="s">
        <v>982</v>
      </c>
      <c r="D583" s="1" t="s">
        <v>1007</v>
      </c>
      <c r="E583" s="1" t="s">
        <v>1716</v>
      </c>
      <c r="F583" s="1" t="s">
        <v>1636</v>
      </c>
      <c r="G583" s="1" t="s">
        <v>1453</v>
      </c>
      <c r="H583" s="1" t="s">
        <v>916</v>
      </c>
      <c r="I583" s="1" t="s">
        <v>993</v>
      </c>
      <c r="J583" s="1" t="s">
        <v>977</v>
      </c>
      <c r="K583" s="1" t="s">
        <v>2454</v>
      </c>
      <c r="L583" s="1" t="s">
        <v>2356</v>
      </c>
      <c r="M583" s="1" t="s">
        <v>1016</v>
      </c>
      <c r="N583">
        <f>_xlfn.NUMBERVALUE(LEFT(Table11[[#This Row],[Score]],FIND("/",Table11[[#This Row],[Score]])-1))</f>
        <v>47</v>
      </c>
      <c r="O583">
        <f>IFERROR(_xlfn.NUMBERVALUE(LEFT(Table11[[#This Row],[Score2 ]],FIND("/",Table11[[#This Row],[Score2 ]])-1)),"")</f>
        <v>42</v>
      </c>
      <c r="P583" t="s">
        <v>181</v>
      </c>
      <c r="Q583" s="1" t="s">
        <v>185</v>
      </c>
      <c r="R583" t="str">
        <f>Table11[[#This Row],[Match]]&amp;" "&amp;Table11[[#This Row],[Over]]</f>
        <v>7 15</v>
      </c>
    </row>
    <row r="584" spans="1:18" x14ac:dyDescent="0.3">
      <c r="A584">
        <v>7</v>
      </c>
      <c r="B584" s="1">
        <v>16</v>
      </c>
      <c r="C584" s="1" t="s">
        <v>988</v>
      </c>
      <c r="D584" s="1" t="s">
        <v>950</v>
      </c>
      <c r="E584" s="1" t="s">
        <v>923</v>
      </c>
      <c r="F584" s="1" t="s">
        <v>993</v>
      </c>
      <c r="G584" s="1" t="s">
        <v>2617</v>
      </c>
      <c r="H584" s="1" t="s">
        <v>898</v>
      </c>
      <c r="I584" s="1" t="s">
        <v>1672</v>
      </c>
      <c r="J584" s="1" t="s">
        <v>990</v>
      </c>
      <c r="K584" s="1" t="s">
        <v>1988</v>
      </c>
      <c r="L584" s="1" t="s">
        <v>1306</v>
      </c>
      <c r="M584" s="1" t="s">
        <v>1024</v>
      </c>
      <c r="N584">
        <f>_xlfn.NUMBERVALUE(LEFT(Table11[[#This Row],[Score]],FIND("/",Table11[[#This Row],[Score]])-1))</f>
        <v>52</v>
      </c>
      <c r="O584">
        <f>IFERROR(_xlfn.NUMBERVALUE(LEFT(Table11[[#This Row],[Score2 ]],FIND("/",Table11[[#This Row],[Score2 ]])-1)),"")</f>
        <v>44</v>
      </c>
      <c r="P584" t="s">
        <v>181</v>
      </c>
      <c r="Q584" s="1" t="s">
        <v>185</v>
      </c>
      <c r="R584" t="str">
        <f>Table11[[#This Row],[Match]]&amp;" "&amp;Table11[[#This Row],[Over]]</f>
        <v>7 16</v>
      </c>
    </row>
    <row r="585" spans="1:18" x14ac:dyDescent="0.3">
      <c r="A585">
        <v>7</v>
      </c>
      <c r="B585" s="1">
        <v>17</v>
      </c>
      <c r="C585" s="1" t="s">
        <v>1991</v>
      </c>
      <c r="D585" s="1" t="s">
        <v>898</v>
      </c>
      <c r="E585" s="1" t="s">
        <v>2453</v>
      </c>
      <c r="F585" s="1" t="s">
        <v>984</v>
      </c>
      <c r="G585" s="1" t="s">
        <v>2618</v>
      </c>
      <c r="H585" s="1" t="s">
        <v>998</v>
      </c>
      <c r="I585" s="1" t="s">
        <v>2619</v>
      </c>
      <c r="J585" s="1" t="s">
        <v>976</v>
      </c>
      <c r="K585" s="1" t="s">
        <v>1260</v>
      </c>
      <c r="L585" s="1" t="s">
        <v>2004</v>
      </c>
      <c r="M585" s="1" t="s">
        <v>1031</v>
      </c>
      <c r="N585">
        <f>_xlfn.NUMBERVALUE(LEFT(Table11[[#This Row],[Score]],FIND("/",Table11[[#This Row],[Score]])-1))</f>
        <v>54</v>
      </c>
      <c r="O585">
        <f>IFERROR(_xlfn.NUMBERVALUE(LEFT(Table11[[#This Row],[Score2 ]],FIND("/",Table11[[#This Row],[Score2 ]])-1)),"")</f>
        <v>48</v>
      </c>
      <c r="P585" t="s">
        <v>181</v>
      </c>
      <c r="Q585" s="1" t="s">
        <v>185</v>
      </c>
      <c r="R585" t="str">
        <f>Table11[[#This Row],[Match]]&amp;" "&amp;Table11[[#This Row],[Over]]</f>
        <v>7 17</v>
      </c>
    </row>
    <row r="586" spans="1:18" x14ac:dyDescent="0.3">
      <c r="A586">
        <v>7</v>
      </c>
      <c r="B586" s="1">
        <v>18</v>
      </c>
      <c r="C586" s="1" t="s">
        <v>1870</v>
      </c>
      <c r="D586" s="1" t="s">
        <v>898</v>
      </c>
      <c r="E586" s="1" t="s">
        <v>1708</v>
      </c>
      <c r="F586" s="1" t="s">
        <v>984</v>
      </c>
      <c r="G586" s="1" t="s">
        <v>2620</v>
      </c>
      <c r="H586" s="1" t="s">
        <v>898</v>
      </c>
      <c r="I586" s="1" t="s">
        <v>2528</v>
      </c>
      <c r="J586" s="1" t="s">
        <v>931</v>
      </c>
      <c r="K586" s="1" t="s">
        <v>1815</v>
      </c>
      <c r="L586" s="1" t="s">
        <v>1042</v>
      </c>
      <c r="M586" s="1" t="s">
        <v>1037</v>
      </c>
      <c r="N586">
        <f>_xlfn.NUMBERVALUE(LEFT(Table11[[#This Row],[Score]],FIND("/",Table11[[#This Row],[Score]])-1))</f>
        <v>56</v>
      </c>
      <c r="O586">
        <f>IFERROR(_xlfn.NUMBERVALUE(LEFT(Table11[[#This Row],[Score2 ]],FIND("/",Table11[[#This Row],[Score2 ]])-1)),"")</f>
        <v>50</v>
      </c>
      <c r="P586" t="s">
        <v>181</v>
      </c>
      <c r="Q586" s="1" t="s">
        <v>185</v>
      </c>
      <c r="R586" t="str">
        <f>Table11[[#This Row],[Match]]&amp;" "&amp;Table11[[#This Row],[Over]]</f>
        <v>7 18</v>
      </c>
    </row>
    <row r="587" spans="1:18" x14ac:dyDescent="0.3">
      <c r="A587">
        <v>7</v>
      </c>
      <c r="B587" s="1">
        <v>19</v>
      </c>
      <c r="C587" s="1" t="s">
        <v>1289</v>
      </c>
      <c r="D587" s="1" t="s">
        <v>950</v>
      </c>
      <c r="E587" s="1" t="s">
        <v>1481</v>
      </c>
      <c r="F587" s="1" t="s">
        <v>993</v>
      </c>
      <c r="G587" s="1" t="s">
        <v>2621</v>
      </c>
      <c r="H587" s="1" t="s">
        <v>904</v>
      </c>
      <c r="I587" s="1" t="s">
        <v>2622</v>
      </c>
      <c r="J587" s="1" t="s">
        <v>977</v>
      </c>
      <c r="K587" s="1" t="s">
        <v>1036</v>
      </c>
      <c r="L587" s="1" t="s">
        <v>1475</v>
      </c>
      <c r="M587" s="1" t="s">
        <v>1043</v>
      </c>
      <c r="N587">
        <f>_xlfn.NUMBERVALUE(LEFT(Table11[[#This Row],[Score]],FIND("/",Table11[[#This Row],[Score]])-1))</f>
        <v>61</v>
      </c>
      <c r="O587">
        <f>IFERROR(_xlfn.NUMBERVALUE(LEFT(Table11[[#This Row],[Score2 ]],FIND("/",Table11[[#This Row],[Score2 ]])-1)),"")</f>
        <v>53</v>
      </c>
      <c r="P587" t="s">
        <v>181</v>
      </c>
      <c r="Q587" s="1" t="s">
        <v>185</v>
      </c>
      <c r="R587" t="str">
        <f>Table11[[#This Row],[Match]]&amp;" "&amp;Table11[[#This Row],[Over]]</f>
        <v>7 19</v>
      </c>
    </row>
    <row r="588" spans="1:18" x14ac:dyDescent="0.3">
      <c r="A588">
        <v>7</v>
      </c>
      <c r="B588" s="1">
        <v>20</v>
      </c>
      <c r="C588" s="1" t="s">
        <v>2459</v>
      </c>
      <c r="D588" s="1" t="s">
        <v>922</v>
      </c>
      <c r="E588" s="1" t="s">
        <v>2615</v>
      </c>
      <c r="F588" s="1" t="s">
        <v>939</v>
      </c>
      <c r="G588" s="1" t="s">
        <v>2623</v>
      </c>
      <c r="H588" s="1" t="s">
        <v>947</v>
      </c>
      <c r="I588" s="1" t="s">
        <v>1714</v>
      </c>
      <c r="J588" s="1" t="s">
        <v>939</v>
      </c>
      <c r="K588" s="1" t="s">
        <v>1279</v>
      </c>
      <c r="L588" s="1" t="s">
        <v>2458</v>
      </c>
      <c r="M588" s="1" t="s">
        <v>1049</v>
      </c>
      <c r="N588">
        <f>_xlfn.NUMBERVALUE(LEFT(Table11[[#This Row],[Score]],FIND("/",Table11[[#This Row],[Score]])-1))</f>
        <v>67</v>
      </c>
      <c r="O588">
        <f>IFERROR(_xlfn.NUMBERVALUE(LEFT(Table11[[#This Row],[Score2 ]],FIND("/",Table11[[#This Row],[Score2 ]])-1)),"")</f>
        <v>62</v>
      </c>
      <c r="P588" t="s">
        <v>181</v>
      </c>
      <c r="Q588" s="1" t="s">
        <v>185</v>
      </c>
      <c r="R588" t="str">
        <f>Table11[[#This Row],[Match]]&amp;" "&amp;Table11[[#This Row],[Over]]</f>
        <v>7 20</v>
      </c>
    </row>
    <row r="589" spans="1:18" x14ac:dyDescent="0.3">
      <c r="A589">
        <v>7</v>
      </c>
      <c r="B589" s="1">
        <v>21</v>
      </c>
      <c r="C589" s="1" t="s">
        <v>2624</v>
      </c>
      <c r="D589" s="1" t="s">
        <v>950</v>
      </c>
      <c r="E589" s="1" t="s">
        <v>1490</v>
      </c>
      <c r="F589" s="1" t="s">
        <v>939</v>
      </c>
      <c r="G589" s="1" t="s">
        <v>1876</v>
      </c>
      <c r="H589" s="1" t="s">
        <v>968</v>
      </c>
      <c r="I589" s="1" t="s">
        <v>1238</v>
      </c>
      <c r="J589" s="1" t="s">
        <v>990</v>
      </c>
      <c r="K589" s="1" t="s">
        <v>2625</v>
      </c>
      <c r="L589" s="1" t="s">
        <v>1488</v>
      </c>
      <c r="M589" s="1" t="s">
        <v>1056</v>
      </c>
      <c r="N589">
        <f>_xlfn.NUMBERVALUE(LEFT(Table11[[#This Row],[Score]],FIND("/",Table11[[#This Row],[Score]])-1))</f>
        <v>72</v>
      </c>
      <c r="O589">
        <f>IFERROR(_xlfn.NUMBERVALUE(LEFT(Table11[[#This Row],[Score2 ]],FIND("/",Table11[[#This Row],[Score2 ]])-1)),"")</f>
        <v>63</v>
      </c>
      <c r="P589" t="s">
        <v>181</v>
      </c>
      <c r="Q589" s="1" t="s">
        <v>185</v>
      </c>
      <c r="R589" t="str">
        <f>Table11[[#This Row],[Match]]&amp;" "&amp;Table11[[#This Row],[Over]]</f>
        <v>7 21</v>
      </c>
    </row>
    <row r="590" spans="1:18" x14ac:dyDescent="0.3">
      <c r="A590">
        <v>7</v>
      </c>
      <c r="B590" s="1">
        <v>22</v>
      </c>
      <c r="C590" s="1" t="s">
        <v>2626</v>
      </c>
      <c r="D590" s="1" t="s">
        <v>998</v>
      </c>
      <c r="E590" s="1" t="s">
        <v>2609</v>
      </c>
      <c r="F590" s="1" t="s">
        <v>940</v>
      </c>
      <c r="G590" s="1" t="s">
        <v>1485</v>
      </c>
      <c r="H590" s="1" t="s">
        <v>968</v>
      </c>
      <c r="I590" s="1" t="s">
        <v>1694</v>
      </c>
      <c r="J590" s="1" t="s">
        <v>1259</v>
      </c>
      <c r="K590" s="1" t="s">
        <v>2627</v>
      </c>
      <c r="L590" s="1" t="s">
        <v>1024</v>
      </c>
      <c r="M590" s="1" t="s">
        <v>1063</v>
      </c>
      <c r="N590">
        <f>_xlfn.NUMBERVALUE(LEFT(Table11[[#This Row],[Score]],FIND("/",Table11[[#This Row],[Score]])-1))</f>
        <v>76</v>
      </c>
      <c r="O590">
        <f>IFERROR(_xlfn.NUMBERVALUE(LEFT(Table11[[#This Row],[Score2 ]],FIND("/",Table11[[#This Row],[Score2 ]])-1)),"")</f>
        <v>64</v>
      </c>
      <c r="P590" t="s">
        <v>181</v>
      </c>
      <c r="Q590" s="1" t="s">
        <v>185</v>
      </c>
      <c r="R590" t="str">
        <f>Table11[[#This Row],[Match]]&amp;" "&amp;Table11[[#This Row],[Over]]</f>
        <v>7 22</v>
      </c>
    </row>
    <row r="591" spans="1:18" x14ac:dyDescent="0.3">
      <c r="A591">
        <v>7</v>
      </c>
      <c r="B591" s="1">
        <v>23</v>
      </c>
      <c r="C591" s="1" t="s">
        <v>2626</v>
      </c>
      <c r="D591" s="1" t="s">
        <v>1007</v>
      </c>
      <c r="E591" s="1" t="s">
        <v>1788</v>
      </c>
      <c r="F591" s="1" t="s">
        <v>939</v>
      </c>
      <c r="G591" s="1" t="s">
        <v>2628</v>
      </c>
      <c r="H591" s="1" t="s">
        <v>968</v>
      </c>
      <c r="I591" s="1" t="s">
        <v>2619</v>
      </c>
      <c r="J591" s="1" t="s">
        <v>1238</v>
      </c>
      <c r="K591" s="1" t="s">
        <v>2234</v>
      </c>
      <c r="L591" s="1" t="s">
        <v>1062</v>
      </c>
      <c r="M591" s="1" t="s">
        <v>1070</v>
      </c>
      <c r="N591">
        <f>_xlfn.NUMBERVALUE(LEFT(Table11[[#This Row],[Score]],FIND("/",Table11[[#This Row],[Score]])-1))</f>
        <v>76</v>
      </c>
      <c r="O591">
        <f>IFERROR(_xlfn.NUMBERVALUE(LEFT(Table11[[#This Row],[Score2 ]],FIND("/",Table11[[#This Row],[Score2 ]])-1)),"")</f>
        <v>65</v>
      </c>
      <c r="P591" t="s">
        <v>181</v>
      </c>
      <c r="Q591" s="1" t="s">
        <v>185</v>
      </c>
      <c r="R591" t="str">
        <f>Table11[[#This Row],[Match]]&amp;" "&amp;Table11[[#This Row],[Over]]</f>
        <v>7 23</v>
      </c>
    </row>
    <row r="592" spans="1:18" x14ac:dyDescent="0.3">
      <c r="A592">
        <v>7</v>
      </c>
      <c r="B592" s="1">
        <v>24</v>
      </c>
      <c r="C592" s="1" t="s">
        <v>2007</v>
      </c>
      <c r="D592" s="1" t="s">
        <v>1095</v>
      </c>
      <c r="E592" s="1" t="s">
        <v>1881</v>
      </c>
      <c r="F592" s="1" t="s">
        <v>969</v>
      </c>
      <c r="G592" s="1" t="s">
        <v>2573</v>
      </c>
      <c r="H592" s="1" t="s">
        <v>998</v>
      </c>
      <c r="I592" s="1" t="s">
        <v>1466</v>
      </c>
      <c r="J592" s="1" t="s">
        <v>1259</v>
      </c>
      <c r="K592" s="1" t="s">
        <v>1075</v>
      </c>
      <c r="L592" s="1" t="s">
        <v>1076</v>
      </c>
      <c r="M592" s="1" t="s">
        <v>1077</v>
      </c>
      <c r="N592">
        <f>_xlfn.NUMBERVALUE(LEFT(Table11[[#This Row],[Score]],FIND("/",Table11[[#This Row],[Score]])-1))</f>
        <v>86</v>
      </c>
      <c r="O592">
        <f>IFERROR(_xlfn.NUMBERVALUE(LEFT(Table11[[#This Row],[Score2 ]],FIND("/",Table11[[#This Row],[Score2 ]])-1)),"")</f>
        <v>69</v>
      </c>
      <c r="P592" t="s">
        <v>181</v>
      </c>
      <c r="Q592" s="1" t="s">
        <v>185</v>
      </c>
      <c r="R592" t="str">
        <f>Table11[[#This Row],[Match]]&amp;" "&amp;Table11[[#This Row],[Over]]</f>
        <v>7 24</v>
      </c>
    </row>
    <row r="593" spans="1:18" x14ac:dyDescent="0.3">
      <c r="A593">
        <v>7</v>
      </c>
      <c r="B593" s="1">
        <v>25</v>
      </c>
      <c r="C593" s="1" t="s">
        <v>1066</v>
      </c>
      <c r="D593" s="1" t="s">
        <v>1147</v>
      </c>
      <c r="E593" s="1" t="s">
        <v>1505</v>
      </c>
      <c r="F593" s="1" t="s">
        <v>1053</v>
      </c>
      <c r="G593" s="1" t="s">
        <v>2629</v>
      </c>
      <c r="H593" s="1" t="s">
        <v>998</v>
      </c>
      <c r="I593" s="1" t="s">
        <v>2630</v>
      </c>
      <c r="J593" s="1" t="s">
        <v>1383</v>
      </c>
      <c r="K593" s="1" t="s">
        <v>1168</v>
      </c>
      <c r="L593" s="1" t="s">
        <v>1323</v>
      </c>
      <c r="M593" s="1" t="s">
        <v>1083</v>
      </c>
      <c r="N593">
        <f>_xlfn.NUMBERVALUE(LEFT(Table11[[#This Row],[Score]],FIND("/",Table11[[#This Row],[Score]])-1))</f>
        <v>101</v>
      </c>
      <c r="O593">
        <f>IFERROR(_xlfn.NUMBERVALUE(LEFT(Table11[[#This Row],[Score2 ]],FIND("/",Table11[[#This Row],[Score2 ]])-1)),"")</f>
        <v>73</v>
      </c>
      <c r="P593" t="s">
        <v>181</v>
      </c>
      <c r="Q593" s="1" t="s">
        <v>185</v>
      </c>
      <c r="R593" t="str">
        <f>Table11[[#This Row],[Match]]&amp;" "&amp;Table11[[#This Row],[Over]]</f>
        <v>7 25</v>
      </c>
    </row>
    <row r="594" spans="1:18" x14ac:dyDescent="0.3">
      <c r="A594">
        <v>7</v>
      </c>
      <c r="B594" s="1">
        <v>26</v>
      </c>
      <c r="C594" s="1" t="s">
        <v>2631</v>
      </c>
      <c r="D594" s="1" t="s">
        <v>950</v>
      </c>
      <c r="E594" s="1" t="s">
        <v>2632</v>
      </c>
      <c r="F594" s="1" t="s">
        <v>1053</v>
      </c>
      <c r="G594" s="1" t="s">
        <v>2633</v>
      </c>
      <c r="H594" s="1" t="s">
        <v>950</v>
      </c>
      <c r="I594" s="1" t="s">
        <v>1238</v>
      </c>
      <c r="J594" s="1" t="s">
        <v>1238</v>
      </c>
      <c r="K594" s="1" t="s">
        <v>1096</v>
      </c>
      <c r="L594" s="1" t="s">
        <v>1509</v>
      </c>
      <c r="M594" s="1" t="s">
        <v>1090</v>
      </c>
      <c r="N594">
        <f>_xlfn.NUMBERVALUE(LEFT(Table11[[#This Row],[Score]],FIND("/",Table11[[#This Row],[Score]])-1))</f>
        <v>106</v>
      </c>
      <c r="O594">
        <f>IFERROR(_xlfn.NUMBERVALUE(LEFT(Table11[[#This Row],[Score2 ]],FIND("/",Table11[[#This Row],[Score2 ]])-1)),"")</f>
        <v>78</v>
      </c>
      <c r="P594" t="s">
        <v>181</v>
      </c>
      <c r="Q594" s="1" t="s">
        <v>185</v>
      </c>
      <c r="R594" t="str">
        <f>Table11[[#This Row],[Match]]&amp;" "&amp;Table11[[#This Row],[Over]]</f>
        <v>7 26</v>
      </c>
    </row>
    <row r="595" spans="1:18" x14ac:dyDescent="0.3">
      <c r="A595">
        <v>7</v>
      </c>
      <c r="B595" s="1">
        <v>27</v>
      </c>
      <c r="C595" s="1" t="s">
        <v>2634</v>
      </c>
      <c r="D595" s="1" t="s">
        <v>904</v>
      </c>
      <c r="E595" s="1" t="s">
        <v>2021</v>
      </c>
      <c r="F595" s="1" t="s">
        <v>960</v>
      </c>
      <c r="G595" s="1" t="s">
        <v>2635</v>
      </c>
      <c r="H595" s="1" t="s">
        <v>916</v>
      </c>
      <c r="I595" s="1" t="s">
        <v>1711</v>
      </c>
      <c r="J595" s="1" t="s">
        <v>931</v>
      </c>
      <c r="K595" s="1" t="s">
        <v>1340</v>
      </c>
      <c r="L595" s="1" t="s">
        <v>2636</v>
      </c>
      <c r="M595" s="1" t="s">
        <v>1098</v>
      </c>
      <c r="N595">
        <f>_xlfn.NUMBERVALUE(LEFT(Table11[[#This Row],[Score]],FIND("/",Table11[[#This Row],[Score]])-1))</f>
        <v>109</v>
      </c>
      <c r="O595">
        <f>IFERROR(_xlfn.NUMBERVALUE(LEFT(Table11[[#This Row],[Score2 ]],FIND("/",Table11[[#This Row],[Score2 ]])-1)),"")</f>
        <v>85</v>
      </c>
      <c r="P595" t="s">
        <v>181</v>
      </c>
      <c r="Q595" s="1" t="s">
        <v>185</v>
      </c>
      <c r="R595" t="str">
        <f>Table11[[#This Row],[Match]]&amp;" "&amp;Table11[[#This Row],[Over]]</f>
        <v>7 27</v>
      </c>
    </row>
    <row r="596" spans="1:18" x14ac:dyDescent="0.3">
      <c r="A596">
        <v>7</v>
      </c>
      <c r="B596" s="1">
        <v>28</v>
      </c>
      <c r="C596" s="1" t="s">
        <v>2637</v>
      </c>
      <c r="D596" s="1" t="s">
        <v>898</v>
      </c>
      <c r="E596" s="1" t="s">
        <v>1513</v>
      </c>
      <c r="F596" s="1" t="s">
        <v>952</v>
      </c>
      <c r="G596" s="1" t="s">
        <v>2638</v>
      </c>
      <c r="H596" s="1" t="s">
        <v>998</v>
      </c>
      <c r="I596" s="1" t="s">
        <v>2453</v>
      </c>
      <c r="J596" s="1" t="s">
        <v>1093</v>
      </c>
      <c r="K596" s="1" t="s">
        <v>2639</v>
      </c>
      <c r="L596" s="1" t="s">
        <v>2370</v>
      </c>
      <c r="M596" s="1" t="s">
        <v>1101</v>
      </c>
      <c r="N596">
        <f>_xlfn.NUMBERVALUE(LEFT(Table11[[#This Row],[Score]],FIND("/",Table11[[#This Row],[Score]])-1))</f>
        <v>111</v>
      </c>
      <c r="O596">
        <f>IFERROR(_xlfn.NUMBERVALUE(LEFT(Table11[[#This Row],[Score2 ]],FIND("/",Table11[[#This Row],[Score2 ]])-1)),"")</f>
        <v>89</v>
      </c>
      <c r="P596" t="s">
        <v>181</v>
      </c>
      <c r="Q596" s="1" t="s">
        <v>185</v>
      </c>
      <c r="R596" t="str">
        <f>Table11[[#This Row],[Match]]&amp;" "&amp;Table11[[#This Row],[Over]]</f>
        <v>7 28</v>
      </c>
    </row>
    <row r="597" spans="1:18" x14ac:dyDescent="0.3">
      <c r="A597">
        <v>7</v>
      </c>
      <c r="B597" s="1">
        <v>29</v>
      </c>
      <c r="C597" s="1" t="s">
        <v>1516</v>
      </c>
      <c r="D597" s="1" t="s">
        <v>930</v>
      </c>
      <c r="E597" s="1" t="s">
        <v>1483</v>
      </c>
      <c r="F597" s="1" t="s">
        <v>960</v>
      </c>
      <c r="G597" s="1" t="s">
        <v>2640</v>
      </c>
      <c r="H597" s="1" t="s">
        <v>922</v>
      </c>
      <c r="I597" s="1" t="s">
        <v>1477</v>
      </c>
      <c r="J597" s="1" t="s">
        <v>1029</v>
      </c>
      <c r="K597" s="1" t="s">
        <v>2641</v>
      </c>
      <c r="L597" s="1" t="s">
        <v>2642</v>
      </c>
      <c r="M597" s="1" t="s">
        <v>1108</v>
      </c>
      <c r="N597">
        <f>_xlfn.NUMBERVALUE(LEFT(Table11[[#This Row],[Score]],FIND("/",Table11[[#This Row],[Score]])-1))</f>
        <v>119</v>
      </c>
      <c r="O597">
        <f>IFERROR(_xlfn.NUMBERVALUE(LEFT(Table11[[#This Row],[Score2 ]],FIND("/",Table11[[#This Row],[Score2 ]])-1)),"")</f>
        <v>95</v>
      </c>
      <c r="P597" t="s">
        <v>181</v>
      </c>
      <c r="Q597" s="1" t="s">
        <v>185</v>
      </c>
      <c r="R597" t="str">
        <f>Table11[[#This Row],[Match]]&amp;" "&amp;Table11[[#This Row],[Over]]</f>
        <v>7 29</v>
      </c>
    </row>
    <row r="598" spans="1:18" x14ac:dyDescent="0.3">
      <c r="A598">
        <v>7</v>
      </c>
      <c r="B598" s="1">
        <v>30</v>
      </c>
      <c r="C598" s="1" t="s">
        <v>2643</v>
      </c>
      <c r="D598" s="1" t="s">
        <v>904</v>
      </c>
      <c r="E598" s="1" t="s">
        <v>1288</v>
      </c>
      <c r="F598" s="1" t="s">
        <v>931</v>
      </c>
      <c r="G598" s="1" t="s">
        <v>2644</v>
      </c>
      <c r="H598" s="1" t="s">
        <v>968</v>
      </c>
      <c r="I598" s="1" t="s">
        <v>1259</v>
      </c>
      <c r="J598" s="1" t="s">
        <v>976</v>
      </c>
      <c r="K598" s="1" t="s">
        <v>1414</v>
      </c>
      <c r="L598" s="1" t="s">
        <v>1849</v>
      </c>
      <c r="M598" s="1" t="s">
        <v>1113</v>
      </c>
      <c r="N598">
        <f>_xlfn.NUMBERVALUE(LEFT(Table11[[#This Row],[Score]],FIND("/",Table11[[#This Row],[Score]])-1))</f>
        <v>122</v>
      </c>
      <c r="O598">
        <f>IFERROR(_xlfn.NUMBERVALUE(LEFT(Table11[[#This Row],[Score2 ]],FIND("/",Table11[[#This Row],[Score2 ]])-1)),"")</f>
        <v>96</v>
      </c>
      <c r="P598" t="s">
        <v>181</v>
      </c>
      <c r="Q598" s="1" t="s">
        <v>185</v>
      </c>
      <c r="R598" t="str">
        <f>Table11[[#This Row],[Match]]&amp;" "&amp;Table11[[#This Row],[Over]]</f>
        <v>7 30</v>
      </c>
    </row>
    <row r="599" spans="1:18" x14ac:dyDescent="0.3">
      <c r="A599">
        <v>7</v>
      </c>
      <c r="B599" s="1">
        <v>31</v>
      </c>
      <c r="C599" s="1" t="s">
        <v>2645</v>
      </c>
      <c r="D599" s="1" t="s">
        <v>968</v>
      </c>
      <c r="E599" s="1" t="s">
        <v>1513</v>
      </c>
      <c r="F599" s="1" t="s">
        <v>1247</v>
      </c>
      <c r="G599" s="1" t="s">
        <v>2476</v>
      </c>
      <c r="H599" s="1" t="s">
        <v>922</v>
      </c>
      <c r="I599" s="1" t="s">
        <v>1472</v>
      </c>
      <c r="J599" s="1" t="s">
        <v>1093</v>
      </c>
      <c r="K599" s="1" t="s">
        <v>2024</v>
      </c>
      <c r="L599" s="1" t="s">
        <v>1349</v>
      </c>
      <c r="M599" s="1" t="s">
        <v>1121</v>
      </c>
      <c r="N599">
        <f>_xlfn.NUMBERVALUE(LEFT(Table11[[#This Row],[Score]],FIND("/",Table11[[#This Row],[Score]])-1))</f>
        <v>123</v>
      </c>
      <c r="O599">
        <f>IFERROR(_xlfn.NUMBERVALUE(LEFT(Table11[[#This Row],[Score2 ]],FIND("/",Table11[[#This Row],[Score2 ]])-1)),"")</f>
        <v>102</v>
      </c>
      <c r="P599" t="s">
        <v>181</v>
      </c>
      <c r="Q599" s="1" t="s">
        <v>185</v>
      </c>
      <c r="R599" t="str">
        <f>Table11[[#This Row],[Match]]&amp;" "&amp;Table11[[#This Row],[Over]]</f>
        <v>7 31</v>
      </c>
    </row>
    <row r="600" spans="1:18" x14ac:dyDescent="0.3">
      <c r="A600">
        <v>7</v>
      </c>
      <c r="B600" s="1">
        <v>32</v>
      </c>
      <c r="C600" s="1" t="s">
        <v>2646</v>
      </c>
      <c r="D600" s="1" t="s">
        <v>922</v>
      </c>
      <c r="E600" s="1" t="s">
        <v>2021</v>
      </c>
      <c r="F600" s="1" t="s">
        <v>939</v>
      </c>
      <c r="G600" s="1" t="s">
        <v>1080</v>
      </c>
      <c r="H600" s="1" t="s">
        <v>904</v>
      </c>
      <c r="I600" s="1" t="s">
        <v>1885</v>
      </c>
      <c r="J600" s="1" t="s">
        <v>939</v>
      </c>
      <c r="K600" s="1" t="s">
        <v>2647</v>
      </c>
      <c r="L600" s="1" t="s">
        <v>1856</v>
      </c>
      <c r="M600" s="1" t="s">
        <v>1127</v>
      </c>
      <c r="N600">
        <f>_xlfn.NUMBERVALUE(LEFT(Table11[[#This Row],[Score]],FIND("/",Table11[[#This Row],[Score]])-1))</f>
        <v>129</v>
      </c>
      <c r="O600">
        <f>IFERROR(_xlfn.NUMBERVALUE(LEFT(Table11[[#This Row],[Score2 ]],FIND("/",Table11[[#This Row],[Score2 ]])-1)),"")</f>
        <v>105</v>
      </c>
      <c r="P600" t="s">
        <v>181</v>
      </c>
      <c r="Q600" s="1" t="s">
        <v>185</v>
      </c>
      <c r="R600" t="str">
        <f>Table11[[#This Row],[Match]]&amp;" "&amp;Table11[[#This Row],[Over]]</f>
        <v>7 32</v>
      </c>
    </row>
    <row r="601" spans="1:18" x14ac:dyDescent="0.3">
      <c r="A601">
        <v>7</v>
      </c>
      <c r="B601" s="1">
        <v>33</v>
      </c>
      <c r="C601" s="1" t="s">
        <v>2138</v>
      </c>
      <c r="D601" s="1" t="s">
        <v>998</v>
      </c>
      <c r="E601" s="1" t="s">
        <v>2021</v>
      </c>
      <c r="F601" s="1" t="s">
        <v>940</v>
      </c>
      <c r="G601" s="1" t="s">
        <v>2485</v>
      </c>
      <c r="H601" s="1" t="s">
        <v>950</v>
      </c>
      <c r="I601" s="1" t="s">
        <v>1265</v>
      </c>
      <c r="J601" s="1" t="s">
        <v>931</v>
      </c>
      <c r="K601" s="1" t="s">
        <v>2648</v>
      </c>
      <c r="L601" s="1" t="s">
        <v>1538</v>
      </c>
      <c r="M601" s="1" t="s">
        <v>1132</v>
      </c>
      <c r="N601">
        <f>_xlfn.NUMBERVALUE(LEFT(Table11[[#This Row],[Score]],FIND("/",Table11[[#This Row],[Score]])-1))</f>
        <v>133</v>
      </c>
      <c r="O601">
        <f>IFERROR(_xlfn.NUMBERVALUE(LEFT(Table11[[#This Row],[Score2 ]],FIND("/",Table11[[#This Row],[Score2 ]])-1)),"")</f>
        <v>110</v>
      </c>
      <c r="P601" t="s">
        <v>181</v>
      </c>
      <c r="Q601" s="1" t="s">
        <v>185</v>
      </c>
      <c r="R601" t="str">
        <f>Table11[[#This Row],[Match]]&amp;" "&amp;Table11[[#This Row],[Over]]</f>
        <v>7 33</v>
      </c>
    </row>
    <row r="602" spans="1:18" x14ac:dyDescent="0.3">
      <c r="A602">
        <v>7</v>
      </c>
      <c r="B602" s="1">
        <v>34</v>
      </c>
      <c r="C602" s="1" t="s">
        <v>2649</v>
      </c>
      <c r="D602" s="1" t="s">
        <v>950</v>
      </c>
      <c r="E602" s="1" t="s">
        <v>1957</v>
      </c>
      <c r="F602" s="1" t="s">
        <v>990</v>
      </c>
      <c r="G602" s="1" t="s">
        <v>2574</v>
      </c>
      <c r="H602" s="1" t="s">
        <v>916</v>
      </c>
      <c r="I602" s="1" t="s">
        <v>2456</v>
      </c>
      <c r="J602" s="1" t="s">
        <v>940</v>
      </c>
      <c r="K602" s="1" t="s">
        <v>2650</v>
      </c>
      <c r="L602" s="1" t="s">
        <v>1376</v>
      </c>
      <c r="M602" s="1" t="s">
        <v>1138</v>
      </c>
      <c r="N602">
        <f>_xlfn.NUMBERVALUE(LEFT(Table11[[#This Row],[Score]],FIND("/",Table11[[#This Row],[Score]])-1))</f>
        <v>138</v>
      </c>
      <c r="O602">
        <f>IFERROR(_xlfn.NUMBERVALUE(LEFT(Table11[[#This Row],[Score2 ]],FIND("/",Table11[[#This Row],[Score2 ]])-1)),"")</f>
        <v>117</v>
      </c>
      <c r="P602" t="s">
        <v>181</v>
      </c>
      <c r="Q602" s="1" t="s">
        <v>185</v>
      </c>
      <c r="R602" t="str">
        <f>Table11[[#This Row],[Match]]&amp;" "&amp;Table11[[#This Row],[Over]]</f>
        <v>7 34</v>
      </c>
    </row>
    <row r="603" spans="1:18" x14ac:dyDescent="0.3">
      <c r="A603">
        <v>7</v>
      </c>
      <c r="B603" s="1">
        <v>35</v>
      </c>
      <c r="C603" s="1" t="s">
        <v>2651</v>
      </c>
      <c r="D603" s="1" t="s">
        <v>930</v>
      </c>
      <c r="E603" s="1" t="s">
        <v>2652</v>
      </c>
      <c r="F603" s="1" t="s">
        <v>1093</v>
      </c>
      <c r="G603" s="1" t="s">
        <v>2653</v>
      </c>
      <c r="H603" s="1" t="s">
        <v>947</v>
      </c>
      <c r="I603" s="1" t="s">
        <v>977</v>
      </c>
      <c r="J603" s="1" t="s">
        <v>1019</v>
      </c>
      <c r="K603" s="1" t="s">
        <v>2391</v>
      </c>
      <c r="L603" s="1" t="s">
        <v>1864</v>
      </c>
      <c r="M603" s="1" t="s">
        <v>1143</v>
      </c>
      <c r="N603">
        <f>_xlfn.NUMBERVALUE(LEFT(Table11[[#This Row],[Score]],FIND("/",Table11[[#This Row],[Score]])-1))</f>
        <v>146</v>
      </c>
      <c r="O603">
        <f>IFERROR(_xlfn.NUMBERVALUE(LEFT(Table11[[#This Row],[Score2 ]],FIND("/",Table11[[#This Row],[Score2 ]])-1)),"")</f>
        <v>126</v>
      </c>
      <c r="P603" t="s">
        <v>181</v>
      </c>
      <c r="Q603" s="1" t="s">
        <v>185</v>
      </c>
      <c r="R603" t="str">
        <f>Table11[[#This Row],[Match]]&amp;" "&amp;Table11[[#This Row],[Over]]</f>
        <v>7 35</v>
      </c>
    </row>
    <row r="604" spans="1:18" x14ac:dyDescent="0.3">
      <c r="A604">
        <v>7</v>
      </c>
      <c r="B604" s="1">
        <v>36</v>
      </c>
      <c r="C604" s="1" t="s">
        <v>2654</v>
      </c>
      <c r="D604" s="1" t="s">
        <v>1095</v>
      </c>
      <c r="E604" s="1" t="s">
        <v>989</v>
      </c>
      <c r="F604" s="1" t="s">
        <v>960</v>
      </c>
      <c r="G604" s="1" t="s">
        <v>2655</v>
      </c>
      <c r="H604" s="1" t="s">
        <v>950</v>
      </c>
      <c r="I604" s="1" t="s">
        <v>2656</v>
      </c>
      <c r="J604" s="1" t="s">
        <v>1013</v>
      </c>
      <c r="K604" s="1" t="s">
        <v>2280</v>
      </c>
      <c r="L604" s="1" t="s">
        <v>1547</v>
      </c>
      <c r="M604" s="1" t="s">
        <v>1150</v>
      </c>
      <c r="N604">
        <f>_xlfn.NUMBERVALUE(LEFT(Table11[[#This Row],[Score]],FIND("/",Table11[[#This Row],[Score]])-1))</f>
        <v>156</v>
      </c>
      <c r="O604">
        <f>IFERROR(_xlfn.NUMBERVALUE(LEFT(Table11[[#This Row],[Score2 ]],FIND("/",Table11[[#This Row],[Score2 ]])-1)),"")</f>
        <v>131</v>
      </c>
      <c r="P604" t="s">
        <v>181</v>
      </c>
      <c r="Q604" s="1" t="s">
        <v>185</v>
      </c>
      <c r="R604" t="str">
        <f>Table11[[#This Row],[Match]]&amp;" "&amp;Table11[[#This Row],[Over]]</f>
        <v>7 36</v>
      </c>
    </row>
    <row r="605" spans="1:18" x14ac:dyDescent="0.3">
      <c r="A605">
        <v>7</v>
      </c>
      <c r="B605" s="1">
        <v>37</v>
      </c>
      <c r="C605" s="1" t="s">
        <v>2390</v>
      </c>
      <c r="D605" s="1" t="s">
        <v>947</v>
      </c>
      <c r="E605" s="1" t="s">
        <v>1060</v>
      </c>
      <c r="F605" s="1" t="s">
        <v>1116</v>
      </c>
      <c r="G605" s="1" t="s">
        <v>2657</v>
      </c>
      <c r="H605" s="1" t="s">
        <v>950</v>
      </c>
      <c r="I605" s="1" t="s">
        <v>2030</v>
      </c>
      <c r="J605" s="1" t="s">
        <v>970</v>
      </c>
      <c r="K605" s="1" t="s">
        <v>2658</v>
      </c>
      <c r="L605" s="1" t="s">
        <v>1101</v>
      </c>
      <c r="M605" s="1" t="s">
        <v>1156</v>
      </c>
      <c r="N605">
        <f>_xlfn.NUMBERVALUE(LEFT(Table11[[#This Row],[Score]],FIND("/",Table11[[#This Row],[Score]])-1))</f>
        <v>165</v>
      </c>
      <c r="O605">
        <f>IFERROR(_xlfn.NUMBERVALUE(LEFT(Table11[[#This Row],[Score2 ]],FIND("/",Table11[[#This Row],[Score2 ]])-1)),"")</f>
        <v>136</v>
      </c>
      <c r="P605" t="s">
        <v>181</v>
      </c>
      <c r="Q605" s="1" t="s">
        <v>185</v>
      </c>
      <c r="R605" t="str">
        <f>Table11[[#This Row],[Match]]&amp;" "&amp;Table11[[#This Row],[Over]]</f>
        <v>7 37</v>
      </c>
    </row>
    <row r="606" spans="1:18" x14ac:dyDescent="0.3">
      <c r="A606">
        <v>7</v>
      </c>
      <c r="B606" s="1">
        <v>38</v>
      </c>
      <c r="C606" s="1" t="s">
        <v>2659</v>
      </c>
      <c r="D606" s="1" t="s">
        <v>1095</v>
      </c>
      <c r="E606" s="1" t="s">
        <v>976</v>
      </c>
      <c r="F606" s="1" t="s">
        <v>1335</v>
      </c>
      <c r="G606" s="1" t="s">
        <v>2660</v>
      </c>
      <c r="H606" s="1" t="s">
        <v>998</v>
      </c>
      <c r="I606" s="1" t="s">
        <v>1861</v>
      </c>
      <c r="J606" s="1" t="s">
        <v>1019</v>
      </c>
      <c r="K606" s="1" t="s">
        <v>2661</v>
      </c>
      <c r="L606" s="1" t="s">
        <v>2478</v>
      </c>
      <c r="M606" s="1" t="s">
        <v>1164</v>
      </c>
      <c r="N606">
        <f>_xlfn.NUMBERVALUE(LEFT(Table11[[#This Row],[Score]],FIND("/",Table11[[#This Row],[Score]])-1))</f>
        <v>175</v>
      </c>
      <c r="O606">
        <f>IFERROR(_xlfn.NUMBERVALUE(LEFT(Table11[[#This Row],[Score2 ]],FIND("/",Table11[[#This Row],[Score2 ]])-1)),"")</f>
        <v>140</v>
      </c>
      <c r="P606" t="s">
        <v>181</v>
      </c>
      <c r="Q606" s="1" t="s">
        <v>185</v>
      </c>
      <c r="R606" t="str">
        <f>Table11[[#This Row],[Match]]&amp;" "&amp;Table11[[#This Row],[Over]]</f>
        <v>7 38</v>
      </c>
    </row>
    <row r="607" spans="1:18" x14ac:dyDescent="0.3">
      <c r="A607">
        <v>7</v>
      </c>
      <c r="B607" s="1">
        <v>39</v>
      </c>
      <c r="C607" s="1" t="s">
        <v>2662</v>
      </c>
      <c r="D607" s="1" t="s">
        <v>1051</v>
      </c>
      <c r="E607" s="1" t="s">
        <v>1187</v>
      </c>
      <c r="F607" s="1" t="s">
        <v>1219</v>
      </c>
      <c r="G607" s="1" t="s">
        <v>2663</v>
      </c>
      <c r="H607" s="1" t="s">
        <v>950</v>
      </c>
      <c r="I607" s="1" t="s">
        <v>1255</v>
      </c>
      <c r="J607" s="1" t="s">
        <v>934</v>
      </c>
      <c r="K607" s="1" t="s">
        <v>2664</v>
      </c>
      <c r="L607" s="1" t="s">
        <v>2175</v>
      </c>
      <c r="M607" s="1" t="s">
        <v>1171</v>
      </c>
      <c r="N607">
        <f>_xlfn.NUMBERVALUE(LEFT(Table11[[#This Row],[Score]],FIND("/",Table11[[#This Row],[Score]])-1))</f>
        <v>186</v>
      </c>
      <c r="O607">
        <f>IFERROR(_xlfn.NUMBERVALUE(LEFT(Table11[[#This Row],[Score2 ]],FIND("/",Table11[[#This Row],[Score2 ]])-1)),"")</f>
        <v>145</v>
      </c>
      <c r="P607" t="s">
        <v>181</v>
      </c>
      <c r="Q607" s="1" t="s">
        <v>185</v>
      </c>
      <c r="R607" t="str">
        <f>Table11[[#This Row],[Match]]&amp;" "&amp;Table11[[#This Row],[Over]]</f>
        <v>7 39</v>
      </c>
    </row>
    <row r="608" spans="1:18" x14ac:dyDescent="0.3">
      <c r="A608">
        <v>7</v>
      </c>
      <c r="B608" s="1">
        <v>40</v>
      </c>
      <c r="C608" s="1" t="s">
        <v>2665</v>
      </c>
      <c r="D608" s="1" t="s">
        <v>930</v>
      </c>
      <c r="E608" s="1" t="s">
        <v>1174</v>
      </c>
      <c r="F608" s="1" t="s">
        <v>1219</v>
      </c>
      <c r="G608" s="1" t="s">
        <v>2584</v>
      </c>
      <c r="H608" s="1" t="s">
        <v>968</v>
      </c>
      <c r="I608" s="1" t="s">
        <v>1897</v>
      </c>
      <c r="J608" s="1" t="s">
        <v>939</v>
      </c>
      <c r="K608" s="1" t="s">
        <v>2207</v>
      </c>
      <c r="L608" s="1" t="s">
        <v>2304</v>
      </c>
      <c r="M608" s="1" t="s">
        <v>1177</v>
      </c>
      <c r="N608">
        <f>_xlfn.NUMBERVALUE(LEFT(Table11[[#This Row],[Score]],FIND("/",Table11[[#This Row],[Score]])-1))</f>
        <v>194</v>
      </c>
      <c r="O608">
        <f>IFERROR(_xlfn.NUMBERVALUE(LEFT(Table11[[#This Row],[Score2 ]],FIND("/",Table11[[#This Row],[Score2 ]])-1)),"")</f>
        <v>146</v>
      </c>
      <c r="P608" t="s">
        <v>181</v>
      </c>
      <c r="Q608" s="1" t="s">
        <v>185</v>
      </c>
      <c r="R608" t="str">
        <f>Table11[[#This Row],[Match]]&amp;" "&amp;Table11[[#This Row],[Over]]</f>
        <v>7 40</v>
      </c>
    </row>
    <row r="609" spans="1:18" x14ac:dyDescent="0.3">
      <c r="A609">
        <v>7</v>
      </c>
      <c r="B609" s="1">
        <v>41</v>
      </c>
      <c r="C609" s="1" t="s">
        <v>1581</v>
      </c>
      <c r="D609" s="1" t="s">
        <v>1095</v>
      </c>
      <c r="E609" s="1" t="s">
        <v>1582</v>
      </c>
      <c r="F609" s="1" t="s">
        <v>1219</v>
      </c>
      <c r="G609" s="1" t="s">
        <v>2666</v>
      </c>
      <c r="H609" s="1" t="s">
        <v>930</v>
      </c>
      <c r="I609" s="1" t="s">
        <v>1276</v>
      </c>
      <c r="J609" s="1" t="s">
        <v>976</v>
      </c>
      <c r="K609" s="1" t="s">
        <v>2667</v>
      </c>
      <c r="L609" s="1" t="s">
        <v>1121</v>
      </c>
      <c r="M609" s="1" t="s">
        <v>1183</v>
      </c>
      <c r="N609">
        <f>_xlfn.NUMBERVALUE(LEFT(Table11[[#This Row],[Score]],FIND("/",Table11[[#This Row],[Score]])-1))</f>
        <v>204</v>
      </c>
      <c r="O609">
        <f>IFERROR(_xlfn.NUMBERVALUE(LEFT(Table11[[#This Row],[Score2 ]],FIND("/",Table11[[#This Row],[Score2 ]])-1)),"")</f>
        <v>154</v>
      </c>
      <c r="P609" t="s">
        <v>181</v>
      </c>
      <c r="Q609" s="1" t="s">
        <v>185</v>
      </c>
      <c r="R609" t="str">
        <f>Table11[[#This Row],[Match]]&amp;" "&amp;Table11[[#This Row],[Over]]</f>
        <v>7 41</v>
      </c>
    </row>
    <row r="610" spans="1:18" x14ac:dyDescent="0.3">
      <c r="A610">
        <v>7</v>
      </c>
      <c r="B610" s="1">
        <v>42</v>
      </c>
      <c r="C610" s="1" t="s">
        <v>2668</v>
      </c>
      <c r="D610" s="1" t="s">
        <v>950</v>
      </c>
      <c r="E610" s="1" t="s">
        <v>1582</v>
      </c>
      <c r="F610" s="1" t="s">
        <v>1154</v>
      </c>
      <c r="G610" s="1" t="s">
        <v>2669</v>
      </c>
      <c r="H610" s="1" t="s">
        <v>968</v>
      </c>
      <c r="I610" s="1" t="s">
        <v>1847</v>
      </c>
      <c r="J610" s="1" t="s">
        <v>990</v>
      </c>
      <c r="K610" s="1" t="s">
        <v>2670</v>
      </c>
      <c r="L610" s="1" t="s">
        <v>1170</v>
      </c>
      <c r="M610" s="1" t="s">
        <v>1190</v>
      </c>
      <c r="N610">
        <f>_xlfn.NUMBERVALUE(LEFT(Table11[[#This Row],[Score]],FIND("/",Table11[[#This Row],[Score]])-1))</f>
        <v>209</v>
      </c>
      <c r="O610">
        <f>IFERROR(_xlfn.NUMBERVALUE(LEFT(Table11[[#This Row],[Score2 ]],FIND("/",Table11[[#This Row],[Score2 ]])-1)),"")</f>
        <v>155</v>
      </c>
      <c r="P610" t="s">
        <v>181</v>
      </c>
      <c r="Q610" s="1" t="s">
        <v>185</v>
      </c>
      <c r="R610" t="str">
        <f>Table11[[#This Row],[Match]]&amp;" "&amp;Table11[[#This Row],[Over]]</f>
        <v>7 42</v>
      </c>
    </row>
    <row r="611" spans="1:18" x14ac:dyDescent="0.3">
      <c r="A611">
        <v>7</v>
      </c>
      <c r="B611" s="1">
        <v>43</v>
      </c>
      <c r="C611" s="1" t="s">
        <v>2671</v>
      </c>
      <c r="D611" s="1" t="s">
        <v>998</v>
      </c>
      <c r="E611" s="1" t="s">
        <v>2672</v>
      </c>
      <c r="F611" s="1" t="s">
        <v>1508</v>
      </c>
      <c r="G611" s="1" t="s">
        <v>2673</v>
      </c>
      <c r="H611" s="1" t="s">
        <v>2674</v>
      </c>
      <c r="I611" s="1" t="s">
        <v>2675</v>
      </c>
      <c r="J611" s="1" t="s">
        <v>2520</v>
      </c>
      <c r="K611" s="1" t="s">
        <v>2676</v>
      </c>
      <c r="L611" s="1" t="s">
        <v>1564</v>
      </c>
      <c r="M611" s="1" t="s">
        <v>2677</v>
      </c>
      <c r="N611">
        <f>_xlfn.NUMBERVALUE(LEFT(Table11[[#This Row],[Score]],FIND("/",Table11[[#This Row],[Score]])-1))</f>
        <v>213</v>
      </c>
      <c r="O611">
        <f>IFERROR(_xlfn.NUMBERVALUE(LEFT(Table11[[#This Row],[Score2 ]],FIND("/",Table11[[#This Row],[Score2 ]])-1)),"")</f>
        <v>162</v>
      </c>
      <c r="P611" t="s">
        <v>181</v>
      </c>
      <c r="Q611" s="1" t="s">
        <v>185</v>
      </c>
      <c r="R611" t="str">
        <f>Table11[[#This Row],[Match]]&amp;" "&amp;Table11[[#This Row],[Over]]</f>
        <v>7 43</v>
      </c>
    </row>
    <row r="612" spans="1:18" x14ac:dyDescent="0.3">
      <c r="A612">
        <v>7</v>
      </c>
      <c r="B612" s="1">
        <v>44</v>
      </c>
      <c r="C612" s="1" t="s">
        <v>2678</v>
      </c>
      <c r="D612" s="1" t="s">
        <v>1095</v>
      </c>
      <c r="E612" s="1" t="s">
        <v>2279</v>
      </c>
      <c r="F612" s="1" t="s">
        <v>1068</v>
      </c>
      <c r="N612">
        <f>_xlfn.NUMBERVALUE(LEFT(Table11[[#This Row],[Score]],FIND("/",Table11[[#This Row],[Score]])-1))</f>
        <v>223</v>
      </c>
      <c r="O612" t="str">
        <f>IFERROR(_xlfn.NUMBERVALUE(LEFT(Table11[[#This Row],[Score2 ]],FIND("/",Table11[[#This Row],[Score2 ]])-1)),"")</f>
        <v/>
      </c>
      <c r="P612" t="s">
        <v>181</v>
      </c>
      <c r="Q612" s="1" t="s">
        <v>185</v>
      </c>
      <c r="R612" t="str">
        <f>Table11[[#This Row],[Match]]&amp;" "&amp;Table11[[#This Row],[Over]]</f>
        <v>7 44</v>
      </c>
    </row>
    <row r="613" spans="1:18" x14ac:dyDescent="0.3">
      <c r="A613">
        <v>7</v>
      </c>
      <c r="B613" s="1">
        <v>45</v>
      </c>
      <c r="C613" s="1" t="s">
        <v>2679</v>
      </c>
      <c r="D613" s="1" t="s">
        <v>1095</v>
      </c>
      <c r="E613" s="1" t="s">
        <v>1573</v>
      </c>
      <c r="F613" s="1" t="s">
        <v>1168</v>
      </c>
      <c r="N613">
        <f>_xlfn.NUMBERVALUE(LEFT(Table11[[#This Row],[Score]],FIND("/",Table11[[#This Row],[Score]])-1))</f>
        <v>233</v>
      </c>
      <c r="O613" t="str">
        <f>IFERROR(_xlfn.NUMBERVALUE(LEFT(Table11[[#This Row],[Score2 ]],FIND("/",Table11[[#This Row],[Score2 ]])-1)),"")</f>
        <v/>
      </c>
      <c r="P613" t="s">
        <v>181</v>
      </c>
      <c r="Q613" s="1" t="s">
        <v>185</v>
      </c>
      <c r="R613" t="str">
        <f>Table11[[#This Row],[Match]]&amp;" "&amp;Table11[[#This Row],[Over]]</f>
        <v>7 45</v>
      </c>
    </row>
    <row r="614" spans="1:18" x14ac:dyDescent="0.3">
      <c r="A614">
        <v>7</v>
      </c>
      <c r="B614" s="1">
        <v>46</v>
      </c>
      <c r="C614" s="1" t="s">
        <v>2680</v>
      </c>
      <c r="D614" s="1" t="s">
        <v>950</v>
      </c>
      <c r="E614" s="1" t="s">
        <v>1573</v>
      </c>
      <c r="F614" s="1" t="s">
        <v>1053</v>
      </c>
      <c r="N614">
        <f>_xlfn.NUMBERVALUE(LEFT(Table11[[#This Row],[Score]],FIND("/",Table11[[#This Row],[Score]])-1))</f>
        <v>238</v>
      </c>
      <c r="O614" t="str">
        <f>IFERROR(_xlfn.NUMBERVALUE(LEFT(Table11[[#This Row],[Score2 ]],FIND("/",Table11[[#This Row],[Score2 ]])-1)),"")</f>
        <v/>
      </c>
      <c r="P614" t="s">
        <v>181</v>
      </c>
      <c r="Q614" s="1" t="s">
        <v>185</v>
      </c>
      <c r="R614" t="str">
        <f>Table11[[#This Row],[Match]]&amp;" "&amp;Table11[[#This Row],[Over]]</f>
        <v>7 46</v>
      </c>
    </row>
    <row r="615" spans="1:18" x14ac:dyDescent="0.3">
      <c r="A615">
        <v>7</v>
      </c>
      <c r="B615" s="1">
        <v>47</v>
      </c>
      <c r="C615" s="1" t="s">
        <v>2681</v>
      </c>
      <c r="D615" s="1" t="s">
        <v>998</v>
      </c>
      <c r="E615" s="1" t="s">
        <v>1092</v>
      </c>
      <c r="F615" s="1" t="s">
        <v>960</v>
      </c>
      <c r="N615">
        <f>_xlfn.NUMBERVALUE(LEFT(Table11[[#This Row],[Score]],FIND("/",Table11[[#This Row],[Score]])-1))</f>
        <v>242</v>
      </c>
      <c r="O615" t="str">
        <f>IFERROR(_xlfn.NUMBERVALUE(LEFT(Table11[[#This Row],[Score2 ]],FIND("/",Table11[[#This Row],[Score2 ]])-1)),"")</f>
        <v/>
      </c>
      <c r="P615" t="s">
        <v>181</v>
      </c>
      <c r="Q615" s="1" t="s">
        <v>185</v>
      </c>
      <c r="R615" t="str">
        <f>Table11[[#This Row],[Match]]&amp;" "&amp;Table11[[#This Row],[Over]]</f>
        <v>7 47</v>
      </c>
    </row>
    <row r="616" spans="1:18" x14ac:dyDescent="0.3">
      <c r="A616">
        <v>7</v>
      </c>
      <c r="B616" s="1">
        <v>48</v>
      </c>
      <c r="C616" s="1" t="s">
        <v>2682</v>
      </c>
      <c r="D616" s="1" t="s">
        <v>933</v>
      </c>
      <c r="E616" s="1" t="s">
        <v>2110</v>
      </c>
      <c r="F616" s="1" t="s">
        <v>1414</v>
      </c>
      <c r="N616">
        <f>_xlfn.NUMBERVALUE(LEFT(Table11[[#This Row],[Score]],FIND("/",Table11[[#This Row],[Score]])-1))</f>
        <v>256</v>
      </c>
      <c r="O616" t="str">
        <f>IFERROR(_xlfn.NUMBERVALUE(LEFT(Table11[[#This Row],[Score2 ]],FIND("/",Table11[[#This Row],[Score2 ]])-1)),"")</f>
        <v/>
      </c>
      <c r="P616" t="s">
        <v>181</v>
      </c>
      <c r="Q616" s="1" t="s">
        <v>185</v>
      </c>
      <c r="R616" t="str">
        <f>Table11[[#This Row],[Match]]&amp;" "&amp;Table11[[#This Row],[Over]]</f>
        <v>7 48</v>
      </c>
    </row>
    <row r="617" spans="1:18" x14ac:dyDescent="0.3">
      <c r="A617">
        <v>7</v>
      </c>
      <c r="B617" s="1">
        <v>49</v>
      </c>
      <c r="C617" s="1" t="s">
        <v>2683</v>
      </c>
      <c r="D617" s="1" t="s">
        <v>916</v>
      </c>
      <c r="E617" s="1" t="s">
        <v>1652</v>
      </c>
      <c r="F617" s="1" t="s">
        <v>1089</v>
      </c>
      <c r="N617">
        <f>_xlfn.NUMBERVALUE(LEFT(Table11[[#This Row],[Score]],FIND("/",Table11[[#This Row],[Score]])-1))</f>
        <v>263</v>
      </c>
      <c r="O617" t="str">
        <f>IFERROR(_xlfn.NUMBERVALUE(LEFT(Table11[[#This Row],[Score2 ]],FIND("/",Table11[[#This Row],[Score2 ]])-1)),"")</f>
        <v/>
      </c>
      <c r="P617" t="s">
        <v>181</v>
      </c>
      <c r="Q617" s="1" t="s">
        <v>185</v>
      </c>
      <c r="R617" t="str">
        <f>Table11[[#This Row],[Match]]&amp;" "&amp;Table11[[#This Row],[Over]]</f>
        <v>7 49</v>
      </c>
    </row>
    <row r="618" spans="1:18" x14ac:dyDescent="0.3">
      <c r="A618">
        <v>7</v>
      </c>
      <c r="B618" s="1">
        <v>50</v>
      </c>
      <c r="C618" s="1" t="s">
        <v>2684</v>
      </c>
      <c r="D618" s="1" t="s">
        <v>998</v>
      </c>
      <c r="E618" s="1" t="s">
        <v>2685</v>
      </c>
      <c r="F618" s="1" t="s">
        <v>1053</v>
      </c>
      <c r="N618">
        <f>_xlfn.NUMBERVALUE(LEFT(Table11[[#This Row],[Score]],FIND("/",Table11[[#This Row],[Score]])-1))</f>
        <v>267</v>
      </c>
      <c r="O618" t="str">
        <f>IFERROR(_xlfn.NUMBERVALUE(LEFT(Table11[[#This Row],[Score2 ]],FIND("/",Table11[[#This Row],[Score2 ]])-1)),"")</f>
        <v/>
      </c>
      <c r="P618" t="s">
        <v>181</v>
      </c>
      <c r="Q618" s="1" t="s">
        <v>185</v>
      </c>
      <c r="R618" t="str">
        <f>Table11[[#This Row],[Match]]&amp;" "&amp;Table11[[#This Row],[Over]]</f>
        <v>7 50</v>
      </c>
    </row>
    <row r="619" spans="1:18" x14ac:dyDescent="0.3">
      <c r="A619">
        <v>8</v>
      </c>
      <c r="B619" s="1">
        <v>1</v>
      </c>
      <c r="C619" s="1" t="s">
        <v>897</v>
      </c>
      <c r="D619" s="1" t="s">
        <v>898</v>
      </c>
      <c r="E619" s="1" t="s">
        <v>899</v>
      </c>
      <c r="F619" s="1" t="s">
        <v>348</v>
      </c>
      <c r="G619" s="1" t="s">
        <v>2686</v>
      </c>
      <c r="H619" s="1" t="s">
        <v>968</v>
      </c>
      <c r="I619" s="1" t="s">
        <v>1662</v>
      </c>
      <c r="J619" s="1" t="s">
        <v>348</v>
      </c>
      <c r="K619" s="1" t="s">
        <v>1420</v>
      </c>
      <c r="L619" s="1" t="s">
        <v>2687</v>
      </c>
      <c r="M619" s="1" t="s">
        <v>902</v>
      </c>
      <c r="N619">
        <f>_xlfn.NUMBERVALUE(LEFT(Table11[[#This Row],[Score]],FIND("/",Table11[[#This Row],[Score]])-1))</f>
        <v>2</v>
      </c>
      <c r="O619">
        <f>IFERROR(_xlfn.NUMBERVALUE(LEFT(Table11[[#This Row],[Score2 ]],FIND("/",Table11[[#This Row],[Score2 ]])-1)),"")</f>
        <v>1</v>
      </c>
      <c r="P619" t="s">
        <v>164</v>
      </c>
      <c r="Q619" s="1" t="s">
        <v>158</v>
      </c>
      <c r="R619" t="str">
        <f>Table11[[#This Row],[Match]]&amp;" "&amp;Table11[[#This Row],[Over]]</f>
        <v>8 1</v>
      </c>
    </row>
    <row r="620" spans="1:18" x14ac:dyDescent="0.3">
      <c r="A620">
        <v>8</v>
      </c>
      <c r="B620" s="1">
        <v>2</v>
      </c>
      <c r="C620" s="1" t="s">
        <v>906</v>
      </c>
      <c r="D620" s="1" t="s">
        <v>898</v>
      </c>
      <c r="E620" s="1" t="s">
        <v>899</v>
      </c>
      <c r="F620" s="1" t="s">
        <v>348</v>
      </c>
      <c r="G620" s="1" t="s">
        <v>1418</v>
      </c>
      <c r="H620" s="1" t="s">
        <v>898</v>
      </c>
      <c r="I620" s="1" t="s">
        <v>1822</v>
      </c>
      <c r="J620" s="1" t="s">
        <v>348</v>
      </c>
      <c r="K620" s="1" t="s">
        <v>2081</v>
      </c>
      <c r="L620" s="1" t="s">
        <v>1972</v>
      </c>
      <c r="M620" s="1" t="s">
        <v>909</v>
      </c>
      <c r="N620">
        <f>_xlfn.NUMBERVALUE(LEFT(Table11[[#This Row],[Score]],FIND("/",Table11[[#This Row],[Score]])-1))</f>
        <v>4</v>
      </c>
      <c r="O620">
        <f>IFERROR(_xlfn.NUMBERVALUE(LEFT(Table11[[#This Row],[Score2 ]],FIND("/",Table11[[#This Row],[Score2 ]])-1)),"")</f>
        <v>3</v>
      </c>
      <c r="P620" t="s">
        <v>164</v>
      </c>
      <c r="Q620" s="1" t="s">
        <v>158</v>
      </c>
      <c r="R620" t="str">
        <f>Table11[[#This Row],[Match]]&amp;" "&amp;Table11[[#This Row],[Over]]</f>
        <v>8 2</v>
      </c>
    </row>
    <row r="621" spans="1:18" x14ac:dyDescent="0.3">
      <c r="A621">
        <v>8</v>
      </c>
      <c r="B621" s="1">
        <v>3</v>
      </c>
      <c r="C621" s="1" t="s">
        <v>1421</v>
      </c>
      <c r="D621" s="1" t="s">
        <v>922</v>
      </c>
      <c r="E621" s="1" t="s">
        <v>1265</v>
      </c>
      <c r="F621" s="1" t="s">
        <v>348</v>
      </c>
      <c r="G621" s="1" t="s">
        <v>906</v>
      </c>
      <c r="H621" s="1" t="s">
        <v>968</v>
      </c>
      <c r="I621" s="1" t="s">
        <v>2688</v>
      </c>
      <c r="J621" s="1" t="s">
        <v>348</v>
      </c>
      <c r="K621" s="1" t="s">
        <v>1019</v>
      </c>
      <c r="L621" s="1" t="s">
        <v>920</v>
      </c>
      <c r="M621" s="1" t="s">
        <v>920</v>
      </c>
      <c r="N621">
        <f>_xlfn.NUMBERVALUE(LEFT(Table11[[#This Row],[Score]],FIND("/",Table11[[#This Row],[Score]])-1))</f>
        <v>10</v>
      </c>
      <c r="O621">
        <f>IFERROR(_xlfn.NUMBERVALUE(LEFT(Table11[[#This Row],[Score2 ]],FIND("/",Table11[[#This Row],[Score2 ]])-1)),"")</f>
        <v>4</v>
      </c>
      <c r="P621" t="s">
        <v>164</v>
      </c>
      <c r="Q621" s="1" t="s">
        <v>158</v>
      </c>
      <c r="R621" t="str">
        <f>Table11[[#This Row],[Match]]&amp;" "&amp;Table11[[#This Row],[Over]]</f>
        <v>8 3</v>
      </c>
    </row>
    <row r="622" spans="1:18" x14ac:dyDescent="0.3">
      <c r="A622">
        <v>8</v>
      </c>
      <c r="B622" s="1">
        <v>4</v>
      </c>
      <c r="C622" s="1" t="s">
        <v>1629</v>
      </c>
      <c r="D622" s="1" t="s">
        <v>947</v>
      </c>
      <c r="E622" s="1" t="s">
        <v>1319</v>
      </c>
      <c r="F622" s="1" t="s">
        <v>348</v>
      </c>
      <c r="G622" s="1" t="s">
        <v>1235</v>
      </c>
      <c r="H622" s="1" t="s">
        <v>950</v>
      </c>
      <c r="I622" s="1" t="s">
        <v>1242</v>
      </c>
      <c r="J622" s="1" t="s">
        <v>348</v>
      </c>
      <c r="K622" s="1" t="s">
        <v>1218</v>
      </c>
      <c r="L622" s="1" t="s">
        <v>2237</v>
      </c>
      <c r="M622" s="1" t="s">
        <v>928</v>
      </c>
      <c r="N622">
        <f>_xlfn.NUMBERVALUE(LEFT(Table11[[#This Row],[Score]],FIND("/",Table11[[#This Row],[Score]])-1))</f>
        <v>19</v>
      </c>
      <c r="O622">
        <f>IFERROR(_xlfn.NUMBERVALUE(LEFT(Table11[[#This Row],[Score2 ]],FIND("/",Table11[[#This Row],[Score2 ]])-1)),"")</f>
        <v>9</v>
      </c>
      <c r="P622" t="s">
        <v>164</v>
      </c>
      <c r="Q622" s="1" t="s">
        <v>158</v>
      </c>
      <c r="R622" t="str">
        <f>Table11[[#This Row],[Match]]&amp;" "&amp;Table11[[#This Row],[Over]]</f>
        <v>8 4</v>
      </c>
    </row>
    <row r="623" spans="1:18" x14ac:dyDescent="0.3">
      <c r="A623">
        <v>8</v>
      </c>
      <c r="B623" s="1">
        <v>5</v>
      </c>
      <c r="C623" s="1" t="s">
        <v>1730</v>
      </c>
      <c r="D623" s="1" t="s">
        <v>998</v>
      </c>
      <c r="E623" s="1" t="s">
        <v>976</v>
      </c>
      <c r="F623" s="1" t="s">
        <v>976</v>
      </c>
      <c r="G623" s="1" t="s">
        <v>2689</v>
      </c>
      <c r="H623" s="1" t="s">
        <v>950</v>
      </c>
      <c r="I623" s="1" t="s">
        <v>993</v>
      </c>
      <c r="J623" s="1" t="s">
        <v>993</v>
      </c>
      <c r="K623" s="1" t="s">
        <v>1228</v>
      </c>
      <c r="L623" s="1" t="s">
        <v>1977</v>
      </c>
      <c r="M623" s="1" t="s">
        <v>937</v>
      </c>
      <c r="N623">
        <f>_xlfn.NUMBERVALUE(LEFT(Table11[[#This Row],[Score]],FIND("/",Table11[[#This Row],[Score]])-1))</f>
        <v>23</v>
      </c>
      <c r="O623">
        <f>IFERROR(_xlfn.NUMBERVALUE(LEFT(Table11[[#This Row],[Score2 ]],FIND("/",Table11[[#This Row],[Score2 ]])-1)),"")</f>
        <v>14</v>
      </c>
      <c r="P623" t="s">
        <v>164</v>
      </c>
      <c r="Q623" s="1" t="s">
        <v>158</v>
      </c>
      <c r="R623" t="str">
        <f>Table11[[#This Row],[Match]]&amp;" "&amp;Table11[[#This Row],[Over]]</f>
        <v>8 5</v>
      </c>
    </row>
    <row r="624" spans="1:18" x14ac:dyDescent="0.3">
      <c r="A624">
        <v>8</v>
      </c>
      <c r="B624" s="1">
        <v>6</v>
      </c>
      <c r="C624" s="1" t="s">
        <v>2690</v>
      </c>
      <c r="D624" s="1" t="s">
        <v>998</v>
      </c>
      <c r="E624" s="1" t="s">
        <v>1021</v>
      </c>
      <c r="F624" s="1" t="s">
        <v>969</v>
      </c>
      <c r="G624" s="1" t="s">
        <v>2326</v>
      </c>
      <c r="H624" s="1" t="s">
        <v>998</v>
      </c>
      <c r="I624" s="1" t="s">
        <v>1238</v>
      </c>
      <c r="J624" s="1" t="s">
        <v>1247</v>
      </c>
      <c r="K624" s="1" t="s">
        <v>953</v>
      </c>
      <c r="L624" s="1" t="s">
        <v>1429</v>
      </c>
      <c r="M624" s="1" t="s">
        <v>945</v>
      </c>
      <c r="N624">
        <f>_xlfn.NUMBERVALUE(LEFT(Table11[[#This Row],[Score]],FIND("/",Table11[[#This Row],[Score]])-1))</f>
        <v>27</v>
      </c>
      <c r="O624">
        <f>IFERROR(_xlfn.NUMBERVALUE(LEFT(Table11[[#This Row],[Score2 ]],FIND("/",Table11[[#This Row],[Score2 ]])-1)),"")</f>
        <v>18</v>
      </c>
      <c r="P624" t="s">
        <v>164</v>
      </c>
      <c r="Q624" s="1" t="s">
        <v>158</v>
      </c>
      <c r="R624" t="str">
        <f>Table11[[#This Row],[Match]]&amp;" "&amp;Table11[[#This Row],[Over]]</f>
        <v>8 6</v>
      </c>
    </row>
    <row r="625" spans="1:18" x14ac:dyDescent="0.3">
      <c r="A625">
        <v>8</v>
      </c>
      <c r="B625" s="1">
        <v>7</v>
      </c>
      <c r="C625" s="1" t="s">
        <v>1264</v>
      </c>
      <c r="D625" s="1" t="s">
        <v>904</v>
      </c>
      <c r="E625" s="1" t="s">
        <v>1124</v>
      </c>
      <c r="F625" s="1" t="s">
        <v>1029</v>
      </c>
      <c r="G625" s="1" t="s">
        <v>938</v>
      </c>
      <c r="H625" s="1" t="s">
        <v>922</v>
      </c>
      <c r="I625" s="1" t="s">
        <v>1490</v>
      </c>
      <c r="J625" s="1" t="s">
        <v>931</v>
      </c>
      <c r="K625" s="1" t="s">
        <v>953</v>
      </c>
      <c r="L625" s="1" t="s">
        <v>954</v>
      </c>
      <c r="M625" s="1" t="s">
        <v>955</v>
      </c>
      <c r="N625">
        <f>_xlfn.NUMBERVALUE(LEFT(Table11[[#This Row],[Score]],FIND("/",Table11[[#This Row],[Score]])-1))</f>
        <v>30</v>
      </c>
      <c r="O625">
        <f>IFERROR(_xlfn.NUMBERVALUE(LEFT(Table11[[#This Row],[Score2 ]],FIND("/",Table11[[#This Row],[Score2 ]])-1)),"")</f>
        <v>24</v>
      </c>
      <c r="P625" t="s">
        <v>164</v>
      </c>
      <c r="Q625" s="1" t="s">
        <v>158</v>
      </c>
      <c r="R625" t="str">
        <f>Table11[[#This Row],[Match]]&amp;" "&amp;Table11[[#This Row],[Over]]</f>
        <v>8 7</v>
      </c>
    </row>
    <row r="626" spans="1:18" x14ac:dyDescent="0.3">
      <c r="A626">
        <v>8</v>
      </c>
      <c r="B626" s="1">
        <v>8</v>
      </c>
      <c r="C626" s="1" t="s">
        <v>2691</v>
      </c>
      <c r="D626" s="1" t="s">
        <v>968</v>
      </c>
      <c r="E626" s="1" t="s">
        <v>1436</v>
      </c>
      <c r="F626" s="1" t="s">
        <v>931</v>
      </c>
      <c r="G626" s="1" t="s">
        <v>1728</v>
      </c>
      <c r="H626" s="1" t="s">
        <v>1147</v>
      </c>
      <c r="I626" s="1" t="s">
        <v>1357</v>
      </c>
      <c r="J626" s="1" t="s">
        <v>952</v>
      </c>
      <c r="K626" s="1" t="s">
        <v>1199</v>
      </c>
      <c r="L626" s="1" t="s">
        <v>1291</v>
      </c>
      <c r="M626" s="1" t="s">
        <v>963</v>
      </c>
      <c r="N626">
        <f>_xlfn.NUMBERVALUE(LEFT(Table11[[#This Row],[Score]],FIND("/",Table11[[#This Row],[Score]])-1))</f>
        <v>31</v>
      </c>
      <c r="O626">
        <f>IFERROR(_xlfn.NUMBERVALUE(LEFT(Table11[[#This Row],[Score2 ]],FIND("/",Table11[[#This Row],[Score2 ]])-1)),"")</f>
        <v>39</v>
      </c>
      <c r="P626" t="s">
        <v>164</v>
      </c>
      <c r="Q626" s="1" t="s">
        <v>158</v>
      </c>
      <c r="R626" t="str">
        <f>Table11[[#This Row],[Match]]&amp;" "&amp;Table11[[#This Row],[Over]]</f>
        <v>8 8</v>
      </c>
    </row>
    <row r="627" spans="1:18" x14ac:dyDescent="0.3">
      <c r="A627">
        <v>8</v>
      </c>
      <c r="B627" s="1">
        <v>9</v>
      </c>
      <c r="C627" s="1" t="s">
        <v>1262</v>
      </c>
      <c r="D627" s="1" t="s">
        <v>968</v>
      </c>
      <c r="E627" s="1" t="s">
        <v>1263</v>
      </c>
      <c r="F627" s="1" t="s">
        <v>984</v>
      </c>
      <c r="G627" s="1" t="s">
        <v>2106</v>
      </c>
      <c r="H627" s="1" t="s">
        <v>916</v>
      </c>
      <c r="I627" s="1" t="s">
        <v>1643</v>
      </c>
      <c r="J627" s="1" t="s">
        <v>1068</v>
      </c>
      <c r="K627" s="1" t="s">
        <v>2217</v>
      </c>
      <c r="L627" s="1" t="s">
        <v>980</v>
      </c>
      <c r="M627" s="1" t="s">
        <v>973</v>
      </c>
      <c r="N627">
        <f>_xlfn.NUMBERVALUE(LEFT(Table11[[#This Row],[Score]],FIND("/",Table11[[#This Row],[Score]])-1))</f>
        <v>32</v>
      </c>
      <c r="O627">
        <f>IFERROR(_xlfn.NUMBERVALUE(LEFT(Table11[[#This Row],[Score2 ]],FIND("/",Table11[[#This Row],[Score2 ]])-1)),"")</f>
        <v>46</v>
      </c>
      <c r="P627" t="s">
        <v>164</v>
      </c>
      <c r="Q627" s="1" t="s">
        <v>158</v>
      </c>
      <c r="R627" t="str">
        <f>Table11[[#This Row],[Match]]&amp;" "&amp;Table11[[#This Row],[Over]]</f>
        <v>8 9</v>
      </c>
    </row>
    <row r="628" spans="1:18" x14ac:dyDescent="0.3">
      <c r="A628">
        <v>8</v>
      </c>
      <c r="B628" s="1">
        <v>10</v>
      </c>
      <c r="C628" s="1" t="s">
        <v>941</v>
      </c>
      <c r="D628" s="1" t="s">
        <v>898</v>
      </c>
      <c r="E628" s="1" t="s">
        <v>1247</v>
      </c>
      <c r="F628" s="1" t="s">
        <v>1383</v>
      </c>
      <c r="G628" s="1" t="s">
        <v>1986</v>
      </c>
      <c r="H628" s="1" t="s">
        <v>947</v>
      </c>
      <c r="I628" s="1" t="s">
        <v>959</v>
      </c>
      <c r="J628" s="1" t="s">
        <v>1405</v>
      </c>
      <c r="K628" s="1" t="s">
        <v>2424</v>
      </c>
      <c r="L628" s="1" t="s">
        <v>2692</v>
      </c>
      <c r="M628" s="1" t="s">
        <v>980</v>
      </c>
      <c r="N628">
        <f>_xlfn.NUMBERVALUE(LEFT(Table11[[#This Row],[Score]],FIND("/",Table11[[#This Row],[Score]])-1))</f>
        <v>34</v>
      </c>
      <c r="O628">
        <f>IFERROR(_xlfn.NUMBERVALUE(LEFT(Table11[[#This Row],[Score2 ]],FIND("/",Table11[[#This Row],[Score2 ]])-1)),"")</f>
        <v>55</v>
      </c>
      <c r="P628" t="s">
        <v>164</v>
      </c>
      <c r="Q628" s="1" t="s">
        <v>158</v>
      </c>
      <c r="R628" t="str">
        <f>Table11[[#This Row],[Match]]&amp;" "&amp;Table11[[#This Row],[Over]]</f>
        <v>8 10</v>
      </c>
    </row>
    <row r="629" spans="1:18" x14ac:dyDescent="0.3">
      <c r="A629">
        <v>8</v>
      </c>
      <c r="B629" s="1">
        <v>11</v>
      </c>
      <c r="C629" s="1" t="s">
        <v>2444</v>
      </c>
      <c r="D629" s="1" t="s">
        <v>922</v>
      </c>
      <c r="E629" s="1" t="s">
        <v>2656</v>
      </c>
      <c r="F629" s="1" t="s">
        <v>984</v>
      </c>
      <c r="G629" s="1" t="s">
        <v>1986</v>
      </c>
      <c r="H629" s="1" t="s">
        <v>1007</v>
      </c>
      <c r="I629" s="1" t="s">
        <v>969</v>
      </c>
      <c r="J629" s="1" t="s">
        <v>1068</v>
      </c>
      <c r="K629" s="1" t="s">
        <v>2235</v>
      </c>
      <c r="L629" s="1" t="s">
        <v>2692</v>
      </c>
      <c r="M629" s="1" t="s">
        <v>987</v>
      </c>
      <c r="N629">
        <f>_xlfn.NUMBERVALUE(LEFT(Table11[[#This Row],[Score]],FIND("/",Table11[[#This Row],[Score]])-1))</f>
        <v>40</v>
      </c>
      <c r="O629">
        <f>IFERROR(_xlfn.NUMBERVALUE(LEFT(Table11[[#This Row],[Score2 ]],FIND("/",Table11[[#This Row],[Score2 ]])-1)),"")</f>
        <v>55</v>
      </c>
      <c r="P629" t="s">
        <v>164</v>
      </c>
      <c r="Q629" s="1" t="s">
        <v>158</v>
      </c>
      <c r="R629" t="str">
        <f>Table11[[#This Row],[Match]]&amp;" "&amp;Table11[[#This Row],[Over]]</f>
        <v>8 11</v>
      </c>
    </row>
    <row r="630" spans="1:18" x14ac:dyDescent="0.3">
      <c r="A630">
        <v>8</v>
      </c>
      <c r="B630" s="1">
        <v>12</v>
      </c>
      <c r="C630" s="1" t="s">
        <v>1285</v>
      </c>
      <c r="D630" s="1" t="s">
        <v>1103</v>
      </c>
      <c r="E630" s="1" t="s">
        <v>989</v>
      </c>
      <c r="F630" s="1" t="s">
        <v>940</v>
      </c>
      <c r="G630" s="1" t="s">
        <v>2445</v>
      </c>
      <c r="H630" s="1" t="s">
        <v>922</v>
      </c>
      <c r="I630" s="1" t="s">
        <v>1657</v>
      </c>
      <c r="J630" s="1" t="s">
        <v>1068</v>
      </c>
      <c r="K630" s="1" t="s">
        <v>2235</v>
      </c>
      <c r="L630" s="1" t="s">
        <v>2693</v>
      </c>
      <c r="M630" s="1" t="s">
        <v>996</v>
      </c>
      <c r="N630">
        <f>_xlfn.NUMBERVALUE(LEFT(Table11[[#This Row],[Score]],FIND("/",Table11[[#This Row],[Score]])-1))</f>
        <v>52</v>
      </c>
      <c r="O630">
        <f>IFERROR(_xlfn.NUMBERVALUE(LEFT(Table11[[#This Row],[Score2 ]],FIND("/",Table11[[#This Row],[Score2 ]])-1)),"")</f>
        <v>61</v>
      </c>
      <c r="P630" t="s">
        <v>164</v>
      </c>
      <c r="Q630" s="1" t="s">
        <v>158</v>
      </c>
      <c r="R630" t="str">
        <f>Table11[[#This Row],[Match]]&amp;" "&amp;Table11[[#This Row],[Over]]</f>
        <v>8 12</v>
      </c>
    </row>
    <row r="631" spans="1:18" x14ac:dyDescent="0.3">
      <c r="A631">
        <v>8</v>
      </c>
      <c r="B631" s="1">
        <v>13</v>
      </c>
      <c r="C631" s="1" t="s">
        <v>2222</v>
      </c>
      <c r="D631" s="1" t="s">
        <v>930</v>
      </c>
      <c r="E631" s="1" t="s">
        <v>1055</v>
      </c>
      <c r="F631" s="1" t="s">
        <v>1013</v>
      </c>
      <c r="G631" s="1" t="s">
        <v>2694</v>
      </c>
      <c r="H631" s="1" t="s">
        <v>904</v>
      </c>
      <c r="I631" s="1" t="s">
        <v>1325</v>
      </c>
      <c r="J631" s="1" t="s">
        <v>969</v>
      </c>
      <c r="K631" s="1" t="s">
        <v>1019</v>
      </c>
      <c r="L631" s="1" t="s">
        <v>1004</v>
      </c>
      <c r="M631" s="1" t="s">
        <v>1004</v>
      </c>
      <c r="N631">
        <f>_xlfn.NUMBERVALUE(LEFT(Table11[[#This Row],[Score]],FIND("/",Table11[[#This Row],[Score]])-1))</f>
        <v>60</v>
      </c>
      <c r="O631">
        <f>IFERROR(_xlfn.NUMBERVALUE(LEFT(Table11[[#This Row],[Score2 ]],FIND("/",Table11[[#This Row],[Score2 ]])-1)),"")</f>
        <v>64</v>
      </c>
      <c r="P631" t="s">
        <v>164</v>
      </c>
      <c r="Q631" s="1" t="s">
        <v>158</v>
      </c>
      <c r="R631" t="str">
        <f>Table11[[#This Row],[Match]]&amp;" "&amp;Table11[[#This Row],[Over]]</f>
        <v>8 13</v>
      </c>
    </row>
    <row r="632" spans="1:18" x14ac:dyDescent="0.3">
      <c r="A632">
        <v>8</v>
      </c>
      <c r="B632" s="1">
        <v>14</v>
      </c>
      <c r="C632" s="1" t="s">
        <v>1293</v>
      </c>
      <c r="D632" s="1" t="s">
        <v>904</v>
      </c>
      <c r="E632" s="1" t="s">
        <v>1021</v>
      </c>
      <c r="F632" s="1" t="s">
        <v>970</v>
      </c>
      <c r="G632" s="1" t="s">
        <v>2115</v>
      </c>
      <c r="H632" s="1" t="s">
        <v>950</v>
      </c>
      <c r="I632" s="1" t="s">
        <v>1325</v>
      </c>
      <c r="J632" s="1" t="s">
        <v>976</v>
      </c>
      <c r="K632" s="1" t="s">
        <v>1218</v>
      </c>
      <c r="L632" s="1" t="s">
        <v>2006</v>
      </c>
      <c r="M632" s="1" t="s">
        <v>1010</v>
      </c>
      <c r="N632">
        <f>_xlfn.NUMBERVALUE(LEFT(Table11[[#This Row],[Score]],FIND("/",Table11[[#This Row],[Score]])-1))</f>
        <v>63</v>
      </c>
      <c r="O632">
        <f>IFERROR(_xlfn.NUMBERVALUE(LEFT(Table11[[#This Row],[Score2 ]],FIND("/",Table11[[#This Row],[Score2 ]])-1)),"")</f>
        <v>69</v>
      </c>
      <c r="P632" t="s">
        <v>164</v>
      </c>
      <c r="Q632" s="1" t="s">
        <v>158</v>
      </c>
      <c r="R632" t="str">
        <f>Table11[[#This Row],[Match]]&amp;" "&amp;Table11[[#This Row],[Over]]</f>
        <v>8 14</v>
      </c>
    </row>
    <row r="633" spans="1:18" x14ac:dyDescent="0.3">
      <c r="A633">
        <v>8</v>
      </c>
      <c r="B633" s="1">
        <v>15</v>
      </c>
      <c r="C633" s="1" t="s">
        <v>1998</v>
      </c>
      <c r="D633" s="1" t="s">
        <v>930</v>
      </c>
      <c r="E633" s="1" t="s">
        <v>1012</v>
      </c>
      <c r="F633" s="1" t="s">
        <v>1068</v>
      </c>
      <c r="G633" s="1" t="s">
        <v>1020</v>
      </c>
      <c r="H633" s="1" t="s">
        <v>904</v>
      </c>
      <c r="I633" s="1" t="s">
        <v>1093</v>
      </c>
      <c r="J633" s="1" t="s">
        <v>1247</v>
      </c>
      <c r="K633" s="1" t="s">
        <v>961</v>
      </c>
      <c r="L633" s="1" t="s">
        <v>1479</v>
      </c>
      <c r="M633" s="1" t="s">
        <v>1016</v>
      </c>
      <c r="N633">
        <f>_xlfn.NUMBERVALUE(LEFT(Table11[[#This Row],[Score]],FIND("/",Table11[[#This Row],[Score]])-1))</f>
        <v>71</v>
      </c>
      <c r="O633">
        <f>IFERROR(_xlfn.NUMBERVALUE(LEFT(Table11[[#This Row],[Score2 ]],FIND("/",Table11[[#This Row],[Score2 ]])-1)),"")</f>
        <v>72</v>
      </c>
      <c r="P633" t="s">
        <v>164</v>
      </c>
      <c r="Q633" s="1" t="s">
        <v>158</v>
      </c>
      <c r="R633" t="str">
        <f>Table11[[#This Row],[Match]]&amp;" "&amp;Table11[[#This Row],[Over]]</f>
        <v>8 15</v>
      </c>
    </row>
    <row r="634" spans="1:18" x14ac:dyDescent="0.3">
      <c r="A634">
        <v>8</v>
      </c>
      <c r="B634" s="1">
        <v>16</v>
      </c>
      <c r="C634" s="1" t="s">
        <v>1034</v>
      </c>
      <c r="D634" s="1" t="s">
        <v>930</v>
      </c>
      <c r="E634" s="1" t="s">
        <v>1351</v>
      </c>
      <c r="F634" s="1" t="s">
        <v>1168</v>
      </c>
      <c r="G634" s="1" t="s">
        <v>2003</v>
      </c>
      <c r="H634" s="1" t="s">
        <v>947</v>
      </c>
      <c r="I634" s="1" t="s">
        <v>2279</v>
      </c>
      <c r="J634" s="1" t="s">
        <v>1029</v>
      </c>
      <c r="K634" s="1" t="s">
        <v>1218</v>
      </c>
      <c r="L634" s="1" t="s">
        <v>1488</v>
      </c>
      <c r="M634" s="1" t="s">
        <v>1024</v>
      </c>
      <c r="N634">
        <f>_xlfn.NUMBERVALUE(LEFT(Table11[[#This Row],[Score]],FIND("/",Table11[[#This Row],[Score]])-1))</f>
        <v>79</v>
      </c>
      <c r="O634">
        <f>IFERROR(_xlfn.NUMBERVALUE(LEFT(Table11[[#This Row],[Score2 ]],FIND("/",Table11[[#This Row],[Score2 ]])-1)),"")</f>
        <v>81</v>
      </c>
      <c r="P634" t="s">
        <v>164</v>
      </c>
      <c r="Q634" s="1" t="s">
        <v>158</v>
      </c>
      <c r="R634" t="str">
        <f>Table11[[#This Row],[Match]]&amp;" "&amp;Table11[[#This Row],[Over]]</f>
        <v>8 16</v>
      </c>
    </row>
    <row r="635" spans="1:18" x14ac:dyDescent="0.3">
      <c r="A635">
        <v>8</v>
      </c>
      <c r="B635" s="1">
        <v>17</v>
      </c>
      <c r="C635" s="1" t="s">
        <v>2003</v>
      </c>
      <c r="D635" s="1" t="s">
        <v>898</v>
      </c>
      <c r="E635" s="1" t="s">
        <v>1187</v>
      </c>
      <c r="F635" s="1" t="s">
        <v>1013</v>
      </c>
      <c r="G635" s="1" t="s">
        <v>1304</v>
      </c>
      <c r="H635" s="1" t="s">
        <v>904</v>
      </c>
      <c r="I635" s="1" t="s">
        <v>1033</v>
      </c>
      <c r="J635" s="1" t="s">
        <v>976</v>
      </c>
      <c r="K635" s="1" t="s">
        <v>1968</v>
      </c>
      <c r="L635" s="1" t="s">
        <v>2275</v>
      </c>
      <c r="M635" s="1" t="s">
        <v>1031</v>
      </c>
      <c r="N635">
        <f>_xlfn.NUMBERVALUE(LEFT(Table11[[#This Row],[Score]],FIND("/",Table11[[#This Row],[Score]])-1))</f>
        <v>81</v>
      </c>
      <c r="O635">
        <f>IFERROR(_xlfn.NUMBERVALUE(LEFT(Table11[[#This Row],[Score2 ]],FIND("/",Table11[[#This Row],[Score2 ]])-1)),"")</f>
        <v>84</v>
      </c>
      <c r="P635" t="s">
        <v>164</v>
      </c>
      <c r="Q635" s="1" t="s">
        <v>158</v>
      </c>
      <c r="R635" t="str">
        <f>Table11[[#This Row],[Match]]&amp;" "&amp;Table11[[#This Row],[Over]]</f>
        <v>8 17</v>
      </c>
    </row>
    <row r="636" spans="1:18" x14ac:dyDescent="0.3">
      <c r="A636">
        <v>8</v>
      </c>
      <c r="B636" s="1">
        <v>18</v>
      </c>
      <c r="C636" s="1" t="s">
        <v>2007</v>
      </c>
      <c r="D636" s="1" t="s">
        <v>950</v>
      </c>
      <c r="E636" s="1" t="s">
        <v>2695</v>
      </c>
      <c r="F636" s="1" t="s">
        <v>1029</v>
      </c>
      <c r="G636" s="1" t="s">
        <v>2696</v>
      </c>
      <c r="H636" s="1" t="s">
        <v>904</v>
      </c>
      <c r="I636" s="1" t="s">
        <v>2438</v>
      </c>
      <c r="J636" s="1" t="s">
        <v>976</v>
      </c>
      <c r="K636" s="1" t="s">
        <v>2697</v>
      </c>
      <c r="L636" s="1" t="s">
        <v>1076</v>
      </c>
      <c r="M636" s="1" t="s">
        <v>1037</v>
      </c>
      <c r="N636">
        <f>_xlfn.NUMBERVALUE(LEFT(Table11[[#This Row],[Score]],FIND("/",Table11[[#This Row],[Score]])-1))</f>
        <v>86</v>
      </c>
      <c r="O636">
        <f>IFERROR(_xlfn.NUMBERVALUE(LEFT(Table11[[#This Row],[Score2 ]],FIND("/",Table11[[#This Row],[Score2 ]])-1)),"")</f>
        <v>87</v>
      </c>
      <c r="P636" t="s">
        <v>164</v>
      </c>
      <c r="Q636" s="1" t="s">
        <v>158</v>
      </c>
      <c r="R636" t="str">
        <f>Table11[[#This Row],[Match]]&amp;" "&amp;Table11[[#This Row],[Over]]</f>
        <v>8 18</v>
      </c>
    </row>
    <row r="637" spans="1:18" x14ac:dyDescent="0.3">
      <c r="A637">
        <v>8</v>
      </c>
      <c r="B637" s="1">
        <v>19</v>
      </c>
      <c r="C637" s="1" t="s">
        <v>2698</v>
      </c>
      <c r="D637" s="1" t="s">
        <v>998</v>
      </c>
      <c r="E637" s="1" t="s">
        <v>1012</v>
      </c>
      <c r="F637" s="1" t="s">
        <v>966</v>
      </c>
      <c r="G637" s="1" t="s">
        <v>2699</v>
      </c>
      <c r="H637" s="1" t="s">
        <v>916</v>
      </c>
      <c r="I637" s="1" t="s">
        <v>1033</v>
      </c>
      <c r="J637" s="1" t="s">
        <v>969</v>
      </c>
      <c r="K637" s="1" t="s">
        <v>2465</v>
      </c>
      <c r="L637" s="1" t="s">
        <v>1037</v>
      </c>
      <c r="M637" s="1" t="s">
        <v>1043</v>
      </c>
      <c r="N637">
        <f>_xlfn.NUMBERVALUE(LEFT(Table11[[#This Row],[Score]],FIND("/",Table11[[#This Row],[Score]])-1))</f>
        <v>90</v>
      </c>
      <c r="O637">
        <f>IFERROR(_xlfn.NUMBERVALUE(LEFT(Table11[[#This Row],[Score2 ]],FIND("/",Table11[[#This Row],[Score2 ]])-1)),"")</f>
        <v>94</v>
      </c>
      <c r="P637" t="s">
        <v>164</v>
      </c>
      <c r="Q637" s="1" t="s">
        <v>158</v>
      </c>
      <c r="R637" t="str">
        <f>Table11[[#This Row],[Match]]&amp;" "&amp;Table11[[#This Row],[Over]]</f>
        <v>8 19</v>
      </c>
    </row>
    <row r="638" spans="1:18" x14ac:dyDescent="0.3">
      <c r="A638">
        <v>8</v>
      </c>
      <c r="B638" s="1">
        <v>20</v>
      </c>
      <c r="C638" s="1" t="s">
        <v>1046</v>
      </c>
      <c r="D638" s="1" t="s">
        <v>898</v>
      </c>
      <c r="E638" s="1" t="s">
        <v>976</v>
      </c>
      <c r="F638" s="1" t="s">
        <v>931</v>
      </c>
      <c r="G638" s="1" t="s">
        <v>1059</v>
      </c>
      <c r="H638" s="1" t="s">
        <v>998</v>
      </c>
      <c r="I638" s="1" t="s">
        <v>1045</v>
      </c>
      <c r="J638" s="1" t="s">
        <v>1029</v>
      </c>
      <c r="K638" s="1" t="s">
        <v>2700</v>
      </c>
      <c r="L638" s="1" t="s">
        <v>2701</v>
      </c>
      <c r="M638" s="1" t="s">
        <v>1049</v>
      </c>
      <c r="N638">
        <f>_xlfn.NUMBERVALUE(LEFT(Table11[[#This Row],[Score]],FIND("/",Table11[[#This Row],[Score]])-1))</f>
        <v>92</v>
      </c>
      <c r="O638">
        <f>IFERROR(_xlfn.NUMBERVALUE(LEFT(Table11[[#This Row],[Score2 ]],FIND("/",Table11[[#This Row],[Score2 ]])-1)),"")</f>
        <v>98</v>
      </c>
      <c r="P638" t="s">
        <v>164</v>
      </c>
      <c r="Q638" s="1" t="s">
        <v>158</v>
      </c>
      <c r="R638" t="str">
        <f>Table11[[#This Row],[Match]]&amp;" "&amp;Table11[[#This Row],[Over]]</f>
        <v>8 20</v>
      </c>
    </row>
    <row r="639" spans="1:18" x14ac:dyDescent="0.3">
      <c r="A639">
        <v>8</v>
      </c>
      <c r="B639" s="1">
        <v>21</v>
      </c>
      <c r="C639" s="1" t="s">
        <v>2699</v>
      </c>
      <c r="D639" s="1" t="s">
        <v>898</v>
      </c>
      <c r="E639" s="1" t="s">
        <v>1316</v>
      </c>
      <c r="F639" s="1" t="s">
        <v>1238</v>
      </c>
      <c r="G639" s="1" t="s">
        <v>2702</v>
      </c>
      <c r="H639" s="1" t="s">
        <v>922</v>
      </c>
      <c r="I639" s="1" t="s">
        <v>2672</v>
      </c>
      <c r="J639" s="1" t="s">
        <v>976</v>
      </c>
      <c r="K639" s="1" t="s">
        <v>1979</v>
      </c>
      <c r="L639" s="1" t="s">
        <v>1097</v>
      </c>
      <c r="M639" s="1" t="s">
        <v>1056</v>
      </c>
      <c r="N639">
        <f>_xlfn.NUMBERVALUE(LEFT(Table11[[#This Row],[Score]],FIND("/",Table11[[#This Row],[Score]])-1))</f>
        <v>94</v>
      </c>
      <c r="O639">
        <f>IFERROR(_xlfn.NUMBERVALUE(LEFT(Table11[[#This Row],[Score2 ]],FIND("/",Table11[[#This Row],[Score2 ]])-1)),"")</f>
        <v>104</v>
      </c>
      <c r="P639" t="s">
        <v>164</v>
      </c>
      <c r="Q639" s="1" t="s">
        <v>158</v>
      </c>
      <c r="R639" t="str">
        <f>Table11[[#This Row],[Match]]&amp;" "&amp;Table11[[#This Row],[Over]]</f>
        <v>8 21</v>
      </c>
    </row>
    <row r="640" spans="1:18" x14ac:dyDescent="0.3">
      <c r="A640">
        <v>8</v>
      </c>
      <c r="B640" s="1">
        <v>22</v>
      </c>
      <c r="C640" s="1" t="s">
        <v>1054</v>
      </c>
      <c r="D640" s="1" t="s">
        <v>904</v>
      </c>
      <c r="E640" s="1" t="s">
        <v>940</v>
      </c>
      <c r="F640" s="1" t="s">
        <v>1259</v>
      </c>
      <c r="G640" s="1" t="s">
        <v>2703</v>
      </c>
      <c r="H640" s="1" t="s">
        <v>930</v>
      </c>
      <c r="I640" s="1" t="s">
        <v>2186</v>
      </c>
      <c r="J640" s="1" t="s">
        <v>934</v>
      </c>
      <c r="K640" s="1" t="s">
        <v>2697</v>
      </c>
      <c r="L640" s="1" t="s">
        <v>1056</v>
      </c>
      <c r="M640" s="1" t="s">
        <v>1063</v>
      </c>
      <c r="N640">
        <f>_xlfn.NUMBERVALUE(LEFT(Table11[[#This Row],[Score]],FIND("/",Table11[[#This Row],[Score]])-1))</f>
        <v>97</v>
      </c>
      <c r="O640">
        <f>IFERROR(_xlfn.NUMBERVALUE(LEFT(Table11[[#This Row],[Score2 ]],FIND("/",Table11[[#This Row],[Score2 ]])-1)),"")</f>
        <v>112</v>
      </c>
      <c r="P640" t="s">
        <v>164</v>
      </c>
      <c r="Q640" s="1" t="s">
        <v>158</v>
      </c>
      <c r="R640" t="str">
        <f>Table11[[#This Row],[Match]]&amp;" "&amp;Table11[[#This Row],[Over]]</f>
        <v>8 22</v>
      </c>
    </row>
    <row r="641" spans="1:18" x14ac:dyDescent="0.3">
      <c r="A641">
        <v>8</v>
      </c>
      <c r="B641" s="1">
        <v>23</v>
      </c>
      <c r="C641" s="1" t="s">
        <v>2704</v>
      </c>
      <c r="D641" s="1" t="s">
        <v>904</v>
      </c>
      <c r="E641" s="1" t="s">
        <v>1526</v>
      </c>
      <c r="F641" s="1" t="s">
        <v>993</v>
      </c>
      <c r="G641" s="1" t="s">
        <v>1510</v>
      </c>
      <c r="H641" s="1" t="s">
        <v>950</v>
      </c>
      <c r="I641" s="1" t="s">
        <v>1657</v>
      </c>
      <c r="J641" s="1" t="s">
        <v>1019</v>
      </c>
      <c r="K641" s="1" t="s">
        <v>1448</v>
      </c>
      <c r="L641" s="1" t="s">
        <v>1112</v>
      </c>
      <c r="M641" s="1" t="s">
        <v>1070</v>
      </c>
      <c r="N641">
        <f>_xlfn.NUMBERVALUE(LEFT(Table11[[#This Row],[Score]],FIND("/",Table11[[#This Row],[Score]])-1))</f>
        <v>100</v>
      </c>
      <c r="O641">
        <f>IFERROR(_xlfn.NUMBERVALUE(LEFT(Table11[[#This Row],[Score2 ]],FIND("/",Table11[[#This Row],[Score2 ]])-1)),"")</f>
        <v>117</v>
      </c>
      <c r="P641" t="s">
        <v>164</v>
      </c>
      <c r="Q641" s="1" t="s">
        <v>158</v>
      </c>
      <c r="R641" t="str">
        <f>Table11[[#This Row],[Match]]&amp;" "&amp;Table11[[#This Row],[Over]]</f>
        <v>8 23</v>
      </c>
    </row>
    <row r="642" spans="1:18" x14ac:dyDescent="0.3">
      <c r="A642">
        <v>8</v>
      </c>
      <c r="B642" s="1">
        <v>24</v>
      </c>
      <c r="C642" s="1" t="s">
        <v>2705</v>
      </c>
      <c r="D642" s="1" t="s">
        <v>922</v>
      </c>
      <c r="E642" s="1" t="s">
        <v>992</v>
      </c>
      <c r="F642" s="1" t="s">
        <v>1259</v>
      </c>
      <c r="G642" s="1" t="s">
        <v>1329</v>
      </c>
      <c r="H642" s="1" t="s">
        <v>998</v>
      </c>
      <c r="I642" s="1" t="s">
        <v>2193</v>
      </c>
      <c r="J642" s="1" t="s">
        <v>966</v>
      </c>
      <c r="K642" s="1" t="s">
        <v>2706</v>
      </c>
      <c r="L642" s="1" t="s">
        <v>2707</v>
      </c>
      <c r="M642" s="1" t="s">
        <v>1077</v>
      </c>
      <c r="N642">
        <f>_xlfn.NUMBERVALUE(LEFT(Table11[[#This Row],[Score]],FIND("/",Table11[[#This Row],[Score]])-1))</f>
        <v>106</v>
      </c>
      <c r="O642">
        <f>IFERROR(_xlfn.NUMBERVALUE(LEFT(Table11[[#This Row],[Score2 ]],FIND("/",Table11[[#This Row],[Score2 ]])-1)),"")</f>
        <v>121</v>
      </c>
      <c r="P642" t="s">
        <v>164</v>
      </c>
      <c r="Q642" s="1" t="s">
        <v>158</v>
      </c>
      <c r="R642" t="str">
        <f>Table11[[#This Row],[Match]]&amp;" "&amp;Table11[[#This Row],[Over]]</f>
        <v>8 24</v>
      </c>
    </row>
    <row r="643" spans="1:18" x14ac:dyDescent="0.3">
      <c r="A643">
        <v>8</v>
      </c>
      <c r="B643" s="1">
        <v>25</v>
      </c>
      <c r="C643" s="1" t="s">
        <v>2708</v>
      </c>
      <c r="D643" s="1" t="s">
        <v>904</v>
      </c>
      <c r="E643" s="1" t="s">
        <v>1040</v>
      </c>
      <c r="F643" s="1" t="s">
        <v>1247</v>
      </c>
      <c r="G643" s="1" t="s">
        <v>2027</v>
      </c>
      <c r="H643" s="1" t="s">
        <v>950</v>
      </c>
      <c r="I643" s="1" t="s">
        <v>2193</v>
      </c>
      <c r="J643" s="1" t="s">
        <v>934</v>
      </c>
      <c r="K643" s="1" t="s">
        <v>943</v>
      </c>
      <c r="L643" s="1" t="s">
        <v>1360</v>
      </c>
      <c r="M643" s="1" t="s">
        <v>1083</v>
      </c>
      <c r="N643">
        <f>_xlfn.NUMBERVALUE(LEFT(Table11[[#This Row],[Score]],FIND("/",Table11[[#This Row],[Score]])-1))</f>
        <v>109</v>
      </c>
      <c r="O643">
        <f>IFERROR(_xlfn.NUMBERVALUE(LEFT(Table11[[#This Row],[Score2 ]],FIND("/",Table11[[#This Row],[Score2 ]])-1)),"")</f>
        <v>126</v>
      </c>
      <c r="P643" t="s">
        <v>164</v>
      </c>
      <c r="Q643" s="1" t="s">
        <v>158</v>
      </c>
      <c r="R643" t="str">
        <f>Table11[[#This Row],[Match]]&amp;" "&amp;Table11[[#This Row],[Over]]</f>
        <v>8 25</v>
      </c>
    </row>
    <row r="644" spans="1:18" x14ac:dyDescent="0.3">
      <c r="A644">
        <v>8</v>
      </c>
      <c r="B644" s="1">
        <v>26</v>
      </c>
      <c r="C644" s="1" t="s">
        <v>2709</v>
      </c>
      <c r="D644" s="1" t="s">
        <v>922</v>
      </c>
      <c r="E644" s="1" t="s">
        <v>1006</v>
      </c>
      <c r="F644" s="1" t="s">
        <v>931</v>
      </c>
      <c r="G644" s="1" t="s">
        <v>2029</v>
      </c>
      <c r="H644" s="1" t="s">
        <v>922</v>
      </c>
      <c r="I644" s="1" t="s">
        <v>1661</v>
      </c>
      <c r="J644" s="1" t="s">
        <v>934</v>
      </c>
      <c r="K644" s="1" t="s">
        <v>2231</v>
      </c>
      <c r="L644" s="1" t="s">
        <v>2710</v>
      </c>
      <c r="M644" s="1" t="s">
        <v>1090</v>
      </c>
      <c r="N644">
        <f>_xlfn.NUMBERVALUE(LEFT(Table11[[#This Row],[Score]],FIND("/",Table11[[#This Row],[Score]])-1))</f>
        <v>115</v>
      </c>
      <c r="O644">
        <f>IFERROR(_xlfn.NUMBERVALUE(LEFT(Table11[[#This Row],[Score2 ]],FIND("/",Table11[[#This Row],[Score2 ]])-1)),"")</f>
        <v>132</v>
      </c>
      <c r="P644" t="s">
        <v>164</v>
      </c>
      <c r="Q644" s="1" t="s">
        <v>158</v>
      </c>
      <c r="R644" t="str">
        <f>Table11[[#This Row],[Match]]&amp;" "&amp;Table11[[#This Row],[Over]]</f>
        <v>8 26</v>
      </c>
    </row>
    <row r="645" spans="1:18" x14ac:dyDescent="0.3">
      <c r="A645">
        <v>8</v>
      </c>
      <c r="B645" s="1">
        <v>27</v>
      </c>
      <c r="C645" s="1" t="s">
        <v>1798</v>
      </c>
      <c r="D645" s="1" t="s">
        <v>916</v>
      </c>
      <c r="E645" s="1" t="s">
        <v>1542</v>
      </c>
      <c r="F645" s="1" t="s">
        <v>969</v>
      </c>
      <c r="G645" s="1" t="s">
        <v>2711</v>
      </c>
      <c r="H645" s="1" t="s">
        <v>1095</v>
      </c>
      <c r="I645" s="1" t="s">
        <v>1722</v>
      </c>
      <c r="J645" s="1" t="s">
        <v>1019</v>
      </c>
      <c r="K645" s="1" t="s">
        <v>2700</v>
      </c>
      <c r="L645" s="1" t="s">
        <v>1090</v>
      </c>
      <c r="M645" s="1" t="s">
        <v>1098</v>
      </c>
      <c r="N645">
        <f>_xlfn.NUMBERVALUE(LEFT(Table11[[#This Row],[Score]],FIND("/",Table11[[#This Row],[Score]])-1))</f>
        <v>122</v>
      </c>
      <c r="O645">
        <f>IFERROR(_xlfn.NUMBERVALUE(LEFT(Table11[[#This Row],[Score2 ]],FIND("/",Table11[[#This Row],[Score2 ]])-1)),"")</f>
        <v>142</v>
      </c>
      <c r="P645" t="s">
        <v>164</v>
      </c>
      <c r="Q645" s="1" t="s">
        <v>158</v>
      </c>
      <c r="R645" t="str">
        <f>Table11[[#This Row],[Match]]&amp;" "&amp;Table11[[#This Row],[Over]]</f>
        <v>8 27</v>
      </c>
    </row>
    <row r="646" spans="1:18" x14ac:dyDescent="0.3">
      <c r="A646">
        <v>8</v>
      </c>
      <c r="B646" s="1">
        <v>28</v>
      </c>
      <c r="C646" s="1" t="s">
        <v>2712</v>
      </c>
      <c r="D646" s="1" t="s">
        <v>922</v>
      </c>
      <c r="E646" s="1" t="s">
        <v>1362</v>
      </c>
      <c r="F646" s="1" t="s">
        <v>934</v>
      </c>
      <c r="G646" s="1" t="s">
        <v>2384</v>
      </c>
      <c r="H646" s="1" t="s">
        <v>904</v>
      </c>
      <c r="I646" s="1" t="s">
        <v>1573</v>
      </c>
      <c r="J646" s="1" t="s">
        <v>934</v>
      </c>
      <c r="K646" s="1" t="s">
        <v>943</v>
      </c>
      <c r="L646" s="1" t="s">
        <v>2713</v>
      </c>
      <c r="M646" s="1" t="s">
        <v>1101</v>
      </c>
      <c r="N646">
        <f>_xlfn.NUMBERVALUE(LEFT(Table11[[#This Row],[Score]],FIND("/",Table11[[#This Row],[Score]])-1))</f>
        <v>128</v>
      </c>
      <c r="O646">
        <f>IFERROR(_xlfn.NUMBERVALUE(LEFT(Table11[[#This Row],[Score2 ]],FIND("/",Table11[[#This Row],[Score2 ]])-1)),"")</f>
        <v>145</v>
      </c>
      <c r="P646" t="s">
        <v>164</v>
      </c>
      <c r="Q646" s="1" t="s">
        <v>158</v>
      </c>
      <c r="R646" t="str">
        <f>Table11[[#This Row],[Match]]&amp;" "&amp;Table11[[#This Row],[Over]]</f>
        <v>8 28</v>
      </c>
    </row>
    <row r="647" spans="1:18" x14ac:dyDescent="0.3">
      <c r="A647">
        <v>8</v>
      </c>
      <c r="B647" s="1">
        <v>29</v>
      </c>
      <c r="C647" s="1" t="s">
        <v>2714</v>
      </c>
      <c r="D647" s="1" t="s">
        <v>898</v>
      </c>
      <c r="E647" s="1" t="s">
        <v>1759</v>
      </c>
      <c r="F647" s="1" t="s">
        <v>1093</v>
      </c>
      <c r="G647" s="1" t="s">
        <v>2715</v>
      </c>
      <c r="H647" s="1" t="s">
        <v>947</v>
      </c>
      <c r="I647" s="1" t="s">
        <v>2257</v>
      </c>
      <c r="J647" s="1" t="s">
        <v>960</v>
      </c>
      <c r="K647" s="1" t="s">
        <v>2440</v>
      </c>
      <c r="L647" s="1" t="s">
        <v>1101</v>
      </c>
      <c r="M647" s="1" t="s">
        <v>1108</v>
      </c>
      <c r="N647">
        <f>_xlfn.NUMBERVALUE(LEFT(Table11[[#This Row],[Score]],FIND("/",Table11[[#This Row],[Score]])-1))</f>
        <v>130</v>
      </c>
      <c r="O647">
        <f>IFERROR(_xlfn.NUMBERVALUE(LEFT(Table11[[#This Row],[Score2 ]],FIND("/",Table11[[#This Row],[Score2 ]])-1)),"")</f>
        <v>154</v>
      </c>
      <c r="P647" t="s">
        <v>164</v>
      </c>
      <c r="Q647" s="1" t="s">
        <v>158</v>
      </c>
      <c r="R647" t="str">
        <f>Table11[[#This Row],[Match]]&amp;" "&amp;Table11[[#This Row],[Over]]</f>
        <v>8 29</v>
      </c>
    </row>
    <row r="648" spans="1:18" x14ac:dyDescent="0.3">
      <c r="A648">
        <v>8</v>
      </c>
      <c r="B648" s="1">
        <v>30</v>
      </c>
      <c r="C648" s="1" t="s">
        <v>2716</v>
      </c>
      <c r="D648" s="1" t="s">
        <v>998</v>
      </c>
      <c r="E648" s="1" t="s">
        <v>1001</v>
      </c>
      <c r="F648" s="1" t="s">
        <v>969</v>
      </c>
      <c r="G648" s="1" t="s">
        <v>2717</v>
      </c>
      <c r="H648" s="1" t="s">
        <v>904</v>
      </c>
      <c r="I648" s="1" t="s">
        <v>2718</v>
      </c>
      <c r="J648" s="1" t="s">
        <v>970</v>
      </c>
      <c r="K648" s="1" t="s">
        <v>2454</v>
      </c>
      <c r="L648" s="1" t="s">
        <v>2061</v>
      </c>
      <c r="M648" s="1" t="s">
        <v>1113</v>
      </c>
      <c r="N648">
        <f>_xlfn.NUMBERVALUE(LEFT(Table11[[#This Row],[Score]],FIND("/",Table11[[#This Row],[Score]])-1))</f>
        <v>134</v>
      </c>
      <c r="O648">
        <f>IFERROR(_xlfn.NUMBERVALUE(LEFT(Table11[[#This Row],[Score2 ]],FIND("/",Table11[[#This Row],[Score2 ]])-1)),"")</f>
        <v>157</v>
      </c>
      <c r="P648" t="s">
        <v>164</v>
      </c>
      <c r="Q648" s="1" t="s">
        <v>158</v>
      </c>
      <c r="R648" t="str">
        <f>Table11[[#This Row],[Match]]&amp;" "&amp;Table11[[#This Row],[Over]]</f>
        <v>8 30</v>
      </c>
    </row>
    <row r="649" spans="1:18" x14ac:dyDescent="0.3">
      <c r="A649">
        <v>8</v>
      </c>
      <c r="B649" s="1">
        <v>31</v>
      </c>
      <c r="C649" s="1" t="s">
        <v>1343</v>
      </c>
      <c r="D649" s="1" t="s">
        <v>1007</v>
      </c>
      <c r="E649" s="1" t="s">
        <v>1118</v>
      </c>
      <c r="F649" s="1" t="s">
        <v>990</v>
      </c>
      <c r="G649" s="1" t="s">
        <v>2390</v>
      </c>
      <c r="H649" s="1" t="s">
        <v>930</v>
      </c>
      <c r="I649" s="1" t="s">
        <v>2719</v>
      </c>
      <c r="J649" s="1" t="s">
        <v>960</v>
      </c>
      <c r="K649" s="1" t="s">
        <v>2720</v>
      </c>
      <c r="L649" s="1" t="s">
        <v>2721</v>
      </c>
      <c r="M649" s="1" t="s">
        <v>1121</v>
      </c>
      <c r="N649">
        <f>_xlfn.NUMBERVALUE(LEFT(Table11[[#This Row],[Score]],FIND("/",Table11[[#This Row],[Score]])-1))</f>
        <v>134</v>
      </c>
      <c r="O649">
        <f>IFERROR(_xlfn.NUMBERVALUE(LEFT(Table11[[#This Row],[Score2 ]],FIND("/",Table11[[#This Row],[Score2 ]])-1)),"")</f>
        <v>165</v>
      </c>
      <c r="P649" t="s">
        <v>164</v>
      </c>
      <c r="Q649" s="1" t="s">
        <v>158</v>
      </c>
      <c r="R649" t="str">
        <f>Table11[[#This Row],[Match]]&amp;" "&amp;Table11[[#This Row],[Over]]</f>
        <v>8 31</v>
      </c>
    </row>
    <row r="650" spans="1:18" x14ac:dyDescent="0.3">
      <c r="A650">
        <v>8</v>
      </c>
      <c r="B650" s="1">
        <v>32</v>
      </c>
      <c r="C650" s="1" t="s">
        <v>1347</v>
      </c>
      <c r="D650" s="1" t="s">
        <v>930</v>
      </c>
      <c r="E650" s="1" t="s">
        <v>1999</v>
      </c>
      <c r="F650" s="1" t="s">
        <v>939</v>
      </c>
      <c r="G650" s="1" t="s">
        <v>2722</v>
      </c>
      <c r="H650" s="1" t="s">
        <v>898</v>
      </c>
      <c r="I650" s="1" t="s">
        <v>2449</v>
      </c>
      <c r="J650" s="1" t="s">
        <v>969</v>
      </c>
      <c r="K650" s="1" t="s">
        <v>1754</v>
      </c>
      <c r="L650" s="1" t="s">
        <v>2484</v>
      </c>
      <c r="M650" s="1" t="s">
        <v>1127</v>
      </c>
      <c r="N650">
        <f>_xlfn.NUMBERVALUE(LEFT(Table11[[#This Row],[Score]],FIND("/",Table11[[#This Row],[Score]])-1))</f>
        <v>142</v>
      </c>
      <c r="O650">
        <f>IFERROR(_xlfn.NUMBERVALUE(LEFT(Table11[[#This Row],[Score2 ]],FIND("/",Table11[[#This Row],[Score2 ]])-1)),"")</f>
        <v>167</v>
      </c>
      <c r="P650" t="s">
        <v>164</v>
      </c>
      <c r="Q650" s="1" t="s">
        <v>158</v>
      </c>
      <c r="R650" t="str">
        <f>Table11[[#This Row],[Match]]&amp;" "&amp;Table11[[#This Row],[Over]]</f>
        <v>8 32</v>
      </c>
    </row>
    <row r="651" spans="1:18" x14ac:dyDescent="0.3">
      <c r="A651">
        <v>8</v>
      </c>
      <c r="B651" s="1">
        <v>33</v>
      </c>
      <c r="C651" s="1" t="s">
        <v>2381</v>
      </c>
      <c r="D651" s="1" t="s">
        <v>968</v>
      </c>
      <c r="E651" s="1" t="s">
        <v>989</v>
      </c>
      <c r="F651" s="1" t="s">
        <v>1238</v>
      </c>
      <c r="G651" s="1" t="s">
        <v>2723</v>
      </c>
      <c r="H651" s="1" t="s">
        <v>904</v>
      </c>
      <c r="I651" s="1" t="s">
        <v>1085</v>
      </c>
      <c r="J651" s="1" t="s">
        <v>969</v>
      </c>
      <c r="K651" s="1" t="s">
        <v>1803</v>
      </c>
      <c r="L651" s="1" t="s">
        <v>1774</v>
      </c>
      <c r="M651" s="1" t="s">
        <v>1132</v>
      </c>
      <c r="N651">
        <f>_xlfn.NUMBERVALUE(LEFT(Table11[[#This Row],[Score]],FIND("/",Table11[[#This Row],[Score]])-1))</f>
        <v>143</v>
      </c>
      <c r="O651">
        <f>IFERROR(_xlfn.NUMBERVALUE(LEFT(Table11[[#This Row],[Score2 ]],FIND("/",Table11[[#This Row],[Score2 ]])-1)),"")</f>
        <v>170</v>
      </c>
      <c r="P651" t="s">
        <v>164</v>
      </c>
      <c r="Q651" s="1" t="s">
        <v>158</v>
      </c>
      <c r="R651" t="str">
        <f>Table11[[#This Row],[Match]]&amp;" "&amp;Table11[[#This Row],[Over]]</f>
        <v>8 33</v>
      </c>
    </row>
    <row r="652" spans="1:18" x14ac:dyDescent="0.3">
      <c r="A652">
        <v>8</v>
      </c>
      <c r="B652" s="1">
        <v>34</v>
      </c>
      <c r="C652" s="1" t="s">
        <v>2715</v>
      </c>
      <c r="D652" s="1" t="s">
        <v>1051</v>
      </c>
      <c r="E652" s="1" t="s">
        <v>1552</v>
      </c>
      <c r="F652" s="1" t="s">
        <v>1093</v>
      </c>
      <c r="G652" s="1" t="s">
        <v>2724</v>
      </c>
      <c r="H652" s="1" t="s">
        <v>950</v>
      </c>
      <c r="I652" s="1" t="s">
        <v>1092</v>
      </c>
      <c r="J652" s="1" t="s">
        <v>931</v>
      </c>
      <c r="K652" s="1" t="s">
        <v>1036</v>
      </c>
      <c r="L652" s="1" t="s">
        <v>2073</v>
      </c>
      <c r="M652" s="1" t="s">
        <v>1138</v>
      </c>
      <c r="N652">
        <f>_xlfn.NUMBERVALUE(LEFT(Table11[[#This Row],[Score]],FIND("/",Table11[[#This Row],[Score]])-1))</f>
        <v>154</v>
      </c>
      <c r="O652">
        <f>IFERROR(_xlfn.NUMBERVALUE(LEFT(Table11[[#This Row],[Score2 ]],FIND("/",Table11[[#This Row],[Score2 ]])-1)),"")</f>
        <v>175</v>
      </c>
      <c r="P652" t="s">
        <v>164</v>
      </c>
      <c r="Q652" s="1" t="s">
        <v>158</v>
      </c>
      <c r="R652" t="str">
        <f>Table11[[#This Row],[Match]]&amp;" "&amp;Table11[[#This Row],[Over]]</f>
        <v>8 34</v>
      </c>
    </row>
    <row r="653" spans="1:18" x14ac:dyDescent="0.3">
      <c r="A653">
        <v>8</v>
      </c>
      <c r="B653" s="1">
        <v>35</v>
      </c>
      <c r="C653" s="1" t="s">
        <v>2654</v>
      </c>
      <c r="D653" s="1" t="s">
        <v>898</v>
      </c>
      <c r="E653" s="1" t="s">
        <v>1060</v>
      </c>
      <c r="F653" s="1" t="s">
        <v>940</v>
      </c>
      <c r="G653" s="1" t="s">
        <v>2725</v>
      </c>
      <c r="H653" s="1" t="s">
        <v>898</v>
      </c>
      <c r="I653" s="1" t="s">
        <v>1365</v>
      </c>
      <c r="J653" s="1" t="s">
        <v>939</v>
      </c>
      <c r="K653" s="1" t="s">
        <v>2726</v>
      </c>
      <c r="L653" s="1" t="s">
        <v>2727</v>
      </c>
      <c r="M653" s="1" t="s">
        <v>1143</v>
      </c>
      <c r="N653">
        <f>_xlfn.NUMBERVALUE(LEFT(Table11[[#This Row],[Score]],FIND("/",Table11[[#This Row],[Score]])-1))</f>
        <v>156</v>
      </c>
      <c r="O653">
        <f>IFERROR(_xlfn.NUMBERVALUE(LEFT(Table11[[#This Row],[Score2 ]],FIND("/",Table11[[#This Row],[Score2 ]])-1)),"")</f>
        <v>177</v>
      </c>
      <c r="P653" t="s">
        <v>164</v>
      </c>
      <c r="Q653" s="1" t="s">
        <v>158</v>
      </c>
      <c r="R653" t="str">
        <f>Table11[[#This Row],[Match]]&amp;" "&amp;Table11[[#This Row],[Over]]</f>
        <v>8 35</v>
      </c>
    </row>
    <row r="654" spans="1:18" x14ac:dyDescent="0.3">
      <c r="A654">
        <v>8</v>
      </c>
      <c r="B654" s="1">
        <v>36</v>
      </c>
      <c r="C654" s="1" t="s">
        <v>2390</v>
      </c>
      <c r="D654" s="1" t="s">
        <v>947</v>
      </c>
      <c r="E654" s="1" t="s">
        <v>1786</v>
      </c>
      <c r="F654" s="1" t="s">
        <v>970</v>
      </c>
      <c r="G654" s="1" t="s">
        <v>2728</v>
      </c>
      <c r="H654" s="1" t="s">
        <v>922</v>
      </c>
      <c r="I654" s="1" t="s">
        <v>1657</v>
      </c>
      <c r="J654" s="1" t="s">
        <v>977</v>
      </c>
      <c r="K654" s="1" t="s">
        <v>2729</v>
      </c>
      <c r="L654" s="1" t="s">
        <v>2399</v>
      </c>
      <c r="M654" s="1" t="s">
        <v>1150</v>
      </c>
      <c r="N654">
        <f>_xlfn.NUMBERVALUE(LEFT(Table11[[#This Row],[Score]],FIND("/",Table11[[#This Row],[Score]])-1))</f>
        <v>165</v>
      </c>
      <c r="O654">
        <f>IFERROR(_xlfn.NUMBERVALUE(LEFT(Table11[[#This Row],[Score2 ]],FIND("/",Table11[[#This Row],[Score2 ]])-1)),"")</f>
        <v>183</v>
      </c>
      <c r="P654" t="s">
        <v>164</v>
      </c>
      <c r="Q654" s="1" t="s">
        <v>158</v>
      </c>
      <c r="R654" t="str">
        <f>Table11[[#This Row],[Match]]&amp;" "&amp;Table11[[#This Row],[Over]]</f>
        <v>8 36</v>
      </c>
    </row>
    <row r="655" spans="1:18" x14ac:dyDescent="0.3">
      <c r="A655">
        <v>8</v>
      </c>
      <c r="B655" s="1">
        <v>37</v>
      </c>
      <c r="C655" s="1" t="s">
        <v>2392</v>
      </c>
      <c r="D655" s="1" t="s">
        <v>947</v>
      </c>
      <c r="E655" s="1" t="s">
        <v>1321</v>
      </c>
      <c r="F655" s="1" t="s">
        <v>943</v>
      </c>
      <c r="G655" s="1" t="s">
        <v>2730</v>
      </c>
      <c r="H655" s="1" t="s">
        <v>930</v>
      </c>
      <c r="I655" s="1" t="s">
        <v>1587</v>
      </c>
      <c r="J655" s="1" t="s">
        <v>1093</v>
      </c>
      <c r="K655" s="1" t="s">
        <v>1745</v>
      </c>
      <c r="L655" s="1" t="s">
        <v>2537</v>
      </c>
      <c r="M655" s="1" t="s">
        <v>1156</v>
      </c>
      <c r="N655">
        <f>_xlfn.NUMBERVALUE(LEFT(Table11[[#This Row],[Score]],FIND("/",Table11[[#This Row],[Score]])-1))</f>
        <v>174</v>
      </c>
      <c r="O655">
        <f>IFERROR(_xlfn.NUMBERVALUE(LEFT(Table11[[#This Row],[Score2 ]],FIND("/",Table11[[#This Row],[Score2 ]])-1)),"")</f>
        <v>191</v>
      </c>
      <c r="P655" t="s">
        <v>164</v>
      </c>
      <c r="Q655" s="1" t="s">
        <v>158</v>
      </c>
      <c r="R655" t="str">
        <f>Table11[[#This Row],[Match]]&amp;" "&amp;Table11[[#This Row],[Over]]</f>
        <v>8 37</v>
      </c>
    </row>
    <row r="656" spans="1:18" x14ac:dyDescent="0.3">
      <c r="A656">
        <v>8</v>
      </c>
      <c r="B656" s="1">
        <v>38</v>
      </c>
      <c r="C656" s="1" t="s">
        <v>1562</v>
      </c>
      <c r="D656" s="1" t="s">
        <v>930</v>
      </c>
      <c r="E656" s="1" t="s">
        <v>1180</v>
      </c>
      <c r="F656" s="1" t="s">
        <v>1168</v>
      </c>
      <c r="G656" s="1" t="s">
        <v>2731</v>
      </c>
      <c r="H656" s="1" t="s">
        <v>947</v>
      </c>
      <c r="I656" s="1" t="s">
        <v>2178</v>
      </c>
      <c r="J656" s="1" t="s">
        <v>1019</v>
      </c>
      <c r="K656" s="1" t="s">
        <v>2112</v>
      </c>
      <c r="L656" s="1" t="s">
        <v>1204</v>
      </c>
      <c r="M656" s="1" t="s">
        <v>1164</v>
      </c>
      <c r="N656">
        <f>_xlfn.NUMBERVALUE(LEFT(Table11[[#This Row],[Score]],FIND("/",Table11[[#This Row],[Score]])-1))</f>
        <v>182</v>
      </c>
      <c r="O656">
        <f>IFERROR(_xlfn.NUMBERVALUE(LEFT(Table11[[#This Row],[Score2 ]],FIND("/",Table11[[#This Row],[Score2 ]])-1)),"")</f>
        <v>200</v>
      </c>
      <c r="P656" t="s">
        <v>164</v>
      </c>
      <c r="Q656" s="1" t="s">
        <v>158</v>
      </c>
      <c r="R656" t="str">
        <f>Table11[[#This Row],[Match]]&amp;" "&amp;Table11[[#This Row],[Over]]</f>
        <v>8 38</v>
      </c>
    </row>
    <row r="657" spans="1:18" x14ac:dyDescent="0.3">
      <c r="A657">
        <v>8</v>
      </c>
      <c r="B657" s="1">
        <v>39</v>
      </c>
      <c r="C657" s="1" t="s">
        <v>2156</v>
      </c>
      <c r="D657" s="1" t="s">
        <v>1051</v>
      </c>
      <c r="E657" s="1" t="s">
        <v>1033</v>
      </c>
      <c r="F657" s="1" t="s">
        <v>1168</v>
      </c>
      <c r="G657" s="1" t="s">
        <v>2732</v>
      </c>
      <c r="H657" s="1" t="s">
        <v>933</v>
      </c>
      <c r="I657" s="1" t="s">
        <v>1115</v>
      </c>
      <c r="J657" s="1" t="s">
        <v>1168</v>
      </c>
      <c r="K657" s="1" t="s">
        <v>2228</v>
      </c>
      <c r="L657" s="1" t="s">
        <v>1164</v>
      </c>
      <c r="M657" s="1" t="s">
        <v>1171</v>
      </c>
      <c r="N657">
        <f>_xlfn.NUMBERVALUE(LEFT(Table11[[#This Row],[Score]],FIND("/",Table11[[#This Row],[Score]])-1))</f>
        <v>193</v>
      </c>
      <c r="O657">
        <f>IFERROR(_xlfn.NUMBERVALUE(LEFT(Table11[[#This Row],[Score2 ]],FIND("/",Table11[[#This Row],[Score2 ]])-1)),"")</f>
        <v>214</v>
      </c>
      <c r="P657" t="s">
        <v>164</v>
      </c>
      <c r="Q657" s="1" t="s">
        <v>158</v>
      </c>
      <c r="R657" t="str">
        <f>Table11[[#This Row],[Match]]&amp;" "&amp;Table11[[#This Row],[Over]]</f>
        <v>8 39</v>
      </c>
    </row>
    <row r="658" spans="1:18" x14ac:dyDescent="0.3">
      <c r="A658">
        <v>8</v>
      </c>
      <c r="B658" s="1">
        <v>40</v>
      </c>
      <c r="C658" s="1" t="s">
        <v>1581</v>
      </c>
      <c r="D658" s="1" t="s">
        <v>1051</v>
      </c>
      <c r="E658" s="1" t="s">
        <v>1835</v>
      </c>
      <c r="F658" s="1" t="s">
        <v>1219</v>
      </c>
      <c r="G658" s="1" t="s">
        <v>1838</v>
      </c>
      <c r="H658" s="1" t="s">
        <v>930</v>
      </c>
      <c r="I658" s="1" t="s">
        <v>1682</v>
      </c>
      <c r="J658" s="1" t="s">
        <v>1161</v>
      </c>
      <c r="K658" s="1" t="s">
        <v>943</v>
      </c>
      <c r="L658" s="1" t="s">
        <v>1805</v>
      </c>
      <c r="M658" s="1" t="s">
        <v>1177</v>
      </c>
      <c r="N658">
        <f>_xlfn.NUMBERVALUE(LEFT(Table11[[#This Row],[Score]],FIND("/",Table11[[#This Row],[Score]])-1))</f>
        <v>204</v>
      </c>
      <c r="O658">
        <f>IFERROR(_xlfn.NUMBERVALUE(LEFT(Table11[[#This Row],[Score2 ]],FIND("/",Table11[[#This Row],[Score2 ]])-1)),"")</f>
        <v>222</v>
      </c>
      <c r="P658" t="s">
        <v>164</v>
      </c>
      <c r="Q658" s="1" t="s">
        <v>158</v>
      </c>
      <c r="R658" t="str">
        <f>Table11[[#This Row],[Match]]&amp;" "&amp;Table11[[#This Row],[Over]]</f>
        <v>8 40</v>
      </c>
    </row>
    <row r="659" spans="1:18" x14ac:dyDescent="0.3">
      <c r="A659">
        <v>8</v>
      </c>
      <c r="B659" s="1">
        <v>41</v>
      </c>
      <c r="C659" s="1" t="s">
        <v>2400</v>
      </c>
      <c r="D659" s="1" t="s">
        <v>1095</v>
      </c>
      <c r="E659" s="1" t="s">
        <v>2449</v>
      </c>
      <c r="F659" s="1" t="s">
        <v>1141</v>
      </c>
      <c r="G659" s="1" t="s">
        <v>1584</v>
      </c>
      <c r="H659" s="1" t="s">
        <v>1566</v>
      </c>
      <c r="I659" s="1" t="s">
        <v>2375</v>
      </c>
      <c r="J659" s="1" t="s">
        <v>1207</v>
      </c>
      <c r="K659" s="1" t="s">
        <v>1058</v>
      </c>
      <c r="L659" s="1" t="s">
        <v>2733</v>
      </c>
      <c r="M659" s="1" t="s">
        <v>1183</v>
      </c>
      <c r="N659">
        <f>_xlfn.NUMBERVALUE(LEFT(Table11[[#This Row],[Score]],FIND("/",Table11[[#This Row],[Score]])-1))</f>
        <v>214</v>
      </c>
      <c r="O659">
        <f>IFERROR(_xlfn.NUMBERVALUE(LEFT(Table11[[#This Row],[Score2 ]],FIND("/",Table11[[#This Row],[Score2 ]])-1)),"")</f>
        <v>239</v>
      </c>
      <c r="P659" t="s">
        <v>164</v>
      </c>
      <c r="Q659" s="1" t="s">
        <v>158</v>
      </c>
      <c r="R659" t="str">
        <f>Table11[[#This Row],[Match]]&amp;" "&amp;Table11[[#This Row],[Over]]</f>
        <v>8 41</v>
      </c>
    </row>
    <row r="660" spans="1:18" x14ac:dyDescent="0.3">
      <c r="A660">
        <v>8</v>
      </c>
      <c r="B660" s="1">
        <v>42</v>
      </c>
      <c r="C660" s="1" t="s">
        <v>2734</v>
      </c>
      <c r="D660" s="1" t="s">
        <v>998</v>
      </c>
      <c r="E660" s="1" t="s">
        <v>1052</v>
      </c>
      <c r="F660" s="1" t="s">
        <v>1154</v>
      </c>
      <c r="G660" s="1" t="s">
        <v>1590</v>
      </c>
      <c r="H660" s="1" t="s">
        <v>898</v>
      </c>
      <c r="I660" s="1" t="s">
        <v>2143</v>
      </c>
      <c r="J660" s="1" t="s">
        <v>2055</v>
      </c>
      <c r="K660" s="1" t="s">
        <v>2268</v>
      </c>
      <c r="L660" s="1" t="s">
        <v>1927</v>
      </c>
      <c r="M660" s="1" t="s">
        <v>1190</v>
      </c>
      <c r="N660">
        <f>_xlfn.NUMBERVALUE(LEFT(Table11[[#This Row],[Score]],FIND("/",Table11[[#This Row],[Score]])-1))</f>
        <v>218</v>
      </c>
      <c r="O660">
        <f>IFERROR(_xlfn.NUMBERVALUE(LEFT(Table11[[#This Row],[Score2 ]],FIND("/",Table11[[#This Row],[Score2 ]])-1)),"")</f>
        <v>241</v>
      </c>
      <c r="P660" t="s">
        <v>164</v>
      </c>
      <c r="Q660" s="1" t="s">
        <v>158</v>
      </c>
      <c r="R660" t="str">
        <f>Table11[[#This Row],[Match]]&amp;" "&amp;Table11[[#This Row],[Over]]</f>
        <v>8 42</v>
      </c>
    </row>
    <row r="661" spans="1:18" x14ac:dyDescent="0.3">
      <c r="A661">
        <v>8</v>
      </c>
      <c r="B661" s="1">
        <v>43</v>
      </c>
      <c r="C661" s="1" t="s">
        <v>2735</v>
      </c>
      <c r="D661" s="1" t="s">
        <v>947</v>
      </c>
      <c r="E661" s="1" t="s">
        <v>1593</v>
      </c>
      <c r="F661" s="1" t="s">
        <v>1161</v>
      </c>
      <c r="G661" s="1" t="s">
        <v>2736</v>
      </c>
      <c r="H661" s="1" t="s">
        <v>947</v>
      </c>
      <c r="I661" s="1" t="s">
        <v>1420</v>
      </c>
      <c r="J661" s="1" t="s">
        <v>2055</v>
      </c>
      <c r="K661" s="1" t="s">
        <v>1092</v>
      </c>
      <c r="L661" s="1" t="s">
        <v>1205</v>
      </c>
      <c r="M661" s="1" t="s">
        <v>1197</v>
      </c>
      <c r="N661">
        <f>_xlfn.NUMBERVALUE(LEFT(Table11[[#This Row],[Score]],FIND("/",Table11[[#This Row],[Score]])-1))</f>
        <v>227</v>
      </c>
      <c r="O661">
        <f>IFERROR(_xlfn.NUMBERVALUE(LEFT(Table11[[#This Row],[Score2 ]],FIND("/",Table11[[#This Row],[Score2 ]])-1)),"")</f>
        <v>250</v>
      </c>
      <c r="P661" t="s">
        <v>164</v>
      </c>
      <c r="Q661" s="1" t="s">
        <v>158</v>
      </c>
      <c r="R661" t="str">
        <f>Table11[[#This Row],[Match]]&amp;" "&amp;Table11[[#This Row],[Over]]</f>
        <v>8 43</v>
      </c>
    </row>
    <row r="662" spans="1:18" x14ac:dyDescent="0.3">
      <c r="A662">
        <v>8</v>
      </c>
      <c r="B662" s="1">
        <v>44</v>
      </c>
      <c r="C662" s="1" t="s">
        <v>2737</v>
      </c>
      <c r="D662" s="1" t="s">
        <v>950</v>
      </c>
      <c r="E662" s="1" t="s">
        <v>1593</v>
      </c>
      <c r="F662" s="1" t="s">
        <v>1168</v>
      </c>
      <c r="G662" s="1" t="s">
        <v>2738</v>
      </c>
      <c r="H662" s="1" t="s">
        <v>968</v>
      </c>
      <c r="I662" s="1" t="s">
        <v>2362</v>
      </c>
      <c r="J662" s="1" t="s">
        <v>1068</v>
      </c>
      <c r="K662" s="1" t="s">
        <v>1404</v>
      </c>
      <c r="L662" s="1" t="s">
        <v>1932</v>
      </c>
      <c r="M662" s="1" t="s">
        <v>1205</v>
      </c>
      <c r="N662">
        <f>_xlfn.NUMBERVALUE(LEFT(Table11[[#This Row],[Score]],FIND("/",Table11[[#This Row],[Score]])-1))</f>
        <v>232</v>
      </c>
      <c r="O662">
        <f>IFERROR(_xlfn.NUMBERVALUE(LEFT(Table11[[#This Row],[Score2 ]],FIND("/",Table11[[#This Row],[Score2 ]])-1)),"")</f>
        <v>251</v>
      </c>
      <c r="P662" t="s">
        <v>164</v>
      </c>
      <c r="Q662" s="1" t="s">
        <v>158</v>
      </c>
      <c r="R662" t="str">
        <f>Table11[[#This Row],[Match]]&amp;" "&amp;Table11[[#This Row],[Over]]</f>
        <v>8 44</v>
      </c>
    </row>
    <row r="663" spans="1:18" x14ac:dyDescent="0.3">
      <c r="A663">
        <v>8</v>
      </c>
      <c r="B663" s="1">
        <v>45</v>
      </c>
      <c r="C663" s="1" t="s">
        <v>2739</v>
      </c>
      <c r="D663" s="1" t="s">
        <v>968</v>
      </c>
      <c r="E663" s="1" t="s">
        <v>1573</v>
      </c>
      <c r="F663" s="1" t="s">
        <v>1013</v>
      </c>
      <c r="G663" s="1" t="s">
        <v>2740</v>
      </c>
      <c r="H663" s="1" t="s">
        <v>998</v>
      </c>
      <c r="I663" s="1" t="s">
        <v>942</v>
      </c>
      <c r="J663" s="1" t="s">
        <v>960</v>
      </c>
      <c r="K663" s="1" t="s">
        <v>970</v>
      </c>
      <c r="L663" s="1" t="s">
        <v>1666</v>
      </c>
      <c r="M663" s="1" t="s">
        <v>1211</v>
      </c>
      <c r="N663">
        <f>_xlfn.NUMBERVALUE(LEFT(Table11[[#This Row],[Score]],FIND("/",Table11[[#This Row],[Score]])-1))</f>
        <v>233</v>
      </c>
      <c r="O663">
        <f>IFERROR(_xlfn.NUMBERVALUE(LEFT(Table11[[#This Row],[Score2 ]],FIND("/",Table11[[#This Row],[Score2 ]])-1)),"")</f>
        <v>255</v>
      </c>
      <c r="P663" t="s">
        <v>164</v>
      </c>
      <c r="Q663" s="1" t="s">
        <v>158</v>
      </c>
      <c r="R663" t="str">
        <f>Table11[[#This Row],[Match]]&amp;" "&amp;Table11[[#This Row],[Over]]</f>
        <v>8 45</v>
      </c>
    </row>
    <row r="664" spans="1:18" x14ac:dyDescent="0.3">
      <c r="A664">
        <v>8</v>
      </c>
      <c r="B664" s="1">
        <v>46</v>
      </c>
      <c r="C664" s="1" t="s">
        <v>2741</v>
      </c>
      <c r="D664" s="1" t="s">
        <v>1390</v>
      </c>
      <c r="E664" s="1" t="s">
        <v>2685</v>
      </c>
      <c r="F664" s="1" t="s">
        <v>943</v>
      </c>
      <c r="G664" s="1" t="s">
        <v>2742</v>
      </c>
      <c r="H664" s="1" t="s">
        <v>930</v>
      </c>
      <c r="I664" s="1" t="s">
        <v>2153</v>
      </c>
      <c r="J664" s="1" t="s">
        <v>1093</v>
      </c>
      <c r="K664" s="1" t="s">
        <v>1601</v>
      </c>
      <c r="L664" s="1" t="s">
        <v>1698</v>
      </c>
      <c r="M664" s="1" t="s">
        <v>1216</v>
      </c>
      <c r="N664">
        <f>_xlfn.NUMBERVALUE(LEFT(Table11[[#This Row],[Score]],FIND("/",Table11[[#This Row],[Score]])-1))</f>
        <v>246</v>
      </c>
      <c r="O664">
        <f>IFERROR(_xlfn.NUMBERVALUE(LEFT(Table11[[#This Row],[Score2 ]],FIND("/",Table11[[#This Row],[Score2 ]])-1)),"")</f>
        <v>263</v>
      </c>
      <c r="P664" t="s">
        <v>164</v>
      </c>
      <c r="Q664" s="1" t="s">
        <v>158</v>
      </c>
      <c r="R664" t="str">
        <f>Table11[[#This Row],[Match]]&amp;" "&amp;Table11[[#This Row],[Over]]</f>
        <v>8 46</v>
      </c>
    </row>
    <row r="665" spans="1:18" x14ac:dyDescent="0.3">
      <c r="A665">
        <v>8</v>
      </c>
      <c r="B665" s="1">
        <v>47</v>
      </c>
      <c r="C665" s="1" t="s">
        <v>2743</v>
      </c>
      <c r="D665" s="1" t="s">
        <v>998</v>
      </c>
      <c r="E665" s="1" t="s">
        <v>2257</v>
      </c>
      <c r="F665" s="1" t="s">
        <v>943</v>
      </c>
      <c r="G665" s="1" t="s">
        <v>2744</v>
      </c>
      <c r="H665" s="1" t="s">
        <v>916</v>
      </c>
      <c r="I665" s="1" t="s">
        <v>2745</v>
      </c>
      <c r="J665" s="1" t="s">
        <v>1013</v>
      </c>
      <c r="K665" s="1" t="s">
        <v>2110</v>
      </c>
      <c r="L665" s="1" t="s">
        <v>1511</v>
      </c>
      <c r="M665" s="1" t="s">
        <v>1223</v>
      </c>
      <c r="N665">
        <f>_xlfn.NUMBERVALUE(LEFT(Table11[[#This Row],[Score]],FIND("/",Table11[[#This Row],[Score]])-1))</f>
        <v>250</v>
      </c>
      <c r="O665">
        <f>IFERROR(_xlfn.NUMBERVALUE(LEFT(Table11[[#This Row],[Score2 ]],FIND("/",Table11[[#This Row],[Score2 ]])-1)),"")</f>
        <v>270</v>
      </c>
      <c r="P665" t="s">
        <v>164</v>
      </c>
      <c r="Q665" s="1" t="s">
        <v>158</v>
      </c>
      <c r="R665" t="str">
        <f>Table11[[#This Row],[Match]]&amp;" "&amp;Table11[[#This Row],[Over]]</f>
        <v>8 47</v>
      </c>
    </row>
    <row r="666" spans="1:18" x14ac:dyDescent="0.3">
      <c r="A666">
        <v>8</v>
      </c>
      <c r="B666" s="1">
        <v>48</v>
      </c>
      <c r="C666" s="1" t="s">
        <v>2746</v>
      </c>
      <c r="D666" s="1" t="s">
        <v>998</v>
      </c>
      <c r="E666" s="1" t="s">
        <v>1072</v>
      </c>
      <c r="F666" s="1" t="s">
        <v>966</v>
      </c>
      <c r="G666" s="1" t="s">
        <v>2747</v>
      </c>
      <c r="H666" s="1" t="s">
        <v>1511</v>
      </c>
      <c r="I666" s="1" t="s">
        <v>1428</v>
      </c>
      <c r="J666" s="1" t="s">
        <v>1116</v>
      </c>
      <c r="K666" s="1" t="s">
        <v>348</v>
      </c>
      <c r="L666" s="1" t="s">
        <v>1007</v>
      </c>
      <c r="M666" s="1" t="s">
        <v>1103</v>
      </c>
      <c r="N666">
        <f>_xlfn.NUMBERVALUE(LEFT(Table11[[#This Row],[Score]],FIND("/",Table11[[#This Row],[Score]])-1))</f>
        <v>254</v>
      </c>
      <c r="O666">
        <f>IFERROR(_xlfn.NUMBERVALUE(LEFT(Table11[[#This Row],[Score2 ]],FIND("/",Table11[[#This Row],[Score2 ]])-1)),"")</f>
        <v>286</v>
      </c>
      <c r="P666" t="s">
        <v>164</v>
      </c>
      <c r="Q666" s="1" t="s">
        <v>158</v>
      </c>
      <c r="R666" t="str">
        <f>Table11[[#This Row],[Match]]&amp;" "&amp;Table11[[#This Row],[Over]]</f>
        <v>8 48</v>
      </c>
    </row>
    <row r="667" spans="1:18" x14ac:dyDescent="0.3">
      <c r="A667">
        <v>8</v>
      </c>
      <c r="B667" s="1">
        <v>49</v>
      </c>
      <c r="C667" s="1" t="s">
        <v>2748</v>
      </c>
      <c r="D667" s="1" t="s">
        <v>1670</v>
      </c>
      <c r="E667" s="1" t="s">
        <v>1185</v>
      </c>
      <c r="F667" s="1" t="s">
        <v>1335</v>
      </c>
      <c r="N667">
        <f>_xlfn.NUMBERVALUE(LEFT(Table11[[#This Row],[Score]],FIND("/",Table11[[#This Row],[Score]])-1))</f>
        <v>274</v>
      </c>
      <c r="O667" t="str">
        <f>IFERROR(_xlfn.NUMBERVALUE(LEFT(Table11[[#This Row],[Score2 ]],FIND("/",Table11[[#This Row],[Score2 ]])-1)),"")</f>
        <v/>
      </c>
      <c r="P667" t="s">
        <v>164</v>
      </c>
      <c r="Q667" s="1" t="s">
        <v>158</v>
      </c>
      <c r="R667" t="str">
        <f>Table11[[#This Row],[Match]]&amp;" "&amp;Table11[[#This Row],[Over]]</f>
        <v>8 49</v>
      </c>
    </row>
    <row r="668" spans="1:18" x14ac:dyDescent="0.3">
      <c r="A668">
        <v>8</v>
      </c>
      <c r="B668" s="1">
        <v>50</v>
      </c>
      <c r="C668" s="1" t="s">
        <v>2749</v>
      </c>
      <c r="D668" s="1" t="s">
        <v>1051</v>
      </c>
      <c r="E668" s="1" t="s">
        <v>2362</v>
      </c>
      <c r="F668" s="1" t="s">
        <v>1409</v>
      </c>
      <c r="N668">
        <f>_xlfn.NUMBERVALUE(LEFT(Table11[[#This Row],[Score]],FIND("/",Table11[[#This Row],[Score]])-1))</f>
        <v>285</v>
      </c>
      <c r="O668" t="str">
        <f>IFERROR(_xlfn.NUMBERVALUE(LEFT(Table11[[#This Row],[Score2 ]],FIND("/",Table11[[#This Row],[Score2 ]])-1)),"")</f>
        <v/>
      </c>
      <c r="P668" t="s">
        <v>164</v>
      </c>
      <c r="Q668" s="1" t="s">
        <v>158</v>
      </c>
      <c r="R668" t="str">
        <f>Table11[[#This Row],[Match]]&amp;" "&amp;Table11[[#This Row],[Over]]</f>
        <v>8 50</v>
      </c>
    </row>
    <row r="669" spans="1:18" x14ac:dyDescent="0.3">
      <c r="A669">
        <v>9</v>
      </c>
      <c r="B669" s="1">
        <v>1</v>
      </c>
      <c r="C669" s="1" t="s">
        <v>2686</v>
      </c>
      <c r="D669" s="1" t="s">
        <v>968</v>
      </c>
      <c r="E669" s="1" t="s">
        <v>1662</v>
      </c>
      <c r="F669" s="1" t="s">
        <v>348</v>
      </c>
      <c r="G669" s="1" t="s">
        <v>1235</v>
      </c>
      <c r="H669" s="1" t="s">
        <v>947</v>
      </c>
      <c r="I669" s="1" t="s">
        <v>1161</v>
      </c>
      <c r="J669" s="1" t="s">
        <v>348</v>
      </c>
      <c r="K669" s="1" t="s">
        <v>2750</v>
      </c>
      <c r="L669" s="1" t="s">
        <v>1880</v>
      </c>
      <c r="M669" s="1" t="s">
        <v>902</v>
      </c>
      <c r="N669">
        <f>_xlfn.NUMBERVALUE(LEFT(Table11[[#This Row],[Score]],FIND("/",Table11[[#This Row],[Score]])-1))</f>
        <v>1</v>
      </c>
      <c r="O669">
        <f>IFERROR(_xlfn.NUMBERVALUE(LEFT(Table11[[#This Row],[Score2 ]],FIND("/",Table11[[#This Row],[Score2 ]])-1)),"")</f>
        <v>9</v>
      </c>
      <c r="P669" t="s">
        <v>154</v>
      </c>
      <c r="Q669" s="1" t="s">
        <v>140</v>
      </c>
      <c r="R669" t="str">
        <f>Table11[[#This Row],[Match]]&amp;" "&amp;Table11[[#This Row],[Over]]</f>
        <v>9 1</v>
      </c>
    </row>
    <row r="670" spans="1:18" x14ac:dyDescent="0.3">
      <c r="A670">
        <v>9</v>
      </c>
      <c r="B670" s="1">
        <v>2</v>
      </c>
      <c r="C670" s="1" t="s">
        <v>906</v>
      </c>
      <c r="D670" s="1" t="s">
        <v>904</v>
      </c>
      <c r="E670" s="1" t="s">
        <v>899</v>
      </c>
      <c r="F670" s="1" t="s">
        <v>348</v>
      </c>
      <c r="G670" s="1" t="s">
        <v>1724</v>
      </c>
      <c r="H670" s="1" t="s">
        <v>1223</v>
      </c>
      <c r="I670" s="1" t="s">
        <v>2751</v>
      </c>
      <c r="J670" s="1" t="s">
        <v>348</v>
      </c>
      <c r="K670" s="1" t="s">
        <v>1623</v>
      </c>
      <c r="L670" s="1" t="s">
        <v>2752</v>
      </c>
      <c r="M670" s="1" t="s">
        <v>909</v>
      </c>
      <c r="N670">
        <f>_xlfn.NUMBERVALUE(LEFT(Table11[[#This Row],[Score]],FIND("/",Table11[[#This Row],[Score]])-1))</f>
        <v>4</v>
      </c>
      <c r="O670">
        <f>IFERROR(_xlfn.NUMBERVALUE(LEFT(Table11[[#This Row],[Score2 ]],FIND("/",Table11[[#This Row],[Score2 ]])-1)),"")</f>
        <v>27</v>
      </c>
      <c r="P670" t="s">
        <v>154</v>
      </c>
      <c r="Q670" s="1" t="s">
        <v>140</v>
      </c>
      <c r="R670" t="str">
        <f>Table11[[#This Row],[Match]]&amp;" "&amp;Table11[[#This Row],[Over]]</f>
        <v>9 2</v>
      </c>
    </row>
    <row r="671" spans="1:18" x14ac:dyDescent="0.3">
      <c r="A671">
        <v>9</v>
      </c>
      <c r="B671" s="1">
        <v>3</v>
      </c>
      <c r="C671" s="1" t="s">
        <v>915</v>
      </c>
      <c r="D671" s="1" t="s">
        <v>916</v>
      </c>
      <c r="E671" s="1" t="s">
        <v>917</v>
      </c>
      <c r="F671" s="1" t="s">
        <v>348</v>
      </c>
      <c r="G671" s="1" t="s">
        <v>2101</v>
      </c>
      <c r="H671" s="1" t="s">
        <v>1095</v>
      </c>
      <c r="I671" s="1" t="s">
        <v>2753</v>
      </c>
      <c r="J671" s="1" t="s">
        <v>348</v>
      </c>
      <c r="K671" s="1" t="s">
        <v>1431</v>
      </c>
      <c r="L671" s="1" t="s">
        <v>2540</v>
      </c>
      <c r="M671" s="1" t="s">
        <v>920</v>
      </c>
      <c r="N671">
        <f>_xlfn.NUMBERVALUE(LEFT(Table11[[#This Row],[Score]],FIND("/",Table11[[#This Row],[Score]])-1))</f>
        <v>11</v>
      </c>
      <c r="O671">
        <f>IFERROR(_xlfn.NUMBERVALUE(LEFT(Table11[[#This Row],[Score2 ]],FIND("/",Table11[[#This Row],[Score2 ]])-1)),"")</f>
        <v>37</v>
      </c>
      <c r="P671" t="s">
        <v>154</v>
      </c>
      <c r="Q671" s="1" t="s">
        <v>140</v>
      </c>
      <c r="R671" t="str">
        <f>Table11[[#This Row],[Match]]&amp;" "&amp;Table11[[#This Row],[Over]]</f>
        <v>9 3</v>
      </c>
    </row>
    <row r="672" spans="1:18" x14ac:dyDescent="0.3">
      <c r="A672">
        <v>9</v>
      </c>
      <c r="B672" s="1">
        <v>4</v>
      </c>
      <c r="C672" s="1" t="s">
        <v>2326</v>
      </c>
      <c r="D672" s="1" t="s">
        <v>916</v>
      </c>
      <c r="E672" s="1" t="s">
        <v>1021</v>
      </c>
      <c r="F672" s="1" t="s">
        <v>348</v>
      </c>
      <c r="G672" s="1" t="s">
        <v>1740</v>
      </c>
      <c r="H672" s="1" t="s">
        <v>1670</v>
      </c>
      <c r="I672" s="1" t="s">
        <v>2182</v>
      </c>
      <c r="J672" s="1" t="s">
        <v>348</v>
      </c>
      <c r="K672" s="1" t="s">
        <v>2754</v>
      </c>
      <c r="L672" s="1" t="s">
        <v>2495</v>
      </c>
      <c r="M672" s="1" t="s">
        <v>928</v>
      </c>
      <c r="N672">
        <f>_xlfn.NUMBERVALUE(LEFT(Table11[[#This Row],[Score]],FIND("/",Table11[[#This Row],[Score]])-1))</f>
        <v>18</v>
      </c>
      <c r="O672">
        <f>IFERROR(_xlfn.NUMBERVALUE(LEFT(Table11[[#This Row],[Score2 ]],FIND("/",Table11[[#This Row],[Score2 ]])-1)),"")</f>
        <v>57</v>
      </c>
      <c r="P672" t="s">
        <v>154</v>
      </c>
      <c r="Q672" s="1" t="s">
        <v>140</v>
      </c>
      <c r="R672" t="str">
        <f>Table11[[#This Row],[Match]]&amp;" "&amp;Table11[[#This Row],[Over]]</f>
        <v>9 4</v>
      </c>
    </row>
    <row r="673" spans="1:18" x14ac:dyDescent="0.3">
      <c r="A673">
        <v>9</v>
      </c>
      <c r="B673" s="1">
        <v>5</v>
      </c>
      <c r="C673" s="1" t="s">
        <v>2691</v>
      </c>
      <c r="D673" s="1" t="s">
        <v>1390</v>
      </c>
      <c r="E673" s="1" t="s">
        <v>970</v>
      </c>
      <c r="F673" s="1" t="s">
        <v>970</v>
      </c>
      <c r="G673" s="1" t="s">
        <v>2755</v>
      </c>
      <c r="H673" s="1" t="s">
        <v>1095</v>
      </c>
      <c r="I673" s="1" t="s">
        <v>2057</v>
      </c>
      <c r="J673" s="1" t="s">
        <v>2057</v>
      </c>
      <c r="K673" s="1" t="s">
        <v>1942</v>
      </c>
      <c r="L673" s="1" t="s">
        <v>1645</v>
      </c>
      <c r="M673" s="1" t="s">
        <v>937</v>
      </c>
      <c r="N673">
        <f>_xlfn.NUMBERVALUE(LEFT(Table11[[#This Row],[Score]],FIND("/",Table11[[#This Row],[Score]])-1))</f>
        <v>31</v>
      </c>
      <c r="O673">
        <f>IFERROR(_xlfn.NUMBERVALUE(LEFT(Table11[[#This Row],[Score2 ]],FIND("/",Table11[[#This Row],[Score2 ]])-1)),"")</f>
        <v>67</v>
      </c>
      <c r="P673" t="s">
        <v>154</v>
      </c>
      <c r="Q673" s="1" t="s">
        <v>140</v>
      </c>
      <c r="R673" t="str">
        <f>Table11[[#This Row],[Match]]&amp;" "&amp;Table11[[#This Row],[Over]]</f>
        <v>9 5</v>
      </c>
    </row>
    <row r="674" spans="1:18" x14ac:dyDescent="0.3">
      <c r="A674">
        <v>9</v>
      </c>
      <c r="B674" s="1">
        <v>6</v>
      </c>
      <c r="C674" s="1" t="s">
        <v>956</v>
      </c>
      <c r="D674" s="1" t="s">
        <v>998</v>
      </c>
      <c r="E674" s="1" t="s">
        <v>1404</v>
      </c>
      <c r="F674" s="1" t="s">
        <v>1053</v>
      </c>
      <c r="G674" s="1" t="s">
        <v>2756</v>
      </c>
      <c r="H674" s="1" t="s">
        <v>1712</v>
      </c>
      <c r="I674" s="1" t="s">
        <v>2757</v>
      </c>
      <c r="J674" s="1" t="s">
        <v>2758</v>
      </c>
      <c r="K674" s="1" t="s">
        <v>2759</v>
      </c>
      <c r="L674" s="1" t="s">
        <v>1709</v>
      </c>
      <c r="M674" s="1" t="s">
        <v>945</v>
      </c>
      <c r="N674">
        <f>_xlfn.NUMBERVALUE(LEFT(Table11[[#This Row],[Score]],FIND("/",Table11[[#This Row],[Score]])-1))</f>
        <v>35</v>
      </c>
      <c r="O674">
        <f>IFERROR(_xlfn.NUMBERVALUE(LEFT(Table11[[#This Row],[Score2 ]],FIND("/",Table11[[#This Row],[Score2 ]])-1)),"")</f>
        <v>96</v>
      </c>
      <c r="P674" t="s">
        <v>154</v>
      </c>
      <c r="Q674" s="1" t="s">
        <v>140</v>
      </c>
      <c r="R674" t="str">
        <f>Table11[[#This Row],[Match]]&amp;" "&amp;Table11[[#This Row],[Over]]</f>
        <v>9 6</v>
      </c>
    </row>
    <row r="675" spans="1:18" x14ac:dyDescent="0.3">
      <c r="A675">
        <v>9</v>
      </c>
      <c r="B675" s="1">
        <v>7</v>
      </c>
      <c r="C675" s="1" t="s">
        <v>2760</v>
      </c>
      <c r="D675" s="1" t="s">
        <v>968</v>
      </c>
      <c r="E675" s="1" t="s">
        <v>1092</v>
      </c>
      <c r="F675" s="1" t="s">
        <v>943</v>
      </c>
      <c r="G675" s="1" t="s">
        <v>2761</v>
      </c>
      <c r="H675" s="1" t="s">
        <v>947</v>
      </c>
      <c r="I675" s="1" t="s">
        <v>2762</v>
      </c>
      <c r="J675" s="1" t="s">
        <v>2412</v>
      </c>
      <c r="K675" s="1" t="s">
        <v>1674</v>
      </c>
      <c r="L675" s="1" t="s">
        <v>1684</v>
      </c>
      <c r="M675" s="1" t="s">
        <v>955</v>
      </c>
      <c r="N675">
        <f>_xlfn.NUMBERVALUE(LEFT(Table11[[#This Row],[Score]],FIND("/",Table11[[#This Row],[Score]])-1))</f>
        <v>36</v>
      </c>
      <c r="O675">
        <f>IFERROR(_xlfn.NUMBERVALUE(LEFT(Table11[[#This Row],[Score2 ]],FIND("/",Table11[[#This Row],[Score2 ]])-1)),"")</f>
        <v>105</v>
      </c>
      <c r="P675" t="s">
        <v>154</v>
      </c>
      <c r="Q675" s="1" t="s">
        <v>140</v>
      </c>
      <c r="R675" t="str">
        <f>Table11[[#This Row],[Match]]&amp;" "&amp;Table11[[#This Row],[Over]]</f>
        <v>9 7</v>
      </c>
    </row>
    <row r="676" spans="1:18" x14ac:dyDescent="0.3">
      <c r="A676">
        <v>9</v>
      </c>
      <c r="B676" s="1">
        <v>8</v>
      </c>
      <c r="C676" s="1" t="s">
        <v>1983</v>
      </c>
      <c r="D676" s="1" t="s">
        <v>904</v>
      </c>
      <c r="E676" s="1" t="s">
        <v>1357</v>
      </c>
      <c r="F676" s="1" t="s">
        <v>934</v>
      </c>
      <c r="G676" s="1" t="s">
        <v>1050</v>
      </c>
      <c r="H676" s="1" t="s">
        <v>998</v>
      </c>
      <c r="I676" s="1" t="s">
        <v>2763</v>
      </c>
      <c r="J676" s="1" t="s">
        <v>2764</v>
      </c>
      <c r="K676" s="1" t="s">
        <v>2765</v>
      </c>
      <c r="L676" s="1" t="s">
        <v>1147</v>
      </c>
      <c r="M676" s="1" t="s">
        <v>963</v>
      </c>
      <c r="N676">
        <f>_xlfn.NUMBERVALUE(LEFT(Table11[[#This Row],[Score]],FIND("/",Table11[[#This Row],[Score]])-1))</f>
        <v>39</v>
      </c>
      <c r="O676">
        <f>IFERROR(_xlfn.NUMBERVALUE(LEFT(Table11[[#This Row],[Score2 ]],FIND("/",Table11[[#This Row],[Score2 ]])-1)),"")</f>
        <v>109</v>
      </c>
      <c r="P676" t="s">
        <v>154</v>
      </c>
      <c r="Q676" s="1" t="s">
        <v>140</v>
      </c>
      <c r="R676" t="str">
        <f>Table11[[#This Row],[Match]]&amp;" "&amp;Table11[[#This Row],[Over]]</f>
        <v>9 8</v>
      </c>
    </row>
    <row r="677" spans="1:18" x14ac:dyDescent="0.3">
      <c r="A677">
        <v>9</v>
      </c>
      <c r="B677" s="1">
        <v>9</v>
      </c>
      <c r="C677" s="1" t="s">
        <v>2766</v>
      </c>
      <c r="D677" s="1" t="s">
        <v>904</v>
      </c>
      <c r="E677" s="1" t="s">
        <v>1975</v>
      </c>
      <c r="F677" s="1" t="s">
        <v>1093</v>
      </c>
      <c r="G677" s="1" t="s">
        <v>2122</v>
      </c>
      <c r="H677" s="1" t="s">
        <v>904</v>
      </c>
      <c r="I677" s="1" t="s">
        <v>2767</v>
      </c>
      <c r="J677" s="1" t="s">
        <v>1213</v>
      </c>
      <c r="K677" s="1" t="s">
        <v>2768</v>
      </c>
      <c r="L677" s="1" t="s">
        <v>1103</v>
      </c>
      <c r="M677" s="1" t="s">
        <v>973</v>
      </c>
      <c r="N677">
        <f>_xlfn.NUMBERVALUE(LEFT(Table11[[#This Row],[Score]],FIND("/",Table11[[#This Row],[Score]])-1))</f>
        <v>42</v>
      </c>
      <c r="O677">
        <f>IFERROR(_xlfn.NUMBERVALUE(LEFT(Table11[[#This Row],[Score2 ]],FIND("/",Table11[[#This Row],[Score2 ]])-1)),"")</f>
        <v>112</v>
      </c>
      <c r="P677" t="s">
        <v>154</v>
      </c>
      <c r="Q677" s="1" t="s">
        <v>140</v>
      </c>
      <c r="R677" t="str">
        <f>Table11[[#This Row],[Match]]&amp;" "&amp;Table11[[#This Row],[Over]]</f>
        <v>9 9</v>
      </c>
    </row>
    <row r="678" spans="1:18" x14ac:dyDescent="0.3">
      <c r="A678">
        <v>9</v>
      </c>
      <c r="B678" s="1">
        <v>10</v>
      </c>
      <c r="C678" s="1" t="s">
        <v>1272</v>
      </c>
      <c r="D678" s="1" t="s">
        <v>968</v>
      </c>
      <c r="E678" s="1" t="s">
        <v>999</v>
      </c>
      <c r="F678" s="1" t="s">
        <v>1088</v>
      </c>
      <c r="G678" s="1" t="s">
        <v>2769</v>
      </c>
      <c r="H678" s="1" t="s">
        <v>998</v>
      </c>
      <c r="I678" s="1" t="s">
        <v>1591</v>
      </c>
      <c r="J678" s="1" t="s">
        <v>1141</v>
      </c>
      <c r="K678" s="1" t="s">
        <v>2770</v>
      </c>
      <c r="L678" s="1" t="s">
        <v>930</v>
      </c>
      <c r="M678" s="1" t="s">
        <v>980</v>
      </c>
      <c r="N678">
        <f>_xlfn.NUMBERVALUE(LEFT(Table11[[#This Row],[Score]],FIND("/",Table11[[#This Row],[Score]])-1))</f>
        <v>43</v>
      </c>
      <c r="O678">
        <f>IFERROR(_xlfn.NUMBERVALUE(LEFT(Table11[[#This Row],[Score2 ]],FIND("/",Table11[[#This Row],[Score2 ]])-1)),"")</f>
        <v>116</v>
      </c>
      <c r="P678" t="s">
        <v>154</v>
      </c>
      <c r="Q678" s="1" t="s">
        <v>140</v>
      </c>
      <c r="R678" t="str">
        <f>Table11[[#This Row],[Match]]&amp;" "&amp;Table11[[#This Row],[Over]]</f>
        <v>9 10</v>
      </c>
    </row>
    <row r="679" spans="1:18" x14ac:dyDescent="0.3">
      <c r="A679">
        <v>9</v>
      </c>
      <c r="B679" s="1">
        <v>11</v>
      </c>
      <c r="C679" s="1" t="s">
        <v>1987</v>
      </c>
      <c r="D679" s="1" t="s">
        <v>904</v>
      </c>
      <c r="E679" s="1" t="s">
        <v>1292</v>
      </c>
      <c r="F679" s="1" t="s">
        <v>1383</v>
      </c>
      <c r="G679" s="1" t="s">
        <v>2771</v>
      </c>
      <c r="H679" s="1" t="s">
        <v>904</v>
      </c>
      <c r="I679" s="1" t="s">
        <v>2772</v>
      </c>
      <c r="J679" s="1" t="s">
        <v>976</v>
      </c>
      <c r="K679" s="1" t="s">
        <v>2773</v>
      </c>
      <c r="L679" s="1" t="s">
        <v>950</v>
      </c>
      <c r="M679" s="1" t="s">
        <v>987</v>
      </c>
      <c r="N679">
        <f>_xlfn.NUMBERVALUE(LEFT(Table11[[#This Row],[Score]],FIND("/",Table11[[#This Row],[Score]])-1))</f>
        <v>46</v>
      </c>
      <c r="O679">
        <f>IFERROR(_xlfn.NUMBERVALUE(LEFT(Table11[[#This Row],[Score2 ]],FIND("/",Table11[[#This Row],[Score2 ]])-1)),"")</f>
        <v>119</v>
      </c>
      <c r="P679" t="s">
        <v>154</v>
      </c>
      <c r="Q679" s="1" t="s">
        <v>140</v>
      </c>
      <c r="R679" t="str">
        <f>Table11[[#This Row],[Match]]&amp;" "&amp;Table11[[#This Row],[Over]]</f>
        <v>9 11</v>
      </c>
    </row>
    <row r="680" spans="1:18" x14ac:dyDescent="0.3">
      <c r="A680">
        <v>9</v>
      </c>
      <c r="B680" s="1">
        <v>12</v>
      </c>
      <c r="C680" s="1" t="s">
        <v>2451</v>
      </c>
      <c r="D680" s="1" t="s">
        <v>950</v>
      </c>
      <c r="E680" s="1" t="s">
        <v>1074</v>
      </c>
      <c r="F680" s="1" t="s">
        <v>1238</v>
      </c>
      <c r="G680" s="1" t="s">
        <v>2771</v>
      </c>
      <c r="H680" s="1" t="s">
        <v>1007</v>
      </c>
      <c r="I680" s="1" t="s">
        <v>2774</v>
      </c>
      <c r="J680" s="1" t="s">
        <v>993</v>
      </c>
      <c r="K680" s="1" t="s">
        <v>2775</v>
      </c>
      <c r="L680" s="1" t="s">
        <v>950</v>
      </c>
      <c r="M680" s="1" t="s">
        <v>996</v>
      </c>
      <c r="N680">
        <f>_xlfn.NUMBERVALUE(LEFT(Table11[[#This Row],[Score]],FIND("/",Table11[[#This Row],[Score]])-1))</f>
        <v>51</v>
      </c>
      <c r="O680">
        <f>IFERROR(_xlfn.NUMBERVALUE(LEFT(Table11[[#This Row],[Score2 ]],FIND("/",Table11[[#This Row],[Score2 ]])-1)),"")</f>
        <v>119</v>
      </c>
      <c r="P680" t="s">
        <v>154</v>
      </c>
      <c r="Q680" s="1" t="s">
        <v>140</v>
      </c>
      <c r="R680" t="str">
        <f>Table11[[#This Row],[Match]]&amp;" "&amp;Table11[[#This Row],[Over]]</f>
        <v>9 12</v>
      </c>
    </row>
    <row r="681" spans="1:18" x14ac:dyDescent="0.3">
      <c r="A681">
        <v>9</v>
      </c>
      <c r="B681" s="1">
        <v>13</v>
      </c>
      <c r="C681" s="1" t="s">
        <v>2218</v>
      </c>
      <c r="D681" s="1" t="s">
        <v>922</v>
      </c>
      <c r="E681" s="1" t="s">
        <v>1035</v>
      </c>
      <c r="F681" s="1" t="s">
        <v>977</v>
      </c>
      <c r="G681" s="1" t="s">
        <v>2776</v>
      </c>
      <c r="H681" s="1" t="s">
        <v>1830</v>
      </c>
      <c r="I681" s="1" t="s">
        <v>2777</v>
      </c>
      <c r="J681" s="1" t="s">
        <v>2778</v>
      </c>
      <c r="K681" s="1" t="s">
        <v>1622</v>
      </c>
      <c r="L681" s="1" t="s">
        <v>1007</v>
      </c>
      <c r="M681" s="1" t="s">
        <v>2356</v>
      </c>
      <c r="N681">
        <f>_xlfn.NUMBERVALUE(LEFT(Table11[[#This Row],[Score]],FIND("/",Table11[[#This Row],[Score]])-1))</f>
        <v>57</v>
      </c>
      <c r="O681">
        <f>IFERROR(_xlfn.NUMBERVALUE(LEFT(Table11[[#This Row],[Score2 ]],FIND("/",Table11[[#This Row],[Score2 ]])-1)),"")</f>
        <v>125</v>
      </c>
      <c r="P681" t="s">
        <v>154</v>
      </c>
      <c r="Q681" s="1" t="s">
        <v>140</v>
      </c>
      <c r="R681" t="str">
        <f>Table11[[#This Row],[Match]]&amp;" "&amp;Table11[[#This Row],[Over]]</f>
        <v>9 13</v>
      </c>
    </row>
    <row r="682" spans="1:18" x14ac:dyDescent="0.3">
      <c r="A682">
        <v>9</v>
      </c>
      <c r="B682" s="1">
        <v>14</v>
      </c>
      <c r="C682" s="1" t="s">
        <v>2779</v>
      </c>
      <c r="D682" s="1" t="s">
        <v>1007</v>
      </c>
      <c r="E682" s="1" t="s">
        <v>2632</v>
      </c>
      <c r="F682" s="1" t="s">
        <v>1238</v>
      </c>
      <c r="N682">
        <f>_xlfn.NUMBERVALUE(LEFT(Table11[[#This Row],[Score]],FIND("/",Table11[[#This Row],[Score]])-1))</f>
        <v>57</v>
      </c>
      <c r="O682" t="str">
        <f>IFERROR(_xlfn.NUMBERVALUE(LEFT(Table11[[#This Row],[Score2 ]],FIND("/",Table11[[#This Row],[Score2 ]])-1)),"")</f>
        <v/>
      </c>
      <c r="P682" t="s">
        <v>154</v>
      </c>
      <c r="Q682" s="1" t="s">
        <v>140</v>
      </c>
      <c r="R682" t="str">
        <f>Table11[[#This Row],[Match]]&amp;" "&amp;Table11[[#This Row],[Over]]</f>
        <v>9 14</v>
      </c>
    </row>
    <row r="683" spans="1:18" x14ac:dyDescent="0.3">
      <c r="A683">
        <v>9</v>
      </c>
      <c r="B683" s="1">
        <v>15</v>
      </c>
      <c r="C683" s="1" t="s">
        <v>2780</v>
      </c>
      <c r="D683" s="1" t="s">
        <v>904</v>
      </c>
      <c r="E683" s="1" t="s">
        <v>939</v>
      </c>
      <c r="F683" s="1" t="s">
        <v>1247</v>
      </c>
      <c r="N683">
        <f>_xlfn.NUMBERVALUE(LEFT(Table11[[#This Row],[Score]],FIND("/",Table11[[#This Row],[Score]])-1))</f>
        <v>60</v>
      </c>
      <c r="O683" t="str">
        <f>IFERROR(_xlfn.NUMBERVALUE(LEFT(Table11[[#This Row],[Score2 ]],FIND("/",Table11[[#This Row],[Score2 ]])-1)),"")</f>
        <v/>
      </c>
      <c r="P683" t="s">
        <v>154</v>
      </c>
      <c r="Q683" s="1" t="s">
        <v>140</v>
      </c>
      <c r="R683" t="str">
        <f>Table11[[#This Row],[Match]]&amp;" "&amp;Table11[[#This Row],[Over]]</f>
        <v>9 15</v>
      </c>
    </row>
    <row r="684" spans="1:18" x14ac:dyDescent="0.3">
      <c r="A684">
        <v>9</v>
      </c>
      <c r="B684" s="1">
        <v>16</v>
      </c>
      <c r="C684" s="1" t="s">
        <v>2348</v>
      </c>
      <c r="D684" s="1" t="s">
        <v>916</v>
      </c>
      <c r="E684" s="1" t="s">
        <v>1292</v>
      </c>
      <c r="F684" s="1" t="s">
        <v>931</v>
      </c>
      <c r="N684">
        <f>_xlfn.NUMBERVALUE(LEFT(Table11[[#This Row],[Score]],FIND("/",Table11[[#This Row],[Score]])-1))</f>
        <v>67</v>
      </c>
      <c r="O684" t="str">
        <f>IFERROR(_xlfn.NUMBERVALUE(LEFT(Table11[[#This Row],[Score2 ]],FIND("/",Table11[[#This Row],[Score2 ]])-1)),"")</f>
        <v/>
      </c>
      <c r="P684" t="s">
        <v>154</v>
      </c>
      <c r="Q684" s="1" t="s">
        <v>140</v>
      </c>
      <c r="R684" t="str">
        <f>Table11[[#This Row],[Match]]&amp;" "&amp;Table11[[#This Row],[Over]]</f>
        <v>9 16</v>
      </c>
    </row>
    <row r="685" spans="1:18" x14ac:dyDescent="0.3">
      <c r="A685">
        <v>9</v>
      </c>
      <c r="B685" s="1">
        <v>17</v>
      </c>
      <c r="C685" s="1" t="s">
        <v>2781</v>
      </c>
      <c r="D685" s="1" t="s">
        <v>998</v>
      </c>
      <c r="E685" s="1" t="s">
        <v>2652</v>
      </c>
      <c r="F685" s="1" t="s">
        <v>939</v>
      </c>
      <c r="N685">
        <f>_xlfn.NUMBERVALUE(LEFT(Table11[[#This Row],[Score]],FIND("/",Table11[[#This Row],[Score]])-1))</f>
        <v>71</v>
      </c>
      <c r="O685" t="str">
        <f>IFERROR(_xlfn.NUMBERVALUE(LEFT(Table11[[#This Row],[Score2 ]],FIND("/",Table11[[#This Row],[Score2 ]])-1)),"")</f>
        <v/>
      </c>
      <c r="P685" t="s">
        <v>154</v>
      </c>
      <c r="Q685" s="1" t="s">
        <v>140</v>
      </c>
      <c r="R685" t="str">
        <f>Table11[[#This Row],[Match]]&amp;" "&amp;Table11[[#This Row],[Over]]</f>
        <v>9 17</v>
      </c>
    </row>
    <row r="686" spans="1:18" x14ac:dyDescent="0.3">
      <c r="A686">
        <v>9</v>
      </c>
      <c r="B686" s="1">
        <v>18</v>
      </c>
      <c r="C686" s="1" t="s">
        <v>2781</v>
      </c>
      <c r="D686" s="1" t="s">
        <v>1007</v>
      </c>
      <c r="E686" s="1" t="s">
        <v>2349</v>
      </c>
      <c r="F686" s="1" t="s">
        <v>993</v>
      </c>
      <c r="N686">
        <f>_xlfn.NUMBERVALUE(LEFT(Table11[[#This Row],[Score]],FIND("/",Table11[[#This Row],[Score]])-1))</f>
        <v>71</v>
      </c>
      <c r="O686" t="str">
        <f>IFERROR(_xlfn.NUMBERVALUE(LEFT(Table11[[#This Row],[Score2 ]],FIND("/",Table11[[#This Row],[Score2 ]])-1)),"")</f>
        <v/>
      </c>
      <c r="P686" t="s">
        <v>154</v>
      </c>
      <c r="Q686" s="1" t="s">
        <v>140</v>
      </c>
      <c r="R686" t="str">
        <f>Table11[[#This Row],[Match]]&amp;" "&amp;Table11[[#This Row],[Over]]</f>
        <v>9 18</v>
      </c>
    </row>
    <row r="687" spans="1:18" x14ac:dyDescent="0.3">
      <c r="A687">
        <v>9</v>
      </c>
      <c r="B687" s="1">
        <v>19</v>
      </c>
      <c r="C687" s="1" t="s">
        <v>1489</v>
      </c>
      <c r="D687" s="1" t="s">
        <v>968</v>
      </c>
      <c r="E687" s="1" t="s">
        <v>2782</v>
      </c>
      <c r="F687" s="1" t="s">
        <v>1238</v>
      </c>
      <c r="N687">
        <f>_xlfn.NUMBERVALUE(LEFT(Table11[[#This Row],[Score]],FIND("/",Table11[[#This Row],[Score]])-1))</f>
        <v>72</v>
      </c>
      <c r="O687" t="str">
        <f>IFERROR(_xlfn.NUMBERVALUE(LEFT(Table11[[#This Row],[Score2 ]],FIND("/",Table11[[#This Row],[Score2 ]])-1)),"")</f>
        <v/>
      </c>
      <c r="P687" t="s">
        <v>154</v>
      </c>
      <c r="Q687" s="1" t="s">
        <v>140</v>
      </c>
      <c r="R687" t="str">
        <f>Table11[[#This Row],[Match]]&amp;" "&amp;Table11[[#This Row],[Over]]</f>
        <v>9 19</v>
      </c>
    </row>
    <row r="688" spans="1:18" x14ac:dyDescent="0.3">
      <c r="A688">
        <v>9</v>
      </c>
      <c r="B688" s="1">
        <v>20</v>
      </c>
      <c r="C688" s="1" t="s">
        <v>2783</v>
      </c>
      <c r="D688" s="1" t="s">
        <v>916</v>
      </c>
      <c r="E688" s="1" t="s">
        <v>2784</v>
      </c>
      <c r="F688" s="1" t="s">
        <v>990</v>
      </c>
      <c r="N688">
        <f>_xlfn.NUMBERVALUE(LEFT(Table11[[#This Row],[Score]],FIND("/",Table11[[#This Row],[Score]])-1))</f>
        <v>79</v>
      </c>
      <c r="O688" t="str">
        <f>IFERROR(_xlfn.NUMBERVALUE(LEFT(Table11[[#This Row],[Score2 ]],FIND("/",Table11[[#This Row],[Score2 ]])-1)),"")</f>
        <v/>
      </c>
      <c r="P688" t="s">
        <v>154</v>
      </c>
      <c r="Q688" s="1" t="s">
        <v>140</v>
      </c>
      <c r="R688" t="str">
        <f>Table11[[#This Row],[Match]]&amp;" "&amp;Table11[[#This Row],[Over]]</f>
        <v>9 20</v>
      </c>
    </row>
    <row r="689" spans="1:18" x14ac:dyDescent="0.3">
      <c r="A689">
        <v>9</v>
      </c>
      <c r="B689" s="1">
        <v>21</v>
      </c>
      <c r="C689" s="1" t="s">
        <v>1491</v>
      </c>
      <c r="D689" s="1" t="s">
        <v>950</v>
      </c>
      <c r="E689" s="1" t="s">
        <v>939</v>
      </c>
      <c r="F689" s="1" t="s">
        <v>1247</v>
      </c>
      <c r="N689">
        <f>_xlfn.NUMBERVALUE(LEFT(Table11[[#This Row],[Score]],FIND("/",Table11[[#This Row],[Score]])-1))</f>
        <v>84</v>
      </c>
      <c r="O689" t="str">
        <f>IFERROR(_xlfn.NUMBERVALUE(LEFT(Table11[[#This Row],[Score2 ]],FIND("/",Table11[[#This Row],[Score2 ]])-1)),"")</f>
        <v/>
      </c>
      <c r="P689" t="s">
        <v>154</v>
      </c>
      <c r="Q689" s="1" t="s">
        <v>140</v>
      </c>
      <c r="R689" t="str">
        <f>Table11[[#This Row],[Match]]&amp;" "&amp;Table11[[#This Row],[Over]]</f>
        <v>9 21</v>
      </c>
    </row>
    <row r="690" spans="1:18" x14ac:dyDescent="0.3">
      <c r="A690">
        <v>9</v>
      </c>
      <c r="B690" s="1">
        <v>22</v>
      </c>
      <c r="C690" s="1" t="s">
        <v>1496</v>
      </c>
      <c r="D690" s="1" t="s">
        <v>950</v>
      </c>
      <c r="E690" s="1" t="s">
        <v>1505</v>
      </c>
      <c r="F690" s="1" t="s">
        <v>977</v>
      </c>
      <c r="N690">
        <f>_xlfn.NUMBERVALUE(LEFT(Table11[[#This Row],[Score]],FIND("/",Table11[[#This Row],[Score]])-1))</f>
        <v>89</v>
      </c>
      <c r="O690" t="str">
        <f>IFERROR(_xlfn.NUMBERVALUE(LEFT(Table11[[#This Row],[Score2 ]],FIND("/",Table11[[#This Row],[Score2 ]])-1)),"")</f>
        <v/>
      </c>
      <c r="P690" t="s">
        <v>154</v>
      </c>
      <c r="Q690" s="1" t="s">
        <v>140</v>
      </c>
      <c r="R690" t="str">
        <f>Table11[[#This Row],[Match]]&amp;" "&amp;Table11[[#This Row],[Over]]</f>
        <v>9 22</v>
      </c>
    </row>
    <row r="691" spans="1:18" x14ac:dyDescent="0.3">
      <c r="A691">
        <v>9</v>
      </c>
      <c r="B691" s="1">
        <v>23</v>
      </c>
      <c r="C691" s="1" t="s">
        <v>2241</v>
      </c>
      <c r="D691" s="1" t="s">
        <v>916</v>
      </c>
      <c r="E691" s="1" t="s">
        <v>2652</v>
      </c>
      <c r="F691" s="1" t="s">
        <v>969</v>
      </c>
      <c r="N691">
        <f>_xlfn.NUMBERVALUE(LEFT(Table11[[#This Row],[Score]],FIND("/",Table11[[#This Row],[Score]])-1))</f>
        <v>96</v>
      </c>
      <c r="O691" t="str">
        <f>IFERROR(_xlfn.NUMBERVALUE(LEFT(Table11[[#This Row],[Score2 ]],FIND("/",Table11[[#This Row],[Score2 ]])-1)),"")</f>
        <v/>
      </c>
      <c r="P691" t="s">
        <v>154</v>
      </c>
      <c r="Q691" s="1" t="s">
        <v>140</v>
      </c>
      <c r="R691" t="str">
        <f>Table11[[#This Row],[Match]]&amp;" "&amp;Table11[[#This Row],[Over]]</f>
        <v>9 23</v>
      </c>
    </row>
    <row r="692" spans="1:18" x14ac:dyDescent="0.3">
      <c r="A692">
        <v>9</v>
      </c>
      <c r="B692" s="1">
        <v>24</v>
      </c>
      <c r="C692" s="1" t="s">
        <v>1499</v>
      </c>
      <c r="D692" s="1" t="s">
        <v>898</v>
      </c>
      <c r="E692" s="1" t="s">
        <v>1500</v>
      </c>
      <c r="F692" s="1" t="s">
        <v>1029</v>
      </c>
      <c r="N692">
        <f>_xlfn.NUMBERVALUE(LEFT(Table11[[#This Row],[Score]],FIND("/",Table11[[#This Row],[Score]])-1))</f>
        <v>98</v>
      </c>
      <c r="O692" t="str">
        <f>IFERROR(_xlfn.NUMBERVALUE(LEFT(Table11[[#This Row],[Score2 ]],FIND("/",Table11[[#This Row],[Score2 ]])-1)),"")</f>
        <v/>
      </c>
      <c r="P692" t="s">
        <v>154</v>
      </c>
      <c r="Q692" s="1" t="s">
        <v>140</v>
      </c>
      <c r="R692" t="str">
        <f>Table11[[#This Row],[Match]]&amp;" "&amp;Table11[[#This Row],[Over]]</f>
        <v>9 24</v>
      </c>
    </row>
    <row r="693" spans="1:18" x14ac:dyDescent="0.3">
      <c r="A693">
        <v>9</v>
      </c>
      <c r="B693" s="1">
        <v>25</v>
      </c>
      <c r="C693" s="1" t="s">
        <v>2246</v>
      </c>
      <c r="D693" s="1" t="s">
        <v>998</v>
      </c>
      <c r="E693" s="1" t="s">
        <v>1500</v>
      </c>
      <c r="F693" s="1" t="s">
        <v>976</v>
      </c>
      <c r="N693">
        <f>_xlfn.NUMBERVALUE(LEFT(Table11[[#This Row],[Score]],FIND("/",Table11[[#This Row],[Score]])-1))</f>
        <v>102</v>
      </c>
      <c r="O693" t="str">
        <f>IFERROR(_xlfn.NUMBERVALUE(LEFT(Table11[[#This Row],[Score2 ]],FIND("/",Table11[[#This Row],[Score2 ]])-1)),"")</f>
        <v/>
      </c>
      <c r="P693" t="s">
        <v>154</v>
      </c>
      <c r="Q693" s="1" t="s">
        <v>140</v>
      </c>
      <c r="R693" t="str">
        <f>Table11[[#This Row],[Match]]&amp;" "&amp;Table11[[#This Row],[Over]]</f>
        <v>9 25</v>
      </c>
    </row>
    <row r="694" spans="1:18" x14ac:dyDescent="0.3">
      <c r="A694">
        <v>9</v>
      </c>
      <c r="B694" s="1">
        <v>26</v>
      </c>
      <c r="C694" s="1" t="s">
        <v>1517</v>
      </c>
      <c r="D694" s="1" t="s">
        <v>898</v>
      </c>
      <c r="E694" s="1" t="s">
        <v>939</v>
      </c>
      <c r="F694" s="1" t="s">
        <v>939</v>
      </c>
      <c r="N694">
        <f>_xlfn.NUMBERVALUE(LEFT(Table11[[#This Row],[Score]],FIND("/",Table11[[#This Row],[Score]])-1))</f>
        <v>104</v>
      </c>
      <c r="O694" t="str">
        <f>IFERROR(_xlfn.NUMBERVALUE(LEFT(Table11[[#This Row],[Score2 ]],FIND("/",Table11[[#This Row],[Score2 ]])-1)),"")</f>
        <v/>
      </c>
      <c r="P694" t="s">
        <v>154</v>
      </c>
      <c r="Q694" s="1" t="s">
        <v>140</v>
      </c>
      <c r="R694" t="str">
        <f>Table11[[#This Row],[Match]]&amp;" "&amp;Table11[[#This Row],[Over]]</f>
        <v>9 26</v>
      </c>
    </row>
    <row r="695" spans="1:18" x14ac:dyDescent="0.3">
      <c r="A695">
        <v>9</v>
      </c>
      <c r="B695" s="1">
        <v>27</v>
      </c>
      <c r="C695" s="1" t="s">
        <v>2481</v>
      </c>
      <c r="D695" s="1" t="s">
        <v>898</v>
      </c>
      <c r="E695" s="1" t="s">
        <v>1507</v>
      </c>
      <c r="F695" s="1" t="s">
        <v>1247</v>
      </c>
      <c r="N695">
        <f>_xlfn.NUMBERVALUE(LEFT(Table11[[#This Row],[Score]],FIND("/",Table11[[#This Row],[Score]])-1))</f>
        <v>106</v>
      </c>
      <c r="O695" t="str">
        <f>IFERROR(_xlfn.NUMBERVALUE(LEFT(Table11[[#This Row],[Score2 ]],FIND("/",Table11[[#This Row],[Score2 ]])-1)),"")</f>
        <v/>
      </c>
      <c r="P695" t="s">
        <v>154</v>
      </c>
      <c r="Q695" s="1" t="s">
        <v>140</v>
      </c>
      <c r="R695" t="str">
        <f>Table11[[#This Row],[Match]]&amp;" "&amp;Table11[[#This Row],[Over]]</f>
        <v>9 27</v>
      </c>
    </row>
    <row r="696" spans="1:18" x14ac:dyDescent="0.3">
      <c r="A696">
        <v>9</v>
      </c>
      <c r="B696" s="1">
        <v>28</v>
      </c>
      <c r="C696" s="1" t="s">
        <v>2785</v>
      </c>
      <c r="D696" s="1" t="s">
        <v>898</v>
      </c>
      <c r="E696" s="1" t="s">
        <v>1518</v>
      </c>
      <c r="F696" s="1" t="s">
        <v>1088</v>
      </c>
      <c r="N696">
        <f>_xlfn.NUMBERVALUE(LEFT(Table11[[#This Row],[Score]],FIND("/",Table11[[#This Row],[Score]])-1))</f>
        <v>108</v>
      </c>
      <c r="O696" t="str">
        <f>IFERROR(_xlfn.NUMBERVALUE(LEFT(Table11[[#This Row],[Score2 ]],FIND("/",Table11[[#This Row],[Score2 ]])-1)),"")</f>
        <v/>
      </c>
      <c r="P696" t="s">
        <v>154</v>
      </c>
      <c r="Q696" s="1" t="s">
        <v>140</v>
      </c>
      <c r="R696" t="str">
        <f>Table11[[#This Row],[Match]]&amp;" "&amp;Table11[[#This Row],[Over]]</f>
        <v>9 28</v>
      </c>
    </row>
    <row r="697" spans="1:18" x14ac:dyDescent="0.3">
      <c r="A697">
        <v>9</v>
      </c>
      <c r="B697" s="1">
        <v>29</v>
      </c>
      <c r="C697" s="1" t="s">
        <v>2786</v>
      </c>
      <c r="D697" s="1" t="s">
        <v>998</v>
      </c>
      <c r="E697" s="1" t="s">
        <v>1497</v>
      </c>
      <c r="F697" s="1" t="s">
        <v>993</v>
      </c>
      <c r="N697">
        <f>_xlfn.NUMBERVALUE(LEFT(Table11[[#This Row],[Score]],FIND("/",Table11[[#This Row],[Score]])-1))</f>
        <v>112</v>
      </c>
      <c r="O697" t="str">
        <f>IFERROR(_xlfn.NUMBERVALUE(LEFT(Table11[[#This Row],[Score2 ]],FIND("/",Table11[[#This Row],[Score2 ]])-1)),"")</f>
        <v/>
      </c>
      <c r="P697" t="s">
        <v>154</v>
      </c>
      <c r="Q697" s="1" t="s">
        <v>140</v>
      </c>
      <c r="R697" t="str">
        <f>Table11[[#This Row],[Match]]&amp;" "&amp;Table11[[#This Row],[Over]]</f>
        <v>9 29</v>
      </c>
    </row>
    <row r="698" spans="1:18" x14ac:dyDescent="0.3">
      <c r="A698">
        <v>9</v>
      </c>
      <c r="B698" s="1">
        <v>30</v>
      </c>
      <c r="C698" s="1" t="s">
        <v>2787</v>
      </c>
      <c r="D698" s="1" t="s">
        <v>898</v>
      </c>
      <c r="E698" s="1" t="s">
        <v>990</v>
      </c>
      <c r="F698" s="1" t="s">
        <v>1088</v>
      </c>
      <c r="N698">
        <f>_xlfn.NUMBERVALUE(LEFT(Table11[[#This Row],[Score]],FIND("/",Table11[[#This Row],[Score]])-1))</f>
        <v>114</v>
      </c>
      <c r="O698" t="str">
        <f>IFERROR(_xlfn.NUMBERVALUE(LEFT(Table11[[#This Row],[Score2 ]],FIND("/",Table11[[#This Row],[Score2 ]])-1)),"")</f>
        <v/>
      </c>
      <c r="P698" t="s">
        <v>154</v>
      </c>
      <c r="Q698" s="1" t="s">
        <v>140</v>
      </c>
      <c r="R698" t="str">
        <f>Table11[[#This Row],[Match]]&amp;" "&amp;Table11[[#This Row],[Over]]</f>
        <v>9 30</v>
      </c>
    </row>
    <row r="699" spans="1:18" x14ac:dyDescent="0.3">
      <c r="A699">
        <v>9</v>
      </c>
      <c r="B699" s="1">
        <v>31</v>
      </c>
      <c r="C699" s="1" t="s">
        <v>2788</v>
      </c>
      <c r="D699" s="1" t="s">
        <v>898</v>
      </c>
      <c r="E699" s="1" t="s">
        <v>2474</v>
      </c>
      <c r="F699" s="1" t="s">
        <v>1088</v>
      </c>
      <c r="N699">
        <f>_xlfn.NUMBERVALUE(LEFT(Table11[[#This Row],[Score]],FIND("/",Table11[[#This Row],[Score]])-1))</f>
        <v>116</v>
      </c>
      <c r="O699" t="str">
        <f>IFERROR(_xlfn.NUMBERVALUE(LEFT(Table11[[#This Row],[Score2 ]],FIND("/",Table11[[#This Row],[Score2 ]])-1)),"")</f>
        <v/>
      </c>
      <c r="P699" t="s">
        <v>154</v>
      </c>
      <c r="Q699" s="1" t="s">
        <v>140</v>
      </c>
      <c r="R699" t="str">
        <f>Table11[[#This Row],[Match]]&amp;" "&amp;Table11[[#This Row],[Over]]</f>
        <v>9 31</v>
      </c>
    </row>
    <row r="700" spans="1:18" x14ac:dyDescent="0.3">
      <c r="A700">
        <v>9</v>
      </c>
      <c r="B700" s="1">
        <v>32</v>
      </c>
      <c r="C700" s="1" t="s">
        <v>2788</v>
      </c>
      <c r="D700" s="1" t="s">
        <v>1007</v>
      </c>
      <c r="E700" s="1" t="s">
        <v>1258</v>
      </c>
      <c r="F700" s="1" t="s">
        <v>899</v>
      </c>
      <c r="N700">
        <f>_xlfn.NUMBERVALUE(LEFT(Table11[[#This Row],[Score]],FIND("/",Table11[[#This Row],[Score]])-1))</f>
        <v>116</v>
      </c>
      <c r="O700" t="str">
        <f>IFERROR(_xlfn.NUMBERVALUE(LEFT(Table11[[#This Row],[Score2 ]],FIND("/",Table11[[#This Row],[Score2 ]])-1)),"")</f>
        <v/>
      </c>
      <c r="P700" t="s">
        <v>154</v>
      </c>
      <c r="Q700" s="1" t="s">
        <v>140</v>
      </c>
      <c r="R700" t="str">
        <f>Table11[[#This Row],[Match]]&amp;" "&amp;Table11[[#This Row],[Over]]</f>
        <v>9 32</v>
      </c>
    </row>
    <row r="701" spans="1:18" x14ac:dyDescent="0.3">
      <c r="A701">
        <v>9</v>
      </c>
      <c r="B701" s="1">
        <v>33</v>
      </c>
      <c r="C701" s="1" t="s">
        <v>2789</v>
      </c>
      <c r="D701" s="1" t="s">
        <v>904</v>
      </c>
      <c r="E701" s="1" t="s">
        <v>977</v>
      </c>
      <c r="F701" s="1" t="s">
        <v>1383</v>
      </c>
      <c r="N701">
        <f>_xlfn.NUMBERVALUE(LEFT(Table11[[#This Row],[Score]],FIND("/",Table11[[#This Row],[Score]])-1))</f>
        <v>119</v>
      </c>
      <c r="O701" t="str">
        <f>IFERROR(_xlfn.NUMBERVALUE(LEFT(Table11[[#This Row],[Score2 ]],FIND("/",Table11[[#This Row],[Score2 ]])-1)),"")</f>
        <v/>
      </c>
      <c r="P701" t="s">
        <v>154</v>
      </c>
      <c r="Q701" s="1" t="s">
        <v>140</v>
      </c>
      <c r="R701" t="str">
        <f>Table11[[#This Row],[Match]]&amp;" "&amp;Table11[[#This Row],[Over]]</f>
        <v>9 33</v>
      </c>
    </row>
    <row r="702" spans="1:18" x14ac:dyDescent="0.3">
      <c r="A702">
        <v>9</v>
      </c>
      <c r="B702" s="1">
        <v>34</v>
      </c>
      <c r="C702" s="1" t="s">
        <v>2790</v>
      </c>
      <c r="D702" s="1" t="s">
        <v>1688</v>
      </c>
      <c r="E702" s="1" t="s">
        <v>2778</v>
      </c>
      <c r="F702" s="1" t="s">
        <v>2791</v>
      </c>
      <c r="N702">
        <f>_xlfn.NUMBERVALUE(LEFT(Table11[[#This Row],[Score]],FIND("/",Table11[[#This Row],[Score]])-1))</f>
        <v>123</v>
      </c>
      <c r="O702" t="str">
        <f>IFERROR(_xlfn.NUMBERVALUE(LEFT(Table11[[#This Row],[Score2 ]],FIND("/",Table11[[#This Row],[Score2 ]])-1)),"")</f>
        <v/>
      </c>
      <c r="P702" t="s">
        <v>154</v>
      </c>
      <c r="Q702" s="1" t="s">
        <v>140</v>
      </c>
      <c r="R702" t="str">
        <f>Table11[[#This Row],[Match]]&amp;" "&amp;Table11[[#This Row],[Over]]</f>
        <v>9 34</v>
      </c>
    </row>
    <row r="703" spans="1:18" x14ac:dyDescent="0.3">
      <c r="A703">
        <v>10</v>
      </c>
      <c r="B703" s="1">
        <v>1</v>
      </c>
      <c r="C703" s="1" t="s">
        <v>1232</v>
      </c>
      <c r="D703" s="1" t="s">
        <v>922</v>
      </c>
      <c r="E703" s="1" t="s">
        <v>1019</v>
      </c>
      <c r="F703" s="1" t="s">
        <v>348</v>
      </c>
      <c r="G703" s="1" t="s">
        <v>2526</v>
      </c>
      <c r="H703" s="1" t="s">
        <v>968</v>
      </c>
      <c r="I703" s="1" t="s">
        <v>1662</v>
      </c>
      <c r="J703" s="1" t="s">
        <v>348</v>
      </c>
      <c r="K703" s="1" t="s">
        <v>1444</v>
      </c>
      <c r="L703" s="1" t="s">
        <v>2792</v>
      </c>
      <c r="M703" s="1" t="s">
        <v>902</v>
      </c>
      <c r="N703">
        <f>_xlfn.NUMBERVALUE(LEFT(Table11[[#This Row],[Score]],FIND("/",Table11[[#This Row],[Score]])-1))</f>
        <v>6</v>
      </c>
      <c r="O703">
        <f>IFERROR(_xlfn.NUMBERVALUE(LEFT(Table11[[#This Row],[Score2 ]],FIND("/",Table11[[#This Row],[Score2 ]])-1)),"")</f>
        <v>1</v>
      </c>
      <c r="P703" t="s">
        <v>170</v>
      </c>
      <c r="Q703" s="1" t="s">
        <v>153</v>
      </c>
      <c r="R703" t="str">
        <f>Table11[[#This Row],[Match]]&amp;" "&amp;Table11[[#This Row],[Over]]</f>
        <v>10 1</v>
      </c>
    </row>
    <row r="704" spans="1:18" x14ac:dyDescent="0.3">
      <c r="A704">
        <v>10</v>
      </c>
      <c r="B704" s="1">
        <v>2</v>
      </c>
      <c r="C704" s="1" t="s">
        <v>915</v>
      </c>
      <c r="D704" s="1" t="s">
        <v>950</v>
      </c>
      <c r="E704" s="1" t="s">
        <v>959</v>
      </c>
      <c r="F704" s="1" t="s">
        <v>348</v>
      </c>
      <c r="G704" s="1" t="s">
        <v>2526</v>
      </c>
      <c r="H704" s="1" t="s">
        <v>1007</v>
      </c>
      <c r="I704" s="1" t="s">
        <v>2527</v>
      </c>
      <c r="J704" s="1" t="s">
        <v>348</v>
      </c>
      <c r="K704" s="1" t="s">
        <v>2454</v>
      </c>
      <c r="L704" s="1" t="s">
        <v>2792</v>
      </c>
      <c r="M704" s="1" t="s">
        <v>909</v>
      </c>
      <c r="N704">
        <f>_xlfn.NUMBERVALUE(LEFT(Table11[[#This Row],[Score]],FIND("/",Table11[[#This Row],[Score]])-1))</f>
        <v>11</v>
      </c>
      <c r="O704">
        <f>IFERROR(_xlfn.NUMBERVALUE(LEFT(Table11[[#This Row],[Score2 ]],FIND("/",Table11[[#This Row],[Score2 ]])-1)),"")</f>
        <v>1</v>
      </c>
      <c r="P704" t="s">
        <v>170</v>
      </c>
      <c r="Q704" s="1" t="s">
        <v>153</v>
      </c>
      <c r="R704" t="str">
        <f>Table11[[#This Row],[Match]]&amp;" "&amp;Table11[[#This Row],[Over]]</f>
        <v>10 2</v>
      </c>
    </row>
    <row r="705" spans="1:18" x14ac:dyDescent="0.3">
      <c r="A705">
        <v>10</v>
      </c>
      <c r="B705" s="1">
        <v>3</v>
      </c>
      <c r="C705" s="1" t="s">
        <v>921</v>
      </c>
      <c r="D705" s="1" t="s">
        <v>898</v>
      </c>
      <c r="E705" s="1" t="s">
        <v>989</v>
      </c>
      <c r="F705" s="1" t="s">
        <v>348</v>
      </c>
      <c r="G705" s="1" t="s">
        <v>2793</v>
      </c>
      <c r="H705" s="1" t="s">
        <v>1007</v>
      </c>
      <c r="I705" s="1" t="s">
        <v>2794</v>
      </c>
      <c r="J705" s="1" t="s">
        <v>348</v>
      </c>
      <c r="K705" s="1" t="s">
        <v>2319</v>
      </c>
      <c r="L705" s="1" t="s">
        <v>2792</v>
      </c>
      <c r="M705" s="1" t="s">
        <v>920</v>
      </c>
      <c r="N705">
        <f>_xlfn.NUMBERVALUE(LEFT(Table11[[#This Row],[Score]],FIND("/",Table11[[#This Row],[Score]])-1))</f>
        <v>13</v>
      </c>
      <c r="O705">
        <f>IFERROR(_xlfn.NUMBERVALUE(LEFT(Table11[[#This Row],[Score2 ]],FIND("/",Table11[[#This Row],[Score2 ]])-1)),"")</f>
        <v>1</v>
      </c>
      <c r="P705" t="s">
        <v>170</v>
      </c>
      <c r="Q705" s="1" t="s">
        <v>153</v>
      </c>
      <c r="R705" t="str">
        <f>Table11[[#This Row],[Match]]&amp;" "&amp;Table11[[#This Row],[Over]]</f>
        <v>10 3</v>
      </c>
    </row>
    <row r="706" spans="1:18" x14ac:dyDescent="0.3">
      <c r="A706">
        <v>10</v>
      </c>
      <c r="B706" s="1">
        <v>4</v>
      </c>
      <c r="C706" s="1" t="s">
        <v>2689</v>
      </c>
      <c r="D706" s="1" t="s">
        <v>968</v>
      </c>
      <c r="E706" s="1" t="s">
        <v>925</v>
      </c>
      <c r="F706" s="1" t="s">
        <v>348</v>
      </c>
      <c r="G706" s="1" t="s">
        <v>2795</v>
      </c>
      <c r="H706" s="1" t="s">
        <v>1007</v>
      </c>
      <c r="I706" s="1" t="s">
        <v>2796</v>
      </c>
      <c r="J706" s="1" t="s">
        <v>348</v>
      </c>
      <c r="K706" s="1" t="s">
        <v>1022</v>
      </c>
      <c r="L706" s="1" t="s">
        <v>2792</v>
      </c>
      <c r="M706" s="1" t="s">
        <v>928</v>
      </c>
      <c r="N706">
        <f>_xlfn.NUMBERVALUE(LEFT(Table11[[#This Row],[Score]],FIND("/",Table11[[#This Row],[Score]])-1))</f>
        <v>14</v>
      </c>
      <c r="O706">
        <f>IFERROR(_xlfn.NUMBERVALUE(LEFT(Table11[[#This Row],[Score2 ]],FIND("/",Table11[[#This Row],[Score2 ]])-1)),"")</f>
        <v>1</v>
      </c>
      <c r="P706" t="s">
        <v>170</v>
      </c>
      <c r="Q706" s="1" t="s">
        <v>153</v>
      </c>
      <c r="R706" t="str">
        <f>Table11[[#This Row],[Match]]&amp;" "&amp;Table11[[#This Row],[Over]]</f>
        <v>10 4</v>
      </c>
    </row>
    <row r="707" spans="1:18" x14ac:dyDescent="0.3">
      <c r="A707">
        <v>10</v>
      </c>
      <c r="B707" s="1">
        <v>5</v>
      </c>
      <c r="C707" s="1" t="s">
        <v>1246</v>
      </c>
      <c r="D707" s="1" t="s">
        <v>904</v>
      </c>
      <c r="E707" s="1" t="s">
        <v>1247</v>
      </c>
      <c r="F707" s="1" t="s">
        <v>1247</v>
      </c>
      <c r="G707" s="1" t="s">
        <v>2797</v>
      </c>
      <c r="H707" s="1" t="s">
        <v>898</v>
      </c>
      <c r="I707" s="1" t="s">
        <v>2798</v>
      </c>
      <c r="J707" s="1" t="s">
        <v>2798</v>
      </c>
      <c r="K707" s="1" t="s">
        <v>1795</v>
      </c>
      <c r="L707" s="1" t="s">
        <v>2093</v>
      </c>
      <c r="M707" s="1" t="s">
        <v>937</v>
      </c>
      <c r="N707">
        <f>_xlfn.NUMBERVALUE(LEFT(Table11[[#This Row],[Score]],FIND("/",Table11[[#This Row],[Score]])-1))</f>
        <v>17</v>
      </c>
      <c r="O707">
        <f>IFERROR(_xlfn.NUMBERVALUE(LEFT(Table11[[#This Row],[Score2 ]],FIND("/",Table11[[#This Row],[Score2 ]])-1)),"")</f>
        <v>3</v>
      </c>
      <c r="P707" t="s">
        <v>170</v>
      </c>
      <c r="Q707" s="1" t="s">
        <v>153</v>
      </c>
      <c r="R707" t="str">
        <f>Table11[[#This Row],[Match]]&amp;" "&amp;Table11[[#This Row],[Over]]</f>
        <v>10 5</v>
      </c>
    </row>
    <row r="708" spans="1:18" x14ac:dyDescent="0.3">
      <c r="A708">
        <v>10</v>
      </c>
      <c r="B708" s="1">
        <v>6</v>
      </c>
      <c r="C708" s="1" t="s">
        <v>1246</v>
      </c>
      <c r="D708" s="1" t="s">
        <v>1007</v>
      </c>
      <c r="E708" s="1" t="s">
        <v>1656</v>
      </c>
      <c r="F708" s="1" t="s">
        <v>1383</v>
      </c>
      <c r="G708" s="1" t="s">
        <v>2799</v>
      </c>
      <c r="H708" s="1" t="s">
        <v>950</v>
      </c>
      <c r="I708" s="1" t="s">
        <v>2688</v>
      </c>
      <c r="J708" s="1" t="s">
        <v>1432</v>
      </c>
      <c r="K708" s="1" t="s">
        <v>1742</v>
      </c>
      <c r="L708" s="1" t="s">
        <v>2098</v>
      </c>
      <c r="M708" s="1" t="s">
        <v>945</v>
      </c>
      <c r="N708">
        <f>_xlfn.NUMBERVALUE(LEFT(Table11[[#This Row],[Score]],FIND("/",Table11[[#This Row],[Score]])-1))</f>
        <v>17</v>
      </c>
      <c r="O708">
        <f>IFERROR(_xlfn.NUMBERVALUE(LEFT(Table11[[#This Row],[Score2 ]],FIND("/",Table11[[#This Row],[Score2 ]])-1)),"")</f>
        <v>8</v>
      </c>
      <c r="P708" t="s">
        <v>170</v>
      </c>
      <c r="Q708" s="1" t="s">
        <v>153</v>
      </c>
      <c r="R708" t="str">
        <f>Table11[[#This Row],[Match]]&amp;" "&amp;Table11[[#This Row],[Over]]</f>
        <v>10 6</v>
      </c>
    </row>
    <row r="709" spans="1:18" x14ac:dyDescent="0.3">
      <c r="A709">
        <v>10</v>
      </c>
      <c r="B709" s="1">
        <v>7</v>
      </c>
      <c r="C709" s="1" t="s">
        <v>2800</v>
      </c>
      <c r="D709" s="1" t="s">
        <v>950</v>
      </c>
      <c r="E709" s="1" t="s">
        <v>1711</v>
      </c>
      <c r="F709" s="1" t="s">
        <v>1383</v>
      </c>
      <c r="G709" s="1" t="s">
        <v>2801</v>
      </c>
      <c r="H709" s="1" t="s">
        <v>968</v>
      </c>
      <c r="I709" s="1" t="s">
        <v>2802</v>
      </c>
      <c r="J709" s="1" t="s">
        <v>1770</v>
      </c>
      <c r="K709" s="1" t="s">
        <v>2102</v>
      </c>
      <c r="L709" s="1" t="s">
        <v>1234</v>
      </c>
      <c r="M709" s="1" t="s">
        <v>955</v>
      </c>
      <c r="N709">
        <f>_xlfn.NUMBERVALUE(LEFT(Table11[[#This Row],[Score]],FIND("/",Table11[[#This Row],[Score]])-1))</f>
        <v>22</v>
      </c>
      <c r="O709">
        <f>IFERROR(_xlfn.NUMBERVALUE(LEFT(Table11[[#This Row],[Score2 ]],FIND("/",Table11[[#This Row],[Score2 ]])-1)),"")</f>
        <v>9</v>
      </c>
      <c r="P709" t="s">
        <v>170</v>
      </c>
      <c r="Q709" s="1" t="s">
        <v>153</v>
      </c>
      <c r="R709" t="str">
        <f>Table11[[#This Row],[Match]]&amp;" "&amp;Table11[[#This Row],[Over]]</f>
        <v>10 7</v>
      </c>
    </row>
    <row r="710" spans="1:18" x14ac:dyDescent="0.3">
      <c r="A710">
        <v>10</v>
      </c>
      <c r="B710" s="1">
        <v>8</v>
      </c>
      <c r="C710" s="1" t="s">
        <v>2803</v>
      </c>
      <c r="D710" s="1" t="s">
        <v>916</v>
      </c>
      <c r="E710" s="1" t="s">
        <v>1258</v>
      </c>
      <c r="F710" s="1" t="s">
        <v>1259</v>
      </c>
      <c r="G710" s="1" t="s">
        <v>2533</v>
      </c>
      <c r="H710" s="1" t="s">
        <v>904</v>
      </c>
      <c r="I710" s="1" t="s">
        <v>1822</v>
      </c>
      <c r="J710" s="1" t="s">
        <v>1383</v>
      </c>
      <c r="K710" s="1" t="s">
        <v>1286</v>
      </c>
      <c r="L710" s="1" t="s">
        <v>901</v>
      </c>
      <c r="M710" s="1" t="s">
        <v>963</v>
      </c>
      <c r="N710">
        <f>_xlfn.NUMBERVALUE(LEFT(Table11[[#This Row],[Score]],FIND("/",Table11[[#This Row],[Score]])-1))</f>
        <v>29</v>
      </c>
      <c r="O710">
        <f>IFERROR(_xlfn.NUMBERVALUE(LEFT(Table11[[#This Row],[Score2 ]],FIND("/",Table11[[#This Row],[Score2 ]])-1)),"")</f>
        <v>12</v>
      </c>
      <c r="P710" t="s">
        <v>170</v>
      </c>
      <c r="Q710" s="1" t="s">
        <v>153</v>
      </c>
      <c r="R710" t="str">
        <f>Table11[[#This Row],[Match]]&amp;" "&amp;Table11[[#This Row],[Over]]</f>
        <v>10 8</v>
      </c>
    </row>
    <row r="711" spans="1:18" x14ac:dyDescent="0.3">
      <c r="A711">
        <v>10</v>
      </c>
      <c r="B711" s="1">
        <v>9</v>
      </c>
      <c r="C711" s="1" t="s">
        <v>1981</v>
      </c>
      <c r="D711" s="1" t="s">
        <v>947</v>
      </c>
      <c r="E711" s="1" t="s">
        <v>1535</v>
      </c>
      <c r="F711" s="1" t="s">
        <v>1093</v>
      </c>
      <c r="G711" s="1" t="s">
        <v>2804</v>
      </c>
      <c r="H711" s="1" t="s">
        <v>950</v>
      </c>
      <c r="I711" s="1" t="s">
        <v>1819</v>
      </c>
      <c r="J711" s="1" t="s">
        <v>1259</v>
      </c>
      <c r="K711" s="1" t="s">
        <v>1313</v>
      </c>
      <c r="L711" s="1" t="s">
        <v>902</v>
      </c>
      <c r="M711" s="1" t="s">
        <v>973</v>
      </c>
      <c r="N711">
        <f>_xlfn.NUMBERVALUE(LEFT(Table11[[#This Row],[Score]],FIND("/",Table11[[#This Row],[Score]])-1))</f>
        <v>38</v>
      </c>
      <c r="O711">
        <f>IFERROR(_xlfn.NUMBERVALUE(LEFT(Table11[[#This Row],[Score2 ]],FIND("/",Table11[[#This Row],[Score2 ]])-1)),"")</f>
        <v>17</v>
      </c>
      <c r="P711" t="s">
        <v>170</v>
      </c>
      <c r="Q711" s="1" t="s">
        <v>153</v>
      </c>
      <c r="R711" t="str">
        <f>Table11[[#This Row],[Match]]&amp;" "&amp;Table11[[#This Row],[Over]]</f>
        <v>10 9</v>
      </c>
    </row>
    <row r="712" spans="1:18" x14ac:dyDescent="0.3">
      <c r="A712">
        <v>10</v>
      </c>
      <c r="B712" s="1">
        <v>10</v>
      </c>
      <c r="C712" s="1" t="s">
        <v>1987</v>
      </c>
      <c r="D712" s="1" t="s">
        <v>930</v>
      </c>
      <c r="E712" s="1" t="s">
        <v>976</v>
      </c>
      <c r="F712" s="1" t="s">
        <v>1013</v>
      </c>
      <c r="G712" s="1" t="s">
        <v>2805</v>
      </c>
      <c r="H712" s="1" t="s">
        <v>930</v>
      </c>
      <c r="I712" s="1" t="s">
        <v>905</v>
      </c>
      <c r="J712" s="1" t="s">
        <v>940</v>
      </c>
      <c r="K712" s="1" t="s">
        <v>1302</v>
      </c>
      <c r="L712" s="1" t="s">
        <v>2107</v>
      </c>
      <c r="M712" s="1" t="s">
        <v>980</v>
      </c>
      <c r="N712">
        <f>_xlfn.NUMBERVALUE(LEFT(Table11[[#This Row],[Score]],FIND("/",Table11[[#This Row],[Score]])-1))</f>
        <v>46</v>
      </c>
      <c r="O712">
        <f>IFERROR(_xlfn.NUMBERVALUE(LEFT(Table11[[#This Row],[Score2 ]],FIND("/",Table11[[#This Row],[Score2 ]])-1)),"")</f>
        <v>25</v>
      </c>
      <c r="P712" t="s">
        <v>170</v>
      </c>
      <c r="Q712" s="1" t="s">
        <v>153</v>
      </c>
      <c r="R712" t="str">
        <f>Table11[[#This Row],[Match]]&amp;" "&amp;Table11[[#This Row],[Over]]</f>
        <v>10 10</v>
      </c>
    </row>
    <row r="713" spans="1:18" x14ac:dyDescent="0.3">
      <c r="A713">
        <v>10</v>
      </c>
      <c r="B713" s="1">
        <v>11</v>
      </c>
      <c r="C713" s="1" t="s">
        <v>1277</v>
      </c>
      <c r="D713" s="1" t="s">
        <v>968</v>
      </c>
      <c r="E713" s="1" t="s">
        <v>983</v>
      </c>
      <c r="F713" s="1" t="s">
        <v>1019</v>
      </c>
      <c r="G713" s="1" t="s">
        <v>2806</v>
      </c>
      <c r="H713" s="1" t="s">
        <v>1007</v>
      </c>
      <c r="I713" s="1" t="s">
        <v>2611</v>
      </c>
      <c r="J713" s="1" t="s">
        <v>1247</v>
      </c>
      <c r="K713" s="1" t="s">
        <v>2092</v>
      </c>
      <c r="L713" s="1" t="s">
        <v>2107</v>
      </c>
      <c r="M713" s="1" t="s">
        <v>987</v>
      </c>
      <c r="N713">
        <f>_xlfn.NUMBERVALUE(LEFT(Table11[[#This Row],[Score]],FIND("/",Table11[[#This Row],[Score]])-1))</f>
        <v>47</v>
      </c>
      <c r="O713">
        <f>IFERROR(_xlfn.NUMBERVALUE(LEFT(Table11[[#This Row],[Score2 ]],FIND("/",Table11[[#This Row],[Score2 ]])-1)),"")</f>
        <v>25</v>
      </c>
      <c r="P713" t="s">
        <v>170</v>
      </c>
      <c r="Q713" s="1" t="s">
        <v>153</v>
      </c>
      <c r="R713" t="str">
        <f>Table11[[#This Row],[Match]]&amp;" "&amp;Table11[[#This Row],[Over]]</f>
        <v>10 11</v>
      </c>
    </row>
    <row r="714" spans="1:18" x14ac:dyDescent="0.3">
      <c r="A714">
        <v>10</v>
      </c>
      <c r="B714" s="1">
        <v>12</v>
      </c>
      <c r="C714" s="1" t="s">
        <v>1285</v>
      </c>
      <c r="D714" s="1" t="s">
        <v>950</v>
      </c>
      <c r="E714" s="1" t="s">
        <v>989</v>
      </c>
      <c r="F714" s="1" t="s">
        <v>1019</v>
      </c>
      <c r="G714" s="1" t="s">
        <v>2807</v>
      </c>
      <c r="H714" s="1" t="s">
        <v>898</v>
      </c>
      <c r="I714" s="1" t="s">
        <v>1242</v>
      </c>
      <c r="J714" s="1" t="s">
        <v>977</v>
      </c>
      <c r="K714" s="1" t="s">
        <v>1783</v>
      </c>
      <c r="L714" s="1" t="s">
        <v>2337</v>
      </c>
      <c r="M714" s="1" t="s">
        <v>996</v>
      </c>
      <c r="N714">
        <f>_xlfn.NUMBERVALUE(LEFT(Table11[[#This Row],[Score]],FIND("/",Table11[[#This Row],[Score]])-1))</f>
        <v>52</v>
      </c>
      <c r="O714">
        <f>IFERROR(_xlfn.NUMBERVALUE(LEFT(Table11[[#This Row],[Score2 ]],FIND("/",Table11[[#This Row],[Score2 ]])-1)),"")</f>
        <v>27</v>
      </c>
      <c r="P714" t="s">
        <v>170</v>
      </c>
      <c r="Q714" s="1" t="s">
        <v>153</v>
      </c>
      <c r="R714" t="str">
        <f>Table11[[#This Row],[Match]]&amp;" "&amp;Table11[[#This Row],[Over]]</f>
        <v>10 12</v>
      </c>
    </row>
    <row r="715" spans="1:18" x14ac:dyDescent="0.3">
      <c r="A715">
        <v>10</v>
      </c>
      <c r="B715" s="1">
        <v>13</v>
      </c>
      <c r="C715" s="1" t="s">
        <v>1458</v>
      </c>
      <c r="D715" s="1" t="s">
        <v>922</v>
      </c>
      <c r="E715" s="1" t="s">
        <v>1001</v>
      </c>
      <c r="F715" s="1" t="s">
        <v>1013</v>
      </c>
      <c r="G715" s="1" t="s">
        <v>2808</v>
      </c>
      <c r="H715" s="1" t="s">
        <v>916</v>
      </c>
      <c r="I715" s="1" t="s">
        <v>2809</v>
      </c>
      <c r="J715" s="1" t="s">
        <v>940</v>
      </c>
      <c r="K715" s="1" t="s">
        <v>2810</v>
      </c>
      <c r="L715" s="1" t="s">
        <v>2237</v>
      </c>
      <c r="M715" s="1" t="s">
        <v>1004</v>
      </c>
      <c r="N715">
        <f>_xlfn.NUMBERVALUE(LEFT(Table11[[#This Row],[Score]],FIND("/",Table11[[#This Row],[Score]])-1))</f>
        <v>58</v>
      </c>
      <c r="O715">
        <f>IFERROR(_xlfn.NUMBERVALUE(LEFT(Table11[[#This Row],[Score2 ]],FIND("/",Table11[[#This Row],[Score2 ]])-1)),"")</f>
        <v>34</v>
      </c>
      <c r="P715" t="s">
        <v>170</v>
      </c>
      <c r="Q715" s="1" t="s">
        <v>153</v>
      </c>
      <c r="R715" t="str">
        <f>Table11[[#This Row],[Match]]&amp;" "&amp;Table11[[#This Row],[Over]]</f>
        <v>10 13</v>
      </c>
    </row>
    <row r="716" spans="1:18" x14ac:dyDescent="0.3">
      <c r="A716">
        <v>10</v>
      </c>
      <c r="B716" s="1">
        <v>14</v>
      </c>
      <c r="C716" s="1" t="s">
        <v>2455</v>
      </c>
      <c r="D716" s="1" t="s">
        <v>998</v>
      </c>
      <c r="E716" s="1" t="s">
        <v>1006</v>
      </c>
      <c r="F716" s="1" t="s">
        <v>1093</v>
      </c>
      <c r="G716" s="1" t="s">
        <v>2811</v>
      </c>
      <c r="H716" s="1" t="s">
        <v>922</v>
      </c>
      <c r="I716" s="1" t="s">
        <v>1809</v>
      </c>
      <c r="J716" s="1" t="s">
        <v>976</v>
      </c>
      <c r="K716" s="1" t="s">
        <v>2812</v>
      </c>
      <c r="L716" s="1" t="s">
        <v>2245</v>
      </c>
      <c r="M716" s="1" t="s">
        <v>1010</v>
      </c>
      <c r="N716">
        <f>_xlfn.NUMBERVALUE(LEFT(Table11[[#This Row],[Score]],FIND("/",Table11[[#This Row],[Score]])-1))</f>
        <v>62</v>
      </c>
      <c r="O716">
        <f>IFERROR(_xlfn.NUMBERVALUE(LEFT(Table11[[#This Row],[Score2 ]],FIND("/",Table11[[#This Row],[Score2 ]])-1)),"")</f>
        <v>40</v>
      </c>
      <c r="P716" t="s">
        <v>170</v>
      </c>
      <c r="Q716" s="1" t="s">
        <v>153</v>
      </c>
      <c r="R716" t="str">
        <f>Table11[[#This Row],[Match]]&amp;" "&amp;Table11[[#This Row],[Over]]</f>
        <v>10 14</v>
      </c>
    </row>
    <row r="717" spans="1:18" x14ac:dyDescent="0.3">
      <c r="A717">
        <v>10</v>
      </c>
      <c r="B717" s="1">
        <v>15</v>
      </c>
      <c r="C717" s="1" t="s">
        <v>1467</v>
      </c>
      <c r="D717" s="1" t="s">
        <v>916</v>
      </c>
      <c r="E717" s="1" t="s">
        <v>976</v>
      </c>
      <c r="F717" s="1" t="s">
        <v>976</v>
      </c>
      <c r="G717" s="1" t="s">
        <v>2813</v>
      </c>
      <c r="H717" s="1" t="s">
        <v>1095</v>
      </c>
      <c r="I717" s="1" t="s">
        <v>1265</v>
      </c>
      <c r="J717" s="1" t="s">
        <v>969</v>
      </c>
      <c r="K717" s="1" t="s">
        <v>2350</v>
      </c>
      <c r="L717" s="1" t="s">
        <v>1280</v>
      </c>
      <c r="M717" s="1" t="s">
        <v>1016</v>
      </c>
      <c r="N717">
        <f>_xlfn.NUMBERVALUE(LEFT(Table11[[#This Row],[Score]],FIND("/",Table11[[#This Row],[Score]])-1))</f>
        <v>69</v>
      </c>
      <c r="O717">
        <f>IFERROR(_xlfn.NUMBERVALUE(LEFT(Table11[[#This Row],[Score2 ]],FIND("/",Table11[[#This Row],[Score2 ]])-1)),"")</f>
        <v>50</v>
      </c>
      <c r="P717" t="s">
        <v>170</v>
      </c>
      <c r="Q717" s="1" t="s">
        <v>153</v>
      </c>
      <c r="R717" t="str">
        <f>Table11[[#This Row],[Match]]&amp;" "&amp;Table11[[#This Row],[Over]]</f>
        <v>10 15</v>
      </c>
    </row>
    <row r="718" spans="1:18" x14ac:dyDescent="0.3">
      <c r="A718">
        <v>10</v>
      </c>
      <c r="B718" s="1">
        <v>16</v>
      </c>
      <c r="C718" s="1" t="s">
        <v>1998</v>
      </c>
      <c r="D718" s="1" t="s">
        <v>898</v>
      </c>
      <c r="E718" s="1" t="s">
        <v>1999</v>
      </c>
      <c r="F718" s="1" t="s">
        <v>1093</v>
      </c>
      <c r="G718" s="1" t="s">
        <v>2814</v>
      </c>
      <c r="H718" s="1" t="s">
        <v>1051</v>
      </c>
      <c r="I718" s="1" t="s">
        <v>1866</v>
      </c>
      <c r="J718" s="1" t="s">
        <v>1116</v>
      </c>
      <c r="K718" s="1" t="s">
        <v>2729</v>
      </c>
      <c r="L718" s="1" t="s">
        <v>2606</v>
      </c>
      <c r="M718" s="1" t="s">
        <v>1024</v>
      </c>
      <c r="N718">
        <f>_xlfn.NUMBERVALUE(LEFT(Table11[[#This Row],[Score]],FIND("/",Table11[[#This Row],[Score]])-1))</f>
        <v>71</v>
      </c>
      <c r="O718">
        <f>IFERROR(_xlfn.NUMBERVALUE(LEFT(Table11[[#This Row],[Score2 ]],FIND("/",Table11[[#This Row],[Score2 ]])-1)),"")</f>
        <v>61</v>
      </c>
      <c r="P718" t="s">
        <v>170</v>
      </c>
      <c r="Q718" s="1" t="s">
        <v>153</v>
      </c>
      <c r="R718" t="str">
        <f>Table11[[#This Row],[Match]]&amp;" "&amp;Table11[[#This Row],[Over]]</f>
        <v>10 16</v>
      </c>
    </row>
    <row r="719" spans="1:18" x14ac:dyDescent="0.3">
      <c r="A719">
        <v>10</v>
      </c>
      <c r="B719" s="1">
        <v>17</v>
      </c>
      <c r="C719" s="1" t="s">
        <v>2626</v>
      </c>
      <c r="D719" s="1" t="s">
        <v>950</v>
      </c>
      <c r="E719" s="1" t="s">
        <v>1316</v>
      </c>
      <c r="F719" s="1" t="s">
        <v>1093</v>
      </c>
      <c r="G719" s="1" t="s">
        <v>2815</v>
      </c>
      <c r="H719" s="1" t="s">
        <v>898</v>
      </c>
      <c r="I719" s="1" t="s">
        <v>2816</v>
      </c>
      <c r="J719" s="1" t="s">
        <v>1116</v>
      </c>
      <c r="K719" s="1" t="s">
        <v>2234</v>
      </c>
      <c r="L719" s="1" t="s">
        <v>995</v>
      </c>
      <c r="M719" s="1" t="s">
        <v>1031</v>
      </c>
      <c r="N719">
        <f>_xlfn.NUMBERVALUE(LEFT(Table11[[#This Row],[Score]],FIND("/",Table11[[#This Row],[Score]])-1))</f>
        <v>76</v>
      </c>
      <c r="O719">
        <f>IFERROR(_xlfn.NUMBERVALUE(LEFT(Table11[[#This Row],[Score2 ]],FIND("/",Table11[[#This Row],[Score2 ]])-1)),"")</f>
        <v>63</v>
      </c>
      <c r="P719" t="s">
        <v>170</v>
      </c>
      <c r="Q719" s="1" t="s">
        <v>153</v>
      </c>
      <c r="R719" t="str">
        <f>Table11[[#This Row],[Match]]&amp;" "&amp;Table11[[#This Row],[Over]]</f>
        <v>10 17</v>
      </c>
    </row>
    <row r="720" spans="1:18" x14ac:dyDescent="0.3">
      <c r="A720">
        <v>10</v>
      </c>
      <c r="B720" s="1">
        <v>18</v>
      </c>
      <c r="C720" s="1" t="s">
        <v>1039</v>
      </c>
      <c r="D720" s="1" t="s">
        <v>916</v>
      </c>
      <c r="E720" s="1" t="s">
        <v>1055</v>
      </c>
      <c r="F720" s="1" t="s">
        <v>969</v>
      </c>
      <c r="G720" s="1" t="s">
        <v>2817</v>
      </c>
      <c r="H720" s="1" t="s">
        <v>916</v>
      </c>
      <c r="I720" s="1" t="s">
        <v>1860</v>
      </c>
      <c r="J720" s="1" t="s">
        <v>1116</v>
      </c>
      <c r="K720" s="1" t="s">
        <v>2818</v>
      </c>
      <c r="L720" s="1" t="s">
        <v>2124</v>
      </c>
      <c r="M720" s="1" t="s">
        <v>1037</v>
      </c>
      <c r="N720">
        <f>_xlfn.NUMBERVALUE(LEFT(Table11[[#This Row],[Score]],FIND("/",Table11[[#This Row],[Score]])-1))</f>
        <v>83</v>
      </c>
      <c r="O720">
        <f>IFERROR(_xlfn.NUMBERVALUE(LEFT(Table11[[#This Row],[Score2 ]],FIND("/",Table11[[#This Row],[Score2 ]])-1)),"")</f>
        <v>70</v>
      </c>
      <c r="P720" t="s">
        <v>170</v>
      </c>
      <c r="Q720" s="1" t="s">
        <v>153</v>
      </c>
      <c r="R720" t="str">
        <f>Table11[[#This Row],[Match]]&amp;" "&amp;Table11[[#This Row],[Over]]</f>
        <v>10 18</v>
      </c>
    </row>
    <row r="721" spans="1:18" x14ac:dyDescent="0.3">
      <c r="A721">
        <v>10</v>
      </c>
      <c r="B721" s="1">
        <v>19</v>
      </c>
      <c r="C721" s="1" t="s">
        <v>1304</v>
      </c>
      <c r="D721" s="1" t="s">
        <v>968</v>
      </c>
      <c r="E721" s="1" t="s">
        <v>1006</v>
      </c>
      <c r="F721" s="1" t="s">
        <v>940</v>
      </c>
      <c r="G721" s="1" t="s">
        <v>2819</v>
      </c>
      <c r="H721" s="1" t="s">
        <v>950</v>
      </c>
      <c r="I721" s="1" t="s">
        <v>2349</v>
      </c>
      <c r="J721" s="1" t="s">
        <v>952</v>
      </c>
      <c r="K721" s="1" t="s">
        <v>2820</v>
      </c>
      <c r="L721" s="1" t="s">
        <v>2264</v>
      </c>
      <c r="M721" s="1" t="s">
        <v>1043</v>
      </c>
      <c r="N721">
        <f>_xlfn.NUMBERVALUE(LEFT(Table11[[#This Row],[Score]],FIND("/",Table11[[#This Row],[Score]])-1))</f>
        <v>84</v>
      </c>
      <c r="O721">
        <f>IFERROR(_xlfn.NUMBERVALUE(LEFT(Table11[[#This Row],[Score2 ]],FIND("/",Table11[[#This Row],[Score2 ]])-1)),"")</f>
        <v>75</v>
      </c>
      <c r="P721" t="s">
        <v>170</v>
      </c>
      <c r="Q721" s="1" t="s">
        <v>153</v>
      </c>
      <c r="R721" t="str">
        <f>Table11[[#This Row],[Match]]&amp;" "&amp;Table11[[#This Row],[Over]]</f>
        <v>10 19</v>
      </c>
    </row>
    <row r="722" spans="1:18" x14ac:dyDescent="0.3">
      <c r="A722">
        <v>10</v>
      </c>
      <c r="B722" s="1">
        <v>20</v>
      </c>
      <c r="C722" s="1" t="s">
        <v>2821</v>
      </c>
      <c r="D722" s="1" t="s">
        <v>998</v>
      </c>
      <c r="E722" s="1" t="s">
        <v>940</v>
      </c>
      <c r="F722" s="1" t="s">
        <v>990</v>
      </c>
      <c r="G722" s="1" t="s">
        <v>2822</v>
      </c>
      <c r="H722" s="1" t="s">
        <v>950</v>
      </c>
      <c r="I722" s="1" t="s">
        <v>939</v>
      </c>
      <c r="J722" s="1" t="s">
        <v>1019</v>
      </c>
      <c r="K722" s="1" t="s">
        <v>1514</v>
      </c>
      <c r="L722" s="1" t="s">
        <v>2692</v>
      </c>
      <c r="M722" s="1" t="s">
        <v>1049</v>
      </c>
      <c r="N722">
        <f>_xlfn.NUMBERVALUE(LEFT(Table11[[#This Row],[Score]],FIND("/",Table11[[#This Row],[Score]])-1))</f>
        <v>88</v>
      </c>
      <c r="O722">
        <f>IFERROR(_xlfn.NUMBERVALUE(LEFT(Table11[[#This Row],[Score2 ]],FIND("/",Table11[[#This Row],[Score2 ]])-1)),"")</f>
        <v>80</v>
      </c>
      <c r="P722" t="s">
        <v>170</v>
      </c>
      <c r="Q722" s="1" t="s">
        <v>153</v>
      </c>
      <c r="R722" t="str">
        <f>Table11[[#This Row],[Match]]&amp;" "&amp;Table11[[#This Row],[Over]]</f>
        <v>10 20</v>
      </c>
    </row>
    <row r="723" spans="1:18" x14ac:dyDescent="0.3">
      <c r="A723">
        <v>10</v>
      </c>
      <c r="B723" s="1">
        <v>21</v>
      </c>
      <c r="C723" s="1" t="s">
        <v>2823</v>
      </c>
      <c r="D723" s="1" t="s">
        <v>904</v>
      </c>
      <c r="E723" s="1" t="s">
        <v>989</v>
      </c>
      <c r="F723" s="1" t="s">
        <v>939</v>
      </c>
      <c r="G723" s="1" t="s">
        <v>2635</v>
      </c>
      <c r="H723" s="1" t="s">
        <v>950</v>
      </c>
      <c r="I723" s="1" t="s">
        <v>1505</v>
      </c>
      <c r="J723" s="1" t="s">
        <v>1093</v>
      </c>
      <c r="K723" s="1" t="s">
        <v>1331</v>
      </c>
      <c r="L723" s="1" t="s">
        <v>2356</v>
      </c>
      <c r="M723" s="1" t="s">
        <v>1056</v>
      </c>
      <c r="N723">
        <f>_xlfn.NUMBERVALUE(LEFT(Table11[[#This Row],[Score]],FIND("/",Table11[[#This Row],[Score]])-1))</f>
        <v>91</v>
      </c>
      <c r="O723">
        <f>IFERROR(_xlfn.NUMBERVALUE(LEFT(Table11[[#This Row],[Score2 ]],FIND("/",Table11[[#This Row],[Score2 ]])-1)),"")</f>
        <v>85</v>
      </c>
      <c r="P723" t="s">
        <v>170</v>
      </c>
      <c r="Q723" s="1" t="s">
        <v>153</v>
      </c>
      <c r="R723" t="str">
        <f>Table11[[#This Row],[Match]]&amp;" "&amp;Table11[[#This Row],[Over]]</f>
        <v>10 21</v>
      </c>
    </row>
    <row r="724" spans="1:18" x14ac:dyDescent="0.3">
      <c r="A724">
        <v>10</v>
      </c>
      <c r="B724" s="1">
        <v>22</v>
      </c>
      <c r="C724" s="1" t="s">
        <v>1766</v>
      </c>
      <c r="D724" s="1" t="s">
        <v>898</v>
      </c>
      <c r="E724" s="1" t="s">
        <v>1535</v>
      </c>
      <c r="F724" s="1" t="s">
        <v>1247</v>
      </c>
      <c r="G724" s="1" t="s">
        <v>2824</v>
      </c>
      <c r="H724" s="1" t="s">
        <v>898</v>
      </c>
      <c r="I724" s="1" t="s">
        <v>2784</v>
      </c>
      <c r="J724" s="1" t="s">
        <v>1093</v>
      </c>
      <c r="K724" s="1" t="s">
        <v>1089</v>
      </c>
      <c r="L724" s="1" t="s">
        <v>1306</v>
      </c>
      <c r="M724" s="1" t="s">
        <v>1063</v>
      </c>
      <c r="N724">
        <f>_xlfn.NUMBERVALUE(LEFT(Table11[[#This Row],[Score]],FIND("/",Table11[[#This Row],[Score]])-1))</f>
        <v>93</v>
      </c>
      <c r="O724">
        <f>IFERROR(_xlfn.NUMBERVALUE(LEFT(Table11[[#This Row],[Score2 ]],FIND("/",Table11[[#This Row],[Score2 ]])-1)),"")</f>
        <v>87</v>
      </c>
      <c r="P724" t="s">
        <v>170</v>
      </c>
      <c r="Q724" s="1" t="s">
        <v>153</v>
      </c>
      <c r="R724" t="str">
        <f>Table11[[#This Row],[Match]]&amp;" "&amp;Table11[[#This Row],[Over]]</f>
        <v>10 22</v>
      </c>
    </row>
    <row r="725" spans="1:18" x14ac:dyDescent="0.3">
      <c r="A725">
        <v>10</v>
      </c>
      <c r="B725" s="1">
        <v>23</v>
      </c>
      <c r="C725" s="1" t="s">
        <v>1772</v>
      </c>
      <c r="D725" s="1" t="s">
        <v>904</v>
      </c>
      <c r="E725" s="1" t="s">
        <v>2652</v>
      </c>
      <c r="F725" s="1" t="s">
        <v>984</v>
      </c>
      <c r="G725" s="1" t="s">
        <v>2825</v>
      </c>
      <c r="H725" s="1" t="s">
        <v>950</v>
      </c>
      <c r="I725" s="1" t="s">
        <v>939</v>
      </c>
      <c r="J725" s="1" t="s">
        <v>940</v>
      </c>
      <c r="K725" s="1" t="s">
        <v>2826</v>
      </c>
      <c r="L725" s="1" t="s">
        <v>1470</v>
      </c>
      <c r="M725" s="1" t="s">
        <v>1070</v>
      </c>
      <c r="N725">
        <f>_xlfn.NUMBERVALUE(LEFT(Table11[[#This Row],[Score]],FIND("/",Table11[[#This Row],[Score]])-1))</f>
        <v>96</v>
      </c>
      <c r="O725">
        <f>IFERROR(_xlfn.NUMBERVALUE(LEFT(Table11[[#This Row],[Score2 ]],FIND("/",Table11[[#This Row],[Score2 ]])-1)),"")</f>
        <v>92</v>
      </c>
      <c r="P725" t="s">
        <v>170</v>
      </c>
      <c r="Q725" s="1" t="s">
        <v>153</v>
      </c>
      <c r="R725" t="str">
        <f>Table11[[#This Row],[Match]]&amp;" "&amp;Table11[[#This Row],[Over]]</f>
        <v>10 23</v>
      </c>
    </row>
    <row r="726" spans="1:18" x14ac:dyDescent="0.3">
      <c r="A726">
        <v>10</v>
      </c>
      <c r="B726" s="1">
        <v>24</v>
      </c>
      <c r="C726" s="1" t="s">
        <v>1777</v>
      </c>
      <c r="D726" s="1" t="s">
        <v>916</v>
      </c>
      <c r="E726" s="1" t="s">
        <v>1474</v>
      </c>
      <c r="F726" s="1" t="s">
        <v>990</v>
      </c>
      <c r="G726" s="1" t="s">
        <v>2640</v>
      </c>
      <c r="H726" s="1" t="s">
        <v>904</v>
      </c>
      <c r="I726" s="1" t="s">
        <v>2784</v>
      </c>
      <c r="J726" s="1" t="s">
        <v>939</v>
      </c>
      <c r="K726" s="1" t="s">
        <v>1348</v>
      </c>
      <c r="L726" s="1" t="s">
        <v>1010</v>
      </c>
      <c r="M726" s="1" t="s">
        <v>1077</v>
      </c>
      <c r="N726">
        <f>_xlfn.NUMBERVALUE(LEFT(Table11[[#This Row],[Score]],FIND("/",Table11[[#This Row],[Score]])-1))</f>
        <v>103</v>
      </c>
      <c r="O726">
        <f>IFERROR(_xlfn.NUMBERVALUE(LEFT(Table11[[#This Row],[Score2 ]],FIND("/",Table11[[#This Row],[Score2 ]])-1)),"")</f>
        <v>95</v>
      </c>
      <c r="P726" t="s">
        <v>170</v>
      </c>
      <c r="Q726" s="1" t="s">
        <v>153</v>
      </c>
      <c r="R726" t="str">
        <f>Table11[[#This Row],[Match]]&amp;" "&amp;Table11[[#This Row],[Over]]</f>
        <v>10 24</v>
      </c>
    </row>
    <row r="727" spans="1:18" x14ac:dyDescent="0.3">
      <c r="A727">
        <v>10</v>
      </c>
      <c r="B727" s="1">
        <v>25</v>
      </c>
      <c r="C727" s="1" t="s">
        <v>2631</v>
      </c>
      <c r="D727" s="1" t="s">
        <v>904</v>
      </c>
      <c r="E727" s="1" t="s">
        <v>2060</v>
      </c>
      <c r="F727" s="1" t="s">
        <v>977</v>
      </c>
      <c r="G727" s="1" t="s">
        <v>2479</v>
      </c>
      <c r="H727" s="1" t="s">
        <v>947</v>
      </c>
      <c r="I727" s="1" t="s">
        <v>1632</v>
      </c>
      <c r="J727" s="1" t="s">
        <v>1093</v>
      </c>
      <c r="K727" s="1" t="s">
        <v>1345</v>
      </c>
      <c r="L727" s="1" t="s">
        <v>2137</v>
      </c>
      <c r="M727" s="1" t="s">
        <v>1083</v>
      </c>
      <c r="N727">
        <f>_xlfn.NUMBERVALUE(LEFT(Table11[[#This Row],[Score]],FIND("/",Table11[[#This Row],[Score]])-1))</f>
        <v>106</v>
      </c>
      <c r="O727">
        <f>IFERROR(_xlfn.NUMBERVALUE(LEFT(Table11[[#This Row],[Score2 ]],FIND("/",Table11[[#This Row],[Score2 ]])-1)),"")</f>
        <v>104</v>
      </c>
      <c r="P727" t="s">
        <v>170</v>
      </c>
      <c r="Q727" s="1" t="s">
        <v>153</v>
      </c>
      <c r="R727" t="str">
        <f>Table11[[#This Row],[Match]]&amp;" "&amp;Table11[[#This Row],[Over]]</f>
        <v>10 25</v>
      </c>
    </row>
    <row r="728" spans="1:18" x14ac:dyDescent="0.3">
      <c r="A728">
        <v>10</v>
      </c>
      <c r="B728" s="1">
        <v>26</v>
      </c>
      <c r="C728" s="1" t="s">
        <v>2827</v>
      </c>
      <c r="D728" s="1" t="s">
        <v>930</v>
      </c>
      <c r="E728" s="1" t="s">
        <v>1035</v>
      </c>
      <c r="F728" s="1" t="s">
        <v>976</v>
      </c>
      <c r="G728" s="1" t="s">
        <v>2828</v>
      </c>
      <c r="H728" s="1" t="s">
        <v>968</v>
      </c>
      <c r="I728" s="1" t="s">
        <v>2021</v>
      </c>
      <c r="J728" s="1" t="s">
        <v>939</v>
      </c>
      <c r="K728" s="1" t="s">
        <v>2829</v>
      </c>
      <c r="L728" s="1" t="s">
        <v>2458</v>
      </c>
      <c r="M728" s="1" t="s">
        <v>1090</v>
      </c>
      <c r="N728">
        <f>_xlfn.NUMBERVALUE(LEFT(Table11[[#This Row],[Score]],FIND("/",Table11[[#This Row],[Score]])-1))</f>
        <v>114</v>
      </c>
      <c r="O728">
        <f>IFERROR(_xlfn.NUMBERVALUE(LEFT(Table11[[#This Row],[Score2 ]],FIND("/",Table11[[#This Row],[Score2 ]])-1)),"")</f>
        <v>105</v>
      </c>
      <c r="P728" t="s">
        <v>170</v>
      </c>
      <c r="Q728" s="1" t="s">
        <v>153</v>
      </c>
      <c r="R728" t="str">
        <f>Table11[[#This Row],[Match]]&amp;" "&amp;Table11[[#This Row],[Over]]</f>
        <v>10 26</v>
      </c>
    </row>
    <row r="729" spans="1:18" x14ac:dyDescent="0.3">
      <c r="A729">
        <v>10</v>
      </c>
      <c r="B729" s="1">
        <v>27</v>
      </c>
      <c r="C729" s="1" t="s">
        <v>1516</v>
      </c>
      <c r="D729" s="1" t="s">
        <v>950</v>
      </c>
      <c r="E729" s="1" t="s">
        <v>940</v>
      </c>
      <c r="F729" s="1" t="s">
        <v>1029</v>
      </c>
      <c r="G729" s="1" t="s">
        <v>2830</v>
      </c>
      <c r="H729" s="1" t="s">
        <v>950</v>
      </c>
      <c r="I729" s="1" t="s">
        <v>2632</v>
      </c>
      <c r="J729" s="1" t="s">
        <v>976</v>
      </c>
      <c r="K729" s="1" t="s">
        <v>2024</v>
      </c>
      <c r="L729" s="1" t="s">
        <v>1314</v>
      </c>
      <c r="M729" s="1" t="s">
        <v>1098</v>
      </c>
      <c r="N729">
        <f>_xlfn.NUMBERVALUE(LEFT(Table11[[#This Row],[Score]],FIND("/",Table11[[#This Row],[Score]])-1))</f>
        <v>119</v>
      </c>
      <c r="O729">
        <f>IFERROR(_xlfn.NUMBERVALUE(LEFT(Table11[[#This Row],[Score2 ]],FIND("/",Table11[[#This Row],[Score2 ]])-1)),"")</f>
        <v>110</v>
      </c>
      <c r="P729" t="s">
        <v>170</v>
      </c>
      <c r="Q729" s="1" t="s">
        <v>153</v>
      </c>
      <c r="R729" t="str">
        <f>Table11[[#This Row],[Match]]&amp;" "&amp;Table11[[#This Row],[Over]]</f>
        <v>10 27</v>
      </c>
    </row>
    <row r="730" spans="1:18" x14ac:dyDescent="0.3">
      <c r="A730">
        <v>10</v>
      </c>
      <c r="B730" s="1">
        <v>28</v>
      </c>
      <c r="C730" s="1" t="s">
        <v>2712</v>
      </c>
      <c r="D730" s="1" t="s">
        <v>947</v>
      </c>
      <c r="E730" s="1" t="s">
        <v>1362</v>
      </c>
      <c r="F730" s="1" t="s">
        <v>943</v>
      </c>
      <c r="G730" s="1" t="s">
        <v>2831</v>
      </c>
      <c r="H730" s="1" t="s">
        <v>922</v>
      </c>
      <c r="I730" s="1" t="s">
        <v>1008</v>
      </c>
      <c r="J730" s="1" t="s">
        <v>1093</v>
      </c>
      <c r="K730" s="1" t="s">
        <v>2387</v>
      </c>
      <c r="L730" s="1" t="s">
        <v>1323</v>
      </c>
      <c r="M730" s="1" t="s">
        <v>1101</v>
      </c>
      <c r="N730">
        <f>_xlfn.NUMBERVALUE(LEFT(Table11[[#This Row],[Score]],FIND("/",Table11[[#This Row],[Score]])-1))</f>
        <v>128</v>
      </c>
      <c r="O730">
        <f>IFERROR(_xlfn.NUMBERVALUE(LEFT(Table11[[#This Row],[Score2 ]],FIND("/",Table11[[#This Row],[Score2 ]])-1)),"")</f>
        <v>116</v>
      </c>
      <c r="P730" t="s">
        <v>170</v>
      </c>
      <c r="Q730" s="1" t="s">
        <v>153</v>
      </c>
      <c r="R730" t="str">
        <f>Table11[[#This Row],[Match]]&amp;" "&amp;Table11[[#This Row],[Over]]</f>
        <v>10 28</v>
      </c>
    </row>
    <row r="731" spans="1:18" x14ac:dyDescent="0.3">
      <c r="A731">
        <v>10</v>
      </c>
      <c r="B731" s="1">
        <v>29</v>
      </c>
      <c r="C731" s="1" t="s">
        <v>1336</v>
      </c>
      <c r="D731" s="1" t="s">
        <v>904</v>
      </c>
      <c r="E731" s="1" t="s">
        <v>1542</v>
      </c>
      <c r="F731" s="1" t="s">
        <v>934</v>
      </c>
      <c r="G731" s="1" t="s">
        <v>2588</v>
      </c>
      <c r="H731" s="1" t="s">
        <v>898</v>
      </c>
      <c r="I731" s="1" t="s">
        <v>1288</v>
      </c>
      <c r="J731" s="1" t="s">
        <v>976</v>
      </c>
      <c r="K731" s="1" t="s">
        <v>2832</v>
      </c>
      <c r="L731" s="1" t="s">
        <v>1328</v>
      </c>
      <c r="M731" s="1" t="s">
        <v>1108</v>
      </c>
      <c r="N731">
        <f>_xlfn.NUMBERVALUE(LEFT(Table11[[#This Row],[Score]],FIND("/",Table11[[#This Row],[Score]])-1))</f>
        <v>131</v>
      </c>
      <c r="O731">
        <f>IFERROR(_xlfn.NUMBERVALUE(LEFT(Table11[[#This Row],[Score2 ]],FIND("/",Table11[[#This Row],[Score2 ]])-1)),"")</f>
        <v>118</v>
      </c>
      <c r="P731" t="s">
        <v>170</v>
      </c>
      <c r="Q731" s="1" t="s">
        <v>153</v>
      </c>
      <c r="R731" t="str">
        <f>Table11[[#This Row],[Match]]&amp;" "&amp;Table11[[#This Row],[Over]]</f>
        <v>10 29</v>
      </c>
    </row>
    <row r="732" spans="1:18" x14ac:dyDescent="0.3">
      <c r="A732">
        <v>10</v>
      </c>
      <c r="B732" s="1">
        <v>30</v>
      </c>
      <c r="C732" s="1" t="s">
        <v>1339</v>
      </c>
      <c r="D732" s="1" t="s">
        <v>898</v>
      </c>
      <c r="E732" s="1" t="s">
        <v>1999</v>
      </c>
      <c r="F732" s="1" t="s">
        <v>966</v>
      </c>
      <c r="G732" s="1" t="s">
        <v>2833</v>
      </c>
      <c r="H732" s="1" t="s">
        <v>1103</v>
      </c>
      <c r="I732" s="1" t="s">
        <v>989</v>
      </c>
      <c r="J732" s="1" t="s">
        <v>1029</v>
      </c>
      <c r="K732" s="1" t="s">
        <v>2647</v>
      </c>
      <c r="L732" s="1" t="s">
        <v>1524</v>
      </c>
      <c r="M732" s="1" t="s">
        <v>1113</v>
      </c>
      <c r="N732">
        <f>_xlfn.NUMBERVALUE(LEFT(Table11[[#This Row],[Score]],FIND("/",Table11[[#This Row],[Score]])-1))</f>
        <v>133</v>
      </c>
      <c r="O732">
        <f>IFERROR(_xlfn.NUMBERVALUE(LEFT(Table11[[#This Row],[Score2 ]],FIND("/",Table11[[#This Row],[Score2 ]])-1)),"")</f>
        <v>130</v>
      </c>
      <c r="P732" t="s">
        <v>170</v>
      </c>
      <c r="Q732" s="1" t="s">
        <v>153</v>
      </c>
      <c r="R732" t="str">
        <f>Table11[[#This Row],[Match]]&amp;" "&amp;Table11[[#This Row],[Over]]</f>
        <v>10 30</v>
      </c>
    </row>
    <row r="733" spans="1:18" x14ac:dyDescent="0.3">
      <c r="A733">
        <v>10</v>
      </c>
      <c r="B733" s="1">
        <v>31</v>
      </c>
      <c r="C733" s="1" t="s">
        <v>2834</v>
      </c>
      <c r="D733" s="1" t="s">
        <v>1223</v>
      </c>
      <c r="E733" s="1" t="s">
        <v>1357</v>
      </c>
      <c r="F733" s="1" t="s">
        <v>1068</v>
      </c>
      <c r="G733" s="1" t="s">
        <v>2835</v>
      </c>
      <c r="H733" s="1" t="s">
        <v>904</v>
      </c>
      <c r="I733" s="1" t="s">
        <v>1474</v>
      </c>
      <c r="J733" s="1" t="s">
        <v>934</v>
      </c>
      <c r="K733" s="1" t="s">
        <v>2836</v>
      </c>
      <c r="L733" s="1" t="s">
        <v>2837</v>
      </c>
      <c r="M733" s="1" t="s">
        <v>1121</v>
      </c>
      <c r="N733">
        <f>_xlfn.NUMBERVALUE(LEFT(Table11[[#This Row],[Score]],FIND("/",Table11[[#This Row],[Score]])-1))</f>
        <v>151</v>
      </c>
      <c r="O733">
        <f>IFERROR(_xlfn.NUMBERVALUE(LEFT(Table11[[#This Row],[Score2 ]],FIND("/",Table11[[#This Row],[Score2 ]])-1)),"")</f>
        <v>133</v>
      </c>
      <c r="P733" t="s">
        <v>170</v>
      </c>
      <c r="Q733" s="1" t="s">
        <v>153</v>
      </c>
      <c r="R733" t="str">
        <f>Table11[[#This Row],[Match]]&amp;" "&amp;Table11[[#This Row],[Over]]</f>
        <v>10 31</v>
      </c>
    </row>
    <row r="734" spans="1:18" x14ac:dyDescent="0.3">
      <c r="A734">
        <v>10</v>
      </c>
      <c r="B734" s="1">
        <v>32</v>
      </c>
      <c r="C734" s="1" t="s">
        <v>2042</v>
      </c>
      <c r="D734" s="1" t="s">
        <v>998</v>
      </c>
      <c r="E734" s="1" t="s">
        <v>1160</v>
      </c>
      <c r="F734" s="1" t="s">
        <v>1116</v>
      </c>
      <c r="G734" s="1" t="s">
        <v>2838</v>
      </c>
      <c r="H734" s="1" t="s">
        <v>930</v>
      </c>
      <c r="I734" s="1" t="s">
        <v>940</v>
      </c>
      <c r="J734" s="1" t="s">
        <v>970</v>
      </c>
      <c r="K734" s="1" t="s">
        <v>2839</v>
      </c>
      <c r="L734" s="1" t="s">
        <v>2041</v>
      </c>
      <c r="M734" s="1" t="s">
        <v>1127</v>
      </c>
      <c r="N734">
        <f>_xlfn.NUMBERVALUE(LEFT(Table11[[#This Row],[Score]],FIND("/",Table11[[#This Row],[Score]])-1))</f>
        <v>155</v>
      </c>
      <c r="O734">
        <f>IFERROR(_xlfn.NUMBERVALUE(LEFT(Table11[[#This Row],[Score2 ]],FIND("/",Table11[[#This Row],[Score2 ]])-1)),"")</f>
        <v>141</v>
      </c>
      <c r="P734" t="s">
        <v>170</v>
      </c>
      <c r="Q734" s="1" t="s">
        <v>153</v>
      </c>
      <c r="R734" t="str">
        <f>Table11[[#This Row],[Match]]&amp;" "&amp;Table11[[#This Row],[Over]]</f>
        <v>10 32</v>
      </c>
    </row>
    <row r="735" spans="1:18" x14ac:dyDescent="0.3">
      <c r="A735">
        <v>10</v>
      </c>
      <c r="B735" s="1">
        <v>33</v>
      </c>
      <c r="C735" s="1" t="s">
        <v>1816</v>
      </c>
      <c r="D735" s="1" t="s">
        <v>968</v>
      </c>
      <c r="E735" s="1" t="s">
        <v>1194</v>
      </c>
      <c r="F735" s="1" t="s">
        <v>934</v>
      </c>
      <c r="G735" s="1" t="s">
        <v>2584</v>
      </c>
      <c r="H735" s="1" t="s">
        <v>950</v>
      </c>
      <c r="I735" s="1" t="s">
        <v>1006</v>
      </c>
      <c r="J735" s="1" t="s">
        <v>1019</v>
      </c>
      <c r="K735" s="1" t="s">
        <v>2840</v>
      </c>
      <c r="L735" s="1" t="s">
        <v>2707</v>
      </c>
      <c r="M735" s="1" t="s">
        <v>1132</v>
      </c>
      <c r="N735">
        <f>_xlfn.NUMBERVALUE(LEFT(Table11[[#This Row],[Score]],FIND("/",Table11[[#This Row],[Score]])-1))</f>
        <v>156</v>
      </c>
      <c r="O735">
        <f>IFERROR(_xlfn.NUMBERVALUE(LEFT(Table11[[#This Row],[Score2 ]],FIND("/",Table11[[#This Row],[Score2 ]])-1)),"")</f>
        <v>146</v>
      </c>
      <c r="P735" t="s">
        <v>170</v>
      </c>
      <c r="Q735" s="1" t="s">
        <v>153</v>
      </c>
      <c r="R735" t="str">
        <f>Table11[[#This Row],[Match]]&amp;" "&amp;Table11[[#This Row],[Over]]</f>
        <v>10 33</v>
      </c>
    </row>
    <row r="736" spans="1:18" x14ac:dyDescent="0.3">
      <c r="A736">
        <v>10</v>
      </c>
      <c r="B736" s="1">
        <v>34</v>
      </c>
      <c r="C736" s="1" t="s">
        <v>2841</v>
      </c>
      <c r="D736" s="1" t="s">
        <v>968</v>
      </c>
      <c r="E736" s="1" t="s">
        <v>1055</v>
      </c>
      <c r="F736" s="1" t="s">
        <v>1029</v>
      </c>
      <c r="G736" s="1" t="s">
        <v>2842</v>
      </c>
      <c r="H736" s="1" t="s">
        <v>922</v>
      </c>
      <c r="I736" s="1" t="s">
        <v>1316</v>
      </c>
      <c r="J736" s="1" t="s">
        <v>1053</v>
      </c>
      <c r="K736" s="1" t="s">
        <v>2843</v>
      </c>
      <c r="L736" s="1" t="s">
        <v>2290</v>
      </c>
      <c r="M736" s="1" t="s">
        <v>1138</v>
      </c>
      <c r="N736">
        <f>_xlfn.NUMBERVALUE(LEFT(Table11[[#This Row],[Score]],FIND("/",Table11[[#This Row],[Score]])-1))</f>
        <v>157</v>
      </c>
      <c r="O736">
        <f>IFERROR(_xlfn.NUMBERVALUE(LEFT(Table11[[#This Row],[Score2 ]],FIND("/",Table11[[#This Row],[Score2 ]])-1)),"")</f>
        <v>152</v>
      </c>
      <c r="P736" t="s">
        <v>170</v>
      </c>
      <c r="Q736" s="1" t="s">
        <v>153</v>
      </c>
      <c r="R736" t="str">
        <f>Table11[[#This Row],[Match]]&amp;" "&amp;Table11[[#This Row],[Over]]</f>
        <v>10 34</v>
      </c>
    </row>
    <row r="737" spans="1:18" x14ac:dyDescent="0.3">
      <c r="A737">
        <v>10</v>
      </c>
      <c r="B737" s="1">
        <v>35</v>
      </c>
      <c r="C737" s="1" t="s">
        <v>2844</v>
      </c>
      <c r="D737" s="1" t="s">
        <v>922</v>
      </c>
      <c r="E737" s="1" t="s">
        <v>1330</v>
      </c>
      <c r="F737" s="1" t="s">
        <v>1019</v>
      </c>
      <c r="G737" s="1" t="s">
        <v>1140</v>
      </c>
      <c r="H737" s="1" t="s">
        <v>898</v>
      </c>
      <c r="I737" s="1" t="s">
        <v>940</v>
      </c>
      <c r="J737" s="1" t="s">
        <v>1093</v>
      </c>
      <c r="K737" s="1" t="s">
        <v>2845</v>
      </c>
      <c r="L737" s="1" t="s">
        <v>1363</v>
      </c>
      <c r="M737" s="1" t="s">
        <v>1143</v>
      </c>
      <c r="N737">
        <f>_xlfn.NUMBERVALUE(LEFT(Table11[[#This Row],[Score]],FIND("/",Table11[[#This Row],[Score]])-1))</f>
        <v>163</v>
      </c>
      <c r="O737">
        <f>IFERROR(_xlfn.NUMBERVALUE(LEFT(Table11[[#This Row],[Score2 ]],FIND("/",Table11[[#This Row],[Score2 ]])-1)),"")</f>
        <v>154</v>
      </c>
      <c r="P737" t="s">
        <v>170</v>
      </c>
      <c r="Q737" s="1" t="s">
        <v>153</v>
      </c>
      <c r="R737" t="str">
        <f>Table11[[#This Row],[Match]]&amp;" "&amp;Table11[[#This Row],[Over]]</f>
        <v>10 35</v>
      </c>
    </row>
    <row r="738" spans="1:18" x14ac:dyDescent="0.3">
      <c r="A738">
        <v>10</v>
      </c>
      <c r="B738" s="1">
        <v>36</v>
      </c>
      <c r="C738" s="1" t="s">
        <v>2846</v>
      </c>
      <c r="D738" s="1" t="s">
        <v>998</v>
      </c>
      <c r="E738" s="1" t="s">
        <v>1935</v>
      </c>
      <c r="F738" s="1" t="s">
        <v>1259</v>
      </c>
      <c r="G738" s="1" t="s">
        <v>2847</v>
      </c>
      <c r="H738" s="1" t="s">
        <v>968</v>
      </c>
      <c r="I738" s="1" t="s">
        <v>999</v>
      </c>
      <c r="J738" s="1" t="s">
        <v>940</v>
      </c>
      <c r="K738" s="1" t="s">
        <v>2848</v>
      </c>
      <c r="L738" s="1" t="s">
        <v>1077</v>
      </c>
      <c r="M738" s="1" t="s">
        <v>1150</v>
      </c>
      <c r="N738">
        <f>_xlfn.NUMBERVALUE(LEFT(Table11[[#This Row],[Score]],FIND("/",Table11[[#This Row],[Score]])-1))</f>
        <v>167</v>
      </c>
      <c r="O738">
        <f>IFERROR(_xlfn.NUMBERVALUE(LEFT(Table11[[#This Row],[Score2 ]],FIND("/",Table11[[#This Row],[Score2 ]])-1)),"")</f>
        <v>155</v>
      </c>
      <c r="P738" t="s">
        <v>170</v>
      </c>
      <c r="Q738" s="1" t="s">
        <v>153</v>
      </c>
      <c r="R738" t="str">
        <f>Table11[[#This Row],[Match]]&amp;" "&amp;Table11[[#This Row],[Over]]</f>
        <v>10 36</v>
      </c>
    </row>
    <row r="739" spans="1:18" x14ac:dyDescent="0.3">
      <c r="A739">
        <v>10</v>
      </c>
      <c r="B739" s="1">
        <v>37</v>
      </c>
      <c r="C739" s="1" t="s">
        <v>2849</v>
      </c>
      <c r="D739" s="1" t="s">
        <v>1095</v>
      </c>
      <c r="E739" s="1" t="s">
        <v>1180</v>
      </c>
      <c r="F739" s="1" t="s">
        <v>940</v>
      </c>
      <c r="G739" s="1" t="s">
        <v>2850</v>
      </c>
      <c r="H739" s="1" t="s">
        <v>904</v>
      </c>
      <c r="I739" s="1" t="s">
        <v>983</v>
      </c>
      <c r="J739" s="1" t="s">
        <v>1247</v>
      </c>
      <c r="K739" s="1" t="s">
        <v>2851</v>
      </c>
      <c r="L739" s="1" t="s">
        <v>1763</v>
      </c>
      <c r="M739" s="1" t="s">
        <v>1156</v>
      </c>
      <c r="N739">
        <f>_xlfn.NUMBERVALUE(LEFT(Table11[[#This Row],[Score]],FIND("/",Table11[[#This Row],[Score]])-1))</f>
        <v>177</v>
      </c>
      <c r="O739">
        <f>IFERROR(_xlfn.NUMBERVALUE(LEFT(Table11[[#This Row],[Score2 ]],FIND("/",Table11[[#This Row],[Score2 ]])-1)),"")</f>
        <v>158</v>
      </c>
      <c r="P739" t="s">
        <v>170</v>
      </c>
      <c r="Q739" s="1" t="s">
        <v>153</v>
      </c>
      <c r="R739" t="str">
        <f>Table11[[#This Row],[Match]]&amp;" "&amp;Table11[[#This Row],[Over]]</f>
        <v>10 37</v>
      </c>
    </row>
    <row r="740" spans="1:18" x14ac:dyDescent="0.3">
      <c r="A740">
        <v>10</v>
      </c>
      <c r="B740" s="1">
        <v>38</v>
      </c>
      <c r="C740" s="1" t="s">
        <v>2852</v>
      </c>
      <c r="D740" s="1" t="s">
        <v>950</v>
      </c>
      <c r="E740" s="1" t="s">
        <v>1180</v>
      </c>
      <c r="F740" s="1" t="s">
        <v>1029</v>
      </c>
      <c r="G740" s="1" t="s">
        <v>2850</v>
      </c>
      <c r="H740" s="1" t="s">
        <v>1007</v>
      </c>
      <c r="I740" s="1" t="s">
        <v>1303</v>
      </c>
      <c r="J740" s="1" t="s">
        <v>1088</v>
      </c>
      <c r="K740" s="1" t="s">
        <v>2402</v>
      </c>
      <c r="L740" s="1" t="s">
        <v>1763</v>
      </c>
      <c r="M740" s="1" t="s">
        <v>1164</v>
      </c>
      <c r="N740">
        <f>_xlfn.NUMBERVALUE(LEFT(Table11[[#This Row],[Score]],FIND("/",Table11[[#This Row],[Score]])-1))</f>
        <v>182</v>
      </c>
      <c r="O740">
        <f>IFERROR(_xlfn.NUMBERVALUE(LEFT(Table11[[#This Row],[Score2 ]],FIND("/",Table11[[#This Row],[Score2 ]])-1)),"")</f>
        <v>158</v>
      </c>
      <c r="P740" t="s">
        <v>170</v>
      </c>
      <c r="Q740" s="1" t="s">
        <v>153</v>
      </c>
      <c r="R740" t="str">
        <f>Table11[[#This Row],[Match]]&amp;" "&amp;Table11[[#This Row],[Over]]</f>
        <v>10 38</v>
      </c>
    </row>
    <row r="741" spans="1:18" x14ac:dyDescent="0.3">
      <c r="A741">
        <v>10</v>
      </c>
      <c r="B741" s="1">
        <v>39</v>
      </c>
      <c r="C741" s="1" t="s">
        <v>2286</v>
      </c>
      <c r="D741" s="1" t="s">
        <v>922</v>
      </c>
      <c r="E741" s="1" t="s">
        <v>1026</v>
      </c>
      <c r="F741" s="1" t="s">
        <v>970</v>
      </c>
      <c r="G741" s="1" t="s">
        <v>2853</v>
      </c>
      <c r="H741" s="1" t="s">
        <v>898</v>
      </c>
      <c r="I741" s="1" t="s">
        <v>1483</v>
      </c>
      <c r="J741" s="1" t="s">
        <v>1770</v>
      </c>
      <c r="K741" s="1" t="s">
        <v>2854</v>
      </c>
      <c r="L741" s="1" t="s">
        <v>1376</v>
      </c>
      <c r="M741" s="1" t="s">
        <v>1171</v>
      </c>
      <c r="N741">
        <f>_xlfn.NUMBERVALUE(LEFT(Table11[[#This Row],[Score]],FIND("/",Table11[[#This Row],[Score]])-1))</f>
        <v>188</v>
      </c>
      <c r="O741">
        <f>IFERROR(_xlfn.NUMBERVALUE(LEFT(Table11[[#This Row],[Score2 ]],FIND("/",Table11[[#This Row],[Score2 ]])-1)),"")</f>
        <v>160</v>
      </c>
      <c r="P741" t="s">
        <v>170</v>
      </c>
      <c r="Q741" s="1" t="s">
        <v>153</v>
      </c>
      <c r="R741" t="str">
        <f>Table11[[#This Row],[Match]]&amp;" "&amp;Table11[[#This Row],[Over]]</f>
        <v>10 39</v>
      </c>
    </row>
    <row r="742" spans="1:18" x14ac:dyDescent="0.3">
      <c r="A742">
        <v>10</v>
      </c>
      <c r="B742" s="1">
        <v>40</v>
      </c>
      <c r="C742" s="1" t="s">
        <v>2855</v>
      </c>
      <c r="D742" s="1" t="s">
        <v>916</v>
      </c>
      <c r="E742" s="1" t="s">
        <v>1357</v>
      </c>
      <c r="F742" s="1" t="s">
        <v>943</v>
      </c>
      <c r="N742">
        <f>_xlfn.NUMBERVALUE(LEFT(Table11[[#This Row],[Score]],FIND("/",Table11[[#This Row],[Score]])-1))</f>
        <v>195</v>
      </c>
      <c r="O742" t="str">
        <f>IFERROR(_xlfn.NUMBERVALUE(LEFT(Table11[[#This Row],[Score2 ]],FIND("/",Table11[[#This Row],[Score2 ]])-1)),"")</f>
        <v/>
      </c>
      <c r="P742" t="s">
        <v>170</v>
      </c>
      <c r="Q742" s="1" t="s">
        <v>153</v>
      </c>
      <c r="R742" t="str">
        <f>Table11[[#This Row],[Match]]&amp;" "&amp;Table11[[#This Row],[Over]]</f>
        <v>10 40</v>
      </c>
    </row>
    <row r="743" spans="1:18" x14ac:dyDescent="0.3">
      <c r="A743">
        <v>10</v>
      </c>
      <c r="B743" s="1">
        <v>41</v>
      </c>
      <c r="C743" s="1" t="s">
        <v>2856</v>
      </c>
      <c r="D743" s="1" t="s">
        <v>922</v>
      </c>
      <c r="E743" s="1" t="s">
        <v>1045</v>
      </c>
      <c r="F743" s="1" t="s">
        <v>1053</v>
      </c>
      <c r="N743">
        <f>_xlfn.NUMBERVALUE(LEFT(Table11[[#This Row],[Score]],FIND("/",Table11[[#This Row],[Score]])-1))</f>
        <v>201</v>
      </c>
      <c r="O743" t="str">
        <f>IFERROR(_xlfn.NUMBERVALUE(LEFT(Table11[[#This Row],[Score2 ]],FIND("/",Table11[[#This Row],[Score2 ]])-1)),"")</f>
        <v/>
      </c>
      <c r="P743" t="s">
        <v>170</v>
      </c>
      <c r="Q743" s="1" t="s">
        <v>153</v>
      </c>
      <c r="R743" t="str">
        <f>Table11[[#This Row],[Match]]&amp;" "&amp;Table11[[#This Row],[Over]]</f>
        <v>10 41</v>
      </c>
    </row>
    <row r="744" spans="1:18" x14ac:dyDescent="0.3">
      <c r="A744">
        <v>10</v>
      </c>
      <c r="B744" s="1">
        <v>42</v>
      </c>
      <c r="C744" s="1" t="s">
        <v>2857</v>
      </c>
      <c r="D744" s="1" t="s">
        <v>1147</v>
      </c>
      <c r="E744" s="1" t="s">
        <v>1092</v>
      </c>
      <c r="F744" s="1" t="s">
        <v>1168</v>
      </c>
      <c r="N744">
        <f>_xlfn.NUMBERVALUE(LEFT(Table11[[#This Row],[Score]],FIND("/",Table11[[#This Row],[Score]])-1))</f>
        <v>216</v>
      </c>
      <c r="O744" t="str">
        <f>IFERROR(_xlfn.NUMBERVALUE(LEFT(Table11[[#This Row],[Score2 ]],FIND("/",Table11[[#This Row],[Score2 ]])-1)),"")</f>
        <v/>
      </c>
      <c r="P744" t="s">
        <v>170</v>
      </c>
      <c r="Q744" s="1" t="s">
        <v>153</v>
      </c>
      <c r="R744" t="str">
        <f>Table11[[#This Row],[Match]]&amp;" "&amp;Table11[[#This Row],[Over]]</f>
        <v>10 42</v>
      </c>
    </row>
    <row r="745" spans="1:18" x14ac:dyDescent="0.3">
      <c r="A745">
        <v>10</v>
      </c>
      <c r="B745" s="1">
        <v>43</v>
      </c>
      <c r="C745" s="1" t="s">
        <v>2858</v>
      </c>
      <c r="D745" s="1" t="s">
        <v>898</v>
      </c>
      <c r="E745" s="1" t="s">
        <v>2279</v>
      </c>
      <c r="F745" s="1" t="s">
        <v>1116</v>
      </c>
      <c r="N745">
        <f>_xlfn.NUMBERVALUE(LEFT(Table11[[#This Row],[Score]],FIND("/",Table11[[#This Row],[Score]])-1))</f>
        <v>218</v>
      </c>
      <c r="O745" t="str">
        <f>IFERROR(_xlfn.NUMBERVALUE(LEFT(Table11[[#This Row],[Score2 ]],FIND("/",Table11[[#This Row],[Score2 ]])-1)),"")</f>
        <v/>
      </c>
      <c r="P745" t="s">
        <v>170</v>
      </c>
      <c r="Q745" s="1" t="s">
        <v>153</v>
      </c>
      <c r="R745" t="str">
        <f>Table11[[#This Row],[Match]]&amp;" "&amp;Table11[[#This Row],[Over]]</f>
        <v>10 43</v>
      </c>
    </row>
    <row r="746" spans="1:18" x14ac:dyDescent="0.3">
      <c r="A746">
        <v>10</v>
      </c>
      <c r="B746" s="1">
        <v>44</v>
      </c>
      <c r="C746" s="1" t="s">
        <v>2859</v>
      </c>
      <c r="D746" s="1" t="s">
        <v>904</v>
      </c>
      <c r="E746" s="1" t="s">
        <v>2860</v>
      </c>
      <c r="F746" s="1" t="s">
        <v>960</v>
      </c>
      <c r="N746">
        <f>_xlfn.NUMBERVALUE(LEFT(Table11[[#This Row],[Score]],FIND("/",Table11[[#This Row],[Score]])-1))</f>
        <v>221</v>
      </c>
      <c r="O746" t="str">
        <f>IFERROR(_xlfn.NUMBERVALUE(LEFT(Table11[[#This Row],[Score2 ]],FIND("/",Table11[[#This Row],[Score2 ]])-1)),"")</f>
        <v/>
      </c>
      <c r="P746" t="s">
        <v>170</v>
      </c>
      <c r="Q746" s="1" t="s">
        <v>153</v>
      </c>
      <c r="R746" t="str">
        <f>Table11[[#This Row],[Match]]&amp;" "&amp;Table11[[#This Row],[Over]]</f>
        <v>10 44</v>
      </c>
    </row>
    <row r="747" spans="1:18" x14ac:dyDescent="0.3">
      <c r="A747">
        <v>10</v>
      </c>
      <c r="B747" s="1">
        <v>45</v>
      </c>
      <c r="C747" s="1" t="s">
        <v>2861</v>
      </c>
      <c r="D747" s="1" t="s">
        <v>1095</v>
      </c>
      <c r="E747" s="1" t="s">
        <v>2167</v>
      </c>
      <c r="F747" s="1" t="s">
        <v>1116</v>
      </c>
      <c r="N747">
        <f>_xlfn.NUMBERVALUE(LEFT(Table11[[#This Row],[Score]],FIND("/",Table11[[#This Row],[Score]])-1))</f>
        <v>231</v>
      </c>
      <c r="O747" t="str">
        <f>IFERROR(_xlfn.NUMBERVALUE(LEFT(Table11[[#This Row],[Score2 ]],FIND("/",Table11[[#This Row],[Score2 ]])-1)),"")</f>
        <v/>
      </c>
      <c r="P747" t="s">
        <v>170</v>
      </c>
      <c r="Q747" s="1" t="s">
        <v>153</v>
      </c>
      <c r="R747" t="str">
        <f>Table11[[#This Row],[Match]]&amp;" "&amp;Table11[[#This Row],[Over]]</f>
        <v>10 45</v>
      </c>
    </row>
    <row r="748" spans="1:18" x14ac:dyDescent="0.3">
      <c r="A748">
        <v>10</v>
      </c>
      <c r="B748" s="1">
        <v>46</v>
      </c>
      <c r="C748" s="1" t="s">
        <v>2074</v>
      </c>
      <c r="D748" s="1" t="s">
        <v>933</v>
      </c>
      <c r="E748" s="1" t="s">
        <v>2719</v>
      </c>
      <c r="F748" s="1" t="s">
        <v>1154</v>
      </c>
      <c r="N748">
        <f>_xlfn.NUMBERVALUE(LEFT(Table11[[#This Row],[Score]],FIND("/",Table11[[#This Row],[Score]])-1))</f>
        <v>245</v>
      </c>
      <c r="O748" t="str">
        <f>IFERROR(_xlfn.NUMBERVALUE(LEFT(Table11[[#This Row],[Score2 ]],FIND("/",Table11[[#This Row],[Score2 ]])-1)),"")</f>
        <v/>
      </c>
      <c r="P748" t="s">
        <v>170</v>
      </c>
      <c r="Q748" s="1" t="s">
        <v>153</v>
      </c>
      <c r="R748" t="str">
        <f>Table11[[#This Row],[Match]]&amp;" "&amp;Table11[[#This Row],[Over]]</f>
        <v>10 46</v>
      </c>
    </row>
    <row r="749" spans="1:18" x14ac:dyDescent="0.3">
      <c r="A749">
        <v>10</v>
      </c>
      <c r="B749" s="1">
        <v>47</v>
      </c>
      <c r="C749" s="1" t="s">
        <v>2862</v>
      </c>
      <c r="D749" s="1" t="s">
        <v>1390</v>
      </c>
      <c r="E749" s="1" t="s">
        <v>1115</v>
      </c>
      <c r="F749" s="1" t="s">
        <v>1335</v>
      </c>
      <c r="N749">
        <f>_xlfn.NUMBERVALUE(LEFT(Table11[[#This Row],[Score]],FIND("/",Table11[[#This Row],[Score]])-1))</f>
        <v>258</v>
      </c>
      <c r="O749" t="str">
        <f>IFERROR(_xlfn.NUMBERVALUE(LEFT(Table11[[#This Row],[Score2 ]],FIND("/",Table11[[#This Row],[Score2 ]])-1)),"")</f>
        <v/>
      </c>
      <c r="P749" t="s">
        <v>170</v>
      </c>
      <c r="Q749" s="1" t="s">
        <v>153</v>
      </c>
      <c r="R749" t="str">
        <f>Table11[[#This Row],[Match]]&amp;" "&amp;Table11[[#This Row],[Over]]</f>
        <v>10 47</v>
      </c>
    </row>
    <row r="750" spans="1:18" x14ac:dyDescent="0.3">
      <c r="A750">
        <v>10</v>
      </c>
      <c r="B750" s="1">
        <v>48</v>
      </c>
      <c r="C750" s="1" t="s">
        <v>2863</v>
      </c>
      <c r="D750" s="1" t="s">
        <v>1390</v>
      </c>
      <c r="E750" s="1" t="s">
        <v>2242</v>
      </c>
      <c r="F750" s="1" t="s">
        <v>1568</v>
      </c>
      <c r="N750">
        <f>_xlfn.NUMBERVALUE(LEFT(Table11[[#This Row],[Score]],FIND("/",Table11[[#This Row],[Score]])-1))</f>
        <v>271</v>
      </c>
      <c r="O750" t="str">
        <f>IFERROR(_xlfn.NUMBERVALUE(LEFT(Table11[[#This Row],[Score2 ]],FIND("/",Table11[[#This Row],[Score2 ]])-1)),"")</f>
        <v/>
      </c>
      <c r="P750" t="s">
        <v>170</v>
      </c>
      <c r="Q750" s="1" t="s">
        <v>153</v>
      </c>
      <c r="R750" t="str">
        <f>Table11[[#This Row],[Match]]&amp;" "&amp;Table11[[#This Row],[Over]]</f>
        <v>10 48</v>
      </c>
    </row>
    <row r="751" spans="1:18" x14ac:dyDescent="0.3">
      <c r="A751">
        <v>10</v>
      </c>
      <c r="B751" s="1">
        <v>49</v>
      </c>
      <c r="C751" s="1" t="s">
        <v>2864</v>
      </c>
      <c r="D751" s="1" t="s">
        <v>1695</v>
      </c>
      <c r="E751" s="1" t="s">
        <v>2442</v>
      </c>
      <c r="F751" s="1" t="s">
        <v>2764</v>
      </c>
      <c r="N751">
        <f>_xlfn.NUMBERVALUE(LEFT(Table11[[#This Row],[Score]],FIND("/",Table11[[#This Row],[Score]])-1))</f>
        <v>293</v>
      </c>
      <c r="O751" t="str">
        <f>IFERROR(_xlfn.NUMBERVALUE(LEFT(Table11[[#This Row],[Score2 ]],FIND("/",Table11[[#This Row],[Score2 ]])-1)),"")</f>
        <v/>
      </c>
      <c r="P751" t="s">
        <v>170</v>
      </c>
      <c r="Q751" s="1" t="s">
        <v>153</v>
      </c>
      <c r="R751" t="str">
        <f>Table11[[#This Row],[Match]]&amp;" "&amp;Table11[[#This Row],[Over]]</f>
        <v>10 49</v>
      </c>
    </row>
    <row r="752" spans="1:18" x14ac:dyDescent="0.3">
      <c r="A752">
        <v>10</v>
      </c>
      <c r="B752" s="1">
        <v>50</v>
      </c>
      <c r="C752" s="1" t="s">
        <v>2318</v>
      </c>
      <c r="D752" s="1" t="s">
        <v>1566</v>
      </c>
      <c r="E752" s="1" t="s">
        <v>970</v>
      </c>
      <c r="F752" s="1" t="s">
        <v>2865</v>
      </c>
      <c r="N752">
        <f>_xlfn.NUMBERVALUE(LEFT(Table11[[#This Row],[Score]],FIND("/",Table11[[#This Row],[Score]])-1))</f>
        <v>310</v>
      </c>
      <c r="O752" t="str">
        <f>IFERROR(_xlfn.NUMBERVALUE(LEFT(Table11[[#This Row],[Score2 ]],FIND("/",Table11[[#This Row],[Score2 ]])-1)),"")</f>
        <v/>
      </c>
      <c r="P752" t="s">
        <v>170</v>
      </c>
      <c r="Q752" s="1" t="s">
        <v>153</v>
      </c>
      <c r="R752" t="str">
        <f>Table11[[#This Row],[Match]]&amp;" "&amp;Table11[[#This Row],[Over]]</f>
        <v>10 50</v>
      </c>
    </row>
    <row r="753" spans="1:18" x14ac:dyDescent="0.3">
      <c r="A753">
        <v>12</v>
      </c>
      <c r="B753" s="1">
        <v>1</v>
      </c>
      <c r="C753" s="1" t="s">
        <v>1230</v>
      </c>
      <c r="D753" s="1" t="s">
        <v>1007</v>
      </c>
      <c r="E753" s="1" t="s">
        <v>1231</v>
      </c>
      <c r="F753" s="1" t="s">
        <v>348</v>
      </c>
      <c r="G753" s="1" t="s">
        <v>2866</v>
      </c>
      <c r="H753" s="1" t="s">
        <v>968</v>
      </c>
      <c r="I753" s="1" t="s">
        <v>1662</v>
      </c>
      <c r="J753" s="1" t="s">
        <v>348</v>
      </c>
      <c r="K753" s="1" t="s">
        <v>1012</v>
      </c>
      <c r="L753" s="1" t="s">
        <v>2000</v>
      </c>
      <c r="M753" s="1" t="s">
        <v>902</v>
      </c>
      <c r="N753">
        <f>_xlfn.NUMBERVALUE(LEFT(Table11[[#This Row],[Score]],FIND("/",Table11[[#This Row],[Score]])-1))</f>
        <v>0</v>
      </c>
      <c r="O753">
        <f>IFERROR(_xlfn.NUMBERVALUE(LEFT(Table11[[#This Row],[Score2 ]],FIND("/",Table11[[#This Row],[Score2 ]])-1)),"")</f>
        <v>1</v>
      </c>
      <c r="P753" t="s">
        <v>185</v>
      </c>
      <c r="Q753" s="1" t="s">
        <v>145</v>
      </c>
      <c r="R753" t="str">
        <f>Table11[[#This Row],[Match]]&amp;" "&amp;Table11[[#This Row],[Over]]</f>
        <v>12 1</v>
      </c>
    </row>
    <row r="754" spans="1:18" x14ac:dyDescent="0.3">
      <c r="A754">
        <v>12</v>
      </c>
      <c r="B754" s="1">
        <v>2</v>
      </c>
      <c r="C754" s="1" t="s">
        <v>2686</v>
      </c>
      <c r="D754" s="1" t="s">
        <v>968</v>
      </c>
      <c r="E754" s="1" t="s">
        <v>2527</v>
      </c>
      <c r="F754" s="1" t="s">
        <v>348</v>
      </c>
      <c r="G754" s="1" t="s">
        <v>2867</v>
      </c>
      <c r="H754" s="1" t="s">
        <v>904</v>
      </c>
      <c r="I754" s="1" t="s">
        <v>899</v>
      </c>
      <c r="J754" s="1" t="s">
        <v>348</v>
      </c>
      <c r="K754" s="1" t="s">
        <v>2695</v>
      </c>
      <c r="L754" s="1" t="s">
        <v>1023</v>
      </c>
      <c r="M754" s="1" t="s">
        <v>909</v>
      </c>
      <c r="N754">
        <f>_xlfn.NUMBERVALUE(LEFT(Table11[[#This Row],[Score]],FIND("/",Table11[[#This Row],[Score]])-1))</f>
        <v>1</v>
      </c>
      <c r="O754">
        <f>IFERROR(_xlfn.NUMBERVALUE(LEFT(Table11[[#This Row],[Score2 ]],FIND("/",Table11[[#This Row],[Score2 ]])-1)),"")</f>
        <v>4</v>
      </c>
      <c r="P754" t="s">
        <v>185</v>
      </c>
      <c r="Q754" s="1" t="s">
        <v>145</v>
      </c>
      <c r="R754" t="str">
        <f>Table11[[#This Row],[Match]]&amp;" "&amp;Table11[[#This Row],[Over]]</f>
        <v>12 2</v>
      </c>
    </row>
    <row r="755" spans="1:18" x14ac:dyDescent="0.3">
      <c r="A755">
        <v>12</v>
      </c>
      <c r="B755" s="1">
        <v>3</v>
      </c>
      <c r="C755" s="1" t="s">
        <v>897</v>
      </c>
      <c r="D755" s="1" t="s">
        <v>968</v>
      </c>
      <c r="E755" s="1" t="s">
        <v>2868</v>
      </c>
      <c r="F755" s="1" t="s">
        <v>348</v>
      </c>
      <c r="G755" s="1" t="s">
        <v>2869</v>
      </c>
      <c r="H755" s="1" t="s">
        <v>898</v>
      </c>
      <c r="I755" s="1" t="s">
        <v>899</v>
      </c>
      <c r="J755" s="1" t="s">
        <v>348</v>
      </c>
      <c r="K755" s="1" t="s">
        <v>1026</v>
      </c>
      <c r="L755" s="1" t="s">
        <v>2870</v>
      </c>
      <c r="M755" s="1" t="s">
        <v>920</v>
      </c>
      <c r="N755">
        <f>_xlfn.NUMBERVALUE(LEFT(Table11[[#This Row],[Score]],FIND("/",Table11[[#This Row],[Score]])-1))</f>
        <v>2</v>
      </c>
      <c r="O755">
        <f>IFERROR(_xlfn.NUMBERVALUE(LEFT(Table11[[#This Row],[Score2 ]],FIND("/",Table11[[#This Row],[Score2 ]])-1)),"")</f>
        <v>6</v>
      </c>
      <c r="P755" t="s">
        <v>185</v>
      </c>
      <c r="Q755" s="1" t="s">
        <v>145</v>
      </c>
      <c r="R755" t="str">
        <f>Table11[[#This Row],[Match]]&amp;" "&amp;Table11[[#This Row],[Over]]</f>
        <v>12 3</v>
      </c>
    </row>
    <row r="756" spans="1:18" x14ac:dyDescent="0.3">
      <c r="A756">
        <v>12</v>
      </c>
      <c r="B756" s="1">
        <v>4</v>
      </c>
      <c r="C756" s="1" t="s">
        <v>906</v>
      </c>
      <c r="D756" s="1" t="s">
        <v>898</v>
      </c>
      <c r="E756" s="1" t="s">
        <v>1662</v>
      </c>
      <c r="F756" s="1" t="s">
        <v>348</v>
      </c>
      <c r="G756" s="1" t="s">
        <v>1426</v>
      </c>
      <c r="H756" s="1" t="s">
        <v>916</v>
      </c>
      <c r="I756" s="1" t="s">
        <v>923</v>
      </c>
      <c r="J756" s="1" t="s">
        <v>348</v>
      </c>
      <c r="K756" s="1" t="s">
        <v>1180</v>
      </c>
      <c r="L756" s="1" t="s">
        <v>2004</v>
      </c>
      <c r="M756" s="1" t="s">
        <v>928</v>
      </c>
      <c r="N756">
        <f>_xlfn.NUMBERVALUE(LEFT(Table11[[#This Row],[Score]],FIND("/",Table11[[#This Row],[Score]])-1))</f>
        <v>4</v>
      </c>
      <c r="O756">
        <f>IFERROR(_xlfn.NUMBERVALUE(LEFT(Table11[[#This Row],[Score2 ]],FIND("/",Table11[[#This Row],[Score2 ]])-1)),"")</f>
        <v>13</v>
      </c>
      <c r="P756" t="s">
        <v>185</v>
      </c>
      <c r="Q756" s="1" t="s">
        <v>145</v>
      </c>
      <c r="R756" t="str">
        <f>Table11[[#This Row],[Match]]&amp;" "&amp;Table11[[#This Row],[Over]]</f>
        <v>12 4</v>
      </c>
    </row>
    <row r="757" spans="1:18" x14ac:dyDescent="0.3">
      <c r="A757">
        <v>12</v>
      </c>
      <c r="B757" s="1">
        <v>5</v>
      </c>
      <c r="C757" s="1" t="s">
        <v>1424</v>
      </c>
      <c r="D757" s="1" t="s">
        <v>1051</v>
      </c>
      <c r="E757" s="1" t="s">
        <v>1238</v>
      </c>
      <c r="F757" s="1" t="s">
        <v>1238</v>
      </c>
      <c r="G757" s="1" t="s">
        <v>2871</v>
      </c>
      <c r="H757" s="1" t="s">
        <v>998</v>
      </c>
      <c r="I757" s="1" t="s">
        <v>1247</v>
      </c>
      <c r="J757" s="1" t="s">
        <v>1247</v>
      </c>
      <c r="K757" s="1" t="s">
        <v>1093</v>
      </c>
      <c r="L757" s="1" t="s">
        <v>1010</v>
      </c>
      <c r="M757" s="1" t="s">
        <v>937</v>
      </c>
      <c r="N757">
        <f>_xlfn.NUMBERVALUE(LEFT(Table11[[#This Row],[Score]],FIND("/",Table11[[#This Row],[Score]])-1))</f>
        <v>15</v>
      </c>
      <c r="O757">
        <f>IFERROR(_xlfn.NUMBERVALUE(LEFT(Table11[[#This Row],[Score2 ]],FIND("/",Table11[[#This Row],[Score2 ]])-1)),"")</f>
        <v>17</v>
      </c>
      <c r="P757" t="s">
        <v>185</v>
      </c>
      <c r="Q757" s="1" t="s">
        <v>145</v>
      </c>
      <c r="R757" t="str">
        <f>Table11[[#This Row],[Match]]&amp;" "&amp;Table11[[#This Row],[Over]]</f>
        <v>12 5</v>
      </c>
    </row>
    <row r="758" spans="1:18" x14ac:dyDescent="0.3">
      <c r="A758">
        <v>12</v>
      </c>
      <c r="B758" s="1">
        <v>6</v>
      </c>
      <c r="C758" s="1" t="s">
        <v>1629</v>
      </c>
      <c r="D758" s="1" t="s">
        <v>998</v>
      </c>
      <c r="E758" s="1" t="s">
        <v>1251</v>
      </c>
      <c r="F758" s="1" t="s">
        <v>990</v>
      </c>
      <c r="G758" s="1" t="s">
        <v>2872</v>
      </c>
      <c r="H758" s="1" t="s">
        <v>922</v>
      </c>
      <c r="I758" s="1" t="s">
        <v>1731</v>
      </c>
      <c r="J758" s="1" t="s">
        <v>940</v>
      </c>
      <c r="K758" s="1" t="s">
        <v>2695</v>
      </c>
      <c r="L758" s="1" t="s">
        <v>1016</v>
      </c>
      <c r="M758" s="1" t="s">
        <v>945</v>
      </c>
      <c r="N758">
        <f>_xlfn.NUMBERVALUE(LEFT(Table11[[#This Row],[Score]],FIND("/",Table11[[#This Row],[Score]])-1))</f>
        <v>19</v>
      </c>
      <c r="O758">
        <f>IFERROR(_xlfn.NUMBERVALUE(LEFT(Table11[[#This Row],[Score2 ]],FIND("/",Table11[[#This Row],[Score2 ]])-1)),"")</f>
        <v>23</v>
      </c>
      <c r="P758" t="s">
        <v>185</v>
      </c>
      <c r="Q758" s="1" t="s">
        <v>145</v>
      </c>
      <c r="R758" t="str">
        <f>Table11[[#This Row],[Match]]&amp;" "&amp;Table11[[#This Row],[Over]]</f>
        <v>12 6</v>
      </c>
    </row>
    <row r="759" spans="1:18" x14ac:dyDescent="0.3">
      <c r="A759">
        <v>12</v>
      </c>
      <c r="B759" s="1">
        <v>7</v>
      </c>
      <c r="C759" s="1" t="s">
        <v>938</v>
      </c>
      <c r="D759" s="1" t="s">
        <v>950</v>
      </c>
      <c r="E759" s="1" t="s">
        <v>1490</v>
      </c>
      <c r="F759" s="1" t="s">
        <v>976</v>
      </c>
      <c r="G759" s="1" t="s">
        <v>2873</v>
      </c>
      <c r="H759" s="1" t="s">
        <v>916</v>
      </c>
      <c r="I759" s="1" t="s">
        <v>1124</v>
      </c>
      <c r="J759" s="1" t="s">
        <v>1029</v>
      </c>
      <c r="K759" s="1" t="s">
        <v>1194</v>
      </c>
      <c r="L759" s="1" t="s">
        <v>1062</v>
      </c>
      <c r="M759" s="1" t="s">
        <v>955</v>
      </c>
      <c r="N759">
        <f>_xlfn.NUMBERVALUE(LEFT(Table11[[#This Row],[Score]],FIND("/",Table11[[#This Row],[Score]])-1))</f>
        <v>24</v>
      </c>
      <c r="O759">
        <f>IFERROR(_xlfn.NUMBERVALUE(LEFT(Table11[[#This Row],[Score2 ]],FIND("/",Table11[[#This Row],[Score2 ]])-1)),"")</f>
        <v>30</v>
      </c>
      <c r="P759" t="s">
        <v>185</v>
      </c>
      <c r="Q759" s="1" t="s">
        <v>145</v>
      </c>
      <c r="R759" t="str">
        <f>Table11[[#This Row],[Match]]&amp;" "&amp;Table11[[#This Row],[Over]]</f>
        <v>12 7</v>
      </c>
    </row>
    <row r="760" spans="1:18" x14ac:dyDescent="0.3">
      <c r="A760">
        <v>12</v>
      </c>
      <c r="B760" s="1">
        <v>8</v>
      </c>
      <c r="C760" s="1" t="s">
        <v>2874</v>
      </c>
      <c r="D760" s="1" t="s">
        <v>1095</v>
      </c>
      <c r="E760" s="1" t="s">
        <v>1074</v>
      </c>
      <c r="F760" s="1" t="s">
        <v>943</v>
      </c>
      <c r="G760" s="1" t="s">
        <v>2875</v>
      </c>
      <c r="H760" s="1" t="s">
        <v>968</v>
      </c>
      <c r="I760" s="1" t="s">
        <v>1436</v>
      </c>
      <c r="J760" s="1" t="s">
        <v>969</v>
      </c>
      <c r="K760" s="1" t="s">
        <v>1093</v>
      </c>
      <c r="L760" s="1" t="s">
        <v>2275</v>
      </c>
      <c r="M760" s="1" t="s">
        <v>963</v>
      </c>
      <c r="N760">
        <f>_xlfn.NUMBERVALUE(LEFT(Table11[[#This Row],[Score]],FIND("/",Table11[[#This Row],[Score]])-1))</f>
        <v>34</v>
      </c>
      <c r="O760">
        <f>IFERROR(_xlfn.NUMBERVALUE(LEFT(Table11[[#This Row],[Score2 ]],FIND("/",Table11[[#This Row],[Score2 ]])-1)),"")</f>
        <v>31</v>
      </c>
      <c r="P760" t="s">
        <v>185</v>
      </c>
      <c r="Q760" s="1" t="s">
        <v>145</v>
      </c>
      <c r="R760" t="str">
        <f>Table11[[#This Row],[Match]]&amp;" "&amp;Table11[[#This Row],[Over]]</f>
        <v>12 8</v>
      </c>
    </row>
    <row r="761" spans="1:18" x14ac:dyDescent="0.3">
      <c r="A761">
        <v>12</v>
      </c>
      <c r="B761" s="1">
        <v>9</v>
      </c>
      <c r="C761" s="1" t="s">
        <v>1269</v>
      </c>
      <c r="D761" s="1" t="s">
        <v>998</v>
      </c>
      <c r="E761" s="1" t="s">
        <v>1535</v>
      </c>
      <c r="F761" s="1" t="s">
        <v>1053</v>
      </c>
      <c r="G761" s="1" t="s">
        <v>2876</v>
      </c>
      <c r="H761" s="1" t="s">
        <v>968</v>
      </c>
      <c r="I761" s="1" t="s">
        <v>1263</v>
      </c>
      <c r="J761" s="1" t="s">
        <v>990</v>
      </c>
      <c r="K761" s="1" t="s">
        <v>1045</v>
      </c>
      <c r="L761" s="1" t="s">
        <v>1314</v>
      </c>
      <c r="M761" s="1" t="s">
        <v>973</v>
      </c>
      <c r="N761">
        <f>_xlfn.NUMBERVALUE(LEFT(Table11[[#This Row],[Score]],FIND("/",Table11[[#This Row],[Score]])-1))</f>
        <v>38</v>
      </c>
      <c r="O761">
        <f>IFERROR(_xlfn.NUMBERVALUE(LEFT(Table11[[#This Row],[Score2 ]],FIND("/",Table11[[#This Row],[Score2 ]])-1)),"")</f>
        <v>32</v>
      </c>
      <c r="P761" t="s">
        <v>185</v>
      </c>
      <c r="Q761" s="1" t="s">
        <v>145</v>
      </c>
      <c r="R761" t="str">
        <f>Table11[[#This Row],[Match]]&amp;" "&amp;Table11[[#This Row],[Over]]</f>
        <v>12 9</v>
      </c>
    </row>
    <row r="762" spans="1:18" x14ac:dyDescent="0.3">
      <c r="A762">
        <v>12</v>
      </c>
      <c r="B762" s="1">
        <v>10</v>
      </c>
      <c r="C762" s="1" t="s">
        <v>2444</v>
      </c>
      <c r="D762" s="1" t="s">
        <v>898</v>
      </c>
      <c r="E762" s="1" t="s">
        <v>939</v>
      </c>
      <c r="F762" s="1" t="s">
        <v>969</v>
      </c>
      <c r="G762" s="1" t="s">
        <v>1859</v>
      </c>
      <c r="H762" s="1" t="s">
        <v>904</v>
      </c>
      <c r="I762" s="1" t="s">
        <v>925</v>
      </c>
      <c r="J762" s="1" t="s">
        <v>977</v>
      </c>
      <c r="K762" s="1" t="s">
        <v>2672</v>
      </c>
      <c r="L762" s="1" t="s">
        <v>1031</v>
      </c>
      <c r="M762" s="1" t="s">
        <v>980</v>
      </c>
      <c r="N762">
        <f>_xlfn.NUMBERVALUE(LEFT(Table11[[#This Row],[Score]],FIND("/",Table11[[#This Row],[Score]])-1))</f>
        <v>40</v>
      </c>
      <c r="O762">
        <f>IFERROR(_xlfn.NUMBERVALUE(LEFT(Table11[[#This Row],[Score2 ]],FIND("/",Table11[[#This Row],[Score2 ]])-1)),"")</f>
        <v>35</v>
      </c>
      <c r="P762" t="s">
        <v>185</v>
      </c>
      <c r="Q762" s="1" t="s">
        <v>145</v>
      </c>
      <c r="R762" t="str">
        <f>Table11[[#This Row],[Match]]&amp;" "&amp;Table11[[#This Row],[Over]]</f>
        <v>12 10</v>
      </c>
    </row>
    <row r="763" spans="1:18" x14ac:dyDescent="0.3">
      <c r="A763">
        <v>12</v>
      </c>
      <c r="B763" s="1">
        <v>11</v>
      </c>
      <c r="C763" s="1" t="s">
        <v>2344</v>
      </c>
      <c r="D763" s="1" t="s">
        <v>930</v>
      </c>
      <c r="E763" s="1" t="s">
        <v>1040</v>
      </c>
      <c r="F763" s="1" t="s">
        <v>1013</v>
      </c>
      <c r="G763" s="1" t="s">
        <v>1453</v>
      </c>
      <c r="H763" s="1" t="s">
        <v>916</v>
      </c>
      <c r="I763" s="1" t="s">
        <v>1866</v>
      </c>
      <c r="J763" s="1" t="s">
        <v>990</v>
      </c>
      <c r="K763" s="1" t="s">
        <v>1153</v>
      </c>
      <c r="L763" s="1" t="s">
        <v>2877</v>
      </c>
      <c r="M763" s="1" t="s">
        <v>987</v>
      </c>
      <c r="N763">
        <f>_xlfn.NUMBERVALUE(LEFT(Table11[[#This Row],[Score]],FIND("/",Table11[[#This Row],[Score]])-1))</f>
        <v>48</v>
      </c>
      <c r="O763">
        <f>IFERROR(_xlfn.NUMBERVALUE(LEFT(Table11[[#This Row],[Score2 ]],FIND("/",Table11[[#This Row],[Score2 ]])-1)),"")</f>
        <v>42</v>
      </c>
      <c r="P763" t="s">
        <v>185</v>
      </c>
      <c r="Q763" s="1" t="s">
        <v>145</v>
      </c>
      <c r="R763" t="str">
        <f>Table11[[#This Row],[Match]]&amp;" "&amp;Table11[[#This Row],[Over]]</f>
        <v>12 11</v>
      </c>
    </row>
    <row r="764" spans="1:18" x14ac:dyDescent="0.3">
      <c r="A764">
        <v>12</v>
      </c>
      <c r="B764" s="1">
        <v>12</v>
      </c>
      <c r="C764" s="1" t="s">
        <v>1455</v>
      </c>
      <c r="D764" s="1" t="s">
        <v>898</v>
      </c>
      <c r="E764" s="1" t="s">
        <v>1632</v>
      </c>
      <c r="F764" s="1" t="s">
        <v>1029</v>
      </c>
      <c r="G764" s="1" t="s">
        <v>1872</v>
      </c>
      <c r="H764" s="1" t="s">
        <v>947</v>
      </c>
      <c r="I764" s="1" t="s">
        <v>1074</v>
      </c>
      <c r="J764" s="1" t="s">
        <v>931</v>
      </c>
      <c r="K764" s="1" t="s">
        <v>1180</v>
      </c>
      <c r="L764" s="1" t="s">
        <v>1097</v>
      </c>
      <c r="M764" s="1" t="s">
        <v>996</v>
      </c>
      <c r="N764">
        <f>_xlfn.NUMBERVALUE(LEFT(Table11[[#This Row],[Score]],FIND("/",Table11[[#This Row],[Score]])-1))</f>
        <v>50</v>
      </c>
      <c r="O764">
        <f>IFERROR(_xlfn.NUMBERVALUE(LEFT(Table11[[#This Row],[Score2 ]],FIND("/",Table11[[#This Row],[Score2 ]])-1)),"")</f>
        <v>51</v>
      </c>
      <c r="P764" t="s">
        <v>185</v>
      </c>
      <c r="Q764" s="1" t="s">
        <v>145</v>
      </c>
      <c r="R764" t="str">
        <f>Table11[[#This Row],[Match]]&amp;" "&amp;Table11[[#This Row],[Over]]</f>
        <v>12 12</v>
      </c>
    </row>
    <row r="765" spans="1:18" x14ac:dyDescent="0.3">
      <c r="A765">
        <v>12</v>
      </c>
      <c r="B765" s="1">
        <v>13</v>
      </c>
      <c r="C765" s="1" t="s">
        <v>2878</v>
      </c>
      <c r="D765" s="1" t="s">
        <v>904</v>
      </c>
      <c r="E765" s="1" t="s">
        <v>2632</v>
      </c>
      <c r="F765" s="1" t="s">
        <v>990</v>
      </c>
      <c r="G765" s="1" t="s">
        <v>2563</v>
      </c>
      <c r="H765" s="1" t="s">
        <v>968</v>
      </c>
      <c r="I765" s="1" t="s">
        <v>939</v>
      </c>
      <c r="J765" s="1" t="s">
        <v>931</v>
      </c>
      <c r="K765" s="1" t="s">
        <v>1153</v>
      </c>
      <c r="L765" s="1" t="s">
        <v>1524</v>
      </c>
      <c r="M765" s="1" t="s">
        <v>1004</v>
      </c>
      <c r="N765">
        <f>_xlfn.NUMBERVALUE(LEFT(Table11[[#This Row],[Score]],FIND("/",Table11[[#This Row],[Score]])-1))</f>
        <v>53</v>
      </c>
      <c r="O765">
        <f>IFERROR(_xlfn.NUMBERVALUE(LEFT(Table11[[#This Row],[Score2 ]],FIND("/",Table11[[#This Row],[Score2 ]])-1)),"")</f>
        <v>52</v>
      </c>
      <c r="P765" t="s">
        <v>185</v>
      </c>
      <c r="Q765" s="1" t="s">
        <v>145</v>
      </c>
      <c r="R765" t="str">
        <f>Table11[[#This Row],[Match]]&amp;" "&amp;Table11[[#This Row],[Over]]</f>
        <v>12 13</v>
      </c>
    </row>
    <row r="766" spans="1:18" x14ac:dyDescent="0.3">
      <c r="A766">
        <v>12</v>
      </c>
      <c r="B766" s="1">
        <v>14</v>
      </c>
      <c r="C766" s="1" t="s">
        <v>2455</v>
      </c>
      <c r="D766" s="1" t="s">
        <v>947</v>
      </c>
      <c r="E766" s="1" t="s">
        <v>1006</v>
      </c>
      <c r="F766" s="1" t="s">
        <v>1093</v>
      </c>
      <c r="G766" s="1" t="s">
        <v>2879</v>
      </c>
      <c r="H766" s="1" t="s">
        <v>998</v>
      </c>
      <c r="I766" s="1" t="s">
        <v>939</v>
      </c>
      <c r="J766" s="1" t="s">
        <v>1093</v>
      </c>
      <c r="K766" s="1" t="s">
        <v>2880</v>
      </c>
      <c r="L766" s="1" t="s">
        <v>1107</v>
      </c>
      <c r="M766" s="1" t="s">
        <v>1010</v>
      </c>
      <c r="N766">
        <f>_xlfn.NUMBERVALUE(LEFT(Table11[[#This Row],[Score]],FIND("/",Table11[[#This Row],[Score]])-1))</f>
        <v>62</v>
      </c>
      <c r="O766">
        <f>IFERROR(_xlfn.NUMBERVALUE(LEFT(Table11[[#This Row],[Score2 ]],FIND("/",Table11[[#This Row],[Score2 ]])-1)),"")</f>
        <v>56</v>
      </c>
      <c r="P766" t="s">
        <v>185</v>
      </c>
      <c r="Q766" s="1" t="s">
        <v>145</v>
      </c>
      <c r="R766" t="str">
        <f>Table11[[#This Row],[Match]]&amp;" "&amp;Table11[[#This Row],[Over]]</f>
        <v>12 14</v>
      </c>
    </row>
    <row r="767" spans="1:18" x14ac:dyDescent="0.3">
      <c r="A767">
        <v>12</v>
      </c>
      <c r="B767" s="1">
        <v>15</v>
      </c>
      <c r="C767" s="1" t="s">
        <v>2459</v>
      </c>
      <c r="D767" s="1" t="s">
        <v>950</v>
      </c>
      <c r="E767" s="1" t="s">
        <v>1001</v>
      </c>
      <c r="F767" s="1" t="s">
        <v>966</v>
      </c>
      <c r="G767" s="1" t="s">
        <v>2881</v>
      </c>
      <c r="H767" s="1" t="s">
        <v>904</v>
      </c>
      <c r="I767" s="1" t="s">
        <v>1294</v>
      </c>
      <c r="J767" s="1" t="s">
        <v>1093</v>
      </c>
      <c r="K767" s="1" t="s">
        <v>1582</v>
      </c>
      <c r="L767" s="1" t="s">
        <v>1056</v>
      </c>
      <c r="M767" s="1" t="s">
        <v>1016</v>
      </c>
      <c r="N767">
        <f>_xlfn.NUMBERVALUE(LEFT(Table11[[#This Row],[Score]],FIND("/",Table11[[#This Row],[Score]])-1))</f>
        <v>67</v>
      </c>
      <c r="O767">
        <f>IFERROR(_xlfn.NUMBERVALUE(LEFT(Table11[[#This Row],[Score2 ]],FIND("/",Table11[[#This Row],[Score2 ]])-1)),"")</f>
        <v>59</v>
      </c>
      <c r="P767" t="s">
        <v>185</v>
      </c>
      <c r="Q767" s="1" t="s">
        <v>145</v>
      </c>
      <c r="R767" t="str">
        <f>Table11[[#This Row],[Match]]&amp;" "&amp;Table11[[#This Row],[Over]]</f>
        <v>12 15</v>
      </c>
    </row>
    <row r="768" spans="1:18" x14ac:dyDescent="0.3">
      <c r="A768">
        <v>12</v>
      </c>
      <c r="B768" s="1">
        <v>16</v>
      </c>
      <c r="C768" s="1" t="s">
        <v>2882</v>
      </c>
      <c r="D768" s="1" t="s">
        <v>968</v>
      </c>
      <c r="E768" s="1" t="s">
        <v>1074</v>
      </c>
      <c r="F768" s="1" t="s">
        <v>939</v>
      </c>
      <c r="G768" s="1" t="s">
        <v>2883</v>
      </c>
      <c r="H768" s="1" t="s">
        <v>998</v>
      </c>
      <c r="I768" s="1" t="s">
        <v>1294</v>
      </c>
      <c r="J768" s="1" t="s">
        <v>931</v>
      </c>
      <c r="K768" s="1" t="s">
        <v>969</v>
      </c>
      <c r="L768" s="1" t="s">
        <v>2041</v>
      </c>
      <c r="M768" s="1" t="s">
        <v>1024</v>
      </c>
      <c r="N768">
        <f>_xlfn.NUMBERVALUE(LEFT(Table11[[#This Row],[Score]],FIND("/",Table11[[#This Row],[Score]])-1))</f>
        <v>68</v>
      </c>
      <c r="O768">
        <f>IFERROR(_xlfn.NUMBERVALUE(LEFT(Table11[[#This Row],[Score2 ]],FIND("/",Table11[[#This Row],[Score2 ]])-1)),"")</f>
        <v>63</v>
      </c>
      <c r="P768" t="s">
        <v>185</v>
      </c>
      <c r="Q768" s="1" t="s">
        <v>145</v>
      </c>
      <c r="R768" t="str">
        <f>Table11[[#This Row],[Match]]&amp;" "&amp;Table11[[#This Row],[Over]]</f>
        <v>12 16</v>
      </c>
    </row>
    <row r="769" spans="1:18" x14ac:dyDescent="0.3">
      <c r="A769">
        <v>12</v>
      </c>
      <c r="B769" s="1">
        <v>17</v>
      </c>
      <c r="C769" s="1" t="s">
        <v>2884</v>
      </c>
      <c r="D769" s="1" t="s">
        <v>950</v>
      </c>
      <c r="E769" s="1" t="s">
        <v>1474</v>
      </c>
      <c r="F769" s="1" t="s">
        <v>976</v>
      </c>
      <c r="G769" s="1" t="s">
        <v>2236</v>
      </c>
      <c r="H769" s="1" t="s">
        <v>904</v>
      </c>
      <c r="I769" s="1" t="s">
        <v>1860</v>
      </c>
      <c r="J769" s="1" t="s">
        <v>1238</v>
      </c>
      <c r="K769" s="1" t="s">
        <v>2279</v>
      </c>
      <c r="L769" s="1" t="s">
        <v>1120</v>
      </c>
      <c r="M769" s="1" t="s">
        <v>1031</v>
      </c>
      <c r="N769">
        <f>_xlfn.NUMBERVALUE(LEFT(Table11[[#This Row],[Score]],FIND("/",Table11[[#This Row],[Score]])-1))</f>
        <v>73</v>
      </c>
      <c r="O769">
        <f>IFERROR(_xlfn.NUMBERVALUE(LEFT(Table11[[#This Row],[Score2 ]],FIND("/",Table11[[#This Row],[Score2 ]])-1)),"")</f>
        <v>66</v>
      </c>
      <c r="P769" t="s">
        <v>185</v>
      </c>
      <c r="Q769" s="1" t="s">
        <v>145</v>
      </c>
      <c r="R769" t="str">
        <f>Table11[[#This Row],[Match]]&amp;" "&amp;Table11[[#This Row],[Over]]</f>
        <v>12 17</v>
      </c>
    </row>
    <row r="770" spans="1:18" x14ac:dyDescent="0.3">
      <c r="A770">
        <v>12</v>
      </c>
      <c r="B770" s="1">
        <v>18</v>
      </c>
      <c r="C770" s="1" t="s">
        <v>1034</v>
      </c>
      <c r="D770" s="1" t="s">
        <v>922</v>
      </c>
      <c r="E770" s="1" t="s">
        <v>1035</v>
      </c>
      <c r="F770" s="1" t="s">
        <v>1029</v>
      </c>
      <c r="G770" s="1" t="s">
        <v>2236</v>
      </c>
      <c r="H770" s="1" t="s">
        <v>1007</v>
      </c>
      <c r="I770" s="1" t="s">
        <v>917</v>
      </c>
      <c r="J770" s="1" t="s">
        <v>993</v>
      </c>
      <c r="K770" s="1" t="s">
        <v>2449</v>
      </c>
      <c r="L770" s="1" t="s">
        <v>1120</v>
      </c>
      <c r="M770" s="1" t="s">
        <v>1037</v>
      </c>
      <c r="N770">
        <f>_xlfn.NUMBERVALUE(LEFT(Table11[[#This Row],[Score]],FIND("/",Table11[[#This Row],[Score]])-1))</f>
        <v>79</v>
      </c>
      <c r="O770">
        <f>IFERROR(_xlfn.NUMBERVALUE(LEFT(Table11[[#This Row],[Score2 ]],FIND("/",Table11[[#This Row],[Score2 ]])-1)),"")</f>
        <v>66</v>
      </c>
      <c r="P770" t="s">
        <v>185</v>
      </c>
      <c r="Q770" s="1" t="s">
        <v>145</v>
      </c>
      <c r="R770" t="str">
        <f>Table11[[#This Row],[Match]]&amp;" "&amp;Table11[[#This Row],[Over]]</f>
        <v>12 18</v>
      </c>
    </row>
    <row r="771" spans="1:18" x14ac:dyDescent="0.3">
      <c r="A771">
        <v>12</v>
      </c>
      <c r="B771" s="1">
        <v>19</v>
      </c>
      <c r="C771" s="1" t="s">
        <v>2003</v>
      </c>
      <c r="D771" s="1" t="s">
        <v>898</v>
      </c>
      <c r="E771" s="1" t="s">
        <v>1382</v>
      </c>
      <c r="F771" s="1" t="s">
        <v>990</v>
      </c>
      <c r="G771" s="1" t="s">
        <v>2629</v>
      </c>
      <c r="H771" s="1" t="s">
        <v>916</v>
      </c>
      <c r="I771" s="1" t="s">
        <v>1456</v>
      </c>
      <c r="J771" s="1" t="s">
        <v>1247</v>
      </c>
      <c r="K771" s="1" t="s">
        <v>1587</v>
      </c>
      <c r="L771" s="1" t="s">
        <v>1360</v>
      </c>
      <c r="M771" s="1" t="s">
        <v>1043</v>
      </c>
      <c r="N771">
        <f>_xlfn.NUMBERVALUE(LEFT(Table11[[#This Row],[Score]],FIND("/",Table11[[#This Row],[Score]])-1))</f>
        <v>81</v>
      </c>
      <c r="O771">
        <f>IFERROR(_xlfn.NUMBERVALUE(LEFT(Table11[[#This Row],[Score2 ]],FIND("/",Table11[[#This Row],[Score2 ]])-1)),"")</f>
        <v>73</v>
      </c>
      <c r="P771" t="s">
        <v>185</v>
      </c>
      <c r="Q771" s="1" t="s">
        <v>145</v>
      </c>
      <c r="R771" t="str">
        <f>Table11[[#This Row],[Match]]&amp;" "&amp;Table11[[#This Row],[Over]]</f>
        <v>12 19</v>
      </c>
    </row>
    <row r="772" spans="1:18" x14ac:dyDescent="0.3">
      <c r="A772">
        <v>12</v>
      </c>
      <c r="B772" s="1">
        <v>20</v>
      </c>
      <c r="C772" s="1" t="s">
        <v>2007</v>
      </c>
      <c r="D772" s="1" t="s">
        <v>950</v>
      </c>
      <c r="E772" s="1" t="s">
        <v>999</v>
      </c>
      <c r="F772" s="1" t="s">
        <v>990</v>
      </c>
      <c r="G772" s="1" t="s">
        <v>2885</v>
      </c>
      <c r="H772" s="1" t="s">
        <v>904</v>
      </c>
      <c r="I772" s="1" t="s">
        <v>990</v>
      </c>
      <c r="J772" s="1" t="s">
        <v>1247</v>
      </c>
      <c r="K772" s="1" t="s">
        <v>2718</v>
      </c>
      <c r="L772" s="1" t="s">
        <v>1363</v>
      </c>
      <c r="M772" s="1" t="s">
        <v>1049</v>
      </c>
      <c r="N772">
        <f>_xlfn.NUMBERVALUE(LEFT(Table11[[#This Row],[Score]],FIND("/",Table11[[#This Row],[Score]])-1))</f>
        <v>86</v>
      </c>
      <c r="O772">
        <f>IFERROR(_xlfn.NUMBERVALUE(LEFT(Table11[[#This Row],[Score2 ]],FIND("/",Table11[[#This Row],[Score2 ]])-1)),"")</f>
        <v>76</v>
      </c>
      <c r="P772" t="s">
        <v>185</v>
      </c>
      <c r="Q772" s="1" t="s">
        <v>145</v>
      </c>
      <c r="R772" t="str">
        <f>Table11[[#This Row],[Match]]&amp;" "&amp;Table11[[#This Row],[Over]]</f>
        <v>12 20</v>
      </c>
    </row>
    <row r="773" spans="1:18" x14ac:dyDescent="0.3">
      <c r="A773">
        <v>12</v>
      </c>
      <c r="B773" s="1">
        <v>21</v>
      </c>
      <c r="C773" s="1" t="s">
        <v>2011</v>
      </c>
      <c r="D773" s="1" t="s">
        <v>904</v>
      </c>
      <c r="E773" s="1" t="s">
        <v>1532</v>
      </c>
      <c r="F773" s="1" t="s">
        <v>931</v>
      </c>
      <c r="G773" s="1" t="s">
        <v>2886</v>
      </c>
      <c r="H773" s="1" t="s">
        <v>950</v>
      </c>
      <c r="I773" s="1" t="s">
        <v>1518</v>
      </c>
      <c r="J773" s="1" t="s">
        <v>977</v>
      </c>
      <c r="K773" s="1" t="s">
        <v>1079</v>
      </c>
      <c r="L773" s="1" t="s">
        <v>1137</v>
      </c>
      <c r="M773" s="1" t="s">
        <v>1056</v>
      </c>
      <c r="N773">
        <f>_xlfn.NUMBERVALUE(LEFT(Table11[[#This Row],[Score]],FIND("/",Table11[[#This Row],[Score]])-1))</f>
        <v>89</v>
      </c>
      <c r="O773">
        <f>IFERROR(_xlfn.NUMBERVALUE(LEFT(Table11[[#This Row],[Score2 ]],FIND("/",Table11[[#This Row],[Score2 ]])-1)),"")</f>
        <v>81</v>
      </c>
      <c r="P773" t="s">
        <v>185</v>
      </c>
      <c r="Q773" s="1" t="s">
        <v>145</v>
      </c>
      <c r="R773" t="str">
        <f>Table11[[#This Row],[Match]]&amp;" "&amp;Table11[[#This Row],[Over]]</f>
        <v>12 21</v>
      </c>
    </row>
    <row r="774" spans="1:18" x14ac:dyDescent="0.3">
      <c r="A774">
        <v>12</v>
      </c>
      <c r="B774" s="1">
        <v>22</v>
      </c>
      <c r="C774" s="1" t="s">
        <v>2887</v>
      </c>
      <c r="D774" s="1" t="s">
        <v>1390</v>
      </c>
      <c r="E774" s="1" t="s">
        <v>1935</v>
      </c>
      <c r="F774" s="1" t="s">
        <v>1013</v>
      </c>
      <c r="G774" s="1" t="s">
        <v>2888</v>
      </c>
      <c r="H774" s="1" t="s">
        <v>968</v>
      </c>
      <c r="I774" s="1" t="s">
        <v>1493</v>
      </c>
      <c r="J774" s="1" t="s">
        <v>1259</v>
      </c>
      <c r="K774" s="1" t="s">
        <v>2298</v>
      </c>
      <c r="L774" s="1" t="s">
        <v>1376</v>
      </c>
      <c r="M774" s="1" t="s">
        <v>1063</v>
      </c>
      <c r="N774">
        <f>_xlfn.NUMBERVALUE(LEFT(Table11[[#This Row],[Score]],FIND("/",Table11[[#This Row],[Score]])-1))</f>
        <v>102</v>
      </c>
      <c r="O774">
        <f>IFERROR(_xlfn.NUMBERVALUE(LEFT(Table11[[#This Row],[Score2 ]],FIND("/",Table11[[#This Row],[Score2 ]])-1)),"")</f>
        <v>82</v>
      </c>
      <c r="P774" t="s">
        <v>185</v>
      </c>
      <c r="Q774" s="1" t="s">
        <v>145</v>
      </c>
      <c r="R774" t="str">
        <f>Table11[[#This Row],[Match]]&amp;" "&amp;Table11[[#This Row],[Over]]</f>
        <v>12 22</v>
      </c>
    </row>
    <row r="775" spans="1:18" x14ac:dyDescent="0.3">
      <c r="A775">
        <v>12</v>
      </c>
      <c r="B775" s="1">
        <v>23</v>
      </c>
      <c r="C775" s="1" t="s">
        <v>2705</v>
      </c>
      <c r="D775" s="1" t="s">
        <v>998</v>
      </c>
      <c r="E775" s="1" t="s">
        <v>976</v>
      </c>
      <c r="F775" s="1" t="s">
        <v>966</v>
      </c>
      <c r="G775" s="1" t="s">
        <v>2463</v>
      </c>
      <c r="H775" s="1" t="s">
        <v>998</v>
      </c>
      <c r="I775" s="1" t="s">
        <v>1848</v>
      </c>
      <c r="J775" s="1" t="s">
        <v>939</v>
      </c>
      <c r="K775" s="1" t="s">
        <v>1145</v>
      </c>
      <c r="L775" s="1" t="s">
        <v>1142</v>
      </c>
      <c r="M775" s="1" t="s">
        <v>1070</v>
      </c>
      <c r="N775">
        <f>_xlfn.NUMBERVALUE(LEFT(Table11[[#This Row],[Score]],FIND("/",Table11[[#This Row],[Score]])-1))</f>
        <v>106</v>
      </c>
      <c r="O775">
        <f>IFERROR(_xlfn.NUMBERVALUE(LEFT(Table11[[#This Row],[Score2 ]],FIND("/",Table11[[#This Row],[Score2 ]])-1)),"")</f>
        <v>86</v>
      </c>
      <c r="P775" t="s">
        <v>185</v>
      </c>
      <c r="Q775" s="1" t="s">
        <v>145</v>
      </c>
      <c r="R775" t="str">
        <f>Table11[[#This Row],[Match]]&amp;" "&amp;Table11[[#This Row],[Over]]</f>
        <v>12 23</v>
      </c>
    </row>
    <row r="776" spans="1:18" x14ac:dyDescent="0.3">
      <c r="A776">
        <v>12</v>
      </c>
      <c r="B776" s="1">
        <v>24</v>
      </c>
      <c r="C776" s="1" t="s">
        <v>1789</v>
      </c>
      <c r="D776" s="1" t="s">
        <v>916</v>
      </c>
      <c r="E776" s="1" t="s">
        <v>1321</v>
      </c>
      <c r="F776" s="1" t="s">
        <v>943</v>
      </c>
      <c r="G776" s="1" t="s">
        <v>2583</v>
      </c>
      <c r="H776" s="1" t="s">
        <v>904</v>
      </c>
      <c r="I776" s="1" t="s">
        <v>2816</v>
      </c>
      <c r="J776" s="1" t="s">
        <v>1259</v>
      </c>
      <c r="K776" s="1" t="s">
        <v>1603</v>
      </c>
      <c r="L776" s="1" t="s">
        <v>1090</v>
      </c>
      <c r="M776" s="1" t="s">
        <v>1077</v>
      </c>
      <c r="N776">
        <f>_xlfn.NUMBERVALUE(LEFT(Table11[[#This Row],[Score]],FIND("/",Table11[[#This Row],[Score]])-1))</f>
        <v>113</v>
      </c>
      <c r="O776">
        <f>IFERROR(_xlfn.NUMBERVALUE(LEFT(Table11[[#This Row],[Score2 ]],FIND("/",Table11[[#This Row],[Score2 ]])-1)),"")</f>
        <v>89</v>
      </c>
      <c r="P776" t="s">
        <v>185</v>
      </c>
      <c r="Q776" s="1" t="s">
        <v>145</v>
      </c>
      <c r="R776" t="str">
        <f>Table11[[#This Row],[Match]]&amp;" "&amp;Table11[[#This Row],[Over]]</f>
        <v>12 24</v>
      </c>
    </row>
    <row r="777" spans="1:18" x14ac:dyDescent="0.3">
      <c r="A777">
        <v>12</v>
      </c>
      <c r="B777" s="1">
        <v>25</v>
      </c>
      <c r="C777" s="1" t="s">
        <v>2889</v>
      </c>
      <c r="D777" s="1" t="s">
        <v>998</v>
      </c>
      <c r="E777" s="1" t="s">
        <v>1018</v>
      </c>
      <c r="F777" s="1" t="s">
        <v>970</v>
      </c>
      <c r="G777" s="1" t="s">
        <v>1501</v>
      </c>
      <c r="H777" s="1" t="s">
        <v>950</v>
      </c>
      <c r="I777" s="1" t="s">
        <v>1282</v>
      </c>
      <c r="J777" s="1" t="s">
        <v>977</v>
      </c>
      <c r="K777" s="1" t="s">
        <v>1607</v>
      </c>
      <c r="L777" s="1" t="s">
        <v>1544</v>
      </c>
      <c r="M777" s="1" t="s">
        <v>1083</v>
      </c>
      <c r="N777">
        <f>_xlfn.NUMBERVALUE(LEFT(Table11[[#This Row],[Score]],FIND("/",Table11[[#This Row],[Score]])-1))</f>
        <v>117</v>
      </c>
      <c r="O777">
        <f>IFERROR(_xlfn.NUMBERVALUE(LEFT(Table11[[#This Row],[Score2 ]],FIND("/",Table11[[#This Row],[Score2 ]])-1)),"")</f>
        <v>94</v>
      </c>
      <c r="P777" t="s">
        <v>185</v>
      </c>
      <c r="Q777" s="1" t="s">
        <v>145</v>
      </c>
      <c r="R777" t="str">
        <f>Table11[[#This Row],[Match]]&amp;" "&amp;Table11[[#This Row],[Over]]</f>
        <v>12 25</v>
      </c>
    </row>
    <row r="778" spans="1:18" x14ac:dyDescent="0.3">
      <c r="A778">
        <v>12</v>
      </c>
      <c r="B778" s="1">
        <v>26</v>
      </c>
      <c r="C778" s="1" t="s">
        <v>2776</v>
      </c>
      <c r="D778" s="1" t="s">
        <v>930</v>
      </c>
      <c r="E778" s="1" t="s">
        <v>1093</v>
      </c>
      <c r="F778" s="1" t="s">
        <v>1116</v>
      </c>
      <c r="G778" s="1" t="s">
        <v>2890</v>
      </c>
      <c r="H778" s="1" t="s">
        <v>950</v>
      </c>
      <c r="I778" s="1" t="s">
        <v>990</v>
      </c>
      <c r="J778" s="1" t="s">
        <v>977</v>
      </c>
      <c r="K778" s="1" t="s">
        <v>1134</v>
      </c>
      <c r="L778" s="1" t="s">
        <v>1868</v>
      </c>
      <c r="M778" s="1" t="s">
        <v>1090</v>
      </c>
      <c r="N778">
        <f>_xlfn.NUMBERVALUE(LEFT(Table11[[#This Row],[Score]],FIND("/",Table11[[#This Row],[Score]])-1))</f>
        <v>125</v>
      </c>
      <c r="O778">
        <f>IFERROR(_xlfn.NUMBERVALUE(LEFT(Table11[[#This Row],[Score2 ]],FIND("/",Table11[[#This Row],[Score2 ]])-1)),"")</f>
        <v>99</v>
      </c>
      <c r="P778" t="s">
        <v>185</v>
      </c>
      <c r="Q778" s="1" t="s">
        <v>145</v>
      </c>
      <c r="R778" t="str">
        <f>Table11[[#This Row],[Match]]&amp;" "&amp;Table11[[#This Row],[Over]]</f>
        <v>12 26</v>
      </c>
    </row>
    <row r="779" spans="1:18" x14ac:dyDescent="0.3">
      <c r="A779">
        <v>12</v>
      </c>
      <c r="B779" s="1">
        <v>27</v>
      </c>
      <c r="C779" s="1" t="s">
        <v>2891</v>
      </c>
      <c r="D779" s="1" t="s">
        <v>904</v>
      </c>
      <c r="E779" s="1" t="s">
        <v>1353</v>
      </c>
      <c r="F779" s="1" t="s">
        <v>1029</v>
      </c>
      <c r="G779" s="1" t="s">
        <v>1512</v>
      </c>
      <c r="H779" s="1" t="s">
        <v>998</v>
      </c>
      <c r="I779" s="1" t="s">
        <v>1866</v>
      </c>
      <c r="J779" s="1" t="s">
        <v>931</v>
      </c>
      <c r="K779" s="1" t="s">
        <v>1579</v>
      </c>
      <c r="L779" s="1" t="s">
        <v>1550</v>
      </c>
      <c r="M779" s="1" t="s">
        <v>1098</v>
      </c>
      <c r="N779">
        <f>_xlfn.NUMBERVALUE(LEFT(Table11[[#This Row],[Score]],FIND("/",Table11[[#This Row],[Score]])-1))</f>
        <v>128</v>
      </c>
      <c r="O779">
        <f>IFERROR(_xlfn.NUMBERVALUE(LEFT(Table11[[#This Row],[Score2 ]],FIND("/",Table11[[#This Row],[Score2 ]])-1)),"")</f>
        <v>103</v>
      </c>
      <c r="P779" t="s">
        <v>185</v>
      </c>
      <c r="Q779" s="1" t="s">
        <v>145</v>
      </c>
      <c r="R779" t="str">
        <f>Table11[[#This Row],[Match]]&amp;" "&amp;Table11[[#This Row],[Over]]</f>
        <v>12 27</v>
      </c>
    </row>
    <row r="780" spans="1:18" x14ac:dyDescent="0.3">
      <c r="A780">
        <v>12</v>
      </c>
      <c r="B780" s="1">
        <v>28</v>
      </c>
      <c r="C780" s="1" t="s">
        <v>1336</v>
      </c>
      <c r="D780" s="1" t="s">
        <v>904</v>
      </c>
      <c r="E780" s="1" t="s">
        <v>1747</v>
      </c>
      <c r="F780" s="1" t="s">
        <v>969</v>
      </c>
      <c r="G780" s="1" t="s">
        <v>1527</v>
      </c>
      <c r="H780" s="1" t="s">
        <v>947</v>
      </c>
      <c r="I780" s="1" t="s">
        <v>939</v>
      </c>
      <c r="J780" s="1" t="s">
        <v>1029</v>
      </c>
      <c r="K780" s="1" t="s">
        <v>959</v>
      </c>
      <c r="L780" s="1" t="s">
        <v>2721</v>
      </c>
      <c r="M780" s="1" t="s">
        <v>1101</v>
      </c>
      <c r="N780">
        <f>_xlfn.NUMBERVALUE(LEFT(Table11[[#This Row],[Score]],FIND("/",Table11[[#This Row],[Score]])-1))</f>
        <v>131</v>
      </c>
      <c r="O780">
        <f>IFERROR(_xlfn.NUMBERVALUE(LEFT(Table11[[#This Row],[Score2 ]],FIND("/",Table11[[#This Row],[Score2 ]])-1)),"")</f>
        <v>112</v>
      </c>
      <c r="P780" t="s">
        <v>185</v>
      </c>
      <c r="Q780" s="1" t="s">
        <v>145</v>
      </c>
      <c r="R780" t="str">
        <f>Table11[[#This Row],[Match]]&amp;" "&amp;Table11[[#This Row],[Over]]</f>
        <v>12 28</v>
      </c>
    </row>
    <row r="781" spans="1:18" x14ac:dyDescent="0.3">
      <c r="A781">
        <v>12</v>
      </c>
      <c r="B781" s="1">
        <v>29</v>
      </c>
      <c r="C781" s="1" t="s">
        <v>2892</v>
      </c>
      <c r="D781" s="1" t="s">
        <v>922</v>
      </c>
      <c r="E781" s="1" t="s">
        <v>1194</v>
      </c>
      <c r="F781" s="1" t="s">
        <v>1093</v>
      </c>
      <c r="G781" s="1" t="s">
        <v>2893</v>
      </c>
      <c r="H781" s="1" t="s">
        <v>950</v>
      </c>
      <c r="I781" s="1" t="s">
        <v>2021</v>
      </c>
      <c r="J781" s="1" t="s">
        <v>934</v>
      </c>
      <c r="K781" s="1" t="s">
        <v>1677</v>
      </c>
      <c r="L781" s="1" t="s">
        <v>1774</v>
      </c>
      <c r="M781" s="1" t="s">
        <v>1108</v>
      </c>
      <c r="N781">
        <f>_xlfn.NUMBERVALUE(LEFT(Table11[[#This Row],[Score]],FIND("/",Table11[[#This Row],[Score]])-1))</f>
        <v>137</v>
      </c>
      <c r="O781">
        <f>IFERROR(_xlfn.NUMBERVALUE(LEFT(Table11[[#This Row],[Score2 ]],FIND("/",Table11[[#This Row],[Score2 ]])-1)),"")</f>
        <v>117</v>
      </c>
      <c r="P781" t="s">
        <v>185</v>
      </c>
      <c r="Q781" s="1" t="s">
        <v>145</v>
      </c>
      <c r="R781" t="str">
        <f>Table11[[#This Row],[Match]]&amp;" "&amp;Table11[[#This Row],[Over]]</f>
        <v>12 29</v>
      </c>
    </row>
    <row r="782" spans="1:18" x14ac:dyDescent="0.3">
      <c r="A782">
        <v>12</v>
      </c>
      <c r="B782" s="1">
        <v>30</v>
      </c>
      <c r="C782" s="1" t="s">
        <v>2265</v>
      </c>
      <c r="D782" s="1" t="s">
        <v>904</v>
      </c>
      <c r="E782" s="1" t="s">
        <v>1975</v>
      </c>
      <c r="F782" s="1" t="s">
        <v>976</v>
      </c>
      <c r="G782" s="1" t="s">
        <v>1530</v>
      </c>
      <c r="H782" s="1" t="s">
        <v>1051</v>
      </c>
      <c r="I782" s="1" t="s">
        <v>1382</v>
      </c>
      <c r="J782" s="1" t="s">
        <v>1053</v>
      </c>
      <c r="K782" s="1" t="s">
        <v>1722</v>
      </c>
      <c r="L782" s="1" t="s">
        <v>1182</v>
      </c>
      <c r="M782" s="1" t="s">
        <v>1113</v>
      </c>
      <c r="N782">
        <f>_xlfn.NUMBERVALUE(LEFT(Table11[[#This Row],[Score]],FIND("/",Table11[[#This Row],[Score]])-1))</f>
        <v>140</v>
      </c>
      <c r="O782">
        <f>IFERROR(_xlfn.NUMBERVALUE(LEFT(Table11[[#This Row],[Score2 ]],FIND("/",Table11[[#This Row],[Score2 ]])-1)),"")</f>
        <v>128</v>
      </c>
      <c r="P782" t="s">
        <v>185</v>
      </c>
      <c r="Q782" s="1" t="s">
        <v>145</v>
      </c>
      <c r="R782" t="str">
        <f>Table11[[#This Row],[Match]]&amp;" "&amp;Table11[[#This Row],[Over]]</f>
        <v>12 30</v>
      </c>
    </row>
    <row r="783" spans="1:18" x14ac:dyDescent="0.3">
      <c r="A783">
        <v>12</v>
      </c>
      <c r="B783" s="1">
        <v>31</v>
      </c>
      <c r="C783" s="1" t="s">
        <v>2894</v>
      </c>
      <c r="D783" s="1" t="s">
        <v>968</v>
      </c>
      <c r="E783" s="1" t="s">
        <v>2895</v>
      </c>
      <c r="F783" s="1" t="s">
        <v>1259</v>
      </c>
      <c r="G783" s="1" t="s">
        <v>1534</v>
      </c>
      <c r="H783" s="1" t="s">
        <v>904</v>
      </c>
      <c r="I783" s="1" t="s">
        <v>1535</v>
      </c>
      <c r="J783" s="1" t="s">
        <v>943</v>
      </c>
      <c r="K783" s="1" t="s">
        <v>1652</v>
      </c>
      <c r="L783" s="1" t="s">
        <v>1132</v>
      </c>
      <c r="M783" s="1" t="s">
        <v>1121</v>
      </c>
      <c r="N783">
        <f>_xlfn.NUMBERVALUE(LEFT(Table11[[#This Row],[Score]],FIND("/",Table11[[#This Row],[Score]])-1))</f>
        <v>141</v>
      </c>
      <c r="O783">
        <f>IFERROR(_xlfn.NUMBERVALUE(LEFT(Table11[[#This Row],[Score2 ]],FIND("/",Table11[[#This Row],[Score2 ]])-1)),"")</f>
        <v>131</v>
      </c>
      <c r="P783" t="s">
        <v>185</v>
      </c>
      <c r="Q783" s="1" t="s">
        <v>145</v>
      </c>
      <c r="R783" t="str">
        <f>Table11[[#This Row],[Match]]&amp;" "&amp;Table11[[#This Row],[Over]]</f>
        <v>12 31</v>
      </c>
    </row>
    <row r="784" spans="1:18" x14ac:dyDescent="0.3">
      <c r="A784">
        <v>12</v>
      </c>
      <c r="B784" s="1">
        <v>32</v>
      </c>
      <c r="C784" s="1" t="s">
        <v>1813</v>
      </c>
      <c r="D784" s="1" t="s">
        <v>950</v>
      </c>
      <c r="E784" s="1" t="s">
        <v>1781</v>
      </c>
      <c r="F784" s="1" t="s">
        <v>977</v>
      </c>
      <c r="G784" s="1" t="s">
        <v>2896</v>
      </c>
      <c r="H784" s="1" t="s">
        <v>998</v>
      </c>
      <c r="I784" s="1" t="s">
        <v>1130</v>
      </c>
      <c r="J784" s="1" t="s">
        <v>943</v>
      </c>
      <c r="K784" s="1" t="s">
        <v>1145</v>
      </c>
      <c r="L784" s="1" t="s">
        <v>1196</v>
      </c>
      <c r="M784" s="1" t="s">
        <v>1127</v>
      </c>
      <c r="N784">
        <f>_xlfn.NUMBERVALUE(LEFT(Table11[[#This Row],[Score]],FIND("/",Table11[[#This Row],[Score]])-1))</f>
        <v>146</v>
      </c>
      <c r="O784">
        <f>IFERROR(_xlfn.NUMBERVALUE(LEFT(Table11[[#This Row],[Score2 ]],FIND("/",Table11[[#This Row],[Score2 ]])-1)),"")</f>
        <v>135</v>
      </c>
      <c r="P784" t="s">
        <v>185</v>
      </c>
      <c r="Q784" s="1" t="s">
        <v>145</v>
      </c>
      <c r="R784" t="str">
        <f>Table11[[#This Row],[Match]]&amp;" "&amp;Table11[[#This Row],[Over]]</f>
        <v>12 32</v>
      </c>
    </row>
    <row r="785" spans="1:18" x14ac:dyDescent="0.3">
      <c r="A785">
        <v>12</v>
      </c>
      <c r="B785" s="1">
        <v>33</v>
      </c>
      <c r="C785" s="1" t="s">
        <v>2717</v>
      </c>
      <c r="D785" s="1" t="s">
        <v>1051</v>
      </c>
      <c r="E785" s="1" t="s">
        <v>1319</v>
      </c>
      <c r="F785" s="1" t="s">
        <v>1029</v>
      </c>
      <c r="G785" s="1" t="s">
        <v>2141</v>
      </c>
      <c r="H785" s="1" t="s">
        <v>968</v>
      </c>
      <c r="I785" s="1" t="s">
        <v>2897</v>
      </c>
      <c r="J785" s="1" t="s">
        <v>1093</v>
      </c>
      <c r="K785" s="1" t="s">
        <v>2362</v>
      </c>
      <c r="L785" s="1" t="s">
        <v>2752</v>
      </c>
      <c r="M785" s="1" t="s">
        <v>1132</v>
      </c>
      <c r="N785">
        <f>_xlfn.NUMBERVALUE(LEFT(Table11[[#This Row],[Score]],FIND("/",Table11[[#This Row],[Score]])-1))</f>
        <v>157</v>
      </c>
      <c r="O785">
        <f>IFERROR(_xlfn.NUMBERVALUE(LEFT(Table11[[#This Row],[Score2 ]],FIND("/",Table11[[#This Row],[Score2 ]])-1)),"")</f>
        <v>136</v>
      </c>
      <c r="P785" t="s">
        <v>185</v>
      </c>
      <c r="Q785" s="1" t="s">
        <v>145</v>
      </c>
      <c r="R785" t="str">
        <f>Table11[[#This Row],[Match]]&amp;" "&amp;Table11[[#This Row],[Over]]</f>
        <v>12 33</v>
      </c>
    </row>
    <row r="786" spans="1:18" x14ac:dyDescent="0.3">
      <c r="A786">
        <v>12</v>
      </c>
      <c r="B786" s="1">
        <v>34</v>
      </c>
      <c r="C786" s="1" t="s">
        <v>2390</v>
      </c>
      <c r="D786" s="1" t="s">
        <v>930</v>
      </c>
      <c r="E786" s="1" t="s">
        <v>1174</v>
      </c>
      <c r="F786" s="1" t="s">
        <v>934</v>
      </c>
      <c r="G786" s="1" t="s">
        <v>1347</v>
      </c>
      <c r="H786" s="1" t="s">
        <v>922</v>
      </c>
      <c r="I786" s="1" t="s">
        <v>2652</v>
      </c>
      <c r="J786" s="1" t="s">
        <v>969</v>
      </c>
      <c r="K786" s="1" t="s">
        <v>1761</v>
      </c>
      <c r="L786" s="1" t="s">
        <v>1576</v>
      </c>
      <c r="M786" s="1" t="s">
        <v>1138</v>
      </c>
      <c r="N786">
        <f>_xlfn.NUMBERVALUE(LEFT(Table11[[#This Row],[Score]],FIND("/",Table11[[#This Row],[Score]])-1))</f>
        <v>165</v>
      </c>
      <c r="O786">
        <f>IFERROR(_xlfn.NUMBERVALUE(LEFT(Table11[[#This Row],[Score2 ]],FIND("/",Table11[[#This Row],[Score2 ]])-1)),"")</f>
        <v>142</v>
      </c>
      <c r="P786" t="s">
        <v>185</v>
      </c>
      <c r="Q786" s="1" t="s">
        <v>145</v>
      </c>
      <c r="R786" t="str">
        <f>Table11[[#This Row],[Match]]&amp;" "&amp;Table11[[#This Row],[Over]]</f>
        <v>12 34</v>
      </c>
    </row>
    <row r="787" spans="1:18" x14ac:dyDescent="0.3">
      <c r="A787">
        <v>12</v>
      </c>
      <c r="B787" s="1">
        <v>35</v>
      </c>
      <c r="C787" s="1" t="s">
        <v>2898</v>
      </c>
      <c r="D787" s="1" t="s">
        <v>998</v>
      </c>
      <c r="E787" s="1" t="s">
        <v>1026</v>
      </c>
      <c r="F787" s="1" t="s">
        <v>1013</v>
      </c>
      <c r="G787" s="1" t="s">
        <v>1352</v>
      </c>
      <c r="H787" s="1" t="s">
        <v>950</v>
      </c>
      <c r="I787" s="1" t="s">
        <v>931</v>
      </c>
      <c r="J787" s="1" t="s">
        <v>990</v>
      </c>
      <c r="K787" s="1" t="s">
        <v>2143</v>
      </c>
      <c r="L787" s="1" t="s">
        <v>1204</v>
      </c>
      <c r="M787" s="1" t="s">
        <v>1143</v>
      </c>
      <c r="N787">
        <f>_xlfn.NUMBERVALUE(LEFT(Table11[[#This Row],[Score]],FIND("/",Table11[[#This Row],[Score]])-1))</f>
        <v>169</v>
      </c>
      <c r="O787">
        <f>IFERROR(_xlfn.NUMBERVALUE(LEFT(Table11[[#This Row],[Score2 ]],FIND("/",Table11[[#This Row],[Score2 ]])-1)),"")</f>
        <v>147</v>
      </c>
      <c r="P787" t="s">
        <v>185</v>
      </c>
      <c r="Q787" s="1" t="s">
        <v>145</v>
      </c>
      <c r="R787" t="str">
        <f>Table11[[#This Row],[Match]]&amp;" "&amp;Table11[[#This Row],[Over]]</f>
        <v>12 35</v>
      </c>
    </row>
    <row r="788" spans="1:18" x14ac:dyDescent="0.3">
      <c r="A788">
        <v>12</v>
      </c>
      <c r="B788" s="1">
        <v>36</v>
      </c>
      <c r="C788" s="1" t="s">
        <v>2899</v>
      </c>
      <c r="D788" s="1" t="s">
        <v>904</v>
      </c>
      <c r="E788" s="1" t="s">
        <v>2695</v>
      </c>
      <c r="F788" s="1" t="s">
        <v>970</v>
      </c>
      <c r="G788" s="1" t="s">
        <v>2900</v>
      </c>
      <c r="H788" s="1" t="s">
        <v>950</v>
      </c>
      <c r="I788" s="1" t="s">
        <v>1535</v>
      </c>
      <c r="J788" s="1" t="s">
        <v>931</v>
      </c>
      <c r="K788" s="1" t="s">
        <v>1396</v>
      </c>
      <c r="L788" s="1" t="s">
        <v>1210</v>
      </c>
      <c r="M788" s="1" t="s">
        <v>1150</v>
      </c>
      <c r="N788">
        <f>_xlfn.NUMBERVALUE(LEFT(Table11[[#This Row],[Score]],FIND("/",Table11[[#This Row],[Score]])-1))</f>
        <v>172</v>
      </c>
      <c r="O788">
        <f>IFERROR(_xlfn.NUMBERVALUE(LEFT(Table11[[#This Row],[Score2 ]],FIND("/",Table11[[#This Row],[Score2 ]])-1)),"")</f>
        <v>152</v>
      </c>
      <c r="P788" t="s">
        <v>185</v>
      </c>
      <c r="Q788" s="1" t="s">
        <v>145</v>
      </c>
      <c r="R788" t="str">
        <f>Table11[[#This Row],[Match]]&amp;" "&amp;Table11[[#This Row],[Over]]</f>
        <v>12 36</v>
      </c>
    </row>
    <row r="789" spans="1:18" x14ac:dyDescent="0.3">
      <c r="A789">
        <v>12</v>
      </c>
      <c r="B789" s="1">
        <v>37</v>
      </c>
      <c r="C789" s="1" t="s">
        <v>2901</v>
      </c>
      <c r="D789" s="1" t="s">
        <v>968</v>
      </c>
      <c r="E789" s="1" t="s">
        <v>1747</v>
      </c>
      <c r="F789" s="1" t="s">
        <v>966</v>
      </c>
      <c r="G789" s="1" t="s">
        <v>2717</v>
      </c>
      <c r="H789" s="1" t="s">
        <v>950</v>
      </c>
      <c r="I789" s="1" t="s">
        <v>2060</v>
      </c>
      <c r="J789" s="1" t="s">
        <v>940</v>
      </c>
      <c r="K789" s="1" t="s">
        <v>2363</v>
      </c>
      <c r="L789" s="1" t="s">
        <v>1900</v>
      </c>
      <c r="M789" s="1" t="s">
        <v>1156</v>
      </c>
      <c r="N789">
        <f>_xlfn.NUMBERVALUE(LEFT(Table11[[#This Row],[Score]],FIND("/",Table11[[#This Row],[Score]])-1))</f>
        <v>173</v>
      </c>
      <c r="O789">
        <f>IFERROR(_xlfn.NUMBERVALUE(LEFT(Table11[[#This Row],[Score2 ]],FIND("/",Table11[[#This Row],[Score2 ]])-1)),"")</f>
        <v>157</v>
      </c>
      <c r="P789" t="s">
        <v>185</v>
      </c>
      <c r="Q789" s="1" t="s">
        <v>145</v>
      </c>
      <c r="R789" t="str">
        <f>Table11[[#This Row],[Match]]&amp;" "&amp;Table11[[#This Row],[Over]]</f>
        <v>12 37</v>
      </c>
    </row>
    <row r="790" spans="1:18" x14ac:dyDescent="0.3">
      <c r="A790">
        <v>12</v>
      </c>
      <c r="B790" s="1">
        <v>38</v>
      </c>
      <c r="C790" s="1" t="s">
        <v>2724</v>
      </c>
      <c r="D790" s="1" t="s">
        <v>898</v>
      </c>
      <c r="E790" s="1" t="s">
        <v>976</v>
      </c>
      <c r="F790" s="1" t="s">
        <v>977</v>
      </c>
      <c r="G790" s="1" t="s">
        <v>2722</v>
      </c>
      <c r="H790" s="1" t="s">
        <v>1095</v>
      </c>
      <c r="I790" s="1" t="s">
        <v>1067</v>
      </c>
      <c r="J790" s="1" t="s">
        <v>970</v>
      </c>
      <c r="K790" s="1" t="s">
        <v>959</v>
      </c>
      <c r="L790" s="1" t="s">
        <v>1171</v>
      </c>
      <c r="M790" s="1" t="s">
        <v>1164</v>
      </c>
      <c r="N790">
        <f>_xlfn.NUMBERVALUE(LEFT(Table11[[#This Row],[Score]],FIND("/",Table11[[#This Row],[Score]])-1))</f>
        <v>175</v>
      </c>
      <c r="O790">
        <f>IFERROR(_xlfn.NUMBERVALUE(LEFT(Table11[[#This Row],[Score2 ]],FIND("/",Table11[[#This Row],[Score2 ]])-1)),"")</f>
        <v>167</v>
      </c>
      <c r="P790" t="s">
        <v>185</v>
      </c>
      <c r="Q790" s="1" t="s">
        <v>145</v>
      </c>
      <c r="R790" t="str">
        <f>Table11[[#This Row],[Match]]&amp;" "&amp;Table11[[#This Row],[Over]]</f>
        <v>12 38</v>
      </c>
    </row>
    <row r="791" spans="1:18" x14ac:dyDescent="0.3">
      <c r="A791">
        <v>12</v>
      </c>
      <c r="B791" s="1">
        <v>39</v>
      </c>
      <c r="C791" s="1" t="s">
        <v>2902</v>
      </c>
      <c r="D791" s="1" t="s">
        <v>904</v>
      </c>
      <c r="E791" s="1" t="s">
        <v>1781</v>
      </c>
      <c r="F791" s="1" t="s">
        <v>984</v>
      </c>
      <c r="G791" s="1" t="s">
        <v>2903</v>
      </c>
      <c r="H791" s="1" t="s">
        <v>922</v>
      </c>
      <c r="I791" s="1" t="s">
        <v>1999</v>
      </c>
      <c r="J791" s="1" t="s">
        <v>970</v>
      </c>
      <c r="K791" s="1" t="s">
        <v>1599</v>
      </c>
      <c r="L791" s="1" t="s">
        <v>1177</v>
      </c>
      <c r="M791" s="1" t="s">
        <v>1171</v>
      </c>
      <c r="N791">
        <f>_xlfn.NUMBERVALUE(LEFT(Table11[[#This Row],[Score]],FIND("/",Table11[[#This Row],[Score]])-1))</f>
        <v>178</v>
      </c>
      <c r="O791">
        <f>IFERROR(_xlfn.NUMBERVALUE(LEFT(Table11[[#This Row],[Score2 ]],FIND("/",Table11[[#This Row],[Score2 ]])-1)),"")</f>
        <v>173</v>
      </c>
      <c r="P791" t="s">
        <v>185</v>
      </c>
      <c r="Q791" s="1" t="s">
        <v>145</v>
      </c>
      <c r="R791" t="str">
        <f>Table11[[#This Row],[Match]]&amp;" "&amp;Table11[[#This Row],[Over]]</f>
        <v>12 39</v>
      </c>
    </row>
    <row r="792" spans="1:18" x14ac:dyDescent="0.3">
      <c r="A792">
        <v>12</v>
      </c>
      <c r="B792" s="1">
        <v>40</v>
      </c>
      <c r="C792" s="1" t="s">
        <v>2063</v>
      </c>
      <c r="D792" s="1" t="s">
        <v>968</v>
      </c>
      <c r="E792" s="1" t="s">
        <v>1316</v>
      </c>
      <c r="F792" s="1" t="s">
        <v>899</v>
      </c>
      <c r="G792" s="1" t="s">
        <v>2659</v>
      </c>
      <c r="H792" s="1" t="s">
        <v>898</v>
      </c>
      <c r="I792" s="1" t="s">
        <v>957</v>
      </c>
      <c r="J792" s="1" t="s">
        <v>934</v>
      </c>
      <c r="K792" s="1" t="s">
        <v>1013</v>
      </c>
      <c r="L792" s="1" t="s">
        <v>1403</v>
      </c>
      <c r="M792" s="1" t="s">
        <v>1177</v>
      </c>
      <c r="N792">
        <f>_xlfn.NUMBERVALUE(LEFT(Table11[[#This Row],[Score]],FIND("/",Table11[[#This Row],[Score]])-1))</f>
        <v>179</v>
      </c>
      <c r="O792">
        <f>IFERROR(_xlfn.NUMBERVALUE(LEFT(Table11[[#This Row],[Score2 ]],FIND("/",Table11[[#This Row],[Score2 ]])-1)),"")</f>
        <v>175</v>
      </c>
      <c r="P792" t="s">
        <v>185</v>
      </c>
      <c r="Q792" s="1" t="s">
        <v>145</v>
      </c>
      <c r="R792" t="str">
        <f>Table11[[#This Row],[Match]]&amp;" "&amp;Table11[[#This Row],[Over]]</f>
        <v>12 40</v>
      </c>
    </row>
    <row r="793" spans="1:18" x14ac:dyDescent="0.3">
      <c r="A793">
        <v>12</v>
      </c>
      <c r="B793" s="1">
        <v>41</v>
      </c>
      <c r="C793" s="1" t="s">
        <v>2904</v>
      </c>
      <c r="D793" s="1" t="s">
        <v>968</v>
      </c>
      <c r="E793" s="1" t="s">
        <v>1067</v>
      </c>
      <c r="F793" s="1" t="s">
        <v>1770</v>
      </c>
      <c r="G793" s="1" t="s">
        <v>2905</v>
      </c>
      <c r="H793" s="1" t="s">
        <v>904</v>
      </c>
      <c r="I793" s="1" t="s">
        <v>1526</v>
      </c>
      <c r="J793" s="1" t="s">
        <v>1029</v>
      </c>
      <c r="K793" s="1" t="s">
        <v>961</v>
      </c>
      <c r="L793" s="1" t="s">
        <v>1916</v>
      </c>
      <c r="M793" s="1" t="s">
        <v>1183</v>
      </c>
      <c r="N793">
        <f>_xlfn.NUMBERVALUE(LEFT(Table11[[#This Row],[Score]],FIND("/",Table11[[#This Row],[Score]])-1))</f>
        <v>180</v>
      </c>
      <c r="O793">
        <f>IFERROR(_xlfn.NUMBERVALUE(LEFT(Table11[[#This Row],[Score2 ]],FIND("/",Table11[[#This Row],[Score2 ]])-1)),"")</f>
        <v>178</v>
      </c>
      <c r="P793" t="s">
        <v>185</v>
      </c>
      <c r="Q793" s="1" t="s">
        <v>145</v>
      </c>
      <c r="R793" t="str">
        <f>Table11[[#This Row],[Match]]&amp;" "&amp;Table11[[#This Row],[Over]]</f>
        <v>12 41</v>
      </c>
    </row>
    <row r="794" spans="1:18" x14ac:dyDescent="0.3">
      <c r="A794">
        <v>12</v>
      </c>
      <c r="B794" s="1">
        <v>42</v>
      </c>
      <c r="C794" s="1" t="s">
        <v>2159</v>
      </c>
      <c r="D794" s="1" t="s">
        <v>904</v>
      </c>
      <c r="E794" s="1" t="s">
        <v>1299</v>
      </c>
      <c r="F794" s="1" t="s">
        <v>899</v>
      </c>
      <c r="G794" s="1" t="s">
        <v>2159</v>
      </c>
      <c r="H794" s="1" t="s">
        <v>950</v>
      </c>
      <c r="I794" s="1" t="s">
        <v>1299</v>
      </c>
      <c r="J794" s="1" t="s">
        <v>1029</v>
      </c>
      <c r="K794" s="1" t="s">
        <v>1448</v>
      </c>
      <c r="L794" s="1" t="s">
        <v>1812</v>
      </c>
      <c r="M794" s="1" t="s">
        <v>1190</v>
      </c>
      <c r="N794">
        <f>_xlfn.NUMBERVALUE(LEFT(Table11[[#This Row],[Score]],FIND("/",Table11[[#This Row],[Score]])-1))</f>
        <v>183</v>
      </c>
      <c r="O794">
        <f>IFERROR(_xlfn.NUMBERVALUE(LEFT(Table11[[#This Row],[Score2 ]],FIND("/",Table11[[#This Row],[Score2 ]])-1)),"")</f>
        <v>183</v>
      </c>
      <c r="P794" t="s">
        <v>185</v>
      </c>
      <c r="Q794" s="1" t="s">
        <v>145</v>
      </c>
      <c r="R794" t="str">
        <f>Table11[[#This Row],[Match]]&amp;" "&amp;Table11[[#This Row],[Over]]</f>
        <v>12 42</v>
      </c>
    </row>
    <row r="795" spans="1:18" x14ac:dyDescent="0.3">
      <c r="A795">
        <v>12</v>
      </c>
      <c r="B795" s="1">
        <v>43</v>
      </c>
      <c r="C795" s="1" t="s">
        <v>2906</v>
      </c>
      <c r="D795" s="1" t="s">
        <v>922</v>
      </c>
      <c r="E795" s="1" t="s">
        <v>1067</v>
      </c>
      <c r="F795" s="1" t="s">
        <v>993</v>
      </c>
      <c r="G795" s="1" t="s">
        <v>1958</v>
      </c>
      <c r="H795" s="1" t="s">
        <v>898</v>
      </c>
      <c r="I795" s="1" t="s">
        <v>999</v>
      </c>
      <c r="J795" s="1" t="s">
        <v>977</v>
      </c>
      <c r="K795" s="1" t="s">
        <v>1996</v>
      </c>
      <c r="L795" s="1" t="s">
        <v>1190</v>
      </c>
      <c r="M795" s="1" t="s">
        <v>1197</v>
      </c>
      <c r="N795">
        <f>_xlfn.NUMBERVALUE(LEFT(Table11[[#This Row],[Score]],FIND("/",Table11[[#This Row],[Score]])-1))</f>
        <v>189</v>
      </c>
      <c r="O795">
        <f>IFERROR(_xlfn.NUMBERVALUE(LEFT(Table11[[#This Row],[Score2 ]],FIND("/",Table11[[#This Row],[Score2 ]])-1)),"")</f>
        <v>185</v>
      </c>
      <c r="P795" t="s">
        <v>185</v>
      </c>
      <c r="Q795" s="1" t="s">
        <v>145</v>
      </c>
      <c r="R795" t="str">
        <f>Table11[[#This Row],[Match]]&amp;" "&amp;Table11[[#This Row],[Over]]</f>
        <v>12 43</v>
      </c>
    </row>
    <row r="796" spans="1:18" x14ac:dyDescent="0.3">
      <c r="A796">
        <v>12</v>
      </c>
      <c r="B796" s="1">
        <v>44</v>
      </c>
      <c r="C796" s="1" t="s">
        <v>2907</v>
      </c>
      <c r="D796" s="1" t="s">
        <v>904</v>
      </c>
      <c r="E796" s="1" t="s">
        <v>1040</v>
      </c>
      <c r="F796" s="1" t="s">
        <v>993</v>
      </c>
      <c r="G796" s="1" t="s">
        <v>2908</v>
      </c>
      <c r="H796" s="1" t="s">
        <v>904</v>
      </c>
      <c r="I796" s="1" t="s">
        <v>983</v>
      </c>
      <c r="J796" s="1" t="s">
        <v>1238</v>
      </c>
      <c r="K796" s="1" t="s">
        <v>1322</v>
      </c>
      <c r="L796" s="1" t="s">
        <v>1927</v>
      </c>
      <c r="M796" s="1" t="s">
        <v>1205</v>
      </c>
      <c r="N796">
        <f>_xlfn.NUMBERVALUE(LEFT(Table11[[#This Row],[Score]],FIND("/",Table11[[#This Row],[Score]])-1))</f>
        <v>192</v>
      </c>
      <c r="O796">
        <f>IFERROR(_xlfn.NUMBERVALUE(LEFT(Table11[[#This Row],[Score2 ]],FIND("/",Table11[[#This Row],[Score2 ]])-1)),"")</f>
        <v>188</v>
      </c>
      <c r="P796" t="s">
        <v>185</v>
      </c>
      <c r="Q796" s="1" t="s">
        <v>145</v>
      </c>
      <c r="R796" t="str">
        <f>Table11[[#This Row],[Match]]&amp;" "&amp;Table11[[#This Row],[Over]]</f>
        <v>12 44</v>
      </c>
    </row>
    <row r="797" spans="1:18" x14ac:dyDescent="0.3">
      <c r="A797">
        <v>12</v>
      </c>
      <c r="B797" s="1">
        <v>45</v>
      </c>
      <c r="C797" s="1" t="s">
        <v>2166</v>
      </c>
      <c r="D797" s="1" t="s">
        <v>904</v>
      </c>
      <c r="E797" s="1" t="s">
        <v>989</v>
      </c>
      <c r="F797" s="1" t="s">
        <v>1259</v>
      </c>
      <c r="G797" s="1" t="s">
        <v>2909</v>
      </c>
      <c r="H797" s="1" t="s">
        <v>947</v>
      </c>
      <c r="I797" s="1" t="s">
        <v>957</v>
      </c>
      <c r="J797" s="1" t="s">
        <v>940</v>
      </c>
      <c r="K797" s="1" t="s">
        <v>1116</v>
      </c>
      <c r="L797" s="1" t="s">
        <v>1205</v>
      </c>
      <c r="M797" s="1" t="s">
        <v>1211</v>
      </c>
      <c r="N797">
        <f>_xlfn.NUMBERVALUE(LEFT(Table11[[#This Row],[Score]],FIND("/",Table11[[#This Row],[Score]])-1))</f>
        <v>195</v>
      </c>
      <c r="O797">
        <f>IFERROR(_xlfn.NUMBERVALUE(LEFT(Table11[[#This Row],[Score2 ]],FIND("/",Table11[[#This Row],[Score2 ]])-1)),"")</f>
        <v>197</v>
      </c>
      <c r="P797" t="s">
        <v>185</v>
      </c>
      <c r="Q797" s="1" t="s">
        <v>145</v>
      </c>
      <c r="R797" t="str">
        <f>Table11[[#This Row],[Match]]&amp;" "&amp;Table11[[#This Row],[Over]]</f>
        <v>12 45</v>
      </c>
    </row>
    <row r="798" spans="1:18" x14ac:dyDescent="0.3">
      <c r="A798">
        <v>12</v>
      </c>
      <c r="B798" s="1">
        <v>46</v>
      </c>
      <c r="C798" s="1" t="s">
        <v>2910</v>
      </c>
      <c r="D798" s="1" t="s">
        <v>1051</v>
      </c>
      <c r="E798" s="1" t="s">
        <v>1316</v>
      </c>
      <c r="F798" s="1" t="s">
        <v>1029</v>
      </c>
      <c r="G798" s="1" t="s">
        <v>2911</v>
      </c>
      <c r="H798" s="1" t="s">
        <v>1095</v>
      </c>
      <c r="I798" s="1" t="s">
        <v>1021</v>
      </c>
      <c r="J798" s="1" t="s">
        <v>1013</v>
      </c>
      <c r="K798" s="1" t="s">
        <v>1729</v>
      </c>
      <c r="L798" s="1" t="s">
        <v>1704</v>
      </c>
      <c r="M798" s="1" t="s">
        <v>1216</v>
      </c>
      <c r="N798">
        <f>_xlfn.NUMBERVALUE(LEFT(Table11[[#This Row],[Score]],FIND("/",Table11[[#This Row],[Score]])-1))</f>
        <v>206</v>
      </c>
      <c r="O798">
        <f>IFERROR(_xlfn.NUMBERVALUE(LEFT(Table11[[#This Row],[Score2 ]],FIND("/",Table11[[#This Row],[Score2 ]])-1)),"")</f>
        <v>207</v>
      </c>
      <c r="P798" t="s">
        <v>185</v>
      </c>
      <c r="Q798" s="1" t="s">
        <v>145</v>
      </c>
      <c r="R798" t="str">
        <f>Table11[[#This Row],[Match]]&amp;" "&amp;Table11[[#This Row],[Over]]</f>
        <v>12 46</v>
      </c>
    </row>
    <row r="799" spans="1:18" x14ac:dyDescent="0.3">
      <c r="A799">
        <v>12</v>
      </c>
      <c r="B799" s="1">
        <v>47</v>
      </c>
      <c r="C799" s="1" t="s">
        <v>2912</v>
      </c>
      <c r="D799" s="1" t="s">
        <v>1095</v>
      </c>
      <c r="E799" s="1" t="s">
        <v>1557</v>
      </c>
      <c r="F799" s="1" t="s">
        <v>960</v>
      </c>
      <c r="G799" s="1" t="s">
        <v>2913</v>
      </c>
      <c r="H799" s="1" t="s">
        <v>1103</v>
      </c>
      <c r="I799" s="1" t="s">
        <v>1330</v>
      </c>
      <c r="J799" s="1" t="s">
        <v>1116</v>
      </c>
      <c r="K799" s="1" t="s">
        <v>1975</v>
      </c>
      <c r="L799" s="1" t="s">
        <v>933</v>
      </c>
      <c r="M799" s="1" t="s">
        <v>1223</v>
      </c>
      <c r="N799">
        <f>_xlfn.NUMBERVALUE(LEFT(Table11[[#This Row],[Score]],FIND("/",Table11[[#This Row],[Score]])-1))</f>
        <v>216</v>
      </c>
      <c r="O799">
        <f>IFERROR(_xlfn.NUMBERVALUE(LEFT(Table11[[#This Row],[Score2 ]],FIND("/",Table11[[#This Row],[Score2 ]])-1)),"")</f>
        <v>219</v>
      </c>
      <c r="P799" t="s">
        <v>185</v>
      </c>
      <c r="Q799" s="1" t="s">
        <v>145</v>
      </c>
      <c r="R799" t="str">
        <f>Table11[[#This Row],[Match]]&amp;" "&amp;Table11[[#This Row],[Over]]</f>
        <v>12 47</v>
      </c>
    </row>
    <row r="800" spans="1:18" x14ac:dyDescent="0.3">
      <c r="A800">
        <v>12</v>
      </c>
      <c r="B800" s="1">
        <v>48</v>
      </c>
      <c r="C800" s="1" t="s">
        <v>2914</v>
      </c>
      <c r="D800" s="1" t="s">
        <v>922</v>
      </c>
      <c r="E800" s="1" t="s">
        <v>1344</v>
      </c>
      <c r="F800" s="1" t="s">
        <v>960</v>
      </c>
      <c r="G800" s="1" t="s">
        <v>2915</v>
      </c>
      <c r="H800" s="1" t="s">
        <v>1051</v>
      </c>
      <c r="I800" s="1" t="s">
        <v>2511</v>
      </c>
      <c r="J800" s="1" t="s">
        <v>1161</v>
      </c>
      <c r="K800" s="1" t="s">
        <v>1822</v>
      </c>
      <c r="L800" s="1" t="s">
        <v>904</v>
      </c>
      <c r="M800" s="1" t="s">
        <v>1103</v>
      </c>
      <c r="N800">
        <f>_xlfn.NUMBERVALUE(LEFT(Table11[[#This Row],[Score]],FIND("/",Table11[[#This Row],[Score]])-1))</f>
        <v>222</v>
      </c>
      <c r="O800">
        <f>IFERROR(_xlfn.NUMBERVALUE(LEFT(Table11[[#This Row],[Score2 ]],FIND("/",Table11[[#This Row],[Score2 ]])-1)),"")</f>
        <v>230</v>
      </c>
      <c r="P800" t="s">
        <v>185</v>
      </c>
      <c r="Q800" s="1" t="s">
        <v>145</v>
      </c>
      <c r="R800" t="str">
        <f>Table11[[#This Row],[Match]]&amp;" "&amp;Table11[[#This Row],[Over]]</f>
        <v>12 48</v>
      </c>
    </row>
    <row r="801" spans="1:18" x14ac:dyDescent="0.3">
      <c r="A801">
        <v>12</v>
      </c>
      <c r="B801" s="1">
        <v>49</v>
      </c>
      <c r="C801" s="1" t="s">
        <v>2192</v>
      </c>
      <c r="D801" s="1" t="s">
        <v>950</v>
      </c>
      <c r="E801" s="1" t="s">
        <v>1935</v>
      </c>
      <c r="F801" s="1" t="s">
        <v>952</v>
      </c>
      <c r="G801" s="1" t="s">
        <v>2916</v>
      </c>
      <c r="H801" s="1" t="s">
        <v>1830</v>
      </c>
      <c r="I801" s="1" t="s">
        <v>2917</v>
      </c>
      <c r="J801" s="1" t="s">
        <v>2918</v>
      </c>
      <c r="K801" s="1" t="s">
        <v>1622</v>
      </c>
      <c r="L801" s="1" t="s">
        <v>1007</v>
      </c>
      <c r="M801" s="1" t="s">
        <v>1095</v>
      </c>
      <c r="N801">
        <f>_xlfn.NUMBERVALUE(LEFT(Table11[[#This Row],[Score]],FIND("/",Table11[[#This Row],[Score]])-1))</f>
        <v>227</v>
      </c>
      <c r="O801">
        <f>IFERROR(_xlfn.NUMBERVALUE(LEFT(Table11[[#This Row],[Score2 ]],FIND("/",Table11[[#This Row],[Score2 ]])-1)),"")</f>
        <v>236</v>
      </c>
      <c r="P801" t="s">
        <v>185</v>
      </c>
      <c r="Q801" s="1" t="s">
        <v>145</v>
      </c>
      <c r="R801" t="str">
        <f>Table11[[#This Row],[Match]]&amp;" "&amp;Table11[[#This Row],[Over]]</f>
        <v>12 49</v>
      </c>
    </row>
    <row r="802" spans="1:18" x14ac:dyDescent="0.3">
      <c r="A802">
        <v>12</v>
      </c>
      <c r="B802" s="1">
        <v>50</v>
      </c>
      <c r="C802" s="1" t="s">
        <v>2919</v>
      </c>
      <c r="D802" s="1" t="s">
        <v>2920</v>
      </c>
      <c r="E802" s="1" t="s">
        <v>2921</v>
      </c>
      <c r="F802" s="1" t="s">
        <v>2922</v>
      </c>
      <c r="N802">
        <f>_xlfn.NUMBERVALUE(LEFT(Table11[[#This Row],[Score]],FIND("/",Table11[[#This Row],[Score]])-1))</f>
        <v>232</v>
      </c>
      <c r="O802" t="str">
        <f>IFERROR(_xlfn.NUMBERVALUE(LEFT(Table11[[#This Row],[Score2 ]],FIND("/",Table11[[#This Row],[Score2 ]])-1)),"")</f>
        <v/>
      </c>
      <c r="P802" t="s">
        <v>185</v>
      </c>
      <c r="Q802" s="1" t="s">
        <v>145</v>
      </c>
      <c r="R802" t="str">
        <f>Table11[[#This Row],[Match]]&amp;" "&amp;Table11[[#This Row],[Over]]</f>
        <v>12 50</v>
      </c>
    </row>
    <row r="803" spans="1:18" x14ac:dyDescent="0.3">
      <c r="A803">
        <v>14</v>
      </c>
      <c r="B803" s="1">
        <v>1</v>
      </c>
      <c r="C803" s="1" t="s">
        <v>1418</v>
      </c>
      <c r="D803" s="1" t="s">
        <v>904</v>
      </c>
      <c r="E803" s="1" t="s">
        <v>1238</v>
      </c>
      <c r="F803" s="1" t="s">
        <v>348</v>
      </c>
      <c r="G803" s="1" t="s">
        <v>1235</v>
      </c>
      <c r="H803" s="1" t="s">
        <v>947</v>
      </c>
      <c r="I803" s="1" t="s">
        <v>1161</v>
      </c>
      <c r="J803" s="1" t="s">
        <v>348</v>
      </c>
      <c r="K803" s="1" t="s">
        <v>1218</v>
      </c>
      <c r="L803" s="1" t="s">
        <v>2103</v>
      </c>
      <c r="M803" s="1" t="s">
        <v>902</v>
      </c>
      <c r="N803">
        <f>_xlfn.NUMBERVALUE(LEFT(Table11[[#This Row],[Score]],FIND("/",Table11[[#This Row],[Score]])-1))</f>
        <v>3</v>
      </c>
      <c r="O803">
        <f>IFERROR(_xlfn.NUMBERVALUE(LEFT(Table11[[#This Row],[Score2 ]],FIND("/",Table11[[#This Row],[Score2 ]])-1)),"")</f>
        <v>9</v>
      </c>
      <c r="P803" t="s">
        <v>154</v>
      </c>
      <c r="Q803" s="1" t="s">
        <v>176</v>
      </c>
      <c r="R803" t="str">
        <f>Table11[[#This Row],[Match]]&amp;" "&amp;Table11[[#This Row],[Over]]</f>
        <v>14 1</v>
      </c>
    </row>
    <row r="804" spans="1:18" x14ac:dyDescent="0.3">
      <c r="A804">
        <v>14</v>
      </c>
      <c r="B804" s="1">
        <v>2</v>
      </c>
      <c r="C804" s="1" t="s">
        <v>1235</v>
      </c>
      <c r="D804" s="1" t="s">
        <v>922</v>
      </c>
      <c r="E804" s="1" t="s">
        <v>1021</v>
      </c>
      <c r="F804" s="1" t="s">
        <v>348</v>
      </c>
      <c r="G804" s="1" t="s">
        <v>2689</v>
      </c>
      <c r="H804" s="1" t="s">
        <v>950</v>
      </c>
      <c r="I804" s="1" t="s">
        <v>952</v>
      </c>
      <c r="J804" s="1" t="s">
        <v>348</v>
      </c>
      <c r="K804" s="1" t="s">
        <v>1228</v>
      </c>
      <c r="L804" s="1" t="s">
        <v>919</v>
      </c>
      <c r="M804" s="1" t="s">
        <v>909</v>
      </c>
      <c r="N804">
        <f>_xlfn.NUMBERVALUE(LEFT(Table11[[#This Row],[Score]],FIND("/",Table11[[#This Row],[Score]])-1))</f>
        <v>9</v>
      </c>
      <c r="O804">
        <f>IFERROR(_xlfn.NUMBERVALUE(LEFT(Table11[[#This Row],[Score2 ]],FIND("/",Table11[[#This Row],[Score2 ]])-1)),"")</f>
        <v>14</v>
      </c>
      <c r="P804" t="s">
        <v>154</v>
      </c>
      <c r="Q804" s="1" t="s">
        <v>176</v>
      </c>
      <c r="R804" t="str">
        <f>Table11[[#This Row],[Match]]&amp;" "&amp;Table11[[#This Row],[Over]]</f>
        <v>14 2</v>
      </c>
    </row>
    <row r="805" spans="1:18" x14ac:dyDescent="0.3">
      <c r="A805">
        <v>14</v>
      </c>
      <c r="B805" s="1">
        <v>3</v>
      </c>
      <c r="C805" s="1" t="s">
        <v>1235</v>
      </c>
      <c r="D805" s="1" t="s">
        <v>1007</v>
      </c>
      <c r="E805" s="1" t="s">
        <v>1238</v>
      </c>
      <c r="F805" s="1" t="s">
        <v>348</v>
      </c>
      <c r="G805" s="1" t="s">
        <v>1246</v>
      </c>
      <c r="H805" s="1" t="s">
        <v>904</v>
      </c>
      <c r="I805" s="1" t="s">
        <v>942</v>
      </c>
      <c r="J805" s="1" t="s">
        <v>348</v>
      </c>
      <c r="K805" s="1" t="s">
        <v>900</v>
      </c>
      <c r="L805" s="1" t="s">
        <v>927</v>
      </c>
      <c r="M805" s="1" t="s">
        <v>920</v>
      </c>
      <c r="N805">
        <f>_xlfn.NUMBERVALUE(LEFT(Table11[[#This Row],[Score]],FIND("/",Table11[[#This Row],[Score]])-1))</f>
        <v>9</v>
      </c>
      <c r="O805">
        <f>IFERROR(_xlfn.NUMBERVALUE(LEFT(Table11[[#This Row],[Score2 ]],FIND("/",Table11[[#This Row],[Score2 ]])-1)),"")</f>
        <v>17</v>
      </c>
      <c r="P805" t="s">
        <v>154</v>
      </c>
      <c r="Q805" s="1" t="s">
        <v>176</v>
      </c>
      <c r="R805" t="str">
        <f>Table11[[#This Row],[Match]]&amp;" "&amp;Table11[[#This Row],[Over]]</f>
        <v>14 3</v>
      </c>
    </row>
    <row r="806" spans="1:18" x14ac:dyDescent="0.3">
      <c r="A806">
        <v>14</v>
      </c>
      <c r="B806" s="1">
        <v>4</v>
      </c>
      <c r="C806" s="1" t="s">
        <v>1730</v>
      </c>
      <c r="D806" s="1" t="s">
        <v>933</v>
      </c>
      <c r="E806" s="1" t="s">
        <v>1601</v>
      </c>
      <c r="F806" s="1" t="s">
        <v>348</v>
      </c>
      <c r="G806" s="1" t="s">
        <v>2530</v>
      </c>
      <c r="H806" s="1" t="s">
        <v>968</v>
      </c>
      <c r="I806" s="1" t="s">
        <v>1021</v>
      </c>
      <c r="J806" s="1" t="s">
        <v>348</v>
      </c>
      <c r="K806" s="1" t="s">
        <v>2697</v>
      </c>
      <c r="L806" s="1" t="s">
        <v>2107</v>
      </c>
      <c r="M806" s="1" t="s">
        <v>928</v>
      </c>
      <c r="N806">
        <f>_xlfn.NUMBERVALUE(LEFT(Table11[[#This Row],[Score]],FIND("/",Table11[[#This Row],[Score]])-1))</f>
        <v>23</v>
      </c>
      <c r="O806">
        <f>IFERROR(_xlfn.NUMBERVALUE(LEFT(Table11[[#This Row],[Score2 ]],FIND("/",Table11[[#This Row],[Score2 ]])-1)),"")</f>
        <v>18</v>
      </c>
      <c r="P806" t="s">
        <v>154</v>
      </c>
      <c r="Q806" s="1" t="s">
        <v>176</v>
      </c>
      <c r="R806" t="str">
        <f>Table11[[#This Row],[Match]]&amp;" "&amp;Table11[[#This Row],[Over]]</f>
        <v>14 4</v>
      </c>
    </row>
    <row r="807" spans="1:18" x14ac:dyDescent="0.3">
      <c r="A807">
        <v>14</v>
      </c>
      <c r="B807" s="1">
        <v>5</v>
      </c>
      <c r="C807" s="1" t="s">
        <v>1631</v>
      </c>
      <c r="D807" s="1" t="s">
        <v>898</v>
      </c>
      <c r="E807" s="1" t="s">
        <v>969</v>
      </c>
      <c r="F807" s="1" t="s">
        <v>969</v>
      </c>
      <c r="G807" s="1" t="s">
        <v>2800</v>
      </c>
      <c r="H807" s="1" t="s">
        <v>998</v>
      </c>
      <c r="I807" s="1" t="s">
        <v>940</v>
      </c>
      <c r="J807" s="1" t="s">
        <v>940</v>
      </c>
      <c r="K807" s="1" t="s">
        <v>2700</v>
      </c>
      <c r="L807" s="1" t="s">
        <v>920</v>
      </c>
      <c r="M807" s="1" t="s">
        <v>937</v>
      </c>
      <c r="N807">
        <f>_xlfn.NUMBERVALUE(LEFT(Table11[[#This Row],[Score]],FIND("/",Table11[[#This Row],[Score]])-1))</f>
        <v>25</v>
      </c>
      <c r="O807">
        <f>IFERROR(_xlfn.NUMBERVALUE(LEFT(Table11[[#This Row],[Score2 ]],FIND("/",Table11[[#This Row],[Score2 ]])-1)),"")</f>
        <v>22</v>
      </c>
      <c r="P807" t="s">
        <v>154</v>
      </c>
      <c r="Q807" s="1" t="s">
        <v>176</v>
      </c>
      <c r="R807" t="str">
        <f>Table11[[#This Row],[Match]]&amp;" "&amp;Table11[[#This Row],[Over]]</f>
        <v>14 5</v>
      </c>
    </row>
    <row r="808" spans="1:18" x14ac:dyDescent="0.3">
      <c r="A808">
        <v>14</v>
      </c>
      <c r="B808" s="1">
        <v>6</v>
      </c>
      <c r="C808" s="1" t="s">
        <v>2330</v>
      </c>
      <c r="D808" s="1" t="s">
        <v>916</v>
      </c>
      <c r="E808" s="1" t="s">
        <v>2110</v>
      </c>
      <c r="F808" s="1" t="s">
        <v>1013</v>
      </c>
      <c r="G808" s="1" t="s">
        <v>2690</v>
      </c>
      <c r="H808" s="1" t="s">
        <v>950</v>
      </c>
      <c r="I808" s="1" t="s">
        <v>1021</v>
      </c>
      <c r="J808" s="1" t="s">
        <v>977</v>
      </c>
      <c r="K808" s="1" t="s">
        <v>1240</v>
      </c>
      <c r="L808" s="1" t="s">
        <v>2237</v>
      </c>
      <c r="M808" s="1" t="s">
        <v>945</v>
      </c>
      <c r="N808">
        <f>_xlfn.NUMBERVALUE(LEFT(Table11[[#This Row],[Score]],FIND("/",Table11[[#This Row],[Score]])-1))</f>
        <v>32</v>
      </c>
      <c r="O808">
        <f>IFERROR(_xlfn.NUMBERVALUE(LEFT(Table11[[#This Row],[Score2 ]],FIND("/",Table11[[#This Row],[Score2 ]])-1)),"")</f>
        <v>27</v>
      </c>
      <c r="P808" t="s">
        <v>154</v>
      </c>
      <c r="Q808" s="1" t="s">
        <v>176</v>
      </c>
      <c r="R808" t="str">
        <f>Table11[[#This Row],[Match]]&amp;" "&amp;Table11[[#This Row],[Over]]</f>
        <v>14 6</v>
      </c>
    </row>
    <row r="809" spans="1:18" x14ac:dyDescent="0.3">
      <c r="A809">
        <v>14</v>
      </c>
      <c r="B809" s="1">
        <v>7</v>
      </c>
      <c r="C809" s="1" t="s">
        <v>2104</v>
      </c>
      <c r="D809" s="1" t="s">
        <v>1095</v>
      </c>
      <c r="E809" s="1" t="s">
        <v>1019</v>
      </c>
      <c r="F809" s="1" t="s">
        <v>960</v>
      </c>
      <c r="G809" s="1" t="s">
        <v>1270</v>
      </c>
      <c r="H809" s="1" t="s">
        <v>1095</v>
      </c>
      <c r="I809" s="1" t="s">
        <v>1727</v>
      </c>
      <c r="J809" s="1" t="s">
        <v>976</v>
      </c>
      <c r="K809" s="1" t="s">
        <v>970</v>
      </c>
      <c r="L809" s="1" t="s">
        <v>944</v>
      </c>
      <c r="M809" s="1" t="s">
        <v>955</v>
      </c>
      <c r="N809">
        <f>_xlfn.NUMBERVALUE(LEFT(Table11[[#This Row],[Score]],FIND("/",Table11[[#This Row],[Score]])-1))</f>
        <v>42</v>
      </c>
      <c r="O809">
        <f>IFERROR(_xlfn.NUMBERVALUE(LEFT(Table11[[#This Row],[Score2 ]],FIND("/",Table11[[#This Row],[Score2 ]])-1)),"")</f>
        <v>37</v>
      </c>
      <c r="P809" t="s">
        <v>154</v>
      </c>
      <c r="Q809" s="1" t="s">
        <v>176</v>
      </c>
      <c r="R809" t="str">
        <f>Table11[[#This Row],[Match]]&amp;" "&amp;Table11[[#This Row],[Over]]</f>
        <v>14 7</v>
      </c>
    </row>
    <row r="810" spans="1:18" x14ac:dyDescent="0.3">
      <c r="A810">
        <v>14</v>
      </c>
      <c r="B810" s="1">
        <v>8</v>
      </c>
      <c r="C810" s="1" t="s">
        <v>2094</v>
      </c>
      <c r="D810" s="1" t="s">
        <v>904</v>
      </c>
      <c r="E810" s="1" t="s">
        <v>2268</v>
      </c>
      <c r="F810" s="1" t="s">
        <v>1116</v>
      </c>
      <c r="G810" s="1" t="s">
        <v>2216</v>
      </c>
      <c r="H810" s="1" t="s">
        <v>998</v>
      </c>
      <c r="I810" s="1" t="s">
        <v>1567</v>
      </c>
      <c r="J810" s="1" t="s">
        <v>1093</v>
      </c>
      <c r="K810" s="1" t="s">
        <v>2700</v>
      </c>
      <c r="L810" s="1" t="s">
        <v>2116</v>
      </c>
      <c r="M810" s="1" t="s">
        <v>963</v>
      </c>
      <c r="N810">
        <f>_xlfn.NUMBERVALUE(LEFT(Table11[[#This Row],[Score]],FIND("/",Table11[[#This Row],[Score]])-1))</f>
        <v>45</v>
      </c>
      <c r="O810">
        <f>IFERROR(_xlfn.NUMBERVALUE(LEFT(Table11[[#This Row],[Score2 ]],FIND("/",Table11[[#This Row],[Score2 ]])-1)),"")</f>
        <v>41</v>
      </c>
      <c r="P810" t="s">
        <v>154</v>
      </c>
      <c r="Q810" s="1" t="s">
        <v>176</v>
      </c>
      <c r="R810" t="str">
        <f>Table11[[#This Row],[Match]]&amp;" "&amp;Table11[[#This Row],[Over]]</f>
        <v>14 8</v>
      </c>
    </row>
    <row r="811" spans="1:18" x14ac:dyDescent="0.3">
      <c r="A811">
        <v>14</v>
      </c>
      <c r="B811" s="1">
        <v>9</v>
      </c>
      <c r="C811" s="1" t="s">
        <v>2923</v>
      </c>
      <c r="D811" s="1" t="s">
        <v>998</v>
      </c>
      <c r="E811" s="1" t="s">
        <v>1145</v>
      </c>
      <c r="F811" s="1" t="s">
        <v>1029</v>
      </c>
      <c r="G811" s="1" t="s">
        <v>958</v>
      </c>
      <c r="H811" s="1" t="s">
        <v>904</v>
      </c>
      <c r="I811" s="1" t="s">
        <v>1202</v>
      </c>
      <c r="J811" s="1" t="s">
        <v>1029</v>
      </c>
      <c r="K811" s="1" t="s">
        <v>2706</v>
      </c>
      <c r="L811" s="1" t="s">
        <v>2602</v>
      </c>
      <c r="M811" s="1" t="s">
        <v>973</v>
      </c>
      <c r="N811">
        <f>_xlfn.NUMBERVALUE(LEFT(Table11[[#This Row],[Score]],FIND("/",Table11[[#This Row],[Score]])-1))</f>
        <v>49</v>
      </c>
      <c r="O811">
        <f>IFERROR(_xlfn.NUMBERVALUE(LEFT(Table11[[#This Row],[Score2 ]],FIND("/",Table11[[#This Row],[Score2 ]])-1)),"")</f>
        <v>44</v>
      </c>
      <c r="P811" t="s">
        <v>154</v>
      </c>
      <c r="Q811" s="1" t="s">
        <v>176</v>
      </c>
      <c r="R811" t="str">
        <f>Table11[[#This Row],[Match]]&amp;" "&amp;Table11[[#This Row],[Over]]</f>
        <v>14 9</v>
      </c>
    </row>
    <row r="812" spans="1:18" x14ac:dyDescent="0.3">
      <c r="A812">
        <v>14</v>
      </c>
      <c r="B812" s="1">
        <v>10</v>
      </c>
      <c r="C812" s="1" t="s">
        <v>2924</v>
      </c>
      <c r="D812" s="1" t="s">
        <v>947</v>
      </c>
      <c r="E812" s="1" t="s">
        <v>1013</v>
      </c>
      <c r="F812" s="1" t="s">
        <v>960</v>
      </c>
      <c r="G812" s="1" t="s">
        <v>982</v>
      </c>
      <c r="H812" s="1" t="s">
        <v>904</v>
      </c>
      <c r="I812" s="1" t="s">
        <v>1321</v>
      </c>
      <c r="J812" s="1" t="s">
        <v>969</v>
      </c>
      <c r="K812" s="1" t="s">
        <v>2095</v>
      </c>
      <c r="L812" s="1" t="s">
        <v>962</v>
      </c>
      <c r="M812" s="1" t="s">
        <v>980</v>
      </c>
      <c r="N812">
        <f>_xlfn.NUMBERVALUE(LEFT(Table11[[#This Row],[Score]],FIND("/",Table11[[#This Row],[Score]])-1))</f>
        <v>58</v>
      </c>
      <c r="O812">
        <f>IFERROR(_xlfn.NUMBERVALUE(LEFT(Table11[[#This Row],[Score2 ]],FIND("/",Table11[[#This Row],[Score2 ]])-1)),"")</f>
        <v>47</v>
      </c>
      <c r="P812" t="s">
        <v>154</v>
      </c>
      <c r="Q812" s="1" t="s">
        <v>176</v>
      </c>
      <c r="R812" t="str">
        <f>Table11[[#This Row],[Match]]&amp;" "&amp;Table11[[#This Row],[Over]]</f>
        <v>14 10</v>
      </c>
    </row>
    <row r="813" spans="1:18" x14ac:dyDescent="0.3">
      <c r="A813">
        <v>14</v>
      </c>
      <c r="B813" s="1">
        <v>11</v>
      </c>
      <c r="C813" s="1" t="s">
        <v>1741</v>
      </c>
      <c r="D813" s="1" t="s">
        <v>998</v>
      </c>
      <c r="E813" s="1" t="s">
        <v>2133</v>
      </c>
      <c r="F813" s="1" t="s">
        <v>1019</v>
      </c>
      <c r="G813" s="1" t="s">
        <v>2451</v>
      </c>
      <c r="H813" s="1" t="s">
        <v>998</v>
      </c>
      <c r="I813" s="1" t="s">
        <v>1935</v>
      </c>
      <c r="J813" s="1" t="s">
        <v>1093</v>
      </c>
      <c r="K813" s="1" t="s">
        <v>2468</v>
      </c>
      <c r="L813" s="1" t="s">
        <v>1445</v>
      </c>
      <c r="M813" s="1" t="s">
        <v>987</v>
      </c>
      <c r="N813">
        <f>_xlfn.NUMBERVALUE(LEFT(Table11[[#This Row],[Score]],FIND("/",Table11[[#This Row],[Score]])-1))</f>
        <v>62</v>
      </c>
      <c r="O813">
        <f>IFERROR(_xlfn.NUMBERVALUE(LEFT(Table11[[#This Row],[Score2 ]],FIND("/",Table11[[#This Row],[Score2 ]])-1)),"")</f>
        <v>51</v>
      </c>
      <c r="P813" t="s">
        <v>154</v>
      </c>
      <c r="Q813" s="1" t="s">
        <v>176</v>
      </c>
      <c r="R813" t="str">
        <f>Table11[[#This Row],[Match]]&amp;" "&amp;Table11[[#This Row],[Over]]</f>
        <v>14 11</v>
      </c>
    </row>
    <row r="814" spans="1:18" x14ac:dyDescent="0.3">
      <c r="A814">
        <v>14</v>
      </c>
      <c r="B814" s="1">
        <v>12</v>
      </c>
      <c r="C814" s="1" t="s">
        <v>1997</v>
      </c>
      <c r="D814" s="1" t="s">
        <v>1095</v>
      </c>
      <c r="E814" s="1" t="s">
        <v>1019</v>
      </c>
      <c r="F814" s="1" t="s">
        <v>1019</v>
      </c>
      <c r="G814" s="1" t="s">
        <v>2925</v>
      </c>
      <c r="H814" s="1" t="s">
        <v>904</v>
      </c>
      <c r="I814" s="1" t="s">
        <v>1021</v>
      </c>
      <c r="J814" s="1" t="s">
        <v>1247</v>
      </c>
      <c r="K814" s="1" t="s">
        <v>2926</v>
      </c>
      <c r="L814" s="1" t="s">
        <v>2606</v>
      </c>
      <c r="M814" s="1" t="s">
        <v>996</v>
      </c>
      <c r="N814">
        <f>_xlfn.NUMBERVALUE(LEFT(Table11[[#This Row],[Score]],FIND("/",Table11[[#This Row],[Score]])-1))</f>
        <v>72</v>
      </c>
      <c r="O814">
        <f>IFERROR(_xlfn.NUMBERVALUE(LEFT(Table11[[#This Row],[Score2 ]],FIND("/",Table11[[#This Row],[Score2 ]])-1)),"")</f>
        <v>54</v>
      </c>
      <c r="P814" t="s">
        <v>154</v>
      </c>
      <c r="Q814" s="1" t="s">
        <v>176</v>
      </c>
      <c r="R814" t="str">
        <f>Table11[[#This Row],[Match]]&amp;" "&amp;Table11[[#This Row],[Over]]</f>
        <v>14 12</v>
      </c>
    </row>
    <row r="815" spans="1:18" x14ac:dyDescent="0.3">
      <c r="A815">
        <v>14</v>
      </c>
      <c r="B815" s="1">
        <v>13</v>
      </c>
      <c r="C815" s="1" t="s">
        <v>2927</v>
      </c>
      <c r="D815" s="1" t="s">
        <v>930</v>
      </c>
      <c r="E815" s="1" t="s">
        <v>1971</v>
      </c>
      <c r="F815" s="1" t="s">
        <v>952</v>
      </c>
      <c r="G815" s="1" t="s">
        <v>2928</v>
      </c>
      <c r="H815" s="1" t="s">
        <v>998</v>
      </c>
      <c r="I815" s="1" t="s">
        <v>1001</v>
      </c>
      <c r="J815" s="1" t="s">
        <v>1247</v>
      </c>
      <c r="K815" s="1" t="s">
        <v>2086</v>
      </c>
      <c r="L815" s="1" t="s">
        <v>973</v>
      </c>
      <c r="M815" s="1" t="s">
        <v>1004</v>
      </c>
      <c r="N815">
        <f>_xlfn.NUMBERVALUE(LEFT(Table11[[#This Row],[Score]],FIND("/",Table11[[#This Row],[Score]])-1))</f>
        <v>80</v>
      </c>
      <c r="O815">
        <f>IFERROR(_xlfn.NUMBERVALUE(LEFT(Table11[[#This Row],[Score2 ]],FIND("/",Table11[[#This Row],[Score2 ]])-1)),"")</f>
        <v>58</v>
      </c>
      <c r="P815" t="s">
        <v>154</v>
      </c>
      <c r="Q815" s="1" t="s">
        <v>176</v>
      </c>
      <c r="R815" t="str">
        <f>Table11[[#This Row],[Match]]&amp;" "&amp;Table11[[#This Row],[Over]]</f>
        <v>14 13</v>
      </c>
    </row>
    <row r="816" spans="1:18" x14ac:dyDescent="0.3">
      <c r="A816">
        <v>14</v>
      </c>
      <c r="B816" s="1">
        <v>14</v>
      </c>
      <c r="C816" s="1" t="s">
        <v>2929</v>
      </c>
      <c r="D816" s="1" t="s">
        <v>898</v>
      </c>
      <c r="E816" s="1" t="s">
        <v>2217</v>
      </c>
      <c r="F816" s="1" t="s">
        <v>960</v>
      </c>
      <c r="G816" s="1" t="s">
        <v>2780</v>
      </c>
      <c r="H816" s="1" t="s">
        <v>898</v>
      </c>
      <c r="I816" s="1" t="s">
        <v>1124</v>
      </c>
      <c r="J816" s="1" t="s">
        <v>1259</v>
      </c>
      <c r="K816" s="1" t="s">
        <v>1484</v>
      </c>
      <c r="L816" s="1" t="s">
        <v>1449</v>
      </c>
      <c r="M816" s="1" t="s">
        <v>1010</v>
      </c>
      <c r="N816">
        <f>_xlfn.NUMBERVALUE(LEFT(Table11[[#This Row],[Score]],FIND("/",Table11[[#This Row],[Score]])-1))</f>
        <v>82</v>
      </c>
      <c r="O816">
        <f>IFERROR(_xlfn.NUMBERVALUE(LEFT(Table11[[#This Row],[Score2 ]],FIND("/",Table11[[#This Row],[Score2 ]])-1)),"")</f>
        <v>60</v>
      </c>
      <c r="P816" t="s">
        <v>154</v>
      </c>
      <c r="Q816" s="1" t="s">
        <v>176</v>
      </c>
      <c r="R816" t="str">
        <f>Table11[[#This Row],[Match]]&amp;" "&amp;Table11[[#This Row],[Over]]</f>
        <v>14 14</v>
      </c>
    </row>
    <row r="817" spans="1:18" x14ac:dyDescent="0.3">
      <c r="A817">
        <v>14</v>
      </c>
      <c r="B817" s="1">
        <v>15</v>
      </c>
      <c r="C817" s="1" t="s">
        <v>2930</v>
      </c>
      <c r="D817" s="1" t="s">
        <v>916</v>
      </c>
      <c r="E817" s="1" t="s">
        <v>1425</v>
      </c>
      <c r="F817" s="1" t="s">
        <v>970</v>
      </c>
      <c r="G817" s="1" t="s">
        <v>1480</v>
      </c>
      <c r="H817" s="1" t="s">
        <v>968</v>
      </c>
      <c r="I817" s="1" t="s">
        <v>1288</v>
      </c>
      <c r="J817" s="1" t="s">
        <v>993</v>
      </c>
      <c r="K817" s="1" t="s">
        <v>1768</v>
      </c>
      <c r="L817" s="1" t="s">
        <v>1003</v>
      </c>
      <c r="M817" s="1" t="s">
        <v>1016</v>
      </c>
      <c r="N817">
        <f>_xlfn.NUMBERVALUE(LEFT(Table11[[#This Row],[Score]],FIND("/",Table11[[#This Row],[Score]])-1))</f>
        <v>89</v>
      </c>
      <c r="O817">
        <f>IFERROR(_xlfn.NUMBERVALUE(LEFT(Table11[[#This Row],[Score2 ]],FIND("/",Table11[[#This Row],[Score2 ]])-1)),"")</f>
        <v>61</v>
      </c>
      <c r="P817" t="s">
        <v>154</v>
      </c>
      <c r="Q817" s="1" t="s">
        <v>176</v>
      </c>
      <c r="R817" t="str">
        <f>Table11[[#This Row],[Match]]&amp;" "&amp;Table11[[#This Row],[Over]]</f>
        <v>14 15</v>
      </c>
    </row>
    <row r="818" spans="1:18" x14ac:dyDescent="0.3">
      <c r="A818">
        <v>14</v>
      </c>
      <c r="B818" s="1">
        <v>16</v>
      </c>
      <c r="C818" s="1" t="s">
        <v>2931</v>
      </c>
      <c r="D818" s="1" t="s">
        <v>898</v>
      </c>
      <c r="E818" s="1" t="s">
        <v>1761</v>
      </c>
      <c r="F818" s="1" t="s">
        <v>1013</v>
      </c>
      <c r="G818" s="1" t="s">
        <v>1876</v>
      </c>
      <c r="H818" s="1" t="s">
        <v>898</v>
      </c>
      <c r="I818" s="1" t="s">
        <v>1294</v>
      </c>
      <c r="J818" s="1" t="s">
        <v>1088</v>
      </c>
      <c r="K818" s="1" t="s">
        <v>2210</v>
      </c>
      <c r="L818" s="1" t="s">
        <v>2124</v>
      </c>
      <c r="M818" s="1" t="s">
        <v>1024</v>
      </c>
      <c r="N818">
        <f>_xlfn.NUMBERVALUE(LEFT(Table11[[#This Row],[Score]],FIND("/",Table11[[#This Row],[Score]])-1))</f>
        <v>91</v>
      </c>
      <c r="O818">
        <f>IFERROR(_xlfn.NUMBERVALUE(LEFT(Table11[[#This Row],[Score2 ]],FIND("/",Table11[[#This Row],[Score2 ]])-1)),"")</f>
        <v>63</v>
      </c>
      <c r="P818" t="s">
        <v>154</v>
      </c>
      <c r="Q818" s="1" t="s">
        <v>176</v>
      </c>
      <c r="R818" t="str">
        <f>Table11[[#This Row],[Match]]&amp;" "&amp;Table11[[#This Row],[Over]]</f>
        <v>14 16</v>
      </c>
    </row>
    <row r="819" spans="1:18" x14ac:dyDescent="0.3">
      <c r="A819">
        <v>14</v>
      </c>
      <c r="B819" s="1">
        <v>17</v>
      </c>
      <c r="C819" s="1" t="s">
        <v>2932</v>
      </c>
      <c r="D819" s="1" t="s">
        <v>1051</v>
      </c>
      <c r="E819" s="1" t="s">
        <v>1019</v>
      </c>
      <c r="F819" s="1" t="s">
        <v>1019</v>
      </c>
      <c r="G819" s="1" t="s">
        <v>2933</v>
      </c>
      <c r="H819" s="1" t="s">
        <v>904</v>
      </c>
      <c r="I819" s="1" t="s">
        <v>1860</v>
      </c>
      <c r="J819" s="1" t="s">
        <v>1088</v>
      </c>
      <c r="K819" s="1" t="s">
        <v>2934</v>
      </c>
      <c r="L819" s="1" t="s">
        <v>1457</v>
      </c>
      <c r="M819" s="1" t="s">
        <v>1031</v>
      </c>
      <c r="N819">
        <f>_xlfn.NUMBERVALUE(LEFT(Table11[[#This Row],[Score]],FIND("/",Table11[[#This Row],[Score]])-1))</f>
        <v>102</v>
      </c>
      <c r="O819">
        <f>IFERROR(_xlfn.NUMBERVALUE(LEFT(Table11[[#This Row],[Score2 ]],FIND("/",Table11[[#This Row],[Score2 ]])-1)),"")</f>
        <v>66</v>
      </c>
      <c r="P819" t="s">
        <v>154</v>
      </c>
      <c r="Q819" s="1" t="s">
        <v>176</v>
      </c>
      <c r="R819" t="str">
        <f>Table11[[#This Row],[Match]]&amp;" "&amp;Table11[[#This Row],[Over]]</f>
        <v>14 17</v>
      </c>
    </row>
    <row r="820" spans="1:18" x14ac:dyDescent="0.3">
      <c r="A820">
        <v>14</v>
      </c>
      <c r="B820" s="1">
        <v>18</v>
      </c>
      <c r="C820" s="1" t="s">
        <v>2117</v>
      </c>
      <c r="D820" s="1" t="s">
        <v>930</v>
      </c>
      <c r="E820" s="1" t="s">
        <v>961</v>
      </c>
      <c r="F820" s="1" t="s">
        <v>1019</v>
      </c>
      <c r="G820" s="1" t="s">
        <v>2781</v>
      </c>
      <c r="H820" s="1" t="s">
        <v>950</v>
      </c>
      <c r="I820" s="1" t="s">
        <v>2349</v>
      </c>
      <c r="J820" s="1" t="s">
        <v>984</v>
      </c>
      <c r="K820" s="1" t="s">
        <v>2627</v>
      </c>
      <c r="L820" s="1" t="s">
        <v>2616</v>
      </c>
      <c r="M820" s="1" t="s">
        <v>1037</v>
      </c>
      <c r="N820">
        <f>_xlfn.NUMBERVALUE(LEFT(Table11[[#This Row],[Score]],FIND("/",Table11[[#This Row],[Score]])-1))</f>
        <v>110</v>
      </c>
      <c r="O820">
        <f>IFERROR(_xlfn.NUMBERVALUE(LEFT(Table11[[#This Row],[Score2 ]],FIND("/",Table11[[#This Row],[Score2 ]])-1)),"")</f>
        <v>71</v>
      </c>
      <c r="P820" t="s">
        <v>154</v>
      </c>
      <c r="Q820" s="1" t="s">
        <v>176</v>
      </c>
      <c r="R820" t="str">
        <f>Table11[[#This Row],[Match]]&amp;" "&amp;Table11[[#This Row],[Over]]</f>
        <v>14 18</v>
      </c>
    </row>
    <row r="821" spans="1:18" x14ac:dyDescent="0.3">
      <c r="A821">
        <v>14</v>
      </c>
      <c r="B821" s="1">
        <v>19</v>
      </c>
      <c r="C821" s="1" t="s">
        <v>2935</v>
      </c>
      <c r="D821" s="1" t="s">
        <v>898</v>
      </c>
      <c r="E821" s="1" t="s">
        <v>2081</v>
      </c>
      <c r="F821" s="1" t="s">
        <v>1019</v>
      </c>
      <c r="G821" s="1" t="s">
        <v>1478</v>
      </c>
      <c r="H821" s="1" t="s">
        <v>904</v>
      </c>
      <c r="I821" s="1" t="s">
        <v>2936</v>
      </c>
      <c r="J821" s="1" t="s">
        <v>993</v>
      </c>
      <c r="K821" s="1" t="s">
        <v>2229</v>
      </c>
      <c r="L821" s="1" t="s">
        <v>1460</v>
      </c>
      <c r="M821" s="1" t="s">
        <v>1043</v>
      </c>
      <c r="N821">
        <f>_xlfn.NUMBERVALUE(LEFT(Table11[[#This Row],[Score]],FIND("/",Table11[[#This Row],[Score]])-1))</f>
        <v>112</v>
      </c>
      <c r="O821">
        <f>IFERROR(_xlfn.NUMBERVALUE(LEFT(Table11[[#This Row],[Score2 ]],FIND("/",Table11[[#This Row],[Score2 ]])-1)),"")</f>
        <v>74</v>
      </c>
      <c r="P821" t="s">
        <v>154</v>
      </c>
      <c r="Q821" s="1" t="s">
        <v>176</v>
      </c>
      <c r="R821" t="str">
        <f>Table11[[#This Row],[Match]]&amp;" "&amp;Table11[[#This Row],[Over]]</f>
        <v>14 19</v>
      </c>
    </row>
    <row r="822" spans="1:18" x14ac:dyDescent="0.3">
      <c r="A822">
        <v>14</v>
      </c>
      <c r="B822" s="1">
        <v>20</v>
      </c>
      <c r="C822" s="1" t="s">
        <v>2937</v>
      </c>
      <c r="D822" s="1" t="s">
        <v>950</v>
      </c>
      <c r="E822" s="1" t="s">
        <v>2217</v>
      </c>
      <c r="F822" s="1" t="s">
        <v>934</v>
      </c>
      <c r="G822" s="1" t="s">
        <v>1478</v>
      </c>
      <c r="H822" s="1" t="s">
        <v>1007</v>
      </c>
      <c r="I822" s="1" t="s">
        <v>2816</v>
      </c>
      <c r="J822" s="1" t="s">
        <v>984</v>
      </c>
      <c r="K822" s="1" t="s">
        <v>2136</v>
      </c>
      <c r="L822" s="1" t="s">
        <v>1460</v>
      </c>
      <c r="M822" s="1" t="s">
        <v>1049</v>
      </c>
      <c r="N822">
        <f>_xlfn.NUMBERVALUE(LEFT(Table11[[#This Row],[Score]],FIND("/",Table11[[#This Row],[Score]])-1))</f>
        <v>117</v>
      </c>
      <c r="O822">
        <f>IFERROR(_xlfn.NUMBERVALUE(LEFT(Table11[[#This Row],[Score2 ]],FIND("/",Table11[[#This Row],[Score2 ]])-1)),"")</f>
        <v>74</v>
      </c>
      <c r="P822" t="s">
        <v>154</v>
      </c>
      <c r="Q822" s="1" t="s">
        <v>176</v>
      </c>
      <c r="R822" t="str">
        <f>Table11[[#This Row],[Match]]&amp;" "&amp;Table11[[#This Row],[Over]]</f>
        <v>14 20</v>
      </c>
    </row>
    <row r="823" spans="1:18" x14ac:dyDescent="0.3">
      <c r="A823">
        <v>14</v>
      </c>
      <c r="B823" s="1">
        <v>21</v>
      </c>
      <c r="C823" s="1" t="s">
        <v>2938</v>
      </c>
      <c r="D823" s="1" t="s">
        <v>904</v>
      </c>
      <c r="E823" s="1" t="s">
        <v>2153</v>
      </c>
      <c r="F823" s="1" t="s">
        <v>1013</v>
      </c>
      <c r="G823" s="1" t="s">
        <v>2939</v>
      </c>
      <c r="H823" s="1" t="s">
        <v>1051</v>
      </c>
      <c r="I823" s="1" t="s">
        <v>1505</v>
      </c>
      <c r="J823" s="1" t="s">
        <v>940</v>
      </c>
      <c r="K823" s="1" t="s">
        <v>2940</v>
      </c>
      <c r="L823" s="1" t="s">
        <v>1470</v>
      </c>
      <c r="M823" s="1" t="s">
        <v>1056</v>
      </c>
      <c r="N823">
        <f>_xlfn.NUMBERVALUE(LEFT(Table11[[#This Row],[Score]],FIND("/",Table11[[#This Row],[Score]])-1))</f>
        <v>120</v>
      </c>
      <c r="O823">
        <f>IFERROR(_xlfn.NUMBERVALUE(LEFT(Table11[[#This Row],[Score2 ]],FIND("/",Table11[[#This Row],[Score2 ]])-1)),"")</f>
        <v>85</v>
      </c>
      <c r="P823" t="s">
        <v>154</v>
      </c>
      <c r="Q823" s="1" t="s">
        <v>176</v>
      </c>
      <c r="R823" t="str">
        <f>Table11[[#This Row],[Match]]&amp;" "&amp;Table11[[#This Row],[Over]]</f>
        <v>14 21</v>
      </c>
    </row>
    <row r="824" spans="1:18" x14ac:dyDescent="0.3">
      <c r="A824">
        <v>14</v>
      </c>
      <c r="B824" s="1">
        <v>22</v>
      </c>
      <c r="C824" s="1" t="s">
        <v>2941</v>
      </c>
      <c r="D824" s="1" t="s">
        <v>922</v>
      </c>
      <c r="E824" s="1" t="s">
        <v>1597</v>
      </c>
      <c r="F824" s="1" t="s">
        <v>1093</v>
      </c>
      <c r="G824" s="1" t="s">
        <v>2560</v>
      </c>
      <c r="H824" s="1" t="s">
        <v>1103</v>
      </c>
      <c r="I824" s="1" t="s">
        <v>940</v>
      </c>
      <c r="J824" s="1" t="s">
        <v>970</v>
      </c>
      <c r="K824" s="1" t="s">
        <v>2942</v>
      </c>
      <c r="L824" s="1" t="s">
        <v>2137</v>
      </c>
      <c r="M824" s="1" t="s">
        <v>1063</v>
      </c>
      <c r="N824">
        <f>_xlfn.NUMBERVALUE(LEFT(Table11[[#This Row],[Score]],FIND("/",Table11[[#This Row],[Score]])-1))</f>
        <v>126</v>
      </c>
      <c r="O824">
        <f>IFERROR(_xlfn.NUMBERVALUE(LEFT(Table11[[#This Row],[Score2 ]],FIND("/",Table11[[#This Row],[Score2 ]])-1)),"")</f>
        <v>97</v>
      </c>
      <c r="P824" t="s">
        <v>154</v>
      </c>
      <c r="Q824" s="1" t="s">
        <v>176</v>
      </c>
      <c r="R824" t="str">
        <f>Table11[[#This Row],[Match]]&amp;" "&amp;Table11[[#This Row],[Over]]</f>
        <v>14 22</v>
      </c>
    </row>
    <row r="825" spans="1:18" x14ac:dyDescent="0.3">
      <c r="A825">
        <v>14</v>
      </c>
      <c r="B825" s="1">
        <v>23</v>
      </c>
      <c r="C825" s="1" t="s">
        <v>2943</v>
      </c>
      <c r="D825" s="1" t="s">
        <v>922</v>
      </c>
      <c r="E825" s="1" t="s">
        <v>2143</v>
      </c>
      <c r="F825" s="1" t="s">
        <v>940</v>
      </c>
      <c r="G825" s="1" t="s">
        <v>2944</v>
      </c>
      <c r="H825" s="1" t="s">
        <v>922</v>
      </c>
      <c r="I825" s="1" t="s">
        <v>1316</v>
      </c>
      <c r="J825" s="1" t="s">
        <v>943</v>
      </c>
      <c r="K825" s="1" t="s">
        <v>2232</v>
      </c>
      <c r="L825" s="1" t="s">
        <v>1314</v>
      </c>
      <c r="M825" s="1" t="s">
        <v>1070</v>
      </c>
      <c r="N825">
        <f>_xlfn.NUMBERVALUE(LEFT(Table11[[#This Row],[Score]],FIND("/",Table11[[#This Row],[Score]])-1))</f>
        <v>132</v>
      </c>
      <c r="O825">
        <f>IFERROR(_xlfn.NUMBERVALUE(LEFT(Table11[[#This Row],[Score2 ]],FIND("/",Table11[[#This Row],[Score2 ]])-1)),"")</f>
        <v>103</v>
      </c>
      <c r="P825" t="s">
        <v>154</v>
      </c>
      <c r="Q825" s="1" t="s">
        <v>176</v>
      </c>
      <c r="R825" t="str">
        <f>Table11[[#This Row],[Match]]&amp;" "&amp;Table11[[#This Row],[Over]]</f>
        <v>14 23</v>
      </c>
    </row>
    <row r="826" spans="1:18" x14ac:dyDescent="0.3">
      <c r="A826">
        <v>14</v>
      </c>
      <c r="B826" s="1">
        <v>24</v>
      </c>
      <c r="C826" s="1" t="s">
        <v>2945</v>
      </c>
      <c r="D826" s="1" t="s">
        <v>922</v>
      </c>
      <c r="E826" s="1" t="s">
        <v>1601</v>
      </c>
      <c r="F826" s="1" t="s">
        <v>1029</v>
      </c>
      <c r="G826" s="1" t="s">
        <v>2637</v>
      </c>
      <c r="H826" s="1" t="s">
        <v>930</v>
      </c>
      <c r="I826" s="1" t="s">
        <v>1344</v>
      </c>
      <c r="J826" s="1" t="s">
        <v>1068</v>
      </c>
      <c r="K826" s="1" t="s">
        <v>2114</v>
      </c>
      <c r="L826" s="1" t="s">
        <v>1328</v>
      </c>
      <c r="M826" s="1" t="s">
        <v>1077</v>
      </c>
      <c r="N826">
        <f>_xlfn.NUMBERVALUE(LEFT(Table11[[#This Row],[Score]],FIND("/",Table11[[#This Row],[Score]])-1))</f>
        <v>138</v>
      </c>
      <c r="O826">
        <f>IFERROR(_xlfn.NUMBERVALUE(LEFT(Table11[[#This Row],[Score2 ]],FIND("/",Table11[[#This Row],[Score2 ]])-1)),"")</f>
        <v>111</v>
      </c>
      <c r="P826" t="s">
        <v>154</v>
      </c>
      <c r="Q826" s="1" t="s">
        <v>176</v>
      </c>
      <c r="R826" t="str">
        <f>Table11[[#This Row],[Match]]&amp;" "&amp;Table11[[#This Row],[Over]]</f>
        <v>14 24</v>
      </c>
    </row>
    <row r="827" spans="1:18" x14ac:dyDescent="0.3">
      <c r="A827">
        <v>14</v>
      </c>
      <c r="B827" s="1">
        <v>25</v>
      </c>
      <c r="C827" s="1" t="s">
        <v>1773</v>
      </c>
      <c r="D827" s="1" t="s">
        <v>922</v>
      </c>
      <c r="E827" s="1" t="s">
        <v>1610</v>
      </c>
      <c r="F827" s="1" t="s">
        <v>966</v>
      </c>
      <c r="G827" s="1" t="s">
        <v>2827</v>
      </c>
      <c r="H827" s="1" t="s">
        <v>904</v>
      </c>
      <c r="I827" s="1" t="s">
        <v>1781</v>
      </c>
      <c r="J827" s="1" t="s">
        <v>1089</v>
      </c>
      <c r="K827" s="1" t="s">
        <v>1508</v>
      </c>
      <c r="L827" s="1" t="s">
        <v>1509</v>
      </c>
      <c r="M827" s="1" t="s">
        <v>1083</v>
      </c>
      <c r="N827">
        <f>_xlfn.NUMBERVALUE(LEFT(Table11[[#This Row],[Score]],FIND("/",Table11[[#This Row],[Score]])-1))</f>
        <v>144</v>
      </c>
      <c r="O827">
        <f>IFERROR(_xlfn.NUMBERVALUE(LEFT(Table11[[#This Row],[Score2 ]],FIND("/",Table11[[#This Row],[Score2 ]])-1)),"")</f>
        <v>114</v>
      </c>
      <c r="P827" t="s">
        <v>154</v>
      </c>
      <c r="Q827" s="1" t="s">
        <v>176</v>
      </c>
      <c r="R827" t="str">
        <f>Table11[[#This Row],[Match]]&amp;" "&amp;Table11[[#This Row],[Over]]</f>
        <v>14 25</v>
      </c>
    </row>
    <row r="828" spans="1:18" x14ac:dyDescent="0.3">
      <c r="A828">
        <v>14</v>
      </c>
      <c r="B828" s="1">
        <v>26</v>
      </c>
      <c r="C828" s="1" t="s">
        <v>2946</v>
      </c>
      <c r="D828" s="1" t="s">
        <v>922</v>
      </c>
      <c r="E828" s="1" t="s">
        <v>1610</v>
      </c>
      <c r="F828" s="1" t="s">
        <v>1019</v>
      </c>
      <c r="G828" s="1" t="s">
        <v>2947</v>
      </c>
      <c r="H828" s="1" t="s">
        <v>998</v>
      </c>
      <c r="I828" s="1" t="s">
        <v>1793</v>
      </c>
      <c r="J828" s="1" t="s">
        <v>960</v>
      </c>
      <c r="K828" s="1" t="s">
        <v>2436</v>
      </c>
      <c r="L828" s="1" t="s">
        <v>1043</v>
      </c>
      <c r="M828" s="1" t="s">
        <v>1090</v>
      </c>
      <c r="N828">
        <f>_xlfn.NUMBERVALUE(LEFT(Table11[[#This Row],[Score]],FIND("/",Table11[[#This Row],[Score]])-1))</f>
        <v>150</v>
      </c>
      <c r="O828">
        <f>IFERROR(_xlfn.NUMBERVALUE(LEFT(Table11[[#This Row],[Score2 ]],FIND("/",Table11[[#This Row],[Score2 ]])-1)),"")</f>
        <v>118</v>
      </c>
      <c r="P828" t="s">
        <v>154</v>
      </c>
      <c r="Q828" s="1" t="s">
        <v>176</v>
      </c>
      <c r="R828" t="str">
        <f>Table11[[#This Row],[Match]]&amp;" "&amp;Table11[[#This Row],[Over]]</f>
        <v>14 26</v>
      </c>
    </row>
    <row r="829" spans="1:18" x14ac:dyDescent="0.3">
      <c r="A829">
        <v>14</v>
      </c>
      <c r="B829" s="1">
        <v>27</v>
      </c>
      <c r="C829" s="1" t="s">
        <v>2948</v>
      </c>
      <c r="D829" s="1" t="s">
        <v>968</v>
      </c>
      <c r="E829" s="1" t="s">
        <v>1185</v>
      </c>
      <c r="F829" s="1" t="s">
        <v>969</v>
      </c>
      <c r="G829" s="1" t="s">
        <v>2488</v>
      </c>
      <c r="H829" s="1" t="s">
        <v>950</v>
      </c>
      <c r="I829" s="1" t="s">
        <v>1919</v>
      </c>
      <c r="J829" s="1" t="s">
        <v>1029</v>
      </c>
      <c r="K829" s="1" t="s">
        <v>2949</v>
      </c>
      <c r="L829" s="1" t="s">
        <v>1524</v>
      </c>
      <c r="M829" s="1" t="s">
        <v>1098</v>
      </c>
      <c r="N829">
        <f>_xlfn.NUMBERVALUE(LEFT(Table11[[#This Row],[Score]],FIND("/",Table11[[#This Row],[Score]])-1))</f>
        <v>151</v>
      </c>
      <c r="O829">
        <f>IFERROR(_xlfn.NUMBERVALUE(LEFT(Table11[[#This Row],[Score2 ]],FIND("/",Table11[[#This Row],[Score2 ]])-1)),"")</f>
        <v>123</v>
      </c>
      <c r="P829" t="s">
        <v>154</v>
      </c>
      <c r="Q829" s="1" t="s">
        <v>176</v>
      </c>
      <c r="R829" t="str">
        <f>Table11[[#This Row],[Match]]&amp;" "&amp;Table11[[#This Row],[Over]]</f>
        <v>14 27</v>
      </c>
    </row>
    <row r="830" spans="1:18" x14ac:dyDescent="0.3">
      <c r="A830">
        <v>14</v>
      </c>
      <c r="B830" s="1">
        <v>28</v>
      </c>
      <c r="C830" s="1" t="s">
        <v>2950</v>
      </c>
      <c r="D830" s="1" t="s">
        <v>922</v>
      </c>
      <c r="E830" s="1" t="s">
        <v>934</v>
      </c>
      <c r="F830" s="1" t="s">
        <v>969</v>
      </c>
      <c r="G830" s="1" t="s">
        <v>2036</v>
      </c>
      <c r="H830" s="1" t="s">
        <v>998</v>
      </c>
      <c r="I830" s="1" t="s">
        <v>1793</v>
      </c>
      <c r="J830" s="1" t="s">
        <v>1093</v>
      </c>
      <c r="K830" s="1" t="s">
        <v>2145</v>
      </c>
      <c r="L830" s="1" t="s">
        <v>1107</v>
      </c>
      <c r="M830" s="1" t="s">
        <v>1101</v>
      </c>
      <c r="N830">
        <f>_xlfn.NUMBERVALUE(LEFT(Table11[[#This Row],[Score]],FIND("/",Table11[[#This Row],[Score]])-1))</f>
        <v>157</v>
      </c>
      <c r="O830">
        <f>IFERROR(_xlfn.NUMBERVALUE(LEFT(Table11[[#This Row],[Score2 ]],FIND("/",Table11[[#This Row],[Score2 ]])-1)),"")</f>
        <v>127</v>
      </c>
      <c r="P830" t="s">
        <v>154</v>
      </c>
      <c r="Q830" s="1" t="s">
        <v>176</v>
      </c>
      <c r="R830" t="str">
        <f>Table11[[#This Row],[Match]]&amp;" "&amp;Table11[[#This Row],[Over]]</f>
        <v>14 28</v>
      </c>
    </row>
    <row r="831" spans="1:18" x14ac:dyDescent="0.3">
      <c r="A831">
        <v>14</v>
      </c>
      <c r="B831" s="1">
        <v>29</v>
      </c>
      <c r="C831" s="1" t="s">
        <v>2951</v>
      </c>
      <c r="D831" s="1" t="s">
        <v>1051</v>
      </c>
      <c r="E831" s="1" t="s">
        <v>2472</v>
      </c>
      <c r="F831" s="1" t="s">
        <v>1019</v>
      </c>
      <c r="G831" s="1" t="s">
        <v>2590</v>
      </c>
      <c r="H831" s="1" t="s">
        <v>898</v>
      </c>
      <c r="I831" s="1" t="s">
        <v>965</v>
      </c>
      <c r="J831" s="1" t="s">
        <v>977</v>
      </c>
      <c r="K831" s="1" t="s">
        <v>2952</v>
      </c>
      <c r="L831" s="1" t="s">
        <v>1341</v>
      </c>
      <c r="M831" s="1" t="s">
        <v>1108</v>
      </c>
      <c r="N831">
        <f>_xlfn.NUMBERVALUE(LEFT(Table11[[#This Row],[Score]],FIND("/",Table11[[#This Row],[Score]])-1))</f>
        <v>168</v>
      </c>
      <c r="O831">
        <f>IFERROR(_xlfn.NUMBERVALUE(LEFT(Table11[[#This Row],[Score2 ]],FIND("/",Table11[[#This Row],[Score2 ]])-1)),"")</f>
        <v>129</v>
      </c>
      <c r="P831" t="s">
        <v>154</v>
      </c>
      <c r="Q831" s="1" t="s">
        <v>176</v>
      </c>
      <c r="R831" t="str">
        <f>Table11[[#This Row],[Match]]&amp;" "&amp;Table11[[#This Row],[Over]]</f>
        <v>14 29</v>
      </c>
    </row>
    <row r="832" spans="1:18" x14ac:dyDescent="0.3">
      <c r="A832">
        <v>14</v>
      </c>
      <c r="B832" s="1">
        <v>30</v>
      </c>
      <c r="C832" s="1" t="s">
        <v>1782</v>
      </c>
      <c r="D832" s="1" t="s">
        <v>998</v>
      </c>
      <c r="E832" s="1" t="s">
        <v>2143</v>
      </c>
      <c r="F832" s="1" t="s">
        <v>934</v>
      </c>
      <c r="G832" s="1" t="s">
        <v>2953</v>
      </c>
      <c r="H832" s="1" t="s">
        <v>904</v>
      </c>
      <c r="I832" s="1" t="s">
        <v>940</v>
      </c>
      <c r="J832" s="1" t="s">
        <v>977</v>
      </c>
      <c r="K832" s="1" t="s">
        <v>1414</v>
      </c>
      <c r="L832" s="1" t="s">
        <v>1849</v>
      </c>
      <c r="M832" s="1" t="s">
        <v>1113</v>
      </c>
      <c r="N832">
        <f>_xlfn.NUMBERVALUE(LEFT(Table11[[#This Row],[Score]],FIND("/",Table11[[#This Row],[Score]])-1))</f>
        <v>172</v>
      </c>
      <c r="O832">
        <f>IFERROR(_xlfn.NUMBERVALUE(LEFT(Table11[[#This Row],[Score2 ]],FIND("/",Table11[[#This Row],[Score2 ]])-1)),"")</f>
        <v>132</v>
      </c>
      <c r="P832" t="s">
        <v>154</v>
      </c>
      <c r="Q832" s="1" t="s">
        <v>176</v>
      </c>
      <c r="R832" t="str">
        <f>Table11[[#This Row],[Match]]&amp;" "&amp;Table11[[#This Row],[Over]]</f>
        <v>14 30</v>
      </c>
    </row>
    <row r="833" spans="1:18" x14ac:dyDescent="0.3">
      <c r="A833">
        <v>14</v>
      </c>
      <c r="B833" s="1">
        <v>31</v>
      </c>
      <c r="C833" s="1" t="s">
        <v>1790</v>
      </c>
      <c r="D833" s="1" t="s">
        <v>904</v>
      </c>
      <c r="E833" s="1" t="s">
        <v>2242</v>
      </c>
      <c r="F833" s="1" t="s">
        <v>969</v>
      </c>
      <c r="G833" s="1" t="s">
        <v>2657</v>
      </c>
      <c r="H833" s="1" t="s">
        <v>998</v>
      </c>
      <c r="I833" s="1" t="s">
        <v>1035</v>
      </c>
      <c r="J833" s="1" t="s">
        <v>977</v>
      </c>
      <c r="K833" s="1" t="s">
        <v>2954</v>
      </c>
      <c r="L833" s="1" t="s">
        <v>1063</v>
      </c>
      <c r="M833" s="1" t="s">
        <v>1121</v>
      </c>
      <c r="N833">
        <f>_xlfn.NUMBERVALUE(LEFT(Table11[[#This Row],[Score]],FIND("/",Table11[[#This Row],[Score]])-1))</f>
        <v>175</v>
      </c>
      <c r="O833">
        <f>IFERROR(_xlfn.NUMBERVALUE(LEFT(Table11[[#This Row],[Score2 ]],FIND("/",Table11[[#This Row],[Score2 ]])-1)),"")</f>
        <v>136</v>
      </c>
      <c r="P833" t="s">
        <v>154</v>
      </c>
      <c r="Q833" s="1" t="s">
        <v>176</v>
      </c>
      <c r="R833" t="str">
        <f>Table11[[#This Row],[Match]]&amp;" "&amp;Table11[[#This Row],[Over]]</f>
        <v>14 31</v>
      </c>
    </row>
    <row r="834" spans="1:18" x14ac:dyDescent="0.3">
      <c r="A834">
        <v>14</v>
      </c>
      <c r="B834" s="1">
        <v>32</v>
      </c>
      <c r="C834" s="1" t="s">
        <v>2955</v>
      </c>
      <c r="D834" s="1" t="s">
        <v>947</v>
      </c>
      <c r="E834" s="1" t="s">
        <v>1601</v>
      </c>
      <c r="F834" s="1" t="s">
        <v>960</v>
      </c>
      <c r="G834" s="1" t="s">
        <v>2956</v>
      </c>
      <c r="H834" s="1" t="s">
        <v>930</v>
      </c>
      <c r="I834" s="1" t="s">
        <v>1021</v>
      </c>
      <c r="J834" s="1" t="s">
        <v>931</v>
      </c>
      <c r="K834" s="1" t="s">
        <v>1359</v>
      </c>
      <c r="L834" s="1" t="s">
        <v>1360</v>
      </c>
      <c r="M834" s="1" t="s">
        <v>1127</v>
      </c>
      <c r="N834">
        <f>_xlfn.NUMBERVALUE(LEFT(Table11[[#This Row],[Score]],FIND("/",Table11[[#This Row],[Score]])-1))</f>
        <v>184</v>
      </c>
      <c r="O834">
        <f>IFERROR(_xlfn.NUMBERVALUE(LEFT(Table11[[#This Row],[Score2 ]],FIND("/",Table11[[#This Row],[Score2 ]])-1)),"")</f>
        <v>144</v>
      </c>
      <c r="P834" t="s">
        <v>154</v>
      </c>
      <c r="Q834" s="1" t="s">
        <v>176</v>
      </c>
      <c r="R834" t="str">
        <f>Table11[[#This Row],[Match]]&amp;" "&amp;Table11[[#This Row],[Over]]</f>
        <v>14 32</v>
      </c>
    </row>
    <row r="835" spans="1:18" x14ac:dyDescent="0.3">
      <c r="A835">
        <v>14</v>
      </c>
      <c r="B835" s="1">
        <v>33</v>
      </c>
      <c r="C835" s="1" t="s">
        <v>2957</v>
      </c>
      <c r="D835" s="1" t="s">
        <v>1051</v>
      </c>
      <c r="E835" s="1" t="s">
        <v>1407</v>
      </c>
      <c r="F835" s="1" t="s">
        <v>1508</v>
      </c>
      <c r="G835" s="1" t="s">
        <v>1930</v>
      </c>
      <c r="H835" s="1" t="s">
        <v>998</v>
      </c>
      <c r="I835" s="1" t="s">
        <v>1759</v>
      </c>
      <c r="J835" s="1" t="s">
        <v>931</v>
      </c>
      <c r="K835" s="1" t="s">
        <v>2958</v>
      </c>
      <c r="L835" s="1" t="s">
        <v>1077</v>
      </c>
      <c r="M835" s="1" t="s">
        <v>1132</v>
      </c>
      <c r="N835">
        <f>_xlfn.NUMBERVALUE(LEFT(Table11[[#This Row],[Score]],FIND("/",Table11[[#This Row],[Score]])-1))</f>
        <v>195</v>
      </c>
      <c r="O835">
        <f>IFERROR(_xlfn.NUMBERVALUE(LEFT(Table11[[#This Row],[Score2 ]],FIND("/",Table11[[#This Row],[Score2 ]])-1)),"")</f>
        <v>148</v>
      </c>
      <c r="P835" t="s">
        <v>154</v>
      </c>
      <c r="Q835" s="1" t="s">
        <v>176</v>
      </c>
      <c r="R835" t="str">
        <f>Table11[[#This Row],[Match]]&amp;" "&amp;Table11[[#This Row],[Over]]</f>
        <v>14 33</v>
      </c>
    </row>
    <row r="836" spans="1:18" x14ac:dyDescent="0.3">
      <c r="A836">
        <v>14</v>
      </c>
      <c r="B836" s="1">
        <v>34</v>
      </c>
      <c r="C836" s="1" t="s">
        <v>2959</v>
      </c>
      <c r="D836" s="1" t="s">
        <v>950</v>
      </c>
      <c r="E836" s="1" t="s">
        <v>1199</v>
      </c>
      <c r="F836" s="1" t="s">
        <v>943</v>
      </c>
      <c r="G836" s="1" t="s">
        <v>2960</v>
      </c>
      <c r="H836" s="1" t="s">
        <v>898</v>
      </c>
      <c r="I836" s="1" t="s">
        <v>992</v>
      </c>
      <c r="J836" s="1" t="s">
        <v>931</v>
      </c>
      <c r="K836" s="1" t="s">
        <v>2961</v>
      </c>
      <c r="L836" s="1" t="s">
        <v>2710</v>
      </c>
      <c r="M836" s="1" t="s">
        <v>1138</v>
      </c>
      <c r="N836">
        <f>_xlfn.NUMBERVALUE(LEFT(Table11[[#This Row],[Score]],FIND("/",Table11[[#This Row],[Score]])-1))</f>
        <v>200</v>
      </c>
      <c r="O836">
        <f>IFERROR(_xlfn.NUMBERVALUE(LEFT(Table11[[#This Row],[Score2 ]],FIND("/",Table11[[#This Row],[Score2 ]])-1)),"")</f>
        <v>150</v>
      </c>
      <c r="P836" t="s">
        <v>154</v>
      </c>
      <c r="Q836" s="1" t="s">
        <v>176</v>
      </c>
      <c r="R836" t="str">
        <f>Table11[[#This Row],[Match]]&amp;" "&amp;Table11[[#This Row],[Over]]</f>
        <v>14 34</v>
      </c>
    </row>
    <row r="837" spans="1:18" x14ac:dyDescent="0.3">
      <c r="A837">
        <v>14</v>
      </c>
      <c r="B837" s="1">
        <v>35</v>
      </c>
      <c r="C837" s="1" t="s">
        <v>1807</v>
      </c>
      <c r="D837" s="1" t="s">
        <v>904</v>
      </c>
      <c r="E837" s="1" t="s">
        <v>1013</v>
      </c>
      <c r="F837" s="1" t="s">
        <v>970</v>
      </c>
      <c r="G837" s="1" t="s">
        <v>1370</v>
      </c>
      <c r="H837" s="1" t="s">
        <v>922</v>
      </c>
      <c r="I837" s="1" t="s">
        <v>1060</v>
      </c>
      <c r="J837" s="1" t="s">
        <v>1093</v>
      </c>
      <c r="K837" s="1" t="s">
        <v>2962</v>
      </c>
      <c r="L837" s="1" t="s">
        <v>2295</v>
      </c>
      <c r="M837" s="1" t="s">
        <v>1143</v>
      </c>
      <c r="N837">
        <f>_xlfn.NUMBERVALUE(LEFT(Table11[[#This Row],[Score]],FIND("/",Table11[[#This Row],[Score]])-1))</f>
        <v>203</v>
      </c>
      <c r="O837">
        <f>IFERROR(_xlfn.NUMBERVALUE(LEFT(Table11[[#This Row],[Score2 ]],FIND("/",Table11[[#This Row],[Score2 ]])-1)),"")</f>
        <v>156</v>
      </c>
      <c r="P837" t="s">
        <v>154</v>
      </c>
      <c r="Q837" s="1" t="s">
        <v>176</v>
      </c>
      <c r="R837" t="str">
        <f>Table11[[#This Row],[Match]]&amp;" "&amp;Table11[[#This Row],[Over]]</f>
        <v>14 35</v>
      </c>
    </row>
    <row r="838" spans="1:18" x14ac:dyDescent="0.3">
      <c r="A838">
        <v>14</v>
      </c>
      <c r="B838" s="1">
        <v>36</v>
      </c>
      <c r="C838" s="1" t="s">
        <v>2963</v>
      </c>
      <c r="D838" s="1" t="s">
        <v>1007</v>
      </c>
      <c r="E838" s="1" t="s">
        <v>2133</v>
      </c>
      <c r="F838" s="1" t="s">
        <v>934</v>
      </c>
      <c r="G838" s="1" t="s">
        <v>1370</v>
      </c>
      <c r="H838" s="1" t="s">
        <v>1007</v>
      </c>
      <c r="I838" s="1" t="s">
        <v>989</v>
      </c>
      <c r="J838" s="1" t="s">
        <v>939</v>
      </c>
      <c r="K838" s="1" t="s">
        <v>2964</v>
      </c>
      <c r="L838" s="1" t="s">
        <v>2295</v>
      </c>
      <c r="M838" s="1" t="s">
        <v>1150</v>
      </c>
      <c r="N838">
        <f>_xlfn.NUMBERVALUE(LEFT(Table11[[#This Row],[Score]],FIND("/",Table11[[#This Row],[Score]])-1))</f>
        <v>203</v>
      </c>
      <c r="O838">
        <f>IFERROR(_xlfn.NUMBERVALUE(LEFT(Table11[[#This Row],[Score2 ]],FIND("/",Table11[[#This Row],[Score2 ]])-1)),"")</f>
        <v>156</v>
      </c>
      <c r="P838" t="s">
        <v>154</v>
      </c>
      <c r="Q838" s="1" t="s">
        <v>176</v>
      </c>
      <c r="R838" t="str">
        <f>Table11[[#This Row],[Match]]&amp;" "&amp;Table11[[#This Row],[Over]]</f>
        <v>14 36</v>
      </c>
    </row>
    <row r="839" spans="1:18" x14ac:dyDescent="0.3">
      <c r="A839">
        <v>14</v>
      </c>
      <c r="B839" s="1">
        <v>37</v>
      </c>
      <c r="C839" s="1" t="s">
        <v>1581</v>
      </c>
      <c r="D839" s="1" t="s">
        <v>968</v>
      </c>
      <c r="E839" s="1" t="s">
        <v>1378</v>
      </c>
      <c r="F839" s="1" t="s">
        <v>939</v>
      </c>
      <c r="G839" s="1" t="s">
        <v>2965</v>
      </c>
      <c r="H839" s="1" t="s">
        <v>998</v>
      </c>
      <c r="I839" s="1" t="s">
        <v>1118</v>
      </c>
      <c r="J839" s="1" t="s">
        <v>1259</v>
      </c>
      <c r="K839" s="1" t="s">
        <v>2049</v>
      </c>
      <c r="L839" s="1" t="s">
        <v>1090</v>
      </c>
      <c r="M839" s="1" t="s">
        <v>1156</v>
      </c>
      <c r="N839">
        <f>_xlfn.NUMBERVALUE(LEFT(Table11[[#This Row],[Score]],FIND("/",Table11[[#This Row],[Score]])-1))</f>
        <v>204</v>
      </c>
      <c r="O839">
        <f>IFERROR(_xlfn.NUMBERVALUE(LEFT(Table11[[#This Row],[Score2 ]],FIND("/",Table11[[#This Row],[Score2 ]])-1)),"")</f>
        <v>160</v>
      </c>
      <c r="P839" t="s">
        <v>154</v>
      </c>
      <c r="Q839" s="1" t="s">
        <v>176</v>
      </c>
      <c r="R839" t="str">
        <f>Table11[[#This Row],[Match]]&amp;" "&amp;Table11[[#This Row],[Over]]</f>
        <v>14 37</v>
      </c>
    </row>
    <row r="840" spans="1:18" x14ac:dyDescent="0.3">
      <c r="A840">
        <v>14</v>
      </c>
      <c r="B840" s="1">
        <v>38</v>
      </c>
      <c r="C840" s="1" t="s">
        <v>2966</v>
      </c>
      <c r="D840" s="1" t="s">
        <v>998</v>
      </c>
      <c r="E840" s="1" t="s">
        <v>2070</v>
      </c>
      <c r="F840" s="1" t="s">
        <v>984</v>
      </c>
      <c r="G840" s="1" t="s">
        <v>2967</v>
      </c>
      <c r="H840" s="1" t="s">
        <v>1007</v>
      </c>
      <c r="I840" s="1" t="s">
        <v>1130</v>
      </c>
      <c r="J840" s="1" t="s">
        <v>1088</v>
      </c>
      <c r="K840" s="1" t="s">
        <v>2320</v>
      </c>
      <c r="L840" s="1" t="s">
        <v>1090</v>
      </c>
      <c r="M840" s="1" t="s">
        <v>1164</v>
      </c>
      <c r="N840">
        <f>_xlfn.NUMBERVALUE(LEFT(Table11[[#This Row],[Score]],FIND("/",Table11[[#This Row],[Score]])-1))</f>
        <v>208</v>
      </c>
      <c r="O840">
        <f>IFERROR(_xlfn.NUMBERVALUE(LEFT(Table11[[#This Row],[Score2 ]],FIND("/",Table11[[#This Row],[Score2 ]])-1)),"")</f>
        <v>160</v>
      </c>
      <c r="P840" t="s">
        <v>154</v>
      </c>
      <c r="Q840" s="1" t="s">
        <v>176</v>
      </c>
      <c r="R840" t="str">
        <f>Table11[[#This Row],[Match]]&amp;" "&amp;Table11[[#This Row],[Over]]</f>
        <v>14 38</v>
      </c>
    </row>
    <row r="841" spans="1:18" x14ac:dyDescent="0.3">
      <c r="A841">
        <v>14</v>
      </c>
      <c r="B841" s="1">
        <v>39</v>
      </c>
      <c r="C841" s="1" t="s">
        <v>1586</v>
      </c>
      <c r="D841" s="1" t="s">
        <v>947</v>
      </c>
      <c r="E841" s="1" t="s">
        <v>1607</v>
      </c>
      <c r="F841" s="1" t="s">
        <v>1247</v>
      </c>
      <c r="G841" s="1" t="s">
        <v>2968</v>
      </c>
      <c r="H841" s="1" t="s">
        <v>904</v>
      </c>
      <c r="I841" s="1" t="s">
        <v>2652</v>
      </c>
      <c r="J841" s="1" t="s">
        <v>984</v>
      </c>
      <c r="K841" s="1" t="s">
        <v>2969</v>
      </c>
      <c r="L841" s="1" t="s">
        <v>2713</v>
      </c>
      <c r="M841" s="1" t="s">
        <v>1171</v>
      </c>
      <c r="N841">
        <f>_xlfn.NUMBERVALUE(LEFT(Table11[[#This Row],[Score]],FIND("/",Table11[[#This Row],[Score]])-1))</f>
        <v>217</v>
      </c>
      <c r="O841">
        <f>IFERROR(_xlfn.NUMBERVALUE(LEFT(Table11[[#This Row],[Score2 ]],FIND("/",Table11[[#This Row],[Score2 ]])-1)),"")</f>
        <v>163</v>
      </c>
      <c r="P841" t="s">
        <v>154</v>
      </c>
      <c r="Q841" s="1" t="s">
        <v>176</v>
      </c>
      <c r="R841" t="str">
        <f>Table11[[#This Row],[Match]]&amp;" "&amp;Table11[[#This Row],[Over]]</f>
        <v>14 39</v>
      </c>
    </row>
    <row r="842" spans="1:18" x14ac:dyDescent="0.3">
      <c r="A842">
        <v>14</v>
      </c>
      <c r="B842" s="1">
        <v>40</v>
      </c>
      <c r="C842" s="1" t="s">
        <v>2169</v>
      </c>
      <c r="D842" s="1" t="s">
        <v>930</v>
      </c>
      <c r="E842" s="1" t="s">
        <v>2268</v>
      </c>
      <c r="F842" s="1" t="s">
        <v>940</v>
      </c>
      <c r="G842" s="1" t="s">
        <v>2970</v>
      </c>
      <c r="H842" s="1" t="s">
        <v>1103</v>
      </c>
      <c r="I842" s="1" t="s">
        <v>957</v>
      </c>
      <c r="J842" s="1" t="s">
        <v>990</v>
      </c>
      <c r="K842" s="1" t="s">
        <v>2971</v>
      </c>
      <c r="L842" s="1" t="s">
        <v>2061</v>
      </c>
      <c r="M842" s="1" t="s">
        <v>1177</v>
      </c>
      <c r="N842">
        <f>_xlfn.NUMBERVALUE(LEFT(Table11[[#This Row],[Score]],FIND("/",Table11[[#This Row],[Score]])-1))</f>
        <v>225</v>
      </c>
      <c r="O842">
        <f>IFERROR(_xlfn.NUMBERVALUE(LEFT(Table11[[#This Row],[Score2 ]],FIND("/",Table11[[#This Row],[Score2 ]])-1)),"")</f>
        <v>175</v>
      </c>
      <c r="P842" t="s">
        <v>154</v>
      </c>
      <c r="Q842" s="1" t="s">
        <v>176</v>
      </c>
      <c r="R842" t="str">
        <f>Table11[[#This Row],[Match]]&amp;" "&amp;Table11[[#This Row],[Over]]</f>
        <v>14 40</v>
      </c>
    </row>
    <row r="843" spans="1:18" x14ac:dyDescent="0.3">
      <c r="A843">
        <v>14</v>
      </c>
      <c r="B843" s="1">
        <v>41</v>
      </c>
      <c r="C843" s="1" t="s">
        <v>2972</v>
      </c>
      <c r="D843" s="1" t="s">
        <v>968</v>
      </c>
      <c r="E843" s="1" t="s">
        <v>1378</v>
      </c>
      <c r="F843" s="1" t="s">
        <v>976</v>
      </c>
      <c r="G843" s="1" t="s">
        <v>2973</v>
      </c>
      <c r="H843" s="1" t="s">
        <v>930</v>
      </c>
      <c r="I843" s="1" t="s">
        <v>1001</v>
      </c>
      <c r="J843" s="1" t="s">
        <v>966</v>
      </c>
      <c r="K843" s="1" t="s">
        <v>2974</v>
      </c>
      <c r="L843" s="1" t="s">
        <v>2721</v>
      </c>
      <c r="M843" s="1" t="s">
        <v>1183</v>
      </c>
      <c r="N843">
        <f>_xlfn.NUMBERVALUE(LEFT(Table11[[#This Row],[Score]],FIND("/",Table11[[#This Row],[Score]])-1))</f>
        <v>226</v>
      </c>
      <c r="O843">
        <f>IFERROR(_xlfn.NUMBERVALUE(LEFT(Table11[[#This Row],[Score2 ]],FIND("/",Table11[[#This Row],[Score2 ]])-1)),"")</f>
        <v>183</v>
      </c>
      <c r="P843" t="s">
        <v>154</v>
      </c>
      <c r="Q843" s="1" t="s">
        <v>176</v>
      </c>
      <c r="R843" t="str">
        <f>Table11[[#This Row],[Match]]&amp;" "&amp;Table11[[#This Row],[Over]]</f>
        <v>14 41</v>
      </c>
    </row>
    <row r="844" spans="1:18" x14ac:dyDescent="0.3">
      <c r="A844">
        <v>14</v>
      </c>
      <c r="B844" s="1">
        <v>42</v>
      </c>
      <c r="C844" s="1" t="s">
        <v>2172</v>
      </c>
      <c r="D844" s="1" t="s">
        <v>904</v>
      </c>
      <c r="E844" s="1" t="s">
        <v>1599</v>
      </c>
      <c r="F844" s="1" t="s">
        <v>969</v>
      </c>
      <c r="G844" s="1" t="s">
        <v>2975</v>
      </c>
      <c r="H844" s="1" t="s">
        <v>968</v>
      </c>
      <c r="I844" s="1" t="s">
        <v>1035</v>
      </c>
      <c r="J844" s="1" t="s">
        <v>1093</v>
      </c>
      <c r="K844" s="1" t="s">
        <v>2762</v>
      </c>
      <c r="L844" s="1" t="s">
        <v>1113</v>
      </c>
      <c r="M844" s="1" t="s">
        <v>1190</v>
      </c>
      <c r="N844">
        <f>_xlfn.NUMBERVALUE(LEFT(Table11[[#This Row],[Score]],FIND("/",Table11[[#This Row],[Score]])-1))</f>
        <v>229</v>
      </c>
      <c r="O844">
        <f>IFERROR(_xlfn.NUMBERVALUE(LEFT(Table11[[#This Row],[Score2 ]],FIND("/",Table11[[#This Row],[Score2 ]])-1)),"")</f>
        <v>184</v>
      </c>
      <c r="P844" t="s">
        <v>154</v>
      </c>
      <c r="Q844" s="1" t="s">
        <v>176</v>
      </c>
      <c r="R844" t="str">
        <f>Table11[[#This Row],[Match]]&amp;" "&amp;Table11[[#This Row],[Over]]</f>
        <v>14 42</v>
      </c>
    </row>
    <row r="845" spans="1:18" x14ac:dyDescent="0.3">
      <c r="A845">
        <v>14</v>
      </c>
      <c r="B845" s="1">
        <v>43</v>
      </c>
      <c r="C845" s="1" t="s">
        <v>2069</v>
      </c>
      <c r="D845" s="1" t="s">
        <v>1103</v>
      </c>
      <c r="E845" s="1" t="s">
        <v>934</v>
      </c>
      <c r="F845" s="1" t="s">
        <v>960</v>
      </c>
      <c r="G845" s="1" t="s">
        <v>2976</v>
      </c>
      <c r="H845" s="1" t="s">
        <v>1966</v>
      </c>
      <c r="I845" s="1" t="s">
        <v>2977</v>
      </c>
      <c r="J845" s="1" t="s">
        <v>2978</v>
      </c>
      <c r="K845" s="1" t="s">
        <v>2979</v>
      </c>
      <c r="L845" s="1" t="s">
        <v>1113</v>
      </c>
      <c r="M845" s="1" t="s">
        <v>2562</v>
      </c>
      <c r="N845">
        <f>_xlfn.NUMBERVALUE(LEFT(Table11[[#This Row],[Score]],FIND("/",Table11[[#This Row],[Score]])-1))</f>
        <v>241</v>
      </c>
      <c r="O845">
        <f>IFERROR(_xlfn.NUMBERVALUE(LEFT(Table11[[#This Row],[Score2 ]],FIND("/",Table11[[#This Row],[Score2 ]])-1)),"")</f>
        <v>184</v>
      </c>
      <c r="P845" t="s">
        <v>154</v>
      </c>
      <c r="Q845" s="1" t="s">
        <v>176</v>
      </c>
      <c r="R845" t="str">
        <f>Table11[[#This Row],[Match]]&amp;" "&amp;Table11[[#This Row],[Over]]</f>
        <v>14 43</v>
      </c>
    </row>
    <row r="846" spans="1:18" x14ac:dyDescent="0.3">
      <c r="A846">
        <v>14</v>
      </c>
      <c r="B846" s="1">
        <v>44</v>
      </c>
      <c r="C846" s="1" t="s">
        <v>2980</v>
      </c>
      <c r="D846" s="1" t="s">
        <v>950</v>
      </c>
      <c r="E846" s="1" t="s">
        <v>1185</v>
      </c>
      <c r="F846" s="1" t="s">
        <v>1013</v>
      </c>
      <c r="N846">
        <f>_xlfn.NUMBERVALUE(LEFT(Table11[[#This Row],[Score]],FIND("/",Table11[[#This Row],[Score]])-1))</f>
        <v>246</v>
      </c>
      <c r="O846" t="str">
        <f>IFERROR(_xlfn.NUMBERVALUE(LEFT(Table11[[#This Row],[Score2 ]],FIND("/",Table11[[#This Row],[Score2 ]])-1)),"")</f>
        <v/>
      </c>
      <c r="P846" t="s">
        <v>154</v>
      </c>
      <c r="Q846" s="1" t="s">
        <v>176</v>
      </c>
      <c r="R846" t="str">
        <f>Table11[[#This Row],[Match]]&amp;" "&amp;Table11[[#This Row],[Over]]</f>
        <v>14 44</v>
      </c>
    </row>
    <row r="847" spans="1:18" x14ac:dyDescent="0.3">
      <c r="A847">
        <v>14</v>
      </c>
      <c r="B847" s="1">
        <v>45</v>
      </c>
      <c r="C847" s="1" t="s">
        <v>2981</v>
      </c>
      <c r="D847" s="1" t="s">
        <v>1095</v>
      </c>
      <c r="E847" s="1" t="s">
        <v>1761</v>
      </c>
      <c r="F847" s="1" t="s">
        <v>970</v>
      </c>
      <c r="N847">
        <f>_xlfn.NUMBERVALUE(LEFT(Table11[[#This Row],[Score]],FIND("/",Table11[[#This Row],[Score]])-1))</f>
        <v>256</v>
      </c>
      <c r="O847" t="str">
        <f>IFERROR(_xlfn.NUMBERVALUE(LEFT(Table11[[#This Row],[Score2 ]],FIND("/",Table11[[#This Row],[Score2 ]])-1)),"")</f>
        <v/>
      </c>
      <c r="P847" t="s">
        <v>154</v>
      </c>
      <c r="Q847" s="1" t="s">
        <v>176</v>
      </c>
      <c r="R847" t="str">
        <f>Table11[[#This Row],[Match]]&amp;" "&amp;Table11[[#This Row],[Over]]</f>
        <v>14 45</v>
      </c>
    </row>
    <row r="848" spans="1:18" x14ac:dyDescent="0.3">
      <c r="A848">
        <v>14</v>
      </c>
      <c r="B848" s="1">
        <v>46</v>
      </c>
      <c r="C848" s="1" t="s">
        <v>2982</v>
      </c>
      <c r="D848" s="1" t="s">
        <v>1051</v>
      </c>
      <c r="E848" s="1" t="s">
        <v>1013</v>
      </c>
      <c r="F848" s="1" t="s">
        <v>1405</v>
      </c>
      <c r="N848">
        <f>_xlfn.NUMBERVALUE(LEFT(Table11[[#This Row],[Score]],FIND("/",Table11[[#This Row],[Score]])-1))</f>
        <v>267</v>
      </c>
      <c r="O848" t="str">
        <f>IFERROR(_xlfn.NUMBERVALUE(LEFT(Table11[[#This Row],[Score2 ]],FIND("/",Table11[[#This Row],[Score2 ]])-1)),"")</f>
        <v/>
      </c>
      <c r="P848" t="s">
        <v>154</v>
      </c>
      <c r="Q848" s="1" t="s">
        <v>176</v>
      </c>
      <c r="R848" t="str">
        <f>Table11[[#This Row],[Match]]&amp;" "&amp;Table11[[#This Row],[Over]]</f>
        <v>14 46</v>
      </c>
    </row>
    <row r="849" spans="1:18" x14ac:dyDescent="0.3">
      <c r="A849">
        <v>14</v>
      </c>
      <c r="B849" s="1">
        <v>47</v>
      </c>
      <c r="C849" s="1" t="s">
        <v>2983</v>
      </c>
      <c r="D849" s="1" t="s">
        <v>947</v>
      </c>
      <c r="E849" s="1" t="s">
        <v>2334</v>
      </c>
      <c r="F849" s="1" t="s">
        <v>1226</v>
      </c>
      <c r="N849">
        <f>_xlfn.NUMBERVALUE(LEFT(Table11[[#This Row],[Score]],FIND("/",Table11[[#This Row],[Score]])-1))</f>
        <v>276</v>
      </c>
      <c r="O849" t="str">
        <f>IFERROR(_xlfn.NUMBERVALUE(LEFT(Table11[[#This Row],[Score2 ]],FIND("/",Table11[[#This Row],[Score2 ]])-1)),"")</f>
        <v/>
      </c>
      <c r="P849" t="s">
        <v>154</v>
      </c>
      <c r="Q849" s="1" t="s">
        <v>176</v>
      </c>
      <c r="R849" t="str">
        <f>Table11[[#This Row],[Match]]&amp;" "&amp;Table11[[#This Row],[Over]]</f>
        <v>14 47</v>
      </c>
    </row>
    <row r="850" spans="1:18" x14ac:dyDescent="0.3">
      <c r="A850">
        <v>14</v>
      </c>
      <c r="B850" s="1">
        <v>48</v>
      </c>
      <c r="C850" s="1" t="s">
        <v>2984</v>
      </c>
      <c r="D850" s="1" t="s">
        <v>1095</v>
      </c>
      <c r="E850" s="1" t="s">
        <v>1428</v>
      </c>
      <c r="F850" s="1" t="s">
        <v>1161</v>
      </c>
      <c r="N850">
        <f>_xlfn.NUMBERVALUE(LEFT(Table11[[#This Row],[Score]],FIND("/",Table11[[#This Row],[Score]])-1))</f>
        <v>286</v>
      </c>
      <c r="O850" t="str">
        <f>IFERROR(_xlfn.NUMBERVALUE(LEFT(Table11[[#This Row],[Score2 ]],FIND("/",Table11[[#This Row],[Score2 ]])-1)),"")</f>
        <v/>
      </c>
      <c r="P850" t="s">
        <v>154</v>
      </c>
      <c r="Q850" s="1" t="s">
        <v>176</v>
      </c>
      <c r="R850" t="str">
        <f>Table11[[#This Row],[Match]]&amp;" "&amp;Table11[[#This Row],[Over]]</f>
        <v>14 48</v>
      </c>
    </row>
    <row r="851" spans="1:18" x14ac:dyDescent="0.3">
      <c r="A851">
        <v>14</v>
      </c>
      <c r="B851" s="1">
        <v>49</v>
      </c>
      <c r="C851" s="1" t="s">
        <v>2317</v>
      </c>
      <c r="D851" s="1" t="s">
        <v>1390</v>
      </c>
      <c r="E851" s="1" t="s">
        <v>900</v>
      </c>
      <c r="F851" s="1" t="s">
        <v>1568</v>
      </c>
      <c r="N851">
        <f>_xlfn.NUMBERVALUE(LEFT(Table11[[#This Row],[Score]],FIND("/",Table11[[#This Row],[Score]])-1))</f>
        <v>299</v>
      </c>
      <c r="O851" t="str">
        <f>IFERROR(_xlfn.NUMBERVALUE(LEFT(Table11[[#This Row],[Score2 ]],FIND("/",Table11[[#This Row],[Score2 ]])-1)),"")</f>
        <v/>
      </c>
      <c r="P851" t="s">
        <v>154</v>
      </c>
      <c r="Q851" s="1" t="s">
        <v>176</v>
      </c>
      <c r="R851" t="str">
        <f>Table11[[#This Row],[Match]]&amp;" "&amp;Table11[[#This Row],[Over]]</f>
        <v>14 49</v>
      </c>
    </row>
    <row r="852" spans="1:18" x14ac:dyDescent="0.3">
      <c r="A852">
        <v>14</v>
      </c>
      <c r="B852" s="1">
        <v>50</v>
      </c>
      <c r="C852" s="1" t="s">
        <v>2985</v>
      </c>
      <c r="D852" s="1" t="s">
        <v>998</v>
      </c>
      <c r="E852" s="1" t="s">
        <v>935</v>
      </c>
      <c r="F852" s="1" t="s">
        <v>1226</v>
      </c>
      <c r="N852">
        <f>_xlfn.NUMBERVALUE(LEFT(Table11[[#This Row],[Score]],FIND("/",Table11[[#This Row],[Score]])-1))</f>
        <v>303</v>
      </c>
      <c r="O852" t="str">
        <f>IFERROR(_xlfn.NUMBERVALUE(LEFT(Table11[[#This Row],[Score2 ]],FIND("/",Table11[[#This Row],[Score2 ]])-1)),"")</f>
        <v/>
      </c>
      <c r="P852" t="s">
        <v>154</v>
      </c>
      <c r="Q852" s="1" t="s">
        <v>176</v>
      </c>
      <c r="R852" t="str">
        <f>Table11[[#This Row],[Match]]&amp;" "&amp;Table11[[#This Row],[Over]]</f>
        <v>14 50</v>
      </c>
    </row>
    <row r="853" spans="1:18" x14ac:dyDescent="0.3">
      <c r="A853">
        <v>15</v>
      </c>
      <c r="B853" s="1">
        <v>1</v>
      </c>
      <c r="C853" s="1" t="s">
        <v>2986</v>
      </c>
      <c r="D853" s="1" t="s">
        <v>904</v>
      </c>
      <c r="E853" s="1" t="s">
        <v>1238</v>
      </c>
      <c r="F853" s="1" t="s">
        <v>348</v>
      </c>
      <c r="G853" s="1" t="s">
        <v>1232</v>
      </c>
      <c r="H853" s="1" t="s">
        <v>922</v>
      </c>
      <c r="I853" s="1" t="s">
        <v>1019</v>
      </c>
      <c r="J853" s="1" t="s">
        <v>348</v>
      </c>
      <c r="K853" s="1" t="s">
        <v>2810</v>
      </c>
      <c r="L853" s="1" t="s">
        <v>2987</v>
      </c>
      <c r="M853" s="1" t="s">
        <v>902</v>
      </c>
      <c r="N853">
        <f>_xlfn.NUMBERVALUE(LEFT(Table11[[#This Row],[Score]],FIND("/",Table11[[#This Row],[Score]])-1))</f>
        <v>3</v>
      </c>
      <c r="O853">
        <f>IFERROR(_xlfn.NUMBERVALUE(LEFT(Table11[[#This Row],[Score2 ]],FIND("/",Table11[[#This Row],[Score2 ]])-1)),"")</f>
        <v>6</v>
      </c>
      <c r="P853" t="s">
        <v>170</v>
      </c>
      <c r="Q853" s="1" t="s">
        <v>158</v>
      </c>
      <c r="R853" t="str">
        <f>Table11[[#This Row],[Match]]&amp;" "&amp;Table11[[#This Row],[Over]]</f>
        <v>15 1</v>
      </c>
    </row>
    <row r="854" spans="1:18" x14ac:dyDescent="0.3">
      <c r="A854">
        <v>15</v>
      </c>
      <c r="B854" s="1">
        <v>2</v>
      </c>
      <c r="C854" s="1" t="s">
        <v>2988</v>
      </c>
      <c r="D854" s="1" t="s">
        <v>904</v>
      </c>
      <c r="E854" s="1" t="s">
        <v>1238</v>
      </c>
      <c r="F854" s="1" t="s">
        <v>348</v>
      </c>
      <c r="G854" s="1" t="s">
        <v>2989</v>
      </c>
      <c r="H854" s="1" t="s">
        <v>1095</v>
      </c>
      <c r="I854" s="1" t="s">
        <v>1089</v>
      </c>
      <c r="J854" s="1" t="s">
        <v>348</v>
      </c>
      <c r="K854" s="1" t="s">
        <v>2990</v>
      </c>
      <c r="L854" s="1" t="s">
        <v>2991</v>
      </c>
      <c r="M854" s="1" t="s">
        <v>909</v>
      </c>
      <c r="N854">
        <f>_xlfn.NUMBERVALUE(LEFT(Table11[[#This Row],[Score]],FIND("/",Table11[[#This Row],[Score]])-1))</f>
        <v>6</v>
      </c>
      <c r="O854">
        <f>IFERROR(_xlfn.NUMBERVALUE(LEFT(Table11[[#This Row],[Score2 ]],FIND("/",Table11[[#This Row],[Score2 ]])-1)),"")</f>
        <v>16</v>
      </c>
      <c r="P854" t="s">
        <v>170</v>
      </c>
      <c r="Q854" s="1" t="s">
        <v>158</v>
      </c>
      <c r="R854" t="str">
        <f>Table11[[#This Row],[Match]]&amp;" "&amp;Table11[[#This Row],[Over]]</f>
        <v>15 2</v>
      </c>
    </row>
    <row r="855" spans="1:18" x14ac:dyDescent="0.3">
      <c r="A855">
        <v>15</v>
      </c>
      <c r="B855" s="1">
        <v>3</v>
      </c>
      <c r="C855" s="1" t="s">
        <v>1245</v>
      </c>
      <c r="D855" s="1" t="s">
        <v>998</v>
      </c>
      <c r="E855" s="1" t="s">
        <v>1265</v>
      </c>
      <c r="F855" s="1" t="s">
        <v>348</v>
      </c>
      <c r="G855" s="1" t="s">
        <v>2530</v>
      </c>
      <c r="H855" s="1" t="s">
        <v>898</v>
      </c>
      <c r="I855" s="1" t="s">
        <v>1019</v>
      </c>
      <c r="J855" s="1" t="s">
        <v>348</v>
      </c>
      <c r="K855" s="1" t="s">
        <v>2136</v>
      </c>
      <c r="L855" s="1" t="s">
        <v>2992</v>
      </c>
      <c r="M855" s="1" t="s">
        <v>937</v>
      </c>
      <c r="N855">
        <f>_xlfn.NUMBERVALUE(LEFT(Table11[[#This Row],[Score]],FIND("/",Table11[[#This Row],[Score]])-1))</f>
        <v>10</v>
      </c>
      <c r="O855">
        <f>IFERROR(_xlfn.NUMBERVALUE(LEFT(Table11[[#This Row],[Score2 ]],FIND("/",Table11[[#This Row],[Score2 ]])-1)),"")</f>
        <v>18</v>
      </c>
      <c r="P855" t="s">
        <v>170</v>
      </c>
      <c r="Q855" s="1" t="s">
        <v>158</v>
      </c>
      <c r="R855" t="str">
        <f>Table11[[#This Row],[Match]]&amp;" "&amp;Table11[[#This Row],[Over]]</f>
        <v>15 3</v>
      </c>
    </row>
    <row r="856" spans="1:18" x14ac:dyDescent="0.3">
      <c r="A856">
        <v>15</v>
      </c>
      <c r="B856" s="1">
        <v>4</v>
      </c>
      <c r="C856" s="1" t="s">
        <v>2989</v>
      </c>
      <c r="D856" s="1" t="s">
        <v>922</v>
      </c>
      <c r="E856" s="1" t="s">
        <v>939</v>
      </c>
      <c r="F856" s="1" t="s">
        <v>348</v>
      </c>
      <c r="G856" s="1" t="s">
        <v>2331</v>
      </c>
      <c r="H856" s="1" t="s">
        <v>898</v>
      </c>
      <c r="I856" s="1" t="s">
        <v>969</v>
      </c>
      <c r="J856" s="1" t="s">
        <v>348</v>
      </c>
      <c r="K856" s="1" t="s">
        <v>1331</v>
      </c>
      <c r="L856" s="1" t="s">
        <v>2208</v>
      </c>
      <c r="M856" s="1" t="s">
        <v>945</v>
      </c>
      <c r="N856">
        <f>_xlfn.NUMBERVALUE(LEFT(Table11[[#This Row],[Score]],FIND("/",Table11[[#This Row],[Score]])-1))</f>
        <v>16</v>
      </c>
      <c r="O856">
        <f>IFERROR(_xlfn.NUMBERVALUE(LEFT(Table11[[#This Row],[Score2 ]],FIND("/",Table11[[#This Row],[Score2 ]])-1)),"")</f>
        <v>20</v>
      </c>
      <c r="P856" t="s">
        <v>170</v>
      </c>
      <c r="Q856" s="1" t="s">
        <v>158</v>
      </c>
      <c r="R856" t="str">
        <f>Table11[[#This Row],[Match]]&amp;" "&amp;Table11[[#This Row],[Over]]</f>
        <v>15 4</v>
      </c>
    </row>
    <row r="857" spans="1:18" x14ac:dyDescent="0.3">
      <c r="A857">
        <v>15</v>
      </c>
      <c r="B857" s="1">
        <v>5</v>
      </c>
      <c r="C857" s="1" t="s">
        <v>2331</v>
      </c>
      <c r="D857" s="1" t="s">
        <v>998</v>
      </c>
      <c r="E857" s="1" t="s">
        <v>939</v>
      </c>
      <c r="F857" s="1" t="s">
        <v>939</v>
      </c>
      <c r="G857" s="1" t="s">
        <v>2993</v>
      </c>
      <c r="H857" s="1" t="s">
        <v>922</v>
      </c>
      <c r="I857" s="1" t="s">
        <v>1029</v>
      </c>
      <c r="J857" s="1" t="s">
        <v>1029</v>
      </c>
      <c r="K857" s="1" t="s">
        <v>2214</v>
      </c>
      <c r="L857" s="1" t="s">
        <v>2994</v>
      </c>
      <c r="M857" s="1" t="s">
        <v>955</v>
      </c>
      <c r="N857">
        <f>_xlfn.NUMBERVALUE(LEFT(Table11[[#This Row],[Score]],FIND("/",Table11[[#This Row],[Score]])-1))</f>
        <v>20</v>
      </c>
      <c r="O857">
        <f>IFERROR(_xlfn.NUMBERVALUE(LEFT(Table11[[#This Row],[Score2 ]],FIND("/",Table11[[#This Row],[Score2 ]])-1)),"")</f>
        <v>26</v>
      </c>
      <c r="P857" t="s">
        <v>170</v>
      </c>
      <c r="Q857" s="1" t="s">
        <v>158</v>
      </c>
      <c r="R857" t="str">
        <f>Table11[[#This Row],[Match]]&amp;" "&amp;Table11[[#This Row],[Over]]</f>
        <v>15 5</v>
      </c>
    </row>
    <row r="858" spans="1:18" x14ac:dyDescent="0.3">
      <c r="A858">
        <v>15</v>
      </c>
      <c r="B858" s="1">
        <v>6</v>
      </c>
      <c r="C858" s="1" t="s">
        <v>2691</v>
      </c>
      <c r="D858" s="1" t="s">
        <v>1051</v>
      </c>
      <c r="E858" s="1" t="s">
        <v>1587</v>
      </c>
      <c r="F858" s="1" t="s">
        <v>934</v>
      </c>
      <c r="G858" s="1" t="s">
        <v>2339</v>
      </c>
      <c r="H858" s="1" t="s">
        <v>930</v>
      </c>
      <c r="I858" s="1" t="s">
        <v>942</v>
      </c>
      <c r="J858" s="1" t="s">
        <v>934</v>
      </c>
      <c r="K858" s="1" t="s">
        <v>2214</v>
      </c>
      <c r="L858" s="1" t="s">
        <v>2085</v>
      </c>
      <c r="M858" s="1" t="s">
        <v>963</v>
      </c>
      <c r="N858">
        <f>_xlfn.NUMBERVALUE(LEFT(Table11[[#This Row],[Score]],FIND("/",Table11[[#This Row],[Score]])-1))</f>
        <v>31</v>
      </c>
      <c r="O858">
        <f>IFERROR(_xlfn.NUMBERVALUE(LEFT(Table11[[#This Row],[Score2 ]],FIND("/",Table11[[#This Row],[Score2 ]])-1)),"")</f>
        <v>34</v>
      </c>
      <c r="P858" t="s">
        <v>170</v>
      </c>
      <c r="Q858" s="1" t="s">
        <v>158</v>
      </c>
      <c r="R858" t="str">
        <f>Table11[[#This Row],[Match]]&amp;" "&amp;Table11[[#This Row],[Over]]</f>
        <v>15 6</v>
      </c>
    </row>
    <row r="859" spans="1:18" x14ac:dyDescent="0.3">
      <c r="A859">
        <v>15</v>
      </c>
      <c r="B859" s="1">
        <v>7</v>
      </c>
      <c r="C859" s="1" t="s">
        <v>2995</v>
      </c>
      <c r="D859" s="1" t="s">
        <v>898</v>
      </c>
      <c r="E859" s="1" t="s">
        <v>948</v>
      </c>
      <c r="F859" s="1" t="s">
        <v>966</v>
      </c>
      <c r="G859" s="1" t="s">
        <v>2760</v>
      </c>
      <c r="H859" s="1" t="s">
        <v>898</v>
      </c>
      <c r="I859" s="1" t="s">
        <v>1092</v>
      </c>
      <c r="J859" s="1" t="s">
        <v>939</v>
      </c>
      <c r="K859" s="1" t="s">
        <v>2996</v>
      </c>
      <c r="L859" s="1" t="s">
        <v>2997</v>
      </c>
      <c r="M859" s="1" t="s">
        <v>973</v>
      </c>
      <c r="N859">
        <f>_xlfn.NUMBERVALUE(LEFT(Table11[[#This Row],[Score]],FIND("/",Table11[[#This Row],[Score]])-1))</f>
        <v>33</v>
      </c>
      <c r="O859">
        <f>IFERROR(_xlfn.NUMBERVALUE(LEFT(Table11[[#This Row],[Score2 ]],FIND("/",Table11[[#This Row],[Score2 ]])-1)),"")</f>
        <v>36</v>
      </c>
      <c r="P859" t="s">
        <v>170</v>
      </c>
      <c r="Q859" s="1" t="s">
        <v>158</v>
      </c>
      <c r="R859" t="str">
        <f>Table11[[#This Row],[Match]]&amp;" "&amp;Table11[[#This Row],[Over]]</f>
        <v>15 7</v>
      </c>
    </row>
    <row r="860" spans="1:18" x14ac:dyDescent="0.3">
      <c r="A860">
        <v>15</v>
      </c>
      <c r="B860" s="1">
        <v>8</v>
      </c>
      <c r="C860" s="1" t="s">
        <v>956</v>
      </c>
      <c r="D860" s="1" t="s">
        <v>898</v>
      </c>
      <c r="E860" s="1" t="s">
        <v>957</v>
      </c>
      <c r="F860" s="1" t="s">
        <v>969</v>
      </c>
      <c r="G860" s="1" t="s">
        <v>1465</v>
      </c>
      <c r="H860" s="1" t="s">
        <v>1095</v>
      </c>
      <c r="I860" s="1" t="s">
        <v>1601</v>
      </c>
      <c r="J860" s="1" t="s">
        <v>934</v>
      </c>
      <c r="K860" s="1" t="s">
        <v>2359</v>
      </c>
      <c r="L860" s="1" t="s">
        <v>2089</v>
      </c>
      <c r="M860" s="1" t="s">
        <v>980</v>
      </c>
      <c r="N860">
        <f>_xlfn.NUMBERVALUE(LEFT(Table11[[#This Row],[Score]],FIND("/",Table11[[#This Row],[Score]])-1))</f>
        <v>35</v>
      </c>
      <c r="O860">
        <f>IFERROR(_xlfn.NUMBERVALUE(LEFT(Table11[[#This Row],[Score2 ]],FIND("/",Table11[[#This Row],[Score2 ]])-1)),"")</f>
        <v>46</v>
      </c>
      <c r="P860" t="s">
        <v>170</v>
      </c>
      <c r="Q860" s="1" t="s">
        <v>158</v>
      </c>
      <c r="R860" t="str">
        <f>Table11[[#This Row],[Match]]&amp;" "&amp;Table11[[#This Row],[Over]]</f>
        <v>15 8</v>
      </c>
    </row>
    <row r="861" spans="1:18" x14ac:dyDescent="0.3">
      <c r="A861">
        <v>15</v>
      </c>
      <c r="B861" s="1">
        <v>9</v>
      </c>
      <c r="C861" s="1" t="s">
        <v>949</v>
      </c>
      <c r="D861" s="1" t="s">
        <v>998</v>
      </c>
      <c r="E861" s="1" t="s">
        <v>989</v>
      </c>
      <c r="F861" s="1" t="s">
        <v>976</v>
      </c>
      <c r="G861" s="1" t="s">
        <v>2620</v>
      </c>
      <c r="H861" s="1" t="s">
        <v>998</v>
      </c>
      <c r="I861" s="1" t="s">
        <v>1682</v>
      </c>
      <c r="J861" s="1" t="s">
        <v>1019</v>
      </c>
      <c r="K861" s="1" t="s">
        <v>2240</v>
      </c>
      <c r="L861" s="1" t="s">
        <v>2329</v>
      </c>
      <c r="M861" s="1" t="s">
        <v>987</v>
      </c>
      <c r="N861">
        <f>_xlfn.NUMBERVALUE(LEFT(Table11[[#This Row],[Score]],FIND("/",Table11[[#This Row],[Score]])-1))</f>
        <v>39</v>
      </c>
      <c r="O861">
        <f>IFERROR(_xlfn.NUMBERVALUE(LEFT(Table11[[#This Row],[Score2 ]],FIND("/",Table11[[#This Row],[Score2 ]])-1)),"")</f>
        <v>50</v>
      </c>
      <c r="P861" t="s">
        <v>170</v>
      </c>
      <c r="Q861" s="1" t="s">
        <v>158</v>
      </c>
      <c r="R861" t="str">
        <f>Table11[[#This Row],[Match]]&amp;" "&amp;Table11[[#This Row],[Over]]</f>
        <v>15 9</v>
      </c>
    </row>
    <row r="862" spans="1:18" x14ac:dyDescent="0.3">
      <c r="A862">
        <v>15</v>
      </c>
      <c r="B862" s="1">
        <v>10</v>
      </c>
      <c r="C862" s="1" t="s">
        <v>2220</v>
      </c>
      <c r="D862" s="1" t="s">
        <v>998</v>
      </c>
      <c r="E862" s="1" t="s">
        <v>999</v>
      </c>
      <c r="F862" s="1" t="s">
        <v>976</v>
      </c>
      <c r="G862" s="1" t="s">
        <v>2925</v>
      </c>
      <c r="H862" s="1" t="s">
        <v>998</v>
      </c>
      <c r="I862" s="1" t="s">
        <v>966</v>
      </c>
      <c r="J862" s="1" t="s">
        <v>934</v>
      </c>
      <c r="K862" s="1" t="s">
        <v>2639</v>
      </c>
      <c r="L862" s="1" t="s">
        <v>2998</v>
      </c>
      <c r="M862" s="1" t="s">
        <v>996</v>
      </c>
      <c r="N862">
        <f>_xlfn.NUMBERVALUE(LEFT(Table11[[#This Row],[Score]],FIND("/",Table11[[#This Row],[Score]])-1))</f>
        <v>43</v>
      </c>
      <c r="O862">
        <f>IFERROR(_xlfn.NUMBERVALUE(LEFT(Table11[[#This Row],[Score2 ]],FIND("/",Table11[[#This Row],[Score2 ]])-1)),"")</f>
        <v>54</v>
      </c>
      <c r="P862" t="s">
        <v>170</v>
      </c>
      <c r="Q862" s="1" t="s">
        <v>158</v>
      </c>
      <c r="R862" t="str">
        <f>Table11[[#This Row],[Match]]&amp;" "&amp;Table11[[#This Row],[Over]]</f>
        <v>15 10</v>
      </c>
    </row>
    <row r="863" spans="1:18" x14ac:dyDescent="0.3">
      <c r="A863">
        <v>15</v>
      </c>
      <c r="B863" s="1">
        <v>11</v>
      </c>
      <c r="C863" s="1" t="s">
        <v>1281</v>
      </c>
      <c r="D863" s="1" t="s">
        <v>922</v>
      </c>
      <c r="E863" s="1" t="s">
        <v>1060</v>
      </c>
      <c r="F863" s="1" t="s">
        <v>977</v>
      </c>
      <c r="G863" s="1" t="s">
        <v>2928</v>
      </c>
      <c r="H863" s="1" t="s">
        <v>998</v>
      </c>
      <c r="I863" s="1" t="s">
        <v>1593</v>
      </c>
      <c r="J863" s="1" t="s">
        <v>1093</v>
      </c>
      <c r="K863" s="1" t="s">
        <v>2999</v>
      </c>
      <c r="L863" s="1" t="s">
        <v>2215</v>
      </c>
      <c r="M863" s="1" t="s">
        <v>1004</v>
      </c>
      <c r="N863">
        <f>_xlfn.NUMBERVALUE(LEFT(Table11[[#This Row],[Score]],FIND("/",Table11[[#This Row],[Score]])-1))</f>
        <v>49</v>
      </c>
      <c r="O863">
        <f>IFERROR(_xlfn.NUMBERVALUE(LEFT(Table11[[#This Row],[Score2 ]],FIND("/",Table11[[#This Row],[Score2 ]])-1)),"")</f>
        <v>58</v>
      </c>
      <c r="P863" t="s">
        <v>170</v>
      </c>
      <c r="Q863" s="1" t="s">
        <v>158</v>
      </c>
      <c r="R863" t="str">
        <f>Table11[[#This Row],[Match]]&amp;" "&amp;Table11[[#This Row],[Over]]</f>
        <v>15 11</v>
      </c>
    </row>
    <row r="864" spans="1:18" x14ac:dyDescent="0.3">
      <c r="A864">
        <v>15</v>
      </c>
      <c r="B864" s="1">
        <v>12</v>
      </c>
      <c r="C864" s="1" t="s">
        <v>3000</v>
      </c>
      <c r="D864" s="1" t="s">
        <v>898</v>
      </c>
      <c r="E864" s="1" t="s">
        <v>1074</v>
      </c>
      <c r="F864" s="1" t="s">
        <v>977</v>
      </c>
      <c r="G864" s="1" t="s">
        <v>1878</v>
      </c>
      <c r="H864" s="1" t="s">
        <v>1095</v>
      </c>
      <c r="I864" s="1" t="s">
        <v>942</v>
      </c>
      <c r="J864" s="1" t="s">
        <v>943</v>
      </c>
      <c r="K864" s="1" t="s">
        <v>3001</v>
      </c>
      <c r="L864" s="1" t="s">
        <v>2103</v>
      </c>
      <c r="M864" s="1" t="s">
        <v>1010</v>
      </c>
      <c r="N864">
        <f>_xlfn.NUMBERVALUE(LEFT(Table11[[#This Row],[Score]],FIND("/",Table11[[#This Row],[Score]])-1))</f>
        <v>51</v>
      </c>
      <c r="O864">
        <f>IFERROR(_xlfn.NUMBERVALUE(LEFT(Table11[[#This Row],[Score2 ]],FIND("/",Table11[[#This Row],[Score2 ]])-1)),"")</f>
        <v>68</v>
      </c>
      <c r="P864" t="s">
        <v>170</v>
      </c>
      <c r="Q864" s="1" t="s">
        <v>158</v>
      </c>
      <c r="R864" t="str">
        <f>Table11[[#This Row],[Match]]&amp;" "&amp;Table11[[#This Row],[Over]]</f>
        <v>15 12</v>
      </c>
    </row>
    <row r="865" spans="1:18" x14ac:dyDescent="0.3">
      <c r="A865">
        <v>15</v>
      </c>
      <c r="B865" s="1">
        <v>13</v>
      </c>
      <c r="C865" s="1" t="s">
        <v>3002</v>
      </c>
      <c r="D865" s="1" t="s">
        <v>922</v>
      </c>
      <c r="E865" s="1" t="s">
        <v>1035</v>
      </c>
      <c r="F865" s="1" t="s">
        <v>940</v>
      </c>
      <c r="G865" s="1" t="s">
        <v>1473</v>
      </c>
      <c r="H865" s="1" t="s">
        <v>950</v>
      </c>
      <c r="I865" s="1" t="s">
        <v>1752</v>
      </c>
      <c r="J865" s="1" t="s">
        <v>966</v>
      </c>
      <c r="K865" s="1" t="s">
        <v>1345</v>
      </c>
      <c r="L865" s="1" t="s">
        <v>919</v>
      </c>
      <c r="M865" s="1" t="s">
        <v>1016</v>
      </c>
      <c r="N865">
        <f>_xlfn.NUMBERVALUE(LEFT(Table11[[#This Row],[Score]],FIND("/",Table11[[#This Row],[Score]])-1))</f>
        <v>57</v>
      </c>
      <c r="O865">
        <f>IFERROR(_xlfn.NUMBERVALUE(LEFT(Table11[[#This Row],[Score2 ]],FIND("/",Table11[[#This Row],[Score2 ]])-1)),"")</f>
        <v>73</v>
      </c>
      <c r="P865" t="s">
        <v>170</v>
      </c>
      <c r="Q865" s="1" t="s">
        <v>158</v>
      </c>
      <c r="R865" t="str">
        <f>Table11[[#This Row],[Match]]&amp;" "&amp;Table11[[#This Row],[Over]]</f>
        <v>15 13</v>
      </c>
    </row>
    <row r="866" spans="1:18" x14ac:dyDescent="0.3">
      <c r="A866">
        <v>15</v>
      </c>
      <c r="B866" s="1">
        <v>14</v>
      </c>
      <c r="C866" s="1" t="s">
        <v>1287</v>
      </c>
      <c r="D866" s="1" t="s">
        <v>998</v>
      </c>
      <c r="E866" s="1" t="s">
        <v>1299</v>
      </c>
      <c r="F866" s="1" t="s">
        <v>940</v>
      </c>
      <c r="G866" s="1" t="s">
        <v>2233</v>
      </c>
      <c r="H866" s="1" t="s">
        <v>930</v>
      </c>
      <c r="I866" s="1" t="s">
        <v>1396</v>
      </c>
      <c r="J866" s="1" t="s">
        <v>970</v>
      </c>
      <c r="K866" s="1" t="s">
        <v>3003</v>
      </c>
      <c r="L866" s="1" t="s">
        <v>920</v>
      </c>
      <c r="M866" s="1" t="s">
        <v>1024</v>
      </c>
      <c r="N866">
        <f>_xlfn.NUMBERVALUE(LEFT(Table11[[#This Row],[Score]],FIND("/",Table11[[#This Row],[Score]])-1))</f>
        <v>61</v>
      </c>
      <c r="O866">
        <f>IFERROR(_xlfn.NUMBERVALUE(LEFT(Table11[[#This Row],[Score2 ]],FIND("/",Table11[[#This Row],[Score2 ]])-1)),"")</f>
        <v>81</v>
      </c>
      <c r="P866" t="s">
        <v>170</v>
      </c>
      <c r="Q866" s="1" t="s">
        <v>158</v>
      </c>
      <c r="R866" t="str">
        <f>Table11[[#This Row],[Match]]&amp;" "&amp;Table11[[#This Row],[Over]]</f>
        <v>15 14</v>
      </c>
    </row>
    <row r="867" spans="1:18" x14ac:dyDescent="0.3">
      <c r="A867">
        <v>15</v>
      </c>
      <c r="B867" s="1">
        <v>15</v>
      </c>
      <c r="C867" s="1" t="s">
        <v>2115</v>
      </c>
      <c r="D867" s="1" t="s">
        <v>930</v>
      </c>
      <c r="E867" s="1" t="s">
        <v>976</v>
      </c>
      <c r="F867" s="1" t="s">
        <v>1029</v>
      </c>
      <c r="G867" s="1" t="s">
        <v>3004</v>
      </c>
      <c r="H867" s="1" t="s">
        <v>1051</v>
      </c>
      <c r="I867" s="1" t="s">
        <v>3005</v>
      </c>
      <c r="J867" s="1" t="s">
        <v>1508</v>
      </c>
      <c r="K867" s="1" t="s">
        <v>2244</v>
      </c>
      <c r="L867" s="1" t="s">
        <v>2245</v>
      </c>
      <c r="M867" s="1" t="s">
        <v>1031</v>
      </c>
      <c r="N867">
        <f>_xlfn.NUMBERVALUE(LEFT(Table11[[#This Row],[Score]],FIND("/",Table11[[#This Row],[Score]])-1))</f>
        <v>69</v>
      </c>
      <c r="O867">
        <f>IFERROR(_xlfn.NUMBERVALUE(LEFT(Table11[[#This Row],[Score2 ]],FIND("/",Table11[[#This Row],[Score2 ]])-1)),"")</f>
        <v>92</v>
      </c>
      <c r="P867" t="s">
        <v>170</v>
      </c>
      <c r="Q867" s="1" t="s">
        <v>158</v>
      </c>
      <c r="R867" t="str">
        <f>Table11[[#This Row],[Match]]&amp;" "&amp;Table11[[#This Row],[Over]]</f>
        <v>15 15</v>
      </c>
    </row>
    <row r="868" spans="1:18" x14ac:dyDescent="0.3">
      <c r="A868">
        <v>15</v>
      </c>
      <c r="B868" s="1">
        <v>16</v>
      </c>
      <c r="C868" s="1" t="s">
        <v>1020</v>
      </c>
      <c r="D868" s="1" t="s">
        <v>904</v>
      </c>
      <c r="E868" s="1" t="s">
        <v>1021</v>
      </c>
      <c r="F868" s="1" t="s">
        <v>976</v>
      </c>
      <c r="G868" s="1" t="s">
        <v>1499</v>
      </c>
      <c r="H868" s="1" t="s">
        <v>922</v>
      </c>
      <c r="I868" s="1" t="s">
        <v>1968</v>
      </c>
      <c r="J868" s="1" t="s">
        <v>1089</v>
      </c>
      <c r="K868" s="1" t="s">
        <v>1345</v>
      </c>
      <c r="L868" s="1" t="s">
        <v>1275</v>
      </c>
      <c r="M868" s="1" t="s">
        <v>1037</v>
      </c>
      <c r="N868">
        <f>_xlfn.NUMBERVALUE(LEFT(Table11[[#This Row],[Score]],FIND("/",Table11[[#This Row],[Score]])-1))</f>
        <v>72</v>
      </c>
      <c r="O868">
        <f>IFERROR(_xlfn.NUMBERVALUE(LEFT(Table11[[#This Row],[Score2 ]],FIND("/",Table11[[#This Row],[Score2 ]])-1)),"")</f>
        <v>98</v>
      </c>
      <c r="P868" t="s">
        <v>170</v>
      </c>
      <c r="Q868" s="1" t="s">
        <v>158</v>
      </c>
      <c r="R868" t="str">
        <f>Table11[[#This Row],[Match]]&amp;" "&amp;Table11[[#This Row],[Over]]</f>
        <v>15 16</v>
      </c>
    </row>
    <row r="869" spans="1:18" x14ac:dyDescent="0.3">
      <c r="A869">
        <v>15</v>
      </c>
      <c r="B869" s="1">
        <v>17</v>
      </c>
      <c r="C869" s="1" t="s">
        <v>2448</v>
      </c>
      <c r="D869" s="1" t="s">
        <v>968</v>
      </c>
      <c r="E869" s="1" t="s">
        <v>1474</v>
      </c>
      <c r="F869" s="1" t="s">
        <v>940</v>
      </c>
      <c r="G869" s="1" t="s">
        <v>2252</v>
      </c>
      <c r="H869" s="1" t="s">
        <v>916</v>
      </c>
      <c r="I869" s="1" t="s">
        <v>918</v>
      </c>
      <c r="J869" s="1" t="s">
        <v>1068</v>
      </c>
      <c r="K869" s="1" t="s">
        <v>2019</v>
      </c>
      <c r="L869" s="1" t="s">
        <v>955</v>
      </c>
      <c r="M869" s="1" t="s">
        <v>1043</v>
      </c>
      <c r="N869">
        <f>_xlfn.NUMBERVALUE(LEFT(Table11[[#This Row],[Score]],FIND("/",Table11[[#This Row],[Score]])-1))</f>
        <v>73</v>
      </c>
      <c r="O869">
        <f>IFERROR(_xlfn.NUMBERVALUE(LEFT(Table11[[#This Row],[Score2 ]],FIND("/",Table11[[#This Row],[Score2 ]])-1)),"")</f>
        <v>105</v>
      </c>
      <c r="P869" t="s">
        <v>170</v>
      </c>
      <c r="Q869" s="1" t="s">
        <v>158</v>
      </c>
      <c r="R869" t="str">
        <f>Table11[[#This Row],[Match]]&amp;" "&amp;Table11[[#This Row],[Over]]</f>
        <v>15 17</v>
      </c>
    </row>
    <row r="870" spans="1:18" x14ac:dyDescent="0.3">
      <c r="A870">
        <v>15</v>
      </c>
      <c r="B870" s="1">
        <v>18</v>
      </c>
      <c r="C870" s="1" t="s">
        <v>1307</v>
      </c>
      <c r="D870" s="1" t="s">
        <v>1095</v>
      </c>
      <c r="E870" s="1" t="s">
        <v>1055</v>
      </c>
      <c r="F870" s="1" t="s">
        <v>1029</v>
      </c>
      <c r="G870" s="1" t="s">
        <v>1326</v>
      </c>
      <c r="H870" s="1" t="s">
        <v>1095</v>
      </c>
      <c r="I870" s="1" t="s">
        <v>1459</v>
      </c>
      <c r="J870" s="1" t="s">
        <v>1335</v>
      </c>
      <c r="K870" s="1" t="s">
        <v>3006</v>
      </c>
      <c r="L870" s="1" t="s">
        <v>995</v>
      </c>
      <c r="M870" s="1" t="s">
        <v>1049</v>
      </c>
      <c r="N870">
        <f>_xlfn.NUMBERVALUE(LEFT(Table11[[#This Row],[Score]],FIND("/",Table11[[#This Row],[Score]])-1))</f>
        <v>83</v>
      </c>
      <c r="O870">
        <f>IFERROR(_xlfn.NUMBERVALUE(LEFT(Table11[[#This Row],[Score2 ]],FIND("/",Table11[[#This Row],[Score2 ]])-1)),"")</f>
        <v>115</v>
      </c>
      <c r="P870" t="s">
        <v>170</v>
      </c>
      <c r="Q870" s="1" t="s">
        <v>158</v>
      </c>
      <c r="R870" t="str">
        <f>Table11[[#This Row],[Match]]&amp;" "&amp;Table11[[#This Row],[Over]]</f>
        <v>15 18</v>
      </c>
    </row>
    <row r="871" spans="1:18" x14ac:dyDescent="0.3">
      <c r="A871">
        <v>15</v>
      </c>
      <c r="B871" s="1">
        <v>19</v>
      </c>
      <c r="C871" s="1" t="s">
        <v>2121</v>
      </c>
      <c r="D871" s="1" t="s">
        <v>904</v>
      </c>
      <c r="E871" s="1" t="s">
        <v>1552</v>
      </c>
      <c r="F871" s="1" t="s">
        <v>969</v>
      </c>
      <c r="G871" s="1" t="s">
        <v>3007</v>
      </c>
      <c r="H871" s="1" t="s">
        <v>916</v>
      </c>
      <c r="I871" s="1" t="s">
        <v>2095</v>
      </c>
      <c r="J871" s="1" t="s">
        <v>1405</v>
      </c>
      <c r="K871" s="1" t="s">
        <v>1537</v>
      </c>
      <c r="L871" s="1" t="s">
        <v>2124</v>
      </c>
      <c r="M871" s="1" t="s">
        <v>1056</v>
      </c>
      <c r="N871">
        <f>_xlfn.NUMBERVALUE(LEFT(Table11[[#This Row],[Score]],FIND("/",Table11[[#This Row],[Score]])-1))</f>
        <v>86</v>
      </c>
      <c r="O871">
        <f>IFERROR(_xlfn.NUMBERVALUE(LEFT(Table11[[#This Row],[Score2 ]],FIND("/",Table11[[#This Row],[Score2 ]])-1)),"")</f>
        <v>122</v>
      </c>
      <c r="P871" t="s">
        <v>170</v>
      </c>
      <c r="Q871" s="1" t="s">
        <v>158</v>
      </c>
      <c r="R871" t="str">
        <f>Table11[[#This Row],[Match]]&amp;" "&amp;Table11[[#This Row],[Over]]</f>
        <v>15 19</v>
      </c>
    </row>
    <row r="872" spans="1:18" x14ac:dyDescent="0.3">
      <c r="A872">
        <v>15</v>
      </c>
      <c r="B872" s="1">
        <v>20</v>
      </c>
      <c r="C872" s="1" t="s">
        <v>1764</v>
      </c>
      <c r="D872" s="1" t="s">
        <v>922</v>
      </c>
      <c r="E872" s="1" t="s">
        <v>976</v>
      </c>
      <c r="F872" s="1" t="s">
        <v>976</v>
      </c>
      <c r="G872" s="1" t="s">
        <v>2027</v>
      </c>
      <c r="H872" s="1" t="s">
        <v>998</v>
      </c>
      <c r="I872" s="1" t="s">
        <v>1982</v>
      </c>
      <c r="J872" s="1" t="s">
        <v>1053</v>
      </c>
      <c r="K872" s="1" t="s">
        <v>3008</v>
      </c>
      <c r="L872" s="1" t="s">
        <v>1733</v>
      </c>
      <c r="M872" s="1" t="s">
        <v>1063</v>
      </c>
      <c r="N872">
        <f>_xlfn.NUMBERVALUE(LEFT(Table11[[#This Row],[Score]],FIND("/",Table11[[#This Row],[Score]])-1))</f>
        <v>92</v>
      </c>
      <c r="O872">
        <f>IFERROR(_xlfn.NUMBERVALUE(LEFT(Table11[[#This Row],[Score2 ]],FIND("/",Table11[[#This Row],[Score2 ]])-1)),"")</f>
        <v>126</v>
      </c>
      <c r="P872" t="s">
        <v>170</v>
      </c>
      <c r="Q872" s="1" t="s">
        <v>158</v>
      </c>
      <c r="R872" t="str">
        <f>Table11[[#This Row],[Match]]&amp;" "&amp;Table11[[#This Row],[Over]]</f>
        <v>15 20</v>
      </c>
    </row>
    <row r="873" spans="1:18" x14ac:dyDescent="0.3">
      <c r="A873">
        <v>15</v>
      </c>
      <c r="B873" s="1">
        <v>21</v>
      </c>
      <c r="C873" s="1" t="s">
        <v>3009</v>
      </c>
      <c r="D873" s="1" t="s">
        <v>904</v>
      </c>
      <c r="E873" s="1" t="s">
        <v>1552</v>
      </c>
      <c r="F873" s="1" t="s">
        <v>976</v>
      </c>
      <c r="G873" s="1" t="s">
        <v>1536</v>
      </c>
      <c r="H873" s="1" t="s">
        <v>998</v>
      </c>
      <c r="I873" s="1" t="s">
        <v>2465</v>
      </c>
      <c r="J873" s="1" t="s">
        <v>943</v>
      </c>
      <c r="K873" s="1" t="s">
        <v>3010</v>
      </c>
      <c r="L873" s="1" t="s">
        <v>2616</v>
      </c>
      <c r="M873" s="1" t="s">
        <v>1070</v>
      </c>
      <c r="N873">
        <f>_xlfn.NUMBERVALUE(LEFT(Table11[[#This Row],[Score]],FIND("/",Table11[[#This Row],[Score]])-1))</f>
        <v>95</v>
      </c>
      <c r="O873">
        <f>IFERROR(_xlfn.NUMBERVALUE(LEFT(Table11[[#This Row],[Score2 ]],FIND("/",Table11[[#This Row],[Score2 ]])-1)),"")</f>
        <v>130</v>
      </c>
      <c r="P873" t="s">
        <v>170</v>
      </c>
      <c r="Q873" s="1" t="s">
        <v>158</v>
      </c>
      <c r="R873" t="str">
        <f>Table11[[#This Row],[Match]]&amp;" "&amp;Table11[[#This Row],[Over]]</f>
        <v>15 21</v>
      </c>
    </row>
    <row r="874" spans="1:18" x14ac:dyDescent="0.3">
      <c r="A874">
        <v>15</v>
      </c>
      <c r="B874" s="1">
        <v>22</v>
      </c>
      <c r="C874" s="1" t="s">
        <v>3011</v>
      </c>
      <c r="D874" s="1" t="s">
        <v>968</v>
      </c>
      <c r="E874" s="1" t="s">
        <v>1040</v>
      </c>
      <c r="F874" s="1" t="s">
        <v>976</v>
      </c>
      <c r="G874" s="1" t="s">
        <v>1347</v>
      </c>
      <c r="H874" s="1" t="s">
        <v>1103</v>
      </c>
      <c r="I874" s="1" t="s">
        <v>2454</v>
      </c>
      <c r="J874" s="1" t="s">
        <v>1068</v>
      </c>
      <c r="K874" s="1" t="s">
        <v>2100</v>
      </c>
      <c r="L874" s="1" t="s">
        <v>3012</v>
      </c>
      <c r="M874" s="1" t="s">
        <v>1077</v>
      </c>
      <c r="N874">
        <f>_xlfn.NUMBERVALUE(LEFT(Table11[[#This Row],[Score]],FIND("/",Table11[[#This Row],[Score]])-1))</f>
        <v>96</v>
      </c>
      <c r="O874">
        <f>IFERROR(_xlfn.NUMBERVALUE(LEFT(Table11[[#This Row],[Score2 ]],FIND("/",Table11[[#This Row],[Score2 ]])-1)),"")</f>
        <v>142</v>
      </c>
      <c r="P874" t="s">
        <v>170</v>
      </c>
      <c r="Q874" s="1" t="s">
        <v>158</v>
      </c>
      <c r="R874" t="str">
        <f>Table11[[#This Row],[Match]]&amp;" "&amp;Table11[[#This Row],[Over]]</f>
        <v>15 22</v>
      </c>
    </row>
    <row r="875" spans="1:18" x14ac:dyDescent="0.3">
      <c r="A875">
        <v>15</v>
      </c>
      <c r="B875" s="1">
        <v>23</v>
      </c>
      <c r="C875" s="1" t="s">
        <v>1044</v>
      </c>
      <c r="D875" s="1" t="s">
        <v>898</v>
      </c>
      <c r="E875" s="1" t="s">
        <v>1382</v>
      </c>
      <c r="F875" s="1" t="s">
        <v>1238</v>
      </c>
      <c r="G875" s="1" t="s">
        <v>3013</v>
      </c>
      <c r="H875" s="1" t="s">
        <v>898</v>
      </c>
      <c r="I875" s="1" t="s">
        <v>2700</v>
      </c>
      <c r="J875" s="1" t="s">
        <v>1013</v>
      </c>
      <c r="K875" s="1" t="s">
        <v>2383</v>
      </c>
      <c r="L875" s="1" t="s">
        <v>1470</v>
      </c>
      <c r="M875" s="1" t="s">
        <v>1083</v>
      </c>
      <c r="N875">
        <f>_xlfn.NUMBERVALUE(LEFT(Table11[[#This Row],[Score]],FIND("/",Table11[[#This Row],[Score]])-1))</f>
        <v>98</v>
      </c>
      <c r="O875">
        <f>IFERROR(_xlfn.NUMBERVALUE(LEFT(Table11[[#This Row],[Score2 ]],FIND("/",Table11[[#This Row],[Score2 ]])-1)),"")</f>
        <v>144</v>
      </c>
      <c r="P875" t="s">
        <v>170</v>
      </c>
      <c r="Q875" s="1" t="s">
        <v>158</v>
      </c>
      <c r="R875" t="str">
        <f>Table11[[#This Row],[Match]]&amp;" "&amp;Table11[[#This Row],[Over]]</f>
        <v>15 23</v>
      </c>
    </row>
    <row r="876" spans="1:18" x14ac:dyDescent="0.3">
      <c r="A876">
        <v>15</v>
      </c>
      <c r="B876" s="1">
        <v>24</v>
      </c>
      <c r="C876" s="1" t="s">
        <v>1681</v>
      </c>
      <c r="D876" s="1" t="s">
        <v>898</v>
      </c>
      <c r="E876" s="1" t="s">
        <v>1632</v>
      </c>
      <c r="F876" s="1" t="s">
        <v>993</v>
      </c>
      <c r="G876" s="1" t="s">
        <v>2900</v>
      </c>
      <c r="H876" s="1" t="s">
        <v>930</v>
      </c>
      <c r="I876" s="1" t="s">
        <v>1723</v>
      </c>
      <c r="J876" s="1" t="s">
        <v>1019</v>
      </c>
      <c r="K876" s="1" t="s">
        <v>3014</v>
      </c>
      <c r="L876" s="1" t="s">
        <v>1310</v>
      </c>
      <c r="M876" s="1" t="s">
        <v>1090</v>
      </c>
      <c r="N876">
        <f>_xlfn.NUMBERVALUE(LEFT(Table11[[#This Row],[Score]],FIND("/",Table11[[#This Row],[Score]])-1))</f>
        <v>100</v>
      </c>
      <c r="O876">
        <f>IFERROR(_xlfn.NUMBERVALUE(LEFT(Table11[[#This Row],[Score2 ]],FIND("/",Table11[[#This Row],[Score2 ]])-1)),"")</f>
        <v>152</v>
      </c>
      <c r="P876" t="s">
        <v>170</v>
      </c>
      <c r="Q876" s="1" t="s">
        <v>158</v>
      </c>
      <c r="R876" t="str">
        <f>Table11[[#This Row],[Match]]&amp;" "&amp;Table11[[#This Row],[Over]]</f>
        <v>15 24</v>
      </c>
    </row>
    <row r="877" spans="1:18" x14ac:dyDescent="0.3">
      <c r="A877">
        <v>15</v>
      </c>
      <c r="B877" s="1">
        <v>25</v>
      </c>
      <c r="C877" s="1" t="s">
        <v>3015</v>
      </c>
      <c r="D877" s="1" t="s">
        <v>916</v>
      </c>
      <c r="E877" s="1" t="s">
        <v>1124</v>
      </c>
      <c r="F877" s="1" t="s">
        <v>1238</v>
      </c>
      <c r="G877" s="1" t="s">
        <v>2152</v>
      </c>
      <c r="H877" s="1" t="s">
        <v>947</v>
      </c>
      <c r="I877" s="1" t="s">
        <v>1469</v>
      </c>
      <c r="J877" s="1" t="s">
        <v>952</v>
      </c>
      <c r="K877" s="1" t="s">
        <v>1119</v>
      </c>
      <c r="L877" s="1" t="s">
        <v>2275</v>
      </c>
      <c r="M877" s="1" t="s">
        <v>1098</v>
      </c>
      <c r="N877">
        <f>_xlfn.NUMBERVALUE(LEFT(Table11[[#This Row],[Score]],FIND("/",Table11[[#This Row],[Score]])-1))</f>
        <v>107</v>
      </c>
      <c r="O877">
        <f>IFERROR(_xlfn.NUMBERVALUE(LEFT(Table11[[#This Row],[Score2 ]],FIND("/",Table11[[#This Row],[Score2 ]])-1)),"")</f>
        <v>161</v>
      </c>
      <c r="P877" t="s">
        <v>170</v>
      </c>
      <c r="Q877" s="1" t="s">
        <v>158</v>
      </c>
      <c r="R877" t="str">
        <f>Table11[[#This Row],[Match]]&amp;" "&amp;Table11[[#This Row],[Over]]</f>
        <v>15 25</v>
      </c>
    </row>
    <row r="878" spans="1:18" x14ac:dyDescent="0.3">
      <c r="A878">
        <v>15</v>
      </c>
      <c r="B878" s="1">
        <v>26</v>
      </c>
      <c r="C878" s="1" t="s">
        <v>3016</v>
      </c>
      <c r="D878" s="1" t="s">
        <v>933</v>
      </c>
      <c r="E878" s="1" t="s">
        <v>1330</v>
      </c>
      <c r="F878" s="1" t="s">
        <v>1029</v>
      </c>
      <c r="G878" s="1" t="s">
        <v>3017</v>
      </c>
      <c r="H878" s="1" t="s">
        <v>904</v>
      </c>
      <c r="I878" s="1" t="s">
        <v>1982</v>
      </c>
      <c r="J878" s="1" t="s">
        <v>1053</v>
      </c>
      <c r="K878" s="1" t="s">
        <v>2025</v>
      </c>
      <c r="L878" s="1" t="s">
        <v>1076</v>
      </c>
      <c r="M878" s="1" t="s">
        <v>1101</v>
      </c>
      <c r="N878">
        <f>_xlfn.NUMBERVALUE(LEFT(Table11[[#This Row],[Score]],FIND("/",Table11[[#This Row],[Score]])-1))</f>
        <v>121</v>
      </c>
      <c r="O878">
        <f>IFERROR(_xlfn.NUMBERVALUE(LEFT(Table11[[#This Row],[Score2 ]],FIND("/",Table11[[#This Row],[Score2 ]])-1)),"")</f>
        <v>164</v>
      </c>
      <c r="P878" t="s">
        <v>170</v>
      </c>
      <c r="Q878" s="1" t="s">
        <v>158</v>
      </c>
      <c r="R878" t="str">
        <f>Table11[[#This Row],[Match]]&amp;" "&amp;Table11[[#This Row],[Over]]</f>
        <v>15 26</v>
      </c>
    </row>
    <row r="879" spans="1:18" x14ac:dyDescent="0.3">
      <c r="A879">
        <v>15</v>
      </c>
      <c r="B879" s="1">
        <v>27</v>
      </c>
      <c r="C879" s="1" t="s">
        <v>2129</v>
      </c>
      <c r="D879" s="1" t="s">
        <v>916</v>
      </c>
      <c r="E879" s="1" t="s">
        <v>1353</v>
      </c>
      <c r="F879" s="1" t="s">
        <v>943</v>
      </c>
      <c r="G879" s="1" t="s">
        <v>2392</v>
      </c>
      <c r="H879" s="1" t="s">
        <v>1095</v>
      </c>
      <c r="I879" s="1" t="s">
        <v>1469</v>
      </c>
      <c r="J879" s="1" t="s">
        <v>943</v>
      </c>
      <c r="K879" s="1" t="s">
        <v>1161</v>
      </c>
      <c r="L879" s="1" t="s">
        <v>2032</v>
      </c>
      <c r="M879" s="1" t="s">
        <v>1108</v>
      </c>
      <c r="N879">
        <f>_xlfn.NUMBERVALUE(LEFT(Table11[[#This Row],[Score]],FIND("/",Table11[[#This Row],[Score]])-1))</f>
        <v>128</v>
      </c>
      <c r="O879">
        <f>IFERROR(_xlfn.NUMBERVALUE(LEFT(Table11[[#This Row],[Score2 ]],FIND("/",Table11[[#This Row],[Score2 ]])-1)),"")</f>
        <v>174</v>
      </c>
      <c r="P879" t="s">
        <v>170</v>
      </c>
      <c r="Q879" s="1" t="s">
        <v>158</v>
      </c>
      <c r="R879" t="str">
        <f>Table11[[#This Row],[Match]]&amp;" "&amp;Table11[[#This Row],[Over]]</f>
        <v>15 27</v>
      </c>
    </row>
    <row r="880" spans="1:18" x14ac:dyDescent="0.3">
      <c r="A880">
        <v>15</v>
      </c>
      <c r="B880" s="1">
        <v>28</v>
      </c>
      <c r="C880" s="1" t="s">
        <v>1078</v>
      </c>
      <c r="D880" s="1" t="s">
        <v>904</v>
      </c>
      <c r="E880" s="1" t="s">
        <v>1747</v>
      </c>
      <c r="F880" s="1" t="s">
        <v>960</v>
      </c>
      <c r="G880" s="1" t="s">
        <v>2725</v>
      </c>
      <c r="H880" s="1" t="s">
        <v>904</v>
      </c>
      <c r="I880" s="1" t="s">
        <v>1444</v>
      </c>
      <c r="J880" s="1" t="s">
        <v>960</v>
      </c>
      <c r="K880" s="1" t="s">
        <v>3018</v>
      </c>
      <c r="L880" s="1" t="s">
        <v>1043</v>
      </c>
      <c r="M880" s="1" t="s">
        <v>1113</v>
      </c>
      <c r="N880">
        <f>_xlfn.NUMBERVALUE(LEFT(Table11[[#This Row],[Score]],FIND("/",Table11[[#This Row],[Score]])-1))</f>
        <v>131</v>
      </c>
      <c r="O880">
        <f>IFERROR(_xlfn.NUMBERVALUE(LEFT(Table11[[#This Row],[Score2 ]],FIND("/",Table11[[#This Row],[Score2 ]])-1)),"")</f>
        <v>177</v>
      </c>
      <c r="P880" t="s">
        <v>170</v>
      </c>
      <c r="Q880" s="1" t="s">
        <v>158</v>
      </c>
      <c r="R880" t="str">
        <f>Table11[[#This Row],[Match]]&amp;" "&amp;Table11[[#This Row],[Over]]</f>
        <v>15 28</v>
      </c>
    </row>
    <row r="881" spans="1:18" x14ac:dyDescent="0.3">
      <c r="A881">
        <v>15</v>
      </c>
      <c r="B881" s="1">
        <v>29</v>
      </c>
      <c r="C881" s="1" t="s">
        <v>3019</v>
      </c>
      <c r="D881" s="1" t="s">
        <v>933</v>
      </c>
      <c r="E881" s="1" t="s">
        <v>969</v>
      </c>
      <c r="F881" s="1" t="s">
        <v>1161</v>
      </c>
      <c r="G881" s="1" t="s">
        <v>3020</v>
      </c>
      <c r="H881" s="1" t="s">
        <v>998</v>
      </c>
      <c r="I881" s="1" t="s">
        <v>971</v>
      </c>
      <c r="J881" s="1" t="s">
        <v>1013</v>
      </c>
      <c r="K881" s="1" t="s">
        <v>3021</v>
      </c>
      <c r="L881" s="1" t="s">
        <v>1097</v>
      </c>
      <c r="M881" s="1" t="s">
        <v>1121</v>
      </c>
      <c r="N881">
        <f>_xlfn.NUMBERVALUE(LEFT(Table11[[#This Row],[Score]],FIND("/",Table11[[#This Row],[Score]])-1))</f>
        <v>145</v>
      </c>
      <c r="O881">
        <f>IFERROR(_xlfn.NUMBERVALUE(LEFT(Table11[[#This Row],[Score2 ]],FIND("/",Table11[[#This Row],[Score2 ]])-1)),"")</f>
        <v>181</v>
      </c>
      <c r="P881" t="s">
        <v>170</v>
      </c>
      <c r="Q881" s="1" t="s">
        <v>158</v>
      </c>
      <c r="R881" t="str">
        <f>Table11[[#This Row],[Match]]&amp;" "&amp;Table11[[#This Row],[Over]]</f>
        <v>15 29</v>
      </c>
    </row>
    <row r="882" spans="1:18" x14ac:dyDescent="0.3">
      <c r="A882">
        <v>15</v>
      </c>
      <c r="B882" s="1">
        <v>30</v>
      </c>
      <c r="C882" s="1" t="s">
        <v>3022</v>
      </c>
      <c r="D882" s="1" t="s">
        <v>998</v>
      </c>
      <c r="E882" s="1" t="s">
        <v>2282</v>
      </c>
      <c r="F882" s="1" t="s">
        <v>1335</v>
      </c>
      <c r="G882" s="1" t="s">
        <v>3023</v>
      </c>
      <c r="H882" s="1" t="s">
        <v>1511</v>
      </c>
      <c r="I882" s="1" t="s">
        <v>1002</v>
      </c>
      <c r="J882" s="1" t="s">
        <v>1116</v>
      </c>
      <c r="K882" s="1" t="s">
        <v>3024</v>
      </c>
      <c r="L882" s="1" t="s">
        <v>1349</v>
      </c>
      <c r="M882" s="1" t="s">
        <v>1127</v>
      </c>
      <c r="N882">
        <f>_xlfn.NUMBERVALUE(LEFT(Table11[[#This Row],[Score]],FIND("/",Table11[[#This Row],[Score]])-1))</f>
        <v>149</v>
      </c>
      <c r="O882">
        <f>IFERROR(_xlfn.NUMBERVALUE(LEFT(Table11[[#This Row],[Score2 ]],FIND("/",Table11[[#This Row],[Score2 ]])-1)),"")</f>
        <v>197</v>
      </c>
      <c r="P882" t="s">
        <v>170</v>
      </c>
      <c r="Q882" s="1" t="s">
        <v>158</v>
      </c>
      <c r="R882" t="str">
        <f>Table11[[#This Row],[Match]]&amp;" "&amp;Table11[[#This Row],[Over]]</f>
        <v>15 30</v>
      </c>
    </row>
    <row r="883" spans="1:18" x14ac:dyDescent="0.3">
      <c r="A883">
        <v>15</v>
      </c>
      <c r="B883" s="1">
        <v>31</v>
      </c>
      <c r="C883" s="1" t="s">
        <v>3025</v>
      </c>
      <c r="D883" s="1" t="s">
        <v>950</v>
      </c>
      <c r="E883" s="1" t="s">
        <v>2282</v>
      </c>
      <c r="F883" s="1" t="s">
        <v>960</v>
      </c>
      <c r="G883" s="1" t="s">
        <v>3026</v>
      </c>
      <c r="H883" s="1" t="s">
        <v>930</v>
      </c>
      <c r="I883" s="1" t="s">
        <v>1754</v>
      </c>
      <c r="J883" s="1" t="s">
        <v>1405</v>
      </c>
      <c r="K883" s="1" t="s">
        <v>2648</v>
      </c>
      <c r="L883" s="1" t="s">
        <v>1538</v>
      </c>
      <c r="M883" s="1" t="s">
        <v>1132</v>
      </c>
      <c r="N883">
        <f>_xlfn.NUMBERVALUE(LEFT(Table11[[#This Row],[Score]],FIND("/",Table11[[#This Row],[Score]])-1))</f>
        <v>154</v>
      </c>
      <c r="O883">
        <f>IFERROR(_xlfn.NUMBERVALUE(LEFT(Table11[[#This Row],[Score2 ]],FIND("/",Table11[[#This Row],[Score2 ]])-1)),"")</f>
        <v>205</v>
      </c>
      <c r="P883" t="s">
        <v>170</v>
      </c>
      <c r="Q883" s="1" t="s">
        <v>158</v>
      </c>
      <c r="R883" t="str">
        <f>Table11[[#This Row],[Match]]&amp;" "&amp;Table11[[#This Row],[Over]]</f>
        <v>15 31</v>
      </c>
    </row>
    <row r="884" spans="1:18" x14ac:dyDescent="0.3">
      <c r="A884">
        <v>15</v>
      </c>
      <c r="B884" s="1">
        <v>32</v>
      </c>
      <c r="C884" s="1" t="s">
        <v>3027</v>
      </c>
      <c r="D884" s="1" t="s">
        <v>998</v>
      </c>
      <c r="E884" s="1" t="s">
        <v>1351</v>
      </c>
      <c r="F884" s="1" t="s">
        <v>1019</v>
      </c>
      <c r="G884" s="1" t="s">
        <v>3028</v>
      </c>
      <c r="H884" s="1" t="s">
        <v>930</v>
      </c>
      <c r="I884" s="1" t="s">
        <v>2492</v>
      </c>
      <c r="J884" s="1" t="s">
        <v>1168</v>
      </c>
      <c r="K884" s="1" t="s">
        <v>3029</v>
      </c>
      <c r="L884" s="1" t="s">
        <v>1083</v>
      </c>
      <c r="M884" s="1" t="s">
        <v>1138</v>
      </c>
      <c r="N884">
        <f>_xlfn.NUMBERVALUE(LEFT(Table11[[#This Row],[Score]],FIND("/",Table11[[#This Row],[Score]])-1))</f>
        <v>158</v>
      </c>
      <c r="O884">
        <f>IFERROR(_xlfn.NUMBERVALUE(LEFT(Table11[[#This Row],[Score2 ]],FIND("/",Table11[[#This Row],[Score2 ]])-1)),"")</f>
        <v>213</v>
      </c>
      <c r="P884" t="s">
        <v>170</v>
      </c>
      <c r="Q884" s="1" t="s">
        <v>158</v>
      </c>
      <c r="R884" t="str">
        <f>Table11[[#This Row],[Match]]&amp;" "&amp;Table11[[#This Row],[Over]]</f>
        <v>15 32</v>
      </c>
    </row>
    <row r="885" spans="1:18" x14ac:dyDescent="0.3">
      <c r="A885">
        <v>15</v>
      </c>
      <c r="B885" s="1">
        <v>33</v>
      </c>
      <c r="C885" s="1" t="s">
        <v>3027</v>
      </c>
      <c r="D885" s="1" t="s">
        <v>1007</v>
      </c>
      <c r="E885" s="1" t="s">
        <v>1180</v>
      </c>
      <c r="F885" s="1" t="s">
        <v>966</v>
      </c>
      <c r="G885" s="1" t="s">
        <v>3030</v>
      </c>
      <c r="H885" s="1" t="s">
        <v>1051</v>
      </c>
      <c r="I885" s="1" t="s">
        <v>1266</v>
      </c>
      <c r="J885" s="1" t="s">
        <v>1226</v>
      </c>
      <c r="K885" s="1" t="s">
        <v>3031</v>
      </c>
      <c r="L885" s="1" t="s">
        <v>1544</v>
      </c>
      <c r="M885" s="1" t="s">
        <v>1143</v>
      </c>
      <c r="N885">
        <f>_xlfn.NUMBERVALUE(LEFT(Table11[[#This Row],[Score]],FIND("/",Table11[[#This Row],[Score]])-1))</f>
        <v>158</v>
      </c>
      <c r="O885">
        <f>IFERROR(_xlfn.NUMBERVALUE(LEFT(Table11[[#This Row],[Score2 ]],FIND("/",Table11[[#This Row],[Score2 ]])-1)),"")</f>
        <v>224</v>
      </c>
      <c r="P885" t="s">
        <v>170</v>
      </c>
      <c r="Q885" s="1" t="s">
        <v>158</v>
      </c>
      <c r="R885" t="str">
        <f>Table11[[#This Row],[Match]]&amp;" "&amp;Table11[[#This Row],[Over]]</f>
        <v>15 33</v>
      </c>
    </row>
    <row r="886" spans="1:18" x14ac:dyDescent="0.3">
      <c r="A886">
        <v>15</v>
      </c>
      <c r="B886" s="1">
        <v>34</v>
      </c>
      <c r="C886" s="1" t="s">
        <v>2467</v>
      </c>
      <c r="D886" s="1" t="s">
        <v>998</v>
      </c>
      <c r="E886" s="1" t="s">
        <v>1187</v>
      </c>
      <c r="F886" s="1" t="s">
        <v>1247</v>
      </c>
      <c r="G886" s="1" t="s">
        <v>3032</v>
      </c>
      <c r="H886" s="1" t="s">
        <v>998</v>
      </c>
      <c r="I886" s="1" t="s">
        <v>2327</v>
      </c>
      <c r="J886" s="1" t="s">
        <v>1226</v>
      </c>
      <c r="K886" s="1" t="s">
        <v>3033</v>
      </c>
      <c r="L886" s="1" t="s">
        <v>1769</v>
      </c>
      <c r="M886" s="1" t="s">
        <v>1150</v>
      </c>
      <c r="N886">
        <f>_xlfn.NUMBERVALUE(LEFT(Table11[[#This Row],[Score]],FIND("/",Table11[[#This Row],[Score]])-1))</f>
        <v>162</v>
      </c>
      <c r="O886">
        <f>IFERROR(_xlfn.NUMBERVALUE(LEFT(Table11[[#This Row],[Score2 ]],FIND("/",Table11[[#This Row],[Score2 ]])-1)),"")</f>
        <v>228</v>
      </c>
      <c r="P886" t="s">
        <v>170</v>
      </c>
      <c r="Q886" s="1" t="s">
        <v>158</v>
      </c>
      <c r="R886" t="str">
        <f>Table11[[#This Row],[Match]]&amp;" "&amp;Table11[[#This Row],[Over]]</f>
        <v>15 34</v>
      </c>
    </row>
    <row r="887" spans="1:18" x14ac:dyDescent="0.3">
      <c r="A887">
        <v>15</v>
      </c>
      <c r="B887" s="1">
        <v>35</v>
      </c>
      <c r="C887" s="1" t="s">
        <v>3034</v>
      </c>
      <c r="D887" s="1" t="s">
        <v>904</v>
      </c>
      <c r="E887" s="1" t="s">
        <v>948</v>
      </c>
      <c r="F887" s="1" t="s">
        <v>1259</v>
      </c>
      <c r="G887" s="1" t="s">
        <v>2397</v>
      </c>
      <c r="H887" s="1" t="s">
        <v>947</v>
      </c>
      <c r="I887" s="1" t="s">
        <v>1484</v>
      </c>
      <c r="J887" s="1" t="s">
        <v>1089</v>
      </c>
      <c r="K887" s="1" t="s">
        <v>3035</v>
      </c>
      <c r="L887" s="1" t="s">
        <v>1108</v>
      </c>
      <c r="M887" s="1" t="s">
        <v>1156</v>
      </c>
      <c r="N887">
        <f>_xlfn.NUMBERVALUE(LEFT(Table11[[#This Row],[Score]],FIND("/",Table11[[#This Row],[Score]])-1))</f>
        <v>165</v>
      </c>
      <c r="O887">
        <f>IFERROR(_xlfn.NUMBERVALUE(LEFT(Table11[[#This Row],[Score2 ]],FIND("/",Table11[[#This Row],[Score2 ]])-1)),"")</f>
        <v>237</v>
      </c>
      <c r="P887" t="s">
        <v>170</v>
      </c>
      <c r="Q887" s="1" t="s">
        <v>158</v>
      </c>
      <c r="R887" t="str">
        <f>Table11[[#This Row],[Match]]&amp;" "&amp;Table11[[#This Row],[Over]]</f>
        <v>15 35</v>
      </c>
    </row>
    <row r="888" spans="1:18" x14ac:dyDescent="0.3">
      <c r="A888">
        <v>15</v>
      </c>
      <c r="B888" s="1">
        <v>36</v>
      </c>
      <c r="C888" s="1" t="s">
        <v>1790</v>
      </c>
      <c r="D888" s="1" t="s">
        <v>1095</v>
      </c>
      <c r="E888" s="1" t="s">
        <v>1312</v>
      </c>
      <c r="F888" s="1" t="s">
        <v>931</v>
      </c>
      <c r="G888" s="1" t="s">
        <v>2404</v>
      </c>
      <c r="H888" s="1" t="s">
        <v>904</v>
      </c>
      <c r="I888" s="1" t="s">
        <v>1260</v>
      </c>
      <c r="J888" s="1" t="s">
        <v>952</v>
      </c>
      <c r="K888" s="1" t="s">
        <v>3036</v>
      </c>
      <c r="L888" s="1" t="s">
        <v>2175</v>
      </c>
      <c r="M888" s="1" t="s">
        <v>1164</v>
      </c>
      <c r="N888">
        <f>_xlfn.NUMBERVALUE(LEFT(Table11[[#This Row],[Score]],FIND("/",Table11[[#This Row],[Score]])-1))</f>
        <v>175</v>
      </c>
      <c r="O888">
        <f>IFERROR(_xlfn.NUMBERVALUE(LEFT(Table11[[#This Row],[Score2 ]],FIND("/",Table11[[#This Row],[Score2 ]])-1)),"")</f>
        <v>240</v>
      </c>
      <c r="P888" t="s">
        <v>170</v>
      </c>
      <c r="Q888" s="1" t="s">
        <v>158</v>
      </c>
      <c r="R888" t="str">
        <f>Table11[[#This Row],[Match]]&amp;" "&amp;Table11[[#This Row],[Over]]</f>
        <v>15 36</v>
      </c>
    </row>
    <row r="889" spans="1:18" x14ac:dyDescent="0.3">
      <c r="A889">
        <v>15</v>
      </c>
      <c r="B889" s="1">
        <v>37</v>
      </c>
      <c r="C889" s="1" t="s">
        <v>3037</v>
      </c>
      <c r="D889" s="1" t="s">
        <v>898</v>
      </c>
      <c r="E889" s="1" t="s">
        <v>1180</v>
      </c>
      <c r="F889" s="1" t="s">
        <v>990</v>
      </c>
      <c r="G889" s="1" t="s">
        <v>3038</v>
      </c>
      <c r="H889" s="1" t="s">
        <v>998</v>
      </c>
      <c r="I889" s="1" t="s">
        <v>2319</v>
      </c>
      <c r="J889" s="1" t="s">
        <v>970</v>
      </c>
      <c r="K889" s="1" t="s">
        <v>2772</v>
      </c>
      <c r="L889" s="1" t="s">
        <v>2484</v>
      </c>
      <c r="M889" s="1" t="s">
        <v>1171</v>
      </c>
      <c r="N889">
        <f>_xlfn.NUMBERVALUE(LEFT(Table11[[#This Row],[Score]],FIND("/",Table11[[#This Row],[Score]])-1))</f>
        <v>177</v>
      </c>
      <c r="O889">
        <f>IFERROR(_xlfn.NUMBERVALUE(LEFT(Table11[[#This Row],[Score2 ]],FIND("/",Table11[[#This Row],[Score2 ]])-1)),"")</f>
        <v>244</v>
      </c>
      <c r="P889" t="s">
        <v>170</v>
      </c>
      <c r="Q889" s="1" t="s">
        <v>158</v>
      </c>
      <c r="R889" t="str">
        <f>Table11[[#This Row],[Match]]&amp;" "&amp;Table11[[#This Row],[Over]]</f>
        <v>15 37</v>
      </c>
    </row>
    <row r="890" spans="1:18" x14ac:dyDescent="0.3">
      <c r="A890">
        <v>15</v>
      </c>
      <c r="B890" s="1">
        <v>38</v>
      </c>
      <c r="C890" s="1" t="s">
        <v>2957</v>
      </c>
      <c r="D890" s="1" t="s">
        <v>1223</v>
      </c>
      <c r="E890" s="1" t="s">
        <v>2167</v>
      </c>
      <c r="F890" s="1" t="s">
        <v>1068</v>
      </c>
      <c r="G890" s="1" t="s">
        <v>2746</v>
      </c>
      <c r="H890" s="1" t="s">
        <v>1095</v>
      </c>
      <c r="I890" s="1" t="s">
        <v>1015</v>
      </c>
      <c r="J890" s="1" t="s">
        <v>1019</v>
      </c>
      <c r="K890" s="1" t="s">
        <v>3039</v>
      </c>
      <c r="L890" s="1" t="s">
        <v>2727</v>
      </c>
      <c r="M890" s="1" t="s">
        <v>1177</v>
      </c>
      <c r="N890">
        <f>_xlfn.NUMBERVALUE(LEFT(Table11[[#This Row],[Score]],FIND("/",Table11[[#This Row],[Score]])-1))</f>
        <v>195</v>
      </c>
      <c r="O890">
        <f>IFERROR(_xlfn.NUMBERVALUE(LEFT(Table11[[#This Row],[Score2 ]],FIND("/",Table11[[#This Row],[Score2 ]])-1)),"")</f>
        <v>254</v>
      </c>
      <c r="P890" t="s">
        <v>170</v>
      </c>
      <c r="Q890" s="1" t="s">
        <v>158</v>
      </c>
      <c r="R890" t="str">
        <f>Table11[[#This Row],[Match]]&amp;" "&amp;Table11[[#This Row],[Over]]</f>
        <v>15 38</v>
      </c>
    </row>
    <row r="891" spans="1:18" x14ac:dyDescent="0.3">
      <c r="A891">
        <v>15</v>
      </c>
      <c r="B891" s="1">
        <v>39</v>
      </c>
      <c r="C891" s="1" t="s">
        <v>3040</v>
      </c>
      <c r="D891" s="1" t="s">
        <v>930</v>
      </c>
      <c r="E891" s="1" t="s">
        <v>1029</v>
      </c>
      <c r="F891" s="1" t="s">
        <v>1405</v>
      </c>
      <c r="G891" s="1" t="s">
        <v>3041</v>
      </c>
      <c r="H891" s="1" t="s">
        <v>898</v>
      </c>
      <c r="I891" s="1" t="s">
        <v>1002</v>
      </c>
      <c r="J891" s="1" t="s">
        <v>934</v>
      </c>
      <c r="K891" s="1" t="s">
        <v>3042</v>
      </c>
      <c r="L891" s="1" t="s">
        <v>1176</v>
      </c>
      <c r="M891" s="1" t="s">
        <v>1183</v>
      </c>
      <c r="N891">
        <f>_xlfn.NUMBERVALUE(LEFT(Table11[[#This Row],[Score]],FIND("/",Table11[[#This Row],[Score]])-1))</f>
        <v>203</v>
      </c>
      <c r="O891">
        <f>IFERROR(_xlfn.NUMBERVALUE(LEFT(Table11[[#This Row],[Score2 ]],FIND("/",Table11[[#This Row],[Score2 ]])-1)),"")</f>
        <v>256</v>
      </c>
      <c r="P891" t="s">
        <v>170</v>
      </c>
      <c r="Q891" s="1" t="s">
        <v>158</v>
      </c>
      <c r="R891" t="str">
        <f>Table11[[#This Row],[Match]]&amp;" "&amp;Table11[[#This Row],[Over]]</f>
        <v>15 39</v>
      </c>
    </row>
    <row r="892" spans="1:18" x14ac:dyDescent="0.3">
      <c r="A892">
        <v>15</v>
      </c>
      <c r="B892" s="1">
        <v>40</v>
      </c>
      <c r="C892" s="1" t="s">
        <v>3043</v>
      </c>
      <c r="D892" s="1" t="s">
        <v>1566</v>
      </c>
      <c r="E892" s="1" t="s">
        <v>959</v>
      </c>
      <c r="F892" s="1" t="s">
        <v>1213</v>
      </c>
      <c r="G892" s="1" t="s">
        <v>2411</v>
      </c>
      <c r="H892" s="1" t="s">
        <v>922</v>
      </c>
      <c r="I892" s="1" t="s">
        <v>1256</v>
      </c>
      <c r="J892" s="1" t="s">
        <v>969</v>
      </c>
      <c r="K892" s="1" t="s">
        <v>1188</v>
      </c>
      <c r="L892" s="1" t="s">
        <v>1189</v>
      </c>
      <c r="M892" s="1" t="s">
        <v>1190</v>
      </c>
      <c r="N892">
        <f>_xlfn.NUMBERVALUE(LEFT(Table11[[#This Row],[Score]],FIND("/",Table11[[#This Row],[Score]])-1))</f>
        <v>220</v>
      </c>
      <c r="O892">
        <f>IFERROR(_xlfn.NUMBERVALUE(LEFT(Table11[[#This Row],[Score2 ]],FIND("/",Table11[[#This Row],[Score2 ]])-1)),"")</f>
        <v>262</v>
      </c>
      <c r="P892" t="s">
        <v>170</v>
      </c>
      <c r="Q892" s="1" t="s">
        <v>158</v>
      </c>
      <c r="R892" t="str">
        <f>Table11[[#This Row],[Match]]&amp;" "&amp;Table11[[#This Row],[Over]]</f>
        <v>15 40</v>
      </c>
    </row>
    <row r="893" spans="1:18" x14ac:dyDescent="0.3">
      <c r="A893">
        <v>15</v>
      </c>
      <c r="B893" s="1">
        <v>41</v>
      </c>
      <c r="C893" s="1" t="s">
        <v>3044</v>
      </c>
      <c r="D893" s="1" t="s">
        <v>1390</v>
      </c>
      <c r="E893" s="1" t="s">
        <v>1761</v>
      </c>
      <c r="F893" s="1" t="s">
        <v>1591</v>
      </c>
      <c r="G893" s="1" t="s">
        <v>3045</v>
      </c>
      <c r="H893" s="1" t="s">
        <v>998</v>
      </c>
      <c r="I893" s="1" t="s">
        <v>2468</v>
      </c>
      <c r="J893" s="1" t="s">
        <v>1029</v>
      </c>
      <c r="K893" s="1" t="s">
        <v>3046</v>
      </c>
      <c r="L893" s="1" t="s">
        <v>2752</v>
      </c>
      <c r="M893" s="1" t="s">
        <v>1197</v>
      </c>
      <c r="N893">
        <f>_xlfn.NUMBERVALUE(LEFT(Table11[[#This Row],[Score]],FIND("/",Table11[[#This Row],[Score]])-1))</f>
        <v>233</v>
      </c>
      <c r="O893">
        <f>IFERROR(_xlfn.NUMBERVALUE(LEFT(Table11[[#This Row],[Score2 ]],FIND("/",Table11[[#This Row],[Score2 ]])-1)),"")</f>
        <v>266</v>
      </c>
      <c r="P893" t="s">
        <v>170</v>
      </c>
      <c r="Q893" s="1" t="s">
        <v>158</v>
      </c>
      <c r="R893" t="str">
        <f>Table11[[#This Row],[Match]]&amp;" "&amp;Table11[[#This Row],[Over]]</f>
        <v>15 41</v>
      </c>
    </row>
    <row r="894" spans="1:18" x14ac:dyDescent="0.3">
      <c r="A894">
        <v>15</v>
      </c>
      <c r="B894" s="1">
        <v>42</v>
      </c>
      <c r="C894" s="1" t="s">
        <v>3047</v>
      </c>
      <c r="D894" s="1" t="s">
        <v>1223</v>
      </c>
      <c r="E894" s="1" t="s">
        <v>2442</v>
      </c>
      <c r="F894" s="1" t="s">
        <v>2523</v>
      </c>
      <c r="G894" s="1" t="s">
        <v>3048</v>
      </c>
      <c r="H894" s="1" t="s">
        <v>950</v>
      </c>
      <c r="I894" s="1" t="s">
        <v>2454</v>
      </c>
      <c r="J894" s="1" t="s">
        <v>966</v>
      </c>
      <c r="K894" s="1" t="s">
        <v>3049</v>
      </c>
      <c r="L894" s="1" t="s">
        <v>2489</v>
      </c>
      <c r="M894" s="1" t="s">
        <v>1205</v>
      </c>
      <c r="N894">
        <f>_xlfn.NUMBERVALUE(LEFT(Table11[[#This Row],[Score]],FIND("/",Table11[[#This Row],[Score]])-1))</f>
        <v>251</v>
      </c>
      <c r="O894">
        <f>IFERROR(_xlfn.NUMBERVALUE(LEFT(Table11[[#This Row],[Score2 ]],FIND("/",Table11[[#This Row],[Score2 ]])-1)),"")</f>
        <v>271</v>
      </c>
      <c r="P894" t="s">
        <v>170</v>
      </c>
      <c r="Q894" s="1" t="s">
        <v>158</v>
      </c>
      <c r="R894" t="str">
        <f>Table11[[#This Row],[Match]]&amp;" "&amp;Table11[[#This Row],[Over]]</f>
        <v>15 42</v>
      </c>
    </row>
    <row r="895" spans="1:18" x14ac:dyDescent="0.3">
      <c r="A895">
        <v>15</v>
      </c>
      <c r="B895" s="1">
        <v>43</v>
      </c>
      <c r="C895" s="1" t="s">
        <v>3050</v>
      </c>
      <c r="D895" s="1" t="s">
        <v>916</v>
      </c>
      <c r="E895" s="1" t="s">
        <v>1019</v>
      </c>
      <c r="F895" s="1" t="s">
        <v>2322</v>
      </c>
      <c r="G895" s="1" t="s">
        <v>3051</v>
      </c>
      <c r="H895" s="1" t="s">
        <v>950</v>
      </c>
      <c r="I895" s="1" t="s">
        <v>2231</v>
      </c>
      <c r="J895" s="1" t="s">
        <v>940</v>
      </c>
      <c r="K895" s="1" t="s">
        <v>2758</v>
      </c>
      <c r="L895" s="1" t="s">
        <v>2540</v>
      </c>
      <c r="M895" s="1" t="s">
        <v>1211</v>
      </c>
      <c r="N895">
        <f>_xlfn.NUMBERVALUE(LEFT(Table11[[#This Row],[Score]],FIND("/",Table11[[#This Row],[Score]])-1))</f>
        <v>258</v>
      </c>
      <c r="O895">
        <f>IFERROR(_xlfn.NUMBERVALUE(LEFT(Table11[[#This Row],[Score2 ]],FIND("/",Table11[[#This Row],[Score2 ]])-1)),"")</f>
        <v>276</v>
      </c>
      <c r="P895" t="s">
        <v>170</v>
      </c>
      <c r="Q895" s="1" t="s">
        <v>158</v>
      </c>
      <c r="R895" t="str">
        <f>Table11[[#This Row],[Match]]&amp;" "&amp;Table11[[#This Row],[Over]]</f>
        <v>15 43</v>
      </c>
    </row>
    <row r="896" spans="1:18" x14ac:dyDescent="0.3">
      <c r="A896">
        <v>15</v>
      </c>
      <c r="B896" s="1">
        <v>44</v>
      </c>
      <c r="C896" s="1" t="s">
        <v>3052</v>
      </c>
      <c r="D896" s="1" t="s">
        <v>1692</v>
      </c>
      <c r="E896" s="1" t="s">
        <v>2706</v>
      </c>
      <c r="F896" s="1" t="s">
        <v>3053</v>
      </c>
      <c r="G896" s="1" t="s">
        <v>3054</v>
      </c>
      <c r="H896" s="1" t="s">
        <v>947</v>
      </c>
      <c r="I896" s="1" t="s">
        <v>1985</v>
      </c>
      <c r="J896" s="1" t="s">
        <v>1013</v>
      </c>
      <c r="K896" s="1" t="s">
        <v>3055</v>
      </c>
      <c r="L896" s="1" t="s">
        <v>1156</v>
      </c>
      <c r="M896" s="1" t="s">
        <v>1216</v>
      </c>
      <c r="N896">
        <f>_xlfn.NUMBERVALUE(LEFT(Table11[[#This Row],[Score]],FIND("/",Table11[[#This Row],[Score]])-1))</f>
        <v>279</v>
      </c>
      <c r="O896">
        <f>IFERROR(_xlfn.NUMBERVALUE(LEFT(Table11[[#This Row],[Score2 ]],FIND("/",Table11[[#This Row],[Score2 ]])-1)),"")</f>
        <v>285</v>
      </c>
      <c r="P896" t="s">
        <v>170</v>
      </c>
      <c r="Q896" s="1" t="s">
        <v>158</v>
      </c>
      <c r="R896" t="str">
        <f>Table11[[#This Row],[Match]]&amp;" "&amp;Table11[[#This Row],[Over]]</f>
        <v>15 44</v>
      </c>
    </row>
    <row r="897" spans="1:18" x14ac:dyDescent="0.3">
      <c r="A897">
        <v>15</v>
      </c>
      <c r="B897" s="1">
        <v>45</v>
      </c>
      <c r="C897" s="1" t="s">
        <v>3056</v>
      </c>
      <c r="D897" s="1" t="s">
        <v>1692</v>
      </c>
      <c r="E897" s="1" t="s">
        <v>1260</v>
      </c>
      <c r="F897" s="1" t="s">
        <v>2757</v>
      </c>
      <c r="G897" s="1" t="s">
        <v>3057</v>
      </c>
      <c r="H897" s="1" t="s">
        <v>1688</v>
      </c>
      <c r="I897" s="1" t="s">
        <v>3058</v>
      </c>
      <c r="J897" s="1" t="s">
        <v>3059</v>
      </c>
      <c r="K897" s="1" t="s">
        <v>3060</v>
      </c>
      <c r="L897" s="1" t="s">
        <v>2547</v>
      </c>
      <c r="M897" s="1" t="s">
        <v>1692</v>
      </c>
      <c r="N897">
        <f>_xlfn.NUMBERVALUE(LEFT(Table11[[#This Row],[Score]],FIND("/",Table11[[#This Row],[Score]])-1))</f>
        <v>300</v>
      </c>
      <c r="O897">
        <f>IFERROR(_xlfn.NUMBERVALUE(LEFT(Table11[[#This Row],[Score2 ]],FIND("/",Table11[[#This Row],[Score2 ]])-1)),"")</f>
        <v>289</v>
      </c>
      <c r="P897" t="s">
        <v>170</v>
      </c>
      <c r="Q897" s="1" t="s">
        <v>158</v>
      </c>
      <c r="R897" t="str">
        <f>Table11[[#This Row],[Match]]&amp;" "&amp;Table11[[#This Row],[Over]]</f>
        <v>15 45</v>
      </c>
    </row>
    <row r="898" spans="1:18" x14ac:dyDescent="0.3">
      <c r="A898">
        <v>15</v>
      </c>
      <c r="B898" s="1">
        <v>46</v>
      </c>
      <c r="C898" s="1" t="s">
        <v>3061</v>
      </c>
      <c r="D898" s="1" t="s">
        <v>1566</v>
      </c>
      <c r="E898" s="1" t="s">
        <v>2088</v>
      </c>
      <c r="F898" s="1" t="s">
        <v>3062</v>
      </c>
      <c r="N898">
        <f>_xlfn.NUMBERVALUE(LEFT(Table11[[#This Row],[Score]],FIND("/",Table11[[#This Row],[Score]])-1))</f>
        <v>317</v>
      </c>
      <c r="O898" t="str">
        <f>IFERROR(_xlfn.NUMBERVALUE(LEFT(Table11[[#This Row],[Score2 ]],FIND("/",Table11[[#This Row],[Score2 ]])-1)),"")</f>
        <v/>
      </c>
      <c r="P898" t="s">
        <v>170</v>
      </c>
      <c r="Q898" s="1" t="s">
        <v>158</v>
      </c>
      <c r="R898" t="str">
        <f>Table11[[#This Row],[Match]]&amp;" "&amp;Table11[[#This Row],[Over]]</f>
        <v>15 46</v>
      </c>
    </row>
    <row r="899" spans="1:18" x14ac:dyDescent="0.3">
      <c r="A899">
        <v>15</v>
      </c>
      <c r="B899" s="1">
        <v>47</v>
      </c>
      <c r="C899" s="1" t="s">
        <v>3063</v>
      </c>
      <c r="D899" s="1" t="s">
        <v>930</v>
      </c>
      <c r="E899" s="1" t="s">
        <v>1825</v>
      </c>
      <c r="F899" s="1" t="s">
        <v>2523</v>
      </c>
      <c r="N899">
        <f>_xlfn.NUMBERVALUE(LEFT(Table11[[#This Row],[Score]],FIND("/",Table11[[#This Row],[Score]])-1))</f>
        <v>325</v>
      </c>
      <c r="O899" t="str">
        <f>IFERROR(_xlfn.NUMBERVALUE(LEFT(Table11[[#This Row],[Score2 ]],FIND("/",Table11[[#This Row],[Score2 ]])-1)),"")</f>
        <v/>
      </c>
      <c r="P899" t="s">
        <v>170</v>
      </c>
      <c r="Q899" s="1" t="s">
        <v>158</v>
      </c>
      <c r="R899" t="str">
        <f>Table11[[#This Row],[Match]]&amp;" "&amp;Table11[[#This Row],[Over]]</f>
        <v>15 47</v>
      </c>
    </row>
    <row r="900" spans="1:18" x14ac:dyDescent="0.3">
      <c r="A900">
        <v>15</v>
      </c>
      <c r="B900" s="1">
        <v>48</v>
      </c>
      <c r="C900" s="1" t="s">
        <v>3064</v>
      </c>
      <c r="D900" s="1" t="s">
        <v>947</v>
      </c>
      <c r="E900" s="1" t="s">
        <v>2505</v>
      </c>
      <c r="F900" s="1" t="s">
        <v>3053</v>
      </c>
      <c r="N900">
        <f>_xlfn.NUMBERVALUE(LEFT(Table11[[#This Row],[Score]],FIND("/",Table11[[#This Row],[Score]])-1))</f>
        <v>334</v>
      </c>
      <c r="O900" t="str">
        <f>IFERROR(_xlfn.NUMBERVALUE(LEFT(Table11[[#This Row],[Score2 ]],FIND("/",Table11[[#This Row],[Score2 ]])-1)),"")</f>
        <v/>
      </c>
      <c r="P900" t="s">
        <v>170</v>
      </c>
      <c r="Q900" s="1" t="s">
        <v>158</v>
      </c>
      <c r="R900" t="str">
        <f>Table11[[#This Row],[Match]]&amp;" "&amp;Table11[[#This Row],[Over]]</f>
        <v>15 48</v>
      </c>
    </row>
    <row r="901" spans="1:18" x14ac:dyDescent="0.3">
      <c r="A901">
        <v>15</v>
      </c>
      <c r="B901" s="1">
        <v>49</v>
      </c>
      <c r="C901" s="1" t="s">
        <v>3065</v>
      </c>
      <c r="D901" s="1" t="s">
        <v>1695</v>
      </c>
      <c r="E901" s="1" t="s">
        <v>2726</v>
      </c>
      <c r="F901" s="1" t="s">
        <v>3066</v>
      </c>
      <c r="N901">
        <f>_xlfn.NUMBERVALUE(LEFT(Table11[[#This Row],[Score]],FIND("/",Table11[[#This Row],[Score]])-1))</f>
        <v>356</v>
      </c>
      <c r="O901" t="str">
        <f>IFERROR(_xlfn.NUMBERVALUE(LEFT(Table11[[#This Row],[Score2 ]],FIND("/",Table11[[#This Row],[Score2 ]])-1)),"")</f>
        <v/>
      </c>
      <c r="P901" t="s">
        <v>170</v>
      </c>
      <c r="Q901" s="1" t="s">
        <v>158</v>
      </c>
      <c r="R901" t="str">
        <f>Table11[[#This Row],[Match]]&amp;" "&amp;Table11[[#This Row],[Over]]</f>
        <v>15 49</v>
      </c>
    </row>
    <row r="902" spans="1:18" x14ac:dyDescent="0.3">
      <c r="A902">
        <v>15</v>
      </c>
      <c r="B902" s="1">
        <v>50</v>
      </c>
      <c r="C902" s="1" t="s">
        <v>3067</v>
      </c>
      <c r="D902" s="1" t="s">
        <v>1511</v>
      </c>
      <c r="E902" s="1" t="s">
        <v>2232</v>
      </c>
      <c r="F902" s="1" t="s">
        <v>2764</v>
      </c>
      <c r="N902">
        <f>_xlfn.NUMBERVALUE(LEFT(Table11[[#This Row],[Score]],FIND("/",Table11[[#This Row],[Score]])-1))</f>
        <v>372</v>
      </c>
      <c r="O902" t="str">
        <f>IFERROR(_xlfn.NUMBERVALUE(LEFT(Table11[[#This Row],[Score2 ]],FIND("/",Table11[[#This Row],[Score2 ]])-1)),"")</f>
        <v/>
      </c>
      <c r="P902" t="s">
        <v>170</v>
      </c>
      <c r="Q902" s="1" t="s">
        <v>158</v>
      </c>
      <c r="R902" t="str">
        <f>Table11[[#This Row],[Match]]&amp;" "&amp;Table11[[#This Row],[Over]]</f>
        <v>15 50</v>
      </c>
    </row>
    <row r="903" spans="1:18" x14ac:dyDescent="0.3">
      <c r="A903">
        <v>43</v>
      </c>
      <c r="B903" s="1">
        <v>1</v>
      </c>
      <c r="C903" s="1" t="s">
        <v>1418</v>
      </c>
      <c r="D903" s="1" t="s">
        <v>904</v>
      </c>
      <c r="E903" s="1" t="s">
        <v>1238</v>
      </c>
      <c r="F903" s="1" t="s">
        <v>348</v>
      </c>
      <c r="G903" s="1" t="s">
        <v>906</v>
      </c>
      <c r="H903" s="1" t="s">
        <v>998</v>
      </c>
      <c r="I903" s="1" t="s">
        <v>939</v>
      </c>
      <c r="J903" s="1" t="s">
        <v>348</v>
      </c>
      <c r="K903" s="1" t="s">
        <v>1913</v>
      </c>
      <c r="L903" s="1" t="s">
        <v>1550</v>
      </c>
      <c r="M903" s="1" t="s">
        <v>902</v>
      </c>
      <c r="N903">
        <f>_xlfn.NUMBERVALUE(LEFT(Table11[[#This Row],[Score]],FIND("/",Table11[[#This Row],[Score]])-1))</f>
        <v>3</v>
      </c>
      <c r="O903">
        <f>IFERROR(_xlfn.NUMBERVALUE(LEFT(Table11[[#This Row],[Score2 ]],FIND("/",Table11[[#This Row],[Score2 ]])-1)),"")</f>
        <v>4</v>
      </c>
      <c r="P903" t="s">
        <v>145</v>
      </c>
      <c r="Q903" s="1" t="s">
        <v>141</v>
      </c>
      <c r="R903" t="str">
        <f>Table11[[#This Row],[Match]]&amp;" "&amp;Table11[[#This Row],[Over]]</f>
        <v>43 1</v>
      </c>
    </row>
    <row r="904" spans="1:18" x14ac:dyDescent="0.3">
      <c r="A904">
        <v>43</v>
      </c>
      <c r="B904" s="1">
        <v>2</v>
      </c>
      <c r="C904" s="1" t="s">
        <v>2986</v>
      </c>
      <c r="D904" s="1" t="s">
        <v>1007</v>
      </c>
      <c r="E904" s="1" t="s">
        <v>1822</v>
      </c>
      <c r="F904" s="1" t="s">
        <v>348</v>
      </c>
      <c r="G904" s="1" t="s">
        <v>1232</v>
      </c>
      <c r="H904" s="1" t="s">
        <v>898</v>
      </c>
      <c r="I904" s="1" t="s">
        <v>1238</v>
      </c>
      <c r="J904" s="1" t="s">
        <v>348</v>
      </c>
      <c r="K904" s="1" t="s">
        <v>1642</v>
      </c>
      <c r="L904" s="1" t="s">
        <v>2478</v>
      </c>
      <c r="M904" s="1" t="s">
        <v>909</v>
      </c>
      <c r="N904">
        <f>_xlfn.NUMBERVALUE(LEFT(Table11[[#This Row],[Score]],FIND("/",Table11[[#This Row],[Score]])-1))</f>
        <v>3</v>
      </c>
      <c r="O904">
        <f>IFERROR(_xlfn.NUMBERVALUE(LEFT(Table11[[#This Row],[Score2 ]],FIND("/",Table11[[#This Row],[Score2 ]])-1)),"")</f>
        <v>6</v>
      </c>
      <c r="P904" t="s">
        <v>145</v>
      </c>
      <c r="Q904" s="1" t="s">
        <v>141</v>
      </c>
      <c r="R904" t="str">
        <f>Table11[[#This Row],[Match]]&amp;" "&amp;Table11[[#This Row],[Over]]</f>
        <v>43 2</v>
      </c>
    </row>
    <row r="905" spans="1:18" x14ac:dyDescent="0.3">
      <c r="A905">
        <v>43</v>
      </c>
      <c r="B905" s="1">
        <v>3</v>
      </c>
      <c r="C905" s="1" t="s">
        <v>2986</v>
      </c>
      <c r="D905" s="1" t="s">
        <v>1007</v>
      </c>
      <c r="E905" s="1" t="s">
        <v>1662</v>
      </c>
      <c r="F905" s="1" t="s">
        <v>348</v>
      </c>
      <c r="G905" s="1" t="s">
        <v>915</v>
      </c>
      <c r="H905" s="1" t="s">
        <v>950</v>
      </c>
      <c r="I905" s="1" t="s">
        <v>917</v>
      </c>
      <c r="J905" s="1" t="s">
        <v>348</v>
      </c>
      <c r="K905" s="1" t="s">
        <v>2809</v>
      </c>
      <c r="L905" s="1" t="s">
        <v>2175</v>
      </c>
      <c r="M905" s="1" t="s">
        <v>920</v>
      </c>
      <c r="N905">
        <f>_xlfn.NUMBERVALUE(LEFT(Table11[[#This Row],[Score]],FIND("/",Table11[[#This Row],[Score]])-1))</f>
        <v>3</v>
      </c>
      <c r="O905">
        <f>IFERROR(_xlfn.NUMBERVALUE(LEFT(Table11[[#This Row],[Score2 ]],FIND("/",Table11[[#This Row],[Score2 ]])-1)),"")</f>
        <v>11</v>
      </c>
      <c r="P905" t="s">
        <v>145</v>
      </c>
      <c r="Q905" s="1" t="s">
        <v>141</v>
      </c>
      <c r="R905" t="str">
        <f>Table11[[#This Row],[Match]]&amp;" "&amp;Table11[[#This Row],[Over]]</f>
        <v>43 3</v>
      </c>
    </row>
    <row r="906" spans="1:18" x14ac:dyDescent="0.3">
      <c r="A906">
        <v>43</v>
      </c>
      <c r="B906" s="1">
        <v>4</v>
      </c>
      <c r="C906" s="1" t="s">
        <v>3068</v>
      </c>
      <c r="D906" s="1" t="s">
        <v>968</v>
      </c>
      <c r="E906" s="1" t="s">
        <v>1662</v>
      </c>
      <c r="F906" s="1" t="s">
        <v>348</v>
      </c>
      <c r="G906" s="1" t="s">
        <v>938</v>
      </c>
      <c r="H906" s="1" t="s">
        <v>1390</v>
      </c>
      <c r="I906" s="1" t="s">
        <v>1019</v>
      </c>
      <c r="J906" s="1" t="s">
        <v>348</v>
      </c>
      <c r="K906" s="1" t="s">
        <v>3069</v>
      </c>
      <c r="L906" s="1" t="s">
        <v>2077</v>
      </c>
      <c r="M906" s="1" t="s">
        <v>928</v>
      </c>
      <c r="N906">
        <f>_xlfn.NUMBERVALUE(LEFT(Table11[[#This Row],[Score]],FIND("/",Table11[[#This Row],[Score]])-1))</f>
        <v>4</v>
      </c>
      <c r="O906">
        <f>IFERROR(_xlfn.NUMBERVALUE(LEFT(Table11[[#This Row],[Score2 ]],FIND("/",Table11[[#This Row],[Score2 ]])-1)),"")</f>
        <v>24</v>
      </c>
      <c r="P906" t="s">
        <v>145</v>
      </c>
      <c r="Q906" s="1" t="s">
        <v>141</v>
      </c>
      <c r="R906" t="str">
        <f>Table11[[#This Row],[Match]]&amp;" "&amp;Table11[[#This Row],[Over]]</f>
        <v>43 4</v>
      </c>
    </row>
    <row r="907" spans="1:18" x14ac:dyDescent="0.3">
      <c r="A907">
        <v>43</v>
      </c>
      <c r="B907" s="1">
        <v>5</v>
      </c>
      <c r="C907" s="1" t="s">
        <v>2869</v>
      </c>
      <c r="D907" s="1" t="s">
        <v>898</v>
      </c>
      <c r="E907" s="1" t="s">
        <v>1439</v>
      </c>
      <c r="F907" s="1" t="s">
        <v>1439</v>
      </c>
      <c r="G907" s="1" t="s">
        <v>2330</v>
      </c>
      <c r="H907" s="1" t="s">
        <v>930</v>
      </c>
      <c r="I907" s="1" t="s">
        <v>943</v>
      </c>
      <c r="J907" s="1" t="s">
        <v>943</v>
      </c>
      <c r="K907" s="1" t="s">
        <v>3070</v>
      </c>
      <c r="L907" s="1" t="s">
        <v>1132</v>
      </c>
      <c r="M907" s="1" t="s">
        <v>937</v>
      </c>
      <c r="N907">
        <f>_xlfn.NUMBERVALUE(LEFT(Table11[[#This Row],[Score]],FIND("/",Table11[[#This Row],[Score]])-1))</f>
        <v>6</v>
      </c>
      <c r="O907">
        <f>IFERROR(_xlfn.NUMBERVALUE(LEFT(Table11[[#This Row],[Score2 ]],FIND("/",Table11[[#This Row],[Score2 ]])-1)),"")</f>
        <v>32</v>
      </c>
      <c r="P907" t="s">
        <v>145</v>
      </c>
      <c r="Q907" s="1" t="s">
        <v>141</v>
      </c>
      <c r="R907" t="str">
        <f>Table11[[#This Row],[Match]]&amp;" "&amp;Table11[[#This Row],[Over]]</f>
        <v>43 5</v>
      </c>
    </row>
    <row r="908" spans="1:18" x14ac:dyDescent="0.3">
      <c r="A908">
        <v>43</v>
      </c>
      <c r="B908" s="1">
        <v>6</v>
      </c>
      <c r="C908" s="1" t="s">
        <v>1634</v>
      </c>
      <c r="D908" s="1" t="s">
        <v>1095</v>
      </c>
      <c r="E908" s="1" t="s">
        <v>1642</v>
      </c>
      <c r="F908" s="1" t="s">
        <v>984</v>
      </c>
      <c r="G908" s="1" t="s">
        <v>2101</v>
      </c>
      <c r="H908" s="1" t="s">
        <v>950</v>
      </c>
      <c r="I908" s="1" t="s">
        <v>1233</v>
      </c>
      <c r="J908" s="1" t="s">
        <v>960</v>
      </c>
      <c r="K908" s="1" t="s">
        <v>1383</v>
      </c>
      <c r="L908" s="1" t="s">
        <v>2752</v>
      </c>
      <c r="M908" s="1" t="s">
        <v>945</v>
      </c>
      <c r="N908">
        <f>_xlfn.NUMBERVALUE(LEFT(Table11[[#This Row],[Score]],FIND("/",Table11[[#This Row],[Score]])-1))</f>
        <v>16</v>
      </c>
      <c r="O908">
        <f>IFERROR(_xlfn.NUMBERVALUE(LEFT(Table11[[#This Row],[Score2 ]],FIND("/",Table11[[#This Row],[Score2 ]])-1)),"")</f>
        <v>37</v>
      </c>
      <c r="P908" t="s">
        <v>145</v>
      </c>
      <c r="Q908" s="1" t="s">
        <v>141</v>
      </c>
      <c r="R908" t="str">
        <f>Table11[[#This Row],[Match]]&amp;" "&amp;Table11[[#This Row],[Over]]</f>
        <v>43 6</v>
      </c>
    </row>
    <row r="909" spans="1:18" x14ac:dyDescent="0.3">
      <c r="A909">
        <v>43</v>
      </c>
      <c r="B909" s="1">
        <v>7</v>
      </c>
      <c r="C909" s="1" t="s">
        <v>1434</v>
      </c>
      <c r="D909" s="1" t="s">
        <v>898</v>
      </c>
      <c r="E909" s="1" t="s">
        <v>1664</v>
      </c>
      <c r="F909" s="1" t="s">
        <v>1238</v>
      </c>
      <c r="G909" s="1" t="s">
        <v>958</v>
      </c>
      <c r="H909" s="1" t="s">
        <v>916</v>
      </c>
      <c r="I909" s="1" t="s">
        <v>2440</v>
      </c>
      <c r="J909" s="1" t="s">
        <v>1508</v>
      </c>
      <c r="K909" s="1" t="s">
        <v>3071</v>
      </c>
      <c r="L909" s="1" t="s">
        <v>1143</v>
      </c>
      <c r="M909" s="1" t="s">
        <v>955</v>
      </c>
      <c r="N909">
        <f>_xlfn.NUMBERVALUE(LEFT(Table11[[#This Row],[Score]],FIND("/",Table11[[#This Row],[Score]])-1))</f>
        <v>18</v>
      </c>
      <c r="O909">
        <f>IFERROR(_xlfn.NUMBERVALUE(LEFT(Table11[[#This Row],[Score2 ]],FIND("/",Table11[[#This Row],[Score2 ]])-1)),"")</f>
        <v>44</v>
      </c>
      <c r="P909" t="s">
        <v>145</v>
      </c>
      <c r="Q909" s="1" t="s">
        <v>141</v>
      </c>
      <c r="R909" t="str">
        <f>Table11[[#This Row],[Match]]&amp;" "&amp;Table11[[#This Row],[Over]]</f>
        <v>43 7</v>
      </c>
    </row>
    <row r="910" spans="1:18" x14ac:dyDescent="0.3">
      <c r="A910">
        <v>43</v>
      </c>
      <c r="B910" s="1">
        <v>8</v>
      </c>
      <c r="C910" s="1" t="s">
        <v>1434</v>
      </c>
      <c r="D910" s="1" t="s">
        <v>1007</v>
      </c>
      <c r="E910" s="1" t="s">
        <v>1242</v>
      </c>
      <c r="F910" s="1" t="s">
        <v>1238</v>
      </c>
      <c r="G910" s="1" t="s">
        <v>967</v>
      </c>
      <c r="H910" s="1" t="s">
        <v>968</v>
      </c>
      <c r="I910" s="1" t="s">
        <v>2268</v>
      </c>
      <c r="J910" s="1" t="s">
        <v>1053</v>
      </c>
      <c r="K910" s="1" t="s">
        <v>1438</v>
      </c>
      <c r="L910" s="1" t="s">
        <v>3072</v>
      </c>
      <c r="M910" s="1" t="s">
        <v>963</v>
      </c>
      <c r="N910">
        <f>_xlfn.NUMBERVALUE(LEFT(Table11[[#This Row],[Score]],FIND("/",Table11[[#This Row],[Score]])-1))</f>
        <v>18</v>
      </c>
      <c r="O910">
        <f>IFERROR(_xlfn.NUMBERVALUE(LEFT(Table11[[#This Row],[Score2 ]],FIND("/",Table11[[#This Row],[Score2 ]])-1)),"")</f>
        <v>45</v>
      </c>
      <c r="P910" t="s">
        <v>145</v>
      </c>
      <c r="Q910" s="1" t="s">
        <v>141</v>
      </c>
      <c r="R910" t="str">
        <f>Table11[[#This Row],[Match]]&amp;" "&amp;Table11[[#This Row],[Over]]</f>
        <v>43 8</v>
      </c>
    </row>
    <row r="911" spans="1:18" x14ac:dyDescent="0.3">
      <c r="A911">
        <v>43</v>
      </c>
      <c r="B911" s="1">
        <v>9</v>
      </c>
      <c r="C911" s="1" t="s">
        <v>1441</v>
      </c>
      <c r="D911" s="1" t="s">
        <v>947</v>
      </c>
      <c r="E911" s="1" t="s">
        <v>1238</v>
      </c>
      <c r="F911" s="1" t="s">
        <v>976</v>
      </c>
      <c r="G911" s="1" t="s">
        <v>991</v>
      </c>
      <c r="H911" s="1" t="s">
        <v>930</v>
      </c>
      <c r="I911" s="1" t="s">
        <v>1199</v>
      </c>
      <c r="J911" s="1" t="s">
        <v>1013</v>
      </c>
      <c r="K911" s="1" t="s">
        <v>1627</v>
      </c>
      <c r="L911" s="1" t="s">
        <v>1210</v>
      </c>
      <c r="M911" s="1" t="s">
        <v>973</v>
      </c>
      <c r="N911">
        <f>_xlfn.NUMBERVALUE(LEFT(Table11[[#This Row],[Score]],FIND("/",Table11[[#This Row],[Score]])-1))</f>
        <v>27</v>
      </c>
      <c r="O911">
        <f>IFERROR(_xlfn.NUMBERVALUE(LEFT(Table11[[#This Row],[Score2 ]],FIND("/",Table11[[#This Row],[Score2 ]])-1)),"")</f>
        <v>53</v>
      </c>
      <c r="P911" t="s">
        <v>145</v>
      </c>
      <c r="Q911" s="1" t="s">
        <v>141</v>
      </c>
      <c r="R911" t="str">
        <f>Table11[[#This Row],[Match]]&amp;" "&amp;Table11[[#This Row],[Over]]</f>
        <v>43 9</v>
      </c>
    </row>
    <row r="912" spans="1:18" x14ac:dyDescent="0.3">
      <c r="A912">
        <v>43</v>
      </c>
      <c r="B912" s="1">
        <v>10</v>
      </c>
      <c r="C912" s="1" t="s">
        <v>1443</v>
      </c>
      <c r="D912" s="1" t="s">
        <v>930</v>
      </c>
      <c r="E912" s="1" t="s">
        <v>925</v>
      </c>
      <c r="F912" s="1" t="s">
        <v>1013</v>
      </c>
      <c r="G912" s="1" t="s">
        <v>1287</v>
      </c>
      <c r="H912" s="1" t="s">
        <v>930</v>
      </c>
      <c r="I912" s="1" t="s">
        <v>900</v>
      </c>
      <c r="J912" s="1" t="s">
        <v>1013</v>
      </c>
      <c r="K912" s="1" t="s">
        <v>3073</v>
      </c>
      <c r="L912" s="1" t="s">
        <v>1638</v>
      </c>
      <c r="M912" s="1" t="s">
        <v>980</v>
      </c>
      <c r="N912">
        <f>_xlfn.NUMBERVALUE(LEFT(Table11[[#This Row],[Score]],FIND("/",Table11[[#This Row],[Score]])-1))</f>
        <v>35</v>
      </c>
      <c r="O912">
        <f>IFERROR(_xlfn.NUMBERVALUE(LEFT(Table11[[#This Row],[Score2 ]],FIND("/",Table11[[#This Row],[Score2 ]])-1)),"")</f>
        <v>61</v>
      </c>
      <c r="P912" t="s">
        <v>145</v>
      </c>
      <c r="Q912" s="1" t="s">
        <v>141</v>
      </c>
      <c r="R912" t="str">
        <f>Table11[[#This Row],[Match]]&amp;" "&amp;Table11[[#This Row],[Over]]</f>
        <v>43 10</v>
      </c>
    </row>
    <row r="913" spans="1:18" x14ac:dyDescent="0.3">
      <c r="A913">
        <v>43</v>
      </c>
      <c r="B913" s="1">
        <v>11</v>
      </c>
      <c r="C913" s="1" t="s">
        <v>1981</v>
      </c>
      <c r="D913" s="1" t="s">
        <v>904</v>
      </c>
      <c r="E913" s="1" t="s">
        <v>2609</v>
      </c>
      <c r="F913" s="1" t="s">
        <v>940</v>
      </c>
      <c r="G913" s="1" t="s">
        <v>1301</v>
      </c>
      <c r="H913" s="1" t="s">
        <v>1511</v>
      </c>
      <c r="I913" s="1" t="s">
        <v>952</v>
      </c>
      <c r="J913" s="1" t="s">
        <v>1089</v>
      </c>
      <c r="K913" s="1" t="s">
        <v>3074</v>
      </c>
      <c r="L913" s="1" t="s">
        <v>1645</v>
      </c>
      <c r="M913" s="1" t="s">
        <v>987</v>
      </c>
      <c r="N913">
        <f>_xlfn.NUMBERVALUE(LEFT(Table11[[#This Row],[Score]],FIND("/",Table11[[#This Row],[Score]])-1))</f>
        <v>38</v>
      </c>
      <c r="O913">
        <f>IFERROR(_xlfn.NUMBERVALUE(LEFT(Table11[[#This Row],[Score2 ]],FIND("/",Table11[[#This Row],[Score2 ]])-1)),"")</f>
        <v>77</v>
      </c>
      <c r="P913" t="s">
        <v>145</v>
      </c>
      <c r="Q913" s="1" t="s">
        <v>141</v>
      </c>
      <c r="R913" t="str">
        <f>Table11[[#This Row],[Match]]&amp;" "&amp;Table11[[#This Row],[Over]]</f>
        <v>43 11</v>
      </c>
    </row>
    <row r="914" spans="1:18" x14ac:dyDescent="0.3">
      <c r="A914">
        <v>43</v>
      </c>
      <c r="B914" s="1">
        <v>12</v>
      </c>
      <c r="C914" s="1" t="s">
        <v>2766</v>
      </c>
      <c r="D914" s="1" t="s">
        <v>998</v>
      </c>
      <c r="E914" s="1" t="s">
        <v>925</v>
      </c>
      <c r="F914" s="1" t="s">
        <v>1093</v>
      </c>
      <c r="G914" s="1" t="s">
        <v>1027</v>
      </c>
      <c r="H914" s="1" t="s">
        <v>898</v>
      </c>
      <c r="I914" s="1" t="s">
        <v>1988</v>
      </c>
      <c r="J914" s="1" t="s">
        <v>952</v>
      </c>
      <c r="K914" s="1" t="s">
        <v>3075</v>
      </c>
      <c r="L914" s="1" t="s">
        <v>1916</v>
      </c>
      <c r="M914" s="1" t="s">
        <v>996</v>
      </c>
      <c r="N914">
        <f>_xlfn.NUMBERVALUE(LEFT(Table11[[#This Row],[Score]],FIND("/",Table11[[#This Row],[Score]])-1))</f>
        <v>42</v>
      </c>
      <c r="O914">
        <f>IFERROR(_xlfn.NUMBERVALUE(LEFT(Table11[[#This Row],[Score2 ]],FIND("/",Table11[[#This Row],[Score2 ]])-1)),"")</f>
        <v>79</v>
      </c>
      <c r="P914" t="s">
        <v>145</v>
      </c>
      <c r="Q914" s="1" t="s">
        <v>141</v>
      </c>
      <c r="R914" t="str">
        <f>Table11[[#This Row],[Match]]&amp;" "&amp;Table11[[#This Row],[Over]]</f>
        <v>43 12</v>
      </c>
    </row>
    <row r="915" spans="1:18" x14ac:dyDescent="0.3">
      <c r="A915">
        <v>43</v>
      </c>
      <c r="B915" s="1">
        <v>13</v>
      </c>
      <c r="C915" s="1" t="s">
        <v>1987</v>
      </c>
      <c r="D915" s="1" t="s">
        <v>998</v>
      </c>
      <c r="E915" s="1" t="s">
        <v>2482</v>
      </c>
      <c r="F915" s="1" t="s">
        <v>934</v>
      </c>
      <c r="G915" s="1" t="s">
        <v>3011</v>
      </c>
      <c r="H915" s="1" t="s">
        <v>1566</v>
      </c>
      <c r="I915" s="1" t="s">
        <v>2127</v>
      </c>
      <c r="J915" s="1" t="s">
        <v>1746</v>
      </c>
      <c r="K915" s="1" t="s">
        <v>3076</v>
      </c>
      <c r="L915" s="1" t="s">
        <v>3077</v>
      </c>
      <c r="M915" s="1" t="s">
        <v>1004</v>
      </c>
      <c r="N915">
        <f>_xlfn.NUMBERVALUE(LEFT(Table11[[#This Row],[Score]],FIND("/",Table11[[#This Row],[Score]])-1))</f>
        <v>46</v>
      </c>
      <c r="O915">
        <f>IFERROR(_xlfn.NUMBERVALUE(LEFT(Table11[[#This Row],[Score2 ]],FIND("/",Table11[[#This Row],[Score2 ]])-1)),"")</f>
        <v>96</v>
      </c>
      <c r="P915" t="s">
        <v>145</v>
      </c>
      <c r="Q915" s="1" t="s">
        <v>141</v>
      </c>
      <c r="R915" t="str">
        <f>Table11[[#This Row],[Match]]&amp;" "&amp;Table11[[#This Row],[Over]]</f>
        <v>43 13</v>
      </c>
    </row>
    <row r="916" spans="1:18" x14ac:dyDescent="0.3">
      <c r="A916">
        <v>43</v>
      </c>
      <c r="B916" s="1">
        <v>14</v>
      </c>
      <c r="C916" s="1" t="s">
        <v>1277</v>
      </c>
      <c r="D916" s="1" t="s">
        <v>968</v>
      </c>
      <c r="E916" s="1" t="s">
        <v>2615</v>
      </c>
      <c r="F916" s="1" t="s">
        <v>939</v>
      </c>
      <c r="G916" s="1" t="s">
        <v>1681</v>
      </c>
      <c r="H916" s="1" t="s">
        <v>998</v>
      </c>
      <c r="I916" s="1" t="s">
        <v>2221</v>
      </c>
      <c r="J916" s="1" t="s">
        <v>1226</v>
      </c>
      <c r="K916" s="1" t="s">
        <v>3078</v>
      </c>
      <c r="L916" s="1" t="s">
        <v>2569</v>
      </c>
      <c r="M916" s="1" t="s">
        <v>1010</v>
      </c>
      <c r="N916">
        <f>_xlfn.NUMBERVALUE(LEFT(Table11[[#This Row],[Score]],FIND("/",Table11[[#This Row],[Score]])-1))</f>
        <v>47</v>
      </c>
      <c r="O916">
        <f>IFERROR(_xlfn.NUMBERVALUE(LEFT(Table11[[#This Row],[Score2 ]],FIND("/",Table11[[#This Row],[Score2 ]])-1)),"")</f>
        <v>100</v>
      </c>
      <c r="P916" t="s">
        <v>145</v>
      </c>
      <c r="Q916" s="1" t="s">
        <v>141</v>
      </c>
      <c r="R916" t="str">
        <f>Table11[[#This Row],[Match]]&amp;" "&amp;Table11[[#This Row],[Over]]</f>
        <v>43 14</v>
      </c>
    </row>
    <row r="917" spans="1:18" x14ac:dyDescent="0.3">
      <c r="A917">
        <v>43</v>
      </c>
      <c r="B917" s="1">
        <v>15</v>
      </c>
      <c r="C917" s="1" t="s">
        <v>1455</v>
      </c>
      <c r="D917" s="1" t="s">
        <v>904</v>
      </c>
      <c r="E917" s="1" t="s">
        <v>1265</v>
      </c>
      <c r="F917" s="1" t="s">
        <v>1238</v>
      </c>
      <c r="G917" s="1" t="s">
        <v>3079</v>
      </c>
      <c r="H917" s="1" t="s">
        <v>1095</v>
      </c>
      <c r="I917" s="1" t="s">
        <v>2092</v>
      </c>
      <c r="J917" s="1" t="s">
        <v>1141</v>
      </c>
      <c r="K917" s="1" t="s">
        <v>3080</v>
      </c>
      <c r="L917" s="1" t="s">
        <v>1216</v>
      </c>
      <c r="M917" s="1" t="s">
        <v>1016</v>
      </c>
      <c r="N917">
        <f>_xlfn.NUMBERVALUE(LEFT(Table11[[#This Row],[Score]],FIND("/",Table11[[#This Row],[Score]])-1))</f>
        <v>50</v>
      </c>
      <c r="O917">
        <f>IFERROR(_xlfn.NUMBERVALUE(LEFT(Table11[[#This Row],[Score2 ]],FIND("/",Table11[[#This Row],[Score2 ]])-1)),"")</f>
        <v>110</v>
      </c>
      <c r="P917" t="s">
        <v>145</v>
      </c>
      <c r="Q917" s="1" t="s">
        <v>141</v>
      </c>
      <c r="R917" t="str">
        <f>Table11[[#This Row],[Match]]&amp;" "&amp;Table11[[#This Row],[Over]]</f>
        <v>43 15</v>
      </c>
    </row>
    <row r="918" spans="1:18" x14ac:dyDescent="0.3">
      <c r="A918">
        <v>43</v>
      </c>
      <c r="B918" s="1">
        <v>16</v>
      </c>
      <c r="C918" s="1" t="s">
        <v>2345</v>
      </c>
      <c r="D918" s="1" t="s">
        <v>950</v>
      </c>
      <c r="E918" s="1" t="s">
        <v>1867</v>
      </c>
      <c r="F918" s="1" t="s">
        <v>1247</v>
      </c>
      <c r="G918" s="1" t="s">
        <v>2358</v>
      </c>
      <c r="H918" s="1" t="s">
        <v>930</v>
      </c>
      <c r="I918" s="1" t="s">
        <v>2119</v>
      </c>
      <c r="J918" s="1" t="s">
        <v>1405</v>
      </c>
      <c r="K918" s="1" t="s">
        <v>3081</v>
      </c>
      <c r="L918" s="1" t="s">
        <v>1511</v>
      </c>
      <c r="M918" s="1" t="s">
        <v>1024</v>
      </c>
      <c r="N918">
        <f>_xlfn.NUMBERVALUE(LEFT(Table11[[#This Row],[Score]],FIND("/",Table11[[#This Row],[Score]])-1))</f>
        <v>55</v>
      </c>
      <c r="O918">
        <f>IFERROR(_xlfn.NUMBERVALUE(LEFT(Table11[[#This Row],[Score2 ]],FIND("/",Table11[[#This Row],[Score2 ]])-1)),"")</f>
        <v>118</v>
      </c>
      <c r="P918" t="s">
        <v>145</v>
      </c>
      <c r="Q918" s="1" t="s">
        <v>141</v>
      </c>
      <c r="R918" t="str">
        <f>Table11[[#This Row],[Match]]&amp;" "&amp;Table11[[#This Row],[Over]]</f>
        <v>43 16</v>
      </c>
    </row>
    <row r="919" spans="1:18" x14ac:dyDescent="0.3">
      <c r="A919">
        <v>43</v>
      </c>
      <c r="B919" s="1">
        <v>17</v>
      </c>
      <c r="C919" s="1" t="s">
        <v>1458</v>
      </c>
      <c r="D919" s="1" t="s">
        <v>904</v>
      </c>
      <c r="E919" s="1" t="s">
        <v>1796</v>
      </c>
      <c r="F919" s="1" t="s">
        <v>1259</v>
      </c>
      <c r="G919" s="1" t="s">
        <v>1324</v>
      </c>
      <c r="H919" s="1" t="s">
        <v>950</v>
      </c>
      <c r="I919" s="1" t="s">
        <v>1776</v>
      </c>
      <c r="J919" s="1" t="s">
        <v>1154</v>
      </c>
      <c r="K919" s="1" t="s">
        <v>2794</v>
      </c>
      <c r="L919" s="1" t="s">
        <v>1051</v>
      </c>
      <c r="M919" s="1" t="s">
        <v>1031</v>
      </c>
      <c r="N919">
        <f>_xlfn.NUMBERVALUE(LEFT(Table11[[#This Row],[Score]],FIND("/",Table11[[#This Row],[Score]])-1))</f>
        <v>58</v>
      </c>
      <c r="O919">
        <f>IFERROR(_xlfn.NUMBERVALUE(LEFT(Table11[[#This Row],[Score2 ]],FIND("/",Table11[[#This Row],[Score2 ]])-1)),"")</f>
        <v>123</v>
      </c>
      <c r="P919" t="s">
        <v>145</v>
      </c>
      <c r="Q919" s="1" t="s">
        <v>141</v>
      </c>
      <c r="R919" t="str">
        <f>Table11[[#This Row],[Match]]&amp;" "&amp;Table11[[#This Row],[Over]]</f>
        <v>43 17</v>
      </c>
    </row>
    <row r="920" spans="1:18" x14ac:dyDescent="0.3">
      <c r="A920">
        <v>43</v>
      </c>
      <c r="B920" s="1">
        <v>18</v>
      </c>
      <c r="C920" s="1" t="s">
        <v>3082</v>
      </c>
      <c r="D920" s="1" t="s">
        <v>922</v>
      </c>
      <c r="E920" s="1" t="s">
        <v>1263</v>
      </c>
      <c r="F920" s="1" t="s">
        <v>977</v>
      </c>
      <c r="G920" s="1" t="s">
        <v>1084</v>
      </c>
      <c r="H920" s="1" t="s">
        <v>1051</v>
      </c>
      <c r="I920" s="1" t="s">
        <v>2232</v>
      </c>
      <c r="J920" s="1" t="s">
        <v>1508</v>
      </c>
      <c r="K920" s="1" t="s">
        <v>348</v>
      </c>
      <c r="L920" s="1" t="s">
        <v>1007</v>
      </c>
      <c r="M920" s="1" t="s">
        <v>1037</v>
      </c>
      <c r="N920">
        <f>_xlfn.NUMBERVALUE(LEFT(Table11[[#This Row],[Score]],FIND("/",Table11[[#This Row],[Score]])-1))</f>
        <v>64</v>
      </c>
      <c r="O920">
        <f>IFERROR(_xlfn.NUMBERVALUE(LEFT(Table11[[#This Row],[Score2 ]],FIND("/",Table11[[#This Row],[Score2 ]])-1)),"")</f>
        <v>134</v>
      </c>
      <c r="P920" t="s">
        <v>145</v>
      </c>
      <c r="Q920" s="1" t="s">
        <v>141</v>
      </c>
      <c r="R920" t="str">
        <f>Table11[[#This Row],[Match]]&amp;" "&amp;Table11[[#This Row],[Over]]</f>
        <v>43 18</v>
      </c>
    </row>
    <row r="921" spans="1:18" x14ac:dyDescent="0.3">
      <c r="A921">
        <v>43</v>
      </c>
      <c r="B921" s="1">
        <v>19</v>
      </c>
      <c r="C921" s="1" t="s">
        <v>1467</v>
      </c>
      <c r="D921" s="1" t="s">
        <v>950</v>
      </c>
      <c r="E921" s="1" t="s">
        <v>2656</v>
      </c>
      <c r="F921" s="1" t="s">
        <v>940</v>
      </c>
      <c r="N921">
        <f>_xlfn.NUMBERVALUE(LEFT(Table11[[#This Row],[Score]],FIND("/",Table11[[#This Row],[Score]])-1))</f>
        <v>69</v>
      </c>
      <c r="O921" t="str">
        <f>IFERROR(_xlfn.NUMBERVALUE(LEFT(Table11[[#This Row],[Score2 ]],FIND("/",Table11[[#This Row],[Score2 ]])-1)),"")</f>
        <v/>
      </c>
      <c r="P921" t="s">
        <v>145</v>
      </c>
      <c r="Q921" s="1" t="s">
        <v>141</v>
      </c>
      <c r="R921" t="str">
        <f>Table11[[#This Row],[Match]]&amp;" "&amp;Table11[[#This Row],[Over]]</f>
        <v>43 19</v>
      </c>
    </row>
    <row r="922" spans="1:18" x14ac:dyDescent="0.3">
      <c r="A922">
        <v>43</v>
      </c>
      <c r="B922" s="1">
        <v>20</v>
      </c>
      <c r="C922" s="1" t="s">
        <v>1489</v>
      </c>
      <c r="D922" s="1" t="s">
        <v>904</v>
      </c>
      <c r="E922" s="1" t="s">
        <v>977</v>
      </c>
      <c r="F922" s="1" t="s">
        <v>940</v>
      </c>
      <c r="N922">
        <f>_xlfn.NUMBERVALUE(LEFT(Table11[[#This Row],[Score]],FIND("/",Table11[[#This Row],[Score]])-1))</f>
        <v>72</v>
      </c>
      <c r="O922" t="str">
        <f>IFERROR(_xlfn.NUMBERVALUE(LEFT(Table11[[#This Row],[Score2 ]],FIND("/",Table11[[#This Row],[Score2 ]])-1)),"")</f>
        <v/>
      </c>
      <c r="P922" t="s">
        <v>145</v>
      </c>
      <c r="Q922" s="1" t="s">
        <v>141</v>
      </c>
      <c r="R922" t="str">
        <f>Table11[[#This Row],[Match]]&amp;" "&amp;Table11[[#This Row],[Over]]</f>
        <v>43 20</v>
      </c>
    </row>
    <row r="923" spans="1:18" x14ac:dyDescent="0.3">
      <c r="A923">
        <v>43</v>
      </c>
      <c r="B923" s="1">
        <v>21</v>
      </c>
      <c r="C923" s="1" t="s">
        <v>3083</v>
      </c>
      <c r="D923" s="1" t="s">
        <v>998</v>
      </c>
      <c r="E923" s="1" t="s">
        <v>3084</v>
      </c>
      <c r="F923" s="1" t="s">
        <v>931</v>
      </c>
      <c r="N923">
        <f>_xlfn.NUMBERVALUE(LEFT(Table11[[#This Row],[Score]],FIND("/",Table11[[#This Row],[Score]])-1))</f>
        <v>76</v>
      </c>
      <c r="O923" t="str">
        <f>IFERROR(_xlfn.NUMBERVALUE(LEFT(Table11[[#This Row],[Score2 ]],FIND("/",Table11[[#This Row],[Score2 ]])-1)),"")</f>
        <v/>
      </c>
      <c r="P923" t="s">
        <v>145</v>
      </c>
      <c r="Q923" s="1" t="s">
        <v>141</v>
      </c>
      <c r="R923" t="str">
        <f>Table11[[#This Row],[Match]]&amp;" "&amp;Table11[[#This Row],[Over]]</f>
        <v>43 21</v>
      </c>
    </row>
    <row r="924" spans="1:18" x14ac:dyDescent="0.3">
      <c r="A924">
        <v>43</v>
      </c>
      <c r="B924" s="1">
        <v>22</v>
      </c>
      <c r="C924" s="1" t="s">
        <v>2230</v>
      </c>
      <c r="D924" s="1" t="s">
        <v>968</v>
      </c>
      <c r="E924" s="1" t="s">
        <v>925</v>
      </c>
      <c r="F924" s="1" t="s">
        <v>990</v>
      </c>
      <c r="N924">
        <f>_xlfn.NUMBERVALUE(LEFT(Table11[[#This Row],[Score]],FIND("/",Table11[[#This Row],[Score]])-1))</f>
        <v>77</v>
      </c>
      <c r="O924" t="str">
        <f>IFERROR(_xlfn.NUMBERVALUE(LEFT(Table11[[#This Row],[Score2 ]],FIND("/",Table11[[#This Row],[Score2 ]])-1)),"")</f>
        <v/>
      </c>
      <c r="P924" t="s">
        <v>145</v>
      </c>
      <c r="Q924" s="1" t="s">
        <v>141</v>
      </c>
      <c r="R924" t="str">
        <f>Table11[[#This Row],[Match]]&amp;" "&amp;Table11[[#This Row],[Over]]</f>
        <v>43 22</v>
      </c>
    </row>
    <row r="925" spans="1:18" x14ac:dyDescent="0.3">
      <c r="A925">
        <v>43</v>
      </c>
      <c r="B925" s="1">
        <v>23</v>
      </c>
      <c r="C925" s="1" t="s">
        <v>2233</v>
      </c>
      <c r="D925" s="1" t="s">
        <v>998</v>
      </c>
      <c r="E925" s="1" t="s">
        <v>1874</v>
      </c>
      <c r="F925" s="1" t="s">
        <v>1247</v>
      </c>
      <c r="N925">
        <f>_xlfn.NUMBERVALUE(LEFT(Table11[[#This Row],[Score]],FIND("/",Table11[[#This Row],[Score]])-1))</f>
        <v>81</v>
      </c>
      <c r="O925" t="str">
        <f>IFERROR(_xlfn.NUMBERVALUE(LEFT(Table11[[#This Row],[Score2 ]],FIND("/",Table11[[#This Row],[Score2 ]])-1)),"")</f>
        <v/>
      </c>
      <c r="P925" t="s">
        <v>145</v>
      </c>
      <c r="Q925" s="1" t="s">
        <v>141</v>
      </c>
      <c r="R925" t="str">
        <f>Table11[[#This Row],[Match]]&amp;" "&amp;Table11[[#This Row],[Over]]</f>
        <v>43 23</v>
      </c>
    </row>
    <row r="926" spans="1:18" x14ac:dyDescent="0.3">
      <c r="A926">
        <v>43</v>
      </c>
      <c r="B926" s="1">
        <v>24</v>
      </c>
      <c r="C926" s="1" t="s">
        <v>1888</v>
      </c>
      <c r="D926" s="1" t="s">
        <v>904</v>
      </c>
      <c r="E926" s="1" t="s">
        <v>925</v>
      </c>
      <c r="F926" s="1" t="s">
        <v>1238</v>
      </c>
      <c r="N926">
        <f>_xlfn.NUMBERVALUE(LEFT(Table11[[#This Row],[Score]],FIND("/",Table11[[#This Row],[Score]])-1))</f>
        <v>84</v>
      </c>
      <c r="O926" t="str">
        <f>IFERROR(_xlfn.NUMBERVALUE(LEFT(Table11[[#This Row],[Score2 ]],FIND("/",Table11[[#This Row],[Score2 ]])-1)),"")</f>
        <v/>
      </c>
      <c r="P926" t="s">
        <v>145</v>
      </c>
      <c r="Q926" s="1" t="s">
        <v>141</v>
      </c>
      <c r="R926" t="str">
        <f>Table11[[#This Row],[Match]]&amp;" "&amp;Table11[[#This Row],[Over]]</f>
        <v>43 24</v>
      </c>
    </row>
    <row r="927" spans="1:18" x14ac:dyDescent="0.3">
      <c r="A927">
        <v>43</v>
      </c>
      <c r="B927" s="1">
        <v>25</v>
      </c>
      <c r="C927" s="1" t="s">
        <v>3085</v>
      </c>
      <c r="D927" s="1" t="s">
        <v>904</v>
      </c>
      <c r="E927" s="1" t="s">
        <v>1918</v>
      </c>
      <c r="F927" s="1" t="s">
        <v>1238</v>
      </c>
      <c r="N927">
        <f>_xlfn.NUMBERVALUE(LEFT(Table11[[#This Row],[Score]],FIND("/",Table11[[#This Row],[Score]])-1))</f>
        <v>87</v>
      </c>
      <c r="O927" t="str">
        <f>IFERROR(_xlfn.NUMBERVALUE(LEFT(Table11[[#This Row],[Score2 ]],FIND("/",Table11[[#This Row],[Score2 ]])-1)),"")</f>
        <v/>
      </c>
      <c r="P927" t="s">
        <v>145</v>
      </c>
      <c r="Q927" s="1" t="s">
        <v>141</v>
      </c>
      <c r="R927" t="str">
        <f>Table11[[#This Row],[Match]]&amp;" "&amp;Table11[[#This Row],[Over]]</f>
        <v>43 25</v>
      </c>
    </row>
    <row r="928" spans="1:18" x14ac:dyDescent="0.3">
      <c r="A928">
        <v>43</v>
      </c>
      <c r="B928" s="1">
        <v>26</v>
      </c>
      <c r="C928" s="1" t="s">
        <v>2583</v>
      </c>
      <c r="D928" s="1" t="s">
        <v>898</v>
      </c>
      <c r="E928" s="1" t="s">
        <v>1490</v>
      </c>
      <c r="F928" s="1" t="s">
        <v>984</v>
      </c>
      <c r="N928">
        <f>_xlfn.NUMBERVALUE(LEFT(Table11[[#This Row],[Score]],FIND("/",Table11[[#This Row],[Score]])-1))</f>
        <v>89</v>
      </c>
      <c r="O928" t="str">
        <f>IFERROR(_xlfn.NUMBERVALUE(LEFT(Table11[[#This Row],[Score2 ]],FIND("/",Table11[[#This Row],[Score2 ]])-1)),"")</f>
        <v/>
      </c>
      <c r="P928" t="s">
        <v>145</v>
      </c>
      <c r="Q928" s="1" t="s">
        <v>141</v>
      </c>
      <c r="R928" t="str">
        <f>Table11[[#This Row],[Match]]&amp;" "&amp;Table11[[#This Row],[Over]]</f>
        <v>43 26</v>
      </c>
    </row>
    <row r="929" spans="1:18" x14ac:dyDescent="0.3">
      <c r="A929">
        <v>43</v>
      </c>
      <c r="B929" s="1">
        <v>27</v>
      </c>
      <c r="C929" s="1" t="s">
        <v>1891</v>
      </c>
      <c r="D929" s="1" t="s">
        <v>998</v>
      </c>
      <c r="E929" s="1" t="s">
        <v>2456</v>
      </c>
      <c r="F929" s="1" t="s">
        <v>1259</v>
      </c>
      <c r="N929">
        <f>_xlfn.NUMBERVALUE(LEFT(Table11[[#This Row],[Score]],FIND("/",Table11[[#This Row],[Score]])-1))</f>
        <v>93</v>
      </c>
      <c r="O929" t="str">
        <f>IFERROR(_xlfn.NUMBERVALUE(LEFT(Table11[[#This Row],[Score2 ]],FIND("/",Table11[[#This Row],[Score2 ]])-1)),"")</f>
        <v/>
      </c>
      <c r="P929" t="s">
        <v>145</v>
      </c>
      <c r="Q929" s="1" t="s">
        <v>141</v>
      </c>
      <c r="R929" t="str">
        <f>Table11[[#This Row],[Match]]&amp;" "&amp;Table11[[#This Row],[Over]]</f>
        <v>43 27</v>
      </c>
    </row>
    <row r="930" spans="1:18" x14ac:dyDescent="0.3">
      <c r="A930">
        <v>43</v>
      </c>
      <c r="B930" s="1">
        <v>28</v>
      </c>
      <c r="C930" s="1" t="s">
        <v>2890</v>
      </c>
      <c r="D930" s="1" t="s">
        <v>922</v>
      </c>
      <c r="E930" s="1" t="s">
        <v>2482</v>
      </c>
      <c r="F930" s="1" t="s">
        <v>977</v>
      </c>
      <c r="N930">
        <f>_xlfn.NUMBERVALUE(LEFT(Table11[[#This Row],[Score]],FIND("/",Table11[[#This Row],[Score]])-1))</f>
        <v>99</v>
      </c>
      <c r="O930" t="str">
        <f>IFERROR(_xlfn.NUMBERVALUE(LEFT(Table11[[#This Row],[Score2 ]],FIND("/",Table11[[#This Row],[Score2 ]])-1)),"")</f>
        <v/>
      </c>
      <c r="P930" t="s">
        <v>145</v>
      </c>
      <c r="Q930" s="1" t="s">
        <v>141</v>
      </c>
      <c r="R930" t="str">
        <f>Table11[[#This Row],[Match]]&amp;" "&amp;Table11[[#This Row],[Over]]</f>
        <v>43 28</v>
      </c>
    </row>
    <row r="931" spans="1:18" x14ac:dyDescent="0.3">
      <c r="A931">
        <v>43</v>
      </c>
      <c r="B931" s="1">
        <v>29</v>
      </c>
      <c r="C931" s="1" t="s">
        <v>1073</v>
      </c>
      <c r="D931" s="1" t="s">
        <v>904</v>
      </c>
      <c r="E931" s="1" t="s">
        <v>1924</v>
      </c>
      <c r="F931" s="1" t="s">
        <v>977</v>
      </c>
      <c r="N931">
        <f>_xlfn.NUMBERVALUE(LEFT(Table11[[#This Row],[Score]],FIND("/",Table11[[#This Row],[Score]])-1))</f>
        <v>102</v>
      </c>
      <c r="O931" t="str">
        <f>IFERROR(_xlfn.NUMBERVALUE(LEFT(Table11[[#This Row],[Score2 ]],FIND("/",Table11[[#This Row],[Score2 ]])-1)),"")</f>
        <v/>
      </c>
      <c r="P931" t="s">
        <v>145</v>
      </c>
      <c r="Q931" s="1" t="s">
        <v>141</v>
      </c>
      <c r="R931" t="str">
        <f>Table11[[#This Row],[Match]]&amp;" "&amp;Table11[[#This Row],[Over]]</f>
        <v>43 29</v>
      </c>
    </row>
    <row r="932" spans="1:18" x14ac:dyDescent="0.3">
      <c r="A932">
        <v>43</v>
      </c>
      <c r="B932" s="1">
        <v>30</v>
      </c>
      <c r="C932" s="1" t="s">
        <v>2586</v>
      </c>
      <c r="D932" s="1" t="s">
        <v>904</v>
      </c>
      <c r="E932" s="1" t="s">
        <v>925</v>
      </c>
      <c r="F932" s="1" t="s">
        <v>977</v>
      </c>
      <c r="N932">
        <f>_xlfn.NUMBERVALUE(LEFT(Table11[[#This Row],[Score]],FIND("/",Table11[[#This Row],[Score]])-1))</f>
        <v>105</v>
      </c>
      <c r="O932" t="str">
        <f>IFERROR(_xlfn.NUMBERVALUE(LEFT(Table11[[#This Row],[Score2 ]],FIND("/",Table11[[#This Row],[Score2 ]])-1)),"")</f>
        <v/>
      </c>
      <c r="P932" t="s">
        <v>145</v>
      </c>
      <c r="Q932" s="1" t="s">
        <v>141</v>
      </c>
      <c r="R932" t="str">
        <f>Table11[[#This Row],[Match]]&amp;" "&amp;Table11[[#This Row],[Over]]</f>
        <v>43 30</v>
      </c>
    </row>
    <row r="933" spans="1:18" x14ac:dyDescent="0.3">
      <c r="A933">
        <v>43</v>
      </c>
      <c r="B933" s="1">
        <v>31</v>
      </c>
      <c r="C933" s="1" t="s">
        <v>1521</v>
      </c>
      <c r="D933" s="1" t="s">
        <v>898</v>
      </c>
      <c r="E933" s="1" t="s">
        <v>2609</v>
      </c>
      <c r="F933" s="1" t="s">
        <v>977</v>
      </c>
      <c r="N933">
        <f>_xlfn.NUMBERVALUE(LEFT(Table11[[#This Row],[Score]],FIND("/",Table11[[#This Row],[Score]])-1))</f>
        <v>107</v>
      </c>
      <c r="O933" t="str">
        <f>IFERROR(_xlfn.NUMBERVALUE(LEFT(Table11[[#This Row],[Score2 ]],FIND("/",Table11[[#This Row],[Score2 ]])-1)),"")</f>
        <v/>
      </c>
      <c r="P933" t="s">
        <v>145</v>
      </c>
      <c r="Q933" s="1" t="s">
        <v>141</v>
      </c>
      <c r="R933" t="str">
        <f>Table11[[#This Row],[Match]]&amp;" "&amp;Table11[[#This Row],[Over]]</f>
        <v>43 31</v>
      </c>
    </row>
    <row r="934" spans="1:18" x14ac:dyDescent="0.3">
      <c r="A934">
        <v>43</v>
      </c>
      <c r="B934" s="1">
        <v>32</v>
      </c>
      <c r="C934" s="1" t="s">
        <v>2365</v>
      </c>
      <c r="D934" s="1" t="s">
        <v>898</v>
      </c>
      <c r="E934" s="1" t="s">
        <v>1247</v>
      </c>
      <c r="F934" s="1" t="s">
        <v>1259</v>
      </c>
      <c r="N934">
        <f>_xlfn.NUMBERVALUE(LEFT(Table11[[#This Row],[Score]],FIND("/",Table11[[#This Row],[Score]])-1))</f>
        <v>109</v>
      </c>
      <c r="O934" t="str">
        <f>IFERROR(_xlfn.NUMBERVALUE(LEFT(Table11[[#This Row],[Score2 ]],FIND("/",Table11[[#This Row],[Score2 ]])-1)),"")</f>
        <v/>
      </c>
      <c r="P934" t="s">
        <v>145</v>
      </c>
      <c r="Q934" s="1" t="s">
        <v>141</v>
      </c>
      <c r="R934" t="str">
        <f>Table11[[#This Row],[Match]]&amp;" "&amp;Table11[[#This Row],[Over]]</f>
        <v>43 32</v>
      </c>
    </row>
    <row r="935" spans="1:18" x14ac:dyDescent="0.3">
      <c r="A935">
        <v>43</v>
      </c>
      <c r="B935" s="1">
        <v>33</v>
      </c>
      <c r="C935" s="1" t="s">
        <v>1907</v>
      </c>
      <c r="D935" s="1" t="s">
        <v>950</v>
      </c>
      <c r="E935" s="1" t="s">
        <v>2609</v>
      </c>
      <c r="F935" s="1" t="s">
        <v>1238</v>
      </c>
      <c r="N935">
        <f>_xlfn.NUMBERVALUE(LEFT(Table11[[#This Row],[Score]],FIND("/",Table11[[#This Row],[Score]])-1))</f>
        <v>114</v>
      </c>
      <c r="O935" t="str">
        <f>IFERROR(_xlfn.NUMBERVALUE(LEFT(Table11[[#This Row],[Score2 ]],FIND("/",Table11[[#This Row],[Score2 ]])-1)),"")</f>
        <v/>
      </c>
      <c r="P935" t="s">
        <v>145</v>
      </c>
      <c r="Q935" s="1" t="s">
        <v>141</v>
      </c>
      <c r="R935" t="str">
        <f>Table11[[#This Row],[Match]]&amp;" "&amp;Table11[[#This Row],[Over]]</f>
        <v>43 33</v>
      </c>
    </row>
    <row r="936" spans="1:18" x14ac:dyDescent="0.3">
      <c r="A936">
        <v>43</v>
      </c>
      <c r="B936" s="1">
        <v>34</v>
      </c>
      <c r="C936" s="1" t="s">
        <v>2831</v>
      </c>
      <c r="D936" s="1" t="s">
        <v>898</v>
      </c>
      <c r="E936" s="1" t="s">
        <v>1796</v>
      </c>
      <c r="F936" s="1" t="s">
        <v>993</v>
      </c>
      <c r="N936">
        <f>_xlfn.NUMBERVALUE(LEFT(Table11[[#This Row],[Score]],FIND("/",Table11[[#This Row],[Score]])-1))</f>
        <v>116</v>
      </c>
      <c r="O936" t="str">
        <f>IFERROR(_xlfn.NUMBERVALUE(LEFT(Table11[[#This Row],[Score2 ]],FIND("/",Table11[[#This Row],[Score2 ]])-1)),"")</f>
        <v/>
      </c>
      <c r="P936" t="s">
        <v>145</v>
      </c>
      <c r="Q936" s="1" t="s">
        <v>141</v>
      </c>
      <c r="R936" t="str">
        <f>Table11[[#This Row],[Match]]&amp;" "&amp;Table11[[#This Row],[Over]]</f>
        <v>43 34</v>
      </c>
    </row>
    <row r="937" spans="1:18" x14ac:dyDescent="0.3">
      <c r="A937">
        <v>43</v>
      </c>
      <c r="B937" s="1">
        <v>35</v>
      </c>
      <c r="C937" s="1" t="s">
        <v>2788</v>
      </c>
      <c r="D937" s="1" t="s">
        <v>1007</v>
      </c>
      <c r="E937" s="1" t="s">
        <v>3086</v>
      </c>
      <c r="F937" s="1" t="s">
        <v>1383</v>
      </c>
      <c r="N937">
        <f>_xlfn.NUMBERVALUE(LEFT(Table11[[#This Row],[Score]],FIND("/",Table11[[#This Row],[Score]])-1))</f>
        <v>116</v>
      </c>
      <c r="O937" t="str">
        <f>IFERROR(_xlfn.NUMBERVALUE(LEFT(Table11[[#This Row],[Score2 ]],FIND("/",Table11[[#This Row],[Score2 ]])-1)),"")</f>
        <v/>
      </c>
      <c r="P937" t="s">
        <v>145</v>
      </c>
      <c r="Q937" s="1" t="s">
        <v>141</v>
      </c>
      <c r="R937" t="str">
        <f>Table11[[#This Row],[Match]]&amp;" "&amp;Table11[[#This Row],[Over]]</f>
        <v>43 35</v>
      </c>
    </row>
    <row r="938" spans="1:18" x14ac:dyDescent="0.3">
      <c r="A938">
        <v>43</v>
      </c>
      <c r="B938" s="1">
        <v>36</v>
      </c>
      <c r="C938" s="1" t="s">
        <v>3087</v>
      </c>
      <c r="D938" s="1" t="s">
        <v>1051</v>
      </c>
      <c r="E938" s="1" t="s">
        <v>1874</v>
      </c>
      <c r="F938" s="1" t="s">
        <v>939</v>
      </c>
      <c r="N938">
        <f>_xlfn.NUMBERVALUE(LEFT(Table11[[#This Row],[Score]],FIND("/",Table11[[#This Row],[Score]])-1))</f>
        <v>127</v>
      </c>
      <c r="O938" t="str">
        <f>IFERROR(_xlfn.NUMBERVALUE(LEFT(Table11[[#This Row],[Score2 ]],FIND("/",Table11[[#This Row],[Score2 ]])-1)),"")</f>
        <v/>
      </c>
      <c r="P938" t="s">
        <v>145</v>
      </c>
      <c r="Q938" s="1" t="s">
        <v>141</v>
      </c>
      <c r="R938" t="str">
        <f>Table11[[#This Row],[Match]]&amp;" "&amp;Table11[[#This Row],[Over]]</f>
        <v>43 36</v>
      </c>
    </row>
    <row r="939" spans="1:18" x14ac:dyDescent="0.3">
      <c r="A939">
        <v>43</v>
      </c>
      <c r="B939" s="1">
        <v>37</v>
      </c>
      <c r="C939" s="1" t="s">
        <v>3088</v>
      </c>
      <c r="D939" s="1" t="s">
        <v>922</v>
      </c>
      <c r="E939" s="1" t="s">
        <v>1929</v>
      </c>
      <c r="F939" s="1" t="s">
        <v>1093</v>
      </c>
      <c r="N939">
        <f>_xlfn.NUMBERVALUE(LEFT(Table11[[#This Row],[Score]],FIND("/",Table11[[#This Row],[Score]])-1))</f>
        <v>133</v>
      </c>
      <c r="O939" t="str">
        <f>IFERROR(_xlfn.NUMBERVALUE(LEFT(Table11[[#This Row],[Score2 ]],FIND("/",Table11[[#This Row],[Score2 ]])-1)),"")</f>
        <v/>
      </c>
      <c r="P939" t="s">
        <v>145</v>
      </c>
      <c r="Q939" s="1" t="s">
        <v>141</v>
      </c>
      <c r="R939" t="str">
        <f>Table11[[#This Row],[Match]]&amp;" "&amp;Table11[[#This Row],[Over]]</f>
        <v>43 37</v>
      </c>
    </row>
    <row r="940" spans="1:18" x14ac:dyDescent="0.3">
      <c r="A940">
        <v>43</v>
      </c>
      <c r="B940" s="1">
        <v>38</v>
      </c>
      <c r="C940" s="1" t="s">
        <v>3089</v>
      </c>
      <c r="D940" s="1" t="s">
        <v>1966</v>
      </c>
      <c r="E940" s="1" t="s">
        <v>3090</v>
      </c>
      <c r="F940" s="1" t="s">
        <v>1399</v>
      </c>
      <c r="N940">
        <f>_xlfn.NUMBERVALUE(LEFT(Table11[[#This Row],[Score]],FIND("/",Table11[[#This Row],[Score]])-1))</f>
        <v>133</v>
      </c>
      <c r="O940" t="str">
        <f>IFERROR(_xlfn.NUMBERVALUE(LEFT(Table11[[#This Row],[Score2 ]],FIND("/",Table11[[#This Row],[Score2 ]])-1)),"")</f>
        <v/>
      </c>
      <c r="P940" t="s">
        <v>145</v>
      </c>
      <c r="Q940" s="1" t="s">
        <v>141</v>
      </c>
      <c r="R940" t="str">
        <f>Table11[[#This Row],[Match]]&amp;" "&amp;Table11[[#This Row],[Over]]</f>
        <v>43 38</v>
      </c>
    </row>
    <row r="941" spans="1:18" x14ac:dyDescent="0.3">
      <c r="A941">
        <v>48</v>
      </c>
      <c r="B941" s="1">
        <v>1</v>
      </c>
      <c r="C941" s="1" t="s">
        <v>897</v>
      </c>
      <c r="D941" s="1" t="s">
        <v>898</v>
      </c>
      <c r="E941" s="1" t="s">
        <v>899</v>
      </c>
      <c r="F941" s="1" t="s">
        <v>348</v>
      </c>
      <c r="G941" s="1" t="s">
        <v>906</v>
      </c>
      <c r="H941" s="1" t="s">
        <v>998</v>
      </c>
      <c r="I941" s="1" t="s">
        <v>939</v>
      </c>
      <c r="J941" s="1" t="s">
        <v>348</v>
      </c>
      <c r="K941" s="1" t="s">
        <v>2461</v>
      </c>
      <c r="L941" s="1" t="s">
        <v>3091</v>
      </c>
      <c r="M941" s="1" t="s">
        <v>902</v>
      </c>
      <c r="N941">
        <f>_xlfn.NUMBERVALUE(LEFT(Table11[[#This Row],[Score]],FIND("/",Table11[[#This Row],[Score]])-1))</f>
        <v>2</v>
      </c>
      <c r="O941">
        <f>IFERROR(_xlfn.NUMBERVALUE(LEFT(Table11[[#This Row],[Score2 ]],FIND("/",Table11[[#This Row],[Score2 ]])-1)),"")</f>
        <v>4</v>
      </c>
      <c r="P941" t="s">
        <v>149</v>
      </c>
      <c r="Q941" s="1" t="s">
        <v>137</v>
      </c>
      <c r="R941" t="str">
        <f>Table11[[#This Row],[Match]]&amp;" "&amp;Table11[[#This Row],[Over]]</f>
        <v>48 1</v>
      </c>
    </row>
    <row r="942" spans="1:18" x14ac:dyDescent="0.3">
      <c r="A942">
        <v>48</v>
      </c>
      <c r="B942" s="1">
        <v>2</v>
      </c>
      <c r="C942" s="1" t="s">
        <v>2689</v>
      </c>
      <c r="D942" s="1" t="s">
        <v>1103</v>
      </c>
      <c r="E942" s="1" t="s">
        <v>952</v>
      </c>
      <c r="F942" s="1" t="s">
        <v>348</v>
      </c>
      <c r="G942" s="1" t="s">
        <v>913</v>
      </c>
      <c r="H942" s="1" t="s">
        <v>904</v>
      </c>
      <c r="I942" s="1" t="s">
        <v>925</v>
      </c>
      <c r="J942" s="1" t="s">
        <v>348</v>
      </c>
      <c r="K942" s="1" t="s">
        <v>2327</v>
      </c>
      <c r="L942" s="1" t="s">
        <v>2328</v>
      </c>
      <c r="M942" s="1" t="s">
        <v>909</v>
      </c>
      <c r="N942">
        <f>_xlfn.NUMBERVALUE(LEFT(Table11[[#This Row],[Score]],FIND("/",Table11[[#This Row],[Score]])-1))</f>
        <v>14</v>
      </c>
      <c r="O942">
        <f>IFERROR(_xlfn.NUMBERVALUE(LEFT(Table11[[#This Row],[Score2 ]],FIND("/",Table11[[#This Row],[Score2 ]])-1)),"")</f>
        <v>7</v>
      </c>
      <c r="P942" t="s">
        <v>149</v>
      </c>
      <c r="Q942" s="1" t="s">
        <v>137</v>
      </c>
      <c r="R942" t="str">
        <f>Table11[[#This Row],[Match]]&amp;" "&amp;Table11[[#This Row],[Over]]</f>
        <v>48 2</v>
      </c>
    </row>
    <row r="943" spans="1:18" x14ac:dyDescent="0.3">
      <c r="A943">
        <v>48</v>
      </c>
      <c r="B943" s="1">
        <v>3</v>
      </c>
      <c r="C943" s="1" t="s">
        <v>1424</v>
      </c>
      <c r="D943" s="1" t="s">
        <v>968</v>
      </c>
      <c r="E943" s="1" t="s">
        <v>969</v>
      </c>
      <c r="F943" s="1" t="s">
        <v>348</v>
      </c>
      <c r="G943" s="1" t="s">
        <v>1235</v>
      </c>
      <c r="H943" s="1" t="s">
        <v>898</v>
      </c>
      <c r="I943" s="1" t="s">
        <v>1238</v>
      </c>
      <c r="J943" s="1" t="s">
        <v>348</v>
      </c>
      <c r="K943" s="1" t="s">
        <v>1053</v>
      </c>
      <c r="L943" s="1" t="s">
        <v>3092</v>
      </c>
      <c r="M943" s="1" t="s">
        <v>920</v>
      </c>
      <c r="N943">
        <f>_xlfn.NUMBERVALUE(LEFT(Table11[[#This Row],[Score]],FIND("/",Table11[[#This Row],[Score]])-1))</f>
        <v>15</v>
      </c>
      <c r="O943">
        <f>IFERROR(_xlfn.NUMBERVALUE(LEFT(Table11[[#This Row],[Score2 ]],FIND("/",Table11[[#This Row],[Score2 ]])-1)),"")</f>
        <v>9</v>
      </c>
      <c r="P943" t="s">
        <v>149</v>
      </c>
      <c r="Q943" s="1" t="s">
        <v>137</v>
      </c>
      <c r="R943" t="str">
        <f>Table11[[#This Row],[Match]]&amp;" "&amp;Table11[[#This Row],[Over]]</f>
        <v>48 3</v>
      </c>
    </row>
    <row r="944" spans="1:18" x14ac:dyDescent="0.3">
      <c r="A944">
        <v>48</v>
      </c>
      <c r="B944" s="1">
        <v>4</v>
      </c>
      <c r="C944" s="1" t="s">
        <v>2332</v>
      </c>
      <c r="D944" s="1" t="s">
        <v>922</v>
      </c>
      <c r="E944" s="1" t="s">
        <v>1722</v>
      </c>
      <c r="F944" s="1" t="s">
        <v>348</v>
      </c>
      <c r="G944" s="1" t="s">
        <v>1424</v>
      </c>
      <c r="H944" s="1" t="s">
        <v>922</v>
      </c>
      <c r="I944" s="1" t="s">
        <v>1276</v>
      </c>
      <c r="J944" s="1" t="s">
        <v>348</v>
      </c>
      <c r="K944" s="1" t="s">
        <v>1803</v>
      </c>
      <c r="L944" s="1" t="s">
        <v>2213</v>
      </c>
      <c r="M944" s="1" t="s">
        <v>928</v>
      </c>
      <c r="N944">
        <f>_xlfn.NUMBERVALUE(LEFT(Table11[[#This Row],[Score]],FIND("/",Table11[[#This Row],[Score]])-1))</f>
        <v>21</v>
      </c>
      <c r="O944">
        <f>IFERROR(_xlfn.NUMBERVALUE(LEFT(Table11[[#This Row],[Score2 ]],FIND("/",Table11[[#This Row],[Score2 ]])-1)),"")</f>
        <v>15</v>
      </c>
      <c r="P944" t="s">
        <v>149</v>
      </c>
      <c r="Q944" s="1" t="s">
        <v>137</v>
      </c>
      <c r="R944" t="str">
        <f>Table11[[#This Row],[Match]]&amp;" "&amp;Table11[[#This Row],[Over]]</f>
        <v>48 4</v>
      </c>
    </row>
    <row r="945" spans="1:18" x14ac:dyDescent="0.3">
      <c r="A945">
        <v>48</v>
      </c>
      <c r="B945" s="1">
        <v>5</v>
      </c>
      <c r="C945" s="1" t="s">
        <v>2691</v>
      </c>
      <c r="D945" s="1" t="s">
        <v>1095</v>
      </c>
      <c r="E945" s="1" t="s">
        <v>970</v>
      </c>
      <c r="F945" s="1" t="s">
        <v>970</v>
      </c>
      <c r="G945" s="1" t="s">
        <v>1427</v>
      </c>
      <c r="H945" s="1" t="s">
        <v>950</v>
      </c>
      <c r="I945" s="1" t="s">
        <v>939</v>
      </c>
      <c r="J945" s="1" t="s">
        <v>939</v>
      </c>
      <c r="K945" s="1" t="s">
        <v>1279</v>
      </c>
      <c r="L945" s="1" t="s">
        <v>2998</v>
      </c>
      <c r="M945" s="1" t="s">
        <v>937</v>
      </c>
      <c r="N945">
        <f>_xlfn.NUMBERVALUE(LEFT(Table11[[#This Row],[Score]],FIND("/",Table11[[#This Row],[Score]])-1))</f>
        <v>31</v>
      </c>
      <c r="O945">
        <f>IFERROR(_xlfn.NUMBERVALUE(LEFT(Table11[[#This Row],[Score2 ]],FIND("/",Table11[[#This Row],[Score2 ]])-1)),"")</f>
        <v>20</v>
      </c>
      <c r="P945" t="s">
        <v>149</v>
      </c>
      <c r="Q945" s="1" t="s">
        <v>137</v>
      </c>
      <c r="R945" t="str">
        <f>Table11[[#This Row],[Match]]&amp;" "&amp;Table11[[#This Row],[Over]]</f>
        <v>48 5</v>
      </c>
    </row>
    <row r="946" spans="1:18" x14ac:dyDescent="0.3">
      <c r="A946">
        <v>48</v>
      </c>
      <c r="B946" s="1">
        <v>6</v>
      </c>
      <c r="C946" s="1" t="s">
        <v>1262</v>
      </c>
      <c r="D946" s="1" t="s">
        <v>968</v>
      </c>
      <c r="E946" s="1" t="s">
        <v>2110</v>
      </c>
      <c r="F946" s="1" t="s">
        <v>1019</v>
      </c>
      <c r="G946" s="1" t="s">
        <v>938</v>
      </c>
      <c r="H946" s="1" t="s">
        <v>998</v>
      </c>
      <c r="I946" s="1" t="s">
        <v>939</v>
      </c>
      <c r="J946" s="1" t="s">
        <v>939</v>
      </c>
      <c r="K946" s="1" t="s">
        <v>1036</v>
      </c>
      <c r="L946" s="1" t="s">
        <v>2215</v>
      </c>
      <c r="M946" s="1" t="s">
        <v>945</v>
      </c>
      <c r="N946">
        <f>_xlfn.NUMBERVALUE(LEFT(Table11[[#This Row],[Score]],FIND("/",Table11[[#This Row],[Score]])-1))</f>
        <v>32</v>
      </c>
      <c r="O946">
        <f>IFERROR(_xlfn.NUMBERVALUE(LEFT(Table11[[#This Row],[Score2 ]],FIND("/",Table11[[#This Row],[Score2 ]])-1)),"")</f>
        <v>24</v>
      </c>
      <c r="P946" t="s">
        <v>149</v>
      </c>
      <c r="Q946" s="1" t="s">
        <v>137</v>
      </c>
      <c r="R946" t="str">
        <f>Table11[[#This Row],[Match]]&amp;" "&amp;Table11[[#This Row],[Over]]</f>
        <v>48 6</v>
      </c>
    </row>
    <row r="947" spans="1:18" x14ac:dyDescent="0.3">
      <c r="A947">
        <v>48</v>
      </c>
      <c r="B947" s="1">
        <v>7</v>
      </c>
      <c r="C947" s="1" t="s">
        <v>941</v>
      </c>
      <c r="D947" s="1" t="s">
        <v>898</v>
      </c>
      <c r="E947" s="1" t="s">
        <v>1174</v>
      </c>
      <c r="F947" s="1" t="s">
        <v>939</v>
      </c>
      <c r="G947" s="1" t="s">
        <v>3093</v>
      </c>
      <c r="H947" s="1" t="s">
        <v>922</v>
      </c>
      <c r="I947" s="1" t="s">
        <v>1124</v>
      </c>
      <c r="J947" s="1" t="s">
        <v>976</v>
      </c>
      <c r="K947" s="1" t="s">
        <v>2505</v>
      </c>
      <c r="L947" s="1" t="s">
        <v>901</v>
      </c>
      <c r="M947" s="1" t="s">
        <v>955</v>
      </c>
      <c r="N947">
        <f>_xlfn.NUMBERVALUE(LEFT(Table11[[#This Row],[Score]],FIND("/",Table11[[#This Row],[Score]])-1))</f>
        <v>34</v>
      </c>
      <c r="O947">
        <f>IFERROR(_xlfn.NUMBERVALUE(LEFT(Table11[[#This Row],[Score2 ]],FIND("/",Table11[[#This Row],[Score2 ]])-1)),"")</f>
        <v>30</v>
      </c>
      <c r="P947" t="s">
        <v>149</v>
      </c>
      <c r="Q947" s="1" t="s">
        <v>137</v>
      </c>
      <c r="R947" t="str">
        <f>Table11[[#This Row],[Match]]&amp;" "&amp;Table11[[#This Row],[Over]]</f>
        <v>48 7</v>
      </c>
    </row>
    <row r="948" spans="1:18" x14ac:dyDescent="0.3">
      <c r="A948">
        <v>48</v>
      </c>
      <c r="B948" s="1">
        <v>8</v>
      </c>
      <c r="C948" s="1" t="s">
        <v>1269</v>
      </c>
      <c r="D948" s="1" t="s">
        <v>998</v>
      </c>
      <c r="E948" s="1" t="s">
        <v>1319</v>
      </c>
      <c r="F948" s="1" t="s">
        <v>976</v>
      </c>
      <c r="G948" s="1" t="s">
        <v>946</v>
      </c>
      <c r="H948" s="1" t="s">
        <v>904</v>
      </c>
      <c r="I948" s="1" t="s">
        <v>2897</v>
      </c>
      <c r="J948" s="1" t="s">
        <v>1093</v>
      </c>
      <c r="K948" s="1" t="s">
        <v>2097</v>
      </c>
      <c r="L948" s="1" t="s">
        <v>1241</v>
      </c>
      <c r="M948" s="1" t="s">
        <v>963</v>
      </c>
      <c r="N948">
        <f>_xlfn.NUMBERVALUE(LEFT(Table11[[#This Row],[Score]],FIND("/",Table11[[#This Row],[Score]])-1))</f>
        <v>38</v>
      </c>
      <c r="O948">
        <f>IFERROR(_xlfn.NUMBERVALUE(LEFT(Table11[[#This Row],[Score2 ]],FIND("/",Table11[[#This Row],[Score2 ]])-1)),"")</f>
        <v>33</v>
      </c>
      <c r="P948" t="s">
        <v>149</v>
      </c>
      <c r="Q948" s="1" t="s">
        <v>137</v>
      </c>
      <c r="R948" t="str">
        <f>Table11[[#This Row],[Match]]&amp;" "&amp;Table11[[#This Row],[Over]]</f>
        <v>48 8</v>
      </c>
    </row>
    <row r="949" spans="1:18" x14ac:dyDescent="0.3">
      <c r="A949">
        <v>48</v>
      </c>
      <c r="B949" s="1">
        <v>9</v>
      </c>
      <c r="C949" s="1" t="s">
        <v>964</v>
      </c>
      <c r="D949" s="1" t="s">
        <v>898</v>
      </c>
      <c r="E949" s="1" t="s">
        <v>965</v>
      </c>
      <c r="F949" s="1" t="s">
        <v>990</v>
      </c>
      <c r="G949" s="1" t="s">
        <v>1728</v>
      </c>
      <c r="H949" s="1" t="s">
        <v>922</v>
      </c>
      <c r="I949" s="1" t="s">
        <v>989</v>
      </c>
      <c r="J949" s="1" t="s">
        <v>1093</v>
      </c>
      <c r="K949" s="1" t="s">
        <v>1495</v>
      </c>
      <c r="L949" s="1" t="s">
        <v>919</v>
      </c>
      <c r="M949" s="1" t="s">
        <v>973</v>
      </c>
      <c r="N949">
        <f>_xlfn.NUMBERVALUE(LEFT(Table11[[#This Row],[Score]],FIND("/",Table11[[#This Row],[Score]])-1))</f>
        <v>40</v>
      </c>
      <c r="O949">
        <f>IFERROR(_xlfn.NUMBERVALUE(LEFT(Table11[[#This Row],[Score2 ]],FIND("/",Table11[[#This Row],[Score2 ]])-1)),"")</f>
        <v>39</v>
      </c>
      <c r="P949" t="s">
        <v>149</v>
      </c>
      <c r="Q949" s="1" t="s">
        <v>137</v>
      </c>
      <c r="R949" t="str">
        <f>Table11[[#This Row],[Match]]&amp;" "&amp;Table11[[#This Row],[Over]]</f>
        <v>48 9</v>
      </c>
    </row>
    <row r="950" spans="1:18" x14ac:dyDescent="0.3">
      <c r="A950">
        <v>48</v>
      </c>
      <c r="B950" s="1">
        <v>10</v>
      </c>
      <c r="C950" s="1" t="s">
        <v>997</v>
      </c>
      <c r="D950" s="1" t="s">
        <v>1511</v>
      </c>
      <c r="E950" s="1" t="s">
        <v>934</v>
      </c>
      <c r="F950" s="1" t="s">
        <v>969</v>
      </c>
      <c r="G950" s="1" t="s">
        <v>1986</v>
      </c>
      <c r="H950" s="1" t="s">
        <v>1511</v>
      </c>
      <c r="I950" s="1" t="s">
        <v>959</v>
      </c>
      <c r="J950" s="1" t="s">
        <v>952</v>
      </c>
      <c r="K950" s="1" t="s">
        <v>1996</v>
      </c>
      <c r="L950" s="1" t="s">
        <v>2437</v>
      </c>
      <c r="M950" s="1" t="s">
        <v>980</v>
      </c>
      <c r="N950">
        <f>_xlfn.NUMBERVALUE(LEFT(Table11[[#This Row],[Score]],FIND("/",Table11[[#This Row],[Score]])-1))</f>
        <v>56</v>
      </c>
      <c r="O950">
        <f>IFERROR(_xlfn.NUMBERVALUE(LEFT(Table11[[#This Row],[Score2 ]],FIND("/",Table11[[#This Row],[Score2 ]])-1)),"")</f>
        <v>55</v>
      </c>
      <c r="P950" t="s">
        <v>149</v>
      </c>
      <c r="Q950" s="1" t="s">
        <v>137</v>
      </c>
      <c r="R950" t="str">
        <f>Table11[[#This Row],[Match]]&amp;" "&amp;Table11[[#This Row],[Over]]</f>
        <v>48 10</v>
      </c>
    </row>
    <row r="951" spans="1:18" x14ac:dyDescent="0.3">
      <c r="A951">
        <v>48</v>
      </c>
      <c r="B951" s="1">
        <v>11</v>
      </c>
      <c r="C951" s="1" t="s">
        <v>3002</v>
      </c>
      <c r="D951" s="1" t="s">
        <v>968</v>
      </c>
      <c r="E951" s="1" t="s">
        <v>2406</v>
      </c>
      <c r="F951" s="1" t="s">
        <v>969</v>
      </c>
      <c r="G951" s="1" t="s">
        <v>1743</v>
      </c>
      <c r="H951" s="1" t="s">
        <v>950</v>
      </c>
      <c r="I951" s="1" t="s">
        <v>1599</v>
      </c>
      <c r="J951" s="1" t="s">
        <v>1116</v>
      </c>
      <c r="K951" s="1" t="s">
        <v>2088</v>
      </c>
      <c r="L951" s="1" t="s">
        <v>2343</v>
      </c>
      <c r="M951" s="1" t="s">
        <v>987</v>
      </c>
      <c r="N951">
        <f>_xlfn.NUMBERVALUE(LEFT(Table11[[#This Row],[Score]],FIND("/",Table11[[#This Row],[Score]])-1))</f>
        <v>57</v>
      </c>
      <c r="O951">
        <f>IFERROR(_xlfn.NUMBERVALUE(LEFT(Table11[[#This Row],[Score2 ]],FIND("/",Table11[[#This Row],[Score2 ]])-1)),"")</f>
        <v>60</v>
      </c>
      <c r="P951" t="s">
        <v>149</v>
      </c>
      <c r="Q951" s="1" t="s">
        <v>137</v>
      </c>
      <c r="R951" t="str">
        <f>Table11[[#This Row],[Match]]&amp;" "&amp;Table11[[#This Row],[Over]]</f>
        <v>48 11</v>
      </c>
    </row>
    <row r="952" spans="1:18" x14ac:dyDescent="0.3">
      <c r="A952">
        <v>48</v>
      </c>
      <c r="B952" s="1">
        <v>12</v>
      </c>
      <c r="C952" s="1" t="s">
        <v>2694</v>
      </c>
      <c r="D952" s="1" t="s">
        <v>916</v>
      </c>
      <c r="E952" s="1" t="s">
        <v>2110</v>
      </c>
      <c r="F952" s="1" t="s">
        <v>1019</v>
      </c>
      <c r="G952" s="1" t="s">
        <v>1744</v>
      </c>
      <c r="H952" s="1" t="s">
        <v>1390</v>
      </c>
      <c r="I952" s="1" t="s">
        <v>1225</v>
      </c>
      <c r="J952" s="1" t="s">
        <v>1414</v>
      </c>
      <c r="K952" s="1" t="s">
        <v>1022</v>
      </c>
      <c r="L952" s="1" t="s">
        <v>972</v>
      </c>
      <c r="M952" s="1" t="s">
        <v>996</v>
      </c>
      <c r="N952">
        <f>_xlfn.NUMBERVALUE(LEFT(Table11[[#This Row],[Score]],FIND("/",Table11[[#This Row],[Score]])-1))</f>
        <v>64</v>
      </c>
      <c r="O952">
        <f>IFERROR(_xlfn.NUMBERVALUE(LEFT(Table11[[#This Row],[Score2 ]],FIND("/",Table11[[#This Row],[Score2 ]])-1)),"")</f>
        <v>73</v>
      </c>
      <c r="P952" t="s">
        <v>149</v>
      </c>
      <c r="Q952" s="1" t="s">
        <v>137</v>
      </c>
      <c r="R952" t="str">
        <f>Table11[[#This Row],[Match]]&amp;" "&amp;Table11[[#This Row],[Over]]</f>
        <v>48 12</v>
      </c>
    </row>
    <row r="953" spans="1:18" x14ac:dyDescent="0.3">
      <c r="A953">
        <v>48</v>
      </c>
      <c r="B953" s="1">
        <v>13</v>
      </c>
      <c r="C953" s="1" t="s">
        <v>1011</v>
      </c>
      <c r="D953" s="1" t="s">
        <v>916</v>
      </c>
      <c r="E953" s="1" t="s">
        <v>1166</v>
      </c>
      <c r="F953" s="1" t="s">
        <v>960</v>
      </c>
      <c r="G953" s="1" t="s">
        <v>2450</v>
      </c>
      <c r="H953" s="1" t="s">
        <v>904</v>
      </c>
      <c r="I953" s="1" t="s">
        <v>2363</v>
      </c>
      <c r="J953" s="1" t="s">
        <v>1414</v>
      </c>
      <c r="K953" s="1" t="s">
        <v>1487</v>
      </c>
      <c r="L953" s="1" t="s">
        <v>1445</v>
      </c>
      <c r="M953" s="1" t="s">
        <v>1004</v>
      </c>
      <c r="N953">
        <f>_xlfn.NUMBERVALUE(LEFT(Table11[[#This Row],[Score]],FIND("/",Table11[[#This Row],[Score]])-1))</f>
        <v>71</v>
      </c>
      <c r="O953">
        <f>IFERROR(_xlfn.NUMBERVALUE(LEFT(Table11[[#This Row],[Score2 ]],FIND("/",Table11[[#This Row],[Score2 ]])-1)),"")</f>
        <v>76</v>
      </c>
      <c r="P953" t="s">
        <v>149</v>
      </c>
      <c r="Q953" s="1" t="s">
        <v>137</v>
      </c>
      <c r="R953" t="str">
        <f>Table11[[#This Row],[Match]]&amp;" "&amp;Table11[[#This Row],[Over]]</f>
        <v>48 13</v>
      </c>
    </row>
    <row r="954" spans="1:18" x14ac:dyDescent="0.3">
      <c r="A954">
        <v>48</v>
      </c>
      <c r="B954" s="1">
        <v>14</v>
      </c>
      <c r="C954" s="1" t="s">
        <v>1301</v>
      </c>
      <c r="D954" s="1" t="s">
        <v>922</v>
      </c>
      <c r="E954" s="1" t="s">
        <v>959</v>
      </c>
      <c r="F954" s="1" t="s">
        <v>1068</v>
      </c>
      <c r="G954" s="1" t="s">
        <v>1301</v>
      </c>
      <c r="H954" s="1" t="s">
        <v>968</v>
      </c>
      <c r="I954" s="1" t="s">
        <v>959</v>
      </c>
      <c r="J954" s="1" t="s">
        <v>1508</v>
      </c>
      <c r="K954" s="1" t="s">
        <v>952</v>
      </c>
      <c r="L954" s="1" t="s">
        <v>963</v>
      </c>
      <c r="M954" s="1" t="s">
        <v>1010</v>
      </c>
      <c r="N954">
        <f>_xlfn.NUMBERVALUE(LEFT(Table11[[#This Row],[Score]],FIND("/",Table11[[#This Row],[Score]])-1))</f>
        <v>77</v>
      </c>
      <c r="O954">
        <f>IFERROR(_xlfn.NUMBERVALUE(LEFT(Table11[[#This Row],[Score2 ]],FIND("/",Table11[[#This Row],[Score2 ]])-1)),"")</f>
        <v>77</v>
      </c>
      <c r="P954" t="s">
        <v>149</v>
      </c>
      <c r="Q954" s="1" t="s">
        <v>137</v>
      </c>
      <c r="R954" t="str">
        <f>Table11[[#This Row],[Match]]&amp;" "&amp;Table11[[#This Row],[Over]]</f>
        <v>48 14</v>
      </c>
    </row>
    <row r="955" spans="1:18" x14ac:dyDescent="0.3">
      <c r="A955">
        <v>48</v>
      </c>
      <c r="B955" s="1">
        <v>15</v>
      </c>
      <c r="C955" s="1" t="s">
        <v>1025</v>
      </c>
      <c r="D955" s="1" t="s">
        <v>950</v>
      </c>
      <c r="E955" s="1" t="s">
        <v>1166</v>
      </c>
      <c r="F955" s="1" t="s">
        <v>1029</v>
      </c>
      <c r="G955" s="1" t="s">
        <v>1301</v>
      </c>
      <c r="H955" s="1" t="s">
        <v>1007</v>
      </c>
      <c r="I955" s="1" t="s">
        <v>2167</v>
      </c>
      <c r="J955" s="1" t="s">
        <v>940</v>
      </c>
      <c r="K955" s="1" t="s">
        <v>1116</v>
      </c>
      <c r="L955" s="1" t="s">
        <v>963</v>
      </c>
      <c r="M955" s="1" t="s">
        <v>1016</v>
      </c>
      <c r="N955">
        <f>_xlfn.NUMBERVALUE(LEFT(Table11[[#This Row],[Score]],FIND("/",Table11[[#This Row],[Score]])-1))</f>
        <v>82</v>
      </c>
      <c r="O955">
        <f>IFERROR(_xlfn.NUMBERVALUE(LEFT(Table11[[#This Row],[Score2 ]],FIND("/",Table11[[#This Row],[Score2 ]])-1)),"")</f>
        <v>77</v>
      </c>
      <c r="P955" t="s">
        <v>149</v>
      </c>
      <c r="Q955" s="1" t="s">
        <v>137</v>
      </c>
      <c r="R955" t="str">
        <f>Table11[[#This Row],[Match]]&amp;" "&amp;Table11[[#This Row],[Over]]</f>
        <v>48 15</v>
      </c>
    </row>
    <row r="956" spans="1:18" x14ac:dyDescent="0.3">
      <c r="A956">
        <v>48</v>
      </c>
      <c r="B956" s="1">
        <v>16</v>
      </c>
      <c r="C956" s="1" t="s">
        <v>1032</v>
      </c>
      <c r="D956" s="1" t="s">
        <v>916</v>
      </c>
      <c r="E956" s="1" t="s">
        <v>1607</v>
      </c>
      <c r="F956" s="1" t="s">
        <v>943</v>
      </c>
      <c r="G956" s="1" t="s">
        <v>3094</v>
      </c>
      <c r="H956" s="1" t="s">
        <v>904</v>
      </c>
      <c r="I956" s="1" t="s">
        <v>969</v>
      </c>
      <c r="J956" s="1" t="s">
        <v>939</v>
      </c>
      <c r="K956" s="1" t="s">
        <v>2226</v>
      </c>
      <c r="L956" s="1" t="s">
        <v>1992</v>
      </c>
      <c r="M956" s="1" t="s">
        <v>1024</v>
      </c>
      <c r="N956">
        <f>_xlfn.NUMBERVALUE(LEFT(Table11[[#This Row],[Score]],FIND("/",Table11[[#This Row],[Score]])-1))</f>
        <v>89</v>
      </c>
      <c r="O956">
        <f>IFERROR(_xlfn.NUMBERVALUE(LEFT(Table11[[#This Row],[Score2 ]],FIND("/",Table11[[#This Row],[Score2 ]])-1)),"")</f>
        <v>80</v>
      </c>
      <c r="P956" t="s">
        <v>149</v>
      </c>
      <c r="Q956" s="1" t="s">
        <v>137</v>
      </c>
      <c r="R956" t="str">
        <f>Table11[[#This Row],[Match]]&amp;" "&amp;Table11[[#This Row],[Over]]</f>
        <v>48 16</v>
      </c>
    </row>
    <row r="957" spans="1:18" x14ac:dyDescent="0.3">
      <c r="A957">
        <v>48</v>
      </c>
      <c r="B957" s="1">
        <v>17</v>
      </c>
      <c r="C957" s="1" t="s">
        <v>3011</v>
      </c>
      <c r="D957" s="1" t="s">
        <v>916</v>
      </c>
      <c r="E957" s="1" t="s">
        <v>2242</v>
      </c>
      <c r="F957" s="1" t="s">
        <v>943</v>
      </c>
      <c r="G957" s="1" t="s">
        <v>3095</v>
      </c>
      <c r="H957" s="1" t="s">
        <v>898</v>
      </c>
      <c r="I957" s="1" t="s">
        <v>1026</v>
      </c>
      <c r="J957" s="1" t="s">
        <v>1636</v>
      </c>
      <c r="K957" s="1" t="s">
        <v>2810</v>
      </c>
      <c r="L957" s="1" t="s">
        <v>1291</v>
      </c>
      <c r="M957" s="1" t="s">
        <v>1031</v>
      </c>
      <c r="N957">
        <f>_xlfn.NUMBERVALUE(LEFT(Table11[[#This Row],[Score]],FIND("/",Table11[[#This Row],[Score]])-1))</f>
        <v>96</v>
      </c>
      <c r="O957">
        <f>IFERROR(_xlfn.NUMBERVALUE(LEFT(Table11[[#This Row],[Score2 ]],FIND("/",Table11[[#This Row],[Score2 ]])-1)),"")</f>
        <v>82</v>
      </c>
      <c r="P957" t="s">
        <v>149</v>
      </c>
      <c r="Q957" s="1" t="s">
        <v>137</v>
      </c>
      <c r="R957" t="str">
        <f>Table11[[#This Row],[Match]]&amp;" "&amp;Table11[[#This Row],[Over]]</f>
        <v>48 17</v>
      </c>
    </row>
    <row r="958" spans="1:18" x14ac:dyDescent="0.3">
      <c r="A958">
        <v>48</v>
      </c>
      <c r="B958" s="1">
        <v>18</v>
      </c>
      <c r="C958" s="1" t="s">
        <v>1044</v>
      </c>
      <c r="D958" s="1" t="s">
        <v>898</v>
      </c>
      <c r="E958" s="1" t="s">
        <v>1145</v>
      </c>
      <c r="F958" s="1" t="s">
        <v>966</v>
      </c>
      <c r="G958" s="1" t="s">
        <v>2556</v>
      </c>
      <c r="H958" s="1" t="s">
        <v>947</v>
      </c>
      <c r="I958" s="1" t="s">
        <v>1365</v>
      </c>
      <c r="J958" s="1" t="s">
        <v>1238</v>
      </c>
      <c r="K958" s="1" t="s">
        <v>2990</v>
      </c>
      <c r="L958" s="1" t="s">
        <v>1457</v>
      </c>
      <c r="M958" s="1" t="s">
        <v>1037</v>
      </c>
      <c r="N958">
        <f>_xlfn.NUMBERVALUE(LEFT(Table11[[#This Row],[Score]],FIND("/",Table11[[#This Row],[Score]])-1))</f>
        <v>98</v>
      </c>
      <c r="O958">
        <f>IFERROR(_xlfn.NUMBERVALUE(LEFT(Table11[[#This Row],[Score2 ]],FIND("/",Table11[[#This Row],[Score2 ]])-1)),"")</f>
        <v>91</v>
      </c>
      <c r="P958" t="s">
        <v>149</v>
      </c>
      <c r="Q958" s="1" t="s">
        <v>137</v>
      </c>
      <c r="R958" t="str">
        <f>Table11[[#This Row],[Match]]&amp;" "&amp;Table11[[#This Row],[Over]]</f>
        <v>48 18</v>
      </c>
    </row>
    <row r="959" spans="1:18" x14ac:dyDescent="0.3">
      <c r="A959">
        <v>48</v>
      </c>
      <c r="B959" s="1">
        <v>19</v>
      </c>
      <c r="C959" s="1" t="s">
        <v>1681</v>
      </c>
      <c r="D959" s="1" t="s">
        <v>898</v>
      </c>
      <c r="E959" s="1" t="s">
        <v>2178</v>
      </c>
      <c r="F959" s="1" t="s">
        <v>976</v>
      </c>
      <c r="G959" s="1" t="s">
        <v>3096</v>
      </c>
      <c r="H959" s="1" t="s">
        <v>904</v>
      </c>
      <c r="I959" s="1" t="s">
        <v>1033</v>
      </c>
      <c r="J959" s="1" t="s">
        <v>1247</v>
      </c>
      <c r="K959" s="1" t="s">
        <v>3097</v>
      </c>
      <c r="L959" s="1" t="s">
        <v>2126</v>
      </c>
      <c r="M959" s="1" t="s">
        <v>1043</v>
      </c>
      <c r="N959">
        <f>_xlfn.NUMBERVALUE(LEFT(Table11[[#This Row],[Score]],FIND("/",Table11[[#This Row],[Score]])-1))</f>
        <v>100</v>
      </c>
      <c r="O959">
        <f>IFERROR(_xlfn.NUMBERVALUE(LEFT(Table11[[#This Row],[Score2 ]],FIND("/",Table11[[#This Row],[Score2 ]])-1)),"")</f>
        <v>94</v>
      </c>
      <c r="P959" t="s">
        <v>149</v>
      </c>
      <c r="Q959" s="1" t="s">
        <v>137</v>
      </c>
      <c r="R959" t="str">
        <f>Table11[[#This Row],[Match]]&amp;" "&amp;Table11[[#This Row],[Over]]</f>
        <v>48 19</v>
      </c>
    </row>
    <row r="960" spans="1:18" x14ac:dyDescent="0.3">
      <c r="A960">
        <v>48</v>
      </c>
      <c r="B960" s="1">
        <v>20</v>
      </c>
      <c r="C960" s="1" t="s">
        <v>3098</v>
      </c>
      <c r="D960" s="1" t="s">
        <v>950</v>
      </c>
      <c r="E960" s="1" t="s">
        <v>1722</v>
      </c>
      <c r="F960" s="1" t="s">
        <v>976</v>
      </c>
      <c r="G960" s="1" t="s">
        <v>3099</v>
      </c>
      <c r="H960" s="1" t="s">
        <v>968</v>
      </c>
      <c r="I960" s="1" t="s">
        <v>1319</v>
      </c>
      <c r="J960" s="1" t="s">
        <v>977</v>
      </c>
      <c r="K960" s="1" t="s">
        <v>1168</v>
      </c>
      <c r="L960" s="1" t="s">
        <v>987</v>
      </c>
      <c r="M960" s="1" t="s">
        <v>1049</v>
      </c>
      <c r="N960">
        <f>_xlfn.NUMBERVALUE(LEFT(Table11[[#This Row],[Score]],FIND("/",Table11[[#This Row],[Score]])-1))</f>
        <v>105</v>
      </c>
      <c r="O960">
        <f>IFERROR(_xlfn.NUMBERVALUE(LEFT(Table11[[#This Row],[Score2 ]],FIND("/",Table11[[#This Row],[Score2 ]])-1)),"")</f>
        <v>95</v>
      </c>
      <c r="P960" t="s">
        <v>149</v>
      </c>
      <c r="Q960" s="1" t="s">
        <v>137</v>
      </c>
      <c r="R960" t="str">
        <f>Table11[[#This Row],[Match]]&amp;" "&amp;Table11[[#This Row],[Over]]</f>
        <v>48 20</v>
      </c>
    </row>
    <row r="961" spans="1:18" x14ac:dyDescent="0.3">
      <c r="A961">
        <v>48</v>
      </c>
      <c r="B961" s="1">
        <v>21</v>
      </c>
      <c r="C961" s="1" t="s">
        <v>3015</v>
      </c>
      <c r="D961" s="1" t="s">
        <v>898</v>
      </c>
      <c r="E961" s="1" t="s">
        <v>2186</v>
      </c>
      <c r="F961" s="1" t="s">
        <v>977</v>
      </c>
      <c r="G961" s="1" t="s">
        <v>1499</v>
      </c>
      <c r="H961" s="1" t="s">
        <v>904</v>
      </c>
      <c r="I961" s="1" t="s">
        <v>1975</v>
      </c>
      <c r="J961" s="1" t="s">
        <v>977</v>
      </c>
      <c r="K961" s="1" t="s">
        <v>3100</v>
      </c>
      <c r="L961" s="1" t="s">
        <v>2692</v>
      </c>
      <c r="M961" s="1" t="s">
        <v>1056</v>
      </c>
      <c r="N961">
        <f>_xlfn.NUMBERVALUE(LEFT(Table11[[#This Row],[Score]],FIND("/",Table11[[#This Row],[Score]])-1))</f>
        <v>107</v>
      </c>
      <c r="O961">
        <f>IFERROR(_xlfn.NUMBERVALUE(LEFT(Table11[[#This Row],[Score2 ]],FIND("/",Table11[[#This Row],[Score2 ]])-1)),"")</f>
        <v>98</v>
      </c>
      <c r="P961" t="s">
        <v>149</v>
      </c>
      <c r="Q961" s="1" t="s">
        <v>137</v>
      </c>
      <c r="R961" t="str">
        <f>Table11[[#This Row],[Match]]&amp;" "&amp;Table11[[#This Row],[Over]]</f>
        <v>48 21</v>
      </c>
    </row>
    <row r="962" spans="1:18" x14ac:dyDescent="0.3">
      <c r="A962">
        <v>48</v>
      </c>
      <c r="B962" s="1">
        <v>22</v>
      </c>
      <c r="C962" s="1" t="s">
        <v>1318</v>
      </c>
      <c r="D962" s="1" t="s">
        <v>916</v>
      </c>
      <c r="E962" s="1" t="s">
        <v>2406</v>
      </c>
      <c r="F962" s="1" t="s">
        <v>977</v>
      </c>
      <c r="G962" s="1" t="s">
        <v>2246</v>
      </c>
      <c r="H962" s="1" t="s">
        <v>998</v>
      </c>
      <c r="I962" s="1" t="s">
        <v>1935</v>
      </c>
      <c r="J962" s="1" t="s">
        <v>939</v>
      </c>
      <c r="K962" s="1" t="s">
        <v>2378</v>
      </c>
      <c r="L962" s="1" t="s">
        <v>2870</v>
      </c>
      <c r="M962" s="1" t="s">
        <v>1063</v>
      </c>
      <c r="N962">
        <f>_xlfn.NUMBERVALUE(LEFT(Table11[[#This Row],[Score]],FIND("/",Table11[[#This Row],[Score]])-1))</f>
        <v>114</v>
      </c>
      <c r="O962">
        <f>IFERROR(_xlfn.NUMBERVALUE(LEFT(Table11[[#This Row],[Score2 ]],FIND("/",Table11[[#This Row],[Score2 ]])-1)),"")</f>
        <v>102</v>
      </c>
      <c r="P962" t="s">
        <v>149</v>
      </c>
      <c r="Q962" s="1" t="s">
        <v>137</v>
      </c>
      <c r="R962" t="str">
        <f>Table11[[#This Row],[Match]]&amp;" "&amp;Table11[[#This Row],[Over]]</f>
        <v>48 22</v>
      </c>
    </row>
    <row r="963" spans="1:18" x14ac:dyDescent="0.3">
      <c r="A963">
        <v>48</v>
      </c>
      <c r="B963" s="1">
        <v>23</v>
      </c>
      <c r="C963" s="1" t="s">
        <v>2358</v>
      </c>
      <c r="D963" s="1" t="s">
        <v>998</v>
      </c>
      <c r="E963" s="1" t="s">
        <v>2167</v>
      </c>
      <c r="F963" s="1" t="s">
        <v>939</v>
      </c>
      <c r="G963" s="1" t="s">
        <v>3101</v>
      </c>
      <c r="H963" s="1" t="s">
        <v>922</v>
      </c>
      <c r="I963" s="1" t="s">
        <v>1148</v>
      </c>
      <c r="J963" s="1" t="s">
        <v>1247</v>
      </c>
      <c r="K963" s="1" t="s">
        <v>3102</v>
      </c>
      <c r="L963" s="1" t="s">
        <v>3012</v>
      </c>
      <c r="M963" s="1" t="s">
        <v>1070</v>
      </c>
      <c r="N963">
        <f>_xlfn.NUMBERVALUE(LEFT(Table11[[#This Row],[Score]],FIND("/",Table11[[#This Row],[Score]])-1))</f>
        <v>118</v>
      </c>
      <c r="O963">
        <f>IFERROR(_xlfn.NUMBERVALUE(LEFT(Table11[[#This Row],[Score2 ]],FIND("/",Table11[[#This Row],[Score2 ]])-1)),"")</f>
        <v>108</v>
      </c>
      <c r="P963" t="s">
        <v>149</v>
      </c>
      <c r="Q963" s="1" t="s">
        <v>137</v>
      </c>
      <c r="R963" t="str">
        <f>Table11[[#This Row],[Match]]&amp;" "&amp;Table11[[#This Row],[Over]]</f>
        <v>48 23</v>
      </c>
    </row>
    <row r="964" spans="1:18" x14ac:dyDescent="0.3">
      <c r="A964">
        <v>48</v>
      </c>
      <c r="B964" s="1">
        <v>24</v>
      </c>
      <c r="C964" s="1" t="s">
        <v>3103</v>
      </c>
      <c r="D964" s="1" t="s">
        <v>922</v>
      </c>
      <c r="E964" s="1" t="s">
        <v>1587</v>
      </c>
      <c r="F964" s="1" t="s">
        <v>1093</v>
      </c>
      <c r="G964" s="1" t="s">
        <v>2571</v>
      </c>
      <c r="H964" s="1" t="s">
        <v>898</v>
      </c>
      <c r="I964" s="1" t="s">
        <v>1786</v>
      </c>
      <c r="J964" s="1" t="s">
        <v>1259</v>
      </c>
      <c r="K964" s="1" t="s">
        <v>1106</v>
      </c>
      <c r="L964" s="1" t="s">
        <v>1470</v>
      </c>
      <c r="M964" s="1" t="s">
        <v>1077</v>
      </c>
      <c r="N964">
        <f>_xlfn.NUMBERVALUE(LEFT(Table11[[#This Row],[Score]],FIND("/",Table11[[#This Row],[Score]])-1))</f>
        <v>124</v>
      </c>
      <c r="O964">
        <f>IFERROR(_xlfn.NUMBERVALUE(LEFT(Table11[[#This Row],[Score2 ]],FIND("/",Table11[[#This Row],[Score2 ]])-1)),"")</f>
        <v>110</v>
      </c>
      <c r="P964" t="s">
        <v>149</v>
      </c>
      <c r="Q964" s="1" t="s">
        <v>137</v>
      </c>
      <c r="R964" t="str">
        <f>Table11[[#This Row],[Match]]&amp;" "&amp;Table11[[#This Row],[Over]]</f>
        <v>48 24</v>
      </c>
    </row>
    <row r="965" spans="1:18" x14ac:dyDescent="0.3">
      <c r="A965">
        <v>48</v>
      </c>
      <c r="B965" s="1">
        <v>25</v>
      </c>
      <c r="C965" s="1" t="s">
        <v>2131</v>
      </c>
      <c r="D965" s="1" t="s">
        <v>930</v>
      </c>
      <c r="E965" s="1" t="s">
        <v>1727</v>
      </c>
      <c r="F965" s="1" t="s">
        <v>966</v>
      </c>
      <c r="G965" s="1" t="s">
        <v>3104</v>
      </c>
      <c r="H965" s="1" t="s">
        <v>950</v>
      </c>
      <c r="I965" s="1" t="s">
        <v>976</v>
      </c>
      <c r="J965" s="1" t="s">
        <v>939</v>
      </c>
      <c r="K965" s="1" t="s">
        <v>1546</v>
      </c>
      <c r="L965" s="1" t="s">
        <v>1479</v>
      </c>
      <c r="M965" s="1" t="s">
        <v>1083</v>
      </c>
      <c r="N965">
        <f>_xlfn.NUMBERVALUE(LEFT(Table11[[#This Row],[Score]],FIND("/",Table11[[#This Row],[Score]])-1))</f>
        <v>132</v>
      </c>
      <c r="O965">
        <f>IFERROR(_xlfn.NUMBERVALUE(LEFT(Table11[[#This Row],[Score2 ]],FIND("/",Table11[[#This Row],[Score2 ]])-1)),"")</f>
        <v>115</v>
      </c>
      <c r="P965" t="s">
        <v>149</v>
      </c>
      <c r="Q965" s="1" t="s">
        <v>137</v>
      </c>
      <c r="R965" t="str">
        <f>Table11[[#This Row],[Match]]&amp;" "&amp;Table11[[#This Row],[Over]]</f>
        <v>48 25</v>
      </c>
    </row>
    <row r="966" spans="1:18" x14ac:dyDescent="0.3">
      <c r="A966">
        <v>48</v>
      </c>
      <c r="B966" s="1">
        <v>26</v>
      </c>
      <c r="C966" s="1" t="s">
        <v>3105</v>
      </c>
      <c r="D966" s="1" t="s">
        <v>904</v>
      </c>
      <c r="E966" s="1" t="s">
        <v>1052</v>
      </c>
      <c r="F966" s="1" t="s">
        <v>934</v>
      </c>
      <c r="G966" s="1" t="s">
        <v>2371</v>
      </c>
      <c r="H966" s="1" t="s">
        <v>922</v>
      </c>
      <c r="I966" s="1" t="s">
        <v>1330</v>
      </c>
      <c r="J966" s="1" t="s">
        <v>976</v>
      </c>
      <c r="K966" s="1" t="s">
        <v>1549</v>
      </c>
      <c r="L966" s="1" t="s">
        <v>2020</v>
      </c>
      <c r="M966" s="1" t="s">
        <v>1090</v>
      </c>
      <c r="N966">
        <f>_xlfn.NUMBERVALUE(LEFT(Table11[[#This Row],[Score]],FIND("/",Table11[[#This Row],[Score]])-1))</f>
        <v>135</v>
      </c>
      <c r="O966">
        <f>IFERROR(_xlfn.NUMBERVALUE(LEFT(Table11[[#This Row],[Score2 ]],FIND("/",Table11[[#This Row],[Score2 ]])-1)),"")</f>
        <v>121</v>
      </c>
      <c r="P966" t="s">
        <v>149</v>
      </c>
      <c r="Q966" s="1" t="s">
        <v>137</v>
      </c>
      <c r="R966" t="str">
        <f>Table11[[#This Row],[Match]]&amp;" "&amp;Table11[[#This Row],[Over]]</f>
        <v>48 26</v>
      </c>
    </row>
    <row r="967" spans="1:18" x14ac:dyDescent="0.3">
      <c r="A967">
        <v>48</v>
      </c>
      <c r="B967" s="1">
        <v>27</v>
      </c>
      <c r="C967" s="1" t="s">
        <v>3106</v>
      </c>
      <c r="D967" s="1" t="s">
        <v>930</v>
      </c>
      <c r="E967" s="1" t="s">
        <v>1072</v>
      </c>
      <c r="F967" s="1" t="s">
        <v>1013</v>
      </c>
      <c r="G967" s="1" t="s">
        <v>2373</v>
      </c>
      <c r="H967" s="1" t="s">
        <v>998</v>
      </c>
      <c r="I967" s="1" t="s">
        <v>1344</v>
      </c>
      <c r="J967" s="1" t="s">
        <v>976</v>
      </c>
      <c r="K967" s="1" t="s">
        <v>2387</v>
      </c>
      <c r="L967" s="1" t="s">
        <v>1024</v>
      </c>
      <c r="M967" s="1" t="s">
        <v>1098</v>
      </c>
      <c r="N967">
        <f>_xlfn.NUMBERVALUE(LEFT(Table11[[#This Row],[Score]],FIND("/",Table11[[#This Row],[Score]])-1))</f>
        <v>143</v>
      </c>
      <c r="O967">
        <f>IFERROR(_xlfn.NUMBERVALUE(LEFT(Table11[[#This Row],[Score2 ]],FIND("/",Table11[[#This Row],[Score2 ]])-1)),"")</f>
        <v>125</v>
      </c>
      <c r="P967" t="s">
        <v>149</v>
      </c>
      <c r="Q967" s="1" t="s">
        <v>137</v>
      </c>
      <c r="R967" t="str">
        <f>Table11[[#This Row],[Match]]&amp;" "&amp;Table11[[#This Row],[Over]]</f>
        <v>48 27</v>
      </c>
    </row>
    <row r="968" spans="1:18" x14ac:dyDescent="0.3">
      <c r="A968">
        <v>48</v>
      </c>
      <c r="B968" s="1">
        <v>28</v>
      </c>
      <c r="C968" s="1" t="s">
        <v>3107</v>
      </c>
      <c r="D968" s="1" t="s">
        <v>998</v>
      </c>
      <c r="E968" s="1" t="s">
        <v>1722</v>
      </c>
      <c r="F968" s="1" t="s">
        <v>1013</v>
      </c>
      <c r="G968" s="1" t="s">
        <v>1536</v>
      </c>
      <c r="H968" s="1" t="s">
        <v>950</v>
      </c>
      <c r="I968" s="1" t="s">
        <v>1028</v>
      </c>
      <c r="J968" s="1" t="s">
        <v>940</v>
      </c>
      <c r="K968" s="1" t="s">
        <v>2025</v>
      </c>
      <c r="L968" s="1" t="s">
        <v>1076</v>
      </c>
      <c r="M968" s="1" t="s">
        <v>1101</v>
      </c>
      <c r="N968">
        <f>_xlfn.NUMBERVALUE(LEFT(Table11[[#This Row],[Score]],FIND("/",Table11[[#This Row],[Score]])-1))</f>
        <v>147</v>
      </c>
      <c r="O968">
        <f>IFERROR(_xlfn.NUMBERVALUE(LEFT(Table11[[#This Row],[Score2 ]],FIND("/",Table11[[#This Row],[Score2 ]])-1)),"")</f>
        <v>130</v>
      </c>
      <c r="P968" t="s">
        <v>149</v>
      </c>
      <c r="Q968" s="1" t="s">
        <v>137</v>
      </c>
      <c r="R968" t="str">
        <f>Table11[[#This Row],[Match]]&amp;" "&amp;Table11[[#This Row],[Over]]</f>
        <v>48 28</v>
      </c>
    </row>
    <row r="969" spans="1:18" x14ac:dyDescent="0.3">
      <c r="A969">
        <v>48</v>
      </c>
      <c r="B969" s="1">
        <v>29</v>
      </c>
      <c r="C969" s="1" t="s">
        <v>3108</v>
      </c>
      <c r="D969" s="1" t="s">
        <v>922</v>
      </c>
      <c r="E969" s="1" t="s">
        <v>1593</v>
      </c>
      <c r="F969" s="1" t="s">
        <v>1013</v>
      </c>
      <c r="G969" s="1" t="s">
        <v>2138</v>
      </c>
      <c r="H969" s="1" t="s">
        <v>904</v>
      </c>
      <c r="I969" s="1" t="s">
        <v>1786</v>
      </c>
      <c r="J969" s="1" t="s">
        <v>976</v>
      </c>
      <c r="K969" s="1" t="s">
        <v>1583</v>
      </c>
      <c r="L969" s="1" t="s">
        <v>1082</v>
      </c>
      <c r="M969" s="1" t="s">
        <v>1108</v>
      </c>
      <c r="N969">
        <f>_xlfn.NUMBERVALUE(LEFT(Table11[[#This Row],[Score]],FIND("/",Table11[[#This Row],[Score]])-1))</f>
        <v>153</v>
      </c>
      <c r="O969">
        <f>IFERROR(_xlfn.NUMBERVALUE(LEFT(Table11[[#This Row],[Score2 ]],FIND("/",Table11[[#This Row],[Score2 ]])-1)),"")</f>
        <v>133</v>
      </c>
      <c r="P969" t="s">
        <v>149</v>
      </c>
      <c r="Q969" s="1" t="s">
        <v>137</v>
      </c>
      <c r="R969" t="str">
        <f>Table11[[#This Row],[Match]]&amp;" "&amp;Table11[[#This Row],[Over]]</f>
        <v>48 29</v>
      </c>
    </row>
    <row r="970" spans="1:18" x14ac:dyDescent="0.3">
      <c r="A970">
        <v>48</v>
      </c>
      <c r="B970" s="1">
        <v>30</v>
      </c>
      <c r="C970" s="1" t="s">
        <v>3109</v>
      </c>
      <c r="D970" s="1" t="s">
        <v>898</v>
      </c>
      <c r="E970" s="1" t="s">
        <v>1587</v>
      </c>
      <c r="F970" s="1" t="s">
        <v>976</v>
      </c>
      <c r="G970" s="1" t="s">
        <v>2649</v>
      </c>
      <c r="H970" s="1" t="s">
        <v>950</v>
      </c>
      <c r="I970" s="1" t="s">
        <v>976</v>
      </c>
      <c r="J970" s="1" t="s">
        <v>976</v>
      </c>
      <c r="K970" s="1" t="s">
        <v>3110</v>
      </c>
      <c r="L970" s="1" t="s">
        <v>2877</v>
      </c>
      <c r="M970" s="1" t="s">
        <v>1113</v>
      </c>
      <c r="N970">
        <f>_xlfn.NUMBERVALUE(LEFT(Table11[[#This Row],[Score]],FIND("/",Table11[[#This Row],[Score]])-1))</f>
        <v>155</v>
      </c>
      <c r="O970">
        <f>IFERROR(_xlfn.NUMBERVALUE(LEFT(Table11[[#This Row],[Score2 ]],FIND("/",Table11[[#This Row],[Score2 ]])-1)),"")</f>
        <v>138</v>
      </c>
      <c r="P970" t="s">
        <v>149</v>
      </c>
      <c r="Q970" s="1" t="s">
        <v>137</v>
      </c>
      <c r="R970" t="str">
        <f>Table11[[#This Row],[Match]]&amp;" "&amp;Table11[[#This Row],[Over]]</f>
        <v>48 30</v>
      </c>
    </row>
    <row r="971" spans="1:18" x14ac:dyDescent="0.3">
      <c r="A971">
        <v>48</v>
      </c>
      <c r="B971" s="1">
        <v>31</v>
      </c>
      <c r="C971" s="1" t="s">
        <v>3111</v>
      </c>
      <c r="D971" s="1" t="s">
        <v>922</v>
      </c>
      <c r="E971" s="1" t="s">
        <v>1052</v>
      </c>
      <c r="F971" s="1" t="s">
        <v>1029</v>
      </c>
      <c r="G971" s="1" t="s">
        <v>3112</v>
      </c>
      <c r="H971" s="1" t="s">
        <v>1095</v>
      </c>
      <c r="I971" s="1" t="s">
        <v>2695</v>
      </c>
      <c r="J971" s="1" t="s">
        <v>966</v>
      </c>
      <c r="K971" s="1" t="s">
        <v>1131</v>
      </c>
      <c r="L971" s="1" t="s">
        <v>1524</v>
      </c>
      <c r="M971" s="1" t="s">
        <v>1121</v>
      </c>
      <c r="N971">
        <f>_xlfn.NUMBERVALUE(LEFT(Table11[[#This Row],[Score]],FIND("/",Table11[[#This Row],[Score]])-1))</f>
        <v>161</v>
      </c>
      <c r="O971">
        <f>IFERROR(_xlfn.NUMBERVALUE(LEFT(Table11[[#This Row],[Score2 ]],FIND("/",Table11[[#This Row],[Score2 ]])-1)),"")</f>
        <v>148</v>
      </c>
      <c r="P971" t="s">
        <v>149</v>
      </c>
      <c r="Q971" s="1" t="s">
        <v>137</v>
      </c>
      <c r="R971" t="str">
        <f>Table11[[#This Row],[Match]]&amp;" "&amp;Table11[[#This Row],[Over]]</f>
        <v>48 31</v>
      </c>
    </row>
    <row r="972" spans="1:18" x14ac:dyDescent="0.3">
      <c r="A972">
        <v>48</v>
      </c>
      <c r="B972" s="1">
        <v>32</v>
      </c>
      <c r="C972" s="1" t="s">
        <v>3113</v>
      </c>
      <c r="D972" s="1" t="s">
        <v>922</v>
      </c>
      <c r="E972" s="1" t="s">
        <v>2449</v>
      </c>
      <c r="F972" s="1" t="s">
        <v>1093</v>
      </c>
      <c r="G972" s="1" t="s">
        <v>2146</v>
      </c>
      <c r="H972" s="1" t="s">
        <v>898</v>
      </c>
      <c r="I972" s="1" t="s">
        <v>1018</v>
      </c>
      <c r="J972" s="1" t="s">
        <v>969</v>
      </c>
      <c r="K972" s="1" t="s">
        <v>2031</v>
      </c>
      <c r="L972" s="1" t="s">
        <v>2370</v>
      </c>
      <c r="M972" s="1" t="s">
        <v>1127</v>
      </c>
      <c r="N972">
        <f>_xlfn.NUMBERVALUE(LEFT(Table11[[#This Row],[Score]],FIND("/",Table11[[#This Row],[Score]])-1))</f>
        <v>167</v>
      </c>
      <c r="O972">
        <f>IFERROR(_xlfn.NUMBERVALUE(LEFT(Table11[[#This Row],[Score2 ]],FIND("/",Table11[[#This Row],[Score2 ]])-1)),"")</f>
        <v>150</v>
      </c>
      <c r="P972" t="s">
        <v>149</v>
      </c>
      <c r="Q972" s="1" t="s">
        <v>137</v>
      </c>
      <c r="R972" t="str">
        <f>Table11[[#This Row],[Match]]&amp;" "&amp;Table11[[#This Row],[Over]]</f>
        <v>48 32</v>
      </c>
    </row>
    <row r="973" spans="1:18" x14ac:dyDescent="0.3">
      <c r="A973">
        <v>48</v>
      </c>
      <c r="B973" s="1">
        <v>33</v>
      </c>
      <c r="C973" s="1" t="s">
        <v>3114</v>
      </c>
      <c r="D973" s="1" t="s">
        <v>933</v>
      </c>
      <c r="E973" s="1" t="s">
        <v>1115</v>
      </c>
      <c r="F973" s="1" t="s">
        <v>1053</v>
      </c>
      <c r="G973" s="1" t="s">
        <v>2717</v>
      </c>
      <c r="H973" s="1" t="s">
        <v>916</v>
      </c>
      <c r="I973" s="1" t="s">
        <v>1319</v>
      </c>
      <c r="J973" s="1" t="s">
        <v>966</v>
      </c>
      <c r="K973" s="1" t="s">
        <v>3115</v>
      </c>
      <c r="L973" s="1" t="s">
        <v>1849</v>
      </c>
      <c r="M973" s="1" t="s">
        <v>1132</v>
      </c>
      <c r="N973">
        <f>_xlfn.NUMBERVALUE(LEFT(Table11[[#This Row],[Score]],FIND("/",Table11[[#This Row],[Score]])-1))</f>
        <v>181</v>
      </c>
      <c r="O973">
        <f>IFERROR(_xlfn.NUMBERVALUE(LEFT(Table11[[#This Row],[Score2 ]],FIND("/",Table11[[#This Row],[Score2 ]])-1)),"")</f>
        <v>157</v>
      </c>
      <c r="P973" t="s">
        <v>149</v>
      </c>
      <c r="Q973" s="1" t="s">
        <v>137</v>
      </c>
      <c r="R973" t="str">
        <f>Table11[[#This Row],[Match]]&amp;" "&amp;Table11[[#This Row],[Over]]</f>
        <v>48 33</v>
      </c>
    </row>
    <row r="974" spans="1:18" x14ac:dyDescent="0.3">
      <c r="A974">
        <v>48</v>
      </c>
      <c r="B974" s="1">
        <v>34</v>
      </c>
      <c r="C974" s="1" t="s">
        <v>3116</v>
      </c>
      <c r="D974" s="1" t="s">
        <v>1511</v>
      </c>
      <c r="E974" s="1" t="s">
        <v>2472</v>
      </c>
      <c r="F974" s="1" t="s">
        <v>1154</v>
      </c>
      <c r="G974" s="1" t="s">
        <v>2390</v>
      </c>
      <c r="H974" s="1" t="s">
        <v>930</v>
      </c>
      <c r="I974" s="1" t="s">
        <v>1174</v>
      </c>
      <c r="J974" s="1" t="s">
        <v>943</v>
      </c>
      <c r="K974" s="1" t="s">
        <v>3036</v>
      </c>
      <c r="L974" s="1" t="s">
        <v>1126</v>
      </c>
      <c r="M974" s="1" t="s">
        <v>1138</v>
      </c>
      <c r="N974">
        <f>_xlfn.NUMBERVALUE(LEFT(Table11[[#This Row],[Score]],FIND("/",Table11[[#This Row],[Score]])-1))</f>
        <v>197</v>
      </c>
      <c r="O974">
        <f>IFERROR(_xlfn.NUMBERVALUE(LEFT(Table11[[#This Row],[Score2 ]],FIND("/",Table11[[#This Row],[Score2 ]])-1)),"")</f>
        <v>165</v>
      </c>
      <c r="P974" t="s">
        <v>149</v>
      </c>
      <c r="Q974" s="1" t="s">
        <v>137</v>
      </c>
      <c r="R974" t="str">
        <f>Table11[[#This Row],[Match]]&amp;" "&amp;Table11[[#This Row],[Over]]</f>
        <v>48 34</v>
      </c>
    </row>
    <row r="975" spans="1:18" x14ac:dyDescent="0.3">
      <c r="A975">
        <v>48</v>
      </c>
      <c r="B975" s="1">
        <v>35</v>
      </c>
      <c r="C975" s="1" t="s">
        <v>1157</v>
      </c>
      <c r="D975" s="1" t="s">
        <v>947</v>
      </c>
      <c r="E975" s="1" t="s">
        <v>1199</v>
      </c>
      <c r="F975" s="1" t="s">
        <v>1746</v>
      </c>
      <c r="G975" s="1" t="s">
        <v>1556</v>
      </c>
      <c r="H975" s="1" t="s">
        <v>950</v>
      </c>
      <c r="I975" s="1" t="s">
        <v>1174</v>
      </c>
      <c r="J975" s="1" t="s">
        <v>943</v>
      </c>
      <c r="K975" s="1" t="s">
        <v>1568</v>
      </c>
      <c r="L975" s="1" t="s">
        <v>2290</v>
      </c>
      <c r="M975" s="1" t="s">
        <v>1143</v>
      </c>
      <c r="N975">
        <f>_xlfn.NUMBERVALUE(LEFT(Table11[[#This Row],[Score]],FIND("/",Table11[[#This Row],[Score]])-1))</f>
        <v>206</v>
      </c>
      <c r="O975">
        <f>IFERROR(_xlfn.NUMBERVALUE(LEFT(Table11[[#This Row],[Score2 ]],FIND("/",Table11[[#This Row],[Score2 ]])-1)),"")</f>
        <v>170</v>
      </c>
      <c r="P975" t="s">
        <v>149</v>
      </c>
      <c r="Q975" s="1" t="s">
        <v>137</v>
      </c>
      <c r="R975" t="str">
        <f>Table11[[#This Row],[Match]]&amp;" "&amp;Table11[[#This Row],[Over]]</f>
        <v>48 35</v>
      </c>
    </row>
    <row r="976" spans="1:18" x14ac:dyDescent="0.3">
      <c r="A976">
        <v>48</v>
      </c>
      <c r="B976" s="1">
        <v>36</v>
      </c>
      <c r="C976" s="1" t="s">
        <v>3117</v>
      </c>
      <c r="D976" s="1" t="s">
        <v>1095</v>
      </c>
      <c r="E976" s="1" t="s">
        <v>1019</v>
      </c>
      <c r="F976" s="1" t="s">
        <v>1213</v>
      </c>
      <c r="G976" s="1" t="s">
        <v>3118</v>
      </c>
      <c r="H976" s="1" t="s">
        <v>916</v>
      </c>
      <c r="I976" s="1" t="s">
        <v>2880</v>
      </c>
      <c r="J976" s="1" t="s">
        <v>1013</v>
      </c>
      <c r="K976" s="1" t="s">
        <v>3119</v>
      </c>
      <c r="L976" s="1" t="s">
        <v>1137</v>
      </c>
      <c r="M976" s="1" t="s">
        <v>1150</v>
      </c>
      <c r="N976">
        <f>_xlfn.NUMBERVALUE(LEFT(Table11[[#This Row],[Score]],FIND("/",Table11[[#This Row],[Score]])-1))</f>
        <v>216</v>
      </c>
      <c r="O976">
        <f>IFERROR(_xlfn.NUMBERVALUE(LEFT(Table11[[#This Row],[Score2 ]],FIND("/",Table11[[#This Row],[Score2 ]])-1)),"")</f>
        <v>177</v>
      </c>
      <c r="P976" t="s">
        <v>149</v>
      </c>
      <c r="Q976" s="1" t="s">
        <v>137</v>
      </c>
      <c r="R976" t="str">
        <f>Table11[[#This Row],[Match]]&amp;" "&amp;Table11[[#This Row],[Over]]</f>
        <v>48 36</v>
      </c>
    </row>
    <row r="977" spans="1:18" x14ac:dyDescent="0.3">
      <c r="A977">
        <v>48</v>
      </c>
      <c r="B977" s="1">
        <v>37</v>
      </c>
      <c r="C977" s="1" t="s">
        <v>3120</v>
      </c>
      <c r="D977" s="1" t="s">
        <v>1147</v>
      </c>
      <c r="E977" s="1" t="s">
        <v>971</v>
      </c>
      <c r="F977" s="1" t="s">
        <v>2417</v>
      </c>
      <c r="G977" s="1" t="s">
        <v>3121</v>
      </c>
      <c r="H977" s="1" t="s">
        <v>898</v>
      </c>
      <c r="I977" s="1" t="s">
        <v>2438</v>
      </c>
      <c r="J977" s="1" t="s">
        <v>1013</v>
      </c>
      <c r="K977" s="1" t="s">
        <v>3122</v>
      </c>
      <c r="L977" s="1" t="s">
        <v>1083</v>
      </c>
      <c r="M977" s="1" t="s">
        <v>1156</v>
      </c>
      <c r="N977">
        <f>_xlfn.NUMBERVALUE(LEFT(Table11[[#This Row],[Score]],FIND("/",Table11[[#This Row],[Score]])-1))</f>
        <v>231</v>
      </c>
      <c r="O977">
        <f>IFERROR(_xlfn.NUMBERVALUE(LEFT(Table11[[#This Row],[Score2 ]],FIND("/",Table11[[#This Row],[Score2 ]])-1)),"")</f>
        <v>179</v>
      </c>
      <c r="P977" t="s">
        <v>149</v>
      </c>
      <c r="Q977" s="1" t="s">
        <v>137</v>
      </c>
      <c r="R977" t="str">
        <f>Table11[[#This Row],[Match]]&amp;" "&amp;Table11[[#This Row],[Over]]</f>
        <v>48 37</v>
      </c>
    </row>
    <row r="978" spans="1:18" x14ac:dyDescent="0.3">
      <c r="A978">
        <v>48</v>
      </c>
      <c r="B978" s="1">
        <v>38</v>
      </c>
      <c r="C978" s="1" t="s">
        <v>2066</v>
      </c>
      <c r="D978" s="1" t="s">
        <v>898</v>
      </c>
      <c r="E978" s="1" t="s">
        <v>3005</v>
      </c>
      <c r="F978" s="1" t="s">
        <v>1409</v>
      </c>
      <c r="G978" s="1" t="s">
        <v>2728</v>
      </c>
      <c r="H978" s="1" t="s">
        <v>998</v>
      </c>
      <c r="I978" s="1" t="s">
        <v>1561</v>
      </c>
      <c r="J978" s="1" t="s">
        <v>1029</v>
      </c>
      <c r="K978" s="1" t="s">
        <v>1384</v>
      </c>
      <c r="L978" s="1" t="s">
        <v>1385</v>
      </c>
      <c r="M978" s="1" t="s">
        <v>1164</v>
      </c>
      <c r="N978">
        <f>_xlfn.NUMBERVALUE(LEFT(Table11[[#This Row],[Score]],FIND("/",Table11[[#This Row],[Score]])-1))</f>
        <v>233</v>
      </c>
      <c r="O978">
        <f>IFERROR(_xlfn.NUMBERVALUE(LEFT(Table11[[#This Row],[Score2 ]],FIND("/",Table11[[#This Row],[Score2 ]])-1)),"")</f>
        <v>183</v>
      </c>
      <c r="P978" t="s">
        <v>149</v>
      </c>
      <c r="Q978" s="1" t="s">
        <v>137</v>
      </c>
      <c r="R978" t="str">
        <f>Table11[[#This Row],[Match]]&amp;" "&amp;Table11[[#This Row],[Over]]</f>
        <v>48 38</v>
      </c>
    </row>
    <row r="979" spans="1:18" x14ac:dyDescent="0.3">
      <c r="A979">
        <v>48</v>
      </c>
      <c r="B979" s="1">
        <v>39</v>
      </c>
      <c r="C979" s="1" t="s">
        <v>3123</v>
      </c>
      <c r="D979" s="1" t="s">
        <v>898</v>
      </c>
      <c r="E979" s="1" t="s">
        <v>1218</v>
      </c>
      <c r="F979" s="1" t="s">
        <v>1508</v>
      </c>
      <c r="G979" s="1" t="s">
        <v>3124</v>
      </c>
      <c r="H979" s="1" t="s">
        <v>947</v>
      </c>
      <c r="I979" s="1" t="s">
        <v>1325</v>
      </c>
      <c r="J979" s="1" t="s">
        <v>966</v>
      </c>
      <c r="K979" s="1" t="s">
        <v>3125</v>
      </c>
      <c r="L979" s="1" t="s">
        <v>1547</v>
      </c>
      <c r="M979" s="1" t="s">
        <v>1171</v>
      </c>
      <c r="N979">
        <f>_xlfn.NUMBERVALUE(LEFT(Table11[[#This Row],[Score]],FIND("/",Table11[[#This Row],[Score]])-1))</f>
        <v>235</v>
      </c>
      <c r="O979">
        <f>IFERROR(_xlfn.NUMBERVALUE(LEFT(Table11[[#This Row],[Score2 ]],FIND("/",Table11[[#This Row],[Score2 ]])-1)),"")</f>
        <v>192</v>
      </c>
      <c r="P979" t="s">
        <v>149</v>
      </c>
      <c r="Q979" s="1" t="s">
        <v>137</v>
      </c>
      <c r="R979" t="str">
        <f>Table11[[#This Row],[Match]]&amp;" "&amp;Table11[[#This Row],[Over]]</f>
        <v>48 39</v>
      </c>
    </row>
    <row r="980" spans="1:18" x14ac:dyDescent="0.3">
      <c r="A980">
        <v>48</v>
      </c>
      <c r="B980" s="1">
        <v>40</v>
      </c>
      <c r="C980" s="1" t="s">
        <v>3126</v>
      </c>
      <c r="D980" s="1" t="s">
        <v>998</v>
      </c>
      <c r="E980" s="1" t="s">
        <v>2442</v>
      </c>
      <c r="F980" s="1" t="s">
        <v>960</v>
      </c>
      <c r="G980" s="1" t="s">
        <v>3127</v>
      </c>
      <c r="H980" s="1" t="s">
        <v>998</v>
      </c>
      <c r="I980" s="1" t="s">
        <v>1045</v>
      </c>
      <c r="J980" s="1" t="s">
        <v>1029</v>
      </c>
      <c r="K980" s="1" t="s">
        <v>1393</v>
      </c>
      <c r="L980" s="1" t="s">
        <v>1394</v>
      </c>
      <c r="M980" s="1" t="s">
        <v>1177</v>
      </c>
      <c r="N980">
        <f>_xlfn.NUMBERVALUE(LEFT(Table11[[#This Row],[Score]],FIND("/",Table11[[#This Row],[Score]])-1))</f>
        <v>239</v>
      </c>
      <c r="O980">
        <f>IFERROR(_xlfn.NUMBERVALUE(LEFT(Table11[[#This Row],[Score2 ]],FIND("/",Table11[[#This Row],[Score2 ]])-1)),"")</f>
        <v>196</v>
      </c>
      <c r="P980" t="s">
        <v>149</v>
      </c>
      <c r="Q980" s="1" t="s">
        <v>137</v>
      </c>
      <c r="R980" t="str">
        <f>Table11[[#This Row],[Match]]&amp;" "&amp;Table11[[#This Row],[Over]]</f>
        <v>48 40</v>
      </c>
    </row>
    <row r="981" spans="1:18" x14ac:dyDescent="0.3">
      <c r="A981">
        <v>48</v>
      </c>
      <c r="B981" s="1">
        <v>41</v>
      </c>
      <c r="C981" s="1" t="s">
        <v>2069</v>
      </c>
      <c r="D981" s="1" t="s">
        <v>898</v>
      </c>
      <c r="E981" s="1" t="s">
        <v>2334</v>
      </c>
      <c r="F981" s="1" t="s">
        <v>969</v>
      </c>
      <c r="G981" s="1" t="s">
        <v>3128</v>
      </c>
      <c r="H981" s="1" t="s">
        <v>930</v>
      </c>
      <c r="I981" s="1" t="s">
        <v>1582</v>
      </c>
      <c r="J981" s="1" t="s">
        <v>966</v>
      </c>
      <c r="K981" s="1" t="s">
        <v>3129</v>
      </c>
      <c r="L981" s="1" t="s">
        <v>1554</v>
      </c>
      <c r="M981" s="1" t="s">
        <v>1183</v>
      </c>
      <c r="N981">
        <f>_xlfn.NUMBERVALUE(LEFT(Table11[[#This Row],[Score]],FIND("/",Table11[[#This Row],[Score]])-1))</f>
        <v>241</v>
      </c>
      <c r="O981">
        <f>IFERROR(_xlfn.NUMBERVALUE(LEFT(Table11[[#This Row],[Score2 ]],FIND("/",Table11[[#This Row],[Score2 ]])-1)),"")</f>
        <v>204</v>
      </c>
      <c r="P981" t="s">
        <v>149</v>
      </c>
      <c r="Q981" s="1" t="s">
        <v>137</v>
      </c>
      <c r="R981" t="str">
        <f>Table11[[#This Row],[Match]]&amp;" "&amp;Table11[[#This Row],[Over]]</f>
        <v>48 41</v>
      </c>
    </row>
    <row r="982" spans="1:18" x14ac:dyDescent="0.3">
      <c r="A982">
        <v>48</v>
      </c>
      <c r="B982" s="1">
        <v>42</v>
      </c>
      <c r="C982" s="1" t="s">
        <v>3130</v>
      </c>
      <c r="D982" s="1" t="s">
        <v>916</v>
      </c>
      <c r="E982" s="1" t="s">
        <v>1407</v>
      </c>
      <c r="F982" s="1" t="s">
        <v>1247</v>
      </c>
      <c r="G982" s="1" t="s">
        <v>3131</v>
      </c>
      <c r="H982" s="1" t="s">
        <v>998</v>
      </c>
      <c r="I982" s="1" t="s">
        <v>2672</v>
      </c>
      <c r="J982" s="1" t="s">
        <v>1013</v>
      </c>
      <c r="K982" s="1" t="s">
        <v>3132</v>
      </c>
      <c r="L982" s="1" t="s">
        <v>2721</v>
      </c>
      <c r="M982" s="1" t="s">
        <v>1190</v>
      </c>
      <c r="N982">
        <f>_xlfn.NUMBERVALUE(LEFT(Table11[[#This Row],[Score]],FIND("/",Table11[[#This Row],[Score]])-1))</f>
        <v>248</v>
      </c>
      <c r="O982">
        <f>IFERROR(_xlfn.NUMBERVALUE(LEFT(Table11[[#This Row],[Score2 ]],FIND("/",Table11[[#This Row],[Score2 ]])-1)),"")</f>
        <v>208</v>
      </c>
      <c r="P982" t="s">
        <v>149</v>
      </c>
      <c r="Q982" s="1" t="s">
        <v>137</v>
      </c>
      <c r="R982" t="str">
        <f>Table11[[#This Row],[Match]]&amp;" "&amp;Table11[[#This Row],[Over]]</f>
        <v>48 42</v>
      </c>
    </row>
    <row r="983" spans="1:18" x14ac:dyDescent="0.3">
      <c r="A983">
        <v>48</v>
      </c>
      <c r="B983" s="1">
        <v>43</v>
      </c>
      <c r="C983" s="1" t="s">
        <v>2308</v>
      </c>
      <c r="D983" s="1" t="s">
        <v>898</v>
      </c>
      <c r="E983" s="1" t="s">
        <v>1420</v>
      </c>
      <c r="F983" s="1" t="s">
        <v>1247</v>
      </c>
      <c r="G983" s="1" t="s">
        <v>3133</v>
      </c>
      <c r="H983" s="1" t="s">
        <v>1147</v>
      </c>
      <c r="I983" s="1" t="s">
        <v>2406</v>
      </c>
      <c r="J983" s="1" t="s">
        <v>1089</v>
      </c>
      <c r="K983" s="1" t="s">
        <v>3134</v>
      </c>
      <c r="L983" s="1" t="s">
        <v>1564</v>
      </c>
      <c r="M983" s="1" t="s">
        <v>1197</v>
      </c>
      <c r="N983">
        <f>_xlfn.NUMBERVALUE(LEFT(Table11[[#This Row],[Score]],FIND("/",Table11[[#This Row],[Score]])-1))</f>
        <v>250</v>
      </c>
      <c r="O983">
        <f>IFERROR(_xlfn.NUMBERVALUE(LEFT(Table11[[#This Row],[Score2 ]],FIND("/",Table11[[#This Row],[Score2 ]])-1)),"")</f>
        <v>223</v>
      </c>
      <c r="P983" t="s">
        <v>149</v>
      </c>
      <c r="Q983" s="1" t="s">
        <v>137</v>
      </c>
      <c r="R983" t="str">
        <f>Table11[[#This Row],[Match]]&amp;" "&amp;Table11[[#This Row],[Over]]</f>
        <v>48 43</v>
      </c>
    </row>
    <row r="984" spans="1:18" x14ac:dyDescent="0.3">
      <c r="A984">
        <v>48</v>
      </c>
      <c r="B984" s="1">
        <v>44</v>
      </c>
      <c r="C984" s="1" t="s">
        <v>2314</v>
      </c>
      <c r="D984" s="1" t="s">
        <v>930</v>
      </c>
      <c r="E984" s="1" t="s">
        <v>2184</v>
      </c>
      <c r="F984" s="1" t="s">
        <v>976</v>
      </c>
      <c r="G984" s="1" t="s">
        <v>3032</v>
      </c>
      <c r="H984" s="1" t="s">
        <v>950</v>
      </c>
      <c r="I984" s="1" t="s">
        <v>2406</v>
      </c>
      <c r="J984" s="1" t="s">
        <v>1116</v>
      </c>
      <c r="K984" s="1" t="s">
        <v>3135</v>
      </c>
      <c r="L984" s="1" t="s">
        <v>1189</v>
      </c>
      <c r="M984" s="1" t="s">
        <v>1205</v>
      </c>
      <c r="N984">
        <f>_xlfn.NUMBERVALUE(LEFT(Table11[[#This Row],[Score]],FIND("/",Table11[[#This Row],[Score]])-1))</f>
        <v>258</v>
      </c>
      <c r="O984">
        <f>IFERROR(_xlfn.NUMBERVALUE(LEFT(Table11[[#This Row],[Score2 ]],FIND("/",Table11[[#This Row],[Score2 ]])-1)),"")</f>
        <v>228</v>
      </c>
      <c r="P984" t="s">
        <v>149</v>
      </c>
      <c r="Q984" s="1" t="s">
        <v>137</v>
      </c>
      <c r="R984" t="str">
        <f>Table11[[#This Row],[Match]]&amp;" "&amp;Table11[[#This Row],[Over]]</f>
        <v>48 44</v>
      </c>
    </row>
    <row r="985" spans="1:18" x14ac:dyDescent="0.3">
      <c r="A985">
        <v>48</v>
      </c>
      <c r="B985" s="1">
        <v>45</v>
      </c>
      <c r="C985" s="1" t="s">
        <v>2863</v>
      </c>
      <c r="D985" s="1" t="s">
        <v>1390</v>
      </c>
      <c r="E985" s="1" t="s">
        <v>1218</v>
      </c>
      <c r="F985" s="1" t="s">
        <v>943</v>
      </c>
      <c r="G985" s="1" t="s">
        <v>3136</v>
      </c>
      <c r="H985" s="1" t="s">
        <v>998</v>
      </c>
      <c r="I985" s="1" t="s">
        <v>1085</v>
      </c>
      <c r="J985" s="1" t="s">
        <v>1116</v>
      </c>
      <c r="K985" s="1" t="s">
        <v>3137</v>
      </c>
      <c r="L985" s="1" t="s">
        <v>2752</v>
      </c>
      <c r="M985" s="1" t="s">
        <v>1211</v>
      </c>
      <c r="N985">
        <f>_xlfn.NUMBERVALUE(LEFT(Table11[[#This Row],[Score]],FIND("/",Table11[[#This Row],[Score]])-1))</f>
        <v>271</v>
      </c>
      <c r="O985">
        <f>IFERROR(_xlfn.NUMBERVALUE(LEFT(Table11[[#This Row],[Score2 ]],FIND("/",Table11[[#This Row],[Score2 ]])-1)),"")</f>
        <v>232</v>
      </c>
      <c r="P985" t="s">
        <v>149</v>
      </c>
      <c r="Q985" s="1" t="s">
        <v>137</v>
      </c>
      <c r="R985" t="str">
        <f>Table11[[#This Row],[Match]]&amp;" "&amp;Table11[[#This Row],[Over]]</f>
        <v>48 45</v>
      </c>
    </row>
    <row r="986" spans="1:18" x14ac:dyDescent="0.3">
      <c r="A986">
        <v>48</v>
      </c>
      <c r="B986" s="1">
        <v>46</v>
      </c>
      <c r="C986" s="1" t="s">
        <v>3138</v>
      </c>
      <c r="D986" s="1" t="s">
        <v>930</v>
      </c>
      <c r="E986" s="1" t="s">
        <v>935</v>
      </c>
      <c r="F986" s="1" t="s">
        <v>1508</v>
      </c>
      <c r="G986" s="1" t="s">
        <v>2196</v>
      </c>
      <c r="H986" s="1" t="s">
        <v>1007</v>
      </c>
      <c r="I986" s="1" t="s">
        <v>2193</v>
      </c>
      <c r="J986" s="1" t="s">
        <v>934</v>
      </c>
      <c r="K986" s="1" t="s">
        <v>3139</v>
      </c>
      <c r="L986" s="1" t="s">
        <v>2752</v>
      </c>
      <c r="M986" s="1" t="s">
        <v>1216</v>
      </c>
      <c r="N986">
        <f>_xlfn.NUMBERVALUE(LEFT(Table11[[#This Row],[Score]],FIND("/",Table11[[#This Row],[Score]])-1))</f>
        <v>279</v>
      </c>
      <c r="O986">
        <f>IFERROR(_xlfn.NUMBERVALUE(LEFT(Table11[[#This Row],[Score2 ]],FIND("/",Table11[[#This Row],[Score2 ]])-1)),"")</f>
        <v>232</v>
      </c>
      <c r="P986" t="s">
        <v>149</v>
      </c>
      <c r="Q986" s="1" t="s">
        <v>137</v>
      </c>
      <c r="R986" t="str">
        <f>Table11[[#This Row],[Match]]&amp;" "&amp;Table11[[#This Row],[Over]]</f>
        <v>48 46</v>
      </c>
    </row>
    <row r="987" spans="1:18" x14ac:dyDescent="0.3">
      <c r="A987">
        <v>48</v>
      </c>
      <c r="B987" s="1">
        <v>47</v>
      </c>
      <c r="C987" s="1" t="s">
        <v>3140</v>
      </c>
      <c r="D987" s="1" t="s">
        <v>947</v>
      </c>
      <c r="E987" s="1" t="s">
        <v>1968</v>
      </c>
      <c r="F987" s="1" t="s">
        <v>1089</v>
      </c>
      <c r="G987" s="1" t="s">
        <v>2200</v>
      </c>
      <c r="H987" s="1" t="s">
        <v>1615</v>
      </c>
      <c r="I987" s="1" t="s">
        <v>3141</v>
      </c>
      <c r="J987" s="1" t="s">
        <v>3142</v>
      </c>
      <c r="K987" s="1" t="s">
        <v>3143</v>
      </c>
      <c r="L987" s="1" t="s">
        <v>1138</v>
      </c>
      <c r="M987" s="1" t="s">
        <v>1684</v>
      </c>
      <c r="N987">
        <f>_xlfn.NUMBERVALUE(LEFT(Table11[[#This Row],[Score]],FIND("/",Table11[[#This Row],[Score]])-1))</f>
        <v>288</v>
      </c>
      <c r="O987">
        <f>IFERROR(_xlfn.NUMBERVALUE(LEFT(Table11[[#This Row],[Score2 ]],FIND("/",Table11[[#This Row],[Score2 ]])-1)),"")</f>
        <v>233</v>
      </c>
      <c r="P987" t="s">
        <v>149</v>
      </c>
      <c r="Q987" s="1" t="s">
        <v>137</v>
      </c>
      <c r="R987" t="str">
        <f>Table11[[#This Row],[Match]]&amp;" "&amp;Table11[[#This Row],[Over]]</f>
        <v>48 47</v>
      </c>
    </row>
    <row r="988" spans="1:18" x14ac:dyDescent="0.3">
      <c r="A988">
        <v>48</v>
      </c>
      <c r="B988" s="1">
        <v>48</v>
      </c>
      <c r="C988" s="1" t="s">
        <v>3144</v>
      </c>
      <c r="D988" s="1" t="s">
        <v>1051</v>
      </c>
      <c r="E988" s="1" t="s">
        <v>1236</v>
      </c>
      <c r="F988" s="1" t="s">
        <v>1141</v>
      </c>
      <c r="N988">
        <f>_xlfn.NUMBERVALUE(LEFT(Table11[[#This Row],[Score]],FIND("/",Table11[[#This Row],[Score]])-1))</f>
        <v>299</v>
      </c>
      <c r="O988" t="str">
        <f>IFERROR(_xlfn.NUMBERVALUE(LEFT(Table11[[#This Row],[Score2 ]],FIND("/",Table11[[#This Row],[Score2 ]])-1)),"")</f>
        <v/>
      </c>
      <c r="P988" t="s">
        <v>149</v>
      </c>
      <c r="Q988" s="1" t="s">
        <v>137</v>
      </c>
      <c r="R988" t="str">
        <f>Table11[[#This Row],[Match]]&amp;" "&amp;Table11[[#This Row],[Over]]</f>
        <v>48 48</v>
      </c>
    </row>
    <row r="989" spans="1:18" x14ac:dyDescent="0.3">
      <c r="A989">
        <v>48</v>
      </c>
      <c r="B989" s="1">
        <v>49</v>
      </c>
      <c r="C989" s="1" t="s">
        <v>3145</v>
      </c>
      <c r="D989" s="1" t="s">
        <v>933</v>
      </c>
      <c r="E989" s="1" t="s">
        <v>1459</v>
      </c>
      <c r="F989" s="1" t="s">
        <v>1213</v>
      </c>
      <c r="N989">
        <f>_xlfn.NUMBERVALUE(LEFT(Table11[[#This Row],[Score]],FIND("/",Table11[[#This Row],[Score]])-1))</f>
        <v>313</v>
      </c>
      <c r="O989" t="str">
        <f>IFERROR(_xlfn.NUMBERVALUE(LEFT(Table11[[#This Row],[Score2 ]],FIND("/",Table11[[#This Row],[Score2 ]])-1)),"")</f>
        <v/>
      </c>
      <c r="P989" t="s">
        <v>149</v>
      </c>
      <c r="Q989" s="1" t="s">
        <v>137</v>
      </c>
      <c r="R989" t="str">
        <f>Table11[[#This Row],[Match]]&amp;" "&amp;Table11[[#This Row],[Over]]</f>
        <v>48 49</v>
      </c>
    </row>
    <row r="990" spans="1:18" x14ac:dyDescent="0.3">
      <c r="A990">
        <v>48</v>
      </c>
      <c r="B990" s="1">
        <v>50</v>
      </c>
      <c r="C990" s="1" t="s">
        <v>3146</v>
      </c>
      <c r="D990" s="1" t="s">
        <v>1147</v>
      </c>
      <c r="E990" s="1" t="s">
        <v>1002</v>
      </c>
      <c r="F990" s="1" t="s">
        <v>2084</v>
      </c>
      <c r="N990">
        <f>_xlfn.NUMBERVALUE(LEFT(Table11[[#This Row],[Score]],FIND("/",Table11[[#This Row],[Score]])-1))</f>
        <v>328</v>
      </c>
      <c r="O990" t="str">
        <f>IFERROR(_xlfn.NUMBERVALUE(LEFT(Table11[[#This Row],[Score2 ]],FIND("/",Table11[[#This Row],[Score2 ]])-1)),"")</f>
        <v/>
      </c>
      <c r="P990" t="s">
        <v>149</v>
      </c>
      <c r="Q990" s="1" t="s">
        <v>137</v>
      </c>
      <c r="R990" t="str">
        <f>Table11[[#This Row],[Match]]&amp;" "&amp;Table11[[#This Row],[Over]]</f>
        <v>48 50</v>
      </c>
    </row>
    <row r="991" spans="1:18" x14ac:dyDescent="0.3">
      <c r="A991">
        <v>45</v>
      </c>
      <c r="B991" s="1">
        <v>1</v>
      </c>
      <c r="C991" s="1" t="s">
        <v>2686</v>
      </c>
      <c r="D991" s="1" t="s">
        <v>968</v>
      </c>
      <c r="E991" s="1" t="s">
        <v>1662</v>
      </c>
      <c r="F991" s="1" t="s">
        <v>348</v>
      </c>
      <c r="G991" s="1" t="s">
        <v>913</v>
      </c>
      <c r="H991" s="1" t="s">
        <v>916</v>
      </c>
      <c r="I991" s="1" t="s">
        <v>952</v>
      </c>
      <c r="J991" s="1" t="s">
        <v>348</v>
      </c>
      <c r="K991" s="1" t="s">
        <v>1535</v>
      </c>
      <c r="L991" s="1" t="s">
        <v>2137</v>
      </c>
      <c r="M991" s="1" t="s">
        <v>902</v>
      </c>
      <c r="N991">
        <f>_xlfn.NUMBERVALUE(LEFT(Table11[[#This Row],[Score]],FIND("/",Table11[[#This Row],[Score]])-1))</f>
        <v>1</v>
      </c>
      <c r="O991">
        <f>IFERROR(_xlfn.NUMBERVALUE(LEFT(Table11[[#This Row],[Score2 ]],FIND("/",Table11[[#This Row],[Score2 ]])-1)),"")</f>
        <v>7</v>
      </c>
      <c r="P991" t="s">
        <v>153</v>
      </c>
      <c r="Q991" s="1" t="s">
        <v>149</v>
      </c>
      <c r="R991" t="str">
        <f>Table11[[#This Row],[Match]]&amp;" "&amp;Table11[[#This Row],[Over]]</f>
        <v>45 1</v>
      </c>
    </row>
    <row r="992" spans="1:18" x14ac:dyDescent="0.3">
      <c r="A992">
        <v>45</v>
      </c>
      <c r="B992" s="1">
        <v>2</v>
      </c>
      <c r="C992" s="1" t="s">
        <v>1232</v>
      </c>
      <c r="D992" s="1" t="s">
        <v>950</v>
      </c>
      <c r="E992" s="1" t="s">
        <v>1238</v>
      </c>
      <c r="F992" s="1" t="s">
        <v>348</v>
      </c>
      <c r="G992" s="1" t="s">
        <v>921</v>
      </c>
      <c r="H992" s="1" t="s">
        <v>922</v>
      </c>
      <c r="I992" s="1" t="s">
        <v>1729</v>
      </c>
      <c r="J992" s="1" t="s">
        <v>348</v>
      </c>
      <c r="K992" s="1" t="s">
        <v>1292</v>
      </c>
      <c r="L992" s="1" t="s">
        <v>1314</v>
      </c>
      <c r="M992" s="1" t="s">
        <v>909</v>
      </c>
      <c r="N992">
        <f>_xlfn.NUMBERVALUE(LEFT(Table11[[#This Row],[Score]],FIND("/",Table11[[#This Row],[Score]])-1))</f>
        <v>6</v>
      </c>
      <c r="O992">
        <f>IFERROR(_xlfn.NUMBERVALUE(LEFT(Table11[[#This Row],[Score2 ]],FIND("/",Table11[[#This Row],[Score2 ]])-1)),"")</f>
        <v>13</v>
      </c>
      <c r="P992" t="s">
        <v>153</v>
      </c>
      <c r="Q992" s="1" t="s">
        <v>149</v>
      </c>
      <c r="R992" t="str">
        <f>Table11[[#This Row],[Match]]&amp;" "&amp;Table11[[#This Row],[Over]]</f>
        <v>45 2</v>
      </c>
    </row>
    <row r="993" spans="1:18" x14ac:dyDescent="0.3">
      <c r="A993">
        <v>45</v>
      </c>
      <c r="B993" s="1">
        <v>3</v>
      </c>
      <c r="C993" s="1" t="s">
        <v>1239</v>
      </c>
      <c r="D993" s="1" t="s">
        <v>922</v>
      </c>
      <c r="E993" s="1" t="s">
        <v>939</v>
      </c>
      <c r="F993" s="1" t="s">
        <v>348</v>
      </c>
      <c r="G993" s="1" t="s">
        <v>3147</v>
      </c>
      <c r="H993" s="1" t="s">
        <v>898</v>
      </c>
      <c r="I993" s="1" t="s">
        <v>969</v>
      </c>
      <c r="J993" s="1" t="s">
        <v>348</v>
      </c>
      <c r="K993" s="1" t="s">
        <v>1532</v>
      </c>
      <c r="L993" s="1" t="s">
        <v>1076</v>
      </c>
      <c r="M993" s="1" t="s">
        <v>920</v>
      </c>
      <c r="N993">
        <f>_xlfn.NUMBERVALUE(LEFT(Table11[[#This Row],[Score]],FIND("/",Table11[[#This Row],[Score]])-1))</f>
        <v>12</v>
      </c>
      <c r="O993">
        <f>IFERROR(_xlfn.NUMBERVALUE(LEFT(Table11[[#This Row],[Score2 ]],FIND("/",Table11[[#This Row],[Score2 ]])-1)),"")</f>
        <v>15</v>
      </c>
      <c r="P993" t="s">
        <v>153</v>
      </c>
      <c r="Q993" s="1" t="s">
        <v>149</v>
      </c>
      <c r="R993" t="str">
        <f>Table11[[#This Row],[Match]]&amp;" "&amp;Table11[[#This Row],[Over]]</f>
        <v>45 3</v>
      </c>
    </row>
    <row r="994" spans="1:18" x14ac:dyDescent="0.3">
      <c r="A994">
        <v>45</v>
      </c>
      <c r="B994" s="1">
        <v>4</v>
      </c>
      <c r="C994" s="1" t="s">
        <v>921</v>
      </c>
      <c r="D994" s="1" t="s">
        <v>968</v>
      </c>
      <c r="E994" s="1" t="s">
        <v>923</v>
      </c>
      <c r="F994" s="1" t="s">
        <v>348</v>
      </c>
      <c r="G994" s="1" t="s">
        <v>1246</v>
      </c>
      <c r="H994" s="1" t="s">
        <v>898</v>
      </c>
      <c r="I994" s="1" t="s">
        <v>1074</v>
      </c>
      <c r="J994" s="1" t="s">
        <v>348</v>
      </c>
      <c r="K994" s="1" t="s">
        <v>1124</v>
      </c>
      <c r="L994" s="1" t="s">
        <v>3148</v>
      </c>
      <c r="M994" s="1" t="s">
        <v>928</v>
      </c>
      <c r="N994">
        <f>_xlfn.NUMBERVALUE(LEFT(Table11[[#This Row],[Score]],FIND("/",Table11[[#This Row],[Score]])-1))</f>
        <v>13</v>
      </c>
      <c r="O994">
        <f>IFERROR(_xlfn.NUMBERVALUE(LEFT(Table11[[#This Row],[Score2 ]],FIND("/",Table11[[#This Row],[Score2 ]])-1)),"")</f>
        <v>17</v>
      </c>
      <c r="P994" t="s">
        <v>153</v>
      </c>
      <c r="Q994" s="1" t="s">
        <v>149</v>
      </c>
      <c r="R994" t="str">
        <f>Table11[[#This Row],[Match]]&amp;" "&amp;Table11[[#This Row],[Over]]</f>
        <v>45 4</v>
      </c>
    </row>
    <row r="995" spans="1:18" x14ac:dyDescent="0.3">
      <c r="A995">
        <v>45</v>
      </c>
      <c r="B995" s="1">
        <v>5</v>
      </c>
      <c r="C995" s="1" t="s">
        <v>3149</v>
      </c>
      <c r="D995" s="1" t="s">
        <v>1051</v>
      </c>
      <c r="E995" s="1" t="s">
        <v>1093</v>
      </c>
      <c r="F995" s="1" t="s">
        <v>1093</v>
      </c>
      <c r="G995" s="1" t="s">
        <v>3150</v>
      </c>
      <c r="H995" s="1" t="s">
        <v>922</v>
      </c>
      <c r="I995" s="1" t="s">
        <v>976</v>
      </c>
      <c r="J995" s="1" t="s">
        <v>976</v>
      </c>
      <c r="K995" s="1" t="s">
        <v>2060</v>
      </c>
      <c r="L995" s="1" t="s">
        <v>2877</v>
      </c>
      <c r="M995" s="1" t="s">
        <v>937</v>
      </c>
      <c r="N995">
        <f>_xlfn.NUMBERVALUE(LEFT(Table11[[#This Row],[Score]],FIND("/",Table11[[#This Row],[Score]])-1))</f>
        <v>24</v>
      </c>
      <c r="O995">
        <f>IFERROR(_xlfn.NUMBERVALUE(LEFT(Table11[[#This Row],[Score2 ]],FIND("/",Table11[[#This Row],[Score2 ]])-1)),"")</f>
        <v>23</v>
      </c>
      <c r="P995" t="s">
        <v>153</v>
      </c>
      <c r="Q995" s="1" t="s">
        <v>149</v>
      </c>
      <c r="R995" t="str">
        <f>Table11[[#This Row],[Match]]&amp;" "&amp;Table11[[#This Row],[Over]]</f>
        <v>45 5</v>
      </c>
    </row>
    <row r="996" spans="1:18" x14ac:dyDescent="0.3">
      <c r="A996">
        <v>45</v>
      </c>
      <c r="B996" s="1">
        <v>6</v>
      </c>
      <c r="C996" s="1" t="s">
        <v>2993</v>
      </c>
      <c r="D996" s="1" t="s">
        <v>898</v>
      </c>
      <c r="E996" s="1" t="s">
        <v>989</v>
      </c>
      <c r="F996" s="1" t="s">
        <v>969</v>
      </c>
      <c r="G996" s="1" t="s">
        <v>956</v>
      </c>
      <c r="H996" s="1" t="s">
        <v>1103</v>
      </c>
      <c r="I996" s="1" t="s">
        <v>1404</v>
      </c>
      <c r="J996" s="1" t="s">
        <v>934</v>
      </c>
      <c r="K996" s="1" t="s">
        <v>1288</v>
      </c>
      <c r="L996" s="1" t="s">
        <v>2370</v>
      </c>
      <c r="M996" s="1" t="s">
        <v>945</v>
      </c>
      <c r="N996">
        <f>_xlfn.NUMBERVALUE(LEFT(Table11[[#This Row],[Score]],FIND("/",Table11[[#This Row],[Score]])-1))</f>
        <v>26</v>
      </c>
      <c r="O996">
        <f>IFERROR(_xlfn.NUMBERVALUE(LEFT(Table11[[#This Row],[Score2 ]],FIND("/",Table11[[#This Row],[Score2 ]])-1)),"")</f>
        <v>35</v>
      </c>
      <c r="P996" t="s">
        <v>153</v>
      </c>
      <c r="Q996" s="1" t="s">
        <v>149</v>
      </c>
      <c r="R996" t="str">
        <f>Table11[[#This Row],[Match]]&amp;" "&amp;Table11[[#This Row],[Over]]</f>
        <v>45 6</v>
      </c>
    </row>
    <row r="997" spans="1:18" x14ac:dyDescent="0.3">
      <c r="A997">
        <v>45</v>
      </c>
      <c r="B997" s="1">
        <v>7</v>
      </c>
      <c r="C997" s="1" t="s">
        <v>2993</v>
      </c>
      <c r="D997" s="1" t="s">
        <v>1007</v>
      </c>
      <c r="E997" s="1" t="s">
        <v>1255</v>
      </c>
      <c r="F997" s="1" t="s">
        <v>939</v>
      </c>
      <c r="G997" s="1" t="s">
        <v>964</v>
      </c>
      <c r="H997" s="1" t="s">
        <v>950</v>
      </c>
      <c r="I997" s="1" t="s">
        <v>2153</v>
      </c>
      <c r="J997" s="1" t="s">
        <v>966</v>
      </c>
      <c r="K997" s="1" t="s">
        <v>1505</v>
      </c>
      <c r="L997" s="1" t="s">
        <v>1056</v>
      </c>
      <c r="M997" s="1" t="s">
        <v>955</v>
      </c>
      <c r="N997">
        <f>_xlfn.NUMBERVALUE(LEFT(Table11[[#This Row],[Score]],FIND("/",Table11[[#This Row],[Score]])-1))</f>
        <v>26</v>
      </c>
      <c r="O997">
        <f>IFERROR(_xlfn.NUMBERVALUE(LEFT(Table11[[#This Row],[Score2 ]],FIND("/",Table11[[#This Row],[Score2 ]])-1)),"")</f>
        <v>40</v>
      </c>
      <c r="P997" t="s">
        <v>153</v>
      </c>
      <c r="Q997" s="1" t="s">
        <v>149</v>
      </c>
      <c r="R997" t="str">
        <f>Table11[[#This Row],[Match]]&amp;" "&amp;Table11[[#This Row],[Over]]</f>
        <v>45 7</v>
      </c>
    </row>
    <row r="998" spans="1:18" x14ac:dyDescent="0.3">
      <c r="A998">
        <v>45</v>
      </c>
      <c r="B998" s="1">
        <v>8</v>
      </c>
      <c r="C998" s="1" t="s">
        <v>1646</v>
      </c>
      <c r="D998" s="1" t="s">
        <v>898</v>
      </c>
      <c r="E998" s="1" t="s">
        <v>925</v>
      </c>
      <c r="F998" s="1" t="s">
        <v>1259</v>
      </c>
      <c r="G998" s="1" t="s">
        <v>958</v>
      </c>
      <c r="H998" s="1" t="s">
        <v>998</v>
      </c>
      <c r="I998" s="1" t="s">
        <v>959</v>
      </c>
      <c r="J998" s="1" t="s">
        <v>1013</v>
      </c>
      <c r="K998" s="1" t="s">
        <v>1505</v>
      </c>
      <c r="L998" s="1" t="s">
        <v>2041</v>
      </c>
      <c r="M998" s="1" t="s">
        <v>963</v>
      </c>
      <c r="N998">
        <f>_xlfn.NUMBERVALUE(LEFT(Table11[[#This Row],[Score]],FIND("/",Table11[[#This Row],[Score]])-1))</f>
        <v>28</v>
      </c>
      <c r="O998">
        <f>IFERROR(_xlfn.NUMBERVALUE(LEFT(Table11[[#This Row],[Score2 ]],FIND("/",Table11[[#This Row],[Score2 ]])-1)),"")</f>
        <v>44</v>
      </c>
      <c r="P998" t="s">
        <v>153</v>
      </c>
      <c r="Q998" s="1" t="s">
        <v>149</v>
      </c>
      <c r="R998" t="str">
        <f>Table11[[#This Row],[Match]]&amp;" "&amp;Table11[[#This Row],[Over]]</f>
        <v>45 8</v>
      </c>
    </row>
    <row r="999" spans="1:18" x14ac:dyDescent="0.3">
      <c r="A999">
        <v>45</v>
      </c>
      <c r="B999" s="1">
        <v>9</v>
      </c>
      <c r="C999" s="1" t="s">
        <v>2760</v>
      </c>
      <c r="D999" s="1" t="s">
        <v>930</v>
      </c>
      <c r="E999" s="1" t="s">
        <v>939</v>
      </c>
      <c r="F999" s="1" t="s">
        <v>976</v>
      </c>
      <c r="G999" s="1" t="s">
        <v>1285</v>
      </c>
      <c r="H999" s="1" t="s">
        <v>930</v>
      </c>
      <c r="I999" s="1" t="s">
        <v>2424</v>
      </c>
      <c r="J999" s="1" t="s">
        <v>952</v>
      </c>
      <c r="K999" s="1" t="s">
        <v>2784</v>
      </c>
      <c r="L999" s="1" t="s">
        <v>1070</v>
      </c>
      <c r="M999" s="1" t="s">
        <v>973</v>
      </c>
      <c r="N999">
        <f>_xlfn.NUMBERVALUE(LEFT(Table11[[#This Row],[Score]],FIND("/",Table11[[#This Row],[Score]])-1))</f>
        <v>36</v>
      </c>
      <c r="O999">
        <f>IFERROR(_xlfn.NUMBERVALUE(LEFT(Table11[[#This Row],[Score2 ]],FIND("/",Table11[[#This Row],[Score2 ]])-1)),"")</f>
        <v>52</v>
      </c>
      <c r="P999" t="s">
        <v>153</v>
      </c>
      <c r="Q999" s="1" t="s">
        <v>149</v>
      </c>
      <c r="R999" t="str">
        <f>Table11[[#This Row],[Match]]&amp;" "&amp;Table11[[#This Row],[Over]]</f>
        <v>45 9</v>
      </c>
    </row>
    <row r="1000" spans="1:18" x14ac:dyDescent="0.3">
      <c r="A1000">
        <v>45</v>
      </c>
      <c r="B1000" s="1">
        <v>10</v>
      </c>
      <c r="C1000" s="1" t="s">
        <v>3151</v>
      </c>
      <c r="D1000" s="1" t="s">
        <v>968</v>
      </c>
      <c r="E1000" s="1" t="s">
        <v>2816</v>
      </c>
      <c r="F1000" s="1" t="s">
        <v>984</v>
      </c>
      <c r="G1000" s="1" t="s">
        <v>1870</v>
      </c>
      <c r="H1000" s="1" t="s">
        <v>998</v>
      </c>
      <c r="I1000" s="1" t="s">
        <v>934</v>
      </c>
      <c r="J1000" s="1" t="s">
        <v>960</v>
      </c>
      <c r="K1000" s="1" t="s">
        <v>2784</v>
      </c>
      <c r="L1000" s="1" t="s">
        <v>1538</v>
      </c>
      <c r="M1000" s="1" t="s">
        <v>980</v>
      </c>
      <c r="N1000">
        <f>_xlfn.NUMBERVALUE(LEFT(Table11[[#This Row],[Score]],FIND("/",Table11[[#This Row],[Score]])-1))</f>
        <v>37</v>
      </c>
      <c r="O1000">
        <f>IFERROR(_xlfn.NUMBERVALUE(LEFT(Table11[[#This Row],[Score2 ]],FIND("/",Table11[[#This Row],[Score2 ]])-1)),"")</f>
        <v>56</v>
      </c>
      <c r="P1000" t="s">
        <v>153</v>
      </c>
      <c r="Q1000" s="1" t="s">
        <v>149</v>
      </c>
      <c r="R1000" t="str">
        <f>Table11[[#This Row],[Match]]&amp;" "&amp;Table11[[#This Row],[Over]]</f>
        <v>45 10</v>
      </c>
    </row>
    <row r="1001" spans="1:18" x14ac:dyDescent="0.3">
      <c r="A1001">
        <v>45</v>
      </c>
      <c r="B1001" s="1">
        <v>11</v>
      </c>
      <c r="C1001" s="1" t="s">
        <v>1981</v>
      </c>
      <c r="D1001" s="1" t="s">
        <v>968</v>
      </c>
      <c r="E1001" s="1" t="s">
        <v>2609</v>
      </c>
      <c r="F1001" s="1" t="s">
        <v>1088</v>
      </c>
      <c r="G1001" s="1" t="s">
        <v>1476</v>
      </c>
      <c r="H1001" s="1" t="s">
        <v>904</v>
      </c>
      <c r="I1001" s="1" t="s">
        <v>1652</v>
      </c>
      <c r="J1001" s="1" t="s">
        <v>1093</v>
      </c>
      <c r="K1001" s="1" t="s">
        <v>2043</v>
      </c>
      <c r="L1001" s="1" t="s">
        <v>1368</v>
      </c>
      <c r="M1001" s="1" t="s">
        <v>987</v>
      </c>
      <c r="N1001">
        <f>_xlfn.NUMBERVALUE(LEFT(Table11[[#This Row],[Score]],FIND("/",Table11[[#This Row],[Score]])-1))</f>
        <v>38</v>
      </c>
      <c r="O1001">
        <f>IFERROR(_xlfn.NUMBERVALUE(LEFT(Table11[[#This Row],[Score2 ]],FIND("/",Table11[[#This Row],[Score2 ]])-1)),"")</f>
        <v>59</v>
      </c>
      <c r="P1001" t="s">
        <v>153</v>
      </c>
      <c r="Q1001" s="1" t="s">
        <v>149</v>
      </c>
      <c r="R1001" t="str">
        <f>Table11[[#This Row],[Match]]&amp;" "&amp;Table11[[#This Row],[Over]]</f>
        <v>45 11</v>
      </c>
    </row>
    <row r="1002" spans="1:18" x14ac:dyDescent="0.3">
      <c r="A1002">
        <v>45</v>
      </c>
      <c r="B1002" s="1">
        <v>12</v>
      </c>
      <c r="C1002" s="1" t="s">
        <v>1283</v>
      </c>
      <c r="D1002" s="1" t="s">
        <v>1051</v>
      </c>
      <c r="E1002" s="1" t="s">
        <v>1500</v>
      </c>
      <c r="F1002" s="1" t="s">
        <v>976</v>
      </c>
      <c r="G1002" s="1" t="s">
        <v>2933</v>
      </c>
      <c r="H1002" s="1" t="s">
        <v>916</v>
      </c>
      <c r="I1002" s="1" t="s">
        <v>959</v>
      </c>
      <c r="J1002" s="1" t="s">
        <v>1029</v>
      </c>
      <c r="K1002" s="1" t="s">
        <v>2936</v>
      </c>
      <c r="L1002" s="1" t="s">
        <v>2295</v>
      </c>
      <c r="M1002" s="1" t="s">
        <v>996</v>
      </c>
      <c r="N1002">
        <f>_xlfn.NUMBERVALUE(LEFT(Table11[[#This Row],[Score]],FIND("/",Table11[[#This Row],[Score]])-1))</f>
        <v>49</v>
      </c>
      <c r="O1002">
        <f>IFERROR(_xlfn.NUMBERVALUE(LEFT(Table11[[#This Row],[Score2 ]],FIND("/",Table11[[#This Row],[Score2 ]])-1)),"")</f>
        <v>66</v>
      </c>
      <c r="P1002" t="s">
        <v>153</v>
      </c>
      <c r="Q1002" s="1" t="s">
        <v>149</v>
      </c>
      <c r="R1002" t="str">
        <f>Table11[[#This Row],[Match]]&amp;" "&amp;Table11[[#This Row],[Over]]</f>
        <v>45 12</v>
      </c>
    </row>
    <row r="1003" spans="1:18" x14ac:dyDescent="0.3">
      <c r="A1003">
        <v>45</v>
      </c>
      <c r="B1003" s="1">
        <v>13</v>
      </c>
      <c r="C1003" s="1" t="s">
        <v>1285</v>
      </c>
      <c r="D1003" s="1" t="s">
        <v>904</v>
      </c>
      <c r="E1003" s="1" t="s">
        <v>939</v>
      </c>
      <c r="F1003" s="1" t="s">
        <v>1093</v>
      </c>
      <c r="G1003" s="1" t="s">
        <v>2348</v>
      </c>
      <c r="H1003" s="1" t="s">
        <v>968</v>
      </c>
      <c r="I1003" s="1" t="s">
        <v>1085</v>
      </c>
      <c r="J1003" s="1" t="s">
        <v>976</v>
      </c>
      <c r="K1003" s="1" t="s">
        <v>2043</v>
      </c>
      <c r="L1003" s="1" t="s">
        <v>1142</v>
      </c>
      <c r="M1003" s="1" t="s">
        <v>1004</v>
      </c>
      <c r="N1003">
        <f>_xlfn.NUMBERVALUE(LEFT(Table11[[#This Row],[Score]],FIND("/",Table11[[#This Row],[Score]])-1))</f>
        <v>52</v>
      </c>
      <c r="O1003">
        <f>IFERROR(_xlfn.NUMBERVALUE(LEFT(Table11[[#This Row],[Score2 ]],FIND("/",Table11[[#This Row],[Score2 ]])-1)),"")</f>
        <v>67</v>
      </c>
      <c r="P1003" t="s">
        <v>153</v>
      </c>
      <c r="Q1003" s="1" t="s">
        <v>149</v>
      </c>
      <c r="R1003" t="str">
        <f>Table11[[#This Row],[Match]]&amp;" "&amp;Table11[[#This Row],[Over]]</f>
        <v>45 13</v>
      </c>
    </row>
    <row r="1004" spans="1:18" x14ac:dyDescent="0.3">
      <c r="A1004">
        <v>45</v>
      </c>
      <c r="B1004" s="1">
        <v>14</v>
      </c>
      <c r="C1004" s="1" t="s">
        <v>1289</v>
      </c>
      <c r="D1004" s="1" t="s">
        <v>947</v>
      </c>
      <c r="E1004" s="1" t="s">
        <v>1299</v>
      </c>
      <c r="F1004" s="1" t="s">
        <v>969</v>
      </c>
      <c r="G1004" s="1" t="s">
        <v>1489</v>
      </c>
      <c r="H1004" s="1" t="s">
        <v>950</v>
      </c>
      <c r="I1004" s="1" t="s">
        <v>1092</v>
      </c>
      <c r="J1004" s="1" t="s">
        <v>939</v>
      </c>
      <c r="K1004" s="1" t="s">
        <v>2349</v>
      </c>
      <c r="L1004" s="1" t="s">
        <v>1864</v>
      </c>
      <c r="M1004" s="1" t="s">
        <v>1010</v>
      </c>
      <c r="N1004">
        <f>_xlfn.NUMBERVALUE(LEFT(Table11[[#This Row],[Score]],FIND("/",Table11[[#This Row],[Score]])-1))</f>
        <v>61</v>
      </c>
      <c r="O1004">
        <f>IFERROR(_xlfn.NUMBERVALUE(LEFT(Table11[[#This Row],[Score2 ]],FIND("/",Table11[[#This Row],[Score2 ]])-1)),"")</f>
        <v>72</v>
      </c>
      <c r="P1004" t="s">
        <v>153</v>
      </c>
      <c r="Q1004" s="1" t="s">
        <v>149</v>
      </c>
      <c r="R1004" t="str">
        <f>Table11[[#This Row],[Match]]&amp;" "&amp;Table11[[#This Row],[Over]]</f>
        <v>45 14</v>
      </c>
    </row>
    <row r="1005" spans="1:18" x14ac:dyDescent="0.3">
      <c r="A1005">
        <v>45</v>
      </c>
      <c r="B1005" s="1">
        <v>15</v>
      </c>
      <c r="C1005" s="1" t="s">
        <v>3082</v>
      </c>
      <c r="D1005" s="1" t="s">
        <v>904</v>
      </c>
      <c r="E1005" s="1" t="s">
        <v>1382</v>
      </c>
      <c r="F1005" s="1" t="s">
        <v>966</v>
      </c>
      <c r="G1005" s="1" t="s">
        <v>1478</v>
      </c>
      <c r="H1005" s="1" t="s">
        <v>898</v>
      </c>
      <c r="I1005" s="1" t="s">
        <v>1351</v>
      </c>
      <c r="J1005" s="1" t="s">
        <v>977</v>
      </c>
      <c r="K1005" s="1" t="s">
        <v>939</v>
      </c>
      <c r="L1005" s="1" t="s">
        <v>3152</v>
      </c>
      <c r="M1005" s="1" t="s">
        <v>1016</v>
      </c>
      <c r="N1005">
        <f>_xlfn.NUMBERVALUE(LEFT(Table11[[#This Row],[Score]],FIND("/",Table11[[#This Row],[Score]])-1))</f>
        <v>64</v>
      </c>
      <c r="O1005">
        <f>IFERROR(_xlfn.NUMBERVALUE(LEFT(Table11[[#This Row],[Score2 ]],FIND("/",Table11[[#This Row],[Score2 ]])-1)),"")</f>
        <v>74</v>
      </c>
      <c r="P1005" t="s">
        <v>153</v>
      </c>
      <c r="Q1005" s="1" t="s">
        <v>149</v>
      </c>
      <c r="R1005" t="str">
        <f>Table11[[#This Row],[Match]]&amp;" "&amp;Table11[[#This Row],[Over]]</f>
        <v>45 15</v>
      </c>
    </row>
    <row r="1006" spans="1:18" x14ac:dyDescent="0.3">
      <c r="A1006">
        <v>45</v>
      </c>
      <c r="B1006" s="1">
        <v>16</v>
      </c>
      <c r="C1006" s="1" t="s">
        <v>1463</v>
      </c>
      <c r="D1006" s="1" t="s">
        <v>968</v>
      </c>
      <c r="E1006" s="1" t="s">
        <v>1288</v>
      </c>
      <c r="F1006" s="1" t="s">
        <v>966</v>
      </c>
      <c r="G1006" s="1" t="s">
        <v>1486</v>
      </c>
      <c r="H1006" s="1" t="s">
        <v>947</v>
      </c>
      <c r="I1006" s="1" t="s">
        <v>2406</v>
      </c>
      <c r="J1006" s="1" t="s">
        <v>1093</v>
      </c>
      <c r="K1006" s="1" t="s">
        <v>1518</v>
      </c>
      <c r="L1006" s="1" t="s">
        <v>1402</v>
      </c>
      <c r="M1006" s="1" t="s">
        <v>1024</v>
      </c>
      <c r="N1006">
        <f>_xlfn.NUMBERVALUE(LEFT(Table11[[#This Row],[Score]],FIND("/",Table11[[#This Row],[Score]])-1))</f>
        <v>65</v>
      </c>
      <c r="O1006">
        <f>IFERROR(_xlfn.NUMBERVALUE(LEFT(Table11[[#This Row],[Score2 ]],FIND("/",Table11[[#This Row],[Score2 ]])-1)),"")</f>
        <v>83</v>
      </c>
      <c r="P1006" t="s">
        <v>153</v>
      </c>
      <c r="Q1006" s="1" t="s">
        <v>149</v>
      </c>
      <c r="R1006" t="str">
        <f>Table11[[#This Row],[Match]]&amp;" "&amp;Table11[[#This Row],[Over]]</f>
        <v>45 16</v>
      </c>
    </row>
    <row r="1007" spans="1:18" x14ac:dyDescent="0.3">
      <c r="A1007">
        <v>45</v>
      </c>
      <c r="B1007" s="1">
        <v>17</v>
      </c>
      <c r="C1007" s="1" t="s">
        <v>1467</v>
      </c>
      <c r="D1007" s="1" t="s">
        <v>998</v>
      </c>
      <c r="E1007" s="1" t="s">
        <v>1957</v>
      </c>
      <c r="F1007" s="1" t="s">
        <v>939</v>
      </c>
      <c r="G1007" s="1" t="s">
        <v>3153</v>
      </c>
      <c r="H1007" s="1" t="s">
        <v>950</v>
      </c>
      <c r="I1007" s="1" t="s">
        <v>1573</v>
      </c>
      <c r="J1007" s="1" t="s">
        <v>940</v>
      </c>
      <c r="K1007" s="1" t="s">
        <v>1866</v>
      </c>
      <c r="L1007" s="1" t="s">
        <v>1108</v>
      </c>
      <c r="M1007" s="1" t="s">
        <v>1031</v>
      </c>
      <c r="N1007">
        <f>_xlfn.NUMBERVALUE(LEFT(Table11[[#This Row],[Score]],FIND("/",Table11[[#This Row],[Score]])-1))</f>
        <v>69</v>
      </c>
      <c r="O1007">
        <f>IFERROR(_xlfn.NUMBERVALUE(LEFT(Table11[[#This Row],[Score2 ]],FIND("/",Table11[[#This Row],[Score2 ]])-1)),"")</f>
        <v>88</v>
      </c>
      <c r="P1007" t="s">
        <v>153</v>
      </c>
      <c r="Q1007" s="1" t="s">
        <v>149</v>
      </c>
      <c r="R1007" t="str">
        <f>Table11[[#This Row],[Match]]&amp;" "&amp;Table11[[#This Row],[Over]]</f>
        <v>45 17</v>
      </c>
    </row>
    <row r="1008" spans="1:18" x14ac:dyDescent="0.3">
      <c r="A1008">
        <v>45</v>
      </c>
      <c r="B1008" s="1">
        <v>18</v>
      </c>
      <c r="C1008" s="1" t="s">
        <v>3154</v>
      </c>
      <c r="D1008" s="1" t="s">
        <v>930</v>
      </c>
      <c r="E1008" s="1" t="s">
        <v>983</v>
      </c>
      <c r="F1008" s="1" t="s">
        <v>969</v>
      </c>
      <c r="G1008" s="1" t="s">
        <v>2238</v>
      </c>
      <c r="H1008" s="1" t="s">
        <v>950</v>
      </c>
      <c r="I1008" s="1" t="s">
        <v>1587</v>
      </c>
      <c r="J1008" s="1" t="s">
        <v>1029</v>
      </c>
      <c r="K1008" s="1" t="s">
        <v>2782</v>
      </c>
      <c r="L1008" s="1" t="s">
        <v>2721</v>
      </c>
      <c r="M1008" s="1" t="s">
        <v>1037</v>
      </c>
      <c r="N1008">
        <f>_xlfn.NUMBERVALUE(LEFT(Table11[[#This Row],[Score]],FIND("/",Table11[[#This Row],[Score]])-1))</f>
        <v>77</v>
      </c>
      <c r="O1008">
        <f>IFERROR(_xlfn.NUMBERVALUE(LEFT(Table11[[#This Row],[Score2 ]],FIND("/",Table11[[#This Row],[Score2 ]])-1)),"")</f>
        <v>93</v>
      </c>
      <c r="P1008" t="s">
        <v>153</v>
      </c>
      <c r="Q1008" s="1" t="s">
        <v>149</v>
      </c>
      <c r="R1008" t="str">
        <f>Table11[[#This Row],[Match]]&amp;" "&amp;Table11[[#This Row],[Over]]</f>
        <v>45 18</v>
      </c>
    </row>
    <row r="1009" spans="1:18" x14ac:dyDescent="0.3">
      <c r="A1009">
        <v>45</v>
      </c>
      <c r="B1009" s="1">
        <v>19</v>
      </c>
      <c r="C1009" s="1" t="s">
        <v>2003</v>
      </c>
      <c r="D1009" s="1" t="s">
        <v>998</v>
      </c>
      <c r="E1009" s="1" t="s">
        <v>1382</v>
      </c>
      <c r="F1009" s="1" t="s">
        <v>939</v>
      </c>
      <c r="G1009" s="1" t="s">
        <v>1499</v>
      </c>
      <c r="H1009" s="1" t="s">
        <v>950</v>
      </c>
      <c r="I1009" s="1" t="s">
        <v>1085</v>
      </c>
      <c r="J1009" s="1" t="s">
        <v>1029</v>
      </c>
      <c r="K1009" s="1" t="s">
        <v>2474</v>
      </c>
      <c r="L1009" s="1" t="s">
        <v>1774</v>
      </c>
      <c r="M1009" s="1" t="s">
        <v>1043</v>
      </c>
      <c r="N1009">
        <f>_xlfn.NUMBERVALUE(LEFT(Table11[[#This Row],[Score]],FIND("/",Table11[[#This Row],[Score]])-1))</f>
        <v>81</v>
      </c>
      <c r="O1009">
        <f>IFERROR(_xlfn.NUMBERVALUE(LEFT(Table11[[#This Row],[Score2 ]],FIND("/",Table11[[#This Row],[Score2 ]])-1)),"")</f>
        <v>98</v>
      </c>
      <c r="P1009" t="s">
        <v>153</v>
      </c>
      <c r="Q1009" s="1" t="s">
        <v>149</v>
      </c>
      <c r="R1009" t="str">
        <f>Table11[[#This Row],[Match]]&amp;" "&amp;Table11[[#This Row],[Over]]</f>
        <v>45 19</v>
      </c>
    </row>
    <row r="1010" spans="1:18" x14ac:dyDescent="0.3">
      <c r="A1010">
        <v>45</v>
      </c>
      <c r="B1010" s="1">
        <v>20</v>
      </c>
      <c r="C1010" s="1" t="s">
        <v>1039</v>
      </c>
      <c r="D1010" s="1" t="s">
        <v>898</v>
      </c>
      <c r="E1010" s="1" t="s">
        <v>1303</v>
      </c>
      <c r="F1010" s="1" t="s">
        <v>990</v>
      </c>
      <c r="G1010" s="1" t="s">
        <v>2631</v>
      </c>
      <c r="H1010" s="1" t="s">
        <v>930</v>
      </c>
      <c r="I1010" s="1" t="s">
        <v>1065</v>
      </c>
      <c r="J1010" s="1" t="s">
        <v>943</v>
      </c>
      <c r="K1010" s="1" t="s">
        <v>977</v>
      </c>
      <c r="L1010" s="1" t="s">
        <v>1127</v>
      </c>
      <c r="M1010" s="1" t="s">
        <v>1049</v>
      </c>
      <c r="N1010">
        <f>_xlfn.NUMBERVALUE(LEFT(Table11[[#This Row],[Score]],FIND("/",Table11[[#This Row],[Score]])-1))</f>
        <v>83</v>
      </c>
      <c r="O1010">
        <f>IFERROR(_xlfn.NUMBERVALUE(LEFT(Table11[[#This Row],[Score2 ]],FIND("/",Table11[[#This Row],[Score2 ]])-1)),"")</f>
        <v>106</v>
      </c>
      <c r="P1010" t="s">
        <v>153</v>
      </c>
      <c r="Q1010" s="1" t="s">
        <v>149</v>
      </c>
      <c r="R1010" t="str">
        <f>Table11[[#This Row],[Match]]&amp;" "&amp;Table11[[#This Row],[Over]]</f>
        <v>45 20</v>
      </c>
    </row>
    <row r="1011" spans="1:18" x14ac:dyDescent="0.3">
      <c r="A1011">
        <v>45</v>
      </c>
      <c r="B1011" s="1">
        <v>21</v>
      </c>
      <c r="C1011" s="1" t="s">
        <v>2698</v>
      </c>
      <c r="D1011" s="1" t="s">
        <v>916</v>
      </c>
      <c r="E1011" s="1" t="s">
        <v>1124</v>
      </c>
      <c r="F1011" s="1" t="s">
        <v>969</v>
      </c>
      <c r="G1011" s="1" t="s">
        <v>3155</v>
      </c>
      <c r="H1011" s="1" t="s">
        <v>922</v>
      </c>
      <c r="I1011" s="1" t="s">
        <v>2110</v>
      </c>
      <c r="J1011" s="1" t="s">
        <v>1013</v>
      </c>
      <c r="K1011" s="1" t="s">
        <v>1924</v>
      </c>
      <c r="L1011" s="1" t="s">
        <v>1132</v>
      </c>
      <c r="M1011" s="1" t="s">
        <v>1056</v>
      </c>
      <c r="N1011">
        <f>_xlfn.NUMBERVALUE(LEFT(Table11[[#This Row],[Score]],FIND("/",Table11[[#This Row],[Score]])-1))</f>
        <v>90</v>
      </c>
      <c r="O1011">
        <f>IFERROR(_xlfn.NUMBERVALUE(LEFT(Table11[[#This Row],[Score2 ]],FIND("/",Table11[[#This Row],[Score2 ]])-1)),"")</f>
        <v>112</v>
      </c>
      <c r="P1011" t="s">
        <v>153</v>
      </c>
      <c r="Q1011" s="1" t="s">
        <v>149</v>
      </c>
      <c r="R1011" t="str">
        <f>Table11[[#This Row],[Match]]&amp;" "&amp;Table11[[#This Row],[Over]]</f>
        <v>45 21</v>
      </c>
    </row>
    <row r="1012" spans="1:18" x14ac:dyDescent="0.3">
      <c r="A1012">
        <v>45</v>
      </c>
      <c r="B1012" s="1">
        <v>22</v>
      </c>
      <c r="C1012" s="1" t="s">
        <v>2699</v>
      </c>
      <c r="D1012" s="1" t="s">
        <v>998</v>
      </c>
      <c r="E1012" s="1" t="s">
        <v>983</v>
      </c>
      <c r="F1012" s="1" t="s">
        <v>969</v>
      </c>
      <c r="G1012" s="1" t="s">
        <v>3156</v>
      </c>
      <c r="H1012" s="1" t="s">
        <v>1051</v>
      </c>
      <c r="I1012" s="1" t="s">
        <v>1185</v>
      </c>
      <c r="J1012" s="1" t="s">
        <v>952</v>
      </c>
      <c r="K1012" s="1" t="s">
        <v>923</v>
      </c>
      <c r="L1012" s="1" t="s">
        <v>1576</v>
      </c>
      <c r="M1012" s="1" t="s">
        <v>1063</v>
      </c>
      <c r="N1012">
        <f>_xlfn.NUMBERVALUE(LEFT(Table11[[#This Row],[Score]],FIND("/",Table11[[#This Row],[Score]])-1))</f>
        <v>94</v>
      </c>
      <c r="O1012">
        <f>IFERROR(_xlfn.NUMBERVALUE(LEFT(Table11[[#This Row],[Score2 ]],FIND("/",Table11[[#This Row],[Score2 ]])-1)),"")</f>
        <v>123</v>
      </c>
      <c r="P1012" t="s">
        <v>153</v>
      </c>
      <c r="Q1012" s="1" t="s">
        <v>149</v>
      </c>
      <c r="R1012" t="str">
        <f>Table11[[#This Row],[Match]]&amp;" "&amp;Table11[[#This Row],[Over]]</f>
        <v>45 22</v>
      </c>
    </row>
    <row r="1013" spans="1:18" x14ac:dyDescent="0.3">
      <c r="A1013">
        <v>45</v>
      </c>
      <c r="B1013" s="1">
        <v>23</v>
      </c>
      <c r="C1013" s="1" t="s">
        <v>1772</v>
      </c>
      <c r="D1013" s="1" t="s">
        <v>898</v>
      </c>
      <c r="E1013" s="1" t="s">
        <v>2652</v>
      </c>
      <c r="F1013" s="1" t="s">
        <v>990</v>
      </c>
      <c r="G1013" s="1" t="s">
        <v>2027</v>
      </c>
      <c r="H1013" s="1" t="s">
        <v>904</v>
      </c>
      <c r="I1013" s="1" t="s">
        <v>2070</v>
      </c>
      <c r="J1013" s="1" t="s">
        <v>960</v>
      </c>
      <c r="K1013" s="1" t="s">
        <v>923</v>
      </c>
      <c r="L1013" s="1" t="s">
        <v>1784</v>
      </c>
      <c r="M1013" s="1" t="s">
        <v>1070</v>
      </c>
      <c r="N1013">
        <f>_xlfn.NUMBERVALUE(LEFT(Table11[[#This Row],[Score]],FIND("/",Table11[[#This Row],[Score]])-1))</f>
        <v>96</v>
      </c>
      <c r="O1013">
        <f>IFERROR(_xlfn.NUMBERVALUE(LEFT(Table11[[#This Row],[Score2 ]],FIND("/",Table11[[#This Row],[Score2 ]])-1)),"")</f>
        <v>126</v>
      </c>
      <c r="P1013" t="s">
        <v>153</v>
      </c>
      <c r="Q1013" s="1" t="s">
        <v>149</v>
      </c>
      <c r="R1013" t="str">
        <f>Table11[[#This Row],[Match]]&amp;" "&amp;Table11[[#This Row],[Over]]</f>
        <v>45 23</v>
      </c>
    </row>
    <row r="1014" spans="1:18" x14ac:dyDescent="0.3">
      <c r="A1014">
        <v>45</v>
      </c>
      <c r="B1014" s="1">
        <v>24</v>
      </c>
      <c r="C1014" s="1" t="s">
        <v>1504</v>
      </c>
      <c r="D1014" s="1" t="s">
        <v>950</v>
      </c>
      <c r="E1014" s="1" t="s">
        <v>931</v>
      </c>
      <c r="F1014" s="1" t="s">
        <v>939</v>
      </c>
      <c r="G1014" s="1" t="s">
        <v>3157</v>
      </c>
      <c r="H1014" s="1" t="s">
        <v>947</v>
      </c>
      <c r="I1014" s="1" t="s">
        <v>2268</v>
      </c>
      <c r="J1014" s="1" t="s">
        <v>1068</v>
      </c>
      <c r="K1014" s="1" t="s">
        <v>3158</v>
      </c>
      <c r="L1014" s="1" t="s">
        <v>1833</v>
      </c>
      <c r="M1014" s="1" t="s">
        <v>1077</v>
      </c>
      <c r="N1014">
        <f>_xlfn.NUMBERVALUE(LEFT(Table11[[#This Row],[Score]],FIND("/",Table11[[#This Row],[Score]])-1))</f>
        <v>101</v>
      </c>
      <c r="O1014">
        <f>IFERROR(_xlfn.NUMBERVALUE(LEFT(Table11[[#This Row],[Score2 ]],FIND("/",Table11[[#This Row],[Score2 ]])-1)),"")</f>
        <v>135</v>
      </c>
      <c r="P1014" t="s">
        <v>153</v>
      </c>
      <c r="Q1014" s="1" t="s">
        <v>149</v>
      </c>
      <c r="R1014" t="str">
        <f>Table11[[#This Row],[Match]]&amp;" "&amp;Table11[[#This Row],[Over]]</f>
        <v>45 24</v>
      </c>
    </row>
    <row r="1015" spans="1:18" x14ac:dyDescent="0.3">
      <c r="A1015">
        <v>45</v>
      </c>
      <c r="B1015" s="1">
        <v>25</v>
      </c>
      <c r="C1015" s="1" t="s">
        <v>2246</v>
      </c>
      <c r="D1015" s="1" t="s">
        <v>968</v>
      </c>
      <c r="E1015" s="1" t="s">
        <v>1500</v>
      </c>
      <c r="F1015" s="1" t="s">
        <v>990</v>
      </c>
      <c r="G1015" s="1" t="s">
        <v>3159</v>
      </c>
      <c r="H1015" s="1" t="s">
        <v>998</v>
      </c>
      <c r="I1015" s="1" t="s">
        <v>1607</v>
      </c>
      <c r="J1015" s="1" t="s">
        <v>960</v>
      </c>
      <c r="K1015" s="1" t="s">
        <v>1238</v>
      </c>
      <c r="L1015" s="1" t="s">
        <v>3160</v>
      </c>
      <c r="M1015" s="1" t="s">
        <v>1083</v>
      </c>
      <c r="N1015">
        <f>_xlfn.NUMBERVALUE(LEFT(Table11[[#This Row],[Score]],FIND("/",Table11[[#This Row],[Score]])-1))</f>
        <v>102</v>
      </c>
      <c r="O1015">
        <f>IFERROR(_xlfn.NUMBERVALUE(LEFT(Table11[[#This Row],[Score2 ]],FIND("/",Table11[[#This Row],[Score2 ]])-1)),"")</f>
        <v>139</v>
      </c>
      <c r="P1015" t="s">
        <v>153</v>
      </c>
      <c r="Q1015" s="1" t="s">
        <v>149</v>
      </c>
      <c r="R1015" t="str">
        <f>Table11[[#This Row],[Match]]&amp;" "&amp;Table11[[#This Row],[Over]]</f>
        <v>45 25</v>
      </c>
    </row>
    <row r="1016" spans="1:18" x14ac:dyDescent="0.3">
      <c r="A1016">
        <v>45</v>
      </c>
      <c r="B1016" s="1">
        <v>26</v>
      </c>
      <c r="C1016" s="1" t="s">
        <v>1317</v>
      </c>
      <c r="D1016" s="1" t="s">
        <v>922</v>
      </c>
      <c r="E1016" s="1" t="s">
        <v>1303</v>
      </c>
      <c r="F1016" s="1" t="s">
        <v>977</v>
      </c>
      <c r="G1016" s="1" t="s">
        <v>1813</v>
      </c>
      <c r="H1016" s="1" t="s">
        <v>916</v>
      </c>
      <c r="I1016" s="1" t="s">
        <v>1752</v>
      </c>
      <c r="J1016" s="1" t="s">
        <v>1053</v>
      </c>
      <c r="K1016" s="1" t="s">
        <v>1656</v>
      </c>
      <c r="L1016" s="1" t="s">
        <v>2420</v>
      </c>
      <c r="M1016" s="1" t="s">
        <v>1090</v>
      </c>
      <c r="N1016">
        <f>_xlfn.NUMBERVALUE(LEFT(Table11[[#This Row],[Score]],FIND("/",Table11[[#This Row],[Score]])-1))</f>
        <v>108</v>
      </c>
      <c r="O1016">
        <f>IFERROR(_xlfn.NUMBERVALUE(LEFT(Table11[[#This Row],[Score2 ]],FIND("/",Table11[[#This Row],[Score2 ]])-1)),"")</f>
        <v>146</v>
      </c>
      <c r="P1016" t="s">
        <v>153</v>
      </c>
      <c r="Q1016" s="1" t="s">
        <v>149</v>
      </c>
      <c r="R1016" t="str">
        <f>Table11[[#This Row],[Match]]&amp;" "&amp;Table11[[#This Row],[Over]]</f>
        <v>45 26</v>
      </c>
    </row>
    <row r="1017" spans="1:18" x14ac:dyDescent="0.3">
      <c r="A1017">
        <v>45</v>
      </c>
      <c r="B1017" s="1">
        <v>27</v>
      </c>
      <c r="C1017" s="1" t="s">
        <v>2366</v>
      </c>
      <c r="D1017" s="1" t="s">
        <v>922</v>
      </c>
      <c r="E1017" s="1" t="s">
        <v>1535</v>
      </c>
      <c r="F1017" s="1" t="s">
        <v>939</v>
      </c>
      <c r="G1017" s="1" t="s">
        <v>1541</v>
      </c>
      <c r="H1017" s="1" t="s">
        <v>904</v>
      </c>
      <c r="I1017" s="1" t="s">
        <v>1378</v>
      </c>
      <c r="J1017" s="1" t="s">
        <v>1029</v>
      </c>
      <c r="K1017" s="1" t="s">
        <v>2619</v>
      </c>
      <c r="L1017" s="1" t="s">
        <v>1910</v>
      </c>
      <c r="M1017" s="1" t="s">
        <v>1098</v>
      </c>
      <c r="N1017">
        <f>_xlfn.NUMBERVALUE(LEFT(Table11[[#This Row],[Score]],FIND("/",Table11[[#This Row],[Score]])-1))</f>
        <v>114</v>
      </c>
      <c r="O1017">
        <f>IFERROR(_xlfn.NUMBERVALUE(LEFT(Table11[[#This Row],[Score2 ]],FIND("/",Table11[[#This Row],[Score2 ]])-1)),"")</f>
        <v>149</v>
      </c>
      <c r="P1017" t="s">
        <v>153</v>
      </c>
      <c r="Q1017" s="1" t="s">
        <v>149</v>
      </c>
      <c r="R1017" t="str">
        <f>Table11[[#This Row],[Match]]&amp;" "&amp;Table11[[#This Row],[Over]]</f>
        <v>45 27</v>
      </c>
    </row>
    <row r="1018" spans="1:18" x14ac:dyDescent="0.3">
      <c r="A1018">
        <v>45</v>
      </c>
      <c r="B1018" s="1">
        <v>28</v>
      </c>
      <c r="C1018" s="1" t="s">
        <v>2947</v>
      </c>
      <c r="D1018" s="1" t="s">
        <v>998</v>
      </c>
      <c r="E1018" s="1" t="s">
        <v>1130</v>
      </c>
      <c r="F1018" s="1" t="s">
        <v>940</v>
      </c>
      <c r="G1018" s="1" t="s">
        <v>3161</v>
      </c>
      <c r="H1018" s="1" t="s">
        <v>998</v>
      </c>
      <c r="I1018" s="1" t="s">
        <v>1166</v>
      </c>
      <c r="J1018" s="1" t="s">
        <v>966</v>
      </c>
      <c r="K1018" s="1" t="s">
        <v>2528</v>
      </c>
      <c r="L1018" s="1" t="s">
        <v>1595</v>
      </c>
      <c r="M1018" s="1" t="s">
        <v>1101</v>
      </c>
      <c r="N1018">
        <f>_xlfn.NUMBERVALUE(LEFT(Table11[[#This Row],[Score]],FIND("/",Table11[[#This Row],[Score]])-1))</f>
        <v>118</v>
      </c>
      <c r="O1018">
        <f>IFERROR(_xlfn.NUMBERVALUE(LEFT(Table11[[#This Row],[Score2 ]],FIND("/",Table11[[#This Row],[Score2 ]])-1)),"")</f>
        <v>153</v>
      </c>
      <c r="P1018" t="s">
        <v>153</v>
      </c>
      <c r="Q1018" s="1" t="s">
        <v>149</v>
      </c>
      <c r="R1018" t="str">
        <f>Table11[[#This Row],[Match]]&amp;" "&amp;Table11[[#This Row],[Over]]</f>
        <v>45 28</v>
      </c>
    </row>
    <row r="1019" spans="1:18" x14ac:dyDescent="0.3">
      <c r="A1019">
        <v>45</v>
      </c>
      <c r="B1019" s="1">
        <v>29</v>
      </c>
      <c r="C1019" s="1" t="s">
        <v>3162</v>
      </c>
      <c r="D1019" s="1" t="s">
        <v>922</v>
      </c>
      <c r="E1019" s="1" t="s">
        <v>983</v>
      </c>
      <c r="F1019" s="1" t="s">
        <v>976</v>
      </c>
      <c r="G1019" s="1" t="s">
        <v>3163</v>
      </c>
      <c r="H1019" s="1" t="s">
        <v>916</v>
      </c>
      <c r="I1019" s="1" t="s">
        <v>1378</v>
      </c>
      <c r="J1019" s="1" t="s">
        <v>969</v>
      </c>
      <c r="K1019" s="1" t="s">
        <v>1664</v>
      </c>
      <c r="L1019" s="1" t="s">
        <v>1183</v>
      </c>
      <c r="M1019" s="1" t="s">
        <v>1108</v>
      </c>
      <c r="N1019">
        <f>_xlfn.NUMBERVALUE(LEFT(Table11[[#This Row],[Score]],FIND("/",Table11[[#This Row],[Score]])-1))</f>
        <v>124</v>
      </c>
      <c r="O1019">
        <f>IFERROR(_xlfn.NUMBERVALUE(LEFT(Table11[[#This Row],[Score2 ]],FIND("/",Table11[[#This Row],[Score2 ]])-1)),"")</f>
        <v>160</v>
      </c>
      <c r="P1019" t="s">
        <v>153</v>
      </c>
      <c r="Q1019" s="1" t="s">
        <v>149</v>
      </c>
      <c r="R1019" t="str">
        <f>Table11[[#This Row],[Match]]&amp;" "&amp;Table11[[#This Row],[Over]]</f>
        <v>45 29</v>
      </c>
    </row>
    <row r="1020" spans="1:18" x14ac:dyDescent="0.3">
      <c r="A1020">
        <v>45</v>
      </c>
      <c r="B1020" s="1">
        <v>30</v>
      </c>
      <c r="C1020" s="1" t="s">
        <v>1117</v>
      </c>
      <c r="D1020" s="1" t="s">
        <v>1095</v>
      </c>
      <c r="E1020" s="1" t="s">
        <v>1001</v>
      </c>
      <c r="F1020" s="1" t="s">
        <v>943</v>
      </c>
      <c r="G1020" s="1" t="s">
        <v>2898</v>
      </c>
      <c r="H1020" s="1" t="s">
        <v>947</v>
      </c>
      <c r="I1020" s="1" t="s">
        <v>2133</v>
      </c>
      <c r="J1020" s="1" t="s">
        <v>1019</v>
      </c>
      <c r="K1020" s="1" t="s">
        <v>1242</v>
      </c>
      <c r="L1020" s="1" t="s">
        <v>1927</v>
      </c>
      <c r="M1020" s="1" t="s">
        <v>1113</v>
      </c>
      <c r="N1020">
        <f>_xlfn.NUMBERVALUE(LEFT(Table11[[#This Row],[Score]],FIND("/",Table11[[#This Row],[Score]])-1))</f>
        <v>134</v>
      </c>
      <c r="O1020">
        <f>IFERROR(_xlfn.NUMBERVALUE(LEFT(Table11[[#This Row],[Score2 ]],FIND("/",Table11[[#This Row],[Score2 ]])-1)),"")</f>
        <v>169</v>
      </c>
      <c r="P1020" t="s">
        <v>153</v>
      </c>
      <c r="Q1020" s="1" t="s">
        <v>149</v>
      </c>
      <c r="R1020" t="str">
        <f>Table11[[#This Row],[Match]]&amp;" "&amp;Table11[[#This Row],[Over]]</f>
        <v>45 30</v>
      </c>
    </row>
    <row r="1021" spans="1:18" x14ac:dyDescent="0.3">
      <c r="A1021">
        <v>45</v>
      </c>
      <c r="B1021" s="1">
        <v>31</v>
      </c>
      <c r="C1021" s="1" t="s">
        <v>3164</v>
      </c>
      <c r="D1021" s="1" t="s">
        <v>968</v>
      </c>
      <c r="E1021" s="1" t="s">
        <v>1299</v>
      </c>
      <c r="F1021" s="1" t="s">
        <v>966</v>
      </c>
      <c r="G1021" s="1" t="s">
        <v>1562</v>
      </c>
      <c r="H1021" s="1" t="s">
        <v>1390</v>
      </c>
      <c r="I1021" s="1" t="s">
        <v>2334</v>
      </c>
      <c r="J1021" s="1" t="s">
        <v>1116</v>
      </c>
      <c r="K1021" s="1" t="s">
        <v>3165</v>
      </c>
      <c r="L1021" s="1" t="s">
        <v>1608</v>
      </c>
      <c r="M1021" s="1" t="s">
        <v>1121</v>
      </c>
      <c r="N1021">
        <f>_xlfn.NUMBERVALUE(LEFT(Table11[[#This Row],[Score]],FIND("/",Table11[[#This Row],[Score]])-1))</f>
        <v>135</v>
      </c>
      <c r="O1021">
        <f>IFERROR(_xlfn.NUMBERVALUE(LEFT(Table11[[#This Row],[Score2 ]],FIND("/",Table11[[#This Row],[Score2 ]])-1)),"")</f>
        <v>182</v>
      </c>
      <c r="P1021" t="s">
        <v>153</v>
      </c>
      <c r="Q1021" s="1" t="s">
        <v>149</v>
      </c>
      <c r="R1021" t="str">
        <f>Table11[[#This Row],[Match]]&amp;" "&amp;Table11[[#This Row],[Over]]</f>
        <v>45 31</v>
      </c>
    </row>
    <row r="1022" spans="1:18" x14ac:dyDescent="0.3">
      <c r="A1022">
        <v>45</v>
      </c>
      <c r="B1022" s="1">
        <v>32</v>
      </c>
      <c r="C1022" s="1" t="s">
        <v>3166</v>
      </c>
      <c r="D1022" s="1" t="s">
        <v>930</v>
      </c>
      <c r="E1022" s="1" t="s">
        <v>1001</v>
      </c>
      <c r="F1022" s="1" t="s">
        <v>1013</v>
      </c>
      <c r="G1022" s="1" t="s">
        <v>2156</v>
      </c>
      <c r="H1022" s="1" t="s">
        <v>1051</v>
      </c>
      <c r="I1022" s="1" t="s">
        <v>3167</v>
      </c>
      <c r="J1022" s="1" t="s">
        <v>1154</v>
      </c>
      <c r="K1022" s="1" t="s">
        <v>3168</v>
      </c>
      <c r="L1022" s="1" t="s">
        <v>1692</v>
      </c>
      <c r="M1022" s="1" t="s">
        <v>1127</v>
      </c>
      <c r="N1022">
        <f>_xlfn.NUMBERVALUE(LEFT(Table11[[#This Row],[Score]],FIND("/",Table11[[#This Row],[Score]])-1))</f>
        <v>143</v>
      </c>
      <c r="O1022">
        <f>IFERROR(_xlfn.NUMBERVALUE(LEFT(Table11[[#This Row],[Score2 ]],FIND("/",Table11[[#This Row],[Score2 ]])-1)),"")</f>
        <v>193</v>
      </c>
      <c r="P1022" t="s">
        <v>153</v>
      </c>
      <c r="Q1022" s="1" t="s">
        <v>149</v>
      </c>
      <c r="R1022" t="str">
        <f>Table11[[#This Row],[Match]]&amp;" "&amp;Table11[[#This Row],[Over]]</f>
        <v>45 32</v>
      </c>
    </row>
    <row r="1023" spans="1:18" x14ac:dyDescent="0.3">
      <c r="A1023">
        <v>45</v>
      </c>
      <c r="B1023" s="1">
        <v>33</v>
      </c>
      <c r="C1023" s="1" t="s">
        <v>2496</v>
      </c>
      <c r="D1023" s="1" t="s">
        <v>947</v>
      </c>
      <c r="E1023" s="1" t="s">
        <v>976</v>
      </c>
      <c r="F1023" s="1" t="s">
        <v>1053</v>
      </c>
      <c r="G1023" s="1" t="s">
        <v>3169</v>
      </c>
      <c r="H1023" s="1" t="s">
        <v>1095</v>
      </c>
      <c r="I1023" s="1" t="s">
        <v>1971</v>
      </c>
      <c r="J1023" s="1" t="s">
        <v>2055</v>
      </c>
      <c r="K1023" s="1" t="s">
        <v>3170</v>
      </c>
      <c r="L1023" s="1" t="s">
        <v>1051</v>
      </c>
      <c r="M1023" s="1" t="s">
        <v>1132</v>
      </c>
      <c r="N1023">
        <f>_xlfn.NUMBERVALUE(LEFT(Table11[[#This Row],[Score]],FIND("/",Table11[[#This Row],[Score]])-1))</f>
        <v>152</v>
      </c>
      <c r="O1023">
        <f>IFERROR(_xlfn.NUMBERVALUE(LEFT(Table11[[#This Row],[Score2 ]],FIND("/",Table11[[#This Row],[Score2 ]])-1)),"")</f>
        <v>203</v>
      </c>
      <c r="P1023" t="s">
        <v>153</v>
      </c>
      <c r="Q1023" s="1" t="s">
        <v>149</v>
      </c>
      <c r="R1023" t="str">
        <f>Table11[[#This Row],[Match]]&amp;" "&amp;Table11[[#This Row],[Over]]</f>
        <v>45 33</v>
      </c>
    </row>
    <row r="1024" spans="1:18" x14ac:dyDescent="0.3">
      <c r="A1024">
        <v>45</v>
      </c>
      <c r="B1024" s="1">
        <v>34</v>
      </c>
      <c r="C1024" s="1" t="s">
        <v>3171</v>
      </c>
      <c r="D1024" s="1" t="s">
        <v>922</v>
      </c>
      <c r="E1024" s="1" t="s">
        <v>1028</v>
      </c>
      <c r="F1024" s="1" t="s">
        <v>1053</v>
      </c>
      <c r="G1024" s="1" t="s">
        <v>2857</v>
      </c>
      <c r="H1024" s="1" t="s">
        <v>3172</v>
      </c>
      <c r="I1024" s="1" t="s">
        <v>3173</v>
      </c>
      <c r="J1024" s="1" t="s">
        <v>3174</v>
      </c>
      <c r="K1024" s="1" t="s">
        <v>1622</v>
      </c>
      <c r="L1024" s="1" t="s">
        <v>1007</v>
      </c>
      <c r="M1024" s="1" t="s">
        <v>2752</v>
      </c>
      <c r="N1024">
        <f>_xlfn.NUMBERVALUE(LEFT(Table11[[#This Row],[Score]],FIND("/",Table11[[#This Row],[Score]])-1))</f>
        <v>158</v>
      </c>
      <c r="O1024">
        <f>IFERROR(_xlfn.NUMBERVALUE(LEFT(Table11[[#This Row],[Score2 ]],FIND("/",Table11[[#This Row],[Score2 ]])-1)),"")</f>
        <v>216</v>
      </c>
      <c r="P1024" t="s">
        <v>153</v>
      </c>
      <c r="Q1024" s="1" t="s">
        <v>149</v>
      </c>
      <c r="R1024" t="str">
        <f>Table11[[#This Row],[Match]]&amp;" "&amp;Table11[[#This Row],[Over]]</f>
        <v>45 34</v>
      </c>
    </row>
    <row r="1025" spans="1:18" x14ac:dyDescent="0.3">
      <c r="A1025">
        <v>45</v>
      </c>
      <c r="B1025" s="1">
        <v>35</v>
      </c>
      <c r="C1025" s="1" t="s">
        <v>2051</v>
      </c>
      <c r="D1025" s="1" t="s">
        <v>904</v>
      </c>
      <c r="E1025" s="1" t="s">
        <v>976</v>
      </c>
      <c r="F1025" s="1" t="s">
        <v>966</v>
      </c>
      <c r="N1025">
        <f>_xlfn.NUMBERVALUE(LEFT(Table11[[#This Row],[Score]],FIND("/",Table11[[#This Row],[Score]])-1))</f>
        <v>161</v>
      </c>
      <c r="O1025" t="str">
        <f>IFERROR(_xlfn.NUMBERVALUE(LEFT(Table11[[#This Row],[Score2 ]],FIND("/",Table11[[#This Row],[Score2 ]])-1)),"")</f>
        <v/>
      </c>
      <c r="P1025" t="s">
        <v>153</v>
      </c>
      <c r="Q1025" s="1" t="s">
        <v>149</v>
      </c>
      <c r="R1025" t="str">
        <f>Table11[[#This Row],[Match]]&amp;" "&amp;Table11[[#This Row],[Over]]</f>
        <v>45 35</v>
      </c>
    </row>
    <row r="1026" spans="1:18" x14ac:dyDescent="0.3">
      <c r="A1026">
        <v>45</v>
      </c>
      <c r="B1026" s="1">
        <v>36</v>
      </c>
      <c r="C1026" s="1" t="s">
        <v>3175</v>
      </c>
      <c r="D1026" s="1" t="s">
        <v>968</v>
      </c>
      <c r="E1026" s="1" t="s">
        <v>1021</v>
      </c>
      <c r="F1026" s="1" t="s">
        <v>966</v>
      </c>
      <c r="N1026">
        <f>_xlfn.NUMBERVALUE(LEFT(Table11[[#This Row],[Score]],FIND("/",Table11[[#This Row],[Score]])-1))</f>
        <v>162</v>
      </c>
      <c r="O1026" t="str">
        <f>IFERROR(_xlfn.NUMBERVALUE(LEFT(Table11[[#This Row],[Score2 ]],FIND("/",Table11[[#This Row],[Score2 ]])-1)),"")</f>
        <v/>
      </c>
      <c r="P1026" t="s">
        <v>153</v>
      </c>
      <c r="Q1026" s="1" t="s">
        <v>149</v>
      </c>
      <c r="R1026" t="str">
        <f>Table11[[#This Row],[Match]]&amp;" "&amp;Table11[[#This Row],[Over]]</f>
        <v>45 36</v>
      </c>
    </row>
    <row r="1027" spans="1:18" x14ac:dyDescent="0.3">
      <c r="A1027">
        <v>45</v>
      </c>
      <c r="B1027" s="1">
        <v>37</v>
      </c>
      <c r="C1027" s="1" t="s">
        <v>3176</v>
      </c>
      <c r="D1027" s="1" t="s">
        <v>950</v>
      </c>
      <c r="E1027" s="1" t="s">
        <v>1542</v>
      </c>
      <c r="F1027" s="1" t="s">
        <v>1093</v>
      </c>
      <c r="N1027">
        <f>_xlfn.NUMBERVALUE(LEFT(Table11[[#This Row],[Score]],FIND("/",Table11[[#This Row],[Score]])-1))</f>
        <v>167</v>
      </c>
      <c r="O1027" t="str">
        <f>IFERROR(_xlfn.NUMBERVALUE(LEFT(Table11[[#This Row],[Score2 ]],FIND("/",Table11[[#This Row],[Score2 ]])-1)),"")</f>
        <v/>
      </c>
      <c r="P1027" t="s">
        <v>153</v>
      </c>
      <c r="Q1027" s="1" t="s">
        <v>149</v>
      </c>
      <c r="R1027" t="str">
        <f>Table11[[#This Row],[Match]]&amp;" "&amp;Table11[[#This Row],[Over]]</f>
        <v>45 37</v>
      </c>
    </row>
    <row r="1028" spans="1:18" x14ac:dyDescent="0.3">
      <c r="A1028">
        <v>45</v>
      </c>
      <c r="B1028" s="1">
        <v>38</v>
      </c>
      <c r="C1028" s="1" t="s">
        <v>2154</v>
      </c>
      <c r="D1028" s="1" t="s">
        <v>968</v>
      </c>
      <c r="E1028" s="1" t="s">
        <v>1006</v>
      </c>
      <c r="F1028" s="1" t="s">
        <v>1259</v>
      </c>
      <c r="N1028">
        <f>_xlfn.NUMBERVALUE(LEFT(Table11[[#This Row],[Score]],FIND("/",Table11[[#This Row],[Score]])-1))</f>
        <v>168</v>
      </c>
      <c r="O1028" t="str">
        <f>IFERROR(_xlfn.NUMBERVALUE(LEFT(Table11[[#This Row],[Score2 ]],FIND("/",Table11[[#This Row],[Score2 ]])-1)),"")</f>
        <v/>
      </c>
      <c r="P1028" t="s">
        <v>153</v>
      </c>
      <c r="Q1028" s="1" t="s">
        <v>149</v>
      </c>
      <c r="R1028" t="str">
        <f>Table11[[#This Row],[Match]]&amp;" "&amp;Table11[[#This Row],[Over]]</f>
        <v>45 38</v>
      </c>
    </row>
    <row r="1029" spans="1:18" x14ac:dyDescent="0.3">
      <c r="A1029">
        <v>45</v>
      </c>
      <c r="B1029" s="1">
        <v>39</v>
      </c>
      <c r="C1029" s="1" t="s">
        <v>1948</v>
      </c>
      <c r="D1029" s="1" t="s">
        <v>904</v>
      </c>
      <c r="E1029" s="1" t="s">
        <v>1035</v>
      </c>
      <c r="F1029" s="1" t="s">
        <v>984</v>
      </c>
      <c r="N1029">
        <f>_xlfn.NUMBERVALUE(LEFT(Table11[[#This Row],[Score]],FIND("/",Table11[[#This Row],[Score]])-1))</f>
        <v>171</v>
      </c>
      <c r="O1029" t="str">
        <f>IFERROR(_xlfn.NUMBERVALUE(LEFT(Table11[[#This Row],[Score2 ]],FIND("/",Table11[[#This Row],[Score2 ]])-1)),"")</f>
        <v/>
      </c>
      <c r="P1029" t="s">
        <v>153</v>
      </c>
      <c r="Q1029" s="1" t="s">
        <v>149</v>
      </c>
      <c r="R1029" t="str">
        <f>Table11[[#This Row],[Match]]&amp;" "&amp;Table11[[#This Row],[Over]]</f>
        <v>45 39</v>
      </c>
    </row>
    <row r="1030" spans="1:18" x14ac:dyDescent="0.3">
      <c r="A1030">
        <v>45</v>
      </c>
      <c r="B1030" s="1">
        <v>40</v>
      </c>
      <c r="C1030" s="1" t="s">
        <v>3177</v>
      </c>
      <c r="D1030" s="1" t="s">
        <v>1051</v>
      </c>
      <c r="E1030" s="1" t="s">
        <v>1919</v>
      </c>
      <c r="F1030" s="1" t="s">
        <v>931</v>
      </c>
      <c r="N1030">
        <f>_xlfn.NUMBERVALUE(LEFT(Table11[[#This Row],[Score]],FIND("/",Table11[[#This Row],[Score]])-1))</f>
        <v>182</v>
      </c>
      <c r="O1030" t="str">
        <f>IFERROR(_xlfn.NUMBERVALUE(LEFT(Table11[[#This Row],[Score2 ]],FIND("/",Table11[[#This Row],[Score2 ]])-1)),"")</f>
        <v/>
      </c>
      <c r="P1030" t="s">
        <v>153</v>
      </c>
      <c r="Q1030" s="1" t="s">
        <v>149</v>
      </c>
      <c r="R1030" t="str">
        <f>Table11[[#This Row],[Match]]&amp;" "&amp;Table11[[#This Row],[Over]]</f>
        <v>45 40</v>
      </c>
    </row>
    <row r="1031" spans="1:18" x14ac:dyDescent="0.3">
      <c r="A1031">
        <v>45</v>
      </c>
      <c r="B1031" s="1">
        <v>41</v>
      </c>
      <c r="C1031" s="1" t="s">
        <v>2908</v>
      </c>
      <c r="D1031" s="1" t="s">
        <v>922</v>
      </c>
      <c r="E1031" s="1" t="s">
        <v>1786</v>
      </c>
      <c r="F1031" s="1" t="s">
        <v>1029</v>
      </c>
      <c r="N1031">
        <f>_xlfn.NUMBERVALUE(LEFT(Table11[[#This Row],[Score]],FIND("/",Table11[[#This Row],[Score]])-1))</f>
        <v>188</v>
      </c>
      <c r="O1031" t="str">
        <f>IFERROR(_xlfn.NUMBERVALUE(LEFT(Table11[[#This Row],[Score2 ]],FIND("/",Table11[[#This Row],[Score2 ]])-1)),"")</f>
        <v/>
      </c>
      <c r="P1031" t="s">
        <v>153</v>
      </c>
      <c r="Q1031" s="1" t="s">
        <v>149</v>
      </c>
      <c r="R1031" t="str">
        <f>Table11[[#This Row],[Match]]&amp;" "&amp;Table11[[#This Row],[Over]]</f>
        <v>45 41</v>
      </c>
    </row>
    <row r="1032" spans="1:18" x14ac:dyDescent="0.3">
      <c r="A1032">
        <v>45</v>
      </c>
      <c r="B1032" s="1">
        <v>42</v>
      </c>
      <c r="C1032" s="1" t="s">
        <v>1167</v>
      </c>
      <c r="D1032" s="1" t="s">
        <v>1007</v>
      </c>
      <c r="E1032" s="1" t="s">
        <v>1316</v>
      </c>
      <c r="F1032" s="1" t="s">
        <v>931</v>
      </c>
      <c r="N1032">
        <f>_xlfn.NUMBERVALUE(LEFT(Table11[[#This Row],[Score]],FIND("/",Table11[[#This Row],[Score]])-1))</f>
        <v>188</v>
      </c>
      <c r="O1032" t="str">
        <f>IFERROR(_xlfn.NUMBERVALUE(LEFT(Table11[[#This Row],[Score2 ]],FIND("/",Table11[[#This Row],[Score2 ]])-1)),"")</f>
        <v/>
      </c>
      <c r="P1032" t="s">
        <v>153</v>
      </c>
      <c r="Q1032" s="1" t="s">
        <v>149</v>
      </c>
      <c r="R1032" t="str">
        <f>Table11[[#This Row],[Match]]&amp;" "&amp;Table11[[#This Row],[Over]]</f>
        <v>45 42</v>
      </c>
    </row>
    <row r="1033" spans="1:18" x14ac:dyDescent="0.3">
      <c r="A1033">
        <v>45</v>
      </c>
      <c r="B1033" s="1">
        <v>43</v>
      </c>
      <c r="C1033" s="1" t="s">
        <v>2071</v>
      </c>
      <c r="D1033" s="1" t="s">
        <v>998</v>
      </c>
      <c r="E1033" s="1" t="s">
        <v>1001</v>
      </c>
      <c r="F1033" s="1" t="s">
        <v>1093</v>
      </c>
      <c r="N1033">
        <f>_xlfn.NUMBERVALUE(LEFT(Table11[[#This Row],[Score]],FIND("/",Table11[[#This Row],[Score]])-1))</f>
        <v>192</v>
      </c>
      <c r="O1033" t="str">
        <f>IFERROR(_xlfn.NUMBERVALUE(LEFT(Table11[[#This Row],[Score2 ]],FIND("/",Table11[[#This Row],[Score2 ]])-1)),"")</f>
        <v/>
      </c>
      <c r="P1033" t="s">
        <v>153</v>
      </c>
      <c r="Q1033" s="1" t="s">
        <v>149</v>
      </c>
      <c r="R1033" t="str">
        <f>Table11[[#This Row],[Match]]&amp;" "&amp;Table11[[#This Row],[Over]]</f>
        <v>45 43</v>
      </c>
    </row>
    <row r="1034" spans="1:18" x14ac:dyDescent="0.3">
      <c r="A1034">
        <v>45</v>
      </c>
      <c r="B1034" s="1">
        <v>44</v>
      </c>
      <c r="C1034" s="1" t="s">
        <v>3178</v>
      </c>
      <c r="D1034" s="1" t="s">
        <v>904</v>
      </c>
      <c r="E1034" s="1" t="s">
        <v>1999</v>
      </c>
      <c r="F1034" s="1" t="s">
        <v>1093</v>
      </c>
      <c r="N1034">
        <f>_xlfn.NUMBERVALUE(LEFT(Table11[[#This Row],[Score]],FIND("/",Table11[[#This Row],[Score]])-1))</f>
        <v>195</v>
      </c>
      <c r="O1034" t="str">
        <f>IFERROR(_xlfn.NUMBERVALUE(LEFT(Table11[[#This Row],[Score2 ]],FIND("/",Table11[[#This Row],[Score2 ]])-1)),"")</f>
        <v/>
      </c>
      <c r="P1034" t="s">
        <v>153</v>
      </c>
      <c r="Q1034" s="1" t="s">
        <v>149</v>
      </c>
      <c r="R1034" t="str">
        <f>Table11[[#This Row],[Match]]&amp;" "&amp;Table11[[#This Row],[Over]]</f>
        <v>45 44</v>
      </c>
    </row>
    <row r="1035" spans="1:18" x14ac:dyDescent="0.3">
      <c r="A1035">
        <v>45</v>
      </c>
      <c r="B1035" s="1">
        <v>45</v>
      </c>
      <c r="C1035" s="1" t="s">
        <v>3179</v>
      </c>
      <c r="D1035" s="1" t="s">
        <v>968</v>
      </c>
      <c r="E1035" s="1" t="s">
        <v>1299</v>
      </c>
      <c r="F1035" s="1" t="s">
        <v>993</v>
      </c>
      <c r="N1035">
        <f>_xlfn.NUMBERVALUE(LEFT(Table11[[#This Row],[Score]],FIND("/",Table11[[#This Row],[Score]])-1))</f>
        <v>196</v>
      </c>
      <c r="O1035" t="str">
        <f>IFERROR(_xlfn.NUMBERVALUE(LEFT(Table11[[#This Row],[Score2 ]],FIND("/",Table11[[#This Row],[Score2 ]])-1)),"")</f>
        <v/>
      </c>
      <c r="P1035" t="s">
        <v>153</v>
      </c>
      <c r="Q1035" s="1" t="s">
        <v>149</v>
      </c>
      <c r="R1035" t="str">
        <f>Table11[[#This Row],[Match]]&amp;" "&amp;Table11[[#This Row],[Over]]</f>
        <v>45 45</v>
      </c>
    </row>
    <row r="1036" spans="1:18" x14ac:dyDescent="0.3">
      <c r="A1036">
        <v>45</v>
      </c>
      <c r="B1036" s="1">
        <v>46</v>
      </c>
      <c r="C1036" s="1" t="s">
        <v>3180</v>
      </c>
      <c r="D1036" s="1" t="s">
        <v>998</v>
      </c>
      <c r="E1036" s="1" t="s">
        <v>1526</v>
      </c>
      <c r="F1036" s="1" t="s">
        <v>1088</v>
      </c>
      <c r="N1036">
        <f>_xlfn.NUMBERVALUE(LEFT(Table11[[#This Row],[Score]],FIND("/",Table11[[#This Row],[Score]])-1))</f>
        <v>200</v>
      </c>
      <c r="O1036" t="str">
        <f>IFERROR(_xlfn.NUMBERVALUE(LEFT(Table11[[#This Row],[Score2 ]],FIND("/",Table11[[#This Row],[Score2 ]])-1)),"")</f>
        <v/>
      </c>
      <c r="P1036" t="s">
        <v>153</v>
      </c>
      <c r="Q1036" s="1" t="s">
        <v>149</v>
      </c>
      <c r="R1036" t="str">
        <f>Table11[[#This Row],[Match]]&amp;" "&amp;Table11[[#This Row],[Over]]</f>
        <v>45 46</v>
      </c>
    </row>
    <row r="1037" spans="1:18" x14ac:dyDescent="0.3">
      <c r="A1037">
        <v>45</v>
      </c>
      <c r="B1037" s="1">
        <v>47</v>
      </c>
      <c r="C1037" s="1" t="s">
        <v>3181</v>
      </c>
      <c r="D1037" s="1" t="s">
        <v>904</v>
      </c>
      <c r="E1037" s="1" t="s">
        <v>1468</v>
      </c>
      <c r="F1037" s="1" t="s">
        <v>1238</v>
      </c>
      <c r="N1037">
        <f>_xlfn.NUMBERVALUE(LEFT(Table11[[#This Row],[Score]],FIND("/",Table11[[#This Row],[Score]])-1))</f>
        <v>203</v>
      </c>
      <c r="O1037" t="str">
        <f>IFERROR(_xlfn.NUMBERVALUE(LEFT(Table11[[#This Row],[Score2 ]],FIND("/",Table11[[#This Row],[Score2 ]])-1)),"")</f>
        <v/>
      </c>
      <c r="P1037" t="s">
        <v>153</v>
      </c>
      <c r="Q1037" s="1" t="s">
        <v>149</v>
      </c>
      <c r="R1037" t="str">
        <f>Table11[[#This Row],[Match]]&amp;" "&amp;Table11[[#This Row],[Over]]</f>
        <v>45 47</v>
      </c>
    </row>
    <row r="1038" spans="1:18" x14ac:dyDescent="0.3">
      <c r="A1038">
        <v>45</v>
      </c>
      <c r="B1038" s="1">
        <v>48</v>
      </c>
      <c r="C1038" s="1" t="s">
        <v>2297</v>
      </c>
      <c r="D1038" s="1" t="s">
        <v>898</v>
      </c>
      <c r="E1038" s="1" t="s">
        <v>983</v>
      </c>
      <c r="F1038" s="1" t="s">
        <v>984</v>
      </c>
      <c r="N1038">
        <f>_xlfn.NUMBERVALUE(LEFT(Table11[[#This Row],[Score]],FIND("/",Table11[[#This Row],[Score]])-1))</f>
        <v>205</v>
      </c>
      <c r="O1038" t="str">
        <f>IFERROR(_xlfn.NUMBERVALUE(LEFT(Table11[[#This Row],[Score2 ]],FIND("/",Table11[[#This Row],[Score2 ]])-1)),"")</f>
        <v/>
      </c>
      <c r="P1038" t="s">
        <v>153</v>
      </c>
      <c r="Q1038" s="1" t="s">
        <v>149</v>
      </c>
      <c r="R1038" t="str">
        <f>Table11[[#This Row],[Match]]&amp;" "&amp;Table11[[#This Row],[Over]]</f>
        <v>45 48</v>
      </c>
    </row>
    <row r="1039" spans="1:18" x14ac:dyDescent="0.3">
      <c r="A1039">
        <v>45</v>
      </c>
      <c r="B1039" s="1">
        <v>49</v>
      </c>
      <c r="C1039" s="1" t="s">
        <v>3182</v>
      </c>
      <c r="D1039" s="1" t="s">
        <v>968</v>
      </c>
      <c r="E1039" s="1" t="s">
        <v>931</v>
      </c>
      <c r="F1039" s="1" t="s">
        <v>1383</v>
      </c>
      <c r="N1039">
        <f>_xlfn.NUMBERVALUE(LEFT(Table11[[#This Row],[Score]],FIND("/",Table11[[#This Row],[Score]])-1))</f>
        <v>206</v>
      </c>
      <c r="O1039" t="str">
        <f>IFERROR(_xlfn.NUMBERVALUE(LEFT(Table11[[#This Row],[Score2 ]],FIND("/",Table11[[#This Row],[Score2 ]])-1)),"")</f>
        <v/>
      </c>
      <c r="P1039" t="s">
        <v>153</v>
      </c>
      <c r="Q1039" s="1" t="s">
        <v>149</v>
      </c>
      <c r="R1039" t="str">
        <f>Table11[[#This Row],[Match]]&amp;" "&amp;Table11[[#This Row],[Over]]</f>
        <v>45 49</v>
      </c>
    </row>
    <row r="1040" spans="1:18" x14ac:dyDescent="0.3">
      <c r="A1040">
        <v>45</v>
      </c>
      <c r="B1040" s="1">
        <v>50</v>
      </c>
      <c r="C1040" s="1" t="s">
        <v>3183</v>
      </c>
      <c r="D1040" s="1" t="s">
        <v>2674</v>
      </c>
      <c r="E1040" s="1" t="s">
        <v>3184</v>
      </c>
      <c r="F1040" s="1" t="s">
        <v>3185</v>
      </c>
      <c r="N1040">
        <f>_xlfn.NUMBERVALUE(LEFT(Table11[[#This Row],[Score]],FIND("/",Table11[[#This Row],[Score]])-1))</f>
        <v>213</v>
      </c>
      <c r="O1040" t="str">
        <f>IFERROR(_xlfn.NUMBERVALUE(LEFT(Table11[[#This Row],[Score2 ]],FIND("/",Table11[[#This Row],[Score2 ]])-1)),"")</f>
        <v/>
      </c>
      <c r="P1040" t="s">
        <v>153</v>
      </c>
      <c r="Q1040" s="1" t="s">
        <v>149</v>
      </c>
      <c r="R1040" t="str">
        <f>Table11[[#This Row],[Match]]&amp;" "&amp;Table11[[#This Row],[Over]]</f>
        <v>45 50</v>
      </c>
    </row>
    <row r="1041" spans="1:18" x14ac:dyDescent="0.3">
      <c r="A1041">
        <v>46</v>
      </c>
      <c r="B1041" s="1">
        <v>1</v>
      </c>
      <c r="C1041" s="1" t="s">
        <v>903</v>
      </c>
      <c r="D1041" s="1" t="s">
        <v>950</v>
      </c>
      <c r="E1041" s="1" t="s">
        <v>969</v>
      </c>
      <c r="F1041" s="1" t="s">
        <v>348</v>
      </c>
      <c r="G1041" s="1" t="s">
        <v>906</v>
      </c>
      <c r="H1041" s="1" t="s">
        <v>998</v>
      </c>
      <c r="I1041" s="1" t="s">
        <v>939</v>
      </c>
      <c r="J1041" s="1" t="s">
        <v>348</v>
      </c>
      <c r="K1041" s="1" t="s">
        <v>1340</v>
      </c>
      <c r="L1041" s="1" t="s">
        <v>3186</v>
      </c>
      <c r="M1041" s="1" t="s">
        <v>902</v>
      </c>
      <c r="N1041">
        <f>_xlfn.NUMBERVALUE(LEFT(Table11[[#This Row],[Score]],FIND("/",Table11[[#This Row],[Score]])-1))</f>
        <v>5</v>
      </c>
      <c r="O1041">
        <f>IFERROR(_xlfn.NUMBERVALUE(LEFT(Table11[[#This Row],[Score2 ]],FIND("/",Table11[[#This Row],[Score2 ]])-1)),"")</f>
        <v>4</v>
      </c>
      <c r="P1041" t="s">
        <v>140</v>
      </c>
      <c r="Q1041" s="1" t="s">
        <v>170</v>
      </c>
      <c r="R1041" t="str">
        <f>Table11[[#This Row],[Match]]&amp;" "&amp;Table11[[#This Row],[Over]]</f>
        <v>46 1</v>
      </c>
    </row>
    <row r="1042" spans="1:18" x14ac:dyDescent="0.3">
      <c r="A1042">
        <v>46</v>
      </c>
      <c r="B1042" s="1">
        <v>2</v>
      </c>
      <c r="C1042" s="1" t="s">
        <v>1721</v>
      </c>
      <c r="D1042" s="1" t="s">
        <v>904</v>
      </c>
      <c r="E1042" s="1" t="s">
        <v>939</v>
      </c>
      <c r="F1042" s="1" t="s">
        <v>348</v>
      </c>
      <c r="G1042" s="1" t="s">
        <v>3068</v>
      </c>
      <c r="H1042" s="1" t="s">
        <v>1007</v>
      </c>
      <c r="I1042" s="1" t="s">
        <v>899</v>
      </c>
      <c r="J1042" s="1" t="s">
        <v>348</v>
      </c>
      <c r="K1042" s="1" t="s">
        <v>3187</v>
      </c>
      <c r="L1042" s="1" t="s">
        <v>3186</v>
      </c>
      <c r="M1042" s="1" t="s">
        <v>909</v>
      </c>
      <c r="N1042">
        <f>_xlfn.NUMBERVALUE(LEFT(Table11[[#This Row],[Score]],FIND("/",Table11[[#This Row],[Score]])-1))</f>
        <v>8</v>
      </c>
      <c r="O1042">
        <f>IFERROR(_xlfn.NUMBERVALUE(LEFT(Table11[[#This Row],[Score2 ]],FIND("/",Table11[[#This Row],[Score2 ]])-1)),"")</f>
        <v>4</v>
      </c>
      <c r="P1042" t="s">
        <v>140</v>
      </c>
      <c r="Q1042" s="1" t="s">
        <v>170</v>
      </c>
      <c r="R1042" t="str">
        <f>Table11[[#This Row],[Match]]&amp;" "&amp;Table11[[#This Row],[Over]]</f>
        <v>46 2</v>
      </c>
    </row>
    <row r="1043" spans="1:18" x14ac:dyDescent="0.3">
      <c r="A1043">
        <v>46</v>
      </c>
      <c r="B1043" s="1">
        <v>3</v>
      </c>
      <c r="C1043" s="1" t="s">
        <v>1725</v>
      </c>
      <c r="D1043" s="1" t="s">
        <v>930</v>
      </c>
      <c r="E1043" s="1" t="s">
        <v>2110</v>
      </c>
      <c r="F1043" s="1" t="s">
        <v>348</v>
      </c>
      <c r="G1043" s="1" t="s">
        <v>3188</v>
      </c>
      <c r="H1043" s="1" t="s">
        <v>968</v>
      </c>
      <c r="I1043" s="1" t="s">
        <v>1852</v>
      </c>
      <c r="J1043" s="1" t="s">
        <v>348</v>
      </c>
      <c r="K1043" s="1" t="s">
        <v>1100</v>
      </c>
      <c r="L1043" s="1" t="s">
        <v>3189</v>
      </c>
      <c r="M1043" s="1" t="s">
        <v>920</v>
      </c>
      <c r="N1043">
        <f>_xlfn.NUMBERVALUE(LEFT(Table11[[#This Row],[Score]],FIND("/",Table11[[#This Row],[Score]])-1))</f>
        <v>16</v>
      </c>
      <c r="O1043">
        <f>IFERROR(_xlfn.NUMBERVALUE(LEFT(Table11[[#This Row],[Score2 ]],FIND("/",Table11[[#This Row],[Score2 ]])-1)),"")</f>
        <v>5</v>
      </c>
      <c r="P1043" t="s">
        <v>140</v>
      </c>
      <c r="Q1043" s="1" t="s">
        <v>170</v>
      </c>
      <c r="R1043" t="str">
        <f>Table11[[#This Row],[Match]]&amp;" "&amp;Table11[[#This Row],[Over]]</f>
        <v>46 3</v>
      </c>
    </row>
    <row r="1044" spans="1:18" x14ac:dyDescent="0.3">
      <c r="A1044">
        <v>46</v>
      </c>
      <c r="B1044" s="1">
        <v>4</v>
      </c>
      <c r="C1044" s="1" t="s">
        <v>1724</v>
      </c>
      <c r="D1044" s="1" t="s">
        <v>1051</v>
      </c>
      <c r="E1044" s="1" t="s">
        <v>1009</v>
      </c>
      <c r="F1044" s="1" t="s">
        <v>348</v>
      </c>
      <c r="G1044" s="1" t="s">
        <v>2988</v>
      </c>
      <c r="H1044" s="1" t="s">
        <v>968</v>
      </c>
      <c r="I1044" s="1" t="s">
        <v>1822</v>
      </c>
      <c r="J1044" s="1" t="s">
        <v>348</v>
      </c>
      <c r="K1044" s="1" t="s">
        <v>2248</v>
      </c>
      <c r="L1044" s="1" t="s">
        <v>3190</v>
      </c>
      <c r="M1044" s="1" t="s">
        <v>928</v>
      </c>
      <c r="N1044">
        <f>_xlfn.NUMBERVALUE(LEFT(Table11[[#This Row],[Score]],FIND("/",Table11[[#This Row],[Score]])-1))</f>
        <v>27</v>
      </c>
      <c r="O1044">
        <f>IFERROR(_xlfn.NUMBERVALUE(LEFT(Table11[[#This Row],[Score2 ]],FIND("/",Table11[[#This Row],[Score2 ]])-1)),"")</f>
        <v>6</v>
      </c>
      <c r="P1044" t="s">
        <v>140</v>
      </c>
      <c r="Q1044" s="1" t="s">
        <v>170</v>
      </c>
      <c r="R1044" t="str">
        <f>Table11[[#This Row],[Match]]&amp;" "&amp;Table11[[#This Row],[Over]]</f>
        <v>46 4</v>
      </c>
    </row>
    <row r="1045" spans="1:18" x14ac:dyDescent="0.3">
      <c r="A1045">
        <v>46</v>
      </c>
      <c r="B1045" s="1">
        <v>5</v>
      </c>
      <c r="C1045" s="1" t="s">
        <v>2691</v>
      </c>
      <c r="D1045" s="1" t="s">
        <v>998</v>
      </c>
      <c r="E1045" s="1" t="s">
        <v>970</v>
      </c>
      <c r="F1045" s="1" t="s">
        <v>970</v>
      </c>
      <c r="G1045" s="1" t="s">
        <v>2332</v>
      </c>
      <c r="H1045" s="1" t="s">
        <v>1147</v>
      </c>
      <c r="I1045" s="1" t="s">
        <v>931</v>
      </c>
      <c r="J1045" s="1" t="s">
        <v>931</v>
      </c>
      <c r="K1045" s="1" t="s">
        <v>1345</v>
      </c>
      <c r="L1045" s="1" t="s">
        <v>3191</v>
      </c>
      <c r="M1045" s="1" t="s">
        <v>937</v>
      </c>
      <c r="N1045">
        <f>_xlfn.NUMBERVALUE(LEFT(Table11[[#This Row],[Score]],FIND("/",Table11[[#This Row],[Score]])-1))</f>
        <v>31</v>
      </c>
      <c r="O1045">
        <f>IFERROR(_xlfn.NUMBERVALUE(LEFT(Table11[[#This Row],[Score2 ]],FIND("/",Table11[[#This Row],[Score2 ]])-1)),"")</f>
        <v>21</v>
      </c>
      <c r="P1045" t="s">
        <v>140</v>
      </c>
      <c r="Q1045" s="1" t="s">
        <v>170</v>
      </c>
      <c r="R1045" t="str">
        <f>Table11[[#This Row],[Match]]&amp;" "&amp;Table11[[#This Row],[Over]]</f>
        <v>46 5</v>
      </c>
    </row>
    <row r="1046" spans="1:18" x14ac:dyDescent="0.3">
      <c r="A1046">
        <v>46</v>
      </c>
      <c r="B1046" s="1">
        <v>6</v>
      </c>
      <c r="C1046" s="1" t="s">
        <v>941</v>
      </c>
      <c r="D1046" s="1" t="s">
        <v>904</v>
      </c>
      <c r="E1046" s="1" t="s">
        <v>942</v>
      </c>
      <c r="F1046" s="1" t="s">
        <v>1013</v>
      </c>
      <c r="G1046" s="1" t="s">
        <v>2338</v>
      </c>
      <c r="H1046" s="1" t="s">
        <v>947</v>
      </c>
      <c r="I1046" s="1" t="s">
        <v>969</v>
      </c>
      <c r="J1046" s="1" t="s">
        <v>1029</v>
      </c>
      <c r="K1046" s="1" t="s">
        <v>1100</v>
      </c>
      <c r="L1046" s="1" t="s">
        <v>3192</v>
      </c>
      <c r="M1046" s="1" t="s">
        <v>945</v>
      </c>
      <c r="N1046">
        <f>_xlfn.NUMBERVALUE(LEFT(Table11[[#This Row],[Score]],FIND("/",Table11[[#This Row],[Score]])-1))</f>
        <v>34</v>
      </c>
      <c r="O1046">
        <f>IFERROR(_xlfn.NUMBERVALUE(LEFT(Table11[[#This Row],[Score2 ]],FIND("/",Table11[[#This Row],[Score2 ]])-1)),"")</f>
        <v>30</v>
      </c>
      <c r="P1046" t="s">
        <v>140</v>
      </c>
      <c r="Q1046" s="1" t="s">
        <v>170</v>
      </c>
      <c r="R1046" t="str">
        <f>Table11[[#This Row],[Match]]&amp;" "&amp;Table11[[#This Row],[Over]]</f>
        <v>46 6</v>
      </c>
    </row>
    <row r="1047" spans="1:18" x14ac:dyDescent="0.3">
      <c r="A1047">
        <v>46</v>
      </c>
      <c r="B1047" s="1">
        <v>7</v>
      </c>
      <c r="C1047" s="1" t="s">
        <v>975</v>
      </c>
      <c r="D1047" s="1" t="s">
        <v>1103</v>
      </c>
      <c r="E1047" s="1" t="s">
        <v>2926</v>
      </c>
      <c r="F1047" s="1" t="s">
        <v>1508</v>
      </c>
      <c r="G1047" s="1" t="s">
        <v>2451</v>
      </c>
      <c r="H1047" s="1" t="s">
        <v>1692</v>
      </c>
      <c r="I1047" s="1" t="s">
        <v>2627</v>
      </c>
      <c r="J1047" s="1" t="s">
        <v>1226</v>
      </c>
      <c r="K1047" s="1" t="s">
        <v>2996</v>
      </c>
      <c r="L1047" s="1" t="s">
        <v>2208</v>
      </c>
      <c r="M1047" s="1" t="s">
        <v>955</v>
      </c>
      <c r="N1047">
        <f>_xlfn.NUMBERVALUE(LEFT(Table11[[#This Row],[Score]],FIND("/",Table11[[#This Row],[Score]])-1))</f>
        <v>46</v>
      </c>
      <c r="O1047">
        <f>IFERROR(_xlfn.NUMBERVALUE(LEFT(Table11[[#This Row],[Score2 ]],FIND("/",Table11[[#This Row],[Score2 ]])-1)),"")</f>
        <v>51</v>
      </c>
      <c r="P1047" t="s">
        <v>140</v>
      </c>
      <c r="Q1047" s="1" t="s">
        <v>170</v>
      </c>
      <c r="R1047" t="str">
        <f>Table11[[#This Row],[Match]]&amp;" "&amp;Table11[[#This Row],[Over]]</f>
        <v>46 7</v>
      </c>
    </row>
    <row r="1048" spans="1:18" x14ac:dyDescent="0.3">
      <c r="A1048">
        <v>46</v>
      </c>
      <c r="B1048" s="1">
        <v>8</v>
      </c>
      <c r="C1048" s="1" t="s">
        <v>1281</v>
      </c>
      <c r="D1048" s="1" t="s">
        <v>904</v>
      </c>
      <c r="E1048" s="1" t="s">
        <v>1968</v>
      </c>
      <c r="F1048" s="1" t="s">
        <v>960</v>
      </c>
      <c r="G1048" s="1" t="s">
        <v>2347</v>
      </c>
      <c r="H1048" s="1" t="s">
        <v>930</v>
      </c>
      <c r="I1048" s="1" t="s">
        <v>2119</v>
      </c>
      <c r="J1048" s="1" t="s">
        <v>1611</v>
      </c>
      <c r="K1048" s="1" t="s">
        <v>2996</v>
      </c>
      <c r="L1048" s="1" t="s">
        <v>3193</v>
      </c>
      <c r="M1048" s="1" t="s">
        <v>963</v>
      </c>
      <c r="N1048">
        <f>_xlfn.NUMBERVALUE(LEFT(Table11[[#This Row],[Score]],FIND("/",Table11[[#This Row],[Score]])-1))</f>
        <v>49</v>
      </c>
      <c r="O1048">
        <f>IFERROR(_xlfn.NUMBERVALUE(LEFT(Table11[[#This Row],[Score2 ]],FIND("/",Table11[[#This Row],[Score2 ]])-1)),"")</f>
        <v>59</v>
      </c>
      <c r="P1048" t="s">
        <v>140</v>
      </c>
      <c r="Q1048" s="1" t="s">
        <v>170</v>
      </c>
      <c r="R1048" t="str">
        <f>Table11[[#This Row],[Match]]&amp;" "&amp;Table11[[#This Row],[Over]]</f>
        <v>46 8</v>
      </c>
    </row>
    <row r="1049" spans="1:18" x14ac:dyDescent="0.3">
      <c r="A1049">
        <v>46</v>
      </c>
      <c r="B1049" s="1">
        <v>9</v>
      </c>
      <c r="C1049" s="1" t="s">
        <v>3002</v>
      </c>
      <c r="D1049" s="1" t="s">
        <v>930</v>
      </c>
      <c r="E1049" s="1" t="s">
        <v>1723</v>
      </c>
      <c r="F1049" s="1" t="s">
        <v>1019</v>
      </c>
      <c r="G1049" s="1" t="s">
        <v>3094</v>
      </c>
      <c r="H1049" s="1" t="s">
        <v>1692</v>
      </c>
      <c r="I1049" s="1" t="s">
        <v>1359</v>
      </c>
      <c r="J1049" s="1" t="s">
        <v>2523</v>
      </c>
      <c r="K1049" s="1" t="s">
        <v>1075</v>
      </c>
      <c r="L1049" s="1" t="s">
        <v>2213</v>
      </c>
      <c r="M1049" s="1" t="s">
        <v>973</v>
      </c>
      <c r="N1049">
        <f>_xlfn.NUMBERVALUE(LEFT(Table11[[#This Row],[Score]],FIND("/",Table11[[#This Row],[Score]])-1))</f>
        <v>57</v>
      </c>
      <c r="O1049">
        <f>IFERROR(_xlfn.NUMBERVALUE(LEFT(Table11[[#This Row],[Score2 ]],FIND("/",Table11[[#This Row],[Score2 ]])-1)),"")</f>
        <v>80</v>
      </c>
      <c r="P1049" t="s">
        <v>140</v>
      </c>
      <c r="Q1049" s="1" t="s">
        <v>170</v>
      </c>
      <c r="R1049" t="str">
        <f>Table11[[#This Row],[Match]]&amp;" "&amp;Table11[[#This Row],[Over]]</f>
        <v>46 9</v>
      </c>
    </row>
    <row r="1050" spans="1:18" x14ac:dyDescent="0.3">
      <c r="A1050">
        <v>46</v>
      </c>
      <c r="B1050" s="1">
        <v>10</v>
      </c>
      <c r="C1050" s="1" t="s">
        <v>3194</v>
      </c>
      <c r="D1050" s="1" t="s">
        <v>922</v>
      </c>
      <c r="E1050" s="1" t="s">
        <v>1982</v>
      </c>
      <c r="F1050" s="1" t="s">
        <v>943</v>
      </c>
      <c r="G1050" s="1" t="s">
        <v>3195</v>
      </c>
      <c r="H1050" s="1" t="s">
        <v>1007</v>
      </c>
      <c r="I1050" s="1" t="s">
        <v>1089</v>
      </c>
      <c r="J1050" s="1" t="s">
        <v>2205</v>
      </c>
      <c r="K1050" s="1" t="s">
        <v>3196</v>
      </c>
      <c r="L1050" s="1" t="s">
        <v>2213</v>
      </c>
      <c r="M1050" s="1" t="s">
        <v>980</v>
      </c>
      <c r="N1050">
        <f>_xlfn.NUMBERVALUE(LEFT(Table11[[#This Row],[Score]],FIND("/",Table11[[#This Row],[Score]])-1))</f>
        <v>63</v>
      </c>
      <c r="O1050">
        <f>IFERROR(_xlfn.NUMBERVALUE(LEFT(Table11[[#This Row],[Score2 ]],FIND("/",Table11[[#This Row],[Score2 ]])-1)),"")</f>
        <v>80</v>
      </c>
      <c r="P1050" t="s">
        <v>140</v>
      </c>
      <c r="Q1050" s="1" t="s">
        <v>170</v>
      </c>
      <c r="R1050" t="str">
        <f>Table11[[#This Row],[Match]]&amp;" "&amp;Table11[[#This Row],[Over]]</f>
        <v>46 10</v>
      </c>
    </row>
    <row r="1051" spans="1:18" x14ac:dyDescent="0.3">
      <c r="A1051">
        <v>46</v>
      </c>
      <c r="B1051" s="1">
        <v>11</v>
      </c>
      <c r="C1051" s="1" t="s">
        <v>1011</v>
      </c>
      <c r="D1051" s="1" t="s">
        <v>930</v>
      </c>
      <c r="E1051" s="1" t="s">
        <v>2454</v>
      </c>
      <c r="F1051" s="1" t="s">
        <v>1068</v>
      </c>
      <c r="G1051" s="1" t="s">
        <v>1498</v>
      </c>
      <c r="H1051" s="1" t="s">
        <v>1103</v>
      </c>
      <c r="I1051" s="1" t="s">
        <v>2379</v>
      </c>
      <c r="J1051" s="1" t="s">
        <v>3197</v>
      </c>
      <c r="K1051" s="1" t="s">
        <v>3198</v>
      </c>
      <c r="L1051" s="1" t="s">
        <v>1234</v>
      </c>
      <c r="M1051" s="1" t="s">
        <v>987</v>
      </c>
      <c r="N1051">
        <f>_xlfn.NUMBERVALUE(LEFT(Table11[[#This Row],[Score]],FIND("/",Table11[[#This Row],[Score]])-1))</f>
        <v>71</v>
      </c>
      <c r="O1051">
        <f>IFERROR(_xlfn.NUMBERVALUE(LEFT(Table11[[#This Row],[Score2 ]],FIND("/",Table11[[#This Row],[Score2 ]])-1)),"")</f>
        <v>92</v>
      </c>
      <c r="P1051" t="s">
        <v>140</v>
      </c>
      <c r="Q1051" s="1" t="s">
        <v>170</v>
      </c>
      <c r="R1051" t="str">
        <f>Table11[[#This Row],[Match]]&amp;" "&amp;Table11[[#This Row],[Over]]</f>
        <v>46 11</v>
      </c>
    </row>
    <row r="1052" spans="1:18" x14ac:dyDescent="0.3">
      <c r="A1052">
        <v>46</v>
      </c>
      <c r="B1052" s="1">
        <v>12</v>
      </c>
      <c r="C1052" s="1" t="s">
        <v>2001</v>
      </c>
      <c r="D1052" s="1" t="s">
        <v>916</v>
      </c>
      <c r="E1052" s="1" t="s">
        <v>1729</v>
      </c>
      <c r="F1052" s="1" t="s">
        <v>943</v>
      </c>
      <c r="G1052" s="1" t="s">
        <v>3199</v>
      </c>
      <c r="H1052" s="1" t="s">
        <v>947</v>
      </c>
      <c r="I1052" s="1" t="s">
        <v>3200</v>
      </c>
      <c r="J1052" s="1" t="s">
        <v>2055</v>
      </c>
      <c r="K1052" s="1" t="s">
        <v>3201</v>
      </c>
      <c r="L1052" s="1" t="s">
        <v>2227</v>
      </c>
      <c r="M1052" s="1" t="s">
        <v>996</v>
      </c>
      <c r="N1052">
        <f>_xlfn.NUMBERVALUE(LEFT(Table11[[#This Row],[Score]],FIND("/",Table11[[#This Row],[Score]])-1))</f>
        <v>78</v>
      </c>
      <c r="O1052">
        <f>IFERROR(_xlfn.NUMBERVALUE(LEFT(Table11[[#This Row],[Score2 ]],FIND("/",Table11[[#This Row],[Score2 ]])-1)),"")</f>
        <v>101</v>
      </c>
      <c r="P1052" t="s">
        <v>140</v>
      </c>
      <c r="Q1052" s="1" t="s">
        <v>170</v>
      </c>
      <c r="R1052" t="str">
        <f>Table11[[#This Row],[Match]]&amp;" "&amp;Table11[[#This Row],[Over]]</f>
        <v>46 12</v>
      </c>
    </row>
    <row r="1053" spans="1:18" x14ac:dyDescent="0.3">
      <c r="A1053">
        <v>46</v>
      </c>
      <c r="B1053" s="1">
        <v>13</v>
      </c>
      <c r="C1053" s="1" t="s">
        <v>2001</v>
      </c>
      <c r="D1053" s="1" t="s">
        <v>1007</v>
      </c>
      <c r="E1053" s="1" t="s">
        <v>1019</v>
      </c>
      <c r="F1053" s="1" t="s">
        <v>1013</v>
      </c>
      <c r="G1053" s="1" t="s">
        <v>3101</v>
      </c>
      <c r="H1053" s="1" t="s">
        <v>916</v>
      </c>
      <c r="I1053" s="1" t="s">
        <v>1348</v>
      </c>
      <c r="J1053" s="1" t="s">
        <v>1141</v>
      </c>
      <c r="K1053" s="1" t="s">
        <v>1327</v>
      </c>
      <c r="L1053" s="1" t="s">
        <v>2107</v>
      </c>
      <c r="M1053" s="1" t="s">
        <v>1004</v>
      </c>
      <c r="N1053">
        <f>_xlfn.NUMBERVALUE(LEFT(Table11[[#This Row],[Score]],FIND("/",Table11[[#This Row],[Score]])-1))</f>
        <v>78</v>
      </c>
      <c r="O1053">
        <f>IFERROR(_xlfn.NUMBERVALUE(LEFT(Table11[[#This Row],[Score2 ]],FIND("/",Table11[[#This Row],[Score2 ]])-1)),"")</f>
        <v>108</v>
      </c>
      <c r="P1053" t="s">
        <v>140</v>
      </c>
      <c r="Q1053" s="1" t="s">
        <v>170</v>
      </c>
      <c r="R1053" t="str">
        <f>Table11[[#This Row],[Match]]&amp;" "&amp;Table11[[#This Row],[Over]]</f>
        <v>46 13</v>
      </c>
    </row>
    <row r="1054" spans="1:18" x14ac:dyDescent="0.3">
      <c r="A1054">
        <v>46</v>
      </c>
      <c r="B1054" s="1">
        <v>14</v>
      </c>
      <c r="C1054" s="1" t="s">
        <v>1025</v>
      </c>
      <c r="D1054" s="1" t="s">
        <v>998</v>
      </c>
      <c r="E1054" s="1" t="s">
        <v>2217</v>
      </c>
      <c r="F1054" s="1" t="s">
        <v>969</v>
      </c>
      <c r="G1054" s="1" t="s">
        <v>3101</v>
      </c>
      <c r="H1054" s="1" t="s">
        <v>1007</v>
      </c>
      <c r="I1054" s="1" t="s">
        <v>3201</v>
      </c>
      <c r="J1054" s="1" t="s">
        <v>934</v>
      </c>
      <c r="K1054" s="1" t="s">
        <v>3202</v>
      </c>
      <c r="L1054" s="1" t="s">
        <v>2107</v>
      </c>
      <c r="M1054" s="1" t="s">
        <v>1010</v>
      </c>
      <c r="N1054">
        <f>_xlfn.NUMBERVALUE(LEFT(Table11[[#This Row],[Score]],FIND("/",Table11[[#This Row],[Score]])-1))</f>
        <v>82</v>
      </c>
      <c r="O1054">
        <f>IFERROR(_xlfn.NUMBERVALUE(LEFT(Table11[[#This Row],[Score2 ]],FIND("/",Table11[[#This Row],[Score2 ]])-1)),"")</f>
        <v>108</v>
      </c>
      <c r="P1054" t="s">
        <v>140</v>
      </c>
      <c r="Q1054" s="1" t="s">
        <v>170</v>
      </c>
      <c r="R1054" t="str">
        <f>Table11[[#This Row],[Match]]&amp;" "&amp;Table11[[#This Row],[Over]]</f>
        <v>46 14</v>
      </c>
    </row>
    <row r="1055" spans="1:18" x14ac:dyDescent="0.3">
      <c r="A1055">
        <v>46</v>
      </c>
      <c r="B1055" s="1">
        <v>15</v>
      </c>
      <c r="C1055" s="1" t="s">
        <v>2121</v>
      </c>
      <c r="D1055" s="1" t="s">
        <v>998</v>
      </c>
      <c r="E1055" s="1" t="s">
        <v>2143</v>
      </c>
      <c r="F1055" s="1" t="s">
        <v>976</v>
      </c>
      <c r="G1055" s="1" t="s">
        <v>3104</v>
      </c>
      <c r="H1055" s="1" t="s">
        <v>916</v>
      </c>
      <c r="I1055" s="1" t="s">
        <v>2136</v>
      </c>
      <c r="J1055" s="1" t="s">
        <v>952</v>
      </c>
      <c r="K1055" s="1" t="s">
        <v>2996</v>
      </c>
      <c r="L1055" s="1" t="s">
        <v>1419</v>
      </c>
      <c r="M1055" s="1" t="s">
        <v>1016</v>
      </c>
      <c r="N1055">
        <f>_xlfn.NUMBERVALUE(LEFT(Table11[[#This Row],[Score]],FIND("/",Table11[[#This Row],[Score]])-1))</f>
        <v>86</v>
      </c>
      <c r="O1055">
        <f>IFERROR(_xlfn.NUMBERVALUE(LEFT(Table11[[#This Row],[Score2 ]],FIND("/",Table11[[#This Row],[Score2 ]])-1)),"")</f>
        <v>115</v>
      </c>
      <c r="P1055" t="s">
        <v>140</v>
      </c>
      <c r="Q1055" s="1" t="s">
        <v>170</v>
      </c>
      <c r="R1055" t="str">
        <f>Table11[[#This Row],[Match]]&amp;" "&amp;Table11[[#This Row],[Over]]</f>
        <v>46 15</v>
      </c>
    </row>
    <row r="1056" spans="1:18" x14ac:dyDescent="0.3">
      <c r="A1056">
        <v>46</v>
      </c>
      <c r="B1056" s="1">
        <v>16</v>
      </c>
      <c r="C1056" s="1" t="s">
        <v>2011</v>
      </c>
      <c r="D1056" s="1" t="s">
        <v>904</v>
      </c>
      <c r="E1056" s="1" t="s">
        <v>1607</v>
      </c>
      <c r="F1056" s="1" t="s">
        <v>977</v>
      </c>
      <c r="G1056" s="1" t="s">
        <v>3203</v>
      </c>
      <c r="H1056" s="1" t="s">
        <v>950</v>
      </c>
      <c r="I1056" s="1" t="s">
        <v>1322</v>
      </c>
      <c r="J1056" s="1" t="s">
        <v>934</v>
      </c>
      <c r="K1056" s="1" t="s">
        <v>1533</v>
      </c>
      <c r="L1056" s="1" t="s">
        <v>2437</v>
      </c>
      <c r="M1056" s="1" t="s">
        <v>1024</v>
      </c>
      <c r="N1056">
        <f>_xlfn.NUMBERVALUE(LEFT(Table11[[#This Row],[Score]],FIND("/",Table11[[#This Row],[Score]])-1))</f>
        <v>89</v>
      </c>
      <c r="O1056">
        <f>IFERROR(_xlfn.NUMBERVALUE(LEFT(Table11[[#This Row],[Score2 ]],FIND("/",Table11[[#This Row],[Score2 ]])-1)),"")</f>
        <v>120</v>
      </c>
      <c r="P1056" t="s">
        <v>140</v>
      </c>
      <c r="Q1056" s="1" t="s">
        <v>170</v>
      </c>
      <c r="R1056" t="str">
        <f>Table11[[#This Row],[Match]]&amp;" "&amp;Table11[[#This Row],[Over]]</f>
        <v>46 16</v>
      </c>
    </row>
    <row r="1057" spans="1:18" x14ac:dyDescent="0.3">
      <c r="A1057">
        <v>46</v>
      </c>
      <c r="B1057" s="1">
        <v>17</v>
      </c>
      <c r="C1057" s="1" t="s">
        <v>2823</v>
      </c>
      <c r="D1057" s="1" t="s">
        <v>898</v>
      </c>
      <c r="E1057" s="1" t="s">
        <v>2123</v>
      </c>
      <c r="F1057" s="1" t="s">
        <v>984</v>
      </c>
      <c r="G1057" s="1" t="s">
        <v>1110</v>
      </c>
      <c r="H1057" s="1" t="s">
        <v>1103</v>
      </c>
      <c r="I1057" s="1" t="s">
        <v>2364</v>
      </c>
      <c r="J1057" s="1" t="s">
        <v>970</v>
      </c>
      <c r="K1057" s="1" t="s">
        <v>2355</v>
      </c>
      <c r="L1057" s="1" t="s">
        <v>954</v>
      </c>
      <c r="M1057" s="1" t="s">
        <v>1031</v>
      </c>
      <c r="N1057">
        <f>_xlfn.NUMBERVALUE(LEFT(Table11[[#This Row],[Score]],FIND("/",Table11[[#This Row],[Score]])-1))</f>
        <v>91</v>
      </c>
      <c r="O1057">
        <f>IFERROR(_xlfn.NUMBERVALUE(LEFT(Table11[[#This Row],[Score2 ]],FIND("/",Table11[[#This Row],[Score2 ]])-1)),"")</f>
        <v>132</v>
      </c>
      <c r="P1057" t="s">
        <v>140</v>
      </c>
      <c r="Q1057" s="1" t="s">
        <v>170</v>
      </c>
      <c r="R1057" t="str">
        <f>Table11[[#This Row],[Match]]&amp;" "&amp;Table11[[#This Row],[Over]]</f>
        <v>46 17</v>
      </c>
    </row>
    <row r="1058" spans="1:18" x14ac:dyDescent="0.3">
      <c r="A1058">
        <v>46</v>
      </c>
      <c r="B1058" s="1">
        <v>18</v>
      </c>
      <c r="C1058" s="1" t="s">
        <v>2012</v>
      </c>
      <c r="D1058" s="1" t="s">
        <v>998</v>
      </c>
      <c r="E1058" s="1" t="s">
        <v>1593</v>
      </c>
      <c r="F1058" s="1" t="s">
        <v>1247</v>
      </c>
      <c r="G1058" s="1" t="s">
        <v>1117</v>
      </c>
      <c r="H1058" s="1" t="s">
        <v>898</v>
      </c>
      <c r="I1058" s="1" t="s">
        <v>2232</v>
      </c>
      <c r="J1058" s="1" t="s">
        <v>1029</v>
      </c>
      <c r="K1058" s="1" t="s">
        <v>3187</v>
      </c>
      <c r="L1058" s="1" t="s">
        <v>2602</v>
      </c>
      <c r="M1058" s="1" t="s">
        <v>1037</v>
      </c>
      <c r="N1058">
        <f>_xlfn.NUMBERVALUE(LEFT(Table11[[#This Row],[Score]],FIND("/",Table11[[#This Row],[Score]])-1))</f>
        <v>95</v>
      </c>
      <c r="O1058">
        <f>IFERROR(_xlfn.NUMBERVALUE(LEFT(Table11[[#This Row],[Score2 ]],FIND("/",Table11[[#This Row],[Score2 ]])-1)),"")</f>
        <v>134</v>
      </c>
      <c r="P1058" t="s">
        <v>140</v>
      </c>
      <c r="Q1058" s="1" t="s">
        <v>170</v>
      </c>
      <c r="R1058" t="str">
        <f>Table11[[#This Row],[Match]]&amp;" "&amp;Table11[[#This Row],[Over]]</f>
        <v>46 18</v>
      </c>
    </row>
    <row r="1059" spans="1:18" x14ac:dyDescent="0.3">
      <c r="A1059">
        <v>46</v>
      </c>
      <c r="B1059" s="1">
        <v>19</v>
      </c>
      <c r="C1059" s="1" t="s">
        <v>1777</v>
      </c>
      <c r="D1059" s="1" t="s">
        <v>930</v>
      </c>
      <c r="E1059" s="1" t="s">
        <v>1158</v>
      </c>
      <c r="F1059" s="1" t="s">
        <v>931</v>
      </c>
      <c r="G1059" s="1" t="s">
        <v>1361</v>
      </c>
      <c r="H1059" s="1" t="s">
        <v>1566</v>
      </c>
      <c r="I1059" s="1" t="s">
        <v>3202</v>
      </c>
      <c r="J1059" s="1" t="s">
        <v>1414</v>
      </c>
      <c r="K1059" s="1" t="s">
        <v>2214</v>
      </c>
      <c r="L1059" s="1" t="s">
        <v>1003</v>
      </c>
      <c r="M1059" s="1" t="s">
        <v>1043</v>
      </c>
      <c r="N1059">
        <f>_xlfn.NUMBERVALUE(LEFT(Table11[[#This Row],[Score]],FIND("/",Table11[[#This Row],[Score]])-1))</f>
        <v>103</v>
      </c>
      <c r="O1059">
        <f>IFERROR(_xlfn.NUMBERVALUE(LEFT(Table11[[#This Row],[Score2 ]],FIND("/",Table11[[#This Row],[Score2 ]])-1)),"")</f>
        <v>151</v>
      </c>
      <c r="P1059" t="s">
        <v>140</v>
      </c>
      <c r="Q1059" s="1" t="s">
        <v>170</v>
      </c>
      <c r="R1059" t="str">
        <f>Table11[[#This Row],[Match]]&amp;" "&amp;Table11[[#This Row],[Over]]</f>
        <v>46 19</v>
      </c>
    </row>
    <row r="1060" spans="1:18" x14ac:dyDescent="0.3">
      <c r="A1060">
        <v>46</v>
      </c>
      <c r="B1060" s="1">
        <v>20</v>
      </c>
      <c r="C1060" s="1" t="s">
        <v>1780</v>
      </c>
      <c r="D1060" s="1" t="s">
        <v>898</v>
      </c>
      <c r="E1060" s="1" t="s">
        <v>1722</v>
      </c>
      <c r="F1060" s="1" t="s">
        <v>990</v>
      </c>
      <c r="G1060" s="1" t="s">
        <v>3204</v>
      </c>
      <c r="H1060" s="1" t="s">
        <v>1095</v>
      </c>
      <c r="I1060" s="1" t="s">
        <v>1533</v>
      </c>
      <c r="J1060" s="1" t="s">
        <v>1200</v>
      </c>
      <c r="K1060" s="1" t="s">
        <v>2364</v>
      </c>
      <c r="L1060" s="1" t="s">
        <v>2616</v>
      </c>
      <c r="M1060" s="1" t="s">
        <v>1049</v>
      </c>
      <c r="N1060">
        <f>_xlfn.NUMBERVALUE(LEFT(Table11[[#This Row],[Score]],FIND("/",Table11[[#This Row],[Score]])-1))</f>
        <v>105</v>
      </c>
      <c r="O1060">
        <f>IFERROR(_xlfn.NUMBERVALUE(LEFT(Table11[[#This Row],[Score2 ]],FIND("/",Table11[[#This Row],[Score2 ]])-1)),"")</f>
        <v>161</v>
      </c>
      <c r="P1060" t="s">
        <v>140</v>
      </c>
      <c r="Q1060" s="1" t="s">
        <v>170</v>
      </c>
      <c r="R1060" t="str">
        <f>Table11[[#This Row],[Match]]&amp;" "&amp;Table11[[#This Row],[Over]]</f>
        <v>46 20</v>
      </c>
    </row>
    <row r="1061" spans="1:18" x14ac:dyDescent="0.3">
      <c r="A1061">
        <v>46</v>
      </c>
      <c r="B1061" s="1">
        <v>21</v>
      </c>
      <c r="C1061" s="1" t="s">
        <v>2889</v>
      </c>
      <c r="D1061" s="1" t="s">
        <v>1103</v>
      </c>
      <c r="E1061" s="1" t="s">
        <v>951</v>
      </c>
      <c r="F1061" s="1" t="s">
        <v>934</v>
      </c>
      <c r="G1061" s="1" t="s">
        <v>3205</v>
      </c>
      <c r="H1061" s="1" t="s">
        <v>998</v>
      </c>
      <c r="I1061" s="1" t="s">
        <v>3196</v>
      </c>
      <c r="J1061" s="1" t="s">
        <v>1161</v>
      </c>
      <c r="K1061" s="1" t="s">
        <v>3206</v>
      </c>
      <c r="L1061" s="1" t="s">
        <v>1023</v>
      </c>
      <c r="M1061" s="1" t="s">
        <v>1056</v>
      </c>
      <c r="N1061">
        <f>_xlfn.NUMBERVALUE(LEFT(Table11[[#This Row],[Score]],FIND("/",Table11[[#This Row],[Score]])-1))</f>
        <v>117</v>
      </c>
      <c r="O1061">
        <f>IFERROR(_xlfn.NUMBERVALUE(LEFT(Table11[[#This Row],[Score2 ]],FIND("/",Table11[[#This Row],[Score2 ]])-1)),"")</f>
        <v>165</v>
      </c>
      <c r="P1061" t="s">
        <v>140</v>
      </c>
      <c r="Q1061" s="1" t="s">
        <v>170</v>
      </c>
      <c r="R1061" t="str">
        <f>Table11[[#This Row],[Match]]&amp;" "&amp;Table11[[#This Row],[Over]]</f>
        <v>46 21</v>
      </c>
    </row>
    <row r="1062" spans="1:18" x14ac:dyDescent="0.3">
      <c r="A1062">
        <v>46</v>
      </c>
      <c r="B1062" s="1">
        <v>22</v>
      </c>
      <c r="C1062" s="1" t="s">
        <v>3207</v>
      </c>
      <c r="D1062" s="1" t="s">
        <v>998</v>
      </c>
      <c r="E1062" s="1" t="s">
        <v>959</v>
      </c>
      <c r="F1062" s="1" t="s">
        <v>1019</v>
      </c>
      <c r="G1062" s="1" t="s">
        <v>3208</v>
      </c>
      <c r="H1062" s="1" t="s">
        <v>916</v>
      </c>
      <c r="I1062" s="1" t="s">
        <v>3209</v>
      </c>
      <c r="J1062" s="1" t="s">
        <v>1089</v>
      </c>
      <c r="K1062" s="1" t="s">
        <v>2359</v>
      </c>
      <c r="L1062" s="1" t="s">
        <v>1004</v>
      </c>
      <c r="M1062" s="1" t="s">
        <v>1063</v>
      </c>
      <c r="N1062">
        <f>_xlfn.NUMBERVALUE(LEFT(Table11[[#This Row],[Score]],FIND("/",Table11[[#This Row],[Score]])-1))</f>
        <v>121</v>
      </c>
      <c r="O1062">
        <f>IFERROR(_xlfn.NUMBERVALUE(LEFT(Table11[[#This Row],[Score2 ]],FIND("/",Table11[[#This Row],[Score2 ]])-1)),"")</f>
        <v>172</v>
      </c>
      <c r="P1062" t="s">
        <v>140</v>
      </c>
      <c r="Q1062" s="1" t="s">
        <v>170</v>
      </c>
      <c r="R1062" t="str">
        <f>Table11[[#This Row],[Match]]&amp;" "&amp;Table11[[#This Row],[Over]]</f>
        <v>46 22</v>
      </c>
    </row>
    <row r="1063" spans="1:18" x14ac:dyDescent="0.3">
      <c r="A1063">
        <v>46</v>
      </c>
      <c r="B1063" s="1">
        <v>23</v>
      </c>
      <c r="C1063" s="1" t="s">
        <v>1804</v>
      </c>
      <c r="D1063" s="1" t="s">
        <v>947</v>
      </c>
      <c r="E1063" s="1" t="s">
        <v>1579</v>
      </c>
      <c r="F1063" s="1" t="s">
        <v>952</v>
      </c>
      <c r="G1063" s="1" t="s">
        <v>3210</v>
      </c>
      <c r="H1063" s="1" t="s">
        <v>898</v>
      </c>
      <c r="I1063" s="1" t="s">
        <v>3211</v>
      </c>
      <c r="J1063" s="1" t="s">
        <v>1089</v>
      </c>
      <c r="K1063" s="1" t="s">
        <v>2376</v>
      </c>
      <c r="L1063" s="1" t="s">
        <v>2004</v>
      </c>
      <c r="M1063" s="1" t="s">
        <v>1070</v>
      </c>
      <c r="N1063">
        <f>_xlfn.NUMBERVALUE(LEFT(Table11[[#This Row],[Score]],FIND("/",Table11[[#This Row],[Score]])-1))</f>
        <v>130</v>
      </c>
      <c r="O1063">
        <f>IFERROR(_xlfn.NUMBERVALUE(LEFT(Table11[[#This Row],[Score2 ]],FIND("/",Table11[[#This Row],[Score2 ]])-1)),"")</f>
        <v>174</v>
      </c>
      <c r="P1063" t="s">
        <v>140</v>
      </c>
      <c r="Q1063" s="1" t="s">
        <v>170</v>
      </c>
      <c r="R1063" t="str">
        <f>Table11[[#This Row],[Match]]&amp;" "&amp;Table11[[#This Row],[Over]]</f>
        <v>46 23</v>
      </c>
    </row>
    <row r="1064" spans="1:18" x14ac:dyDescent="0.3">
      <c r="A1064">
        <v>46</v>
      </c>
      <c r="B1064" s="1">
        <v>24</v>
      </c>
      <c r="C1064" s="1" t="s">
        <v>3212</v>
      </c>
      <c r="D1064" s="1" t="s">
        <v>950</v>
      </c>
      <c r="E1064" s="1" t="s">
        <v>2268</v>
      </c>
      <c r="F1064" s="1" t="s">
        <v>943</v>
      </c>
      <c r="G1064" s="1" t="s">
        <v>3213</v>
      </c>
      <c r="H1064" s="1" t="s">
        <v>1566</v>
      </c>
      <c r="I1064" s="1" t="s">
        <v>1340</v>
      </c>
      <c r="J1064" s="1" t="s">
        <v>1089</v>
      </c>
      <c r="K1064" s="1" t="s">
        <v>1168</v>
      </c>
      <c r="L1064" s="1" t="s">
        <v>1062</v>
      </c>
      <c r="M1064" s="1" t="s">
        <v>1077</v>
      </c>
      <c r="N1064">
        <f>_xlfn.NUMBERVALUE(LEFT(Table11[[#This Row],[Score]],FIND("/",Table11[[#This Row],[Score]])-1))</f>
        <v>135</v>
      </c>
      <c r="O1064">
        <f>IFERROR(_xlfn.NUMBERVALUE(LEFT(Table11[[#This Row],[Score2 ]],FIND("/",Table11[[#This Row],[Score2 ]])-1)),"")</f>
        <v>191</v>
      </c>
      <c r="P1064" t="s">
        <v>140</v>
      </c>
      <c r="Q1064" s="1" t="s">
        <v>170</v>
      </c>
      <c r="R1064" t="str">
        <f>Table11[[#This Row],[Match]]&amp;" "&amp;Table11[[#This Row],[Over]]</f>
        <v>46 24</v>
      </c>
    </row>
    <row r="1065" spans="1:18" x14ac:dyDescent="0.3">
      <c r="A1065">
        <v>46</v>
      </c>
      <c r="B1065" s="1">
        <v>25</v>
      </c>
      <c r="C1065" s="1" t="s">
        <v>1338</v>
      </c>
      <c r="D1065" s="1" t="s">
        <v>904</v>
      </c>
      <c r="E1065" s="1" t="s">
        <v>1677</v>
      </c>
      <c r="F1065" s="1" t="s">
        <v>960</v>
      </c>
      <c r="G1065" s="1" t="s">
        <v>2170</v>
      </c>
      <c r="H1065" s="1" t="s">
        <v>1095</v>
      </c>
      <c r="I1065" s="1" t="s">
        <v>2145</v>
      </c>
      <c r="J1065" s="1" t="s">
        <v>1089</v>
      </c>
      <c r="K1065" s="1" t="s">
        <v>1327</v>
      </c>
      <c r="L1065" s="1" t="s">
        <v>1328</v>
      </c>
      <c r="M1065" s="1" t="s">
        <v>1083</v>
      </c>
      <c r="N1065">
        <f>_xlfn.NUMBERVALUE(LEFT(Table11[[#This Row],[Score]],FIND("/",Table11[[#This Row],[Score]])-1))</f>
        <v>138</v>
      </c>
      <c r="O1065">
        <f>IFERROR(_xlfn.NUMBERVALUE(LEFT(Table11[[#This Row],[Score2 ]],FIND("/",Table11[[#This Row],[Score2 ]])-1)),"")</f>
        <v>201</v>
      </c>
      <c r="P1065" t="s">
        <v>140</v>
      </c>
      <c r="Q1065" s="1" t="s">
        <v>170</v>
      </c>
      <c r="R1065" t="str">
        <f>Table11[[#This Row],[Match]]&amp;" "&amp;Table11[[#This Row],[Over]]</f>
        <v>46 25</v>
      </c>
    </row>
    <row r="1066" spans="1:18" x14ac:dyDescent="0.3">
      <c r="A1066">
        <v>46</v>
      </c>
      <c r="B1066" s="1">
        <v>26</v>
      </c>
      <c r="C1066" s="1" t="s">
        <v>3214</v>
      </c>
      <c r="D1066" s="1" t="s">
        <v>898</v>
      </c>
      <c r="E1066" s="1" t="s">
        <v>1732</v>
      </c>
      <c r="F1066" s="1" t="s">
        <v>976</v>
      </c>
      <c r="G1066" s="1" t="s">
        <v>3215</v>
      </c>
      <c r="H1066" s="1" t="s">
        <v>1511</v>
      </c>
      <c r="I1066" s="1" t="s">
        <v>3216</v>
      </c>
      <c r="J1066" s="1" t="s">
        <v>1409</v>
      </c>
      <c r="K1066" s="1" t="s">
        <v>2119</v>
      </c>
      <c r="L1066" s="1" t="s">
        <v>1107</v>
      </c>
      <c r="M1066" s="1" t="s">
        <v>1090</v>
      </c>
      <c r="N1066">
        <f>_xlfn.NUMBERVALUE(LEFT(Table11[[#This Row],[Score]],FIND("/",Table11[[#This Row],[Score]])-1))</f>
        <v>140</v>
      </c>
      <c r="O1066">
        <f>IFERROR(_xlfn.NUMBERVALUE(LEFT(Table11[[#This Row],[Score2 ]],FIND("/",Table11[[#This Row],[Score2 ]])-1)),"")</f>
        <v>217</v>
      </c>
      <c r="P1066" t="s">
        <v>140</v>
      </c>
      <c r="Q1066" s="1" t="s">
        <v>170</v>
      </c>
      <c r="R1066" t="str">
        <f>Table11[[#This Row],[Match]]&amp;" "&amp;Table11[[#This Row],[Over]]</f>
        <v>46 26</v>
      </c>
    </row>
    <row r="1067" spans="1:18" x14ac:dyDescent="0.3">
      <c r="A1067">
        <v>46</v>
      </c>
      <c r="B1067" s="1">
        <v>27</v>
      </c>
      <c r="C1067" s="1" t="s">
        <v>1346</v>
      </c>
      <c r="D1067" s="1" t="s">
        <v>922</v>
      </c>
      <c r="E1067" s="1" t="s">
        <v>966</v>
      </c>
      <c r="F1067" s="1" t="s">
        <v>969</v>
      </c>
      <c r="G1067" s="1" t="s">
        <v>3217</v>
      </c>
      <c r="H1067" s="1" t="s">
        <v>998</v>
      </c>
      <c r="I1067" s="1" t="s">
        <v>3102</v>
      </c>
      <c r="J1067" s="1" t="s">
        <v>1141</v>
      </c>
      <c r="K1067" s="1" t="s">
        <v>2812</v>
      </c>
      <c r="L1067" s="1" t="s">
        <v>2642</v>
      </c>
      <c r="M1067" s="1" t="s">
        <v>1098</v>
      </c>
      <c r="N1067">
        <f>_xlfn.NUMBERVALUE(LEFT(Table11[[#This Row],[Score]],FIND("/",Table11[[#This Row],[Score]])-1))</f>
        <v>146</v>
      </c>
      <c r="O1067">
        <f>IFERROR(_xlfn.NUMBERVALUE(LEFT(Table11[[#This Row],[Score2 ]],FIND("/",Table11[[#This Row],[Score2 ]])-1)),"")</f>
        <v>221</v>
      </c>
      <c r="P1067" t="s">
        <v>140</v>
      </c>
      <c r="Q1067" s="1" t="s">
        <v>170</v>
      </c>
      <c r="R1067" t="str">
        <f>Table11[[#This Row],[Match]]&amp;" "&amp;Table11[[#This Row],[Over]]</f>
        <v>46 27</v>
      </c>
    </row>
    <row r="1068" spans="1:18" x14ac:dyDescent="0.3">
      <c r="A1068">
        <v>46</v>
      </c>
      <c r="B1068" s="1">
        <v>28</v>
      </c>
      <c r="C1068" s="1" t="s">
        <v>2142</v>
      </c>
      <c r="D1068" s="1" t="s">
        <v>904</v>
      </c>
      <c r="E1068" s="1" t="s">
        <v>2719</v>
      </c>
      <c r="F1068" s="1" t="s">
        <v>990</v>
      </c>
      <c r="G1068" s="1" t="s">
        <v>2303</v>
      </c>
      <c r="H1068" s="1" t="s">
        <v>1007</v>
      </c>
      <c r="I1068" s="1" t="s">
        <v>3206</v>
      </c>
      <c r="J1068" s="1" t="s">
        <v>1226</v>
      </c>
      <c r="K1068" s="1" t="s">
        <v>2949</v>
      </c>
      <c r="L1068" s="1" t="s">
        <v>2642</v>
      </c>
      <c r="M1068" s="1" t="s">
        <v>1101</v>
      </c>
      <c r="N1068">
        <f>_xlfn.NUMBERVALUE(LEFT(Table11[[#This Row],[Score]],FIND("/",Table11[[#This Row],[Score]])-1))</f>
        <v>149</v>
      </c>
      <c r="O1068">
        <f>IFERROR(_xlfn.NUMBERVALUE(LEFT(Table11[[#This Row],[Score2 ]],FIND("/",Table11[[#This Row],[Score2 ]])-1)),"")</f>
        <v>221</v>
      </c>
      <c r="P1068" t="s">
        <v>140</v>
      </c>
      <c r="Q1068" s="1" t="s">
        <v>170</v>
      </c>
      <c r="R1068" t="str">
        <f>Table11[[#This Row],[Match]]&amp;" "&amp;Table11[[#This Row],[Over]]</f>
        <v>46 28</v>
      </c>
    </row>
    <row r="1069" spans="1:18" x14ac:dyDescent="0.3">
      <c r="A1069">
        <v>46</v>
      </c>
      <c r="B1069" s="1">
        <v>29</v>
      </c>
      <c r="C1069" s="1" t="s">
        <v>3218</v>
      </c>
      <c r="D1069" s="1" t="s">
        <v>922</v>
      </c>
      <c r="E1069" s="1" t="s">
        <v>2685</v>
      </c>
      <c r="F1069" s="1" t="s">
        <v>939</v>
      </c>
      <c r="G1069" s="1" t="s">
        <v>3219</v>
      </c>
      <c r="H1069" s="1" t="s">
        <v>1511</v>
      </c>
      <c r="I1069" s="1" t="s">
        <v>1543</v>
      </c>
      <c r="J1069" s="1" t="s">
        <v>1200</v>
      </c>
      <c r="K1069" s="1" t="s">
        <v>1783</v>
      </c>
      <c r="L1069" s="1" t="s">
        <v>1363</v>
      </c>
      <c r="M1069" s="1" t="s">
        <v>1108</v>
      </c>
      <c r="N1069">
        <f>_xlfn.NUMBERVALUE(LEFT(Table11[[#This Row],[Score]],FIND("/",Table11[[#This Row],[Score]])-1))</f>
        <v>155</v>
      </c>
      <c r="O1069">
        <f>IFERROR(_xlfn.NUMBERVALUE(LEFT(Table11[[#This Row],[Score2 ]],FIND("/",Table11[[#This Row],[Score2 ]])-1)),"")</f>
        <v>237</v>
      </c>
      <c r="P1069" t="s">
        <v>140</v>
      </c>
      <c r="Q1069" s="1" t="s">
        <v>170</v>
      </c>
      <c r="R1069" t="str">
        <f>Table11[[#This Row],[Match]]&amp;" "&amp;Table11[[#This Row],[Over]]</f>
        <v>46 29</v>
      </c>
    </row>
    <row r="1070" spans="1:18" x14ac:dyDescent="0.3">
      <c r="A1070">
        <v>46</v>
      </c>
      <c r="B1070" s="1">
        <v>30</v>
      </c>
      <c r="C1070" s="1" t="s">
        <v>3220</v>
      </c>
      <c r="D1070" s="1" t="s">
        <v>950</v>
      </c>
      <c r="E1070" s="1" t="s">
        <v>2110</v>
      </c>
      <c r="F1070" s="1" t="s">
        <v>940</v>
      </c>
      <c r="G1070" s="1" t="s">
        <v>3221</v>
      </c>
      <c r="H1070" s="1" t="s">
        <v>1390</v>
      </c>
      <c r="I1070" s="1" t="s">
        <v>2952</v>
      </c>
      <c r="J1070" s="1" t="s">
        <v>1141</v>
      </c>
      <c r="K1070" s="1" t="s">
        <v>1116</v>
      </c>
      <c r="L1070" s="1" t="s">
        <v>1090</v>
      </c>
      <c r="M1070" s="1" t="s">
        <v>1113</v>
      </c>
      <c r="N1070">
        <f>_xlfn.NUMBERVALUE(LEFT(Table11[[#This Row],[Score]],FIND("/",Table11[[#This Row],[Score]])-1))</f>
        <v>160</v>
      </c>
      <c r="O1070">
        <f>IFERROR(_xlfn.NUMBERVALUE(LEFT(Table11[[#This Row],[Score2 ]],FIND("/",Table11[[#This Row],[Score2 ]])-1)),"")</f>
        <v>250</v>
      </c>
      <c r="P1070" t="s">
        <v>140</v>
      </c>
      <c r="Q1070" s="1" t="s">
        <v>170</v>
      </c>
      <c r="R1070" t="str">
        <f>Table11[[#This Row],[Match]]&amp;" "&amp;Table11[[#This Row],[Over]]</f>
        <v>46 30</v>
      </c>
    </row>
    <row r="1071" spans="1:18" x14ac:dyDescent="0.3">
      <c r="A1071">
        <v>46</v>
      </c>
      <c r="B1071" s="1">
        <v>31</v>
      </c>
      <c r="C1071" s="1" t="s">
        <v>3222</v>
      </c>
      <c r="D1071" s="1" t="s">
        <v>904</v>
      </c>
      <c r="E1071" s="1" t="s">
        <v>1722</v>
      </c>
      <c r="F1071" s="1" t="s">
        <v>976</v>
      </c>
      <c r="G1071" s="1" t="s">
        <v>3223</v>
      </c>
      <c r="H1071" s="1" t="s">
        <v>1966</v>
      </c>
      <c r="I1071" s="1" t="s">
        <v>3224</v>
      </c>
      <c r="J1071" s="1" t="s">
        <v>3225</v>
      </c>
      <c r="K1071" s="1" t="s">
        <v>3226</v>
      </c>
      <c r="L1071" s="1" t="s">
        <v>1090</v>
      </c>
      <c r="M1071" s="1" t="s">
        <v>1163</v>
      </c>
      <c r="N1071">
        <f>_xlfn.NUMBERVALUE(LEFT(Table11[[#This Row],[Score]],FIND("/",Table11[[#This Row],[Score]])-1))</f>
        <v>163</v>
      </c>
      <c r="O1071">
        <f>IFERROR(_xlfn.NUMBERVALUE(LEFT(Table11[[#This Row],[Score2 ]],FIND("/",Table11[[#This Row],[Score2 ]])-1)),"")</f>
        <v>250</v>
      </c>
      <c r="P1071" t="s">
        <v>140</v>
      </c>
      <c r="Q1071" s="1" t="s">
        <v>170</v>
      </c>
      <c r="R1071" t="str">
        <f>Table11[[#This Row],[Match]]&amp;" "&amp;Table11[[#This Row],[Over]]</f>
        <v>46 31</v>
      </c>
    </row>
    <row r="1072" spans="1:18" x14ac:dyDescent="0.3">
      <c r="A1072">
        <v>46</v>
      </c>
      <c r="B1072" s="1">
        <v>32</v>
      </c>
      <c r="C1072" s="1" t="s">
        <v>2149</v>
      </c>
      <c r="D1072" s="1" t="s">
        <v>904</v>
      </c>
      <c r="E1072" s="1" t="s">
        <v>2406</v>
      </c>
      <c r="F1072" s="1" t="s">
        <v>939</v>
      </c>
      <c r="N1072">
        <f>_xlfn.NUMBERVALUE(LEFT(Table11[[#This Row],[Score]],FIND("/",Table11[[#This Row],[Score]])-1))</f>
        <v>166</v>
      </c>
      <c r="O1072" t="str">
        <f>IFERROR(_xlfn.NUMBERVALUE(LEFT(Table11[[#This Row],[Score2 ]],FIND("/",Table11[[#This Row],[Score2 ]])-1)),"")</f>
        <v/>
      </c>
      <c r="P1072" t="s">
        <v>140</v>
      </c>
      <c r="Q1072" s="1" t="s">
        <v>170</v>
      </c>
      <c r="R1072" t="str">
        <f>Table11[[#This Row],[Match]]&amp;" "&amp;Table11[[#This Row],[Over]]</f>
        <v>46 32</v>
      </c>
    </row>
    <row r="1073" spans="1:18" x14ac:dyDescent="0.3">
      <c r="A1073">
        <v>46</v>
      </c>
      <c r="B1073" s="1">
        <v>33</v>
      </c>
      <c r="C1073" s="1" t="s">
        <v>3227</v>
      </c>
      <c r="D1073" s="1" t="s">
        <v>947</v>
      </c>
      <c r="E1073" s="1" t="s">
        <v>1065</v>
      </c>
      <c r="F1073" s="1" t="s">
        <v>1029</v>
      </c>
      <c r="N1073">
        <f>_xlfn.NUMBERVALUE(LEFT(Table11[[#This Row],[Score]],FIND("/",Table11[[#This Row],[Score]])-1))</f>
        <v>175</v>
      </c>
      <c r="O1073" t="str">
        <f>IFERROR(_xlfn.NUMBERVALUE(LEFT(Table11[[#This Row],[Score2 ]],FIND("/",Table11[[#This Row],[Score2 ]])-1)),"")</f>
        <v/>
      </c>
      <c r="P1073" t="s">
        <v>140</v>
      </c>
      <c r="Q1073" s="1" t="s">
        <v>170</v>
      </c>
      <c r="R1073" t="str">
        <f>Table11[[#This Row],[Match]]&amp;" "&amp;Table11[[#This Row],[Over]]</f>
        <v>46 33</v>
      </c>
    </row>
    <row r="1074" spans="1:18" x14ac:dyDescent="0.3">
      <c r="A1074">
        <v>46</v>
      </c>
      <c r="B1074" s="1">
        <v>34</v>
      </c>
      <c r="C1074" s="1" t="s">
        <v>3228</v>
      </c>
      <c r="D1074" s="1" t="s">
        <v>998</v>
      </c>
      <c r="E1074" s="1" t="s">
        <v>2178</v>
      </c>
      <c r="F1074" s="1" t="s">
        <v>1093</v>
      </c>
      <c r="N1074">
        <f>_xlfn.NUMBERVALUE(LEFT(Table11[[#This Row],[Score]],FIND("/",Table11[[#This Row],[Score]])-1))</f>
        <v>179</v>
      </c>
      <c r="O1074" t="str">
        <f>IFERROR(_xlfn.NUMBERVALUE(LEFT(Table11[[#This Row],[Score2 ]],FIND("/",Table11[[#This Row],[Score2 ]])-1)),"")</f>
        <v/>
      </c>
      <c r="P1074" t="s">
        <v>140</v>
      </c>
      <c r="Q1074" s="1" t="s">
        <v>170</v>
      </c>
      <c r="R1074" t="str">
        <f>Table11[[#This Row],[Match]]&amp;" "&amp;Table11[[#This Row],[Over]]</f>
        <v>46 34</v>
      </c>
    </row>
    <row r="1075" spans="1:18" x14ac:dyDescent="0.3">
      <c r="A1075">
        <v>46</v>
      </c>
      <c r="B1075" s="1">
        <v>35</v>
      </c>
      <c r="C1075" s="1" t="s">
        <v>3229</v>
      </c>
      <c r="D1075" s="1" t="s">
        <v>930</v>
      </c>
      <c r="E1075" s="1" t="s">
        <v>2685</v>
      </c>
      <c r="F1075" s="1" t="s">
        <v>966</v>
      </c>
      <c r="N1075">
        <f>_xlfn.NUMBERVALUE(LEFT(Table11[[#This Row],[Score]],FIND("/",Table11[[#This Row],[Score]])-1))</f>
        <v>187</v>
      </c>
      <c r="O1075" t="str">
        <f>IFERROR(_xlfn.NUMBERVALUE(LEFT(Table11[[#This Row],[Score2 ]],FIND("/",Table11[[#This Row],[Score2 ]])-1)),"")</f>
        <v/>
      </c>
      <c r="P1075" t="s">
        <v>140</v>
      </c>
      <c r="Q1075" s="1" t="s">
        <v>170</v>
      </c>
      <c r="R1075" t="str">
        <f>Table11[[#This Row],[Match]]&amp;" "&amp;Table11[[#This Row],[Over]]</f>
        <v>46 35</v>
      </c>
    </row>
    <row r="1076" spans="1:18" x14ac:dyDescent="0.3">
      <c r="A1076">
        <v>46</v>
      </c>
      <c r="B1076" s="1">
        <v>36</v>
      </c>
      <c r="C1076" s="1" t="s">
        <v>1151</v>
      </c>
      <c r="D1076" s="1" t="s">
        <v>1390</v>
      </c>
      <c r="E1076" s="1" t="s">
        <v>1682</v>
      </c>
      <c r="F1076" s="1" t="s">
        <v>1068</v>
      </c>
      <c r="N1076">
        <f>_xlfn.NUMBERVALUE(LEFT(Table11[[#This Row],[Score]],FIND("/",Table11[[#This Row],[Score]])-1))</f>
        <v>200</v>
      </c>
      <c r="O1076" t="str">
        <f>IFERROR(_xlfn.NUMBERVALUE(LEFT(Table11[[#This Row],[Score2 ]],FIND("/",Table11[[#This Row],[Score2 ]])-1)),"")</f>
        <v/>
      </c>
      <c r="P1076" t="s">
        <v>140</v>
      </c>
      <c r="Q1076" s="1" t="s">
        <v>170</v>
      </c>
      <c r="R1076" t="str">
        <f>Table11[[#This Row],[Match]]&amp;" "&amp;Table11[[#This Row],[Over]]</f>
        <v>46 36</v>
      </c>
    </row>
    <row r="1077" spans="1:18" x14ac:dyDescent="0.3">
      <c r="A1077">
        <v>46</v>
      </c>
      <c r="B1077" s="1">
        <v>37</v>
      </c>
      <c r="C1077" s="1" t="s">
        <v>3230</v>
      </c>
      <c r="D1077" s="1" t="s">
        <v>947</v>
      </c>
      <c r="E1077" s="1" t="s">
        <v>2242</v>
      </c>
      <c r="F1077" s="1" t="s">
        <v>1414</v>
      </c>
      <c r="N1077">
        <f>_xlfn.NUMBERVALUE(LEFT(Table11[[#This Row],[Score]],FIND("/",Table11[[#This Row],[Score]])-1))</f>
        <v>209</v>
      </c>
      <c r="O1077" t="str">
        <f>IFERROR(_xlfn.NUMBERVALUE(LEFT(Table11[[#This Row],[Score2 ]],FIND("/",Table11[[#This Row],[Score2 ]])-1)),"")</f>
        <v/>
      </c>
      <c r="P1077" t="s">
        <v>140</v>
      </c>
      <c r="Q1077" s="1" t="s">
        <v>170</v>
      </c>
      <c r="R1077" t="str">
        <f>Table11[[#This Row],[Match]]&amp;" "&amp;Table11[[#This Row],[Over]]</f>
        <v>46 37</v>
      </c>
    </row>
    <row r="1078" spans="1:18" x14ac:dyDescent="0.3">
      <c r="A1078">
        <v>46</v>
      </c>
      <c r="B1078" s="1">
        <v>38</v>
      </c>
      <c r="C1078" s="1" t="s">
        <v>3231</v>
      </c>
      <c r="D1078" s="1" t="s">
        <v>1511</v>
      </c>
      <c r="E1078" s="1" t="s">
        <v>2235</v>
      </c>
      <c r="F1078" s="1" t="s">
        <v>2055</v>
      </c>
      <c r="N1078">
        <f>_xlfn.NUMBERVALUE(LEFT(Table11[[#This Row],[Score]],FIND("/",Table11[[#This Row],[Score]])-1))</f>
        <v>225</v>
      </c>
      <c r="O1078" t="str">
        <f>IFERROR(_xlfn.NUMBERVALUE(LEFT(Table11[[#This Row],[Score2 ]],FIND("/",Table11[[#This Row],[Score2 ]])-1)),"")</f>
        <v/>
      </c>
      <c r="P1078" t="s">
        <v>140</v>
      </c>
      <c r="Q1078" s="1" t="s">
        <v>170</v>
      </c>
      <c r="R1078" t="str">
        <f>Table11[[#This Row],[Match]]&amp;" "&amp;Table11[[#This Row],[Over]]</f>
        <v>46 38</v>
      </c>
    </row>
    <row r="1079" spans="1:18" x14ac:dyDescent="0.3">
      <c r="A1079">
        <v>46</v>
      </c>
      <c r="B1079" s="1">
        <v>39</v>
      </c>
      <c r="C1079" s="1" t="s">
        <v>2066</v>
      </c>
      <c r="D1079" s="1" t="s">
        <v>930</v>
      </c>
      <c r="E1079" s="1" t="s">
        <v>2442</v>
      </c>
      <c r="F1079" s="1" t="s">
        <v>1611</v>
      </c>
      <c r="N1079">
        <f>_xlfn.NUMBERVALUE(LEFT(Table11[[#This Row],[Score]],FIND("/",Table11[[#This Row],[Score]])-1))</f>
        <v>233</v>
      </c>
      <c r="O1079" t="str">
        <f>IFERROR(_xlfn.NUMBERVALUE(LEFT(Table11[[#This Row],[Score2 ]],FIND("/",Table11[[#This Row],[Score2 ]])-1)),"")</f>
        <v/>
      </c>
      <c r="P1079" t="s">
        <v>140</v>
      </c>
      <c r="Q1079" s="1" t="s">
        <v>170</v>
      </c>
      <c r="R1079" t="str">
        <f>Table11[[#This Row],[Match]]&amp;" "&amp;Table11[[#This Row],[Over]]</f>
        <v>46 39</v>
      </c>
    </row>
    <row r="1080" spans="1:18" x14ac:dyDescent="0.3">
      <c r="A1080">
        <v>46</v>
      </c>
      <c r="B1080" s="1">
        <v>40</v>
      </c>
      <c r="C1080" s="1" t="s">
        <v>3232</v>
      </c>
      <c r="D1080" s="1" t="s">
        <v>916</v>
      </c>
      <c r="E1080" s="1" t="s">
        <v>1019</v>
      </c>
      <c r="F1080" s="1" t="s">
        <v>1568</v>
      </c>
      <c r="N1080">
        <f>_xlfn.NUMBERVALUE(LEFT(Table11[[#This Row],[Score]],FIND("/",Table11[[#This Row],[Score]])-1))</f>
        <v>240</v>
      </c>
      <c r="O1080" t="str">
        <f>IFERROR(_xlfn.NUMBERVALUE(LEFT(Table11[[#This Row],[Score2 ]],FIND("/",Table11[[#This Row],[Score2 ]])-1)),"")</f>
        <v/>
      </c>
      <c r="P1080" t="s">
        <v>140</v>
      </c>
      <c r="Q1080" s="1" t="s">
        <v>170</v>
      </c>
      <c r="R1080" t="str">
        <f>Table11[[#This Row],[Match]]&amp;" "&amp;Table11[[#This Row],[Over]]</f>
        <v>46 40</v>
      </c>
    </row>
    <row r="1081" spans="1:18" x14ac:dyDescent="0.3">
      <c r="A1081">
        <v>46</v>
      </c>
      <c r="B1081" s="1">
        <v>41</v>
      </c>
      <c r="C1081" s="1" t="s">
        <v>3233</v>
      </c>
      <c r="D1081" s="1" t="s">
        <v>916</v>
      </c>
      <c r="E1081" s="1" t="s">
        <v>1218</v>
      </c>
      <c r="F1081" s="1" t="s">
        <v>1226</v>
      </c>
      <c r="N1081">
        <f>_xlfn.NUMBERVALUE(LEFT(Table11[[#This Row],[Score]],FIND("/",Table11[[#This Row],[Score]])-1))</f>
        <v>247</v>
      </c>
      <c r="O1081" t="str">
        <f>IFERROR(_xlfn.NUMBERVALUE(LEFT(Table11[[#This Row],[Score2 ]],FIND("/",Table11[[#This Row],[Score2 ]])-1)),"")</f>
        <v/>
      </c>
      <c r="P1081" t="s">
        <v>140</v>
      </c>
      <c r="Q1081" s="1" t="s">
        <v>170</v>
      </c>
      <c r="R1081" t="str">
        <f>Table11[[#This Row],[Match]]&amp;" "&amp;Table11[[#This Row],[Over]]</f>
        <v>46 41</v>
      </c>
    </row>
    <row r="1082" spans="1:18" x14ac:dyDescent="0.3">
      <c r="A1082">
        <v>46</v>
      </c>
      <c r="B1082" s="1">
        <v>42</v>
      </c>
      <c r="C1082" s="1" t="s">
        <v>3234</v>
      </c>
      <c r="D1082" s="1" t="s">
        <v>1147</v>
      </c>
      <c r="E1082" s="1" t="s">
        <v>926</v>
      </c>
      <c r="F1082" s="1" t="s">
        <v>1568</v>
      </c>
      <c r="N1082">
        <f>_xlfn.NUMBERVALUE(LEFT(Table11[[#This Row],[Score]],FIND("/",Table11[[#This Row],[Score]])-1))</f>
        <v>262</v>
      </c>
      <c r="O1082" t="str">
        <f>IFERROR(_xlfn.NUMBERVALUE(LEFT(Table11[[#This Row],[Score2 ]],FIND("/",Table11[[#This Row],[Score2 ]])-1)),"")</f>
        <v/>
      </c>
      <c r="P1082" t="s">
        <v>140</v>
      </c>
      <c r="Q1082" s="1" t="s">
        <v>170</v>
      </c>
      <c r="R1082" t="str">
        <f>Table11[[#This Row],[Match]]&amp;" "&amp;Table11[[#This Row],[Over]]</f>
        <v>46 42</v>
      </c>
    </row>
    <row r="1083" spans="1:18" x14ac:dyDescent="0.3">
      <c r="A1083">
        <v>46</v>
      </c>
      <c r="B1083" s="1">
        <v>43</v>
      </c>
      <c r="C1083" s="1" t="s">
        <v>3235</v>
      </c>
      <c r="D1083" s="1" t="s">
        <v>1511</v>
      </c>
      <c r="E1083" s="1" t="s">
        <v>1248</v>
      </c>
      <c r="F1083" s="1" t="s">
        <v>1568</v>
      </c>
      <c r="N1083">
        <f>_xlfn.NUMBERVALUE(LEFT(Table11[[#This Row],[Score]],FIND("/",Table11[[#This Row],[Score]])-1))</f>
        <v>278</v>
      </c>
      <c r="O1083" t="str">
        <f>IFERROR(_xlfn.NUMBERVALUE(LEFT(Table11[[#This Row],[Score2 ]],FIND("/",Table11[[#This Row],[Score2 ]])-1)),"")</f>
        <v/>
      </c>
      <c r="P1083" t="s">
        <v>140</v>
      </c>
      <c r="Q1083" s="1" t="s">
        <v>170</v>
      </c>
      <c r="R1083" t="str">
        <f>Table11[[#This Row],[Match]]&amp;" "&amp;Table11[[#This Row],[Over]]</f>
        <v>46 43</v>
      </c>
    </row>
    <row r="1084" spans="1:18" x14ac:dyDescent="0.3">
      <c r="A1084">
        <v>46</v>
      </c>
      <c r="B1084" s="1">
        <v>44</v>
      </c>
      <c r="C1084" s="1" t="s">
        <v>3236</v>
      </c>
      <c r="D1084" s="1" t="s">
        <v>998</v>
      </c>
      <c r="E1084" s="1" t="s">
        <v>943</v>
      </c>
      <c r="F1084" s="1" t="s">
        <v>1141</v>
      </c>
      <c r="N1084">
        <f>_xlfn.NUMBERVALUE(LEFT(Table11[[#This Row],[Score]],FIND("/",Table11[[#This Row],[Score]])-1))</f>
        <v>282</v>
      </c>
      <c r="O1084" t="str">
        <f>IFERROR(_xlfn.NUMBERVALUE(LEFT(Table11[[#This Row],[Score2 ]],FIND("/",Table11[[#This Row],[Score2 ]])-1)),"")</f>
        <v/>
      </c>
      <c r="P1084" t="s">
        <v>140</v>
      </c>
      <c r="Q1084" s="1" t="s">
        <v>170</v>
      </c>
      <c r="R1084" t="str">
        <f>Table11[[#This Row],[Match]]&amp;" "&amp;Table11[[#This Row],[Over]]</f>
        <v>46 44</v>
      </c>
    </row>
    <row r="1085" spans="1:18" x14ac:dyDescent="0.3">
      <c r="A1085">
        <v>46</v>
      </c>
      <c r="B1085" s="1">
        <v>45</v>
      </c>
      <c r="C1085" s="1" t="s">
        <v>3237</v>
      </c>
      <c r="D1085" s="1" t="s">
        <v>1706</v>
      </c>
      <c r="E1085" s="1" t="s">
        <v>1279</v>
      </c>
      <c r="F1085" s="1" t="s">
        <v>1580</v>
      </c>
      <c r="N1085">
        <f>_xlfn.NUMBERVALUE(LEFT(Table11[[#This Row],[Score]],FIND("/",Table11[[#This Row],[Score]])-1))</f>
        <v>309</v>
      </c>
      <c r="O1085" t="str">
        <f>IFERROR(_xlfn.NUMBERVALUE(LEFT(Table11[[#This Row],[Score2 ]],FIND("/",Table11[[#This Row],[Score2 ]])-1)),"")</f>
        <v/>
      </c>
      <c r="P1085" t="s">
        <v>140</v>
      </c>
      <c r="Q1085" s="1" t="s">
        <v>170</v>
      </c>
      <c r="R1085" t="str">
        <f>Table11[[#This Row],[Match]]&amp;" "&amp;Table11[[#This Row],[Over]]</f>
        <v>46 45</v>
      </c>
    </row>
    <row r="1086" spans="1:18" x14ac:dyDescent="0.3">
      <c r="A1086">
        <v>46</v>
      </c>
      <c r="B1086" s="1">
        <v>46</v>
      </c>
      <c r="C1086" s="1" t="s">
        <v>3238</v>
      </c>
      <c r="D1086" s="1" t="s">
        <v>1684</v>
      </c>
      <c r="E1086" s="1" t="s">
        <v>3239</v>
      </c>
      <c r="F1086" s="1" t="s">
        <v>1209</v>
      </c>
      <c r="N1086">
        <f>_xlfn.NUMBERVALUE(LEFT(Table11[[#This Row],[Score]],FIND("/",Table11[[#This Row],[Score]])-1))</f>
        <v>328</v>
      </c>
      <c r="O1086" t="str">
        <f>IFERROR(_xlfn.NUMBERVALUE(LEFT(Table11[[#This Row],[Score2 ]],FIND("/",Table11[[#This Row],[Score2 ]])-1)),"")</f>
        <v/>
      </c>
      <c r="P1086" t="s">
        <v>140</v>
      </c>
      <c r="Q1086" s="1" t="s">
        <v>170</v>
      </c>
      <c r="R1086" t="str">
        <f>Table11[[#This Row],[Match]]&amp;" "&amp;Table11[[#This Row],[Over]]</f>
        <v>46 46</v>
      </c>
    </row>
    <row r="1087" spans="1:18" x14ac:dyDescent="0.3">
      <c r="A1087">
        <v>46</v>
      </c>
      <c r="B1087" s="1">
        <v>47</v>
      </c>
      <c r="C1087" s="1" t="s">
        <v>3240</v>
      </c>
      <c r="D1087" s="1" t="s">
        <v>1051</v>
      </c>
      <c r="E1087" s="1" t="s">
        <v>2934</v>
      </c>
      <c r="F1087" s="1" t="s">
        <v>3066</v>
      </c>
      <c r="N1087">
        <f>_xlfn.NUMBERVALUE(LEFT(Table11[[#This Row],[Score]],FIND("/",Table11[[#This Row],[Score]])-1))</f>
        <v>339</v>
      </c>
      <c r="O1087" t="str">
        <f>IFERROR(_xlfn.NUMBERVALUE(LEFT(Table11[[#This Row],[Score2 ]],FIND("/",Table11[[#This Row],[Score2 ]])-1)),"")</f>
        <v/>
      </c>
      <c r="P1087" t="s">
        <v>140</v>
      </c>
      <c r="Q1087" s="1" t="s">
        <v>170</v>
      </c>
      <c r="R1087" t="str">
        <f>Table11[[#This Row],[Match]]&amp;" "&amp;Table11[[#This Row],[Over]]</f>
        <v>46 47</v>
      </c>
    </row>
    <row r="1088" spans="1:18" x14ac:dyDescent="0.3">
      <c r="A1088">
        <v>46</v>
      </c>
      <c r="B1088" s="1">
        <v>48</v>
      </c>
      <c r="C1088" s="1" t="s">
        <v>3241</v>
      </c>
      <c r="D1088" s="1" t="s">
        <v>1223</v>
      </c>
      <c r="E1088" s="1" t="s">
        <v>2990</v>
      </c>
      <c r="F1088" s="1" t="s">
        <v>2865</v>
      </c>
      <c r="N1088">
        <f>_xlfn.NUMBERVALUE(LEFT(Table11[[#This Row],[Score]],FIND("/",Table11[[#This Row],[Score]])-1))</f>
        <v>357</v>
      </c>
      <c r="O1088" t="str">
        <f>IFERROR(_xlfn.NUMBERVALUE(LEFT(Table11[[#This Row],[Score2 ]],FIND("/",Table11[[#This Row],[Score2 ]])-1)),"")</f>
        <v/>
      </c>
      <c r="P1088" t="s">
        <v>140</v>
      </c>
      <c r="Q1088" s="1" t="s">
        <v>170</v>
      </c>
      <c r="R1088" t="str">
        <f>Table11[[#This Row],[Match]]&amp;" "&amp;Table11[[#This Row],[Over]]</f>
        <v>46 48</v>
      </c>
    </row>
    <row r="1089" spans="1:18" x14ac:dyDescent="0.3">
      <c r="A1089">
        <v>46</v>
      </c>
      <c r="B1089" s="1">
        <v>49</v>
      </c>
      <c r="C1089" s="1" t="s">
        <v>3242</v>
      </c>
      <c r="D1089" s="1" t="s">
        <v>1511</v>
      </c>
      <c r="E1089" s="1" t="s">
        <v>2820</v>
      </c>
      <c r="F1089" s="1" t="s">
        <v>3243</v>
      </c>
      <c r="N1089">
        <f>_xlfn.NUMBERVALUE(LEFT(Table11[[#This Row],[Score]],FIND("/",Table11[[#This Row],[Score]])-1))</f>
        <v>373</v>
      </c>
      <c r="O1089" t="str">
        <f>IFERROR(_xlfn.NUMBERVALUE(LEFT(Table11[[#This Row],[Score2 ]],FIND("/",Table11[[#This Row],[Score2 ]])-1)),"")</f>
        <v/>
      </c>
      <c r="P1089" t="s">
        <v>140</v>
      </c>
      <c r="Q1089" s="1" t="s">
        <v>170</v>
      </c>
      <c r="R1089" t="str">
        <f>Table11[[#This Row],[Match]]&amp;" "&amp;Table11[[#This Row],[Over]]</f>
        <v>46 49</v>
      </c>
    </row>
    <row r="1090" spans="1:18" x14ac:dyDescent="0.3">
      <c r="A1090">
        <v>46</v>
      </c>
      <c r="B1090" s="1">
        <v>50</v>
      </c>
      <c r="C1090" s="1" t="s">
        <v>3244</v>
      </c>
      <c r="D1090" s="1" t="s">
        <v>1670</v>
      </c>
      <c r="E1090" s="1" t="s">
        <v>2949</v>
      </c>
      <c r="F1090" s="1" t="s">
        <v>3062</v>
      </c>
      <c r="N1090">
        <f>_xlfn.NUMBERVALUE(LEFT(Table11[[#This Row],[Score]],FIND("/",Table11[[#This Row],[Score]])-1))</f>
        <v>393</v>
      </c>
      <c r="O1090" t="str">
        <f>IFERROR(_xlfn.NUMBERVALUE(LEFT(Table11[[#This Row],[Score2 ]],FIND("/",Table11[[#This Row],[Score2 ]])-1)),"")</f>
        <v/>
      </c>
      <c r="P1090" t="s">
        <v>140</v>
      </c>
      <c r="Q1090" s="1" t="s">
        <v>170</v>
      </c>
      <c r="R1090" t="str">
        <f>Table11[[#This Row],[Match]]&amp;" "&amp;Table11[[#This Row],[Over]]</f>
        <v>46 50</v>
      </c>
    </row>
    <row r="1091" spans="1:18" x14ac:dyDescent="0.3">
      <c r="A1091">
        <v>47</v>
      </c>
      <c r="B1091" s="1">
        <v>1</v>
      </c>
      <c r="C1091" s="1" t="s">
        <v>1230</v>
      </c>
      <c r="D1091" s="1" t="s">
        <v>1007</v>
      </c>
      <c r="E1091" s="1" t="s">
        <v>1231</v>
      </c>
      <c r="F1091" s="1" t="s">
        <v>348</v>
      </c>
      <c r="G1091" s="1" t="s">
        <v>1721</v>
      </c>
      <c r="H1091" s="1" t="s">
        <v>930</v>
      </c>
      <c r="I1091" s="1" t="s">
        <v>1089</v>
      </c>
      <c r="J1091" s="1" t="s">
        <v>348</v>
      </c>
      <c r="K1091" s="1" t="s">
        <v>3245</v>
      </c>
      <c r="L1091" s="1" t="s">
        <v>1249</v>
      </c>
      <c r="M1091" s="1" t="s">
        <v>963</v>
      </c>
      <c r="N1091">
        <f>_xlfn.NUMBERVALUE(LEFT(Table11[[#This Row],[Score]],FIND("/",Table11[[#This Row],[Score]])-1))</f>
        <v>0</v>
      </c>
      <c r="O1091">
        <f>IFERROR(_xlfn.NUMBERVALUE(LEFT(Table11[[#This Row],[Score2 ]],FIND("/",Table11[[#This Row],[Score2 ]])-1)),"")</f>
        <v>8</v>
      </c>
      <c r="P1091" t="s">
        <v>141</v>
      </c>
      <c r="Q1091" s="1" t="s">
        <v>140</v>
      </c>
      <c r="R1091" t="str">
        <f>Table11[[#This Row],[Match]]&amp;" "&amp;Table11[[#This Row],[Over]]</f>
        <v>47 1</v>
      </c>
    </row>
    <row r="1092" spans="1:18" x14ac:dyDescent="0.3">
      <c r="A1092">
        <v>47</v>
      </c>
      <c r="B1092" s="1">
        <v>2</v>
      </c>
      <c r="C1092" s="1" t="s">
        <v>1421</v>
      </c>
      <c r="D1092" s="1" t="s">
        <v>1095</v>
      </c>
      <c r="E1092" s="1" t="s">
        <v>969</v>
      </c>
      <c r="F1092" s="1" t="s">
        <v>348</v>
      </c>
      <c r="G1092" s="1" t="s">
        <v>1973</v>
      </c>
      <c r="H1092" s="1" t="s">
        <v>1223</v>
      </c>
      <c r="I1092" s="1" t="s">
        <v>3246</v>
      </c>
      <c r="J1092" s="1" t="s">
        <v>348</v>
      </c>
      <c r="K1092" s="1" t="s">
        <v>2461</v>
      </c>
      <c r="L1092" s="1" t="s">
        <v>1977</v>
      </c>
      <c r="M1092" s="1" t="s">
        <v>973</v>
      </c>
      <c r="N1092">
        <f>_xlfn.NUMBERVALUE(LEFT(Table11[[#This Row],[Score]],FIND("/",Table11[[#This Row],[Score]])-1))</f>
        <v>10</v>
      </c>
      <c r="O1092">
        <f>IFERROR(_xlfn.NUMBERVALUE(LEFT(Table11[[#This Row],[Score2 ]],FIND("/",Table11[[#This Row],[Score2 ]])-1)),"")</f>
        <v>26</v>
      </c>
      <c r="P1092" t="s">
        <v>141</v>
      </c>
      <c r="Q1092" s="1" t="s">
        <v>140</v>
      </c>
      <c r="R1092" t="str">
        <f>Table11[[#This Row],[Match]]&amp;" "&amp;Table11[[#This Row],[Over]]</f>
        <v>47 2</v>
      </c>
    </row>
    <row r="1093" spans="1:18" x14ac:dyDescent="0.3">
      <c r="A1093">
        <v>47</v>
      </c>
      <c r="B1093" s="1">
        <v>3</v>
      </c>
      <c r="C1093" s="1" t="s">
        <v>1427</v>
      </c>
      <c r="D1093" s="1" t="s">
        <v>1095</v>
      </c>
      <c r="E1093" s="1" t="s">
        <v>1260</v>
      </c>
      <c r="F1093" s="1" t="s">
        <v>348</v>
      </c>
      <c r="G1093" s="1" t="s">
        <v>2330</v>
      </c>
      <c r="H1093" s="1" t="s">
        <v>922</v>
      </c>
      <c r="I1093" s="1" t="s">
        <v>2661</v>
      </c>
      <c r="J1093" s="1" t="s">
        <v>348</v>
      </c>
      <c r="K1093" s="1" t="s">
        <v>2492</v>
      </c>
      <c r="L1093" s="1" t="s">
        <v>2597</v>
      </c>
      <c r="M1093" s="1" t="s">
        <v>980</v>
      </c>
      <c r="N1093">
        <f>_xlfn.NUMBERVALUE(LEFT(Table11[[#This Row],[Score]],FIND("/",Table11[[#This Row],[Score]])-1))</f>
        <v>20</v>
      </c>
      <c r="O1093">
        <f>IFERROR(_xlfn.NUMBERVALUE(LEFT(Table11[[#This Row],[Score2 ]],FIND("/",Table11[[#This Row],[Score2 ]])-1)),"")</f>
        <v>32</v>
      </c>
      <c r="P1093" t="s">
        <v>141</v>
      </c>
      <c r="Q1093" s="1" t="s">
        <v>140</v>
      </c>
      <c r="R1093" t="str">
        <f>Table11[[#This Row],[Match]]&amp;" "&amp;Table11[[#This Row],[Over]]</f>
        <v>47 3</v>
      </c>
    </row>
    <row r="1094" spans="1:18" x14ac:dyDescent="0.3">
      <c r="A1094">
        <v>47</v>
      </c>
      <c r="B1094" s="1">
        <v>4</v>
      </c>
      <c r="C1094" s="1" t="s">
        <v>3247</v>
      </c>
      <c r="D1094" s="1" t="s">
        <v>950</v>
      </c>
      <c r="E1094" s="1" t="s">
        <v>1448</v>
      </c>
      <c r="F1094" s="1" t="s">
        <v>348</v>
      </c>
      <c r="G1094" s="1" t="s">
        <v>2106</v>
      </c>
      <c r="H1094" s="1" t="s">
        <v>933</v>
      </c>
      <c r="I1094" s="1" t="s">
        <v>2299</v>
      </c>
      <c r="J1094" s="1" t="s">
        <v>348</v>
      </c>
      <c r="K1094" s="1" t="s">
        <v>1248</v>
      </c>
      <c r="L1094" s="1" t="s">
        <v>963</v>
      </c>
      <c r="M1094" s="1" t="s">
        <v>987</v>
      </c>
      <c r="N1094">
        <f>_xlfn.NUMBERVALUE(LEFT(Table11[[#This Row],[Score]],FIND("/",Table11[[#This Row],[Score]])-1))</f>
        <v>25</v>
      </c>
      <c r="O1094">
        <f>IFERROR(_xlfn.NUMBERVALUE(LEFT(Table11[[#This Row],[Score2 ]],FIND("/",Table11[[#This Row],[Score2 ]])-1)),"")</f>
        <v>46</v>
      </c>
      <c r="P1094" t="s">
        <v>141</v>
      </c>
      <c r="Q1094" s="1" t="s">
        <v>140</v>
      </c>
      <c r="R1094" t="str">
        <f>Table11[[#This Row],[Match]]&amp;" "&amp;Table11[[#This Row],[Over]]</f>
        <v>47 4</v>
      </c>
    </row>
    <row r="1095" spans="1:18" x14ac:dyDescent="0.3">
      <c r="A1095">
        <v>47</v>
      </c>
      <c r="B1095" s="1">
        <v>5</v>
      </c>
      <c r="C1095" s="1" t="s">
        <v>1254</v>
      </c>
      <c r="D1095" s="1" t="s">
        <v>968</v>
      </c>
      <c r="E1095" s="1" t="s">
        <v>1029</v>
      </c>
      <c r="F1095" s="1" t="s">
        <v>1029</v>
      </c>
      <c r="G1095" s="1" t="s">
        <v>3248</v>
      </c>
      <c r="H1095" s="1" t="s">
        <v>1578</v>
      </c>
      <c r="I1095" s="1" t="s">
        <v>3249</v>
      </c>
      <c r="J1095" s="1" t="s">
        <v>3249</v>
      </c>
      <c r="K1095" s="1" t="s">
        <v>2442</v>
      </c>
      <c r="L1095" s="1" t="s">
        <v>2870</v>
      </c>
      <c r="M1095" s="1" t="s">
        <v>996</v>
      </c>
      <c r="N1095">
        <f>_xlfn.NUMBERVALUE(LEFT(Table11[[#This Row],[Score]],FIND("/",Table11[[#This Row],[Score]])-1))</f>
        <v>26</v>
      </c>
      <c r="O1095">
        <f>IFERROR(_xlfn.NUMBERVALUE(LEFT(Table11[[#This Row],[Score2 ]],FIND("/",Table11[[#This Row],[Score2 ]])-1)),"")</f>
        <v>71</v>
      </c>
      <c r="P1095" t="s">
        <v>141</v>
      </c>
      <c r="Q1095" s="1" t="s">
        <v>140</v>
      </c>
      <c r="R1095" t="str">
        <f>Table11[[#This Row],[Match]]&amp;" "&amp;Table11[[#This Row],[Over]]</f>
        <v>47 5</v>
      </c>
    </row>
    <row r="1096" spans="1:18" x14ac:dyDescent="0.3">
      <c r="A1096">
        <v>47</v>
      </c>
      <c r="B1096" s="1">
        <v>6</v>
      </c>
      <c r="C1096" s="1" t="s">
        <v>2690</v>
      </c>
      <c r="D1096" s="1" t="s">
        <v>968</v>
      </c>
      <c r="E1096" s="1" t="s">
        <v>1021</v>
      </c>
      <c r="F1096" s="1" t="s">
        <v>966</v>
      </c>
      <c r="G1096" s="1" t="s">
        <v>3248</v>
      </c>
      <c r="H1096" s="1" t="s">
        <v>1007</v>
      </c>
      <c r="I1096" s="1" t="s">
        <v>2052</v>
      </c>
      <c r="J1096" s="1" t="s">
        <v>2322</v>
      </c>
      <c r="K1096" s="1" t="s">
        <v>3005</v>
      </c>
      <c r="L1096" s="1" t="s">
        <v>2870</v>
      </c>
      <c r="M1096" s="1" t="s">
        <v>1004</v>
      </c>
      <c r="N1096">
        <f>_xlfn.NUMBERVALUE(LEFT(Table11[[#This Row],[Score]],FIND("/",Table11[[#This Row],[Score]])-1))</f>
        <v>27</v>
      </c>
      <c r="O1096">
        <f>IFERROR(_xlfn.NUMBERVALUE(LEFT(Table11[[#This Row],[Score2 ]],FIND("/",Table11[[#This Row],[Score2 ]])-1)),"")</f>
        <v>71</v>
      </c>
      <c r="P1096" t="s">
        <v>141</v>
      </c>
      <c r="Q1096" s="1" t="s">
        <v>140</v>
      </c>
      <c r="R1096" t="str">
        <f>Table11[[#This Row],[Match]]&amp;" "&amp;Table11[[#This Row],[Over]]</f>
        <v>47 6</v>
      </c>
    </row>
    <row r="1097" spans="1:18" x14ac:dyDescent="0.3">
      <c r="A1097">
        <v>47</v>
      </c>
      <c r="B1097" s="1">
        <v>7</v>
      </c>
      <c r="C1097" s="1" t="s">
        <v>1264</v>
      </c>
      <c r="D1097" s="1" t="s">
        <v>904</v>
      </c>
      <c r="E1097" s="1" t="s">
        <v>1124</v>
      </c>
      <c r="F1097" s="1" t="s">
        <v>939</v>
      </c>
      <c r="G1097" s="1" t="s">
        <v>1020</v>
      </c>
      <c r="H1097" s="1" t="s">
        <v>968</v>
      </c>
      <c r="I1097" s="1" t="s">
        <v>3250</v>
      </c>
      <c r="J1097" s="1" t="s">
        <v>1200</v>
      </c>
      <c r="K1097" s="1" t="s">
        <v>1979</v>
      </c>
      <c r="L1097" s="1" t="s">
        <v>2356</v>
      </c>
      <c r="M1097" s="1" t="s">
        <v>1010</v>
      </c>
      <c r="N1097">
        <f>_xlfn.NUMBERVALUE(LEFT(Table11[[#This Row],[Score]],FIND("/",Table11[[#This Row],[Score]])-1))</f>
        <v>30</v>
      </c>
      <c r="O1097">
        <f>IFERROR(_xlfn.NUMBERVALUE(LEFT(Table11[[#This Row],[Score2 ]],FIND("/",Table11[[#This Row],[Score2 ]])-1)),"")</f>
        <v>72</v>
      </c>
      <c r="P1097" t="s">
        <v>141</v>
      </c>
      <c r="Q1097" s="1" t="s">
        <v>140</v>
      </c>
      <c r="R1097" t="str">
        <f>Table11[[#This Row],[Match]]&amp;" "&amp;Table11[[#This Row],[Over]]</f>
        <v>47 7</v>
      </c>
    </row>
    <row r="1098" spans="1:18" x14ac:dyDescent="0.3">
      <c r="A1098">
        <v>47</v>
      </c>
      <c r="B1098" s="1">
        <v>8</v>
      </c>
      <c r="C1098" s="1" t="s">
        <v>1435</v>
      </c>
      <c r="D1098" s="1" t="s">
        <v>968</v>
      </c>
      <c r="E1098" s="1" t="s">
        <v>1436</v>
      </c>
      <c r="F1098" s="1" t="s">
        <v>1383</v>
      </c>
      <c r="G1098" s="1" t="s">
        <v>1301</v>
      </c>
      <c r="H1098" s="1" t="s">
        <v>950</v>
      </c>
      <c r="I1098" s="1" t="s">
        <v>2961</v>
      </c>
      <c r="J1098" s="1" t="s">
        <v>1161</v>
      </c>
      <c r="K1098" s="1" t="s">
        <v>3251</v>
      </c>
      <c r="L1098" s="1" t="s">
        <v>3012</v>
      </c>
      <c r="M1098" s="1" t="s">
        <v>1016</v>
      </c>
      <c r="N1098">
        <f>_xlfn.NUMBERVALUE(LEFT(Table11[[#This Row],[Score]],FIND("/",Table11[[#This Row],[Score]])-1))</f>
        <v>31</v>
      </c>
      <c r="O1098">
        <f>IFERROR(_xlfn.NUMBERVALUE(LEFT(Table11[[#This Row],[Score2 ]],FIND("/",Table11[[#This Row],[Score2 ]])-1)),"")</f>
        <v>77</v>
      </c>
      <c r="P1098" t="s">
        <v>141</v>
      </c>
      <c r="Q1098" s="1" t="s">
        <v>140</v>
      </c>
      <c r="R1098" t="str">
        <f>Table11[[#This Row],[Match]]&amp;" "&amp;Table11[[#This Row],[Over]]</f>
        <v>47 8</v>
      </c>
    </row>
    <row r="1099" spans="1:18" x14ac:dyDescent="0.3">
      <c r="A1099">
        <v>47</v>
      </c>
      <c r="B1099" s="1">
        <v>9</v>
      </c>
      <c r="C1099" s="1" t="s">
        <v>2339</v>
      </c>
      <c r="D1099" s="1" t="s">
        <v>904</v>
      </c>
      <c r="E1099" s="1" t="s">
        <v>1853</v>
      </c>
      <c r="F1099" s="1" t="s">
        <v>1636</v>
      </c>
      <c r="G1099" s="1" t="s">
        <v>2003</v>
      </c>
      <c r="H1099" s="1" t="s">
        <v>998</v>
      </c>
      <c r="I1099" s="1" t="s">
        <v>1161</v>
      </c>
      <c r="J1099" s="1" t="s">
        <v>952</v>
      </c>
      <c r="K1099" s="1" t="s">
        <v>1459</v>
      </c>
      <c r="L1099" s="1" t="s">
        <v>2006</v>
      </c>
      <c r="M1099" s="1" t="s">
        <v>1024</v>
      </c>
      <c r="N1099">
        <f>_xlfn.NUMBERVALUE(LEFT(Table11[[#This Row],[Score]],FIND("/",Table11[[#This Row],[Score]])-1))</f>
        <v>34</v>
      </c>
      <c r="O1099">
        <f>IFERROR(_xlfn.NUMBERVALUE(LEFT(Table11[[#This Row],[Score2 ]],FIND("/",Table11[[#This Row],[Score2 ]])-1)),"")</f>
        <v>81</v>
      </c>
      <c r="P1099" t="s">
        <v>141</v>
      </c>
      <c r="Q1099" s="1" t="s">
        <v>140</v>
      </c>
      <c r="R1099" t="str">
        <f>Table11[[#This Row],[Match]]&amp;" "&amp;Table11[[#This Row],[Over]]</f>
        <v>47 9</v>
      </c>
    </row>
    <row r="1100" spans="1:18" x14ac:dyDescent="0.3">
      <c r="A1100">
        <v>47</v>
      </c>
      <c r="B1100" s="1">
        <v>10</v>
      </c>
      <c r="C1100" s="1" t="s">
        <v>1983</v>
      </c>
      <c r="D1100" s="1" t="s">
        <v>950</v>
      </c>
      <c r="E1100" s="1" t="s">
        <v>1273</v>
      </c>
      <c r="F1100" s="1" t="s">
        <v>984</v>
      </c>
      <c r="G1100" s="1" t="s">
        <v>2821</v>
      </c>
      <c r="H1100" s="1" t="s">
        <v>916</v>
      </c>
      <c r="I1100" s="1" t="s">
        <v>1154</v>
      </c>
      <c r="J1100" s="1" t="s">
        <v>1247</v>
      </c>
      <c r="K1100" s="1" t="s">
        <v>2720</v>
      </c>
      <c r="L1100" s="1" t="s">
        <v>1016</v>
      </c>
      <c r="M1100" s="1" t="s">
        <v>1031</v>
      </c>
      <c r="N1100">
        <f>_xlfn.NUMBERVALUE(LEFT(Table11[[#This Row],[Score]],FIND("/",Table11[[#This Row],[Score]])-1))</f>
        <v>39</v>
      </c>
      <c r="O1100">
        <f>IFERROR(_xlfn.NUMBERVALUE(LEFT(Table11[[#This Row],[Score2 ]],FIND("/",Table11[[#This Row],[Score2 ]])-1)),"")</f>
        <v>88</v>
      </c>
      <c r="P1100" t="s">
        <v>141</v>
      </c>
      <c r="Q1100" s="1" t="s">
        <v>140</v>
      </c>
      <c r="R1100" t="str">
        <f>Table11[[#This Row],[Match]]&amp;" "&amp;Table11[[#This Row],[Over]]</f>
        <v>47 10</v>
      </c>
    </row>
    <row r="1101" spans="1:18" x14ac:dyDescent="0.3">
      <c r="A1101">
        <v>47</v>
      </c>
      <c r="B1101" s="1">
        <v>11</v>
      </c>
      <c r="C1101" s="1" t="s">
        <v>1983</v>
      </c>
      <c r="D1101" s="1" t="s">
        <v>1007</v>
      </c>
      <c r="E1101" s="1" t="s">
        <v>1902</v>
      </c>
      <c r="F1101" s="1" t="s">
        <v>1088</v>
      </c>
      <c r="G1101" s="1" t="s">
        <v>2699</v>
      </c>
      <c r="H1101" s="1" t="s">
        <v>922</v>
      </c>
      <c r="I1101" s="1" t="s">
        <v>3252</v>
      </c>
      <c r="J1101" s="1" t="s">
        <v>976</v>
      </c>
      <c r="K1101" s="1" t="s">
        <v>978</v>
      </c>
      <c r="L1101" s="1" t="s">
        <v>1024</v>
      </c>
      <c r="M1101" s="1" t="s">
        <v>1037</v>
      </c>
      <c r="N1101">
        <f>_xlfn.NUMBERVALUE(LEFT(Table11[[#This Row],[Score]],FIND("/",Table11[[#This Row],[Score]])-1))</f>
        <v>39</v>
      </c>
      <c r="O1101">
        <f>IFERROR(_xlfn.NUMBERVALUE(LEFT(Table11[[#This Row],[Score2 ]],FIND("/",Table11[[#This Row],[Score2 ]])-1)),"")</f>
        <v>94</v>
      </c>
      <c r="P1101" t="s">
        <v>141</v>
      </c>
      <c r="Q1101" s="1" t="s">
        <v>140</v>
      </c>
      <c r="R1101" t="str">
        <f>Table11[[#This Row],[Match]]&amp;" "&amp;Table11[[#This Row],[Over]]</f>
        <v>47 11</v>
      </c>
    </row>
    <row r="1102" spans="1:18" x14ac:dyDescent="0.3">
      <c r="A1102">
        <v>47</v>
      </c>
      <c r="B1102" s="1">
        <v>12</v>
      </c>
      <c r="C1102" s="1" t="s">
        <v>1272</v>
      </c>
      <c r="D1102" s="1" t="s">
        <v>998</v>
      </c>
      <c r="E1102" s="1" t="s">
        <v>1881</v>
      </c>
      <c r="F1102" s="1" t="s">
        <v>984</v>
      </c>
      <c r="G1102" s="1" t="s">
        <v>2702</v>
      </c>
      <c r="H1102" s="1" t="s">
        <v>1095</v>
      </c>
      <c r="I1102" s="1" t="s">
        <v>1549</v>
      </c>
      <c r="J1102" s="1" t="s">
        <v>943</v>
      </c>
      <c r="K1102" s="1" t="s">
        <v>1448</v>
      </c>
      <c r="L1102" s="1" t="s">
        <v>1503</v>
      </c>
      <c r="M1102" s="1" t="s">
        <v>1043</v>
      </c>
      <c r="N1102">
        <f>_xlfn.NUMBERVALUE(LEFT(Table11[[#This Row],[Score]],FIND("/",Table11[[#This Row],[Score]])-1))</f>
        <v>43</v>
      </c>
      <c r="O1102">
        <f>IFERROR(_xlfn.NUMBERVALUE(LEFT(Table11[[#This Row],[Score2 ]],FIND("/",Table11[[#This Row],[Score2 ]])-1)),"")</f>
        <v>104</v>
      </c>
      <c r="P1102" t="s">
        <v>141</v>
      </c>
      <c r="Q1102" s="1" t="s">
        <v>140</v>
      </c>
      <c r="R1102" t="str">
        <f>Table11[[#This Row],[Match]]&amp;" "&amp;Table11[[#This Row],[Over]]</f>
        <v>47 12</v>
      </c>
    </row>
    <row r="1103" spans="1:18" x14ac:dyDescent="0.3">
      <c r="A1103">
        <v>47</v>
      </c>
      <c r="B1103" s="1">
        <v>13</v>
      </c>
      <c r="C1103" s="1" t="s">
        <v>1272</v>
      </c>
      <c r="D1103" s="1" t="s">
        <v>1007</v>
      </c>
      <c r="E1103" s="1" t="s">
        <v>1788</v>
      </c>
      <c r="F1103" s="1" t="s">
        <v>1088</v>
      </c>
      <c r="G1103" s="1" t="s">
        <v>1311</v>
      </c>
      <c r="H1103" s="1" t="s">
        <v>904</v>
      </c>
      <c r="I1103" s="1" t="s">
        <v>2641</v>
      </c>
      <c r="J1103" s="1" t="s">
        <v>1019</v>
      </c>
      <c r="K1103" s="1" t="s">
        <v>2720</v>
      </c>
      <c r="L1103" s="1" t="s">
        <v>2877</v>
      </c>
      <c r="M1103" s="1" t="s">
        <v>1049</v>
      </c>
      <c r="N1103">
        <f>_xlfn.NUMBERVALUE(LEFT(Table11[[#This Row],[Score]],FIND("/",Table11[[#This Row],[Score]])-1))</f>
        <v>43</v>
      </c>
      <c r="O1103">
        <f>IFERROR(_xlfn.NUMBERVALUE(LEFT(Table11[[#This Row],[Score2 ]],FIND("/",Table11[[#This Row],[Score2 ]])-1)),"")</f>
        <v>107</v>
      </c>
      <c r="P1103" t="s">
        <v>141</v>
      </c>
      <c r="Q1103" s="1" t="s">
        <v>140</v>
      </c>
      <c r="R1103" t="str">
        <f>Table11[[#This Row],[Match]]&amp;" "&amp;Table11[[#This Row],[Over]]</f>
        <v>47 13</v>
      </c>
    </row>
    <row r="1104" spans="1:18" x14ac:dyDescent="0.3">
      <c r="A1104">
        <v>47</v>
      </c>
      <c r="B1104" s="1">
        <v>14</v>
      </c>
      <c r="C1104" s="1" t="s">
        <v>2345</v>
      </c>
      <c r="D1104" s="1" t="s">
        <v>1103</v>
      </c>
      <c r="E1104" s="1" t="s">
        <v>1507</v>
      </c>
      <c r="F1104" s="1" t="s">
        <v>931</v>
      </c>
      <c r="G1104" s="1" t="s">
        <v>2703</v>
      </c>
      <c r="H1104" s="1" t="s">
        <v>950</v>
      </c>
      <c r="I1104" s="1" t="s">
        <v>1089</v>
      </c>
      <c r="J1104" s="1" t="s">
        <v>970</v>
      </c>
      <c r="K1104" s="1" t="s">
        <v>2231</v>
      </c>
      <c r="L1104" s="1" t="s">
        <v>1043</v>
      </c>
      <c r="M1104" s="1" t="s">
        <v>1056</v>
      </c>
      <c r="N1104">
        <f>_xlfn.NUMBERVALUE(LEFT(Table11[[#This Row],[Score]],FIND("/",Table11[[#This Row],[Score]])-1))</f>
        <v>55</v>
      </c>
      <c r="O1104">
        <f>IFERROR(_xlfn.NUMBERVALUE(LEFT(Table11[[#This Row],[Score2 ]],FIND("/",Table11[[#This Row],[Score2 ]])-1)),"")</f>
        <v>112</v>
      </c>
      <c r="P1104" t="s">
        <v>141</v>
      </c>
      <c r="Q1104" s="1" t="s">
        <v>140</v>
      </c>
      <c r="R1104" t="str">
        <f>Table11[[#This Row],[Match]]&amp;" "&amp;Table11[[#This Row],[Over]]</f>
        <v>47 14</v>
      </c>
    </row>
    <row r="1105" spans="1:18" x14ac:dyDescent="0.3">
      <c r="A1105">
        <v>47</v>
      </c>
      <c r="B1105" s="1">
        <v>15</v>
      </c>
      <c r="C1105" s="1" t="s">
        <v>1458</v>
      </c>
      <c r="D1105" s="1" t="s">
        <v>904</v>
      </c>
      <c r="E1105" s="1" t="s">
        <v>1497</v>
      </c>
      <c r="F1105" s="1" t="s">
        <v>990</v>
      </c>
      <c r="G1105" s="1" t="s">
        <v>1789</v>
      </c>
      <c r="H1105" s="1" t="s">
        <v>968</v>
      </c>
      <c r="I1105" s="1" t="s">
        <v>2818</v>
      </c>
      <c r="J1105" s="1" t="s">
        <v>969</v>
      </c>
      <c r="K1105" s="1" t="s">
        <v>960</v>
      </c>
      <c r="L1105" s="1" t="s">
        <v>1515</v>
      </c>
      <c r="M1105" s="1" t="s">
        <v>1063</v>
      </c>
      <c r="N1105">
        <f>_xlfn.NUMBERVALUE(LEFT(Table11[[#This Row],[Score]],FIND("/",Table11[[#This Row],[Score]])-1))</f>
        <v>58</v>
      </c>
      <c r="O1105">
        <f>IFERROR(_xlfn.NUMBERVALUE(LEFT(Table11[[#This Row],[Score2 ]],FIND("/",Table11[[#This Row],[Score2 ]])-1)),"")</f>
        <v>113</v>
      </c>
      <c r="P1105" t="s">
        <v>141</v>
      </c>
      <c r="Q1105" s="1" t="s">
        <v>140</v>
      </c>
      <c r="R1105" t="str">
        <f>Table11[[#This Row],[Match]]&amp;" "&amp;Table11[[#This Row],[Over]]</f>
        <v>47 15</v>
      </c>
    </row>
    <row r="1106" spans="1:18" x14ac:dyDescent="0.3">
      <c r="A1106">
        <v>47</v>
      </c>
      <c r="B1106" s="1">
        <v>16</v>
      </c>
      <c r="C1106" s="1" t="s">
        <v>1289</v>
      </c>
      <c r="D1106" s="1" t="s">
        <v>904</v>
      </c>
      <c r="E1106" s="1" t="s">
        <v>1866</v>
      </c>
      <c r="F1106" s="1" t="s">
        <v>940</v>
      </c>
      <c r="G1106" s="1" t="s">
        <v>2769</v>
      </c>
      <c r="H1106" s="1" t="s">
        <v>904</v>
      </c>
      <c r="I1106" s="1" t="s">
        <v>1061</v>
      </c>
      <c r="J1106" s="1" t="s">
        <v>940</v>
      </c>
      <c r="K1106" s="1" t="s">
        <v>3253</v>
      </c>
      <c r="L1106" s="1" t="s">
        <v>1097</v>
      </c>
      <c r="M1106" s="1" t="s">
        <v>1070</v>
      </c>
      <c r="N1106">
        <f>_xlfn.NUMBERVALUE(LEFT(Table11[[#This Row],[Score]],FIND("/",Table11[[#This Row],[Score]])-1))</f>
        <v>61</v>
      </c>
      <c r="O1106">
        <f>IFERROR(_xlfn.NUMBERVALUE(LEFT(Table11[[#This Row],[Score2 ]],FIND("/",Table11[[#This Row],[Score2 ]])-1)),"")</f>
        <v>116</v>
      </c>
      <c r="P1106" t="s">
        <v>141</v>
      </c>
      <c r="Q1106" s="1" t="s">
        <v>140</v>
      </c>
      <c r="R1106" t="str">
        <f>Table11[[#This Row],[Match]]&amp;" "&amp;Table11[[#This Row],[Over]]</f>
        <v>47 16</v>
      </c>
    </row>
    <row r="1107" spans="1:18" x14ac:dyDescent="0.3">
      <c r="A1107">
        <v>47</v>
      </c>
      <c r="B1107" s="1">
        <v>17</v>
      </c>
      <c r="C1107" s="1" t="s">
        <v>3082</v>
      </c>
      <c r="D1107" s="1" t="s">
        <v>904</v>
      </c>
      <c r="E1107" s="1" t="s">
        <v>1282</v>
      </c>
      <c r="F1107" s="1" t="s">
        <v>931</v>
      </c>
      <c r="G1107" s="1" t="s">
        <v>2891</v>
      </c>
      <c r="H1107" s="1" t="s">
        <v>1103</v>
      </c>
      <c r="I1107" s="1" t="s">
        <v>2812</v>
      </c>
      <c r="J1107" s="1" t="s">
        <v>1093</v>
      </c>
      <c r="K1107" s="1" t="s">
        <v>2428</v>
      </c>
      <c r="L1107" s="1" t="s">
        <v>2041</v>
      </c>
      <c r="M1107" s="1" t="s">
        <v>1077</v>
      </c>
      <c r="N1107">
        <f>_xlfn.NUMBERVALUE(LEFT(Table11[[#This Row],[Score]],FIND("/",Table11[[#This Row],[Score]])-1))</f>
        <v>64</v>
      </c>
      <c r="O1107">
        <f>IFERROR(_xlfn.NUMBERVALUE(LEFT(Table11[[#This Row],[Score2 ]],FIND("/",Table11[[#This Row],[Score2 ]])-1)),"")</f>
        <v>128</v>
      </c>
      <c r="P1107" t="s">
        <v>141</v>
      </c>
      <c r="Q1107" s="1" t="s">
        <v>140</v>
      </c>
      <c r="R1107" t="str">
        <f>Table11[[#This Row],[Match]]&amp;" "&amp;Table11[[#This Row],[Over]]</f>
        <v>47 17</v>
      </c>
    </row>
    <row r="1108" spans="1:18" x14ac:dyDescent="0.3">
      <c r="A1108">
        <v>47</v>
      </c>
      <c r="B1108" s="1">
        <v>18</v>
      </c>
      <c r="C1108" s="1" t="s">
        <v>1998</v>
      </c>
      <c r="D1108" s="1" t="s">
        <v>916</v>
      </c>
      <c r="E1108" s="1" t="s">
        <v>2349</v>
      </c>
      <c r="F1108" s="1" t="s">
        <v>934</v>
      </c>
      <c r="G1108" s="1" t="s">
        <v>1339</v>
      </c>
      <c r="H1108" s="1" t="s">
        <v>950</v>
      </c>
      <c r="I1108" s="1" t="s">
        <v>2127</v>
      </c>
      <c r="J1108" s="1" t="s">
        <v>1029</v>
      </c>
      <c r="K1108" s="1" t="s">
        <v>960</v>
      </c>
      <c r="L1108" s="1" t="s">
        <v>2707</v>
      </c>
      <c r="M1108" s="1" t="s">
        <v>1083</v>
      </c>
      <c r="N1108">
        <f>_xlfn.NUMBERVALUE(LEFT(Table11[[#This Row],[Score]],FIND("/",Table11[[#This Row],[Score]])-1))</f>
        <v>71</v>
      </c>
      <c r="O1108">
        <f>IFERROR(_xlfn.NUMBERVALUE(LEFT(Table11[[#This Row],[Score2 ]],FIND("/",Table11[[#This Row],[Score2 ]])-1)),"")</f>
        <v>133</v>
      </c>
      <c r="P1108" t="s">
        <v>141</v>
      </c>
      <c r="Q1108" s="1" t="s">
        <v>140</v>
      </c>
      <c r="R1108" t="str">
        <f>Table11[[#This Row],[Match]]&amp;" "&amp;Table11[[#This Row],[Over]]</f>
        <v>47 18</v>
      </c>
    </row>
    <row r="1109" spans="1:18" x14ac:dyDescent="0.3">
      <c r="A1109">
        <v>47</v>
      </c>
      <c r="B1109" s="1">
        <v>19</v>
      </c>
      <c r="C1109" s="1" t="s">
        <v>2626</v>
      </c>
      <c r="D1109" s="1" t="s">
        <v>950</v>
      </c>
      <c r="E1109" s="1" t="s">
        <v>939</v>
      </c>
      <c r="F1109" s="1" t="s">
        <v>931</v>
      </c>
      <c r="G1109" s="1" t="s">
        <v>2265</v>
      </c>
      <c r="H1109" s="1" t="s">
        <v>916</v>
      </c>
      <c r="I1109" s="1" t="s">
        <v>1779</v>
      </c>
      <c r="J1109" s="1" t="s">
        <v>934</v>
      </c>
      <c r="K1109" s="1" t="s">
        <v>1988</v>
      </c>
      <c r="L1109" s="1" t="s">
        <v>1538</v>
      </c>
      <c r="M1109" s="1" t="s">
        <v>1090</v>
      </c>
      <c r="N1109">
        <f>_xlfn.NUMBERVALUE(LEFT(Table11[[#This Row],[Score]],FIND("/",Table11[[#This Row],[Score]])-1))</f>
        <v>76</v>
      </c>
      <c r="O1109">
        <f>IFERROR(_xlfn.NUMBERVALUE(LEFT(Table11[[#This Row],[Score2 ]],FIND("/",Table11[[#This Row],[Score2 ]])-1)),"")</f>
        <v>140</v>
      </c>
      <c r="P1109" t="s">
        <v>141</v>
      </c>
      <c r="Q1109" s="1" t="s">
        <v>140</v>
      </c>
      <c r="R1109" t="str">
        <f>Table11[[#This Row],[Match]]&amp;" "&amp;Table11[[#This Row],[Over]]</f>
        <v>47 19</v>
      </c>
    </row>
    <row r="1110" spans="1:18" x14ac:dyDescent="0.3">
      <c r="A1110">
        <v>47</v>
      </c>
      <c r="B1110" s="1">
        <v>20</v>
      </c>
      <c r="C1110" s="1" t="s">
        <v>3154</v>
      </c>
      <c r="D1110" s="1" t="s">
        <v>968</v>
      </c>
      <c r="E1110" s="1" t="s">
        <v>1518</v>
      </c>
      <c r="F1110" s="1" t="s">
        <v>990</v>
      </c>
      <c r="G1110" s="1" t="s">
        <v>2033</v>
      </c>
      <c r="H1110" s="1" t="s">
        <v>904</v>
      </c>
      <c r="I1110" s="1" t="s">
        <v>1302</v>
      </c>
      <c r="J1110" s="1" t="s">
        <v>1019</v>
      </c>
      <c r="K1110" s="1" t="s">
        <v>1022</v>
      </c>
      <c r="L1110" s="1" t="s">
        <v>1368</v>
      </c>
      <c r="M1110" s="1" t="s">
        <v>1098</v>
      </c>
      <c r="N1110">
        <f>_xlfn.NUMBERVALUE(LEFT(Table11[[#This Row],[Score]],FIND("/",Table11[[#This Row],[Score]])-1))</f>
        <v>77</v>
      </c>
      <c r="O1110">
        <f>IFERROR(_xlfn.NUMBERVALUE(LEFT(Table11[[#This Row],[Score2 ]],FIND("/",Table11[[#This Row],[Score2 ]])-1)),"")</f>
        <v>143</v>
      </c>
      <c r="P1110" t="s">
        <v>141</v>
      </c>
      <c r="Q1110" s="1" t="s">
        <v>140</v>
      </c>
      <c r="R1110" t="str">
        <f>Table11[[#This Row],[Match]]&amp;" "&amp;Table11[[#This Row],[Over]]</f>
        <v>47 20</v>
      </c>
    </row>
    <row r="1111" spans="1:18" x14ac:dyDescent="0.3">
      <c r="A1111">
        <v>47</v>
      </c>
      <c r="B1111" s="1">
        <v>21</v>
      </c>
      <c r="C1111" s="1" t="s">
        <v>3254</v>
      </c>
      <c r="D1111" s="1" t="s">
        <v>930</v>
      </c>
      <c r="E1111" s="1" t="s">
        <v>1505</v>
      </c>
      <c r="F1111" s="1" t="s">
        <v>1093</v>
      </c>
      <c r="G1111" s="1" t="s">
        <v>3255</v>
      </c>
      <c r="H1111" s="1" t="s">
        <v>950</v>
      </c>
      <c r="I1111" s="1" t="s">
        <v>2097</v>
      </c>
      <c r="J1111" s="1" t="s">
        <v>943</v>
      </c>
      <c r="K1111" s="1" t="s">
        <v>1815</v>
      </c>
      <c r="L1111" s="1" t="s">
        <v>1083</v>
      </c>
      <c r="M1111" s="1" t="s">
        <v>1101</v>
      </c>
      <c r="N1111">
        <f>_xlfn.NUMBERVALUE(LEFT(Table11[[#This Row],[Score]],FIND("/",Table11[[#This Row],[Score]])-1))</f>
        <v>85</v>
      </c>
      <c r="O1111">
        <f>IFERROR(_xlfn.NUMBERVALUE(LEFT(Table11[[#This Row],[Score2 ]],FIND("/",Table11[[#This Row],[Score2 ]])-1)),"")</f>
        <v>148</v>
      </c>
      <c r="P1111" t="s">
        <v>141</v>
      </c>
      <c r="Q1111" s="1" t="s">
        <v>140</v>
      </c>
      <c r="R1111" t="str">
        <f>Table11[[#This Row],[Match]]&amp;" "&amp;Table11[[#This Row],[Over]]</f>
        <v>47 21</v>
      </c>
    </row>
    <row r="1112" spans="1:18" x14ac:dyDescent="0.3">
      <c r="A1112">
        <v>47</v>
      </c>
      <c r="B1112" s="1">
        <v>22</v>
      </c>
      <c r="C1112" s="1" t="s">
        <v>2821</v>
      </c>
      <c r="D1112" s="1" t="s">
        <v>904</v>
      </c>
      <c r="E1112" s="1" t="s">
        <v>939</v>
      </c>
      <c r="F1112" s="1" t="s">
        <v>1093</v>
      </c>
      <c r="G1112" s="1" t="s">
        <v>1545</v>
      </c>
      <c r="H1112" s="1" t="s">
        <v>904</v>
      </c>
      <c r="I1112" s="1" t="s">
        <v>1279</v>
      </c>
      <c r="J1112" s="1" t="s">
        <v>976</v>
      </c>
      <c r="K1112" s="1" t="s">
        <v>952</v>
      </c>
      <c r="L1112" s="1" t="s">
        <v>1142</v>
      </c>
      <c r="M1112" s="1" t="s">
        <v>1108</v>
      </c>
      <c r="N1112">
        <f>_xlfn.NUMBERVALUE(LEFT(Table11[[#This Row],[Score]],FIND("/",Table11[[#This Row],[Score]])-1))</f>
        <v>88</v>
      </c>
      <c r="O1112">
        <f>IFERROR(_xlfn.NUMBERVALUE(LEFT(Table11[[#This Row],[Score2 ]],FIND("/",Table11[[#This Row],[Score2 ]])-1)),"")</f>
        <v>151</v>
      </c>
      <c r="P1112" t="s">
        <v>141</v>
      </c>
      <c r="Q1112" s="1" t="s">
        <v>140</v>
      </c>
      <c r="R1112" t="str">
        <f>Table11[[#This Row],[Match]]&amp;" "&amp;Table11[[#This Row],[Over]]</f>
        <v>47 22</v>
      </c>
    </row>
    <row r="1113" spans="1:18" x14ac:dyDescent="0.3">
      <c r="A1113">
        <v>47</v>
      </c>
      <c r="B1113" s="1">
        <v>23</v>
      </c>
      <c r="C1113" s="1" t="s">
        <v>1766</v>
      </c>
      <c r="D1113" s="1" t="s">
        <v>950</v>
      </c>
      <c r="E1113" s="1" t="s">
        <v>1505</v>
      </c>
      <c r="F1113" s="1" t="s">
        <v>940</v>
      </c>
      <c r="G1113" s="1" t="s">
        <v>2150</v>
      </c>
      <c r="H1113" s="1" t="s">
        <v>998</v>
      </c>
      <c r="I1113" s="1" t="s">
        <v>1022</v>
      </c>
      <c r="J1113" s="1" t="s">
        <v>940</v>
      </c>
      <c r="K1113" s="1" t="s">
        <v>1302</v>
      </c>
      <c r="L1113" s="1" t="s">
        <v>2469</v>
      </c>
      <c r="M1113" s="1" t="s">
        <v>1113</v>
      </c>
      <c r="N1113">
        <f>_xlfn.NUMBERVALUE(LEFT(Table11[[#This Row],[Score]],FIND("/",Table11[[#This Row],[Score]])-1))</f>
        <v>93</v>
      </c>
      <c r="O1113">
        <f>IFERROR(_xlfn.NUMBERVALUE(LEFT(Table11[[#This Row],[Score2 ]],FIND("/",Table11[[#This Row],[Score2 ]])-1)),"")</f>
        <v>155</v>
      </c>
      <c r="P1113" t="s">
        <v>141</v>
      </c>
      <c r="Q1113" s="1" t="s">
        <v>140</v>
      </c>
      <c r="R1113" t="str">
        <f>Table11[[#This Row],[Match]]&amp;" "&amp;Table11[[#This Row],[Over]]</f>
        <v>47 23</v>
      </c>
    </row>
    <row r="1114" spans="1:18" x14ac:dyDescent="0.3">
      <c r="A1114">
        <v>47</v>
      </c>
      <c r="B1114" s="1">
        <v>24</v>
      </c>
      <c r="C1114" s="1" t="s">
        <v>2017</v>
      </c>
      <c r="D1114" s="1" t="s">
        <v>922</v>
      </c>
      <c r="E1114" s="1" t="s">
        <v>2897</v>
      </c>
      <c r="F1114" s="1" t="s">
        <v>976</v>
      </c>
      <c r="G1114" s="1" t="s">
        <v>2390</v>
      </c>
      <c r="H1114" s="1" t="s">
        <v>1095</v>
      </c>
      <c r="I1114" s="1" t="s">
        <v>3256</v>
      </c>
      <c r="J1114" s="1" t="s">
        <v>969</v>
      </c>
      <c r="K1114" s="1" t="s">
        <v>952</v>
      </c>
      <c r="L1114" s="1" t="s">
        <v>1394</v>
      </c>
      <c r="M1114" s="1" t="s">
        <v>1121</v>
      </c>
      <c r="N1114">
        <f>_xlfn.NUMBERVALUE(LEFT(Table11[[#This Row],[Score]],FIND("/",Table11[[#This Row],[Score]])-1))</f>
        <v>99</v>
      </c>
      <c r="O1114">
        <f>IFERROR(_xlfn.NUMBERVALUE(LEFT(Table11[[#This Row],[Score2 ]],FIND("/",Table11[[#This Row],[Score2 ]])-1)),"")</f>
        <v>165</v>
      </c>
      <c r="P1114" t="s">
        <v>141</v>
      </c>
      <c r="Q1114" s="1" t="s">
        <v>140</v>
      </c>
      <c r="R1114" t="str">
        <f>Table11[[#This Row],[Match]]&amp;" "&amp;Table11[[#This Row],[Over]]</f>
        <v>47 24</v>
      </c>
    </row>
    <row r="1115" spans="1:18" x14ac:dyDescent="0.3">
      <c r="A1115">
        <v>47</v>
      </c>
      <c r="B1115" s="1">
        <v>25</v>
      </c>
      <c r="C1115" s="1" t="s">
        <v>2023</v>
      </c>
      <c r="D1115" s="1" t="s">
        <v>947</v>
      </c>
      <c r="E1115" s="1" t="s">
        <v>1118</v>
      </c>
      <c r="F1115" s="1" t="s">
        <v>970</v>
      </c>
      <c r="G1115" s="1" t="s">
        <v>2903</v>
      </c>
      <c r="H1115" s="1" t="s">
        <v>930</v>
      </c>
      <c r="I1115" s="1" t="s">
        <v>3245</v>
      </c>
      <c r="J1115" s="1" t="s">
        <v>1019</v>
      </c>
      <c r="K1115" s="1" t="s">
        <v>1768</v>
      </c>
      <c r="L1115" s="1" t="s">
        <v>1554</v>
      </c>
      <c r="M1115" s="1" t="s">
        <v>1127</v>
      </c>
      <c r="N1115">
        <f>_xlfn.NUMBERVALUE(LEFT(Table11[[#This Row],[Score]],FIND("/",Table11[[#This Row],[Score]])-1))</f>
        <v>108</v>
      </c>
      <c r="O1115">
        <f>IFERROR(_xlfn.NUMBERVALUE(LEFT(Table11[[#This Row],[Score2 ]],FIND("/",Table11[[#This Row],[Score2 ]])-1)),"")</f>
        <v>173</v>
      </c>
      <c r="P1115" t="s">
        <v>141</v>
      </c>
      <c r="Q1115" s="1" t="s">
        <v>140</v>
      </c>
      <c r="R1115" t="str">
        <f>Table11[[#This Row],[Match]]&amp;" "&amp;Table11[[#This Row],[Over]]</f>
        <v>47 25</v>
      </c>
    </row>
    <row r="1116" spans="1:18" x14ac:dyDescent="0.3">
      <c r="A1116">
        <v>47</v>
      </c>
      <c r="B1116" s="1">
        <v>26</v>
      </c>
      <c r="C1116" s="1" t="s">
        <v>1789</v>
      </c>
      <c r="D1116" s="1" t="s">
        <v>950</v>
      </c>
      <c r="E1116" s="1" t="s">
        <v>1526</v>
      </c>
      <c r="F1116" s="1" t="s">
        <v>934</v>
      </c>
      <c r="G1116" s="1" t="s">
        <v>2392</v>
      </c>
      <c r="H1116" s="1" t="s">
        <v>968</v>
      </c>
      <c r="I1116" s="1" t="s">
        <v>3257</v>
      </c>
      <c r="J1116" s="1" t="s">
        <v>1029</v>
      </c>
      <c r="K1116" s="1" t="s">
        <v>3258</v>
      </c>
      <c r="L1116" s="1" t="s">
        <v>2065</v>
      </c>
      <c r="M1116" s="1" t="s">
        <v>1132</v>
      </c>
      <c r="N1116">
        <f>_xlfn.NUMBERVALUE(LEFT(Table11[[#This Row],[Score]],FIND("/",Table11[[#This Row],[Score]])-1))</f>
        <v>113</v>
      </c>
      <c r="O1116">
        <f>IFERROR(_xlfn.NUMBERVALUE(LEFT(Table11[[#This Row],[Score2 ]],FIND("/",Table11[[#This Row],[Score2 ]])-1)),"")</f>
        <v>174</v>
      </c>
      <c r="P1116" t="s">
        <v>141</v>
      </c>
      <c r="Q1116" s="1" t="s">
        <v>140</v>
      </c>
      <c r="R1116" t="str">
        <f>Table11[[#This Row],[Match]]&amp;" "&amp;Table11[[#This Row],[Over]]</f>
        <v>47 26</v>
      </c>
    </row>
    <row r="1117" spans="1:18" x14ac:dyDescent="0.3">
      <c r="A1117">
        <v>47</v>
      </c>
      <c r="B1117" s="1">
        <v>27</v>
      </c>
      <c r="C1117" s="1" t="s">
        <v>3259</v>
      </c>
      <c r="D1117" s="1" t="s">
        <v>904</v>
      </c>
      <c r="E1117" s="1" t="s">
        <v>1474</v>
      </c>
      <c r="F1117" s="1" t="s">
        <v>934</v>
      </c>
      <c r="G1117" s="1" t="s">
        <v>3260</v>
      </c>
      <c r="H1117" s="1" t="s">
        <v>950</v>
      </c>
      <c r="I1117" s="1" t="s">
        <v>1738</v>
      </c>
      <c r="J1117" s="1" t="s">
        <v>934</v>
      </c>
      <c r="K1117" s="1" t="s">
        <v>2990</v>
      </c>
      <c r="L1117" s="1" t="s">
        <v>2484</v>
      </c>
      <c r="M1117" s="1" t="s">
        <v>1138</v>
      </c>
      <c r="N1117">
        <f>_xlfn.NUMBERVALUE(LEFT(Table11[[#This Row],[Score]],FIND("/",Table11[[#This Row],[Score]])-1))</f>
        <v>116</v>
      </c>
      <c r="O1117">
        <f>IFERROR(_xlfn.NUMBERVALUE(LEFT(Table11[[#This Row],[Score2 ]],FIND("/",Table11[[#This Row],[Score2 ]])-1)),"")</f>
        <v>179</v>
      </c>
      <c r="P1117" t="s">
        <v>141</v>
      </c>
      <c r="Q1117" s="1" t="s">
        <v>140</v>
      </c>
      <c r="R1117" t="str">
        <f>Table11[[#This Row],[Match]]&amp;" "&amp;Table11[[#This Row],[Over]]</f>
        <v>47 27</v>
      </c>
    </row>
    <row r="1118" spans="1:18" x14ac:dyDescent="0.3">
      <c r="A1118">
        <v>47</v>
      </c>
      <c r="B1118" s="1">
        <v>28</v>
      </c>
      <c r="C1118" s="1" t="s">
        <v>3007</v>
      </c>
      <c r="D1118" s="1" t="s">
        <v>922</v>
      </c>
      <c r="E1118" s="1" t="s">
        <v>1299</v>
      </c>
      <c r="F1118" s="1" t="s">
        <v>1013</v>
      </c>
      <c r="G1118" s="1" t="s">
        <v>1560</v>
      </c>
      <c r="H1118" s="1" t="s">
        <v>998</v>
      </c>
      <c r="I1118" s="1" t="s">
        <v>2428</v>
      </c>
      <c r="J1118" s="1" t="s">
        <v>934</v>
      </c>
      <c r="K1118" s="1" t="s">
        <v>2136</v>
      </c>
      <c r="L1118" s="1" t="s">
        <v>1880</v>
      </c>
      <c r="M1118" s="1" t="s">
        <v>1143</v>
      </c>
      <c r="N1118">
        <f>_xlfn.NUMBERVALUE(LEFT(Table11[[#This Row],[Score]],FIND("/",Table11[[#This Row],[Score]])-1))</f>
        <v>122</v>
      </c>
      <c r="O1118">
        <f>IFERROR(_xlfn.NUMBERVALUE(LEFT(Table11[[#This Row],[Score2 ]],FIND("/",Table11[[#This Row],[Score2 ]])-1)),"")</f>
        <v>183</v>
      </c>
      <c r="P1118" t="s">
        <v>141</v>
      </c>
      <c r="Q1118" s="1" t="s">
        <v>140</v>
      </c>
      <c r="R1118" t="str">
        <f>Table11[[#This Row],[Match]]&amp;" "&amp;Table11[[#This Row],[Over]]</f>
        <v>47 28</v>
      </c>
    </row>
    <row r="1119" spans="1:18" x14ac:dyDescent="0.3">
      <c r="A1119">
        <v>47</v>
      </c>
      <c r="B1119" s="1">
        <v>29</v>
      </c>
      <c r="C1119" s="1" t="s">
        <v>1520</v>
      </c>
      <c r="D1119" s="1" t="s">
        <v>904</v>
      </c>
      <c r="E1119" s="1" t="s">
        <v>1468</v>
      </c>
      <c r="F1119" s="1" t="s">
        <v>1029</v>
      </c>
      <c r="G1119" s="1" t="s">
        <v>2158</v>
      </c>
      <c r="H1119" s="1" t="s">
        <v>1390</v>
      </c>
      <c r="I1119" s="1" t="s">
        <v>1009</v>
      </c>
      <c r="J1119" s="1" t="s">
        <v>970</v>
      </c>
      <c r="K1119" s="1" t="s">
        <v>2627</v>
      </c>
      <c r="L1119" s="1" t="s">
        <v>1132</v>
      </c>
      <c r="M1119" s="1" t="s">
        <v>1150</v>
      </c>
      <c r="N1119">
        <f>_xlfn.NUMBERVALUE(LEFT(Table11[[#This Row],[Score]],FIND("/",Table11[[#This Row],[Score]])-1))</f>
        <v>125</v>
      </c>
      <c r="O1119">
        <f>IFERROR(_xlfn.NUMBERVALUE(LEFT(Table11[[#This Row],[Score2 ]],FIND("/",Table11[[#This Row],[Score2 ]])-1)),"")</f>
        <v>196</v>
      </c>
      <c r="P1119" t="s">
        <v>141</v>
      </c>
      <c r="Q1119" s="1" t="s">
        <v>140</v>
      </c>
      <c r="R1119" t="str">
        <f>Table11[[#This Row],[Match]]&amp;" "&amp;Table11[[#This Row],[Over]]</f>
        <v>47 29</v>
      </c>
    </row>
    <row r="1120" spans="1:18" x14ac:dyDescent="0.3">
      <c r="A1120">
        <v>47</v>
      </c>
      <c r="B1120" s="1">
        <v>30</v>
      </c>
      <c r="C1120" s="1" t="s">
        <v>2262</v>
      </c>
      <c r="D1120" s="1" t="s">
        <v>998</v>
      </c>
      <c r="E1120" s="1" t="s">
        <v>999</v>
      </c>
      <c r="F1120" s="1" t="s">
        <v>931</v>
      </c>
      <c r="G1120" s="1" t="s">
        <v>3261</v>
      </c>
      <c r="H1120" s="1" t="s">
        <v>904</v>
      </c>
      <c r="I1120" s="1" t="s">
        <v>2461</v>
      </c>
      <c r="J1120" s="1" t="s">
        <v>1029</v>
      </c>
      <c r="K1120" s="1" t="s">
        <v>2820</v>
      </c>
      <c r="L1120" s="1" t="s">
        <v>1624</v>
      </c>
      <c r="M1120" s="1" t="s">
        <v>1156</v>
      </c>
      <c r="N1120">
        <f>_xlfn.NUMBERVALUE(LEFT(Table11[[#This Row],[Score]],FIND("/",Table11[[#This Row],[Score]])-1))</f>
        <v>129</v>
      </c>
      <c r="O1120">
        <f>IFERROR(_xlfn.NUMBERVALUE(LEFT(Table11[[#This Row],[Score2 ]],FIND("/",Table11[[#This Row],[Score2 ]])-1)),"")</f>
        <v>199</v>
      </c>
      <c r="P1120" t="s">
        <v>141</v>
      </c>
      <c r="Q1120" s="1" t="s">
        <v>140</v>
      </c>
      <c r="R1120" t="str">
        <f>Table11[[#This Row],[Match]]&amp;" "&amp;Table11[[#This Row],[Over]]</f>
        <v>47 30</v>
      </c>
    </row>
    <row r="1121" spans="1:18" x14ac:dyDescent="0.3">
      <c r="A1121">
        <v>47</v>
      </c>
      <c r="B1121" s="1">
        <v>31</v>
      </c>
      <c r="C1121" s="1" t="s">
        <v>2265</v>
      </c>
      <c r="D1121" s="1" t="s">
        <v>1051</v>
      </c>
      <c r="E1121" s="1" t="s">
        <v>1542</v>
      </c>
      <c r="F1121" s="1" t="s">
        <v>966</v>
      </c>
      <c r="G1121" s="1" t="s">
        <v>3169</v>
      </c>
      <c r="H1121" s="1" t="s">
        <v>998</v>
      </c>
      <c r="I1121" s="1" t="s">
        <v>2228</v>
      </c>
      <c r="J1121" s="1" t="s">
        <v>1013</v>
      </c>
      <c r="K1121" s="1" t="s">
        <v>1096</v>
      </c>
      <c r="L1121" s="1" t="s">
        <v>2537</v>
      </c>
      <c r="M1121" s="1" t="s">
        <v>1164</v>
      </c>
      <c r="N1121">
        <f>_xlfn.NUMBERVALUE(LEFT(Table11[[#This Row],[Score]],FIND("/",Table11[[#This Row],[Score]])-1))</f>
        <v>140</v>
      </c>
      <c r="O1121">
        <f>IFERROR(_xlfn.NUMBERVALUE(LEFT(Table11[[#This Row],[Score2 ]],FIND("/",Table11[[#This Row],[Score2 ]])-1)),"")</f>
        <v>203</v>
      </c>
      <c r="P1121" t="s">
        <v>141</v>
      </c>
      <c r="Q1121" s="1" t="s">
        <v>140</v>
      </c>
      <c r="R1121" t="str">
        <f>Table11[[#This Row],[Match]]&amp;" "&amp;Table11[[#This Row],[Over]]</f>
        <v>47 31</v>
      </c>
    </row>
    <row r="1122" spans="1:18" x14ac:dyDescent="0.3">
      <c r="A1122">
        <v>47</v>
      </c>
      <c r="B1122" s="1">
        <v>32</v>
      </c>
      <c r="C1122" s="1" t="s">
        <v>2834</v>
      </c>
      <c r="D1122" s="1" t="s">
        <v>1051</v>
      </c>
      <c r="E1122" s="1" t="s">
        <v>948</v>
      </c>
      <c r="F1122" s="1" t="s">
        <v>952</v>
      </c>
      <c r="G1122" s="1" t="s">
        <v>2966</v>
      </c>
      <c r="H1122" s="1" t="s">
        <v>950</v>
      </c>
      <c r="I1122" s="1" t="s">
        <v>1729</v>
      </c>
      <c r="J1122" s="1" t="s">
        <v>1013</v>
      </c>
      <c r="K1122" s="1" t="s">
        <v>3102</v>
      </c>
      <c r="L1122" s="1" t="s">
        <v>1143</v>
      </c>
      <c r="M1122" s="1" t="s">
        <v>1171</v>
      </c>
      <c r="N1122">
        <f>_xlfn.NUMBERVALUE(LEFT(Table11[[#This Row],[Score]],FIND("/",Table11[[#This Row],[Score]])-1))</f>
        <v>151</v>
      </c>
      <c r="O1122">
        <f>IFERROR(_xlfn.NUMBERVALUE(LEFT(Table11[[#This Row],[Score2 ]],FIND("/",Table11[[#This Row],[Score2 ]])-1)),"")</f>
        <v>208</v>
      </c>
      <c r="P1122" t="s">
        <v>141</v>
      </c>
      <c r="Q1122" s="1" t="s">
        <v>140</v>
      </c>
      <c r="R1122" t="str">
        <f>Table11[[#This Row],[Match]]&amp;" "&amp;Table11[[#This Row],[Over]]</f>
        <v>47 32</v>
      </c>
    </row>
    <row r="1123" spans="1:18" x14ac:dyDescent="0.3">
      <c r="A1123">
        <v>47</v>
      </c>
      <c r="B1123" s="1">
        <v>33</v>
      </c>
      <c r="C1123" s="1" t="s">
        <v>3262</v>
      </c>
      <c r="D1123" s="1" t="s">
        <v>1051</v>
      </c>
      <c r="E1123" s="1" t="s">
        <v>1045</v>
      </c>
      <c r="F1123" s="1" t="s">
        <v>1089</v>
      </c>
      <c r="G1123" s="1" t="s">
        <v>2671</v>
      </c>
      <c r="H1123" s="1" t="s">
        <v>950</v>
      </c>
      <c r="I1123" s="1" t="s">
        <v>2454</v>
      </c>
      <c r="J1123" s="1" t="s">
        <v>1019</v>
      </c>
      <c r="K1123" s="1" t="s">
        <v>2100</v>
      </c>
      <c r="L1123" s="1" t="s">
        <v>1791</v>
      </c>
      <c r="M1123" s="1" t="s">
        <v>1177</v>
      </c>
      <c r="N1123">
        <f>_xlfn.NUMBERVALUE(LEFT(Table11[[#This Row],[Score]],FIND("/",Table11[[#This Row],[Score]])-1))</f>
        <v>162</v>
      </c>
      <c r="O1123">
        <f>IFERROR(_xlfn.NUMBERVALUE(LEFT(Table11[[#This Row],[Score2 ]],FIND("/",Table11[[#This Row],[Score2 ]])-1)),"")</f>
        <v>213</v>
      </c>
      <c r="P1123" t="s">
        <v>141</v>
      </c>
      <c r="Q1123" s="1" t="s">
        <v>140</v>
      </c>
      <c r="R1123" t="str">
        <f>Table11[[#This Row],[Match]]&amp;" "&amp;Table11[[#This Row],[Over]]</f>
        <v>47 33</v>
      </c>
    </row>
    <row r="1124" spans="1:18" x14ac:dyDescent="0.3">
      <c r="A1124">
        <v>47</v>
      </c>
      <c r="B1124" s="1">
        <v>34</v>
      </c>
      <c r="C1124" s="1" t="s">
        <v>2047</v>
      </c>
      <c r="D1124" s="1" t="s">
        <v>1390</v>
      </c>
      <c r="E1124" s="1" t="s">
        <v>1092</v>
      </c>
      <c r="F1124" s="1" t="s">
        <v>2055</v>
      </c>
      <c r="G1124" s="1" t="s">
        <v>2292</v>
      </c>
      <c r="H1124" s="1" t="s">
        <v>922</v>
      </c>
      <c r="I1124" s="1" t="s">
        <v>1469</v>
      </c>
      <c r="J1124" s="1" t="s">
        <v>976</v>
      </c>
      <c r="K1124" s="1" t="s">
        <v>3263</v>
      </c>
      <c r="L1124" s="1" t="s">
        <v>1833</v>
      </c>
      <c r="M1124" s="1" t="s">
        <v>1183</v>
      </c>
      <c r="N1124">
        <f>_xlfn.NUMBERVALUE(LEFT(Table11[[#This Row],[Score]],FIND("/",Table11[[#This Row],[Score]])-1))</f>
        <v>175</v>
      </c>
      <c r="O1124">
        <f>IFERROR(_xlfn.NUMBERVALUE(LEFT(Table11[[#This Row],[Score2 ]],FIND("/",Table11[[#This Row],[Score2 ]])-1)),"")</f>
        <v>219</v>
      </c>
      <c r="P1124" t="s">
        <v>141</v>
      </c>
      <c r="Q1124" s="1" t="s">
        <v>140</v>
      </c>
      <c r="R1124" t="str">
        <f>Table11[[#This Row],[Match]]&amp;" "&amp;Table11[[#This Row],[Over]]</f>
        <v>47 34</v>
      </c>
    </row>
    <row r="1125" spans="1:18" x14ac:dyDescent="0.3">
      <c r="A1125">
        <v>47</v>
      </c>
      <c r="B1125" s="1">
        <v>35</v>
      </c>
      <c r="C1125" s="1" t="s">
        <v>2050</v>
      </c>
      <c r="D1125" s="1" t="s">
        <v>947</v>
      </c>
      <c r="E1125" s="1" t="s">
        <v>1722</v>
      </c>
      <c r="F1125" s="1" t="s">
        <v>1213</v>
      </c>
      <c r="G1125" s="1" t="s">
        <v>2861</v>
      </c>
      <c r="H1125" s="1" t="s">
        <v>1103</v>
      </c>
      <c r="I1125" s="1" t="s">
        <v>960</v>
      </c>
      <c r="J1125" s="1" t="s">
        <v>943</v>
      </c>
      <c r="K1125" s="1" t="s">
        <v>3264</v>
      </c>
      <c r="L1125" s="1" t="s">
        <v>2495</v>
      </c>
      <c r="M1125" s="1" t="s">
        <v>1190</v>
      </c>
      <c r="N1125">
        <f>_xlfn.NUMBERVALUE(LEFT(Table11[[#This Row],[Score]],FIND("/",Table11[[#This Row],[Score]])-1))</f>
        <v>184</v>
      </c>
      <c r="O1125">
        <f>IFERROR(_xlfn.NUMBERVALUE(LEFT(Table11[[#This Row],[Score2 ]],FIND("/",Table11[[#This Row],[Score2 ]])-1)),"")</f>
        <v>231</v>
      </c>
      <c r="P1125" t="s">
        <v>141</v>
      </c>
      <c r="Q1125" s="1" t="s">
        <v>140</v>
      </c>
      <c r="R1125" t="str">
        <f>Table11[[#This Row],[Match]]&amp;" "&amp;Table11[[#This Row],[Over]]</f>
        <v>47 35</v>
      </c>
    </row>
    <row r="1126" spans="1:18" x14ac:dyDescent="0.3">
      <c r="A1126">
        <v>47</v>
      </c>
      <c r="B1126" s="1">
        <v>36</v>
      </c>
      <c r="C1126" s="1" t="s">
        <v>3265</v>
      </c>
      <c r="D1126" s="1" t="s">
        <v>1147</v>
      </c>
      <c r="E1126" s="1" t="s">
        <v>1677</v>
      </c>
      <c r="F1126" s="1" t="s">
        <v>2205</v>
      </c>
      <c r="G1126" s="1" t="s">
        <v>2410</v>
      </c>
      <c r="H1126" s="1" t="s">
        <v>1103</v>
      </c>
      <c r="I1126" s="1" t="s">
        <v>1009</v>
      </c>
      <c r="J1126" s="1" t="s">
        <v>1089</v>
      </c>
      <c r="K1126" s="1" t="s">
        <v>3196</v>
      </c>
      <c r="L1126" s="1" t="s">
        <v>1916</v>
      </c>
      <c r="M1126" s="1" t="s">
        <v>1197</v>
      </c>
      <c r="N1126">
        <f>_xlfn.NUMBERVALUE(LEFT(Table11[[#This Row],[Score]],FIND("/",Table11[[#This Row],[Score]])-1))</f>
        <v>199</v>
      </c>
      <c r="O1126">
        <f>IFERROR(_xlfn.NUMBERVALUE(LEFT(Table11[[#This Row],[Score2 ]],FIND("/",Table11[[#This Row],[Score2 ]])-1)),"")</f>
        <v>243</v>
      </c>
      <c r="P1126" t="s">
        <v>141</v>
      </c>
      <c r="Q1126" s="1" t="s">
        <v>140</v>
      </c>
      <c r="R1126" t="str">
        <f>Table11[[#This Row],[Match]]&amp;" "&amp;Table11[[#This Row],[Over]]</f>
        <v>47 36</v>
      </c>
    </row>
    <row r="1127" spans="1:18" x14ac:dyDescent="0.3">
      <c r="A1127">
        <v>47</v>
      </c>
      <c r="B1127" s="1">
        <v>37</v>
      </c>
      <c r="C1127" s="1" t="s">
        <v>3266</v>
      </c>
      <c r="D1127" s="1" t="s">
        <v>950</v>
      </c>
      <c r="E1127" s="1" t="s">
        <v>1378</v>
      </c>
      <c r="F1127" s="1" t="s">
        <v>1568</v>
      </c>
      <c r="G1127" s="1" t="s">
        <v>3267</v>
      </c>
      <c r="H1127" s="1" t="s">
        <v>930</v>
      </c>
      <c r="I1127" s="1" t="s">
        <v>1266</v>
      </c>
      <c r="J1127" s="1" t="s">
        <v>1414</v>
      </c>
      <c r="K1127" s="1" t="s">
        <v>2214</v>
      </c>
      <c r="L1127" s="1" t="s">
        <v>2733</v>
      </c>
      <c r="M1127" s="1" t="s">
        <v>1205</v>
      </c>
      <c r="N1127">
        <f>_xlfn.NUMBERVALUE(LEFT(Table11[[#This Row],[Score]],FIND("/",Table11[[#This Row],[Score]])-1))</f>
        <v>204</v>
      </c>
      <c r="O1127">
        <f>IFERROR(_xlfn.NUMBERVALUE(LEFT(Table11[[#This Row],[Score2 ]],FIND("/",Table11[[#This Row],[Score2 ]])-1)),"")</f>
        <v>251</v>
      </c>
      <c r="P1127" t="s">
        <v>141</v>
      </c>
      <c r="Q1127" s="1" t="s">
        <v>140</v>
      </c>
      <c r="R1127" t="str">
        <f>Table11[[#This Row],[Match]]&amp;" "&amp;Table11[[#This Row],[Over]]</f>
        <v>47 37</v>
      </c>
    </row>
    <row r="1128" spans="1:18" x14ac:dyDescent="0.3">
      <c r="A1128">
        <v>47</v>
      </c>
      <c r="B1128" s="1">
        <v>38</v>
      </c>
      <c r="C1128" s="1" t="s">
        <v>3268</v>
      </c>
      <c r="D1128" s="1" t="s">
        <v>1103</v>
      </c>
      <c r="E1128" s="1" t="s">
        <v>1761</v>
      </c>
      <c r="F1128" s="1" t="s">
        <v>1611</v>
      </c>
      <c r="G1128" s="1" t="s">
        <v>3269</v>
      </c>
      <c r="H1128" s="1" t="s">
        <v>968</v>
      </c>
      <c r="I1128" s="1" t="s">
        <v>2461</v>
      </c>
      <c r="J1128" s="1" t="s">
        <v>1168</v>
      </c>
      <c r="K1128" s="1" t="s">
        <v>1200</v>
      </c>
      <c r="L1128" s="1" t="s">
        <v>2562</v>
      </c>
      <c r="M1128" s="1" t="s">
        <v>1211</v>
      </c>
      <c r="N1128">
        <f>_xlfn.NUMBERVALUE(LEFT(Table11[[#This Row],[Score]],FIND("/",Table11[[#This Row],[Score]])-1))</f>
        <v>216</v>
      </c>
      <c r="O1128">
        <f>IFERROR(_xlfn.NUMBERVALUE(LEFT(Table11[[#This Row],[Score2 ]],FIND("/",Table11[[#This Row],[Score2 ]])-1)),"")</f>
        <v>252</v>
      </c>
      <c r="P1128" t="s">
        <v>141</v>
      </c>
      <c r="Q1128" s="1" t="s">
        <v>140</v>
      </c>
      <c r="R1128" t="str">
        <f>Table11[[#This Row],[Match]]&amp;" "&amp;Table11[[#This Row],[Over]]</f>
        <v>47 38</v>
      </c>
    </row>
    <row r="1129" spans="1:18" x14ac:dyDescent="0.3">
      <c r="A1129">
        <v>47</v>
      </c>
      <c r="B1129" s="1">
        <v>39</v>
      </c>
      <c r="C1129" s="1" t="s">
        <v>3270</v>
      </c>
      <c r="D1129" s="1" t="s">
        <v>922</v>
      </c>
      <c r="E1129" s="1" t="s">
        <v>1192</v>
      </c>
      <c r="F1129" s="1" t="s">
        <v>1226</v>
      </c>
      <c r="G1129" s="1" t="s">
        <v>3271</v>
      </c>
      <c r="H1129" s="1" t="s">
        <v>1095</v>
      </c>
      <c r="I1129" s="1" t="s">
        <v>1735</v>
      </c>
      <c r="J1129" s="1" t="s">
        <v>1414</v>
      </c>
      <c r="K1129" s="1" t="s">
        <v>1161</v>
      </c>
      <c r="L1129" s="1" t="s">
        <v>1205</v>
      </c>
      <c r="M1129" s="1" t="s">
        <v>1216</v>
      </c>
      <c r="N1129">
        <f>_xlfn.NUMBERVALUE(LEFT(Table11[[#This Row],[Score]],FIND("/",Table11[[#This Row],[Score]])-1))</f>
        <v>222</v>
      </c>
      <c r="O1129">
        <f>IFERROR(_xlfn.NUMBERVALUE(LEFT(Table11[[#This Row],[Score2 ]],FIND("/",Table11[[#This Row],[Score2 ]])-1)),"")</f>
        <v>262</v>
      </c>
      <c r="P1129" t="s">
        <v>141</v>
      </c>
      <c r="Q1129" s="1" t="s">
        <v>140</v>
      </c>
      <c r="R1129" t="str">
        <f>Table11[[#This Row],[Match]]&amp;" "&amp;Table11[[#This Row],[Over]]</f>
        <v>47 39</v>
      </c>
    </row>
    <row r="1130" spans="1:18" x14ac:dyDescent="0.3">
      <c r="A1130">
        <v>47</v>
      </c>
      <c r="B1130" s="1">
        <v>40</v>
      </c>
      <c r="C1130" s="1" t="s">
        <v>3126</v>
      </c>
      <c r="D1130" s="1" t="s">
        <v>1566</v>
      </c>
      <c r="E1130" s="1" t="s">
        <v>2442</v>
      </c>
      <c r="F1130" s="1" t="s">
        <v>1213</v>
      </c>
      <c r="G1130" s="1" t="s">
        <v>3272</v>
      </c>
      <c r="H1130" s="1" t="s">
        <v>916</v>
      </c>
      <c r="I1130" s="1" t="s">
        <v>1030</v>
      </c>
      <c r="J1130" s="1" t="s">
        <v>1508</v>
      </c>
      <c r="K1130" s="1" t="s">
        <v>3273</v>
      </c>
      <c r="L1130" s="1" t="s">
        <v>1712</v>
      </c>
      <c r="M1130" s="1" t="s">
        <v>1223</v>
      </c>
      <c r="N1130">
        <f>_xlfn.NUMBERVALUE(LEFT(Table11[[#This Row],[Score]],FIND("/",Table11[[#This Row],[Score]])-1))</f>
        <v>239</v>
      </c>
      <c r="O1130">
        <f>IFERROR(_xlfn.NUMBERVALUE(LEFT(Table11[[#This Row],[Score2 ]],FIND("/",Table11[[#This Row],[Score2 ]])-1)),"")</f>
        <v>269</v>
      </c>
      <c r="P1130" t="s">
        <v>141</v>
      </c>
      <c r="Q1130" s="1" t="s">
        <v>140</v>
      </c>
      <c r="R1130" t="str">
        <f>Table11[[#This Row],[Match]]&amp;" "&amp;Table11[[#This Row],[Over]]</f>
        <v>47 40</v>
      </c>
    </row>
    <row r="1131" spans="1:18" x14ac:dyDescent="0.3">
      <c r="A1131">
        <v>47</v>
      </c>
      <c r="B1131" s="1">
        <v>41</v>
      </c>
      <c r="C1131" s="1" t="s">
        <v>3274</v>
      </c>
      <c r="D1131" s="1" t="s">
        <v>1670</v>
      </c>
      <c r="E1131" s="1" t="s">
        <v>3251</v>
      </c>
      <c r="F1131" s="1" t="s">
        <v>2320</v>
      </c>
      <c r="G1131" s="1" t="s">
        <v>3275</v>
      </c>
      <c r="H1131" s="1" t="s">
        <v>922</v>
      </c>
      <c r="I1131" s="1" t="s">
        <v>2327</v>
      </c>
      <c r="J1131" s="1" t="s">
        <v>943</v>
      </c>
      <c r="K1131" s="1" t="s">
        <v>2299</v>
      </c>
      <c r="L1131" s="1" t="s">
        <v>1698</v>
      </c>
      <c r="M1131" s="1" t="s">
        <v>1103</v>
      </c>
      <c r="N1131">
        <f>_xlfn.NUMBERVALUE(LEFT(Table11[[#This Row],[Score]],FIND("/",Table11[[#This Row],[Score]])-1))</f>
        <v>259</v>
      </c>
      <c r="O1131">
        <f>IFERROR(_xlfn.NUMBERVALUE(LEFT(Table11[[#This Row],[Score2 ]],FIND("/",Table11[[#This Row],[Score2 ]])-1)),"")</f>
        <v>275</v>
      </c>
      <c r="P1131" t="s">
        <v>141</v>
      </c>
      <c r="Q1131" s="1" t="s">
        <v>140</v>
      </c>
      <c r="R1131" t="str">
        <f>Table11[[#This Row],[Match]]&amp;" "&amp;Table11[[#This Row],[Over]]</f>
        <v>47 41</v>
      </c>
    </row>
    <row r="1132" spans="1:18" x14ac:dyDescent="0.3">
      <c r="A1132">
        <v>47</v>
      </c>
      <c r="B1132" s="1">
        <v>42</v>
      </c>
      <c r="C1132" s="1" t="s">
        <v>3276</v>
      </c>
      <c r="D1132" s="1" t="s">
        <v>916</v>
      </c>
      <c r="E1132" s="1" t="s">
        <v>1723</v>
      </c>
      <c r="F1132" s="1" t="s">
        <v>3197</v>
      </c>
      <c r="G1132" s="1" t="s">
        <v>2747</v>
      </c>
      <c r="H1132" s="1" t="s">
        <v>1051</v>
      </c>
      <c r="I1132" s="1" t="s">
        <v>1053</v>
      </c>
      <c r="J1132" s="1" t="s">
        <v>952</v>
      </c>
      <c r="K1132" s="1" t="s">
        <v>2320</v>
      </c>
      <c r="L1132" s="1" t="s">
        <v>1103</v>
      </c>
      <c r="M1132" s="1" t="s">
        <v>922</v>
      </c>
      <c r="N1132">
        <f>_xlfn.NUMBERVALUE(LEFT(Table11[[#This Row],[Score]],FIND("/",Table11[[#This Row],[Score]])-1))</f>
        <v>266</v>
      </c>
      <c r="O1132">
        <f>IFERROR(_xlfn.NUMBERVALUE(LEFT(Table11[[#This Row],[Score2 ]],FIND("/",Table11[[#This Row],[Score2 ]])-1)),"")</f>
        <v>286</v>
      </c>
      <c r="P1132" t="s">
        <v>141</v>
      </c>
      <c r="Q1132" s="1" t="s">
        <v>140</v>
      </c>
      <c r="R1132" t="str">
        <f>Table11[[#This Row],[Match]]&amp;" "&amp;Table11[[#This Row],[Over]]</f>
        <v>47 42</v>
      </c>
    </row>
    <row r="1133" spans="1:18" x14ac:dyDescent="0.3">
      <c r="A1133">
        <v>47</v>
      </c>
      <c r="B1133" s="1">
        <v>43</v>
      </c>
      <c r="C1133" s="1" t="s">
        <v>2316</v>
      </c>
      <c r="D1133" s="1" t="s">
        <v>1147</v>
      </c>
      <c r="E1133" s="1" t="s">
        <v>2428</v>
      </c>
      <c r="F1133" s="1" t="s">
        <v>3246</v>
      </c>
      <c r="G1133" s="1" t="s">
        <v>2317</v>
      </c>
      <c r="H1133" s="1" t="s">
        <v>3172</v>
      </c>
      <c r="I1133" s="1" t="s">
        <v>3277</v>
      </c>
      <c r="J1133" s="1" t="s">
        <v>3278</v>
      </c>
      <c r="K1133" s="1" t="s">
        <v>1622</v>
      </c>
      <c r="L1133" s="1" t="s">
        <v>1007</v>
      </c>
      <c r="M1133" s="1" t="s">
        <v>1007</v>
      </c>
      <c r="N1133">
        <f>_xlfn.NUMBERVALUE(LEFT(Table11[[#This Row],[Score]],FIND("/",Table11[[#This Row],[Score]])-1))</f>
        <v>281</v>
      </c>
      <c r="O1133">
        <f>IFERROR(_xlfn.NUMBERVALUE(LEFT(Table11[[#This Row],[Score2 ]],FIND("/",Table11[[#This Row],[Score2 ]])-1)),"")</f>
        <v>299</v>
      </c>
      <c r="P1133" t="s">
        <v>141</v>
      </c>
      <c r="Q1133" s="1" t="s">
        <v>140</v>
      </c>
      <c r="R1133" t="str">
        <f>Table11[[#This Row],[Match]]&amp;" "&amp;Table11[[#This Row],[Over]]</f>
        <v>47 43</v>
      </c>
    </row>
    <row r="1134" spans="1:18" x14ac:dyDescent="0.3">
      <c r="A1134">
        <v>49</v>
      </c>
      <c r="B1134" s="1">
        <v>1</v>
      </c>
      <c r="C1134" s="1" t="s">
        <v>2866</v>
      </c>
      <c r="D1134" s="1" t="s">
        <v>968</v>
      </c>
      <c r="E1134" s="1" t="s">
        <v>1662</v>
      </c>
      <c r="F1134" s="1" t="s">
        <v>348</v>
      </c>
      <c r="G1134" s="1" t="s">
        <v>2686</v>
      </c>
      <c r="H1134" s="1" t="s">
        <v>968</v>
      </c>
      <c r="I1134" s="1" t="s">
        <v>1662</v>
      </c>
      <c r="J1134" s="1" t="s">
        <v>348</v>
      </c>
      <c r="K1134" s="1" t="s">
        <v>1848</v>
      </c>
      <c r="L1134" s="1" t="s">
        <v>2636</v>
      </c>
      <c r="M1134" s="1" t="s">
        <v>902</v>
      </c>
      <c r="N1134">
        <f>_xlfn.NUMBERVALUE(LEFT(Table11[[#This Row],[Score]],FIND("/",Table11[[#This Row],[Score]])-1))</f>
        <v>1</v>
      </c>
      <c r="O1134">
        <f>IFERROR(_xlfn.NUMBERVALUE(LEFT(Table11[[#This Row],[Score2 ]],FIND("/",Table11[[#This Row],[Score2 ]])-1)),"")</f>
        <v>1</v>
      </c>
      <c r="P1134" t="s">
        <v>140</v>
      </c>
      <c r="Q1134" s="1" t="s">
        <v>149</v>
      </c>
      <c r="R1134" t="str">
        <f>Table11[[#This Row],[Match]]&amp;" "&amp;Table11[[#This Row],[Over]]</f>
        <v>49 1</v>
      </c>
    </row>
    <row r="1135" spans="1:18" x14ac:dyDescent="0.3">
      <c r="A1135">
        <v>49</v>
      </c>
      <c r="B1135" s="1">
        <v>2</v>
      </c>
      <c r="C1135" s="1" t="s">
        <v>2988</v>
      </c>
      <c r="D1135" s="1" t="s">
        <v>950</v>
      </c>
      <c r="E1135" s="1" t="s">
        <v>1238</v>
      </c>
      <c r="F1135" s="1" t="s">
        <v>348</v>
      </c>
      <c r="G1135" s="1" t="s">
        <v>2596</v>
      </c>
      <c r="H1135" s="1" t="s">
        <v>968</v>
      </c>
      <c r="I1135" s="1" t="s">
        <v>1662</v>
      </c>
      <c r="J1135" s="1" t="s">
        <v>348</v>
      </c>
      <c r="K1135" s="1" t="s">
        <v>1855</v>
      </c>
      <c r="L1135" s="1" t="s">
        <v>1097</v>
      </c>
      <c r="M1135" s="1" t="s">
        <v>909</v>
      </c>
      <c r="N1135">
        <f>_xlfn.NUMBERVALUE(LEFT(Table11[[#This Row],[Score]],FIND("/",Table11[[#This Row],[Score]])-1))</f>
        <v>6</v>
      </c>
      <c r="O1135">
        <f>IFERROR(_xlfn.NUMBERVALUE(LEFT(Table11[[#This Row],[Score2 ]],FIND("/",Table11[[#This Row],[Score2 ]])-1)),"")</f>
        <v>2</v>
      </c>
      <c r="P1135" t="s">
        <v>140</v>
      </c>
      <c r="Q1135" s="1" t="s">
        <v>149</v>
      </c>
      <c r="R1135" t="str">
        <f>Table11[[#This Row],[Match]]&amp;" "&amp;Table11[[#This Row],[Over]]</f>
        <v>49 2</v>
      </c>
    </row>
    <row r="1136" spans="1:18" x14ac:dyDescent="0.3">
      <c r="A1136">
        <v>49</v>
      </c>
      <c r="B1136" s="1">
        <v>3</v>
      </c>
      <c r="C1136" s="1" t="s">
        <v>3279</v>
      </c>
      <c r="D1136" s="1" t="s">
        <v>950</v>
      </c>
      <c r="E1136" s="1" t="s">
        <v>917</v>
      </c>
      <c r="F1136" s="1" t="s">
        <v>348</v>
      </c>
      <c r="G1136" s="1" t="s">
        <v>1237</v>
      </c>
      <c r="H1136" s="1" t="s">
        <v>916</v>
      </c>
      <c r="I1136" s="1" t="s">
        <v>1238</v>
      </c>
      <c r="J1136" s="1" t="s">
        <v>348</v>
      </c>
      <c r="K1136" s="1" t="s">
        <v>1493</v>
      </c>
      <c r="L1136" s="1" t="s">
        <v>1341</v>
      </c>
      <c r="M1136" s="1" t="s">
        <v>920</v>
      </c>
      <c r="N1136">
        <f>_xlfn.NUMBERVALUE(LEFT(Table11[[#This Row],[Score]],FIND("/",Table11[[#This Row],[Score]])-1))</f>
        <v>11</v>
      </c>
      <c r="O1136">
        <f>IFERROR(_xlfn.NUMBERVALUE(LEFT(Table11[[#This Row],[Score2 ]],FIND("/",Table11[[#This Row],[Score2 ]])-1)),"")</f>
        <v>9</v>
      </c>
      <c r="P1136" t="s">
        <v>140</v>
      </c>
      <c r="Q1136" s="1" t="s">
        <v>149</v>
      </c>
      <c r="R1136" t="str">
        <f>Table11[[#This Row],[Match]]&amp;" "&amp;Table11[[#This Row],[Over]]</f>
        <v>49 3</v>
      </c>
    </row>
    <row r="1137" spans="1:18" x14ac:dyDescent="0.3">
      <c r="A1137">
        <v>49</v>
      </c>
      <c r="B1137" s="1">
        <v>4</v>
      </c>
      <c r="C1137" s="1" t="s">
        <v>1246</v>
      </c>
      <c r="D1137" s="1" t="s">
        <v>922</v>
      </c>
      <c r="E1137" s="1" t="s">
        <v>1074</v>
      </c>
      <c r="F1137" s="1" t="s">
        <v>348</v>
      </c>
      <c r="G1137" s="1" t="s">
        <v>2530</v>
      </c>
      <c r="H1137" s="1" t="s">
        <v>947</v>
      </c>
      <c r="I1137" s="1" t="s">
        <v>1021</v>
      </c>
      <c r="J1137" s="1" t="s">
        <v>348</v>
      </c>
      <c r="K1137" s="1" t="s">
        <v>977</v>
      </c>
      <c r="L1137" s="1" t="s">
        <v>1349</v>
      </c>
      <c r="M1137" s="1" t="s">
        <v>928</v>
      </c>
      <c r="N1137">
        <f>_xlfn.NUMBERVALUE(LEFT(Table11[[#This Row],[Score]],FIND("/",Table11[[#This Row],[Score]])-1))</f>
        <v>17</v>
      </c>
      <c r="O1137">
        <f>IFERROR(_xlfn.NUMBERVALUE(LEFT(Table11[[#This Row],[Score2 ]],FIND("/",Table11[[#This Row],[Score2 ]])-1)),"")</f>
        <v>18</v>
      </c>
      <c r="P1137" t="s">
        <v>140</v>
      </c>
      <c r="Q1137" s="1" t="s">
        <v>149</v>
      </c>
      <c r="R1137" t="str">
        <f>Table11[[#This Row],[Match]]&amp;" "&amp;Table11[[#This Row],[Over]]</f>
        <v>49 4</v>
      </c>
    </row>
    <row r="1138" spans="1:18" x14ac:dyDescent="0.3">
      <c r="A1138">
        <v>49</v>
      </c>
      <c r="B1138" s="1">
        <v>5</v>
      </c>
      <c r="C1138" s="1" t="s">
        <v>2530</v>
      </c>
      <c r="D1138" s="1" t="s">
        <v>968</v>
      </c>
      <c r="E1138" s="1" t="s">
        <v>977</v>
      </c>
      <c r="F1138" s="1" t="s">
        <v>977</v>
      </c>
      <c r="G1138" s="1" t="s">
        <v>2995</v>
      </c>
      <c r="H1138" s="1" t="s">
        <v>1147</v>
      </c>
      <c r="I1138" s="1" t="s">
        <v>960</v>
      </c>
      <c r="J1138" s="1" t="s">
        <v>960</v>
      </c>
      <c r="K1138" s="1" t="s">
        <v>2615</v>
      </c>
      <c r="L1138" s="1" t="s">
        <v>1376</v>
      </c>
      <c r="M1138" s="1" t="s">
        <v>937</v>
      </c>
      <c r="N1138">
        <f>_xlfn.NUMBERVALUE(LEFT(Table11[[#This Row],[Score]],FIND("/",Table11[[#This Row],[Score]])-1))</f>
        <v>18</v>
      </c>
      <c r="O1138">
        <f>IFERROR(_xlfn.NUMBERVALUE(LEFT(Table11[[#This Row],[Score2 ]],FIND("/",Table11[[#This Row],[Score2 ]])-1)),"")</f>
        <v>33</v>
      </c>
      <c r="P1138" t="s">
        <v>140</v>
      </c>
      <c r="Q1138" s="1" t="s">
        <v>149</v>
      </c>
      <c r="R1138" t="str">
        <f>Table11[[#This Row],[Match]]&amp;" "&amp;Table11[[#This Row],[Over]]</f>
        <v>49 5</v>
      </c>
    </row>
    <row r="1139" spans="1:18" x14ac:dyDescent="0.3">
      <c r="A1139">
        <v>49</v>
      </c>
      <c r="B1139" s="1">
        <v>6</v>
      </c>
      <c r="C1139" s="1" t="s">
        <v>2800</v>
      </c>
      <c r="D1139" s="1" t="s">
        <v>998</v>
      </c>
      <c r="E1139" s="1" t="s">
        <v>917</v>
      </c>
      <c r="F1139" s="1" t="s">
        <v>931</v>
      </c>
      <c r="G1139" s="1" t="s">
        <v>1269</v>
      </c>
      <c r="H1139" s="1" t="s">
        <v>950</v>
      </c>
      <c r="I1139" s="1" t="s">
        <v>1723</v>
      </c>
      <c r="J1139" s="1" t="s">
        <v>1068</v>
      </c>
      <c r="K1139" s="1" t="s">
        <v>3086</v>
      </c>
      <c r="L1139" s="1" t="s">
        <v>1385</v>
      </c>
      <c r="M1139" s="1" t="s">
        <v>945</v>
      </c>
      <c r="N1139">
        <f>_xlfn.NUMBERVALUE(LEFT(Table11[[#This Row],[Score]],FIND("/",Table11[[#This Row],[Score]])-1))</f>
        <v>22</v>
      </c>
      <c r="O1139">
        <f>IFERROR(_xlfn.NUMBERVALUE(LEFT(Table11[[#This Row],[Score2 ]],FIND("/",Table11[[#This Row],[Score2 ]])-1)),"")</f>
        <v>38</v>
      </c>
      <c r="P1139" t="s">
        <v>140</v>
      </c>
      <c r="Q1139" s="1" t="s">
        <v>149</v>
      </c>
      <c r="R1139" t="str">
        <f>Table11[[#This Row],[Match]]&amp;" "&amp;Table11[[#This Row],[Over]]</f>
        <v>49 6</v>
      </c>
    </row>
    <row r="1140" spans="1:18" x14ac:dyDescent="0.3">
      <c r="A1140">
        <v>49</v>
      </c>
      <c r="B1140" s="1">
        <v>7</v>
      </c>
      <c r="C1140" s="1" t="s">
        <v>3150</v>
      </c>
      <c r="D1140" s="1" t="s">
        <v>968</v>
      </c>
      <c r="E1140" s="1" t="s">
        <v>1885</v>
      </c>
      <c r="F1140" s="1" t="s">
        <v>1247</v>
      </c>
      <c r="G1140" s="1" t="s">
        <v>2216</v>
      </c>
      <c r="H1140" s="1" t="s">
        <v>904</v>
      </c>
      <c r="I1140" s="1" t="s">
        <v>2217</v>
      </c>
      <c r="J1140" s="1" t="s">
        <v>1168</v>
      </c>
      <c r="K1140" s="1" t="s">
        <v>3280</v>
      </c>
      <c r="L1140" s="1" t="s">
        <v>2469</v>
      </c>
      <c r="M1140" s="1" t="s">
        <v>955</v>
      </c>
      <c r="N1140">
        <f>_xlfn.NUMBERVALUE(LEFT(Table11[[#This Row],[Score]],FIND("/",Table11[[#This Row],[Score]])-1))</f>
        <v>23</v>
      </c>
      <c r="O1140">
        <f>IFERROR(_xlfn.NUMBERVALUE(LEFT(Table11[[#This Row],[Score2 ]],FIND("/",Table11[[#This Row],[Score2 ]])-1)),"")</f>
        <v>41</v>
      </c>
      <c r="P1140" t="s">
        <v>140</v>
      </c>
      <c r="Q1140" s="1" t="s">
        <v>149</v>
      </c>
      <c r="R1140" t="str">
        <f>Table11[[#This Row],[Match]]&amp;" "&amp;Table11[[#This Row],[Over]]</f>
        <v>49 7</v>
      </c>
    </row>
    <row r="1141" spans="1:18" x14ac:dyDescent="0.3">
      <c r="A1141">
        <v>49</v>
      </c>
      <c r="B1141" s="1">
        <v>8</v>
      </c>
      <c r="C1141" s="1" t="s">
        <v>3150</v>
      </c>
      <c r="D1141" s="1" t="s">
        <v>1007</v>
      </c>
      <c r="E1141" s="1" t="s">
        <v>1466</v>
      </c>
      <c r="F1141" s="1" t="s">
        <v>1088</v>
      </c>
      <c r="G1141" s="1" t="s">
        <v>967</v>
      </c>
      <c r="H1141" s="1" t="s">
        <v>998</v>
      </c>
      <c r="I1141" s="1" t="s">
        <v>2268</v>
      </c>
      <c r="J1141" s="1" t="s">
        <v>1116</v>
      </c>
      <c r="K1141" s="1" t="s">
        <v>1788</v>
      </c>
      <c r="L1141" s="1" t="s">
        <v>1544</v>
      </c>
      <c r="M1141" s="1" t="s">
        <v>963</v>
      </c>
      <c r="N1141">
        <f>_xlfn.NUMBERVALUE(LEFT(Table11[[#This Row],[Score]],FIND("/",Table11[[#This Row],[Score]])-1))</f>
        <v>23</v>
      </c>
      <c r="O1141">
        <f>IFERROR(_xlfn.NUMBERVALUE(LEFT(Table11[[#This Row],[Score2 ]],FIND("/",Table11[[#This Row],[Score2 ]])-1)),"")</f>
        <v>45</v>
      </c>
      <c r="P1141" t="s">
        <v>140</v>
      </c>
      <c r="Q1141" s="1" t="s">
        <v>149</v>
      </c>
      <c r="R1141" t="str">
        <f>Table11[[#This Row],[Match]]&amp;" "&amp;Table11[[#This Row],[Over]]</f>
        <v>49 8</v>
      </c>
    </row>
    <row r="1142" spans="1:18" x14ac:dyDescent="0.3">
      <c r="A1142">
        <v>49</v>
      </c>
      <c r="B1142" s="1">
        <v>9</v>
      </c>
      <c r="C1142" s="1" t="s">
        <v>3149</v>
      </c>
      <c r="D1142" s="1" t="s">
        <v>968</v>
      </c>
      <c r="E1142" s="1" t="s">
        <v>1642</v>
      </c>
      <c r="F1142" s="1" t="s">
        <v>1432</v>
      </c>
      <c r="G1142" s="1" t="s">
        <v>1281</v>
      </c>
      <c r="H1142" s="1" t="s">
        <v>998</v>
      </c>
      <c r="I1142" s="1" t="s">
        <v>1145</v>
      </c>
      <c r="J1142" s="1" t="s">
        <v>970</v>
      </c>
      <c r="K1142" s="1" t="s">
        <v>1472</v>
      </c>
      <c r="L1142" s="1" t="s">
        <v>1769</v>
      </c>
      <c r="M1142" s="1" t="s">
        <v>973</v>
      </c>
      <c r="N1142">
        <f>_xlfn.NUMBERVALUE(LEFT(Table11[[#This Row],[Score]],FIND("/",Table11[[#This Row],[Score]])-1))</f>
        <v>24</v>
      </c>
      <c r="O1142">
        <f>IFERROR(_xlfn.NUMBERVALUE(LEFT(Table11[[#This Row],[Score2 ]],FIND("/",Table11[[#This Row],[Score2 ]])-1)),"")</f>
        <v>49</v>
      </c>
      <c r="P1142" t="s">
        <v>140</v>
      </c>
      <c r="Q1142" s="1" t="s">
        <v>149</v>
      </c>
      <c r="R1142" t="str">
        <f>Table11[[#This Row],[Match]]&amp;" "&amp;Table11[[#This Row],[Over]]</f>
        <v>49 9</v>
      </c>
    </row>
    <row r="1143" spans="1:18" x14ac:dyDescent="0.3">
      <c r="A1143">
        <v>49</v>
      </c>
      <c r="B1143" s="1">
        <v>10</v>
      </c>
      <c r="C1143" s="1" t="s">
        <v>2691</v>
      </c>
      <c r="D1143" s="1" t="s">
        <v>916</v>
      </c>
      <c r="E1143" s="1" t="s">
        <v>1714</v>
      </c>
      <c r="F1143" s="1" t="s">
        <v>984</v>
      </c>
      <c r="G1143" s="1" t="s">
        <v>997</v>
      </c>
      <c r="H1143" s="1" t="s">
        <v>916</v>
      </c>
      <c r="I1143" s="1" t="s">
        <v>934</v>
      </c>
      <c r="J1143" s="1" t="s">
        <v>976</v>
      </c>
      <c r="K1143" s="1" t="s">
        <v>1259</v>
      </c>
      <c r="L1143" s="1" t="s">
        <v>2478</v>
      </c>
      <c r="M1143" s="1" t="s">
        <v>980</v>
      </c>
      <c r="N1143">
        <f>_xlfn.NUMBERVALUE(LEFT(Table11[[#This Row],[Score]],FIND("/",Table11[[#This Row],[Score]])-1))</f>
        <v>31</v>
      </c>
      <c r="O1143">
        <f>IFERROR(_xlfn.NUMBERVALUE(LEFT(Table11[[#This Row],[Score2 ]],FIND("/",Table11[[#This Row],[Score2 ]])-1)),"")</f>
        <v>56</v>
      </c>
      <c r="P1143" t="s">
        <v>140</v>
      </c>
      <c r="Q1143" s="1" t="s">
        <v>149</v>
      </c>
      <c r="R1143" t="str">
        <f>Table11[[#This Row],[Match]]&amp;" "&amp;Table11[[#This Row],[Over]]</f>
        <v>49 10</v>
      </c>
    </row>
    <row r="1144" spans="1:18" x14ac:dyDescent="0.3">
      <c r="A1144">
        <v>49</v>
      </c>
      <c r="B1144" s="1">
        <v>11</v>
      </c>
      <c r="C1144" s="1" t="s">
        <v>2995</v>
      </c>
      <c r="D1144" s="1" t="s">
        <v>898</v>
      </c>
      <c r="E1144" s="1" t="s">
        <v>1238</v>
      </c>
      <c r="F1144" s="1" t="s">
        <v>1383</v>
      </c>
      <c r="G1144" s="1" t="s">
        <v>1000</v>
      </c>
      <c r="H1144" s="1" t="s">
        <v>898</v>
      </c>
      <c r="I1144" s="1" t="s">
        <v>1593</v>
      </c>
      <c r="J1144" s="1" t="s">
        <v>939</v>
      </c>
      <c r="K1144" s="1" t="s">
        <v>1454</v>
      </c>
      <c r="L1144" s="1" t="s">
        <v>1108</v>
      </c>
      <c r="M1144" s="1" t="s">
        <v>987</v>
      </c>
      <c r="N1144">
        <f>_xlfn.NUMBERVALUE(LEFT(Table11[[#This Row],[Score]],FIND("/",Table11[[#This Row],[Score]])-1))</f>
        <v>33</v>
      </c>
      <c r="O1144">
        <f>IFERROR(_xlfn.NUMBERVALUE(LEFT(Table11[[#This Row],[Score2 ]],FIND("/",Table11[[#This Row],[Score2 ]])-1)),"")</f>
        <v>58</v>
      </c>
      <c r="P1144" t="s">
        <v>140</v>
      </c>
      <c r="Q1144" s="1" t="s">
        <v>149</v>
      </c>
      <c r="R1144" t="str">
        <f>Table11[[#This Row],[Match]]&amp;" "&amp;Table11[[#This Row],[Over]]</f>
        <v>49 11</v>
      </c>
    </row>
    <row r="1145" spans="1:18" x14ac:dyDescent="0.3">
      <c r="A1145">
        <v>49</v>
      </c>
      <c r="B1145" s="1">
        <v>12</v>
      </c>
      <c r="C1145" s="1" t="s">
        <v>1981</v>
      </c>
      <c r="D1145" s="1" t="s">
        <v>950</v>
      </c>
      <c r="E1145" s="1" t="s">
        <v>1251</v>
      </c>
      <c r="F1145" s="1" t="s">
        <v>1238</v>
      </c>
      <c r="G1145" s="1" t="s">
        <v>1651</v>
      </c>
      <c r="H1145" s="1" t="s">
        <v>968</v>
      </c>
      <c r="I1145" s="1" t="s">
        <v>2880</v>
      </c>
      <c r="J1145" s="1" t="s">
        <v>977</v>
      </c>
      <c r="K1145" s="1" t="s">
        <v>1885</v>
      </c>
      <c r="L1145" s="1" t="s">
        <v>1554</v>
      </c>
      <c r="M1145" s="1" t="s">
        <v>996</v>
      </c>
      <c r="N1145">
        <f>_xlfn.NUMBERVALUE(LEFT(Table11[[#This Row],[Score]],FIND("/",Table11[[#This Row],[Score]])-1))</f>
        <v>38</v>
      </c>
      <c r="O1145">
        <f>IFERROR(_xlfn.NUMBERVALUE(LEFT(Table11[[#This Row],[Score2 ]],FIND("/",Table11[[#This Row],[Score2 ]])-1)),"")</f>
        <v>59</v>
      </c>
      <c r="P1145" t="s">
        <v>140</v>
      </c>
      <c r="Q1145" s="1" t="s">
        <v>149</v>
      </c>
      <c r="R1145" t="str">
        <f>Table11[[#This Row],[Match]]&amp;" "&amp;Table11[[#This Row],[Over]]</f>
        <v>49 12</v>
      </c>
    </row>
    <row r="1146" spans="1:18" x14ac:dyDescent="0.3">
      <c r="A1146">
        <v>49</v>
      </c>
      <c r="B1146" s="1">
        <v>13</v>
      </c>
      <c r="C1146" s="1" t="s">
        <v>3281</v>
      </c>
      <c r="D1146" s="1" t="s">
        <v>904</v>
      </c>
      <c r="E1146" s="1" t="s">
        <v>2342</v>
      </c>
      <c r="F1146" s="1" t="s">
        <v>977</v>
      </c>
      <c r="G1146" s="1" t="s">
        <v>1293</v>
      </c>
      <c r="H1146" s="1" t="s">
        <v>998</v>
      </c>
      <c r="I1146" s="1" t="s">
        <v>1160</v>
      </c>
      <c r="J1146" s="1" t="s">
        <v>977</v>
      </c>
      <c r="K1146" s="1" t="s">
        <v>1477</v>
      </c>
      <c r="L1146" s="1" t="s">
        <v>2721</v>
      </c>
      <c r="M1146" s="1" t="s">
        <v>1004</v>
      </c>
      <c r="N1146">
        <f>_xlfn.NUMBERVALUE(LEFT(Table11[[#This Row],[Score]],FIND("/",Table11[[#This Row],[Score]])-1))</f>
        <v>41</v>
      </c>
      <c r="O1146">
        <f>IFERROR(_xlfn.NUMBERVALUE(LEFT(Table11[[#This Row],[Score2 ]],FIND("/",Table11[[#This Row],[Score2 ]])-1)),"")</f>
        <v>63</v>
      </c>
      <c r="P1146" t="s">
        <v>140</v>
      </c>
      <c r="Q1146" s="1" t="s">
        <v>149</v>
      </c>
      <c r="R1146" t="str">
        <f>Table11[[#This Row],[Match]]&amp;" "&amp;Table11[[#This Row],[Over]]</f>
        <v>49 13</v>
      </c>
    </row>
    <row r="1147" spans="1:18" x14ac:dyDescent="0.3">
      <c r="A1147">
        <v>49</v>
      </c>
      <c r="B1147" s="1">
        <v>14</v>
      </c>
      <c r="C1147" s="1" t="s">
        <v>3281</v>
      </c>
      <c r="D1147" s="1" t="s">
        <v>1007</v>
      </c>
      <c r="E1147" s="1" t="s">
        <v>2630</v>
      </c>
      <c r="F1147" s="1" t="s">
        <v>1247</v>
      </c>
      <c r="G1147" s="1" t="s">
        <v>2882</v>
      </c>
      <c r="H1147" s="1" t="s">
        <v>950</v>
      </c>
      <c r="I1147" s="1" t="s">
        <v>1174</v>
      </c>
      <c r="J1147" s="1" t="s">
        <v>990</v>
      </c>
      <c r="K1147" s="1" t="s">
        <v>2577</v>
      </c>
      <c r="L1147" s="1" t="s">
        <v>1774</v>
      </c>
      <c r="M1147" s="1" t="s">
        <v>1010</v>
      </c>
      <c r="N1147">
        <f>_xlfn.NUMBERVALUE(LEFT(Table11[[#This Row],[Score]],FIND("/",Table11[[#This Row],[Score]])-1))</f>
        <v>41</v>
      </c>
      <c r="O1147">
        <f>IFERROR(_xlfn.NUMBERVALUE(LEFT(Table11[[#This Row],[Score2 ]],FIND("/",Table11[[#This Row],[Score2 ]])-1)),"")</f>
        <v>68</v>
      </c>
      <c r="P1147" t="s">
        <v>140</v>
      </c>
      <c r="Q1147" s="1" t="s">
        <v>149</v>
      </c>
      <c r="R1147" t="str">
        <f>Table11[[#This Row],[Match]]&amp;" "&amp;Table11[[#This Row],[Over]]</f>
        <v>49 14</v>
      </c>
    </row>
    <row r="1148" spans="1:18" x14ac:dyDescent="0.3">
      <c r="A1148">
        <v>49</v>
      </c>
      <c r="B1148" s="1">
        <v>15</v>
      </c>
      <c r="C1148" s="1" t="s">
        <v>3282</v>
      </c>
      <c r="D1148" s="1" t="s">
        <v>922</v>
      </c>
      <c r="E1148" s="1" t="s">
        <v>1716</v>
      </c>
      <c r="F1148" s="1" t="s">
        <v>1259</v>
      </c>
      <c r="G1148" s="1" t="s">
        <v>1467</v>
      </c>
      <c r="H1148" s="1" t="s">
        <v>968</v>
      </c>
      <c r="I1148" s="1" t="s">
        <v>976</v>
      </c>
      <c r="J1148" s="1" t="s">
        <v>984</v>
      </c>
      <c r="K1148" s="1" t="s">
        <v>1885</v>
      </c>
      <c r="L1148" s="1" t="s">
        <v>1880</v>
      </c>
      <c r="M1148" s="1" t="s">
        <v>1016</v>
      </c>
      <c r="N1148">
        <f>_xlfn.NUMBERVALUE(LEFT(Table11[[#This Row],[Score]],FIND("/",Table11[[#This Row],[Score]])-1))</f>
        <v>47</v>
      </c>
      <c r="O1148">
        <f>IFERROR(_xlfn.NUMBERVALUE(LEFT(Table11[[#This Row],[Score2 ]],FIND("/",Table11[[#This Row],[Score2 ]])-1)),"")</f>
        <v>69</v>
      </c>
      <c r="P1148" t="s">
        <v>140</v>
      </c>
      <c r="Q1148" s="1" t="s">
        <v>149</v>
      </c>
      <c r="R1148" t="str">
        <f>Table11[[#This Row],[Match]]&amp;" "&amp;Table11[[#This Row],[Over]]</f>
        <v>49 15</v>
      </c>
    </row>
    <row r="1149" spans="1:18" x14ac:dyDescent="0.3">
      <c r="A1149">
        <v>49</v>
      </c>
      <c r="B1149" s="1">
        <v>16</v>
      </c>
      <c r="C1149" s="1" t="s">
        <v>3283</v>
      </c>
      <c r="D1149" s="1" t="s">
        <v>998</v>
      </c>
      <c r="E1149" s="1" t="s">
        <v>2452</v>
      </c>
      <c r="F1149" s="1" t="s">
        <v>977</v>
      </c>
      <c r="G1149" s="1" t="s">
        <v>1298</v>
      </c>
      <c r="H1149" s="1" t="s">
        <v>950</v>
      </c>
      <c r="I1149" s="1" t="s">
        <v>1344</v>
      </c>
      <c r="J1149" s="1" t="s">
        <v>1259</v>
      </c>
      <c r="K1149" s="1" t="s">
        <v>1454</v>
      </c>
      <c r="L1149" s="1" t="s">
        <v>2077</v>
      </c>
      <c r="M1149" s="1" t="s">
        <v>1024</v>
      </c>
      <c r="N1149">
        <f>_xlfn.NUMBERVALUE(LEFT(Table11[[#This Row],[Score]],FIND("/",Table11[[#This Row],[Score]])-1))</f>
        <v>51</v>
      </c>
      <c r="O1149">
        <f>IFERROR(_xlfn.NUMBERVALUE(LEFT(Table11[[#This Row],[Score2 ]],FIND("/",Table11[[#This Row],[Score2 ]])-1)),"")</f>
        <v>74</v>
      </c>
      <c r="P1149" t="s">
        <v>140</v>
      </c>
      <c r="Q1149" s="1" t="s">
        <v>149</v>
      </c>
      <c r="R1149" t="str">
        <f>Table11[[#This Row],[Match]]&amp;" "&amp;Table11[[#This Row],[Over]]</f>
        <v>49 16</v>
      </c>
    </row>
    <row r="1150" spans="1:18" x14ac:dyDescent="0.3">
      <c r="A1150">
        <v>49</v>
      </c>
      <c r="B1150" s="1">
        <v>17</v>
      </c>
      <c r="C1150" s="1" t="s">
        <v>2925</v>
      </c>
      <c r="D1150" s="1" t="s">
        <v>904</v>
      </c>
      <c r="E1150" s="1" t="s">
        <v>2453</v>
      </c>
      <c r="F1150" s="1" t="s">
        <v>1259</v>
      </c>
      <c r="G1150" s="1" t="s">
        <v>2626</v>
      </c>
      <c r="H1150" s="1" t="s">
        <v>898</v>
      </c>
      <c r="I1150" s="1" t="s">
        <v>1316</v>
      </c>
      <c r="J1150" s="1" t="s">
        <v>1247</v>
      </c>
      <c r="K1150" s="1" t="s">
        <v>1477</v>
      </c>
      <c r="L1150" s="1" t="s">
        <v>1127</v>
      </c>
      <c r="M1150" s="1" t="s">
        <v>1031</v>
      </c>
      <c r="N1150">
        <f>_xlfn.NUMBERVALUE(LEFT(Table11[[#This Row],[Score]],FIND("/",Table11[[#This Row],[Score]])-1))</f>
        <v>54</v>
      </c>
      <c r="O1150">
        <f>IFERROR(_xlfn.NUMBERVALUE(LEFT(Table11[[#This Row],[Score2 ]],FIND("/",Table11[[#This Row],[Score2 ]])-1)),"")</f>
        <v>76</v>
      </c>
      <c r="P1150" t="s">
        <v>140</v>
      </c>
      <c r="Q1150" s="1" t="s">
        <v>149</v>
      </c>
      <c r="R1150" t="str">
        <f>Table11[[#This Row],[Match]]&amp;" "&amp;Table11[[#This Row],[Over]]</f>
        <v>49 17</v>
      </c>
    </row>
    <row r="1151" spans="1:18" x14ac:dyDescent="0.3">
      <c r="A1151">
        <v>49</v>
      </c>
      <c r="B1151" s="1">
        <v>18</v>
      </c>
      <c r="C1151" s="1" t="s">
        <v>1476</v>
      </c>
      <c r="D1151" s="1" t="s">
        <v>950</v>
      </c>
      <c r="E1151" s="1" t="s">
        <v>1477</v>
      </c>
      <c r="F1151" s="1" t="s">
        <v>977</v>
      </c>
      <c r="G1151" s="1" t="s">
        <v>1039</v>
      </c>
      <c r="H1151" s="1" t="s">
        <v>916</v>
      </c>
      <c r="I1151" s="1" t="s">
        <v>1055</v>
      </c>
      <c r="J1151" s="1" t="s">
        <v>939</v>
      </c>
      <c r="K1151" s="1" t="s">
        <v>2342</v>
      </c>
      <c r="L1151" s="1" t="s">
        <v>1189</v>
      </c>
      <c r="M1151" s="1" t="s">
        <v>1037</v>
      </c>
      <c r="N1151">
        <f>_xlfn.NUMBERVALUE(LEFT(Table11[[#This Row],[Score]],FIND("/",Table11[[#This Row],[Score]])-1))</f>
        <v>59</v>
      </c>
      <c r="O1151">
        <f>IFERROR(_xlfn.NUMBERVALUE(LEFT(Table11[[#This Row],[Score2 ]],FIND("/",Table11[[#This Row],[Score2 ]])-1)),"")</f>
        <v>83</v>
      </c>
      <c r="P1151" t="s">
        <v>140</v>
      </c>
      <c r="Q1151" s="1" t="s">
        <v>149</v>
      </c>
      <c r="R1151" t="str">
        <f>Table11[[#This Row],[Match]]&amp;" "&amp;Table11[[#This Row],[Over]]</f>
        <v>49 18</v>
      </c>
    </row>
    <row r="1152" spans="1:18" x14ac:dyDescent="0.3">
      <c r="A1152">
        <v>49</v>
      </c>
      <c r="B1152" s="1">
        <v>19</v>
      </c>
      <c r="C1152" s="1" t="s">
        <v>2623</v>
      </c>
      <c r="D1152" s="1" t="s">
        <v>904</v>
      </c>
      <c r="E1152" s="1" t="s">
        <v>3284</v>
      </c>
      <c r="F1152" s="1" t="s">
        <v>931</v>
      </c>
      <c r="G1152" s="1" t="s">
        <v>2012</v>
      </c>
      <c r="H1152" s="1" t="s">
        <v>1103</v>
      </c>
      <c r="I1152" s="1" t="s">
        <v>969</v>
      </c>
      <c r="J1152" s="1" t="s">
        <v>966</v>
      </c>
      <c r="K1152" s="1" t="s">
        <v>1466</v>
      </c>
      <c r="L1152" s="1" t="s">
        <v>3072</v>
      </c>
      <c r="M1152" s="1" t="s">
        <v>1043</v>
      </c>
      <c r="N1152">
        <f>_xlfn.NUMBERVALUE(LEFT(Table11[[#This Row],[Score]],FIND("/",Table11[[#This Row],[Score]])-1))</f>
        <v>62</v>
      </c>
      <c r="O1152">
        <f>IFERROR(_xlfn.NUMBERVALUE(LEFT(Table11[[#This Row],[Score2 ]],FIND("/",Table11[[#This Row],[Score2 ]])-1)),"")</f>
        <v>95</v>
      </c>
      <c r="P1152" t="s">
        <v>140</v>
      </c>
      <c r="Q1152" s="1" t="s">
        <v>149</v>
      </c>
      <c r="R1152" t="str">
        <f>Table11[[#This Row],[Match]]&amp;" "&amp;Table11[[#This Row],[Over]]</f>
        <v>49 19</v>
      </c>
    </row>
    <row r="1153" spans="1:18" x14ac:dyDescent="0.3">
      <c r="A1153">
        <v>49</v>
      </c>
      <c r="B1153" s="1">
        <v>20</v>
      </c>
      <c r="C1153" s="1" t="s">
        <v>2933</v>
      </c>
      <c r="D1153" s="1" t="s">
        <v>998</v>
      </c>
      <c r="E1153" s="1" t="s">
        <v>1788</v>
      </c>
      <c r="F1153" s="1" t="s">
        <v>990</v>
      </c>
      <c r="G1153" s="1" t="s">
        <v>1059</v>
      </c>
      <c r="H1153" s="1" t="s">
        <v>904</v>
      </c>
      <c r="I1153" s="1" t="s">
        <v>1045</v>
      </c>
      <c r="J1153" s="1" t="s">
        <v>1013</v>
      </c>
      <c r="K1153" s="1" t="s">
        <v>1462</v>
      </c>
      <c r="L1153" s="1" t="s">
        <v>1204</v>
      </c>
      <c r="M1153" s="1" t="s">
        <v>1049</v>
      </c>
      <c r="N1153">
        <f>_xlfn.NUMBERVALUE(LEFT(Table11[[#This Row],[Score]],FIND("/",Table11[[#This Row],[Score]])-1))</f>
        <v>66</v>
      </c>
      <c r="O1153">
        <f>IFERROR(_xlfn.NUMBERVALUE(LEFT(Table11[[#This Row],[Score2 ]],FIND("/",Table11[[#This Row],[Score2 ]])-1)),"")</f>
        <v>98</v>
      </c>
      <c r="P1153" t="s">
        <v>140</v>
      </c>
      <c r="Q1153" s="1" t="s">
        <v>149</v>
      </c>
      <c r="R1153" t="str">
        <f>Table11[[#This Row],[Match]]&amp;" "&amp;Table11[[#This Row],[Over]]</f>
        <v>49 20</v>
      </c>
    </row>
    <row r="1154" spans="1:18" x14ac:dyDescent="0.3">
      <c r="A1154">
        <v>49</v>
      </c>
      <c r="B1154" s="1">
        <v>21</v>
      </c>
      <c r="C1154" s="1" t="s">
        <v>1882</v>
      </c>
      <c r="D1154" s="1" t="s">
        <v>998</v>
      </c>
      <c r="E1154" s="1" t="s">
        <v>1265</v>
      </c>
      <c r="F1154" s="1" t="s">
        <v>990</v>
      </c>
      <c r="G1154" s="1" t="s">
        <v>2704</v>
      </c>
      <c r="H1154" s="1" t="s">
        <v>898</v>
      </c>
      <c r="I1154" s="1" t="s">
        <v>1187</v>
      </c>
      <c r="J1154" s="1" t="s">
        <v>1029</v>
      </c>
      <c r="K1154" s="1" t="s">
        <v>3285</v>
      </c>
      <c r="L1154" s="1" t="s">
        <v>1150</v>
      </c>
      <c r="M1154" s="1" t="s">
        <v>1056</v>
      </c>
      <c r="N1154">
        <f>_xlfn.NUMBERVALUE(LEFT(Table11[[#This Row],[Score]],FIND("/",Table11[[#This Row],[Score]])-1))</f>
        <v>70</v>
      </c>
      <c r="O1154">
        <f>IFERROR(_xlfn.NUMBERVALUE(LEFT(Table11[[#This Row],[Score2 ]],FIND("/",Table11[[#This Row],[Score2 ]])-1)),"")</f>
        <v>100</v>
      </c>
      <c r="P1154" t="s">
        <v>140</v>
      </c>
      <c r="Q1154" s="1" t="s">
        <v>149</v>
      </c>
      <c r="R1154" t="str">
        <f>Table11[[#This Row],[Match]]&amp;" "&amp;Table11[[#This Row],[Over]]</f>
        <v>49 21</v>
      </c>
    </row>
    <row r="1155" spans="1:18" x14ac:dyDescent="0.3">
      <c r="A1155">
        <v>49</v>
      </c>
      <c r="B1155" s="1">
        <v>22</v>
      </c>
      <c r="C1155" s="1" t="s">
        <v>2230</v>
      </c>
      <c r="D1155" s="1" t="s">
        <v>916</v>
      </c>
      <c r="E1155" s="1" t="s">
        <v>925</v>
      </c>
      <c r="F1155" s="1" t="s">
        <v>976</v>
      </c>
      <c r="G1155" s="1" t="s">
        <v>1777</v>
      </c>
      <c r="H1155" s="1" t="s">
        <v>904</v>
      </c>
      <c r="I1155" s="1" t="s">
        <v>1018</v>
      </c>
      <c r="J1155" s="1" t="s">
        <v>966</v>
      </c>
      <c r="K1155" s="1" t="s">
        <v>3285</v>
      </c>
      <c r="L1155" s="1" t="s">
        <v>1210</v>
      </c>
      <c r="M1155" s="1" t="s">
        <v>1063</v>
      </c>
      <c r="N1155">
        <f>_xlfn.NUMBERVALUE(LEFT(Table11[[#This Row],[Score]],FIND("/",Table11[[#This Row],[Score]])-1))</f>
        <v>77</v>
      </c>
      <c r="O1155">
        <f>IFERROR(_xlfn.NUMBERVALUE(LEFT(Table11[[#This Row],[Score2 ]],FIND("/",Table11[[#This Row],[Score2 ]])-1)),"")</f>
        <v>103</v>
      </c>
      <c r="P1155" t="s">
        <v>140</v>
      </c>
      <c r="Q1155" s="1" t="s">
        <v>149</v>
      </c>
      <c r="R1155" t="str">
        <f>Table11[[#This Row],[Match]]&amp;" "&amp;Table11[[#This Row],[Over]]</f>
        <v>49 22</v>
      </c>
    </row>
    <row r="1156" spans="1:18" x14ac:dyDescent="0.3">
      <c r="A1156">
        <v>49</v>
      </c>
      <c r="B1156" s="1">
        <v>23</v>
      </c>
      <c r="C1156" s="1" t="s">
        <v>1486</v>
      </c>
      <c r="D1156" s="1" t="s">
        <v>922</v>
      </c>
      <c r="E1156" s="1" t="s">
        <v>977</v>
      </c>
      <c r="F1156" s="1" t="s">
        <v>1093</v>
      </c>
      <c r="G1156" s="1" t="s">
        <v>2703</v>
      </c>
      <c r="H1156" s="1" t="s">
        <v>947</v>
      </c>
      <c r="I1156" s="1" t="s">
        <v>1312</v>
      </c>
      <c r="J1156" s="1" t="s">
        <v>1013</v>
      </c>
      <c r="K1156" s="1" t="s">
        <v>1642</v>
      </c>
      <c r="L1156" s="1" t="s">
        <v>1164</v>
      </c>
      <c r="M1156" s="1" t="s">
        <v>1070</v>
      </c>
      <c r="N1156">
        <f>_xlfn.NUMBERVALUE(LEFT(Table11[[#This Row],[Score]],FIND("/",Table11[[#This Row],[Score]])-1))</f>
        <v>83</v>
      </c>
      <c r="O1156">
        <f>IFERROR(_xlfn.NUMBERVALUE(LEFT(Table11[[#This Row],[Score2 ]],FIND("/",Table11[[#This Row],[Score2 ]])-1)),"")</f>
        <v>112</v>
      </c>
      <c r="P1156" t="s">
        <v>140</v>
      </c>
      <c r="Q1156" s="1" t="s">
        <v>149</v>
      </c>
      <c r="R1156" t="str">
        <f>Table11[[#This Row],[Match]]&amp;" "&amp;Table11[[#This Row],[Over]]</f>
        <v>49 23</v>
      </c>
    </row>
    <row r="1157" spans="1:18" x14ac:dyDescent="0.3">
      <c r="A1157">
        <v>49</v>
      </c>
      <c r="B1157" s="1">
        <v>24</v>
      </c>
      <c r="C1157" s="1" t="s">
        <v>1496</v>
      </c>
      <c r="D1157" s="1" t="s">
        <v>922</v>
      </c>
      <c r="E1157" s="1" t="s">
        <v>2816</v>
      </c>
      <c r="F1157" s="1" t="s">
        <v>966</v>
      </c>
      <c r="G1157" s="1" t="s">
        <v>2771</v>
      </c>
      <c r="H1157" s="1" t="s">
        <v>916</v>
      </c>
      <c r="I1157" s="1" t="s">
        <v>2672</v>
      </c>
      <c r="J1157" s="1" t="s">
        <v>1093</v>
      </c>
      <c r="K1157" s="1" t="s">
        <v>905</v>
      </c>
      <c r="L1157" s="1" t="s">
        <v>1910</v>
      </c>
      <c r="M1157" s="1" t="s">
        <v>1077</v>
      </c>
      <c r="N1157">
        <f>_xlfn.NUMBERVALUE(LEFT(Table11[[#This Row],[Score]],FIND("/",Table11[[#This Row],[Score]])-1))</f>
        <v>89</v>
      </c>
      <c r="O1157">
        <f>IFERROR(_xlfn.NUMBERVALUE(LEFT(Table11[[#This Row],[Score2 ]],FIND("/",Table11[[#This Row],[Score2 ]])-1)),"")</f>
        <v>119</v>
      </c>
      <c r="P1157" t="s">
        <v>140</v>
      </c>
      <c r="Q1157" s="1" t="s">
        <v>149</v>
      </c>
      <c r="R1157" t="str">
        <f>Table11[[#This Row],[Match]]&amp;" "&amp;Table11[[#This Row],[Over]]</f>
        <v>49 24</v>
      </c>
    </row>
    <row r="1158" spans="1:18" x14ac:dyDescent="0.3">
      <c r="A1158">
        <v>49</v>
      </c>
      <c r="B1158" s="1">
        <v>25</v>
      </c>
      <c r="C1158" s="1" t="s">
        <v>2238</v>
      </c>
      <c r="D1158" s="1" t="s">
        <v>998</v>
      </c>
      <c r="E1158" s="1" t="s">
        <v>1493</v>
      </c>
      <c r="F1158" s="1" t="s">
        <v>966</v>
      </c>
      <c r="G1158" s="1" t="s">
        <v>1804</v>
      </c>
      <c r="H1158" s="1" t="s">
        <v>1051</v>
      </c>
      <c r="I1158" s="1" t="s">
        <v>1029</v>
      </c>
      <c r="J1158" s="1" t="s">
        <v>943</v>
      </c>
      <c r="K1158" s="1" t="s">
        <v>1430</v>
      </c>
      <c r="L1158" s="1" t="s">
        <v>1183</v>
      </c>
      <c r="M1158" s="1" t="s">
        <v>1083</v>
      </c>
      <c r="N1158">
        <f>_xlfn.NUMBERVALUE(LEFT(Table11[[#This Row],[Score]],FIND("/",Table11[[#This Row],[Score]])-1))</f>
        <v>93</v>
      </c>
      <c r="O1158">
        <f>IFERROR(_xlfn.NUMBERVALUE(LEFT(Table11[[#This Row],[Score2 ]],FIND("/",Table11[[#This Row],[Score2 ]])-1)),"")</f>
        <v>130</v>
      </c>
      <c r="P1158" t="s">
        <v>140</v>
      </c>
      <c r="Q1158" s="1" t="s">
        <v>149</v>
      </c>
      <c r="R1158" t="str">
        <f>Table11[[#This Row],[Match]]&amp;" "&amp;Table11[[#This Row],[Over]]</f>
        <v>49 25</v>
      </c>
    </row>
    <row r="1159" spans="1:18" x14ac:dyDescent="0.3">
      <c r="A1159">
        <v>49</v>
      </c>
      <c r="B1159" s="1">
        <v>26</v>
      </c>
      <c r="C1159" s="1" t="s">
        <v>3286</v>
      </c>
      <c r="D1159" s="1" t="s">
        <v>922</v>
      </c>
      <c r="E1159" s="1" t="s">
        <v>990</v>
      </c>
      <c r="F1159" s="1" t="s">
        <v>1013</v>
      </c>
      <c r="G1159" s="1" t="s">
        <v>3287</v>
      </c>
      <c r="H1159" s="1" t="s">
        <v>998</v>
      </c>
      <c r="I1159" s="1" t="s">
        <v>1085</v>
      </c>
      <c r="J1159" s="1" t="s">
        <v>1053</v>
      </c>
      <c r="K1159" s="1" t="s">
        <v>2612</v>
      </c>
      <c r="L1159" s="1" t="s">
        <v>1812</v>
      </c>
      <c r="M1159" s="1" t="s">
        <v>1090</v>
      </c>
      <c r="N1159">
        <f>_xlfn.NUMBERVALUE(LEFT(Table11[[#This Row],[Score]],FIND("/",Table11[[#This Row],[Score]])-1))</f>
        <v>99</v>
      </c>
      <c r="O1159">
        <f>IFERROR(_xlfn.NUMBERVALUE(LEFT(Table11[[#This Row],[Score2 ]],FIND("/",Table11[[#This Row],[Score2 ]])-1)),"")</f>
        <v>134</v>
      </c>
      <c r="P1159" t="s">
        <v>140</v>
      </c>
      <c r="Q1159" s="1" t="s">
        <v>149</v>
      </c>
      <c r="R1159" t="str">
        <f>Table11[[#This Row],[Match]]&amp;" "&amp;Table11[[#This Row],[Over]]</f>
        <v>49 26</v>
      </c>
    </row>
    <row r="1160" spans="1:18" x14ac:dyDescent="0.3">
      <c r="A1160">
        <v>49</v>
      </c>
      <c r="B1160" s="1">
        <v>27</v>
      </c>
      <c r="C1160" s="1" t="s">
        <v>1317</v>
      </c>
      <c r="D1160" s="1" t="s">
        <v>947</v>
      </c>
      <c r="E1160" s="1" t="s">
        <v>939</v>
      </c>
      <c r="F1160" s="1" t="s">
        <v>970</v>
      </c>
      <c r="G1160" s="1" t="s">
        <v>3288</v>
      </c>
      <c r="H1160" s="1" t="s">
        <v>950</v>
      </c>
      <c r="I1160" s="1" t="s">
        <v>1092</v>
      </c>
      <c r="J1160" s="1" t="s">
        <v>1116</v>
      </c>
      <c r="K1160" s="1" t="s">
        <v>2542</v>
      </c>
      <c r="L1160" s="1" t="s">
        <v>1927</v>
      </c>
      <c r="M1160" s="1" t="s">
        <v>1098</v>
      </c>
      <c r="N1160">
        <f>_xlfn.NUMBERVALUE(LEFT(Table11[[#This Row],[Score]],FIND("/",Table11[[#This Row],[Score]])-1))</f>
        <v>108</v>
      </c>
      <c r="O1160">
        <f>IFERROR(_xlfn.NUMBERVALUE(LEFT(Table11[[#This Row],[Score2 ]],FIND("/",Table11[[#This Row],[Score2 ]])-1)),"")</f>
        <v>139</v>
      </c>
      <c r="P1160" t="s">
        <v>140</v>
      </c>
      <c r="Q1160" s="1" t="s">
        <v>149</v>
      </c>
      <c r="R1160" t="str">
        <f>Table11[[#This Row],[Match]]&amp;" "&amp;Table11[[#This Row],[Over]]</f>
        <v>49 27</v>
      </c>
    </row>
    <row r="1161" spans="1:18" x14ac:dyDescent="0.3">
      <c r="A1161">
        <v>49</v>
      </c>
      <c r="B1161" s="1">
        <v>28</v>
      </c>
      <c r="C1161" s="1" t="s">
        <v>1326</v>
      </c>
      <c r="D1161" s="1" t="s">
        <v>916</v>
      </c>
      <c r="E1161" s="1" t="s">
        <v>1483</v>
      </c>
      <c r="F1161" s="1" t="s">
        <v>943</v>
      </c>
      <c r="G1161" s="1" t="s">
        <v>3214</v>
      </c>
      <c r="H1161" s="1" t="s">
        <v>968</v>
      </c>
      <c r="I1161" s="1" t="s">
        <v>969</v>
      </c>
      <c r="J1161" s="1" t="s">
        <v>934</v>
      </c>
      <c r="K1161" s="1" t="s">
        <v>899</v>
      </c>
      <c r="L1161" s="1" t="s">
        <v>1654</v>
      </c>
      <c r="M1161" s="1" t="s">
        <v>1101</v>
      </c>
      <c r="N1161">
        <f>_xlfn.NUMBERVALUE(LEFT(Table11[[#This Row],[Score]],FIND("/",Table11[[#This Row],[Score]])-1))</f>
        <v>115</v>
      </c>
      <c r="O1161">
        <f>IFERROR(_xlfn.NUMBERVALUE(LEFT(Table11[[#This Row],[Score2 ]],FIND("/",Table11[[#This Row],[Score2 ]])-1)),"")</f>
        <v>140</v>
      </c>
      <c r="P1161" t="s">
        <v>140</v>
      </c>
      <c r="Q1161" s="1" t="s">
        <v>149</v>
      </c>
      <c r="R1161" t="str">
        <f>Table11[[#This Row],[Match]]&amp;" "&amp;Table11[[#This Row],[Over]]</f>
        <v>49 28</v>
      </c>
    </row>
    <row r="1162" spans="1:18" x14ac:dyDescent="0.3">
      <c r="A1162">
        <v>49</v>
      </c>
      <c r="B1162" s="1">
        <v>29</v>
      </c>
      <c r="C1162" s="1" t="s">
        <v>3289</v>
      </c>
      <c r="D1162" s="1" t="s">
        <v>904</v>
      </c>
      <c r="E1162" s="1" t="s">
        <v>1288</v>
      </c>
      <c r="F1162" s="1" t="s">
        <v>1013</v>
      </c>
      <c r="G1162" s="1" t="s">
        <v>2144</v>
      </c>
      <c r="H1162" s="1" t="s">
        <v>1051</v>
      </c>
      <c r="I1162" s="1" t="s">
        <v>1029</v>
      </c>
      <c r="J1162" s="1" t="s">
        <v>943</v>
      </c>
      <c r="K1162" s="1" t="s">
        <v>3290</v>
      </c>
      <c r="L1162" s="1" t="s">
        <v>2572</v>
      </c>
      <c r="M1162" s="1" t="s">
        <v>1108</v>
      </c>
      <c r="N1162">
        <f>_xlfn.NUMBERVALUE(LEFT(Table11[[#This Row],[Score]],FIND("/",Table11[[#This Row],[Score]])-1))</f>
        <v>118</v>
      </c>
      <c r="O1162">
        <f>IFERROR(_xlfn.NUMBERVALUE(LEFT(Table11[[#This Row],[Score2 ]],FIND("/",Table11[[#This Row],[Score2 ]])-1)),"")</f>
        <v>151</v>
      </c>
      <c r="P1162" t="s">
        <v>140</v>
      </c>
      <c r="Q1162" s="1" t="s">
        <v>149</v>
      </c>
      <c r="R1162" t="str">
        <f>Table11[[#This Row],[Match]]&amp;" "&amp;Table11[[#This Row],[Over]]</f>
        <v>49 29</v>
      </c>
    </row>
    <row r="1163" spans="1:18" x14ac:dyDescent="0.3">
      <c r="A1163">
        <v>49</v>
      </c>
      <c r="B1163" s="1">
        <v>30</v>
      </c>
      <c r="C1163" s="1" t="s">
        <v>1329</v>
      </c>
      <c r="D1163" s="1" t="s">
        <v>904</v>
      </c>
      <c r="E1163" s="1" t="s">
        <v>2021</v>
      </c>
      <c r="F1163" s="1" t="s">
        <v>934</v>
      </c>
      <c r="G1163" s="1" t="s">
        <v>3291</v>
      </c>
      <c r="H1163" s="1" t="s">
        <v>922</v>
      </c>
      <c r="I1163" s="1" t="s">
        <v>2718</v>
      </c>
      <c r="J1163" s="1" t="s">
        <v>966</v>
      </c>
      <c r="K1163" s="1" t="s">
        <v>2561</v>
      </c>
      <c r="L1163" s="1" t="s">
        <v>1706</v>
      </c>
      <c r="M1163" s="1" t="s">
        <v>1113</v>
      </c>
      <c r="N1163">
        <f>_xlfn.NUMBERVALUE(LEFT(Table11[[#This Row],[Score]],FIND("/",Table11[[#This Row],[Score]])-1))</f>
        <v>121</v>
      </c>
      <c r="O1163">
        <f>IFERROR(_xlfn.NUMBERVALUE(LEFT(Table11[[#This Row],[Score2 ]],FIND("/",Table11[[#This Row],[Score2 ]])-1)),"")</f>
        <v>157</v>
      </c>
      <c r="P1163" t="s">
        <v>140</v>
      </c>
      <c r="Q1163" s="1" t="s">
        <v>149</v>
      </c>
      <c r="R1163" t="str">
        <f>Table11[[#This Row],[Match]]&amp;" "&amp;Table11[[#This Row],[Over]]</f>
        <v>49 30</v>
      </c>
    </row>
    <row r="1164" spans="1:18" x14ac:dyDescent="0.3">
      <c r="A1164">
        <v>49</v>
      </c>
      <c r="B1164" s="1">
        <v>31</v>
      </c>
      <c r="C1164" s="1" t="s">
        <v>2027</v>
      </c>
      <c r="D1164" s="1" t="s">
        <v>950</v>
      </c>
      <c r="E1164" s="1" t="s">
        <v>1288</v>
      </c>
      <c r="F1164" s="1" t="s">
        <v>966</v>
      </c>
      <c r="G1164" s="1" t="s">
        <v>3292</v>
      </c>
      <c r="H1164" s="1" t="s">
        <v>1566</v>
      </c>
      <c r="I1164" s="1" t="s">
        <v>1752</v>
      </c>
      <c r="J1164" s="1" t="s">
        <v>1089</v>
      </c>
      <c r="K1164" s="1" t="s">
        <v>3293</v>
      </c>
      <c r="L1164" s="1" t="s">
        <v>1095</v>
      </c>
      <c r="M1164" s="1" t="s">
        <v>1121</v>
      </c>
      <c r="N1164">
        <f>_xlfn.NUMBERVALUE(LEFT(Table11[[#This Row],[Score]],FIND("/",Table11[[#This Row],[Score]])-1))</f>
        <v>126</v>
      </c>
      <c r="O1164">
        <f>IFERROR(_xlfn.NUMBERVALUE(LEFT(Table11[[#This Row],[Score2 ]],FIND("/",Table11[[#This Row],[Score2 ]])-1)),"")</f>
        <v>174</v>
      </c>
      <c r="P1164" t="s">
        <v>140</v>
      </c>
      <c r="Q1164" s="1" t="s">
        <v>149</v>
      </c>
      <c r="R1164" t="str">
        <f>Table11[[#This Row],[Match]]&amp;" "&amp;Table11[[#This Row],[Over]]</f>
        <v>49 31</v>
      </c>
    </row>
    <row r="1165" spans="1:18" x14ac:dyDescent="0.3">
      <c r="A1165">
        <v>49</v>
      </c>
      <c r="B1165" s="1">
        <v>32</v>
      </c>
      <c r="C1165" s="1" t="s">
        <v>2029</v>
      </c>
      <c r="D1165" s="1" t="s">
        <v>922</v>
      </c>
      <c r="E1165" s="1" t="s">
        <v>2897</v>
      </c>
      <c r="F1165" s="1" t="s">
        <v>1093</v>
      </c>
      <c r="G1165" s="1" t="s">
        <v>3294</v>
      </c>
      <c r="H1165" s="1" t="s">
        <v>922</v>
      </c>
      <c r="I1165" s="1" t="s">
        <v>2268</v>
      </c>
      <c r="J1165" s="1" t="s">
        <v>1405</v>
      </c>
      <c r="K1165" s="1" t="s">
        <v>3295</v>
      </c>
      <c r="L1165" s="1" t="s">
        <v>998</v>
      </c>
      <c r="M1165" s="1" t="s">
        <v>1127</v>
      </c>
      <c r="N1165">
        <f>_xlfn.NUMBERVALUE(LEFT(Table11[[#This Row],[Score]],FIND("/",Table11[[#This Row],[Score]])-1))</f>
        <v>132</v>
      </c>
      <c r="O1165">
        <f>IFERROR(_xlfn.NUMBERVALUE(LEFT(Table11[[#This Row],[Score2 ]],FIND("/",Table11[[#This Row],[Score2 ]])-1)),"")</f>
        <v>180</v>
      </c>
      <c r="P1165" t="s">
        <v>140</v>
      </c>
      <c r="Q1165" s="1" t="s">
        <v>149</v>
      </c>
      <c r="R1165" t="str">
        <f>Table11[[#This Row],[Match]]&amp;" "&amp;Table11[[#This Row],[Over]]</f>
        <v>49 32</v>
      </c>
    </row>
    <row r="1166" spans="1:18" x14ac:dyDescent="0.3">
      <c r="A1166">
        <v>49</v>
      </c>
      <c r="B1166" s="1">
        <v>33</v>
      </c>
      <c r="C1166" s="1" t="s">
        <v>2716</v>
      </c>
      <c r="D1166" s="1" t="s">
        <v>898</v>
      </c>
      <c r="E1166" s="1" t="s">
        <v>1288</v>
      </c>
      <c r="F1166" s="1" t="s">
        <v>990</v>
      </c>
      <c r="G1166" s="1" t="s">
        <v>2852</v>
      </c>
      <c r="H1166" s="1" t="s">
        <v>898</v>
      </c>
      <c r="I1166" s="1" t="s">
        <v>1378</v>
      </c>
      <c r="J1166" s="1" t="s">
        <v>1335</v>
      </c>
      <c r="K1166" s="1" t="s">
        <v>3296</v>
      </c>
      <c r="L1166" s="1" t="s">
        <v>898</v>
      </c>
      <c r="M1166" s="1" t="s">
        <v>1132</v>
      </c>
      <c r="N1166">
        <f>_xlfn.NUMBERVALUE(LEFT(Table11[[#This Row],[Score]],FIND("/",Table11[[#This Row],[Score]])-1))</f>
        <v>134</v>
      </c>
      <c r="O1166">
        <f>IFERROR(_xlfn.NUMBERVALUE(LEFT(Table11[[#This Row],[Score2 ]],FIND("/",Table11[[#This Row],[Score2 ]])-1)),"")</f>
        <v>182</v>
      </c>
      <c r="P1166" t="s">
        <v>140</v>
      </c>
      <c r="Q1166" s="1" t="s">
        <v>149</v>
      </c>
      <c r="R1166" t="str">
        <f>Table11[[#This Row],[Match]]&amp;" "&amp;Table11[[#This Row],[Over]]</f>
        <v>49 33</v>
      </c>
    </row>
    <row r="1167" spans="1:18" x14ac:dyDescent="0.3">
      <c r="A1167">
        <v>49</v>
      </c>
      <c r="B1167" s="1">
        <v>34</v>
      </c>
      <c r="C1167" s="1" t="s">
        <v>2711</v>
      </c>
      <c r="D1167" s="1" t="s">
        <v>930</v>
      </c>
      <c r="E1167" s="1" t="s">
        <v>2652</v>
      </c>
      <c r="F1167" s="1" t="s">
        <v>1093</v>
      </c>
      <c r="G1167" s="1" t="s">
        <v>3297</v>
      </c>
      <c r="H1167" s="1" t="s">
        <v>1688</v>
      </c>
      <c r="I1167" s="1" t="s">
        <v>3298</v>
      </c>
      <c r="J1167" s="1" t="s">
        <v>3299</v>
      </c>
      <c r="K1167" s="1" t="s">
        <v>1622</v>
      </c>
      <c r="L1167" s="1" t="s">
        <v>1007</v>
      </c>
      <c r="M1167" s="1" t="s">
        <v>1189</v>
      </c>
      <c r="N1167">
        <f>_xlfn.NUMBERVALUE(LEFT(Table11[[#This Row],[Score]],FIND("/",Table11[[#This Row],[Score]])-1))</f>
        <v>142</v>
      </c>
      <c r="O1167">
        <f>IFERROR(_xlfn.NUMBERVALUE(LEFT(Table11[[#This Row],[Score2 ]],FIND("/",Table11[[#This Row],[Score2 ]])-1)),"")</f>
        <v>186</v>
      </c>
      <c r="P1167" t="s">
        <v>140</v>
      </c>
      <c r="Q1167" s="1" t="s">
        <v>149</v>
      </c>
      <c r="R1167" t="str">
        <f>Table11[[#This Row],[Match]]&amp;" "&amp;Table11[[#This Row],[Over]]</f>
        <v>49 34</v>
      </c>
    </row>
    <row r="1168" spans="1:18" x14ac:dyDescent="0.3">
      <c r="A1168">
        <v>49</v>
      </c>
      <c r="B1168" s="1">
        <v>35</v>
      </c>
      <c r="C1168" s="1" t="s">
        <v>3300</v>
      </c>
      <c r="D1168" s="1" t="s">
        <v>930</v>
      </c>
      <c r="E1168" s="1" t="s">
        <v>1124</v>
      </c>
      <c r="F1168" s="1" t="s">
        <v>1013</v>
      </c>
      <c r="N1168">
        <f>_xlfn.NUMBERVALUE(LEFT(Table11[[#This Row],[Score]],FIND("/",Table11[[#This Row],[Score]])-1))</f>
        <v>150</v>
      </c>
      <c r="O1168" t="str">
        <f>IFERROR(_xlfn.NUMBERVALUE(LEFT(Table11[[#This Row],[Score2 ]],FIND("/",Table11[[#This Row],[Score2 ]])-1)),"")</f>
        <v/>
      </c>
      <c r="P1168" t="s">
        <v>140</v>
      </c>
      <c r="Q1168" s="1" t="s">
        <v>149</v>
      </c>
      <c r="R1168" t="str">
        <f>Table11[[#This Row],[Match]]&amp;" "&amp;Table11[[#This Row],[Over]]</f>
        <v>49 35</v>
      </c>
    </row>
    <row r="1169" spans="1:18" x14ac:dyDescent="0.3">
      <c r="A1169">
        <v>49</v>
      </c>
      <c r="B1169" s="1">
        <v>36</v>
      </c>
      <c r="C1169" s="1" t="s">
        <v>3301</v>
      </c>
      <c r="D1169" s="1" t="s">
        <v>1007</v>
      </c>
      <c r="E1169" s="1" t="s">
        <v>1632</v>
      </c>
      <c r="F1169" s="1" t="s">
        <v>1093</v>
      </c>
      <c r="N1169">
        <f>_xlfn.NUMBERVALUE(LEFT(Table11[[#This Row],[Score]],FIND("/",Table11[[#This Row],[Score]])-1))</f>
        <v>150</v>
      </c>
      <c r="O1169" t="str">
        <f>IFERROR(_xlfn.NUMBERVALUE(LEFT(Table11[[#This Row],[Score2 ]],FIND("/",Table11[[#This Row],[Score2 ]])-1)),"")</f>
        <v/>
      </c>
      <c r="P1169" t="s">
        <v>140</v>
      </c>
      <c r="Q1169" s="1" t="s">
        <v>149</v>
      </c>
      <c r="R1169" t="str">
        <f>Table11[[#This Row],[Match]]&amp;" "&amp;Table11[[#This Row],[Over]]</f>
        <v>49 36</v>
      </c>
    </row>
    <row r="1170" spans="1:18" x14ac:dyDescent="0.3">
      <c r="A1170">
        <v>49</v>
      </c>
      <c r="B1170" s="1">
        <v>37</v>
      </c>
      <c r="C1170" s="1" t="s">
        <v>3302</v>
      </c>
      <c r="D1170" s="1" t="s">
        <v>968</v>
      </c>
      <c r="E1170" s="1" t="s">
        <v>1500</v>
      </c>
      <c r="F1170" s="1" t="s">
        <v>990</v>
      </c>
      <c r="N1170">
        <f>_xlfn.NUMBERVALUE(LEFT(Table11[[#This Row],[Score]],FIND("/",Table11[[#This Row],[Score]])-1))</f>
        <v>151</v>
      </c>
      <c r="O1170" t="str">
        <f>IFERROR(_xlfn.NUMBERVALUE(LEFT(Table11[[#This Row],[Score2 ]],FIND("/",Table11[[#This Row],[Score2 ]])-1)),"")</f>
        <v/>
      </c>
      <c r="P1170" t="s">
        <v>140</v>
      </c>
      <c r="Q1170" s="1" t="s">
        <v>149</v>
      </c>
      <c r="R1170" t="str">
        <f>Table11[[#This Row],[Match]]&amp;" "&amp;Table11[[#This Row],[Over]]</f>
        <v>49 37</v>
      </c>
    </row>
    <row r="1171" spans="1:18" x14ac:dyDescent="0.3">
      <c r="A1171">
        <v>49</v>
      </c>
      <c r="B1171" s="1">
        <v>38</v>
      </c>
      <c r="C1171" s="1" t="s">
        <v>2278</v>
      </c>
      <c r="D1171" s="1" t="s">
        <v>922</v>
      </c>
      <c r="E1171" s="1" t="s">
        <v>1964</v>
      </c>
      <c r="F1171" s="1" t="s">
        <v>976</v>
      </c>
      <c r="N1171">
        <f>_xlfn.NUMBERVALUE(LEFT(Table11[[#This Row],[Score]],FIND("/",Table11[[#This Row],[Score]])-1))</f>
        <v>157</v>
      </c>
      <c r="O1171" t="str">
        <f>IFERROR(_xlfn.NUMBERVALUE(LEFT(Table11[[#This Row],[Score2 ]],FIND("/",Table11[[#This Row],[Score2 ]])-1)),"")</f>
        <v/>
      </c>
      <c r="P1171" t="s">
        <v>140</v>
      </c>
      <c r="Q1171" s="1" t="s">
        <v>149</v>
      </c>
      <c r="R1171" t="str">
        <f>Table11[[#This Row],[Match]]&amp;" "&amp;Table11[[#This Row],[Over]]</f>
        <v>49 38</v>
      </c>
    </row>
    <row r="1172" spans="1:18" x14ac:dyDescent="0.3">
      <c r="A1172">
        <v>49</v>
      </c>
      <c r="B1172" s="1">
        <v>39</v>
      </c>
      <c r="C1172" s="1" t="s">
        <v>2048</v>
      </c>
      <c r="D1172" s="1" t="s">
        <v>898</v>
      </c>
      <c r="E1172" s="1" t="s">
        <v>2632</v>
      </c>
      <c r="F1172" s="1" t="s">
        <v>1247</v>
      </c>
      <c r="N1172">
        <f>_xlfn.NUMBERVALUE(LEFT(Table11[[#This Row],[Score]],FIND("/",Table11[[#This Row],[Score]])-1))</f>
        <v>159</v>
      </c>
      <c r="O1172" t="str">
        <f>IFERROR(_xlfn.NUMBERVALUE(LEFT(Table11[[#This Row],[Score2 ]],FIND("/",Table11[[#This Row],[Score2 ]])-1)),"")</f>
        <v/>
      </c>
      <c r="P1172" t="s">
        <v>140</v>
      </c>
      <c r="Q1172" s="1" t="s">
        <v>149</v>
      </c>
      <c r="R1172" t="str">
        <f>Table11[[#This Row],[Match]]&amp;" "&amp;Table11[[#This Row],[Over]]</f>
        <v>49 39</v>
      </c>
    </row>
    <row r="1173" spans="1:18" x14ac:dyDescent="0.3">
      <c r="A1173">
        <v>49</v>
      </c>
      <c r="B1173" s="1">
        <v>40</v>
      </c>
      <c r="C1173" s="1" t="s">
        <v>2053</v>
      </c>
      <c r="D1173" s="1" t="s">
        <v>922</v>
      </c>
      <c r="E1173" s="1" t="s">
        <v>2897</v>
      </c>
      <c r="F1173" s="1" t="s">
        <v>1238</v>
      </c>
      <c r="N1173">
        <f>_xlfn.NUMBERVALUE(LEFT(Table11[[#This Row],[Score]],FIND("/",Table11[[#This Row],[Score]])-1))</f>
        <v>165</v>
      </c>
      <c r="O1173" t="str">
        <f>IFERROR(_xlfn.NUMBERVALUE(LEFT(Table11[[#This Row],[Score2 ]],FIND("/",Table11[[#This Row],[Score2 ]])-1)),"")</f>
        <v/>
      </c>
      <c r="P1173" t="s">
        <v>140</v>
      </c>
      <c r="Q1173" s="1" t="s">
        <v>149</v>
      </c>
      <c r="R1173" t="str">
        <f>Table11[[#This Row],[Match]]&amp;" "&amp;Table11[[#This Row],[Over]]</f>
        <v>49 40</v>
      </c>
    </row>
    <row r="1174" spans="1:18" x14ac:dyDescent="0.3">
      <c r="A1174">
        <v>49</v>
      </c>
      <c r="B1174" s="1">
        <v>41</v>
      </c>
      <c r="C1174" s="1" t="s">
        <v>3303</v>
      </c>
      <c r="D1174" s="1" t="s">
        <v>898</v>
      </c>
      <c r="E1174" s="1" t="s">
        <v>2632</v>
      </c>
      <c r="F1174" s="1" t="s">
        <v>1247</v>
      </c>
      <c r="N1174">
        <f>_xlfn.NUMBERVALUE(LEFT(Table11[[#This Row],[Score]],FIND("/",Table11[[#This Row],[Score]])-1))</f>
        <v>167</v>
      </c>
      <c r="O1174" t="str">
        <f>IFERROR(_xlfn.NUMBERVALUE(LEFT(Table11[[#This Row],[Score2 ]],FIND("/",Table11[[#This Row],[Score2 ]])-1)),"")</f>
        <v/>
      </c>
      <c r="P1174" t="s">
        <v>140</v>
      </c>
      <c r="Q1174" s="1" t="s">
        <v>149</v>
      </c>
      <c r="R1174" t="str">
        <f>Table11[[#This Row],[Match]]&amp;" "&amp;Table11[[#This Row],[Over]]</f>
        <v>49 41</v>
      </c>
    </row>
    <row r="1175" spans="1:18" x14ac:dyDescent="0.3">
      <c r="A1175">
        <v>49</v>
      </c>
      <c r="B1175" s="1">
        <v>42</v>
      </c>
      <c r="C1175" s="1" t="s">
        <v>3304</v>
      </c>
      <c r="D1175" s="1" t="s">
        <v>998</v>
      </c>
      <c r="E1175" s="1" t="s">
        <v>2632</v>
      </c>
      <c r="F1175" s="1" t="s">
        <v>939</v>
      </c>
      <c r="N1175">
        <f>_xlfn.NUMBERVALUE(LEFT(Table11[[#This Row],[Score]],FIND("/",Table11[[#This Row],[Score]])-1))</f>
        <v>171</v>
      </c>
      <c r="O1175" t="str">
        <f>IFERROR(_xlfn.NUMBERVALUE(LEFT(Table11[[#This Row],[Score2 ]],FIND("/",Table11[[#This Row],[Score2 ]])-1)),"")</f>
        <v/>
      </c>
      <c r="P1175" t="s">
        <v>140</v>
      </c>
      <c r="Q1175" s="1" t="s">
        <v>149</v>
      </c>
      <c r="R1175" t="str">
        <f>Table11[[#This Row],[Match]]&amp;" "&amp;Table11[[#This Row],[Over]]</f>
        <v>49 42</v>
      </c>
    </row>
    <row r="1176" spans="1:18" x14ac:dyDescent="0.3">
      <c r="A1176">
        <v>49</v>
      </c>
      <c r="B1176" s="1">
        <v>43</v>
      </c>
      <c r="C1176" s="1" t="s">
        <v>3305</v>
      </c>
      <c r="D1176" s="1" t="s">
        <v>916</v>
      </c>
      <c r="E1176" s="1" t="s">
        <v>1964</v>
      </c>
      <c r="F1176" s="1" t="s">
        <v>931</v>
      </c>
      <c r="N1176">
        <f>_xlfn.NUMBERVALUE(LEFT(Table11[[#This Row],[Score]],FIND("/",Table11[[#This Row],[Score]])-1))</f>
        <v>178</v>
      </c>
      <c r="O1176" t="str">
        <f>IFERROR(_xlfn.NUMBERVALUE(LEFT(Table11[[#This Row],[Score2 ]],FIND("/",Table11[[#This Row],[Score2 ]])-1)),"")</f>
        <v/>
      </c>
      <c r="P1176" t="s">
        <v>140</v>
      </c>
      <c r="Q1176" s="1" t="s">
        <v>149</v>
      </c>
      <c r="R1176" t="str">
        <f>Table11[[#This Row],[Match]]&amp;" "&amp;Table11[[#This Row],[Over]]</f>
        <v>49 43</v>
      </c>
    </row>
    <row r="1177" spans="1:18" x14ac:dyDescent="0.3">
      <c r="A1177">
        <v>49</v>
      </c>
      <c r="B1177" s="1">
        <v>44</v>
      </c>
      <c r="C1177" s="1" t="s">
        <v>3306</v>
      </c>
      <c r="D1177" s="1" t="s">
        <v>904</v>
      </c>
      <c r="E1177" s="1" t="s">
        <v>1297</v>
      </c>
      <c r="F1177" s="1" t="s">
        <v>940</v>
      </c>
      <c r="N1177">
        <f>_xlfn.NUMBERVALUE(LEFT(Table11[[#This Row],[Score]],FIND("/",Table11[[#This Row],[Score]])-1))</f>
        <v>181</v>
      </c>
      <c r="O1177" t="str">
        <f>IFERROR(_xlfn.NUMBERVALUE(LEFT(Table11[[#This Row],[Score2 ]],FIND("/",Table11[[#This Row],[Score2 ]])-1)),"")</f>
        <v/>
      </c>
      <c r="P1177" t="s">
        <v>140</v>
      </c>
      <c r="Q1177" s="1" t="s">
        <v>149</v>
      </c>
      <c r="R1177" t="str">
        <f>Table11[[#This Row],[Match]]&amp;" "&amp;Table11[[#This Row],[Over]]</f>
        <v>49 44</v>
      </c>
    </row>
    <row r="1178" spans="1:18" x14ac:dyDescent="0.3">
      <c r="A1178">
        <v>49</v>
      </c>
      <c r="B1178" s="1">
        <v>45</v>
      </c>
      <c r="C1178" s="1" t="s">
        <v>3307</v>
      </c>
      <c r="D1178" s="1" t="s">
        <v>898</v>
      </c>
      <c r="E1178" s="1" t="s">
        <v>1288</v>
      </c>
      <c r="F1178" s="1" t="s">
        <v>977</v>
      </c>
      <c r="N1178">
        <f>_xlfn.NUMBERVALUE(LEFT(Table11[[#This Row],[Score]],FIND("/",Table11[[#This Row],[Score]])-1))</f>
        <v>183</v>
      </c>
      <c r="O1178" t="str">
        <f>IFERROR(_xlfn.NUMBERVALUE(LEFT(Table11[[#This Row],[Score2 ]],FIND("/",Table11[[#This Row],[Score2 ]])-1)),"")</f>
        <v/>
      </c>
      <c r="P1178" t="s">
        <v>140</v>
      </c>
      <c r="Q1178" s="1" t="s">
        <v>149</v>
      </c>
      <c r="R1178" t="str">
        <f>Table11[[#This Row],[Match]]&amp;" "&amp;Table11[[#This Row],[Over]]</f>
        <v>49 45</v>
      </c>
    </row>
    <row r="1179" spans="1:18" x14ac:dyDescent="0.3">
      <c r="A1179">
        <v>16</v>
      </c>
      <c r="B1179" s="1">
        <v>1</v>
      </c>
      <c r="C1179" s="1" t="s">
        <v>1418</v>
      </c>
      <c r="D1179" s="1" t="s">
        <v>904</v>
      </c>
      <c r="E1179" s="1" t="s">
        <v>1238</v>
      </c>
      <c r="F1179" s="1" t="s">
        <v>348</v>
      </c>
      <c r="G1179" s="1" t="s">
        <v>906</v>
      </c>
      <c r="H1179" s="1" t="s">
        <v>998</v>
      </c>
      <c r="I1179" s="1" t="s">
        <v>939</v>
      </c>
      <c r="J1179" s="1" t="s">
        <v>348</v>
      </c>
      <c r="K1179" s="1" t="s">
        <v>1752</v>
      </c>
      <c r="L1179" s="1" t="s">
        <v>2341</v>
      </c>
      <c r="M1179" s="1" t="s">
        <v>902</v>
      </c>
      <c r="N1179">
        <f>_xlfn.NUMBERVALUE(LEFT(Table11[[#This Row],[Score]],FIND("/",Table11[[#This Row],[Score]])-1))</f>
        <v>3</v>
      </c>
      <c r="O1179">
        <f>IFERROR(_xlfn.NUMBERVALUE(LEFT(Table11[[#This Row],[Score2 ]],FIND("/",Table11[[#This Row],[Score2 ]])-1)),"")</f>
        <v>4</v>
      </c>
      <c r="P1179" t="s">
        <v>164</v>
      </c>
      <c r="Q1179" s="1" t="s">
        <v>169</v>
      </c>
      <c r="R1179" t="str">
        <f>Table11[[#This Row],[Match]]&amp;" "&amp;Table11[[#This Row],[Over]]</f>
        <v>16 1</v>
      </c>
    </row>
    <row r="1180" spans="1:18" x14ac:dyDescent="0.3">
      <c r="A1180">
        <v>16</v>
      </c>
      <c r="B1180" s="1">
        <v>2</v>
      </c>
      <c r="C1180" s="1" t="s">
        <v>1721</v>
      </c>
      <c r="D1180" s="1" t="s">
        <v>950</v>
      </c>
      <c r="E1180" s="1" t="s">
        <v>939</v>
      </c>
      <c r="F1180" s="1" t="s">
        <v>348</v>
      </c>
      <c r="G1180" s="1" t="s">
        <v>2988</v>
      </c>
      <c r="H1180" s="1" t="s">
        <v>898</v>
      </c>
      <c r="I1180" s="1" t="s">
        <v>1238</v>
      </c>
      <c r="J1180" s="1" t="s">
        <v>348</v>
      </c>
      <c r="K1180" s="1" t="s">
        <v>1761</v>
      </c>
      <c r="L1180" s="1" t="s">
        <v>936</v>
      </c>
      <c r="M1180" s="1" t="s">
        <v>909</v>
      </c>
      <c r="N1180">
        <f>_xlfn.NUMBERVALUE(LEFT(Table11[[#This Row],[Score]],FIND("/",Table11[[#This Row],[Score]])-1))</f>
        <v>8</v>
      </c>
      <c r="O1180">
        <f>IFERROR(_xlfn.NUMBERVALUE(LEFT(Table11[[#This Row],[Score2 ]],FIND("/",Table11[[#This Row],[Score2 ]])-1)),"")</f>
        <v>6</v>
      </c>
      <c r="P1180" t="s">
        <v>164</v>
      </c>
      <c r="Q1180" s="1" t="s">
        <v>169</v>
      </c>
      <c r="R1180" t="str">
        <f>Table11[[#This Row],[Match]]&amp;" "&amp;Table11[[#This Row],[Over]]</f>
        <v>16 2</v>
      </c>
    </row>
    <row r="1181" spans="1:18" x14ac:dyDescent="0.3">
      <c r="A1181">
        <v>16</v>
      </c>
      <c r="B1181" s="1">
        <v>3</v>
      </c>
      <c r="C1181" s="1" t="s">
        <v>1725</v>
      </c>
      <c r="D1181" s="1" t="s">
        <v>930</v>
      </c>
      <c r="E1181" s="1" t="s">
        <v>2110</v>
      </c>
      <c r="F1181" s="1" t="s">
        <v>348</v>
      </c>
      <c r="G1181" s="1" t="s">
        <v>2988</v>
      </c>
      <c r="H1181" s="1" t="s">
        <v>1007</v>
      </c>
      <c r="I1181" s="1" t="s">
        <v>899</v>
      </c>
      <c r="J1181" s="1" t="s">
        <v>348</v>
      </c>
      <c r="K1181" s="1" t="s">
        <v>1013</v>
      </c>
      <c r="L1181" s="1" t="s">
        <v>936</v>
      </c>
      <c r="M1181" s="1" t="s">
        <v>920</v>
      </c>
      <c r="N1181">
        <f>_xlfn.NUMBERVALUE(LEFT(Table11[[#This Row],[Score]],FIND("/",Table11[[#This Row],[Score]])-1))</f>
        <v>16</v>
      </c>
      <c r="O1181">
        <f>IFERROR(_xlfn.NUMBERVALUE(LEFT(Table11[[#This Row],[Score2 ]],FIND("/",Table11[[#This Row],[Score2 ]])-1)),"")</f>
        <v>6</v>
      </c>
      <c r="P1181" t="s">
        <v>164</v>
      </c>
      <c r="Q1181" s="1" t="s">
        <v>169</v>
      </c>
      <c r="R1181" t="str">
        <f>Table11[[#This Row],[Match]]&amp;" "&amp;Table11[[#This Row],[Over]]</f>
        <v>16 3</v>
      </c>
    </row>
    <row r="1182" spans="1:18" x14ac:dyDescent="0.3">
      <c r="A1182">
        <v>16</v>
      </c>
      <c r="B1182" s="1">
        <v>4</v>
      </c>
      <c r="C1182" s="1" t="s">
        <v>1730</v>
      </c>
      <c r="D1182" s="1" t="s">
        <v>916</v>
      </c>
      <c r="E1182" s="1" t="s">
        <v>1601</v>
      </c>
      <c r="F1182" s="1" t="s">
        <v>348</v>
      </c>
      <c r="G1182" s="1" t="s">
        <v>1245</v>
      </c>
      <c r="H1182" s="1" t="s">
        <v>998</v>
      </c>
      <c r="I1182" s="1" t="s">
        <v>905</v>
      </c>
      <c r="J1182" s="1" t="s">
        <v>348</v>
      </c>
      <c r="K1182" s="1" t="s">
        <v>2363</v>
      </c>
      <c r="L1182" s="1" t="s">
        <v>2343</v>
      </c>
      <c r="M1182" s="1" t="s">
        <v>928</v>
      </c>
      <c r="N1182">
        <f>_xlfn.NUMBERVALUE(LEFT(Table11[[#This Row],[Score]],FIND("/",Table11[[#This Row],[Score]])-1))</f>
        <v>23</v>
      </c>
      <c r="O1182">
        <f>IFERROR(_xlfn.NUMBERVALUE(LEFT(Table11[[#This Row],[Score2 ]],FIND("/",Table11[[#This Row],[Score2 ]])-1)),"")</f>
        <v>10</v>
      </c>
      <c r="P1182" t="s">
        <v>164</v>
      </c>
      <c r="Q1182" s="1" t="s">
        <v>169</v>
      </c>
      <c r="R1182" t="str">
        <f>Table11[[#This Row],[Match]]&amp;" "&amp;Table11[[#This Row],[Over]]</f>
        <v>16 4</v>
      </c>
    </row>
    <row r="1183" spans="1:18" x14ac:dyDescent="0.3">
      <c r="A1183">
        <v>16</v>
      </c>
      <c r="B1183" s="1">
        <v>5</v>
      </c>
      <c r="C1183" s="1" t="s">
        <v>1973</v>
      </c>
      <c r="D1183" s="1" t="s">
        <v>904</v>
      </c>
      <c r="E1183" s="1" t="s">
        <v>1029</v>
      </c>
      <c r="F1183" s="1" t="s">
        <v>1029</v>
      </c>
      <c r="G1183" s="1" t="s">
        <v>1423</v>
      </c>
      <c r="H1183" s="1" t="s">
        <v>904</v>
      </c>
      <c r="I1183" s="1" t="s">
        <v>984</v>
      </c>
      <c r="J1183" s="1" t="s">
        <v>984</v>
      </c>
      <c r="K1183" s="1" t="s">
        <v>1422</v>
      </c>
      <c r="L1183" s="1" t="s">
        <v>2597</v>
      </c>
      <c r="M1183" s="1" t="s">
        <v>937</v>
      </c>
      <c r="N1183">
        <f>_xlfn.NUMBERVALUE(LEFT(Table11[[#This Row],[Score]],FIND("/",Table11[[#This Row],[Score]])-1))</f>
        <v>26</v>
      </c>
      <c r="O1183">
        <f>IFERROR(_xlfn.NUMBERVALUE(LEFT(Table11[[#This Row],[Score2 ]],FIND("/",Table11[[#This Row],[Score2 ]])-1)),"")</f>
        <v>13</v>
      </c>
      <c r="P1183" t="s">
        <v>164</v>
      </c>
      <c r="Q1183" s="1" t="s">
        <v>169</v>
      </c>
      <c r="R1183" t="str">
        <f>Table11[[#This Row],[Match]]&amp;" "&amp;Table11[[#This Row],[Over]]</f>
        <v>16 5</v>
      </c>
    </row>
    <row r="1184" spans="1:18" x14ac:dyDescent="0.3">
      <c r="A1184">
        <v>16</v>
      </c>
      <c r="B1184" s="1">
        <v>6</v>
      </c>
      <c r="C1184" s="1" t="s">
        <v>1724</v>
      </c>
      <c r="D1184" s="1" t="s">
        <v>968</v>
      </c>
      <c r="E1184" s="1" t="s">
        <v>1021</v>
      </c>
      <c r="F1184" s="1" t="s">
        <v>1093</v>
      </c>
      <c r="G1184" s="1" t="s">
        <v>924</v>
      </c>
      <c r="H1184" s="1" t="s">
        <v>968</v>
      </c>
      <c r="I1184" s="1" t="s">
        <v>914</v>
      </c>
      <c r="J1184" s="1" t="s">
        <v>899</v>
      </c>
      <c r="K1184" s="1" t="s">
        <v>1218</v>
      </c>
      <c r="L1184" s="1" t="s">
        <v>1275</v>
      </c>
      <c r="M1184" s="1" t="s">
        <v>945</v>
      </c>
      <c r="N1184">
        <f>_xlfn.NUMBERVALUE(LEFT(Table11[[#This Row],[Score]],FIND("/",Table11[[#This Row],[Score]])-1))</f>
        <v>27</v>
      </c>
      <c r="O1184">
        <f>IFERROR(_xlfn.NUMBERVALUE(LEFT(Table11[[#This Row],[Score2 ]],FIND("/",Table11[[#This Row],[Score2 ]])-1)),"")</f>
        <v>14</v>
      </c>
      <c r="P1184" t="s">
        <v>164</v>
      </c>
      <c r="Q1184" s="1" t="s">
        <v>169</v>
      </c>
      <c r="R1184" t="str">
        <f>Table11[[#This Row],[Match]]&amp;" "&amp;Table11[[#This Row],[Over]]</f>
        <v>16 6</v>
      </c>
    </row>
    <row r="1185" spans="1:18" x14ac:dyDescent="0.3">
      <c r="A1185">
        <v>16</v>
      </c>
      <c r="B1185" s="1">
        <v>7</v>
      </c>
      <c r="C1185" s="1" t="s">
        <v>1976</v>
      </c>
      <c r="D1185" s="1" t="s">
        <v>998</v>
      </c>
      <c r="E1185" s="1" t="s">
        <v>1006</v>
      </c>
      <c r="F1185" s="1" t="s">
        <v>976</v>
      </c>
      <c r="G1185" s="1" t="s">
        <v>2332</v>
      </c>
      <c r="H1185" s="1" t="s">
        <v>916</v>
      </c>
      <c r="I1185" s="1" t="s">
        <v>1238</v>
      </c>
      <c r="J1185" s="1" t="s">
        <v>1238</v>
      </c>
      <c r="K1185" s="1" t="s">
        <v>1019</v>
      </c>
      <c r="L1185" s="1" t="s">
        <v>955</v>
      </c>
      <c r="M1185" s="1" t="s">
        <v>955</v>
      </c>
      <c r="N1185">
        <f>_xlfn.NUMBERVALUE(LEFT(Table11[[#This Row],[Score]],FIND("/",Table11[[#This Row],[Score]])-1))</f>
        <v>31</v>
      </c>
      <c r="O1185">
        <f>IFERROR(_xlfn.NUMBERVALUE(LEFT(Table11[[#This Row],[Score2 ]],FIND("/",Table11[[#This Row],[Score2 ]])-1)),"")</f>
        <v>21</v>
      </c>
      <c r="P1185" t="s">
        <v>164</v>
      </c>
      <c r="Q1185" s="1" t="s">
        <v>169</v>
      </c>
      <c r="R1185" t="str">
        <f>Table11[[#This Row],[Match]]&amp;" "&amp;Table11[[#This Row],[Over]]</f>
        <v>16 7</v>
      </c>
    </row>
    <row r="1186" spans="1:18" x14ac:dyDescent="0.3">
      <c r="A1186">
        <v>16</v>
      </c>
      <c r="B1186" s="1">
        <v>8</v>
      </c>
      <c r="C1186" s="1" t="s">
        <v>2104</v>
      </c>
      <c r="D1186" s="1" t="s">
        <v>1051</v>
      </c>
      <c r="E1186" s="1" t="s">
        <v>1722</v>
      </c>
      <c r="F1186" s="1" t="s">
        <v>1029</v>
      </c>
      <c r="G1186" s="1" t="s">
        <v>3149</v>
      </c>
      <c r="H1186" s="1" t="s">
        <v>904</v>
      </c>
      <c r="I1186" s="1" t="s">
        <v>1238</v>
      </c>
      <c r="J1186" s="1" t="s">
        <v>977</v>
      </c>
      <c r="K1186" s="1" t="s">
        <v>1756</v>
      </c>
      <c r="L1186" s="1" t="s">
        <v>979</v>
      </c>
      <c r="M1186" s="1" t="s">
        <v>963</v>
      </c>
      <c r="N1186">
        <f>_xlfn.NUMBERVALUE(LEFT(Table11[[#This Row],[Score]],FIND("/",Table11[[#This Row],[Score]])-1))</f>
        <v>42</v>
      </c>
      <c r="O1186">
        <f>IFERROR(_xlfn.NUMBERVALUE(LEFT(Table11[[#This Row],[Score2 ]],FIND("/",Table11[[#This Row],[Score2 ]])-1)),"")</f>
        <v>24</v>
      </c>
      <c r="P1186" t="s">
        <v>164</v>
      </c>
      <c r="Q1186" s="1" t="s">
        <v>169</v>
      </c>
      <c r="R1186" t="str">
        <f>Table11[[#This Row],[Match]]&amp;" "&amp;Table11[[#This Row],[Over]]</f>
        <v>16 8</v>
      </c>
    </row>
    <row r="1187" spans="1:18" x14ac:dyDescent="0.3">
      <c r="A1187">
        <v>16</v>
      </c>
      <c r="B1187" s="1">
        <v>9</v>
      </c>
      <c r="C1187" s="1" t="s">
        <v>2613</v>
      </c>
      <c r="D1187" s="1" t="s">
        <v>968</v>
      </c>
      <c r="E1187" s="1" t="s">
        <v>2695</v>
      </c>
      <c r="F1187" s="1" t="s">
        <v>939</v>
      </c>
      <c r="G1187" s="1" t="s">
        <v>1262</v>
      </c>
      <c r="H1187" s="1" t="s">
        <v>930</v>
      </c>
      <c r="I1187" s="1" t="s">
        <v>1263</v>
      </c>
      <c r="J1187" s="1" t="s">
        <v>940</v>
      </c>
      <c r="K1187" s="1" t="s">
        <v>1218</v>
      </c>
      <c r="L1187" s="1" t="s">
        <v>1291</v>
      </c>
      <c r="M1187" s="1" t="s">
        <v>973</v>
      </c>
      <c r="N1187">
        <f>_xlfn.NUMBERVALUE(LEFT(Table11[[#This Row],[Score]],FIND("/",Table11[[#This Row],[Score]])-1))</f>
        <v>43</v>
      </c>
      <c r="O1187">
        <f>IFERROR(_xlfn.NUMBERVALUE(LEFT(Table11[[#This Row],[Score2 ]],FIND("/",Table11[[#This Row],[Score2 ]])-1)),"")</f>
        <v>32</v>
      </c>
      <c r="P1187" t="s">
        <v>164</v>
      </c>
      <c r="Q1187" s="1" t="s">
        <v>169</v>
      </c>
      <c r="R1187" t="str">
        <f>Table11[[#This Row],[Match]]&amp;" "&amp;Table11[[#This Row],[Over]]</f>
        <v>16 9</v>
      </c>
    </row>
    <row r="1188" spans="1:18" x14ac:dyDescent="0.3">
      <c r="A1188">
        <v>16</v>
      </c>
      <c r="B1188" s="1">
        <v>10</v>
      </c>
      <c r="C1188" s="1" t="s">
        <v>1739</v>
      </c>
      <c r="D1188" s="1" t="s">
        <v>968</v>
      </c>
      <c r="E1188" s="1" t="s">
        <v>940</v>
      </c>
      <c r="F1188" s="1" t="s">
        <v>977</v>
      </c>
      <c r="G1188" s="1" t="s">
        <v>956</v>
      </c>
      <c r="H1188" s="1" t="s">
        <v>904</v>
      </c>
      <c r="I1188" s="1" t="s">
        <v>925</v>
      </c>
      <c r="J1188" s="1" t="s">
        <v>940</v>
      </c>
      <c r="K1188" s="1" t="s">
        <v>900</v>
      </c>
      <c r="L1188" s="1" t="s">
        <v>1449</v>
      </c>
      <c r="M1188" s="1" t="s">
        <v>980</v>
      </c>
      <c r="N1188">
        <f>_xlfn.NUMBERVALUE(LEFT(Table11[[#This Row],[Score]],FIND("/",Table11[[#This Row],[Score]])-1))</f>
        <v>44</v>
      </c>
      <c r="O1188">
        <f>IFERROR(_xlfn.NUMBERVALUE(LEFT(Table11[[#This Row],[Score2 ]],FIND("/",Table11[[#This Row],[Score2 ]])-1)),"")</f>
        <v>35</v>
      </c>
      <c r="P1188" t="s">
        <v>164</v>
      </c>
      <c r="Q1188" s="1" t="s">
        <v>169</v>
      </c>
      <c r="R1188" t="str">
        <f>Table11[[#This Row],[Match]]&amp;" "&amp;Table11[[#This Row],[Over]]</f>
        <v>16 10</v>
      </c>
    </row>
    <row r="1189" spans="1:18" x14ac:dyDescent="0.3">
      <c r="A1189">
        <v>16</v>
      </c>
      <c r="B1189" s="1">
        <v>11</v>
      </c>
      <c r="C1189" s="1" t="s">
        <v>3308</v>
      </c>
      <c r="D1189" s="1" t="s">
        <v>998</v>
      </c>
      <c r="E1189" s="1" t="s">
        <v>1040</v>
      </c>
      <c r="F1189" s="1" t="s">
        <v>931</v>
      </c>
      <c r="G1189" s="1" t="s">
        <v>964</v>
      </c>
      <c r="H1189" s="1" t="s">
        <v>950</v>
      </c>
      <c r="I1189" s="1" t="s">
        <v>2656</v>
      </c>
      <c r="J1189" s="1" t="s">
        <v>1029</v>
      </c>
      <c r="K1189" s="1" t="s">
        <v>1968</v>
      </c>
      <c r="L1189" s="1" t="s">
        <v>2353</v>
      </c>
      <c r="M1189" s="1" t="s">
        <v>987</v>
      </c>
      <c r="N1189">
        <f>_xlfn.NUMBERVALUE(LEFT(Table11[[#This Row],[Score]],FIND("/",Table11[[#This Row],[Score]])-1))</f>
        <v>48</v>
      </c>
      <c r="O1189">
        <f>IFERROR(_xlfn.NUMBERVALUE(LEFT(Table11[[#This Row],[Score2 ]],FIND("/",Table11[[#This Row],[Score2 ]])-1)),"")</f>
        <v>40</v>
      </c>
      <c r="P1189" t="s">
        <v>164</v>
      </c>
      <c r="Q1189" s="1" t="s">
        <v>169</v>
      </c>
      <c r="R1189" t="str">
        <f>Table11[[#This Row],[Match]]&amp;" "&amp;Table11[[#This Row],[Over]]</f>
        <v>16 11</v>
      </c>
    </row>
    <row r="1190" spans="1:18" x14ac:dyDescent="0.3">
      <c r="A1190">
        <v>16</v>
      </c>
      <c r="B1190" s="1">
        <v>12</v>
      </c>
      <c r="C1190" s="1" t="s">
        <v>1281</v>
      </c>
      <c r="D1190" s="1" t="s">
        <v>968</v>
      </c>
      <c r="E1190" s="1" t="s">
        <v>1500</v>
      </c>
      <c r="F1190" s="1" t="s">
        <v>977</v>
      </c>
      <c r="G1190" s="1" t="s">
        <v>974</v>
      </c>
      <c r="H1190" s="1" t="s">
        <v>898</v>
      </c>
      <c r="I1190" s="1" t="s">
        <v>925</v>
      </c>
      <c r="J1190" s="1" t="s">
        <v>931</v>
      </c>
      <c r="K1190" s="1" t="s">
        <v>926</v>
      </c>
      <c r="L1190" s="1" t="s">
        <v>1733</v>
      </c>
      <c r="M1190" s="1" t="s">
        <v>996</v>
      </c>
      <c r="N1190">
        <f>_xlfn.NUMBERVALUE(LEFT(Table11[[#This Row],[Score]],FIND("/",Table11[[#This Row],[Score]])-1))</f>
        <v>49</v>
      </c>
      <c r="O1190">
        <f>IFERROR(_xlfn.NUMBERVALUE(LEFT(Table11[[#This Row],[Score2 ]],FIND("/",Table11[[#This Row],[Score2 ]])-1)),"")</f>
        <v>42</v>
      </c>
      <c r="P1190" t="s">
        <v>164</v>
      </c>
      <c r="Q1190" s="1" t="s">
        <v>169</v>
      </c>
      <c r="R1190" t="str">
        <f>Table11[[#This Row],[Match]]&amp;" "&amp;Table11[[#This Row],[Over]]</f>
        <v>16 12</v>
      </c>
    </row>
    <row r="1191" spans="1:18" x14ac:dyDescent="0.3">
      <c r="A1191">
        <v>16</v>
      </c>
      <c r="B1191" s="1">
        <v>13</v>
      </c>
      <c r="C1191" s="1" t="s">
        <v>991</v>
      </c>
      <c r="D1191" s="1" t="s">
        <v>998</v>
      </c>
      <c r="E1191" s="1" t="s">
        <v>2632</v>
      </c>
      <c r="F1191" s="1" t="s">
        <v>1383</v>
      </c>
      <c r="G1191" s="1" t="s">
        <v>958</v>
      </c>
      <c r="H1191" s="1" t="s">
        <v>898</v>
      </c>
      <c r="I1191" s="1" t="s">
        <v>1879</v>
      </c>
      <c r="J1191" s="1" t="s">
        <v>939</v>
      </c>
      <c r="K1191" s="1" t="s">
        <v>2128</v>
      </c>
      <c r="L1191" s="1" t="s">
        <v>2126</v>
      </c>
      <c r="M1191" s="1" t="s">
        <v>1004</v>
      </c>
      <c r="N1191">
        <f>_xlfn.NUMBERVALUE(LEFT(Table11[[#This Row],[Score]],FIND("/",Table11[[#This Row],[Score]])-1))</f>
        <v>53</v>
      </c>
      <c r="O1191">
        <f>IFERROR(_xlfn.NUMBERVALUE(LEFT(Table11[[#This Row],[Score2 ]],FIND("/",Table11[[#This Row],[Score2 ]])-1)),"")</f>
        <v>44</v>
      </c>
      <c r="P1191" t="s">
        <v>164</v>
      </c>
      <c r="Q1191" s="1" t="s">
        <v>169</v>
      </c>
      <c r="R1191" t="str">
        <f>Table11[[#This Row],[Match]]&amp;" "&amp;Table11[[#This Row],[Over]]</f>
        <v>16 13</v>
      </c>
    </row>
    <row r="1192" spans="1:18" x14ac:dyDescent="0.3">
      <c r="A1192">
        <v>16</v>
      </c>
      <c r="B1192" s="1">
        <v>14</v>
      </c>
      <c r="C1192" s="1" t="s">
        <v>1991</v>
      </c>
      <c r="D1192" s="1" t="s">
        <v>968</v>
      </c>
      <c r="E1192" s="1" t="s">
        <v>1518</v>
      </c>
      <c r="F1192" s="1" t="s">
        <v>1383</v>
      </c>
      <c r="G1192" s="1" t="s">
        <v>2335</v>
      </c>
      <c r="H1192" s="1" t="s">
        <v>922</v>
      </c>
      <c r="I1192" s="1" t="s">
        <v>1887</v>
      </c>
      <c r="J1192" s="1" t="s">
        <v>977</v>
      </c>
      <c r="K1192" s="1" t="s">
        <v>2720</v>
      </c>
      <c r="L1192" s="1" t="s">
        <v>1023</v>
      </c>
      <c r="M1192" s="1" t="s">
        <v>1010</v>
      </c>
      <c r="N1192">
        <f>_xlfn.NUMBERVALUE(LEFT(Table11[[#This Row],[Score]],FIND("/",Table11[[#This Row],[Score]])-1))</f>
        <v>54</v>
      </c>
      <c r="O1192">
        <f>IFERROR(_xlfn.NUMBERVALUE(LEFT(Table11[[#This Row],[Score2 ]],FIND("/",Table11[[#This Row],[Score2 ]])-1)),"")</f>
        <v>50</v>
      </c>
      <c r="P1192" t="s">
        <v>164</v>
      </c>
      <c r="Q1192" s="1" t="s">
        <v>169</v>
      </c>
      <c r="R1192" t="str">
        <f>Table11[[#This Row],[Match]]&amp;" "&amp;Table11[[#This Row],[Over]]</f>
        <v>16 14</v>
      </c>
    </row>
    <row r="1193" spans="1:18" x14ac:dyDescent="0.3">
      <c r="A1193">
        <v>16</v>
      </c>
      <c r="B1193" s="1">
        <v>15</v>
      </c>
      <c r="C1193" s="1" t="s">
        <v>2345</v>
      </c>
      <c r="D1193" s="1" t="s">
        <v>968</v>
      </c>
      <c r="E1193" s="1" t="s">
        <v>917</v>
      </c>
      <c r="F1193" s="1" t="s">
        <v>1383</v>
      </c>
      <c r="G1193" s="1" t="s">
        <v>3309</v>
      </c>
      <c r="H1193" s="1" t="s">
        <v>1095</v>
      </c>
      <c r="I1193" s="1" t="s">
        <v>939</v>
      </c>
      <c r="J1193" s="1" t="s">
        <v>969</v>
      </c>
      <c r="K1193" s="1" t="s">
        <v>1448</v>
      </c>
      <c r="L1193" s="1" t="s">
        <v>1470</v>
      </c>
      <c r="M1193" s="1" t="s">
        <v>1016</v>
      </c>
      <c r="N1193">
        <f>_xlfn.NUMBERVALUE(LEFT(Table11[[#This Row],[Score]],FIND("/",Table11[[#This Row],[Score]])-1))</f>
        <v>55</v>
      </c>
      <c r="O1193">
        <f>IFERROR(_xlfn.NUMBERVALUE(LEFT(Table11[[#This Row],[Score2 ]],FIND("/",Table11[[#This Row],[Score2 ]])-1)),"")</f>
        <v>60</v>
      </c>
      <c r="P1193" t="s">
        <v>164</v>
      </c>
      <c r="Q1193" s="1" t="s">
        <v>169</v>
      </c>
      <c r="R1193" t="str">
        <f>Table11[[#This Row],[Match]]&amp;" "&amp;Table11[[#This Row],[Over]]</f>
        <v>16 15</v>
      </c>
    </row>
    <row r="1194" spans="1:18" x14ac:dyDescent="0.3">
      <c r="A1194">
        <v>16</v>
      </c>
      <c r="B1194" s="1">
        <v>16</v>
      </c>
      <c r="C1194" s="1" t="s">
        <v>1289</v>
      </c>
      <c r="D1194" s="1" t="s">
        <v>922</v>
      </c>
      <c r="E1194" s="1" t="s">
        <v>1866</v>
      </c>
      <c r="F1194" s="1" t="s">
        <v>984</v>
      </c>
      <c r="G1194" s="1" t="s">
        <v>1287</v>
      </c>
      <c r="H1194" s="1" t="s">
        <v>968</v>
      </c>
      <c r="I1194" s="1" t="s">
        <v>1866</v>
      </c>
      <c r="J1194" s="1" t="s">
        <v>931</v>
      </c>
      <c r="K1194" s="1" t="s">
        <v>2231</v>
      </c>
      <c r="L1194" s="1" t="s">
        <v>1042</v>
      </c>
      <c r="M1194" s="1" t="s">
        <v>1024</v>
      </c>
      <c r="N1194">
        <f>_xlfn.NUMBERVALUE(LEFT(Table11[[#This Row],[Score]],FIND("/",Table11[[#This Row],[Score]])-1))</f>
        <v>61</v>
      </c>
      <c r="O1194">
        <f>IFERROR(_xlfn.NUMBERVALUE(LEFT(Table11[[#This Row],[Score2 ]],FIND("/",Table11[[#This Row],[Score2 ]])-1)),"")</f>
        <v>61</v>
      </c>
      <c r="P1194" t="s">
        <v>164</v>
      </c>
      <c r="Q1194" s="1" t="s">
        <v>169</v>
      </c>
      <c r="R1194" t="str">
        <f>Table11[[#This Row],[Match]]&amp;" "&amp;Table11[[#This Row],[Over]]</f>
        <v>16 16</v>
      </c>
    </row>
    <row r="1195" spans="1:18" x14ac:dyDescent="0.3">
      <c r="A1195">
        <v>16</v>
      </c>
      <c r="B1195" s="1">
        <v>17</v>
      </c>
      <c r="C1195" s="1" t="s">
        <v>3082</v>
      </c>
      <c r="D1195" s="1" t="s">
        <v>904</v>
      </c>
      <c r="E1195" s="1" t="s">
        <v>1282</v>
      </c>
      <c r="F1195" s="1" t="s">
        <v>1238</v>
      </c>
      <c r="G1195" s="1" t="s">
        <v>2340</v>
      </c>
      <c r="H1195" s="1" t="s">
        <v>998</v>
      </c>
      <c r="I1195" s="1" t="s">
        <v>1522</v>
      </c>
      <c r="J1195" s="1" t="s">
        <v>976</v>
      </c>
      <c r="K1195" s="1" t="s">
        <v>2468</v>
      </c>
      <c r="L1195" s="1" t="s">
        <v>1479</v>
      </c>
      <c r="M1195" s="1" t="s">
        <v>1031</v>
      </c>
      <c r="N1195">
        <f>_xlfn.NUMBERVALUE(LEFT(Table11[[#This Row],[Score]],FIND("/",Table11[[#This Row],[Score]])-1))</f>
        <v>64</v>
      </c>
      <c r="O1195">
        <f>IFERROR(_xlfn.NUMBERVALUE(LEFT(Table11[[#This Row],[Score2 ]],FIND("/",Table11[[#This Row],[Score2 ]])-1)),"")</f>
        <v>65</v>
      </c>
      <c r="P1195" t="s">
        <v>164</v>
      </c>
      <c r="Q1195" s="1" t="s">
        <v>169</v>
      </c>
      <c r="R1195" t="str">
        <f>Table11[[#This Row],[Match]]&amp;" "&amp;Table11[[#This Row],[Over]]</f>
        <v>16 17</v>
      </c>
    </row>
    <row r="1196" spans="1:18" x14ac:dyDescent="0.3">
      <c r="A1196">
        <v>16</v>
      </c>
      <c r="B1196" s="1">
        <v>18</v>
      </c>
      <c r="C1196" s="1" t="s">
        <v>1467</v>
      </c>
      <c r="D1196" s="1" t="s">
        <v>950</v>
      </c>
      <c r="E1196" s="1" t="s">
        <v>1731</v>
      </c>
      <c r="F1196" s="1" t="s">
        <v>1259</v>
      </c>
      <c r="G1196" s="1" t="s">
        <v>3310</v>
      </c>
      <c r="H1196" s="1" t="s">
        <v>904</v>
      </c>
      <c r="I1196" s="1" t="s">
        <v>1853</v>
      </c>
      <c r="J1196" s="1" t="s">
        <v>1093</v>
      </c>
      <c r="K1196" s="1" t="s">
        <v>2319</v>
      </c>
      <c r="L1196" s="1" t="s">
        <v>1310</v>
      </c>
      <c r="M1196" s="1" t="s">
        <v>1037</v>
      </c>
      <c r="N1196">
        <f>_xlfn.NUMBERVALUE(LEFT(Table11[[#This Row],[Score]],FIND("/",Table11[[#This Row],[Score]])-1))</f>
        <v>69</v>
      </c>
      <c r="O1196">
        <f>IFERROR(_xlfn.NUMBERVALUE(LEFT(Table11[[#This Row],[Score2 ]],FIND("/",Table11[[#This Row],[Score2 ]])-1)),"")</f>
        <v>68</v>
      </c>
      <c r="P1196" t="s">
        <v>164</v>
      </c>
      <c r="Q1196" s="1" t="s">
        <v>169</v>
      </c>
      <c r="R1196" t="str">
        <f>Table11[[#This Row],[Match]]&amp;" "&amp;Table11[[#This Row],[Over]]</f>
        <v>16 18</v>
      </c>
    </row>
    <row r="1197" spans="1:18" x14ac:dyDescent="0.3">
      <c r="A1197">
        <v>16</v>
      </c>
      <c r="B1197" s="1">
        <v>19</v>
      </c>
      <c r="C1197" s="1" t="s">
        <v>1473</v>
      </c>
      <c r="D1197" s="1" t="s">
        <v>998</v>
      </c>
      <c r="E1197" s="1" t="s">
        <v>1456</v>
      </c>
      <c r="F1197" s="1" t="s">
        <v>990</v>
      </c>
      <c r="G1197" s="1" t="s">
        <v>2624</v>
      </c>
      <c r="H1197" s="1" t="s">
        <v>998</v>
      </c>
      <c r="I1197" s="1" t="s">
        <v>2782</v>
      </c>
      <c r="J1197" s="1" t="s">
        <v>940</v>
      </c>
      <c r="K1197" s="1" t="s">
        <v>3311</v>
      </c>
      <c r="L1197" s="1" t="s">
        <v>2137</v>
      </c>
      <c r="M1197" s="1" t="s">
        <v>1043</v>
      </c>
      <c r="N1197">
        <f>_xlfn.NUMBERVALUE(LEFT(Table11[[#This Row],[Score]],FIND("/",Table11[[#This Row],[Score]])-1))</f>
        <v>73</v>
      </c>
      <c r="O1197">
        <f>IFERROR(_xlfn.NUMBERVALUE(LEFT(Table11[[#This Row],[Score2 ]],FIND("/",Table11[[#This Row],[Score2 ]])-1)),"")</f>
        <v>72</v>
      </c>
      <c r="P1197" t="s">
        <v>164</v>
      </c>
      <c r="Q1197" s="1" t="s">
        <v>169</v>
      </c>
      <c r="R1197" t="str">
        <f>Table11[[#This Row],[Match]]&amp;" "&amp;Table11[[#This Row],[Over]]</f>
        <v>16 19</v>
      </c>
    </row>
    <row r="1198" spans="1:18" x14ac:dyDescent="0.3">
      <c r="A1198">
        <v>16</v>
      </c>
      <c r="B1198" s="1">
        <v>20</v>
      </c>
      <c r="C1198" s="1" t="s">
        <v>2550</v>
      </c>
      <c r="D1198" s="1" t="s">
        <v>898</v>
      </c>
      <c r="E1198" s="1" t="s">
        <v>1276</v>
      </c>
      <c r="F1198" s="1" t="s">
        <v>939</v>
      </c>
      <c r="G1198" s="1" t="s">
        <v>3154</v>
      </c>
      <c r="H1198" s="1" t="s">
        <v>950</v>
      </c>
      <c r="I1198" s="1" t="s">
        <v>1518</v>
      </c>
      <c r="J1198" s="1" t="s">
        <v>1247</v>
      </c>
      <c r="K1198" s="1" t="s">
        <v>1022</v>
      </c>
      <c r="L1198" s="1" t="s">
        <v>2275</v>
      </c>
      <c r="M1198" s="1" t="s">
        <v>1049</v>
      </c>
      <c r="N1198">
        <f>_xlfn.NUMBERVALUE(LEFT(Table11[[#This Row],[Score]],FIND("/",Table11[[#This Row],[Score]])-1))</f>
        <v>75</v>
      </c>
      <c r="O1198">
        <f>IFERROR(_xlfn.NUMBERVALUE(LEFT(Table11[[#This Row],[Score2 ]],FIND("/",Table11[[#This Row],[Score2 ]])-1)),"")</f>
        <v>77</v>
      </c>
      <c r="P1198" t="s">
        <v>164</v>
      </c>
      <c r="Q1198" s="1" t="s">
        <v>169</v>
      </c>
      <c r="R1198" t="str">
        <f>Table11[[#This Row],[Match]]&amp;" "&amp;Table11[[#This Row],[Over]]</f>
        <v>16 20</v>
      </c>
    </row>
    <row r="1199" spans="1:18" x14ac:dyDescent="0.3">
      <c r="A1199">
        <v>16</v>
      </c>
      <c r="B1199" s="1">
        <v>21</v>
      </c>
      <c r="C1199" s="1" t="s">
        <v>1884</v>
      </c>
      <c r="D1199" s="1" t="s">
        <v>904</v>
      </c>
      <c r="E1199" s="1" t="s">
        <v>1255</v>
      </c>
      <c r="F1199" s="1" t="s">
        <v>1247</v>
      </c>
      <c r="G1199" s="1" t="s">
        <v>3095</v>
      </c>
      <c r="H1199" s="1" t="s">
        <v>950</v>
      </c>
      <c r="I1199" s="1" t="s">
        <v>1273</v>
      </c>
      <c r="J1199" s="1" t="s">
        <v>931</v>
      </c>
      <c r="K1199" s="1" t="s">
        <v>1274</v>
      </c>
      <c r="L1199" s="1" t="s">
        <v>3148</v>
      </c>
      <c r="M1199" s="1" t="s">
        <v>1056</v>
      </c>
      <c r="N1199">
        <f>_xlfn.NUMBERVALUE(LEFT(Table11[[#This Row],[Score]],FIND("/",Table11[[#This Row],[Score]])-1))</f>
        <v>78</v>
      </c>
      <c r="O1199">
        <f>IFERROR(_xlfn.NUMBERVALUE(LEFT(Table11[[#This Row],[Score2 ]],FIND("/",Table11[[#This Row],[Score2 ]])-1)),"")</f>
        <v>82</v>
      </c>
      <c r="P1199" t="s">
        <v>164</v>
      </c>
      <c r="Q1199" s="1" t="s">
        <v>169</v>
      </c>
      <c r="R1199" t="str">
        <f>Table11[[#This Row],[Match]]&amp;" "&amp;Table11[[#This Row],[Over]]</f>
        <v>16 21</v>
      </c>
    </row>
    <row r="1200" spans="1:18" x14ac:dyDescent="0.3">
      <c r="A1200">
        <v>16</v>
      </c>
      <c r="B1200" s="1">
        <v>22</v>
      </c>
      <c r="C1200" s="1" t="s">
        <v>3195</v>
      </c>
      <c r="D1200" s="1" t="s">
        <v>898</v>
      </c>
      <c r="E1200" s="1" t="s">
        <v>2656</v>
      </c>
      <c r="F1200" s="1" t="s">
        <v>1259</v>
      </c>
      <c r="G1200" s="1" t="s">
        <v>2821</v>
      </c>
      <c r="H1200" s="1" t="s">
        <v>922</v>
      </c>
      <c r="I1200" s="1" t="s">
        <v>939</v>
      </c>
      <c r="J1200" s="1" t="s">
        <v>976</v>
      </c>
      <c r="K1200" s="1" t="s">
        <v>1803</v>
      </c>
      <c r="L1200" s="1" t="s">
        <v>2877</v>
      </c>
      <c r="M1200" s="1" t="s">
        <v>1063</v>
      </c>
      <c r="N1200">
        <f>_xlfn.NUMBERVALUE(LEFT(Table11[[#This Row],[Score]],FIND("/",Table11[[#This Row],[Score]])-1))</f>
        <v>80</v>
      </c>
      <c r="O1200">
        <f>IFERROR(_xlfn.NUMBERVALUE(LEFT(Table11[[#This Row],[Score2 ]],FIND("/",Table11[[#This Row],[Score2 ]])-1)),"")</f>
        <v>88</v>
      </c>
      <c r="P1200" t="s">
        <v>164</v>
      </c>
      <c r="Q1200" s="1" t="s">
        <v>169</v>
      </c>
      <c r="R1200" t="str">
        <f>Table11[[#This Row],[Match]]&amp;" "&amp;Table11[[#This Row],[Over]]</f>
        <v>16 22</v>
      </c>
    </row>
    <row r="1201" spans="1:18" x14ac:dyDescent="0.3">
      <c r="A1201">
        <v>16</v>
      </c>
      <c r="B1201" s="1">
        <v>23</v>
      </c>
      <c r="C1201" s="1" t="s">
        <v>2357</v>
      </c>
      <c r="D1201" s="1" t="s">
        <v>930</v>
      </c>
      <c r="E1201" s="1" t="s">
        <v>1522</v>
      </c>
      <c r="F1201" s="1" t="s">
        <v>990</v>
      </c>
      <c r="G1201" s="1" t="s">
        <v>1766</v>
      </c>
      <c r="H1201" s="1" t="s">
        <v>950</v>
      </c>
      <c r="I1201" s="1" t="s">
        <v>1505</v>
      </c>
      <c r="J1201" s="1" t="s">
        <v>969</v>
      </c>
      <c r="K1201" s="1" t="s">
        <v>1742</v>
      </c>
      <c r="L1201" s="1" t="s">
        <v>1043</v>
      </c>
      <c r="M1201" s="1" t="s">
        <v>1070</v>
      </c>
      <c r="N1201">
        <f>_xlfn.NUMBERVALUE(LEFT(Table11[[#This Row],[Score]],FIND("/",Table11[[#This Row],[Score]])-1))</f>
        <v>88</v>
      </c>
      <c r="O1201">
        <f>IFERROR(_xlfn.NUMBERVALUE(LEFT(Table11[[#This Row],[Score2 ]],FIND("/",Table11[[#This Row],[Score2 ]])-1)),"")</f>
        <v>93</v>
      </c>
      <c r="P1201" t="s">
        <v>164</v>
      </c>
      <c r="Q1201" s="1" t="s">
        <v>169</v>
      </c>
      <c r="R1201" t="str">
        <f>Table11[[#This Row],[Match]]&amp;" "&amp;Table11[[#This Row],[Over]]</f>
        <v>16 23</v>
      </c>
    </row>
    <row r="1202" spans="1:18" x14ac:dyDescent="0.3">
      <c r="A1202">
        <v>16</v>
      </c>
      <c r="B1202" s="1">
        <v>24</v>
      </c>
      <c r="C1202" s="1" t="s">
        <v>2583</v>
      </c>
      <c r="D1202" s="1" t="s">
        <v>968</v>
      </c>
      <c r="E1202" s="1" t="s">
        <v>2816</v>
      </c>
      <c r="F1202" s="1" t="s">
        <v>1259</v>
      </c>
      <c r="G1202" s="1" t="s">
        <v>3096</v>
      </c>
      <c r="H1202" s="1" t="s">
        <v>968</v>
      </c>
      <c r="I1202" s="1" t="s">
        <v>1278</v>
      </c>
      <c r="J1202" s="1" t="s">
        <v>940</v>
      </c>
      <c r="K1202" s="1" t="s">
        <v>1286</v>
      </c>
      <c r="L1202" s="1" t="s">
        <v>1515</v>
      </c>
      <c r="M1202" s="1" t="s">
        <v>1077</v>
      </c>
      <c r="N1202">
        <f>_xlfn.NUMBERVALUE(LEFT(Table11[[#This Row],[Score]],FIND("/",Table11[[#This Row],[Score]])-1))</f>
        <v>89</v>
      </c>
      <c r="O1202">
        <f>IFERROR(_xlfn.NUMBERVALUE(LEFT(Table11[[#This Row],[Score2 ]],FIND("/",Table11[[#This Row],[Score2 ]])-1)),"")</f>
        <v>94</v>
      </c>
      <c r="P1202" t="s">
        <v>164</v>
      </c>
      <c r="Q1202" s="1" t="s">
        <v>169</v>
      </c>
      <c r="R1202" t="str">
        <f>Table11[[#This Row],[Match]]&amp;" "&amp;Table11[[#This Row],[Over]]</f>
        <v>16 24</v>
      </c>
    </row>
    <row r="1203" spans="1:18" x14ac:dyDescent="0.3">
      <c r="A1203">
        <v>16</v>
      </c>
      <c r="B1203" s="1">
        <v>25</v>
      </c>
      <c r="C1203" s="1" t="s">
        <v>1498</v>
      </c>
      <c r="D1203" s="1" t="s">
        <v>904</v>
      </c>
      <c r="E1203" s="1" t="s">
        <v>1861</v>
      </c>
      <c r="F1203" s="1" t="s">
        <v>1247</v>
      </c>
      <c r="G1203" s="1" t="s">
        <v>2560</v>
      </c>
      <c r="H1203" s="1" t="s">
        <v>904</v>
      </c>
      <c r="I1203" s="1" t="s">
        <v>1860</v>
      </c>
      <c r="J1203" s="1" t="s">
        <v>939</v>
      </c>
      <c r="K1203" s="1" t="s">
        <v>2627</v>
      </c>
      <c r="L1203" s="1" t="s">
        <v>1097</v>
      </c>
      <c r="M1203" s="1" t="s">
        <v>1083</v>
      </c>
      <c r="N1203">
        <f>_xlfn.NUMBERVALUE(LEFT(Table11[[#This Row],[Score]],FIND("/",Table11[[#This Row],[Score]])-1))</f>
        <v>92</v>
      </c>
      <c r="O1203">
        <f>IFERROR(_xlfn.NUMBERVALUE(LEFT(Table11[[#This Row],[Score2 ]],FIND("/",Table11[[#This Row],[Score2 ]])-1)),"")</f>
        <v>97</v>
      </c>
      <c r="P1203" t="s">
        <v>164</v>
      </c>
      <c r="Q1203" s="1" t="s">
        <v>169</v>
      </c>
      <c r="R1203" t="str">
        <f>Table11[[#This Row],[Match]]&amp;" "&amp;Table11[[#This Row],[Over]]</f>
        <v>16 25</v>
      </c>
    </row>
    <row r="1204" spans="1:18" x14ac:dyDescent="0.3">
      <c r="A1204">
        <v>16</v>
      </c>
      <c r="B1204" s="1">
        <v>26</v>
      </c>
      <c r="C1204" s="1" t="s">
        <v>1501</v>
      </c>
      <c r="D1204" s="1" t="s">
        <v>898</v>
      </c>
      <c r="E1204" s="1" t="s">
        <v>3084</v>
      </c>
      <c r="F1204" s="1" t="s">
        <v>1259</v>
      </c>
      <c r="G1204" s="1" t="s">
        <v>1506</v>
      </c>
      <c r="H1204" s="1" t="s">
        <v>968</v>
      </c>
      <c r="I1204" s="1" t="s">
        <v>1282</v>
      </c>
      <c r="J1204" s="1" t="s">
        <v>1259</v>
      </c>
      <c r="K1204" s="1" t="s">
        <v>3312</v>
      </c>
      <c r="L1204" s="1" t="s">
        <v>1524</v>
      </c>
      <c r="M1204" s="1" t="s">
        <v>1090</v>
      </c>
      <c r="N1204">
        <f>_xlfn.NUMBERVALUE(LEFT(Table11[[#This Row],[Score]],FIND("/",Table11[[#This Row],[Score]])-1))</f>
        <v>94</v>
      </c>
      <c r="O1204">
        <f>IFERROR(_xlfn.NUMBERVALUE(LEFT(Table11[[#This Row],[Score2 ]],FIND("/",Table11[[#This Row],[Score2 ]])-1)),"")</f>
        <v>98</v>
      </c>
      <c r="P1204" t="s">
        <v>164</v>
      </c>
      <c r="Q1204" s="1" t="s">
        <v>169</v>
      </c>
      <c r="R1204" t="str">
        <f>Table11[[#This Row],[Match]]&amp;" "&amp;Table11[[#This Row],[Over]]</f>
        <v>16 26</v>
      </c>
    </row>
    <row r="1205" spans="1:18" x14ac:dyDescent="0.3">
      <c r="A1205">
        <v>16</v>
      </c>
      <c r="B1205" s="1">
        <v>27</v>
      </c>
      <c r="C1205" s="1" t="s">
        <v>2022</v>
      </c>
      <c r="D1205" s="1" t="s">
        <v>922</v>
      </c>
      <c r="E1205" s="1" t="s">
        <v>2816</v>
      </c>
      <c r="F1205" s="1" t="s">
        <v>939</v>
      </c>
      <c r="G1205" s="1" t="s">
        <v>1073</v>
      </c>
      <c r="H1205" s="1" t="s">
        <v>998</v>
      </c>
      <c r="I1205" s="1" t="s">
        <v>1853</v>
      </c>
      <c r="J1205" s="1" t="s">
        <v>993</v>
      </c>
      <c r="K1205" s="1" t="s">
        <v>1337</v>
      </c>
      <c r="L1205" s="1" t="s">
        <v>1107</v>
      </c>
      <c r="M1205" s="1" t="s">
        <v>1098</v>
      </c>
      <c r="N1205">
        <f>_xlfn.NUMBERVALUE(LEFT(Table11[[#This Row],[Score]],FIND("/",Table11[[#This Row],[Score]])-1))</f>
        <v>100</v>
      </c>
      <c r="O1205">
        <f>IFERROR(_xlfn.NUMBERVALUE(LEFT(Table11[[#This Row],[Score2 ]],FIND("/",Table11[[#This Row],[Score2 ]])-1)),"")</f>
        <v>102</v>
      </c>
      <c r="P1205" t="s">
        <v>164</v>
      </c>
      <c r="Q1205" s="1" t="s">
        <v>169</v>
      </c>
      <c r="R1205" t="str">
        <f>Table11[[#This Row],[Match]]&amp;" "&amp;Table11[[#This Row],[Over]]</f>
        <v>16 27</v>
      </c>
    </row>
    <row r="1206" spans="1:18" x14ac:dyDescent="0.3">
      <c r="A1206">
        <v>16</v>
      </c>
      <c r="B1206" s="1">
        <v>28</v>
      </c>
      <c r="C1206" s="1" t="s">
        <v>3313</v>
      </c>
      <c r="D1206" s="1" t="s">
        <v>922</v>
      </c>
      <c r="E1206" s="1" t="s">
        <v>2782</v>
      </c>
      <c r="F1206" s="1" t="s">
        <v>977</v>
      </c>
      <c r="G1206" s="1" t="s">
        <v>2571</v>
      </c>
      <c r="H1206" s="1" t="s">
        <v>930</v>
      </c>
      <c r="I1206" s="1" t="s">
        <v>1507</v>
      </c>
      <c r="J1206" s="1" t="s">
        <v>1247</v>
      </c>
      <c r="K1206" s="1" t="s">
        <v>3314</v>
      </c>
      <c r="L1206" s="1" t="s">
        <v>1112</v>
      </c>
      <c r="M1206" s="1" t="s">
        <v>1101</v>
      </c>
      <c r="N1206">
        <f>_xlfn.NUMBERVALUE(LEFT(Table11[[#This Row],[Score]],FIND("/",Table11[[#This Row],[Score]])-1))</f>
        <v>106</v>
      </c>
      <c r="O1206">
        <f>IFERROR(_xlfn.NUMBERVALUE(LEFT(Table11[[#This Row],[Score2 ]],FIND("/",Table11[[#This Row],[Score2 ]])-1)),"")</f>
        <v>110</v>
      </c>
      <c r="P1206" t="s">
        <v>164</v>
      </c>
      <c r="Q1206" s="1" t="s">
        <v>169</v>
      </c>
      <c r="R1206" t="str">
        <f>Table11[[#This Row],[Match]]&amp;" "&amp;Table11[[#This Row],[Over]]</f>
        <v>16 28</v>
      </c>
    </row>
    <row r="1207" spans="1:18" x14ac:dyDescent="0.3">
      <c r="A1207">
        <v>16</v>
      </c>
      <c r="B1207" s="1">
        <v>29</v>
      </c>
      <c r="C1207" s="1" t="s">
        <v>2365</v>
      </c>
      <c r="D1207" s="1" t="s">
        <v>904</v>
      </c>
      <c r="E1207" s="1" t="s">
        <v>1276</v>
      </c>
      <c r="F1207" s="1" t="s">
        <v>939</v>
      </c>
      <c r="G1207" s="1" t="s">
        <v>2366</v>
      </c>
      <c r="H1207" s="1" t="s">
        <v>998</v>
      </c>
      <c r="I1207" s="1" t="s">
        <v>1294</v>
      </c>
      <c r="J1207" s="1" t="s">
        <v>939</v>
      </c>
      <c r="K1207" s="1" t="s">
        <v>3196</v>
      </c>
      <c r="L1207" s="1" t="s">
        <v>2707</v>
      </c>
      <c r="M1207" s="1" t="s">
        <v>1108</v>
      </c>
      <c r="N1207">
        <f>_xlfn.NUMBERVALUE(LEFT(Table11[[#This Row],[Score]],FIND("/",Table11[[#This Row],[Score]])-1))</f>
        <v>109</v>
      </c>
      <c r="O1207">
        <f>IFERROR(_xlfn.NUMBERVALUE(LEFT(Table11[[#This Row],[Score2 ]],FIND("/",Table11[[#This Row],[Score2 ]])-1)),"")</f>
        <v>114</v>
      </c>
      <c r="P1207" t="s">
        <v>164</v>
      </c>
      <c r="Q1207" s="1" t="s">
        <v>169</v>
      </c>
      <c r="R1207" t="str">
        <f>Table11[[#This Row],[Match]]&amp;" "&amp;Table11[[#This Row],[Over]]</f>
        <v>16 29</v>
      </c>
    </row>
    <row r="1208" spans="1:18" x14ac:dyDescent="0.3">
      <c r="A1208">
        <v>16</v>
      </c>
      <c r="B1208" s="1">
        <v>30</v>
      </c>
      <c r="C1208" s="1" t="s">
        <v>3315</v>
      </c>
      <c r="D1208" s="1" t="s">
        <v>916</v>
      </c>
      <c r="E1208" s="1" t="s">
        <v>1497</v>
      </c>
      <c r="F1208" s="1" t="s">
        <v>1093</v>
      </c>
      <c r="G1208" s="1" t="s">
        <v>3203</v>
      </c>
      <c r="H1208" s="1" t="s">
        <v>922</v>
      </c>
      <c r="I1208" s="1" t="s">
        <v>939</v>
      </c>
      <c r="J1208" s="1" t="s">
        <v>976</v>
      </c>
      <c r="K1208" s="1" t="s">
        <v>1340</v>
      </c>
      <c r="L1208" s="1" t="s">
        <v>2290</v>
      </c>
      <c r="M1208" s="1" t="s">
        <v>1113</v>
      </c>
      <c r="N1208">
        <f>_xlfn.NUMBERVALUE(LEFT(Table11[[#This Row],[Score]],FIND("/",Table11[[#This Row],[Score]])-1))</f>
        <v>116</v>
      </c>
      <c r="O1208">
        <f>IFERROR(_xlfn.NUMBERVALUE(LEFT(Table11[[#This Row],[Score2 ]],FIND("/",Table11[[#This Row],[Score2 ]])-1)),"")</f>
        <v>120</v>
      </c>
      <c r="P1208" t="s">
        <v>164</v>
      </c>
      <c r="Q1208" s="1" t="s">
        <v>169</v>
      </c>
      <c r="R1208" t="str">
        <f>Table11[[#This Row],[Match]]&amp;" "&amp;Table11[[#This Row],[Over]]</f>
        <v>16 30</v>
      </c>
    </row>
    <row r="1209" spans="1:18" x14ac:dyDescent="0.3">
      <c r="A1209">
        <v>16</v>
      </c>
      <c r="B1209" s="1">
        <v>31</v>
      </c>
      <c r="C1209" s="1" t="s">
        <v>2643</v>
      </c>
      <c r="D1209" s="1" t="s">
        <v>922</v>
      </c>
      <c r="E1209" s="1" t="s">
        <v>1294</v>
      </c>
      <c r="F1209" s="1" t="s">
        <v>934</v>
      </c>
      <c r="G1209" s="1" t="s">
        <v>2645</v>
      </c>
      <c r="H1209" s="1" t="s">
        <v>904</v>
      </c>
      <c r="I1209" s="1" t="s">
        <v>1513</v>
      </c>
      <c r="J1209" s="1" t="s">
        <v>969</v>
      </c>
      <c r="K1209" s="1" t="s">
        <v>2244</v>
      </c>
      <c r="L1209" s="1" t="s">
        <v>1077</v>
      </c>
      <c r="M1209" s="1" t="s">
        <v>1121</v>
      </c>
      <c r="N1209">
        <f>_xlfn.NUMBERVALUE(LEFT(Table11[[#This Row],[Score]],FIND("/",Table11[[#This Row],[Score]])-1))</f>
        <v>122</v>
      </c>
      <c r="O1209">
        <f>IFERROR(_xlfn.NUMBERVALUE(LEFT(Table11[[#This Row],[Score2 ]],FIND("/",Table11[[#This Row],[Score2 ]])-1)),"")</f>
        <v>123</v>
      </c>
      <c r="P1209" t="s">
        <v>164</v>
      </c>
      <c r="Q1209" s="1" t="s">
        <v>169</v>
      </c>
      <c r="R1209" t="str">
        <f>Table11[[#This Row],[Match]]&amp;" "&amp;Table11[[#This Row],[Over]]</f>
        <v>16 31</v>
      </c>
    </row>
    <row r="1210" spans="1:18" x14ac:dyDescent="0.3">
      <c r="A1210">
        <v>16</v>
      </c>
      <c r="B1210" s="1">
        <v>32</v>
      </c>
      <c r="C1210" s="1" t="s">
        <v>3316</v>
      </c>
      <c r="D1210" s="1" t="s">
        <v>904</v>
      </c>
      <c r="E1210" s="1" t="s">
        <v>1273</v>
      </c>
      <c r="F1210" s="1" t="s">
        <v>969</v>
      </c>
      <c r="G1210" s="1" t="s">
        <v>1534</v>
      </c>
      <c r="H1210" s="1" t="s">
        <v>930</v>
      </c>
      <c r="I1210" s="1" t="s">
        <v>981</v>
      </c>
      <c r="J1210" s="1" t="s">
        <v>1013</v>
      </c>
      <c r="K1210" s="1" t="s">
        <v>1523</v>
      </c>
      <c r="L1210" s="1" t="s">
        <v>2295</v>
      </c>
      <c r="M1210" s="1" t="s">
        <v>1127</v>
      </c>
      <c r="N1210">
        <f>_xlfn.NUMBERVALUE(LEFT(Table11[[#This Row],[Score]],FIND("/",Table11[[#This Row],[Score]])-1))</f>
        <v>125</v>
      </c>
      <c r="O1210">
        <f>IFERROR(_xlfn.NUMBERVALUE(LEFT(Table11[[#This Row],[Score2 ]],FIND("/",Table11[[#This Row],[Score2 ]])-1)),"")</f>
        <v>131</v>
      </c>
      <c r="P1210" t="s">
        <v>164</v>
      </c>
      <c r="Q1210" s="1" t="s">
        <v>169</v>
      </c>
      <c r="R1210" t="str">
        <f>Table11[[#This Row],[Match]]&amp;" "&amp;Table11[[#This Row],[Over]]</f>
        <v>16 32</v>
      </c>
    </row>
    <row r="1211" spans="1:18" x14ac:dyDescent="0.3">
      <c r="A1211">
        <v>16</v>
      </c>
      <c r="B1211" s="1">
        <v>33</v>
      </c>
      <c r="C1211" s="1" t="s">
        <v>1915</v>
      </c>
      <c r="D1211" s="1" t="s">
        <v>904</v>
      </c>
      <c r="E1211" s="1" t="s">
        <v>1436</v>
      </c>
      <c r="F1211" s="1" t="s">
        <v>940</v>
      </c>
      <c r="G1211" s="1" t="s">
        <v>2138</v>
      </c>
      <c r="H1211" s="1" t="s">
        <v>898</v>
      </c>
      <c r="I1211" s="1" t="s">
        <v>2021</v>
      </c>
      <c r="J1211" s="1" t="s">
        <v>976</v>
      </c>
      <c r="K1211" s="1" t="s">
        <v>2829</v>
      </c>
      <c r="L1211" s="1" t="s">
        <v>1385</v>
      </c>
      <c r="M1211" s="1" t="s">
        <v>1132</v>
      </c>
      <c r="N1211">
        <f>_xlfn.NUMBERVALUE(LEFT(Table11[[#This Row],[Score]],FIND("/",Table11[[#This Row],[Score]])-1))</f>
        <v>128</v>
      </c>
      <c r="O1211">
        <f>IFERROR(_xlfn.NUMBERVALUE(LEFT(Table11[[#This Row],[Score2 ]],FIND("/",Table11[[#This Row],[Score2 ]])-1)),"")</f>
        <v>133</v>
      </c>
      <c r="P1211" t="s">
        <v>164</v>
      </c>
      <c r="Q1211" s="1" t="s">
        <v>169</v>
      </c>
      <c r="R1211" t="str">
        <f>Table11[[#This Row],[Match]]&amp;" "&amp;Table11[[#This Row],[Over]]</f>
        <v>16 33</v>
      </c>
    </row>
    <row r="1212" spans="1:18" x14ac:dyDescent="0.3">
      <c r="A1212">
        <v>16</v>
      </c>
      <c r="B1212" s="1">
        <v>34</v>
      </c>
      <c r="C1212" s="1" t="s">
        <v>3317</v>
      </c>
      <c r="D1212" s="1" t="s">
        <v>898</v>
      </c>
      <c r="E1212" s="1" t="s">
        <v>1522</v>
      </c>
      <c r="F1212" s="1" t="s">
        <v>931</v>
      </c>
      <c r="G1212" s="1" t="s">
        <v>1347</v>
      </c>
      <c r="H1212" s="1" t="s">
        <v>947</v>
      </c>
      <c r="I1212" s="1" t="s">
        <v>2652</v>
      </c>
      <c r="J1212" s="1" t="s">
        <v>934</v>
      </c>
      <c r="K1212" s="1" t="s">
        <v>1546</v>
      </c>
      <c r="L1212" s="1" t="s">
        <v>1547</v>
      </c>
      <c r="M1212" s="1" t="s">
        <v>1138</v>
      </c>
      <c r="N1212">
        <f>_xlfn.NUMBERVALUE(LEFT(Table11[[#This Row],[Score]],FIND("/",Table11[[#This Row],[Score]])-1))</f>
        <v>130</v>
      </c>
      <c r="O1212">
        <f>IFERROR(_xlfn.NUMBERVALUE(LEFT(Table11[[#This Row],[Score2 ]],FIND("/",Table11[[#This Row],[Score2 ]])-1)),"")</f>
        <v>142</v>
      </c>
      <c r="P1212" t="s">
        <v>164</v>
      </c>
      <c r="Q1212" s="1" t="s">
        <v>169</v>
      </c>
      <c r="R1212" t="str">
        <f>Table11[[#This Row],[Match]]&amp;" "&amp;Table11[[#This Row],[Over]]</f>
        <v>16 34</v>
      </c>
    </row>
    <row r="1213" spans="1:18" x14ac:dyDescent="0.3">
      <c r="A1213">
        <v>16</v>
      </c>
      <c r="B1213" s="1">
        <v>35</v>
      </c>
      <c r="C1213" s="1" t="s">
        <v>2270</v>
      </c>
      <c r="D1213" s="1" t="s">
        <v>968</v>
      </c>
      <c r="E1213" s="1" t="s">
        <v>2474</v>
      </c>
      <c r="F1213" s="1" t="s">
        <v>1238</v>
      </c>
      <c r="G1213" s="1" t="s">
        <v>1545</v>
      </c>
      <c r="H1213" s="1" t="s">
        <v>947</v>
      </c>
      <c r="I1213" s="1" t="s">
        <v>1468</v>
      </c>
      <c r="J1213" s="1" t="s">
        <v>970</v>
      </c>
      <c r="K1213" s="1" t="s">
        <v>3318</v>
      </c>
      <c r="L1213" s="1" t="s">
        <v>2478</v>
      </c>
      <c r="M1213" s="1" t="s">
        <v>1143</v>
      </c>
      <c r="N1213">
        <f>_xlfn.NUMBERVALUE(LEFT(Table11[[#This Row],[Score]],FIND("/",Table11[[#This Row],[Score]])-1))</f>
        <v>131</v>
      </c>
      <c r="O1213">
        <f>IFERROR(_xlfn.NUMBERVALUE(LEFT(Table11[[#This Row],[Score2 ]],FIND("/",Table11[[#This Row],[Score2 ]])-1)),"")</f>
        <v>151</v>
      </c>
      <c r="P1213" t="s">
        <v>164</v>
      </c>
      <c r="Q1213" s="1" t="s">
        <v>169</v>
      </c>
      <c r="R1213" t="str">
        <f>Table11[[#This Row],[Match]]&amp;" "&amp;Table11[[#This Row],[Over]]</f>
        <v>16 35</v>
      </c>
    </row>
    <row r="1214" spans="1:18" x14ac:dyDescent="0.3">
      <c r="A1214">
        <v>16</v>
      </c>
      <c r="B1214" s="1">
        <v>36</v>
      </c>
      <c r="C1214" s="1" t="s">
        <v>3319</v>
      </c>
      <c r="D1214" s="1" t="s">
        <v>922</v>
      </c>
      <c r="E1214" s="1" t="s">
        <v>990</v>
      </c>
      <c r="F1214" s="1" t="s">
        <v>1238</v>
      </c>
      <c r="G1214" s="1" t="s">
        <v>1548</v>
      </c>
      <c r="H1214" s="1" t="s">
        <v>916</v>
      </c>
      <c r="I1214" s="1" t="s">
        <v>1035</v>
      </c>
      <c r="J1214" s="1" t="s">
        <v>952</v>
      </c>
      <c r="K1214" s="1" t="s">
        <v>3320</v>
      </c>
      <c r="L1214" s="1" t="s">
        <v>2721</v>
      </c>
      <c r="M1214" s="1" t="s">
        <v>1150</v>
      </c>
      <c r="N1214">
        <f>_xlfn.NUMBERVALUE(LEFT(Table11[[#This Row],[Score]],FIND("/",Table11[[#This Row],[Score]])-1))</f>
        <v>137</v>
      </c>
      <c r="O1214">
        <f>IFERROR(_xlfn.NUMBERVALUE(LEFT(Table11[[#This Row],[Score2 ]],FIND("/",Table11[[#This Row],[Score2 ]])-1)),"")</f>
        <v>158</v>
      </c>
      <c r="P1214" t="s">
        <v>164</v>
      </c>
      <c r="Q1214" s="1" t="s">
        <v>169</v>
      </c>
      <c r="R1214" t="str">
        <f>Table11[[#This Row],[Match]]&amp;" "&amp;Table11[[#This Row],[Over]]</f>
        <v>16 36</v>
      </c>
    </row>
    <row r="1215" spans="1:18" x14ac:dyDescent="0.3">
      <c r="A1215">
        <v>16</v>
      </c>
      <c r="B1215" s="1">
        <v>37</v>
      </c>
      <c r="C1215" s="1" t="s">
        <v>3321</v>
      </c>
      <c r="D1215" s="1" t="s">
        <v>1103</v>
      </c>
      <c r="E1215" s="1" t="s">
        <v>3322</v>
      </c>
      <c r="F1215" s="1" t="s">
        <v>1093</v>
      </c>
      <c r="G1215" s="1" t="s">
        <v>3323</v>
      </c>
      <c r="H1215" s="1" t="s">
        <v>998</v>
      </c>
      <c r="I1215" s="1" t="s">
        <v>957</v>
      </c>
      <c r="J1215" s="1" t="s">
        <v>970</v>
      </c>
      <c r="K1215" s="1" t="s">
        <v>1161</v>
      </c>
      <c r="L1215" s="1" t="s">
        <v>1163</v>
      </c>
      <c r="M1215" s="1" t="s">
        <v>1156</v>
      </c>
      <c r="N1215">
        <f>_xlfn.NUMBERVALUE(LEFT(Table11[[#This Row],[Score]],FIND("/",Table11[[#This Row],[Score]])-1))</f>
        <v>149</v>
      </c>
      <c r="O1215">
        <f>IFERROR(_xlfn.NUMBERVALUE(LEFT(Table11[[#This Row],[Score2 ]],FIND("/",Table11[[#This Row],[Score2 ]])-1)),"")</f>
        <v>162</v>
      </c>
      <c r="P1215" t="s">
        <v>164</v>
      </c>
      <c r="Q1215" s="1" t="s">
        <v>169</v>
      </c>
      <c r="R1215" t="str">
        <f>Table11[[#This Row],[Match]]&amp;" "&amp;Table11[[#This Row],[Over]]</f>
        <v>16 37</v>
      </c>
    </row>
    <row r="1216" spans="1:18" x14ac:dyDescent="0.3">
      <c r="A1216">
        <v>16</v>
      </c>
      <c r="B1216" s="1">
        <v>38</v>
      </c>
      <c r="C1216" s="1" t="s">
        <v>3302</v>
      </c>
      <c r="D1216" s="1" t="s">
        <v>898</v>
      </c>
      <c r="E1216" s="1" t="s">
        <v>2043</v>
      </c>
      <c r="F1216" s="1" t="s">
        <v>976</v>
      </c>
      <c r="G1216" s="1" t="s">
        <v>2722</v>
      </c>
      <c r="H1216" s="1" t="s">
        <v>950</v>
      </c>
      <c r="I1216" s="1" t="s">
        <v>1067</v>
      </c>
      <c r="J1216" s="1" t="s">
        <v>1053</v>
      </c>
      <c r="K1216" s="1" t="s">
        <v>1583</v>
      </c>
      <c r="L1216" s="1" t="s">
        <v>2312</v>
      </c>
      <c r="M1216" s="1" t="s">
        <v>1164</v>
      </c>
      <c r="N1216">
        <f>_xlfn.NUMBERVALUE(LEFT(Table11[[#This Row],[Score]],FIND("/",Table11[[#This Row],[Score]])-1))</f>
        <v>151</v>
      </c>
      <c r="O1216">
        <f>IFERROR(_xlfn.NUMBERVALUE(LEFT(Table11[[#This Row],[Score2 ]],FIND("/",Table11[[#This Row],[Score2 ]])-1)),"")</f>
        <v>167</v>
      </c>
      <c r="P1216" t="s">
        <v>164</v>
      </c>
      <c r="Q1216" s="1" t="s">
        <v>169</v>
      </c>
      <c r="R1216" t="str">
        <f>Table11[[#This Row],[Match]]&amp;" "&amp;Table11[[#This Row],[Over]]</f>
        <v>16 38</v>
      </c>
    </row>
    <row r="1217" spans="1:18" x14ac:dyDescent="0.3">
      <c r="A1217">
        <v>16</v>
      </c>
      <c r="B1217" s="1">
        <v>39</v>
      </c>
      <c r="C1217" s="1" t="s">
        <v>3176</v>
      </c>
      <c r="D1217" s="1" t="s">
        <v>1511</v>
      </c>
      <c r="E1217" s="1" t="s">
        <v>1124</v>
      </c>
      <c r="F1217" s="1" t="s">
        <v>1068</v>
      </c>
      <c r="G1217" s="1" t="s">
        <v>2724</v>
      </c>
      <c r="H1217" s="1" t="s">
        <v>930</v>
      </c>
      <c r="I1217" s="1" t="s">
        <v>1759</v>
      </c>
      <c r="J1217" s="1" t="s">
        <v>960</v>
      </c>
      <c r="K1217" s="1" t="s">
        <v>1570</v>
      </c>
      <c r="L1217" s="1" t="s">
        <v>1571</v>
      </c>
      <c r="M1217" s="1" t="s">
        <v>1171</v>
      </c>
      <c r="N1217">
        <f>_xlfn.NUMBERVALUE(LEFT(Table11[[#This Row],[Score]],FIND("/",Table11[[#This Row],[Score]])-1))</f>
        <v>167</v>
      </c>
      <c r="O1217">
        <f>IFERROR(_xlfn.NUMBERVALUE(LEFT(Table11[[#This Row],[Score2 ]],FIND("/",Table11[[#This Row],[Score2 ]])-1)),"")</f>
        <v>175</v>
      </c>
      <c r="P1217" t="s">
        <v>164</v>
      </c>
      <c r="Q1217" s="1" t="s">
        <v>169</v>
      </c>
      <c r="R1217" t="str">
        <f>Table11[[#This Row],[Match]]&amp;" "&amp;Table11[[#This Row],[Over]]</f>
        <v>16 39</v>
      </c>
    </row>
    <row r="1218" spans="1:18" x14ac:dyDescent="0.3">
      <c r="A1218">
        <v>16</v>
      </c>
      <c r="B1218" s="1">
        <v>40</v>
      </c>
      <c r="C1218" s="1" t="s">
        <v>2902</v>
      </c>
      <c r="D1218" s="1" t="s">
        <v>1051</v>
      </c>
      <c r="E1218" s="1" t="s">
        <v>1060</v>
      </c>
      <c r="F1218" s="1" t="s">
        <v>1226</v>
      </c>
      <c r="G1218" s="1" t="s">
        <v>3324</v>
      </c>
      <c r="H1218" s="1" t="s">
        <v>947</v>
      </c>
      <c r="I1218" s="1" t="s">
        <v>976</v>
      </c>
      <c r="J1218" s="1" t="s">
        <v>960</v>
      </c>
      <c r="K1218" s="1" t="s">
        <v>1136</v>
      </c>
      <c r="L1218" s="1" t="s">
        <v>2537</v>
      </c>
      <c r="M1218" s="1" t="s">
        <v>1177</v>
      </c>
      <c r="N1218">
        <f>_xlfn.NUMBERVALUE(LEFT(Table11[[#This Row],[Score]],FIND("/",Table11[[#This Row],[Score]])-1))</f>
        <v>178</v>
      </c>
      <c r="O1218">
        <f>IFERROR(_xlfn.NUMBERVALUE(LEFT(Table11[[#This Row],[Score2 ]],FIND("/",Table11[[#This Row],[Score2 ]])-1)),"")</f>
        <v>184</v>
      </c>
      <c r="P1218" t="s">
        <v>164</v>
      </c>
      <c r="Q1218" s="1" t="s">
        <v>169</v>
      </c>
      <c r="R1218" t="str">
        <f>Table11[[#This Row],[Match]]&amp;" "&amp;Table11[[#This Row],[Over]]</f>
        <v>16 40</v>
      </c>
    </row>
    <row r="1219" spans="1:18" x14ac:dyDescent="0.3">
      <c r="A1219">
        <v>16</v>
      </c>
      <c r="B1219" s="1">
        <v>41</v>
      </c>
      <c r="C1219" s="1" t="s">
        <v>2907</v>
      </c>
      <c r="D1219" s="1" t="s">
        <v>933</v>
      </c>
      <c r="E1219" s="1" t="s">
        <v>1018</v>
      </c>
      <c r="F1219" s="1" t="s">
        <v>1213</v>
      </c>
      <c r="G1219" s="1" t="s">
        <v>3325</v>
      </c>
      <c r="H1219" s="1" t="s">
        <v>1095</v>
      </c>
      <c r="I1219" s="1" t="s">
        <v>1012</v>
      </c>
      <c r="J1219" s="1" t="s">
        <v>1116</v>
      </c>
      <c r="K1219" s="1" t="s">
        <v>2839</v>
      </c>
      <c r="L1219" s="1" t="s">
        <v>1791</v>
      </c>
      <c r="M1219" s="1" t="s">
        <v>1183</v>
      </c>
      <c r="N1219">
        <f>_xlfn.NUMBERVALUE(LEFT(Table11[[#This Row],[Score]],FIND("/",Table11[[#This Row],[Score]])-1))</f>
        <v>192</v>
      </c>
      <c r="O1219">
        <f>IFERROR(_xlfn.NUMBERVALUE(LEFT(Table11[[#This Row],[Score2 ]],FIND("/",Table11[[#This Row],[Score2 ]])-1)),"")</f>
        <v>194</v>
      </c>
      <c r="P1219" t="s">
        <v>164</v>
      </c>
      <c r="Q1219" s="1" t="s">
        <v>169</v>
      </c>
      <c r="R1219" t="str">
        <f>Table11[[#This Row],[Match]]&amp;" "&amp;Table11[[#This Row],[Over]]</f>
        <v>16 41</v>
      </c>
    </row>
    <row r="1220" spans="1:18" x14ac:dyDescent="0.3">
      <c r="A1220">
        <v>16</v>
      </c>
      <c r="B1220" s="1">
        <v>42</v>
      </c>
      <c r="C1220" s="1" t="s">
        <v>3326</v>
      </c>
      <c r="D1220" s="1" t="s">
        <v>930</v>
      </c>
      <c r="E1220" s="1" t="s">
        <v>1187</v>
      </c>
      <c r="F1220" s="1" t="s">
        <v>1746</v>
      </c>
      <c r="G1220" s="1" t="s">
        <v>3327</v>
      </c>
      <c r="H1220" s="1" t="s">
        <v>1390</v>
      </c>
      <c r="I1220" s="1" t="s">
        <v>1325</v>
      </c>
      <c r="J1220" s="1" t="s">
        <v>1161</v>
      </c>
      <c r="K1220" s="1" t="s">
        <v>1161</v>
      </c>
      <c r="L1220" s="1" t="s">
        <v>1164</v>
      </c>
      <c r="M1220" s="1" t="s">
        <v>1190</v>
      </c>
      <c r="N1220">
        <f>_xlfn.NUMBERVALUE(LEFT(Table11[[#This Row],[Score]],FIND("/",Table11[[#This Row],[Score]])-1))</f>
        <v>200</v>
      </c>
      <c r="O1220">
        <f>IFERROR(_xlfn.NUMBERVALUE(LEFT(Table11[[#This Row],[Score2 ]],FIND("/",Table11[[#This Row],[Score2 ]])-1)),"")</f>
        <v>207</v>
      </c>
      <c r="P1220" t="s">
        <v>164</v>
      </c>
      <c r="Q1220" s="1" t="s">
        <v>169</v>
      </c>
      <c r="R1220" t="str">
        <f>Table11[[#This Row],[Match]]&amp;" "&amp;Table11[[#This Row],[Over]]</f>
        <v>16 42</v>
      </c>
    </row>
    <row r="1221" spans="1:18" x14ac:dyDescent="0.3">
      <c r="A1221">
        <v>16</v>
      </c>
      <c r="B1221" s="1">
        <v>43</v>
      </c>
      <c r="C1221" s="1" t="s">
        <v>3328</v>
      </c>
      <c r="D1221" s="1" t="s">
        <v>933</v>
      </c>
      <c r="E1221" s="1" t="s">
        <v>1582</v>
      </c>
      <c r="F1221" s="1" t="s">
        <v>2322</v>
      </c>
      <c r="G1221" s="1" t="s">
        <v>3329</v>
      </c>
      <c r="H1221" s="1" t="s">
        <v>1103</v>
      </c>
      <c r="I1221" s="1" t="s">
        <v>2186</v>
      </c>
      <c r="J1221" s="1" t="s">
        <v>1409</v>
      </c>
      <c r="K1221" s="1" t="s">
        <v>3330</v>
      </c>
      <c r="L1221" s="1" t="s">
        <v>1177</v>
      </c>
      <c r="M1221" s="1" t="s">
        <v>1197</v>
      </c>
      <c r="N1221">
        <f>_xlfn.NUMBERVALUE(LEFT(Table11[[#This Row],[Score]],FIND("/",Table11[[#This Row],[Score]])-1))</f>
        <v>214</v>
      </c>
      <c r="O1221">
        <f>IFERROR(_xlfn.NUMBERVALUE(LEFT(Table11[[#This Row],[Score2 ]],FIND("/",Table11[[#This Row],[Score2 ]])-1)),"")</f>
        <v>219</v>
      </c>
      <c r="P1221" t="s">
        <v>164</v>
      </c>
      <c r="Q1221" s="1" t="s">
        <v>169</v>
      </c>
      <c r="R1221" t="str">
        <f>Table11[[#This Row],[Match]]&amp;" "&amp;Table11[[#This Row],[Over]]</f>
        <v>16 43</v>
      </c>
    </row>
    <row r="1222" spans="1:18" x14ac:dyDescent="0.3">
      <c r="A1222">
        <v>16</v>
      </c>
      <c r="B1222" s="1">
        <v>44</v>
      </c>
      <c r="C1222" s="1" t="s">
        <v>3331</v>
      </c>
      <c r="D1222" s="1" t="s">
        <v>1051</v>
      </c>
      <c r="E1222" s="1" t="s">
        <v>1643</v>
      </c>
      <c r="F1222" s="1" t="s">
        <v>1591</v>
      </c>
      <c r="G1222" s="1" t="s">
        <v>3332</v>
      </c>
      <c r="H1222" s="1" t="s">
        <v>1103</v>
      </c>
      <c r="I1222" s="1" t="s">
        <v>1722</v>
      </c>
      <c r="J1222" s="1" t="s">
        <v>1207</v>
      </c>
      <c r="K1222" s="1" t="s">
        <v>1089</v>
      </c>
      <c r="L1222" s="1" t="s">
        <v>1190</v>
      </c>
      <c r="M1222" s="1" t="s">
        <v>1205</v>
      </c>
      <c r="N1222">
        <f>_xlfn.NUMBERVALUE(LEFT(Table11[[#This Row],[Score]],FIND("/",Table11[[#This Row],[Score]])-1))</f>
        <v>225</v>
      </c>
      <c r="O1222">
        <f>IFERROR(_xlfn.NUMBERVALUE(LEFT(Table11[[#This Row],[Score2 ]],FIND("/",Table11[[#This Row],[Score2 ]])-1)),"")</f>
        <v>231</v>
      </c>
      <c r="P1222" t="s">
        <v>164</v>
      </c>
      <c r="Q1222" s="1" t="s">
        <v>169</v>
      </c>
      <c r="R1222" t="str">
        <f>Table11[[#This Row],[Match]]&amp;" "&amp;Table11[[#This Row],[Over]]</f>
        <v>16 44</v>
      </c>
    </row>
    <row r="1223" spans="1:18" x14ac:dyDescent="0.3">
      <c r="A1223">
        <v>16</v>
      </c>
      <c r="B1223" s="1">
        <v>45</v>
      </c>
      <c r="C1223" s="1" t="s">
        <v>2915</v>
      </c>
      <c r="D1223" s="1" t="s">
        <v>950</v>
      </c>
      <c r="E1223" s="1" t="s">
        <v>1643</v>
      </c>
      <c r="F1223" s="1" t="s">
        <v>1409</v>
      </c>
      <c r="G1223" s="1" t="s">
        <v>2514</v>
      </c>
      <c r="H1223" s="1" t="s">
        <v>1103</v>
      </c>
      <c r="I1223" s="1" t="s">
        <v>966</v>
      </c>
      <c r="J1223" s="1" t="s">
        <v>2205</v>
      </c>
      <c r="K1223" s="1" t="s">
        <v>1116</v>
      </c>
      <c r="L1223" s="1" t="s">
        <v>1205</v>
      </c>
      <c r="M1223" s="1" t="s">
        <v>1211</v>
      </c>
      <c r="N1223">
        <f>_xlfn.NUMBERVALUE(LEFT(Table11[[#This Row],[Score]],FIND("/",Table11[[#This Row],[Score]])-1))</f>
        <v>230</v>
      </c>
      <c r="O1223">
        <f>IFERROR(_xlfn.NUMBERVALUE(LEFT(Table11[[#This Row],[Score2 ]],FIND("/",Table11[[#This Row],[Score2 ]])-1)),"")</f>
        <v>243</v>
      </c>
      <c r="P1223" t="s">
        <v>164</v>
      </c>
      <c r="Q1223" s="1" t="s">
        <v>169</v>
      </c>
      <c r="R1223" t="str">
        <f>Table11[[#This Row],[Match]]&amp;" "&amp;Table11[[#This Row],[Over]]</f>
        <v>16 45</v>
      </c>
    </row>
    <row r="1224" spans="1:18" x14ac:dyDescent="0.3">
      <c r="A1224">
        <v>16</v>
      </c>
      <c r="B1224" s="1">
        <v>46</v>
      </c>
      <c r="C1224" s="1" t="s">
        <v>2401</v>
      </c>
      <c r="D1224" s="1" t="s">
        <v>930</v>
      </c>
      <c r="E1224" s="1" t="s">
        <v>1573</v>
      </c>
      <c r="F1224" s="1" t="s">
        <v>1200</v>
      </c>
      <c r="G1224" s="1" t="s">
        <v>3333</v>
      </c>
      <c r="H1224" s="1" t="s">
        <v>1390</v>
      </c>
      <c r="I1224" s="1" t="s">
        <v>1607</v>
      </c>
      <c r="J1224" s="1" t="s">
        <v>3197</v>
      </c>
      <c r="K1224" s="1" t="s">
        <v>1601</v>
      </c>
      <c r="L1224" s="1" t="s">
        <v>1698</v>
      </c>
      <c r="M1224" s="1" t="s">
        <v>1216</v>
      </c>
      <c r="N1224">
        <f>_xlfn.NUMBERVALUE(LEFT(Table11[[#This Row],[Score]],FIND("/",Table11[[#This Row],[Score]])-1))</f>
        <v>238</v>
      </c>
      <c r="O1224">
        <f>IFERROR(_xlfn.NUMBERVALUE(LEFT(Table11[[#This Row],[Score2 ]],FIND("/",Table11[[#This Row],[Score2 ]])-1)),"")</f>
        <v>256</v>
      </c>
      <c r="P1224" t="s">
        <v>164</v>
      </c>
      <c r="Q1224" s="1" t="s">
        <v>169</v>
      </c>
      <c r="R1224" t="str">
        <f>Table11[[#This Row],[Match]]&amp;" "&amp;Table11[[#This Row],[Over]]</f>
        <v>16 46</v>
      </c>
    </row>
    <row r="1225" spans="1:18" x14ac:dyDescent="0.3">
      <c r="A1225">
        <v>16</v>
      </c>
      <c r="B1225" s="1">
        <v>47</v>
      </c>
      <c r="C1225" s="1" t="s">
        <v>2741</v>
      </c>
      <c r="D1225" s="1" t="s">
        <v>930</v>
      </c>
      <c r="E1225" s="1" t="s">
        <v>2718</v>
      </c>
      <c r="F1225" s="1" t="s">
        <v>1200</v>
      </c>
      <c r="G1225" s="1" t="s">
        <v>3334</v>
      </c>
      <c r="H1225" s="1" t="s">
        <v>904</v>
      </c>
      <c r="I1225" s="1" t="s">
        <v>1378</v>
      </c>
      <c r="J1225" s="1" t="s">
        <v>1409</v>
      </c>
      <c r="K1225" s="1" t="s">
        <v>1260</v>
      </c>
      <c r="L1225" s="1" t="s">
        <v>1670</v>
      </c>
      <c r="M1225" s="1" t="s">
        <v>1223</v>
      </c>
      <c r="N1225">
        <f>_xlfn.NUMBERVALUE(LEFT(Table11[[#This Row],[Score]],FIND("/",Table11[[#This Row],[Score]])-1))</f>
        <v>246</v>
      </c>
      <c r="O1225">
        <f>IFERROR(_xlfn.NUMBERVALUE(LEFT(Table11[[#This Row],[Score2 ]],FIND("/",Table11[[#This Row],[Score2 ]])-1)),"")</f>
        <v>259</v>
      </c>
      <c r="P1225" t="s">
        <v>164</v>
      </c>
      <c r="Q1225" s="1" t="s">
        <v>169</v>
      </c>
      <c r="R1225" t="str">
        <f>Table11[[#This Row],[Match]]&amp;" "&amp;Table11[[#This Row],[Over]]</f>
        <v>16 47</v>
      </c>
    </row>
    <row r="1226" spans="1:18" x14ac:dyDescent="0.3">
      <c r="A1226">
        <v>16</v>
      </c>
      <c r="B1226" s="1">
        <v>48</v>
      </c>
      <c r="C1226" s="1" t="s">
        <v>3335</v>
      </c>
      <c r="D1226" s="1" t="s">
        <v>1684</v>
      </c>
      <c r="E1226" s="1" t="s">
        <v>1677</v>
      </c>
      <c r="F1226" s="1" t="s">
        <v>1746</v>
      </c>
      <c r="G1226" s="1" t="s">
        <v>3336</v>
      </c>
      <c r="H1226" s="1" t="s">
        <v>1095</v>
      </c>
      <c r="I1226" s="1" t="s">
        <v>934</v>
      </c>
      <c r="J1226" s="1" t="s">
        <v>2055</v>
      </c>
      <c r="K1226" s="1" t="s">
        <v>969</v>
      </c>
      <c r="L1226" s="1" t="s">
        <v>1095</v>
      </c>
      <c r="M1226" s="1" t="s">
        <v>1103</v>
      </c>
      <c r="N1226">
        <f>_xlfn.NUMBERVALUE(LEFT(Table11[[#This Row],[Score]],FIND("/",Table11[[#This Row],[Score]])-1))</f>
        <v>265</v>
      </c>
      <c r="O1226">
        <f>IFERROR(_xlfn.NUMBERVALUE(LEFT(Table11[[#This Row],[Score2 ]],FIND("/",Table11[[#This Row],[Score2 ]])-1)),"")</f>
        <v>269</v>
      </c>
      <c r="P1226" t="s">
        <v>164</v>
      </c>
      <c r="Q1226" s="1" t="s">
        <v>169</v>
      </c>
      <c r="R1226" t="str">
        <f>Table11[[#This Row],[Match]]&amp;" "&amp;Table11[[#This Row],[Over]]</f>
        <v>16 48</v>
      </c>
    </row>
    <row r="1227" spans="1:18" x14ac:dyDescent="0.3">
      <c r="A1227">
        <v>16</v>
      </c>
      <c r="B1227" s="1">
        <v>49</v>
      </c>
      <c r="C1227" s="1" t="s">
        <v>3337</v>
      </c>
      <c r="D1227" s="1" t="s">
        <v>950</v>
      </c>
      <c r="E1227" s="1" t="s">
        <v>1378</v>
      </c>
      <c r="F1227" s="1" t="s">
        <v>1161</v>
      </c>
      <c r="G1227" s="1" t="s">
        <v>3338</v>
      </c>
      <c r="H1227" s="1" t="s">
        <v>916</v>
      </c>
      <c r="I1227" s="1" t="s">
        <v>2133</v>
      </c>
      <c r="J1227" s="1" t="s">
        <v>1161</v>
      </c>
      <c r="K1227" s="1" t="s">
        <v>1238</v>
      </c>
      <c r="L1227" s="1" t="s">
        <v>904</v>
      </c>
      <c r="M1227" s="1" t="s">
        <v>922</v>
      </c>
      <c r="N1227">
        <f>_xlfn.NUMBERVALUE(LEFT(Table11[[#This Row],[Score]],FIND("/",Table11[[#This Row],[Score]])-1))</f>
        <v>270</v>
      </c>
      <c r="O1227">
        <f>IFERROR(_xlfn.NUMBERVALUE(LEFT(Table11[[#This Row],[Score2 ]],FIND("/",Table11[[#This Row],[Score2 ]])-1)),"")</f>
        <v>276</v>
      </c>
      <c r="P1227" t="s">
        <v>164</v>
      </c>
      <c r="Q1227" s="1" t="s">
        <v>169</v>
      </c>
      <c r="R1227" t="str">
        <f>Table11[[#This Row],[Match]]&amp;" "&amp;Table11[[#This Row],[Over]]</f>
        <v>16 49</v>
      </c>
    </row>
    <row r="1228" spans="1:18" x14ac:dyDescent="0.3">
      <c r="A1228">
        <v>16</v>
      </c>
      <c r="B1228" s="1">
        <v>50</v>
      </c>
      <c r="C1228" s="1" t="s">
        <v>3339</v>
      </c>
      <c r="D1228" s="1" t="s">
        <v>930</v>
      </c>
      <c r="E1228" s="1" t="s">
        <v>1607</v>
      </c>
      <c r="F1228" s="1" t="s">
        <v>1219</v>
      </c>
      <c r="G1228" s="1" t="s">
        <v>3340</v>
      </c>
      <c r="H1228" s="1" t="s">
        <v>3341</v>
      </c>
      <c r="I1228" s="1" t="s">
        <v>3342</v>
      </c>
      <c r="J1228" s="1" t="s">
        <v>3343</v>
      </c>
      <c r="K1228" s="1" t="s">
        <v>1622</v>
      </c>
      <c r="L1228" s="1" t="s">
        <v>1007</v>
      </c>
      <c r="M1228" s="1" t="s">
        <v>1007</v>
      </c>
      <c r="N1228">
        <f>_xlfn.NUMBERVALUE(LEFT(Table11[[#This Row],[Score]],FIND("/",Table11[[#This Row],[Score]])-1))</f>
        <v>278</v>
      </c>
      <c r="O1228">
        <f>IFERROR(_xlfn.NUMBERVALUE(LEFT(Table11[[#This Row],[Score2 ]],FIND("/",Table11[[#This Row],[Score2 ]])-1)),"")</f>
        <v>279</v>
      </c>
      <c r="P1228" t="s">
        <v>164</v>
      </c>
      <c r="Q1228" s="1" t="s">
        <v>169</v>
      </c>
      <c r="R1228" t="str">
        <f>Table11[[#This Row],[Match]]&amp;" "&amp;Table11[[#This Row],[Over]]</f>
        <v>16 50</v>
      </c>
    </row>
    <row r="1229" spans="1:18" x14ac:dyDescent="0.3">
      <c r="A1229">
        <v>17</v>
      </c>
      <c r="B1229" s="1">
        <v>1</v>
      </c>
      <c r="C1229" s="1" t="s">
        <v>2686</v>
      </c>
      <c r="D1229" s="1" t="s">
        <v>968</v>
      </c>
      <c r="E1229" s="1" t="s">
        <v>1662</v>
      </c>
      <c r="F1229" s="1" t="s">
        <v>348</v>
      </c>
      <c r="G1229" s="1" t="s">
        <v>2686</v>
      </c>
      <c r="H1229" s="1" t="s">
        <v>968</v>
      </c>
      <c r="I1229" s="1" t="s">
        <v>1662</v>
      </c>
      <c r="J1229" s="1" t="s">
        <v>348</v>
      </c>
      <c r="K1229" s="1" t="s">
        <v>1124</v>
      </c>
      <c r="L1229" s="1" t="s">
        <v>1016</v>
      </c>
      <c r="M1229" s="1" t="s">
        <v>902</v>
      </c>
      <c r="N1229">
        <f>_xlfn.NUMBERVALUE(LEFT(Table11[[#This Row],[Score]],FIND("/",Table11[[#This Row],[Score]])-1))</f>
        <v>1</v>
      </c>
      <c r="O1229">
        <f>IFERROR(_xlfn.NUMBERVALUE(LEFT(Table11[[#This Row],[Score2 ]],FIND("/",Table11[[#This Row],[Score2 ]])-1)),"")</f>
        <v>1</v>
      </c>
      <c r="P1229" t="s">
        <v>176</v>
      </c>
      <c r="Q1229" s="1" t="s">
        <v>185</v>
      </c>
      <c r="R1229" t="str">
        <f>Table11[[#This Row],[Match]]&amp;" "&amp;Table11[[#This Row],[Over]]</f>
        <v>17 1</v>
      </c>
    </row>
    <row r="1230" spans="1:18" x14ac:dyDescent="0.3">
      <c r="A1230">
        <v>17</v>
      </c>
      <c r="B1230" s="1">
        <v>2</v>
      </c>
      <c r="C1230" s="1" t="s">
        <v>1625</v>
      </c>
      <c r="D1230" s="1" t="s">
        <v>922</v>
      </c>
      <c r="E1230" s="1" t="s">
        <v>925</v>
      </c>
      <c r="F1230" s="1" t="s">
        <v>348</v>
      </c>
      <c r="G1230" s="1" t="s">
        <v>1418</v>
      </c>
      <c r="H1230" s="1" t="s">
        <v>898</v>
      </c>
      <c r="I1230" s="1" t="s">
        <v>1822</v>
      </c>
      <c r="J1230" s="1" t="s">
        <v>348</v>
      </c>
      <c r="K1230" s="1" t="s">
        <v>989</v>
      </c>
      <c r="L1230" s="1" t="s">
        <v>2020</v>
      </c>
      <c r="M1230" s="1" t="s">
        <v>909</v>
      </c>
      <c r="N1230">
        <f>_xlfn.NUMBERVALUE(LEFT(Table11[[#This Row],[Score]],FIND("/",Table11[[#This Row],[Score]])-1))</f>
        <v>7</v>
      </c>
      <c r="O1230">
        <f>IFERROR(_xlfn.NUMBERVALUE(LEFT(Table11[[#This Row],[Score2 ]],FIND("/",Table11[[#This Row],[Score2 ]])-1)),"")</f>
        <v>3</v>
      </c>
      <c r="P1230" t="s">
        <v>176</v>
      </c>
      <c r="Q1230" s="1" t="s">
        <v>185</v>
      </c>
      <c r="R1230" t="str">
        <f>Table11[[#This Row],[Match]]&amp;" "&amp;Table11[[#This Row],[Over]]</f>
        <v>17 2</v>
      </c>
    </row>
    <row r="1231" spans="1:18" x14ac:dyDescent="0.3">
      <c r="A1231">
        <v>17</v>
      </c>
      <c r="B1231" s="1">
        <v>3</v>
      </c>
      <c r="C1231" s="1" t="s">
        <v>1243</v>
      </c>
      <c r="D1231" s="1" t="s">
        <v>950</v>
      </c>
      <c r="E1231" s="1" t="s">
        <v>939</v>
      </c>
      <c r="F1231" s="1" t="s">
        <v>348</v>
      </c>
      <c r="G1231" s="1" t="s">
        <v>1421</v>
      </c>
      <c r="H1231" s="1" t="s">
        <v>916</v>
      </c>
      <c r="I1231" s="1" t="s">
        <v>1265</v>
      </c>
      <c r="J1231" s="1" t="s">
        <v>348</v>
      </c>
      <c r="K1231" s="1" t="s">
        <v>983</v>
      </c>
      <c r="L1231" s="1" t="s">
        <v>1314</v>
      </c>
      <c r="M1231" s="1" t="s">
        <v>920</v>
      </c>
      <c r="N1231">
        <f>_xlfn.NUMBERVALUE(LEFT(Table11[[#This Row],[Score]],FIND("/",Table11[[#This Row],[Score]])-1))</f>
        <v>12</v>
      </c>
      <c r="O1231">
        <f>IFERROR(_xlfn.NUMBERVALUE(LEFT(Table11[[#This Row],[Score2 ]],FIND("/",Table11[[#This Row],[Score2 ]])-1)),"")</f>
        <v>10</v>
      </c>
      <c r="P1231" t="s">
        <v>176</v>
      </c>
      <c r="Q1231" s="1" t="s">
        <v>185</v>
      </c>
      <c r="R1231" t="str">
        <f>Table11[[#This Row],[Match]]&amp;" "&amp;Table11[[#This Row],[Over]]</f>
        <v>17 3</v>
      </c>
    </row>
    <row r="1232" spans="1:18" x14ac:dyDescent="0.3">
      <c r="A1232">
        <v>17</v>
      </c>
      <c r="B1232" s="1">
        <v>4</v>
      </c>
      <c r="C1232" s="1" t="s">
        <v>2530</v>
      </c>
      <c r="D1232" s="1" t="s">
        <v>922</v>
      </c>
      <c r="E1232" s="1" t="s">
        <v>1021</v>
      </c>
      <c r="F1232" s="1" t="s">
        <v>348</v>
      </c>
      <c r="G1232" s="1" t="s">
        <v>2326</v>
      </c>
      <c r="H1232" s="1" t="s">
        <v>930</v>
      </c>
      <c r="I1232" s="1" t="s">
        <v>1021</v>
      </c>
      <c r="J1232" s="1" t="s">
        <v>348</v>
      </c>
      <c r="K1232" s="1" t="s">
        <v>1087</v>
      </c>
      <c r="L1232" s="1" t="s">
        <v>1328</v>
      </c>
      <c r="M1232" s="1" t="s">
        <v>928</v>
      </c>
      <c r="N1232">
        <f>_xlfn.NUMBERVALUE(LEFT(Table11[[#This Row],[Score]],FIND("/",Table11[[#This Row],[Score]])-1))</f>
        <v>18</v>
      </c>
      <c r="O1232">
        <f>IFERROR(_xlfn.NUMBERVALUE(LEFT(Table11[[#This Row],[Score2 ]],FIND("/",Table11[[#This Row],[Score2 ]])-1)),"")</f>
        <v>18</v>
      </c>
      <c r="P1232" t="s">
        <v>176</v>
      </c>
      <c r="Q1232" s="1" t="s">
        <v>185</v>
      </c>
      <c r="R1232" t="str">
        <f>Table11[[#This Row],[Match]]&amp;" "&amp;Table11[[#This Row],[Over]]</f>
        <v>17 4</v>
      </c>
    </row>
    <row r="1233" spans="1:18" x14ac:dyDescent="0.3">
      <c r="A1233">
        <v>17</v>
      </c>
      <c r="B1233" s="1">
        <v>5</v>
      </c>
      <c r="C1233" s="1" t="s">
        <v>3150</v>
      </c>
      <c r="D1233" s="1" t="s">
        <v>950</v>
      </c>
      <c r="E1233" s="1" t="s">
        <v>976</v>
      </c>
      <c r="F1233" s="1" t="s">
        <v>976</v>
      </c>
      <c r="G1233" s="1" t="s">
        <v>1724</v>
      </c>
      <c r="H1233" s="1" t="s">
        <v>947</v>
      </c>
      <c r="I1233" s="1" t="s">
        <v>966</v>
      </c>
      <c r="J1233" s="1" t="s">
        <v>966</v>
      </c>
      <c r="K1233" s="1" t="s">
        <v>1500</v>
      </c>
      <c r="L1233" s="1" t="s">
        <v>1519</v>
      </c>
      <c r="M1233" s="1" t="s">
        <v>937</v>
      </c>
      <c r="N1233">
        <f>_xlfn.NUMBERVALUE(LEFT(Table11[[#This Row],[Score]],FIND("/",Table11[[#This Row],[Score]])-1))</f>
        <v>23</v>
      </c>
      <c r="O1233">
        <f>IFERROR(_xlfn.NUMBERVALUE(LEFT(Table11[[#This Row],[Score2 ]],FIND("/",Table11[[#This Row],[Score2 ]])-1)),"")</f>
        <v>27</v>
      </c>
      <c r="P1233" t="s">
        <v>176</v>
      </c>
      <c r="Q1233" s="1" t="s">
        <v>185</v>
      </c>
      <c r="R1233" t="str">
        <f>Table11[[#This Row],[Match]]&amp;" "&amp;Table11[[#This Row],[Over]]</f>
        <v>17 5</v>
      </c>
    </row>
    <row r="1234" spans="1:18" x14ac:dyDescent="0.3">
      <c r="A1234">
        <v>17</v>
      </c>
      <c r="B1234" s="1">
        <v>6</v>
      </c>
      <c r="C1234" s="1" t="s">
        <v>3150</v>
      </c>
      <c r="D1234" s="1" t="s">
        <v>1007</v>
      </c>
      <c r="E1234" s="1" t="s">
        <v>1731</v>
      </c>
      <c r="F1234" s="1" t="s">
        <v>940</v>
      </c>
      <c r="G1234" s="1" t="s">
        <v>1976</v>
      </c>
      <c r="H1234" s="1" t="s">
        <v>998</v>
      </c>
      <c r="I1234" s="1" t="s">
        <v>1587</v>
      </c>
      <c r="J1234" s="1" t="s">
        <v>1019</v>
      </c>
      <c r="K1234" s="1" t="s">
        <v>981</v>
      </c>
      <c r="L1234" s="1" t="s">
        <v>1049</v>
      </c>
      <c r="M1234" s="1" t="s">
        <v>945</v>
      </c>
      <c r="N1234">
        <f>_xlfn.NUMBERVALUE(LEFT(Table11[[#This Row],[Score]],FIND("/",Table11[[#This Row],[Score]])-1))</f>
        <v>23</v>
      </c>
      <c r="O1234">
        <f>IFERROR(_xlfn.NUMBERVALUE(LEFT(Table11[[#This Row],[Score2 ]],FIND("/",Table11[[#This Row],[Score2 ]])-1)),"")</f>
        <v>31</v>
      </c>
      <c r="P1234" t="s">
        <v>176</v>
      </c>
      <c r="Q1234" s="1" t="s">
        <v>185</v>
      </c>
      <c r="R1234" t="str">
        <f>Table11[[#This Row],[Match]]&amp;" "&amp;Table11[[#This Row],[Over]]</f>
        <v>17 6</v>
      </c>
    </row>
    <row r="1235" spans="1:18" x14ac:dyDescent="0.3">
      <c r="A1235">
        <v>17</v>
      </c>
      <c r="B1235" s="1">
        <v>7</v>
      </c>
      <c r="C1235" s="1" t="s">
        <v>2691</v>
      </c>
      <c r="D1235" s="1" t="s">
        <v>930</v>
      </c>
      <c r="E1235" s="1" t="s">
        <v>1006</v>
      </c>
      <c r="F1235" s="1" t="s">
        <v>1093</v>
      </c>
      <c r="G1235" s="1" t="s">
        <v>2439</v>
      </c>
      <c r="H1235" s="1" t="s">
        <v>947</v>
      </c>
      <c r="I1235" s="1" t="s">
        <v>2153</v>
      </c>
      <c r="J1235" s="1" t="s">
        <v>1068</v>
      </c>
      <c r="K1235" s="1" t="s">
        <v>2043</v>
      </c>
      <c r="L1235" s="1" t="s">
        <v>1851</v>
      </c>
      <c r="M1235" s="1" t="s">
        <v>955</v>
      </c>
      <c r="N1235">
        <f>_xlfn.NUMBERVALUE(LEFT(Table11[[#This Row],[Score]],FIND("/",Table11[[#This Row],[Score]])-1))</f>
        <v>31</v>
      </c>
      <c r="O1235">
        <f>IFERROR(_xlfn.NUMBERVALUE(LEFT(Table11[[#This Row],[Score2 ]],FIND("/",Table11[[#This Row],[Score2 ]])-1)),"")</f>
        <v>40</v>
      </c>
      <c r="P1235" t="s">
        <v>176</v>
      </c>
      <c r="Q1235" s="1" t="s">
        <v>185</v>
      </c>
      <c r="R1235" t="str">
        <f>Table11[[#This Row],[Match]]&amp;" "&amp;Table11[[#This Row],[Over]]</f>
        <v>17 7</v>
      </c>
    </row>
    <row r="1236" spans="1:18" x14ac:dyDescent="0.3">
      <c r="A1236">
        <v>17</v>
      </c>
      <c r="B1236" s="1">
        <v>8</v>
      </c>
      <c r="C1236" s="1" t="s">
        <v>2995</v>
      </c>
      <c r="D1236" s="1" t="s">
        <v>898</v>
      </c>
      <c r="E1236" s="1" t="s">
        <v>2897</v>
      </c>
      <c r="F1236" s="1" t="s">
        <v>931</v>
      </c>
      <c r="G1236" s="1" t="s">
        <v>1987</v>
      </c>
      <c r="H1236" s="1" t="s">
        <v>922</v>
      </c>
      <c r="I1236" s="1" t="s">
        <v>1601</v>
      </c>
      <c r="J1236" s="1" t="s">
        <v>1116</v>
      </c>
      <c r="K1236" s="1" t="s">
        <v>1507</v>
      </c>
      <c r="L1236" s="1" t="s">
        <v>2707</v>
      </c>
      <c r="M1236" s="1" t="s">
        <v>963</v>
      </c>
      <c r="N1236">
        <f>_xlfn.NUMBERVALUE(LEFT(Table11[[#This Row],[Score]],FIND("/",Table11[[#This Row],[Score]])-1))</f>
        <v>33</v>
      </c>
      <c r="O1236">
        <f>IFERROR(_xlfn.NUMBERVALUE(LEFT(Table11[[#This Row],[Score2 ]],FIND("/",Table11[[#This Row],[Score2 ]])-1)),"")</f>
        <v>46</v>
      </c>
      <c r="P1236" t="s">
        <v>176</v>
      </c>
      <c r="Q1236" s="1" t="s">
        <v>185</v>
      </c>
      <c r="R1236" t="str">
        <f>Table11[[#This Row],[Match]]&amp;" "&amp;Table11[[#This Row],[Over]]</f>
        <v>17 8</v>
      </c>
    </row>
    <row r="1237" spans="1:18" x14ac:dyDescent="0.3">
      <c r="A1237">
        <v>17</v>
      </c>
      <c r="B1237" s="1">
        <v>9</v>
      </c>
      <c r="C1237" s="1" t="s">
        <v>2995</v>
      </c>
      <c r="D1237" s="1" t="s">
        <v>1007</v>
      </c>
      <c r="E1237" s="1" t="s">
        <v>917</v>
      </c>
      <c r="F1237" s="1" t="s">
        <v>1238</v>
      </c>
      <c r="G1237" s="1" t="s">
        <v>2344</v>
      </c>
      <c r="H1237" s="1" t="s">
        <v>898</v>
      </c>
      <c r="I1237" s="1" t="s">
        <v>2110</v>
      </c>
      <c r="J1237" s="1" t="s">
        <v>1019</v>
      </c>
      <c r="K1237" s="1" t="s">
        <v>2043</v>
      </c>
      <c r="L1237" s="1" t="s">
        <v>1856</v>
      </c>
      <c r="M1237" s="1" t="s">
        <v>973</v>
      </c>
      <c r="N1237">
        <f>_xlfn.NUMBERVALUE(LEFT(Table11[[#This Row],[Score]],FIND("/",Table11[[#This Row],[Score]])-1))</f>
        <v>33</v>
      </c>
      <c r="O1237">
        <f>IFERROR(_xlfn.NUMBERVALUE(LEFT(Table11[[#This Row],[Score2 ]],FIND("/",Table11[[#This Row],[Score2 ]])-1)),"")</f>
        <v>48</v>
      </c>
      <c r="P1237" t="s">
        <v>176</v>
      </c>
      <c r="Q1237" s="1" t="s">
        <v>185</v>
      </c>
      <c r="R1237" t="str">
        <f>Table11[[#This Row],[Match]]&amp;" "&amp;Table11[[#This Row],[Over]]</f>
        <v>17 9</v>
      </c>
    </row>
    <row r="1238" spans="1:18" x14ac:dyDescent="0.3">
      <c r="A1238">
        <v>17</v>
      </c>
      <c r="B1238" s="1">
        <v>10</v>
      </c>
      <c r="C1238" s="1" t="s">
        <v>1269</v>
      </c>
      <c r="D1238" s="1" t="s">
        <v>950</v>
      </c>
      <c r="E1238" s="1" t="s">
        <v>990</v>
      </c>
      <c r="F1238" s="1" t="s">
        <v>1238</v>
      </c>
      <c r="G1238" s="1" t="s">
        <v>2344</v>
      </c>
      <c r="H1238" s="1" t="s">
        <v>1007</v>
      </c>
      <c r="I1238" s="1" t="s">
        <v>1093</v>
      </c>
      <c r="J1238" s="1" t="s">
        <v>931</v>
      </c>
      <c r="K1238" s="1" t="s">
        <v>2632</v>
      </c>
      <c r="L1238" s="1" t="s">
        <v>1856</v>
      </c>
      <c r="M1238" s="1" t="s">
        <v>980</v>
      </c>
      <c r="N1238">
        <f>_xlfn.NUMBERVALUE(LEFT(Table11[[#This Row],[Score]],FIND("/",Table11[[#This Row],[Score]])-1))</f>
        <v>38</v>
      </c>
      <c r="O1238">
        <f>IFERROR(_xlfn.NUMBERVALUE(LEFT(Table11[[#This Row],[Score2 ]],FIND("/",Table11[[#This Row],[Score2 ]])-1)),"")</f>
        <v>48</v>
      </c>
      <c r="P1238" t="s">
        <v>176</v>
      </c>
      <c r="Q1238" s="1" t="s">
        <v>185</v>
      </c>
      <c r="R1238" t="str">
        <f>Table11[[#This Row],[Match]]&amp;" "&amp;Table11[[#This Row],[Over]]</f>
        <v>17 10</v>
      </c>
    </row>
    <row r="1239" spans="1:18" x14ac:dyDescent="0.3">
      <c r="A1239">
        <v>17</v>
      </c>
      <c r="B1239" s="1">
        <v>11</v>
      </c>
      <c r="C1239" s="1" t="s">
        <v>2444</v>
      </c>
      <c r="D1239" s="1" t="s">
        <v>898</v>
      </c>
      <c r="E1239" s="1" t="s">
        <v>2656</v>
      </c>
      <c r="F1239" s="1" t="s">
        <v>1247</v>
      </c>
      <c r="G1239" s="1" t="s">
        <v>2345</v>
      </c>
      <c r="H1239" s="1" t="s">
        <v>916</v>
      </c>
      <c r="I1239" s="1" t="s">
        <v>969</v>
      </c>
      <c r="J1239" s="1" t="s">
        <v>1093</v>
      </c>
      <c r="K1239" s="1" t="s">
        <v>939</v>
      </c>
      <c r="L1239" s="1" t="s">
        <v>1077</v>
      </c>
      <c r="M1239" s="1" t="s">
        <v>987</v>
      </c>
      <c r="N1239">
        <f>_xlfn.NUMBERVALUE(LEFT(Table11[[#This Row],[Score]],FIND("/",Table11[[#This Row],[Score]])-1))</f>
        <v>40</v>
      </c>
      <c r="O1239">
        <f>IFERROR(_xlfn.NUMBERVALUE(LEFT(Table11[[#This Row],[Score2 ]],FIND("/",Table11[[#This Row],[Score2 ]])-1)),"")</f>
        <v>55</v>
      </c>
      <c r="P1239" t="s">
        <v>176</v>
      </c>
      <c r="Q1239" s="1" t="s">
        <v>185</v>
      </c>
      <c r="R1239" t="str">
        <f>Table11[[#This Row],[Match]]&amp;" "&amp;Table11[[#This Row],[Over]]</f>
        <v>17 11</v>
      </c>
    </row>
    <row r="1240" spans="1:18" x14ac:dyDescent="0.3">
      <c r="A1240">
        <v>17</v>
      </c>
      <c r="B1240" s="1">
        <v>12</v>
      </c>
      <c r="C1240" s="1" t="s">
        <v>2617</v>
      </c>
      <c r="D1240" s="1" t="s">
        <v>998</v>
      </c>
      <c r="E1240" s="1" t="s">
        <v>917</v>
      </c>
      <c r="F1240" s="1" t="s">
        <v>984</v>
      </c>
      <c r="G1240" s="1" t="s">
        <v>2222</v>
      </c>
      <c r="H1240" s="1" t="s">
        <v>950</v>
      </c>
      <c r="I1240" s="1" t="s">
        <v>969</v>
      </c>
      <c r="J1240" s="1" t="s">
        <v>939</v>
      </c>
      <c r="K1240" s="1" t="s">
        <v>2043</v>
      </c>
      <c r="L1240" s="1" t="s">
        <v>1376</v>
      </c>
      <c r="M1240" s="1" t="s">
        <v>996</v>
      </c>
      <c r="N1240">
        <f>_xlfn.NUMBERVALUE(LEFT(Table11[[#This Row],[Score]],FIND("/",Table11[[#This Row],[Score]])-1))</f>
        <v>44</v>
      </c>
      <c r="O1240">
        <f>IFERROR(_xlfn.NUMBERVALUE(LEFT(Table11[[#This Row],[Score2 ]],FIND("/",Table11[[#This Row],[Score2 ]])-1)),"")</f>
        <v>60</v>
      </c>
      <c r="P1240" t="s">
        <v>176</v>
      </c>
      <c r="Q1240" s="1" t="s">
        <v>185</v>
      </c>
      <c r="R1240" t="str">
        <f>Table11[[#This Row],[Match]]&amp;" "&amp;Table11[[#This Row],[Over]]</f>
        <v>17 12</v>
      </c>
    </row>
    <row r="1241" spans="1:18" x14ac:dyDescent="0.3">
      <c r="A1241">
        <v>17</v>
      </c>
      <c r="B1241" s="1">
        <v>13</v>
      </c>
      <c r="C1241" s="1" t="s">
        <v>2618</v>
      </c>
      <c r="D1241" s="1" t="s">
        <v>998</v>
      </c>
      <c r="E1241" s="1" t="s">
        <v>1847</v>
      </c>
      <c r="F1241" s="1" t="s">
        <v>1238</v>
      </c>
      <c r="G1241" s="1" t="s">
        <v>2455</v>
      </c>
      <c r="H1241" s="1" t="s">
        <v>898</v>
      </c>
      <c r="I1241" s="1" t="s">
        <v>1187</v>
      </c>
      <c r="J1241" s="1" t="s">
        <v>1259</v>
      </c>
      <c r="K1241" s="1" t="s">
        <v>3322</v>
      </c>
      <c r="L1241" s="1" t="s">
        <v>2161</v>
      </c>
      <c r="M1241" s="1" t="s">
        <v>1004</v>
      </c>
      <c r="N1241">
        <f>_xlfn.NUMBERVALUE(LEFT(Table11[[#This Row],[Score]],FIND("/",Table11[[#This Row],[Score]])-1))</f>
        <v>48</v>
      </c>
      <c r="O1241">
        <f>IFERROR(_xlfn.NUMBERVALUE(LEFT(Table11[[#This Row],[Score2 ]],FIND("/",Table11[[#This Row],[Score2 ]])-1)),"")</f>
        <v>62</v>
      </c>
      <c r="P1241" t="s">
        <v>176</v>
      </c>
      <c r="Q1241" s="1" t="s">
        <v>185</v>
      </c>
      <c r="R1241" t="str">
        <f>Table11[[#This Row],[Match]]&amp;" "&amp;Table11[[#This Row],[Over]]</f>
        <v>17 13</v>
      </c>
    </row>
    <row r="1242" spans="1:18" x14ac:dyDescent="0.3">
      <c r="A1242">
        <v>17</v>
      </c>
      <c r="B1242" s="1">
        <v>14</v>
      </c>
      <c r="C1242" s="1" t="s">
        <v>3344</v>
      </c>
      <c r="D1242" s="1" t="s">
        <v>916</v>
      </c>
      <c r="E1242" s="1" t="s">
        <v>1507</v>
      </c>
      <c r="F1242" s="1" t="s">
        <v>940</v>
      </c>
      <c r="G1242" s="1" t="s">
        <v>2459</v>
      </c>
      <c r="H1242" s="1" t="s">
        <v>950</v>
      </c>
      <c r="I1242" s="1" t="s">
        <v>1180</v>
      </c>
      <c r="J1242" s="1" t="s">
        <v>990</v>
      </c>
      <c r="K1242" s="1" t="s">
        <v>939</v>
      </c>
      <c r="L1242" s="1" t="s">
        <v>1090</v>
      </c>
      <c r="M1242" s="1" t="s">
        <v>1010</v>
      </c>
      <c r="N1242">
        <f>_xlfn.NUMBERVALUE(LEFT(Table11[[#This Row],[Score]],FIND("/",Table11[[#This Row],[Score]])-1))</f>
        <v>55</v>
      </c>
      <c r="O1242">
        <f>IFERROR(_xlfn.NUMBERVALUE(LEFT(Table11[[#This Row],[Score2 ]],FIND("/",Table11[[#This Row],[Score2 ]])-1)),"")</f>
        <v>67</v>
      </c>
      <c r="P1242" t="s">
        <v>176</v>
      </c>
      <c r="Q1242" s="1" t="s">
        <v>185</v>
      </c>
      <c r="R1242" t="str">
        <f>Table11[[#This Row],[Match]]&amp;" "&amp;Table11[[#This Row],[Over]]</f>
        <v>17 14</v>
      </c>
    </row>
    <row r="1243" spans="1:18" x14ac:dyDescent="0.3">
      <c r="A1243">
        <v>17</v>
      </c>
      <c r="B1243" s="1">
        <v>15</v>
      </c>
      <c r="C1243" s="1" t="s">
        <v>1476</v>
      </c>
      <c r="D1243" s="1" t="s">
        <v>998</v>
      </c>
      <c r="E1243" s="1" t="s">
        <v>1294</v>
      </c>
      <c r="F1243" s="1" t="s">
        <v>931</v>
      </c>
      <c r="G1243" s="1" t="s">
        <v>3345</v>
      </c>
      <c r="H1243" s="1" t="s">
        <v>904</v>
      </c>
      <c r="I1243" s="1" t="s">
        <v>1975</v>
      </c>
      <c r="J1243" s="1" t="s">
        <v>940</v>
      </c>
      <c r="K1243" s="1" t="s">
        <v>3322</v>
      </c>
      <c r="L1243" s="1" t="s">
        <v>2713</v>
      </c>
      <c r="M1243" s="1" t="s">
        <v>1016</v>
      </c>
      <c r="N1243">
        <f>_xlfn.NUMBERVALUE(LEFT(Table11[[#This Row],[Score]],FIND("/",Table11[[#This Row],[Score]])-1))</f>
        <v>59</v>
      </c>
      <c r="O1243">
        <f>IFERROR(_xlfn.NUMBERVALUE(LEFT(Table11[[#This Row],[Score2 ]],FIND("/",Table11[[#This Row],[Score2 ]])-1)),"")</f>
        <v>70</v>
      </c>
      <c r="P1243" t="s">
        <v>176</v>
      </c>
      <c r="Q1243" s="1" t="s">
        <v>185</v>
      </c>
      <c r="R1243" t="str">
        <f>Table11[[#This Row],[Match]]&amp;" "&amp;Table11[[#This Row],[Over]]</f>
        <v>17 15</v>
      </c>
    </row>
    <row r="1244" spans="1:18" x14ac:dyDescent="0.3">
      <c r="A1244">
        <v>17</v>
      </c>
      <c r="B1244" s="1">
        <v>16</v>
      </c>
      <c r="C1244" s="1" t="s">
        <v>1485</v>
      </c>
      <c r="D1244" s="1" t="s">
        <v>950</v>
      </c>
      <c r="E1244" s="1" t="s">
        <v>939</v>
      </c>
      <c r="F1244" s="1" t="s">
        <v>1093</v>
      </c>
      <c r="G1244" s="1" t="s">
        <v>1298</v>
      </c>
      <c r="H1244" s="1" t="s">
        <v>998</v>
      </c>
      <c r="I1244" s="1" t="s">
        <v>1344</v>
      </c>
      <c r="J1244" s="1" t="s">
        <v>990</v>
      </c>
      <c r="K1244" s="1" t="s">
        <v>3322</v>
      </c>
      <c r="L1244" s="1" t="s">
        <v>1547</v>
      </c>
      <c r="M1244" s="1" t="s">
        <v>1024</v>
      </c>
      <c r="N1244">
        <f>_xlfn.NUMBERVALUE(LEFT(Table11[[#This Row],[Score]],FIND("/",Table11[[#This Row],[Score]])-1))</f>
        <v>64</v>
      </c>
      <c r="O1244">
        <f>IFERROR(_xlfn.NUMBERVALUE(LEFT(Table11[[#This Row],[Score2 ]],FIND("/",Table11[[#This Row],[Score2 ]])-1)),"")</f>
        <v>74</v>
      </c>
      <c r="P1244" t="s">
        <v>176</v>
      </c>
      <c r="Q1244" s="1" t="s">
        <v>185</v>
      </c>
      <c r="R1244" t="str">
        <f>Table11[[#This Row],[Match]]&amp;" "&amp;Table11[[#This Row],[Over]]</f>
        <v>17 16</v>
      </c>
    </row>
    <row r="1245" spans="1:18" x14ac:dyDescent="0.3">
      <c r="A1245">
        <v>17</v>
      </c>
      <c r="B1245" s="1">
        <v>17</v>
      </c>
      <c r="C1245" s="1" t="s">
        <v>1489</v>
      </c>
      <c r="D1245" s="1" t="s">
        <v>930</v>
      </c>
      <c r="E1245" s="1" t="s">
        <v>1532</v>
      </c>
      <c r="F1245" s="1" t="s">
        <v>934</v>
      </c>
      <c r="G1245" s="1" t="s">
        <v>2462</v>
      </c>
      <c r="H1245" s="1" t="s">
        <v>998</v>
      </c>
      <c r="I1245" s="1" t="s">
        <v>1786</v>
      </c>
      <c r="J1245" s="1" t="s">
        <v>977</v>
      </c>
      <c r="K1245" s="1" t="s">
        <v>2021</v>
      </c>
      <c r="L1245" s="1" t="s">
        <v>1394</v>
      </c>
      <c r="M1245" s="1" t="s">
        <v>1031</v>
      </c>
      <c r="N1245">
        <f>_xlfn.NUMBERVALUE(LEFT(Table11[[#This Row],[Score]],FIND("/",Table11[[#This Row],[Score]])-1))</f>
        <v>72</v>
      </c>
      <c r="O1245">
        <f>IFERROR(_xlfn.NUMBERVALUE(LEFT(Table11[[#This Row],[Score2 ]],FIND("/",Table11[[#This Row],[Score2 ]])-1)),"")</f>
        <v>78</v>
      </c>
      <c r="P1245" t="s">
        <v>176</v>
      </c>
      <c r="Q1245" s="1" t="s">
        <v>185</v>
      </c>
      <c r="R1245" t="str">
        <f>Table11[[#This Row],[Match]]&amp;" "&amp;Table11[[#This Row],[Over]]</f>
        <v>17 17</v>
      </c>
    </row>
    <row r="1246" spans="1:18" x14ac:dyDescent="0.3">
      <c r="A1246">
        <v>17</v>
      </c>
      <c r="B1246" s="1">
        <v>18</v>
      </c>
      <c r="C1246" s="1" t="s">
        <v>1478</v>
      </c>
      <c r="D1246" s="1" t="s">
        <v>898</v>
      </c>
      <c r="E1246" s="1" t="s">
        <v>1297</v>
      </c>
      <c r="F1246" s="1" t="s">
        <v>1029</v>
      </c>
      <c r="G1246" s="1" t="s">
        <v>3254</v>
      </c>
      <c r="H1246" s="1" t="s">
        <v>916</v>
      </c>
      <c r="I1246" s="1" t="s">
        <v>1194</v>
      </c>
      <c r="J1246" s="1" t="s">
        <v>976</v>
      </c>
      <c r="K1246" s="1" t="s">
        <v>1294</v>
      </c>
      <c r="L1246" s="1" t="s">
        <v>1108</v>
      </c>
      <c r="M1246" s="1" t="s">
        <v>1037</v>
      </c>
      <c r="N1246">
        <f>_xlfn.NUMBERVALUE(LEFT(Table11[[#This Row],[Score]],FIND("/",Table11[[#This Row],[Score]])-1))</f>
        <v>74</v>
      </c>
      <c r="O1246">
        <f>IFERROR(_xlfn.NUMBERVALUE(LEFT(Table11[[#This Row],[Score2 ]],FIND("/",Table11[[#This Row],[Score2 ]])-1)),"")</f>
        <v>85</v>
      </c>
      <c r="P1246" t="s">
        <v>176</v>
      </c>
      <c r="Q1246" s="1" t="s">
        <v>185</v>
      </c>
      <c r="R1246" t="str">
        <f>Table11[[#This Row],[Match]]&amp;" "&amp;Table11[[#This Row],[Over]]</f>
        <v>17 18</v>
      </c>
    </row>
    <row r="1247" spans="1:18" x14ac:dyDescent="0.3">
      <c r="A1247">
        <v>17</v>
      </c>
      <c r="B1247" s="1">
        <v>19</v>
      </c>
      <c r="C1247" s="1" t="s">
        <v>2939</v>
      </c>
      <c r="D1247" s="1" t="s">
        <v>1051</v>
      </c>
      <c r="E1247" s="1" t="s">
        <v>1316</v>
      </c>
      <c r="F1247" s="1" t="s">
        <v>1019</v>
      </c>
      <c r="G1247" s="1" t="s">
        <v>3346</v>
      </c>
      <c r="H1247" s="1" t="s">
        <v>898</v>
      </c>
      <c r="I1247" s="1" t="s">
        <v>1362</v>
      </c>
      <c r="J1247" s="1" t="s">
        <v>939</v>
      </c>
      <c r="K1247" s="1" t="s">
        <v>939</v>
      </c>
      <c r="L1247" s="1" t="s">
        <v>2065</v>
      </c>
      <c r="M1247" s="1" t="s">
        <v>1043</v>
      </c>
      <c r="N1247">
        <f>_xlfn.NUMBERVALUE(LEFT(Table11[[#This Row],[Score]],FIND("/",Table11[[#This Row],[Score]])-1))</f>
        <v>85</v>
      </c>
      <c r="O1247">
        <f>IFERROR(_xlfn.NUMBERVALUE(LEFT(Table11[[#This Row],[Score2 ]],FIND("/",Table11[[#This Row],[Score2 ]])-1)),"")</f>
        <v>87</v>
      </c>
      <c r="P1247" t="s">
        <v>176</v>
      </c>
      <c r="Q1247" s="1" t="s">
        <v>185</v>
      </c>
      <c r="R1247" t="str">
        <f>Table11[[#This Row],[Match]]&amp;" "&amp;Table11[[#This Row],[Over]]</f>
        <v>17 19</v>
      </c>
    </row>
    <row r="1248" spans="1:18" x14ac:dyDescent="0.3">
      <c r="A1248">
        <v>17</v>
      </c>
      <c r="B1248" s="1">
        <v>20</v>
      </c>
      <c r="C1248" s="1" t="s">
        <v>3153</v>
      </c>
      <c r="D1248" s="1" t="s">
        <v>904</v>
      </c>
      <c r="E1248" s="1" t="s">
        <v>940</v>
      </c>
      <c r="F1248" s="1" t="s">
        <v>1013</v>
      </c>
      <c r="G1248" s="1" t="s">
        <v>2357</v>
      </c>
      <c r="H1248" s="1" t="s">
        <v>968</v>
      </c>
      <c r="I1248" s="1" t="s">
        <v>940</v>
      </c>
      <c r="J1248" s="1" t="s">
        <v>977</v>
      </c>
      <c r="K1248" s="1" t="s">
        <v>1483</v>
      </c>
      <c r="L1248" s="1" t="s">
        <v>2175</v>
      </c>
      <c r="M1248" s="1" t="s">
        <v>1049</v>
      </c>
      <c r="N1248">
        <f>_xlfn.NUMBERVALUE(LEFT(Table11[[#This Row],[Score]],FIND("/",Table11[[#This Row],[Score]])-1))</f>
        <v>88</v>
      </c>
      <c r="O1248">
        <f>IFERROR(_xlfn.NUMBERVALUE(LEFT(Table11[[#This Row],[Score2 ]],FIND("/",Table11[[#This Row],[Score2 ]])-1)),"")</f>
        <v>88</v>
      </c>
      <c r="P1248" t="s">
        <v>176</v>
      </c>
      <c r="Q1248" s="1" t="s">
        <v>185</v>
      </c>
      <c r="R1248" t="str">
        <f>Table11[[#This Row],[Match]]&amp;" "&amp;Table11[[#This Row],[Over]]</f>
        <v>17 20</v>
      </c>
    </row>
    <row r="1249" spans="1:18" x14ac:dyDescent="0.3">
      <c r="A1249">
        <v>17</v>
      </c>
      <c r="B1249" s="1">
        <v>21</v>
      </c>
      <c r="C1249" s="1" t="s">
        <v>3004</v>
      </c>
      <c r="D1249" s="1" t="s">
        <v>998</v>
      </c>
      <c r="E1249" s="1" t="s">
        <v>1035</v>
      </c>
      <c r="F1249" s="1" t="s">
        <v>934</v>
      </c>
      <c r="G1249" s="1" t="s">
        <v>2638</v>
      </c>
      <c r="H1249" s="1" t="s">
        <v>968</v>
      </c>
      <c r="I1249" s="1" t="s">
        <v>1532</v>
      </c>
      <c r="J1249" s="1" t="s">
        <v>1238</v>
      </c>
      <c r="K1249" s="1" t="s">
        <v>931</v>
      </c>
      <c r="L1249" s="1" t="s">
        <v>2304</v>
      </c>
      <c r="M1249" s="1" t="s">
        <v>1056</v>
      </c>
      <c r="N1249">
        <f>_xlfn.NUMBERVALUE(LEFT(Table11[[#This Row],[Score]],FIND("/",Table11[[#This Row],[Score]])-1))</f>
        <v>92</v>
      </c>
      <c r="O1249">
        <f>IFERROR(_xlfn.NUMBERVALUE(LEFT(Table11[[#This Row],[Score2 ]],FIND("/",Table11[[#This Row],[Score2 ]])-1)),"")</f>
        <v>89</v>
      </c>
      <c r="P1249" t="s">
        <v>176</v>
      </c>
      <c r="Q1249" s="1" t="s">
        <v>185</v>
      </c>
      <c r="R1249" t="str">
        <f>Table11[[#This Row],[Match]]&amp;" "&amp;Table11[[#This Row],[Over]]</f>
        <v>17 21</v>
      </c>
    </row>
    <row r="1250" spans="1:18" x14ac:dyDescent="0.3">
      <c r="A1250">
        <v>17</v>
      </c>
      <c r="B1250" s="1">
        <v>22</v>
      </c>
      <c r="C1250" s="1" t="s">
        <v>2018</v>
      </c>
      <c r="D1250" s="1" t="s">
        <v>904</v>
      </c>
      <c r="E1250" s="1" t="s">
        <v>1468</v>
      </c>
      <c r="F1250" s="1" t="s">
        <v>976</v>
      </c>
      <c r="G1250" s="1" t="s">
        <v>2464</v>
      </c>
      <c r="H1250" s="1" t="s">
        <v>968</v>
      </c>
      <c r="I1250" s="1" t="s">
        <v>981</v>
      </c>
      <c r="J1250" s="1" t="s">
        <v>1088</v>
      </c>
      <c r="K1250" s="1" t="s">
        <v>1118</v>
      </c>
      <c r="L1250" s="1" t="s">
        <v>2721</v>
      </c>
      <c r="M1250" s="1" t="s">
        <v>1063</v>
      </c>
      <c r="N1250">
        <f>_xlfn.NUMBERVALUE(LEFT(Table11[[#This Row],[Score]],FIND("/",Table11[[#This Row],[Score]])-1))</f>
        <v>95</v>
      </c>
      <c r="O1250">
        <f>IFERROR(_xlfn.NUMBERVALUE(LEFT(Table11[[#This Row],[Score2 ]],FIND("/",Table11[[#This Row],[Score2 ]])-1)),"")</f>
        <v>90</v>
      </c>
      <c r="P1250" t="s">
        <v>176</v>
      </c>
      <c r="Q1250" s="1" t="s">
        <v>185</v>
      </c>
      <c r="R1250" t="str">
        <f>Table11[[#This Row],[Match]]&amp;" "&amp;Table11[[#This Row],[Over]]</f>
        <v>17 22</v>
      </c>
    </row>
    <row r="1251" spans="1:18" x14ac:dyDescent="0.3">
      <c r="A1251">
        <v>17</v>
      </c>
      <c r="B1251" s="1">
        <v>23</v>
      </c>
      <c r="C1251" s="1" t="s">
        <v>2644</v>
      </c>
      <c r="D1251" s="1" t="s">
        <v>968</v>
      </c>
      <c r="E1251" s="1" t="s">
        <v>2652</v>
      </c>
      <c r="F1251" s="1" t="s">
        <v>940</v>
      </c>
      <c r="G1251" s="1" t="s">
        <v>3347</v>
      </c>
      <c r="H1251" s="1" t="s">
        <v>922</v>
      </c>
      <c r="I1251" s="1" t="s">
        <v>2652</v>
      </c>
      <c r="J1251" s="1" t="s">
        <v>1383</v>
      </c>
      <c r="K1251" s="1" t="s">
        <v>1074</v>
      </c>
      <c r="L1251" s="1" t="s">
        <v>1880</v>
      </c>
      <c r="M1251" s="1" t="s">
        <v>1070</v>
      </c>
      <c r="N1251">
        <f>_xlfn.NUMBERVALUE(LEFT(Table11[[#This Row],[Score]],FIND("/",Table11[[#This Row],[Score]])-1))</f>
        <v>96</v>
      </c>
      <c r="O1251">
        <f>IFERROR(_xlfn.NUMBERVALUE(LEFT(Table11[[#This Row],[Score2 ]],FIND("/",Table11[[#This Row],[Score2 ]])-1)),"")</f>
        <v>96</v>
      </c>
      <c r="P1251" t="s">
        <v>176</v>
      </c>
      <c r="Q1251" s="1" t="s">
        <v>185</v>
      </c>
      <c r="R1251" t="str">
        <f>Table11[[#This Row],[Match]]&amp;" "&amp;Table11[[#This Row],[Over]]</f>
        <v>17 23</v>
      </c>
    </row>
    <row r="1252" spans="1:18" x14ac:dyDescent="0.3">
      <c r="A1252">
        <v>17</v>
      </c>
      <c r="B1252" s="1">
        <v>24</v>
      </c>
      <c r="C1252" s="1" t="s">
        <v>2470</v>
      </c>
      <c r="D1252" s="1" t="s">
        <v>904</v>
      </c>
      <c r="E1252" s="1" t="s">
        <v>2897</v>
      </c>
      <c r="F1252" s="1" t="s">
        <v>993</v>
      </c>
      <c r="G1252" s="1" t="s">
        <v>3348</v>
      </c>
      <c r="H1252" s="1" t="s">
        <v>968</v>
      </c>
      <c r="I1252" s="1" t="s">
        <v>1505</v>
      </c>
      <c r="J1252" s="1" t="s">
        <v>899</v>
      </c>
      <c r="K1252" s="1" t="s">
        <v>1035</v>
      </c>
      <c r="L1252" s="1" t="s">
        <v>1121</v>
      </c>
      <c r="M1252" s="1" t="s">
        <v>1077</v>
      </c>
      <c r="N1252">
        <f>_xlfn.NUMBERVALUE(LEFT(Table11[[#This Row],[Score]],FIND("/",Table11[[#This Row],[Score]])-1))</f>
        <v>99</v>
      </c>
      <c r="O1252">
        <f>IFERROR(_xlfn.NUMBERVALUE(LEFT(Table11[[#This Row],[Score2 ]],FIND("/",Table11[[#This Row],[Score2 ]])-1)),"")</f>
        <v>97</v>
      </c>
      <c r="P1252" t="s">
        <v>176</v>
      </c>
      <c r="Q1252" s="1" t="s">
        <v>185</v>
      </c>
      <c r="R1252" t="str">
        <f>Table11[[#This Row],[Match]]&amp;" "&amp;Table11[[#This Row],[Over]]</f>
        <v>17 24</v>
      </c>
    </row>
    <row r="1253" spans="1:18" x14ac:dyDescent="0.3">
      <c r="A1253">
        <v>17</v>
      </c>
      <c r="B1253" s="1">
        <v>25</v>
      </c>
      <c r="C1253" s="1" t="s">
        <v>2479</v>
      </c>
      <c r="D1253" s="1" t="s">
        <v>950</v>
      </c>
      <c r="E1253" s="1" t="s">
        <v>1632</v>
      </c>
      <c r="F1253" s="1" t="s">
        <v>1259</v>
      </c>
      <c r="G1253" s="1" t="s">
        <v>3349</v>
      </c>
      <c r="H1253" s="1" t="s">
        <v>968</v>
      </c>
      <c r="I1253" s="1" t="s">
        <v>1507</v>
      </c>
      <c r="J1253" s="1" t="s">
        <v>899</v>
      </c>
      <c r="K1253" s="1" t="s">
        <v>1552</v>
      </c>
      <c r="L1253" s="1" t="s">
        <v>1170</v>
      </c>
      <c r="M1253" s="1" t="s">
        <v>1083</v>
      </c>
      <c r="N1253">
        <f>_xlfn.NUMBERVALUE(LEFT(Table11[[#This Row],[Score]],FIND("/",Table11[[#This Row],[Score]])-1))</f>
        <v>104</v>
      </c>
      <c r="O1253">
        <f>IFERROR(_xlfn.NUMBERVALUE(LEFT(Table11[[#This Row],[Score2 ]],FIND("/",Table11[[#This Row],[Score2 ]])-1)),"")</f>
        <v>98</v>
      </c>
      <c r="P1253" t="s">
        <v>176</v>
      </c>
      <c r="Q1253" s="1" t="s">
        <v>185</v>
      </c>
      <c r="R1253" t="str">
        <f>Table11[[#This Row],[Match]]&amp;" "&amp;Table11[[#This Row],[Over]]</f>
        <v>17 25</v>
      </c>
    </row>
    <row r="1254" spans="1:18" x14ac:dyDescent="0.3">
      <c r="A1254">
        <v>17</v>
      </c>
      <c r="B1254" s="1">
        <v>26</v>
      </c>
      <c r="C1254" s="1" t="s">
        <v>1898</v>
      </c>
      <c r="D1254" s="1" t="s">
        <v>904</v>
      </c>
      <c r="E1254" s="1" t="s">
        <v>1297</v>
      </c>
      <c r="F1254" s="1" t="s">
        <v>1238</v>
      </c>
      <c r="G1254" s="1" t="s">
        <v>3349</v>
      </c>
      <c r="H1254" s="1" t="s">
        <v>1007</v>
      </c>
      <c r="I1254" s="1" t="s">
        <v>1282</v>
      </c>
      <c r="J1254" s="1" t="s">
        <v>1636</v>
      </c>
      <c r="K1254" s="1" t="s">
        <v>1321</v>
      </c>
      <c r="L1254" s="1" t="s">
        <v>1170</v>
      </c>
      <c r="M1254" s="1" t="s">
        <v>1090</v>
      </c>
      <c r="N1254">
        <f>_xlfn.NUMBERVALUE(LEFT(Table11[[#This Row],[Score]],FIND("/",Table11[[#This Row],[Score]])-1))</f>
        <v>107</v>
      </c>
      <c r="O1254">
        <f>IFERROR(_xlfn.NUMBERVALUE(LEFT(Table11[[#This Row],[Score2 ]],FIND("/",Table11[[#This Row],[Score2 ]])-1)),"")</f>
        <v>98</v>
      </c>
      <c r="P1254" t="s">
        <v>176</v>
      </c>
      <c r="Q1254" s="1" t="s">
        <v>185</v>
      </c>
      <c r="R1254" t="str">
        <f>Table11[[#This Row],[Match]]&amp;" "&amp;Table11[[#This Row],[Over]]</f>
        <v>17 26</v>
      </c>
    </row>
    <row r="1255" spans="1:18" x14ac:dyDescent="0.3">
      <c r="A1255">
        <v>17</v>
      </c>
      <c r="B1255" s="1">
        <v>27</v>
      </c>
      <c r="C1255" s="1" t="s">
        <v>2785</v>
      </c>
      <c r="D1255" s="1" t="s">
        <v>968</v>
      </c>
      <c r="E1255" s="1" t="s">
        <v>939</v>
      </c>
      <c r="F1255" s="1" t="s">
        <v>984</v>
      </c>
      <c r="G1255" s="1" t="s">
        <v>1914</v>
      </c>
      <c r="H1255" s="1" t="s">
        <v>898</v>
      </c>
      <c r="I1255" s="1" t="s">
        <v>2816</v>
      </c>
      <c r="J1255" s="1" t="s">
        <v>899</v>
      </c>
      <c r="K1255" s="1" t="s">
        <v>1026</v>
      </c>
      <c r="L1255" s="1" t="s">
        <v>2073</v>
      </c>
      <c r="M1255" s="1" t="s">
        <v>1098</v>
      </c>
      <c r="N1255">
        <f>_xlfn.NUMBERVALUE(LEFT(Table11[[#This Row],[Score]],FIND("/",Table11[[#This Row],[Score]])-1))</f>
        <v>108</v>
      </c>
      <c r="O1255">
        <f>IFERROR(_xlfn.NUMBERVALUE(LEFT(Table11[[#This Row],[Score2 ]],FIND("/",Table11[[#This Row],[Score2 ]])-1)),"")</f>
        <v>100</v>
      </c>
      <c r="P1255" t="s">
        <v>176</v>
      </c>
      <c r="Q1255" s="1" t="s">
        <v>185</v>
      </c>
      <c r="R1255" t="str">
        <f>Table11[[#This Row],[Match]]&amp;" "&amp;Table11[[#This Row],[Over]]</f>
        <v>17 27</v>
      </c>
    </row>
    <row r="1256" spans="1:18" x14ac:dyDescent="0.3">
      <c r="A1256">
        <v>17</v>
      </c>
      <c r="B1256" s="1">
        <v>28</v>
      </c>
      <c r="C1256" s="1" t="s">
        <v>2574</v>
      </c>
      <c r="D1256" s="1" t="s">
        <v>947</v>
      </c>
      <c r="E1256" s="1" t="s">
        <v>2652</v>
      </c>
      <c r="F1256" s="1" t="s">
        <v>931</v>
      </c>
      <c r="G1256" s="1" t="s">
        <v>1917</v>
      </c>
      <c r="H1256" s="1" t="s">
        <v>968</v>
      </c>
      <c r="I1256" s="1" t="s">
        <v>977</v>
      </c>
      <c r="J1256" s="1" t="s">
        <v>1662</v>
      </c>
      <c r="K1256" s="1" t="s">
        <v>969</v>
      </c>
      <c r="L1256" s="1" t="s">
        <v>2077</v>
      </c>
      <c r="M1256" s="1" t="s">
        <v>1101</v>
      </c>
      <c r="N1256">
        <f>_xlfn.NUMBERVALUE(LEFT(Table11[[#This Row],[Score]],FIND("/",Table11[[#This Row],[Score]])-1))</f>
        <v>117</v>
      </c>
      <c r="O1256">
        <f>IFERROR(_xlfn.NUMBERVALUE(LEFT(Table11[[#This Row],[Score2 ]],FIND("/",Table11[[#This Row],[Score2 ]])-1)),"")</f>
        <v>101</v>
      </c>
      <c r="P1256" t="s">
        <v>176</v>
      </c>
      <c r="Q1256" s="1" t="s">
        <v>185</v>
      </c>
      <c r="R1256" t="str">
        <f>Table11[[#This Row],[Match]]&amp;" "&amp;Table11[[#This Row],[Over]]</f>
        <v>17 28</v>
      </c>
    </row>
    <row r="1257" spans="1:18" x14ac:dyDescent="0.3">
      <c r="A1257">
        <v>17</v>
      </c>
      <c r="B1257" s="1">
        <v>29</v>
      </c>
      <c r="C1257" s="1" t="s">
        <v>3316</v>
      </c>
      <c r="D1257" s="1" t="s">
        <v>930</v>
      </c>
      <c r="E1257" s="1" t="s">
        <v>1468</v>
      </c>
      <c r="F1257" s="1" t="s">
        <v>1029</v>
      </c>
      <c r="G1257" s="1" t="s">
        <v>1921</v>
      </c>
      <c r="H1257" s="1" t="s">
        <v>998</v>
      </c>
      <c r="I1257" s="1" t="s">
        <v>1258</v>
      </c>
      <c r="J1257" s="1" t="s">
        <v>1770</v>
      </c>
      <c r="K1257" s="1" t="s">
        <v>2193</v>
      </c>
      <c r="L1257" s="1" t="s">
        <v>1564</v>
      </c>
      <c r="M1257" s="1" t="s">
        <v>1108</v>
      </c>
      <c r="N1257">
        <f>_xlfn.NUMBERVALUE(LEFT(Table11[[#This Row],[Score]],FIND("/",Table11[[#This Row],[Score]])-1))</f>
        <v>125</v>
      </c>
      <c r="O1257">
        <f>IFERROR(_xlfn.NUMBERVALUE(LEFT(Table11[[#This Row],[Score2 ]],FIND("/",Table11[[#This Row],[Score2 ]])-1)),"")</f>
        <v>105</v>
      </c>
      <c r="P1257" t="s">
        <v>176</v>
      </c>
      <c r="Q1257" s="1" t="s">
        <v>185</v>
      </c>
      <c r="R1257" t="str">
        <f>Table11[[#This Row],[Match]]&amp;" "&amp;Table11[[#This Row],[Over]]</f>
        <v>17 29</v>
      </c>
    </row>
    <row r="1258" spans="1:18" x14ac:dyDescent="0.3">
      <c r="A1258">
        <v>17</v>
      </c>
      <c r="B1258" s="1">
        <v>30</v>
      </c>
      <c r="C1258" s="1" t="s">
        <v>3317</v>
      </c>
      <c r="D1258" s="1" t="s">
        <v>950</v>
      </c>
      <c r="E1258" s="1" t="s">
        <v>989</v>
      </c>
      <c r="F1258" s="1" t="s">
        <v>1029</v>
      </c>
      <c r="G1258" s="1" t="s">
        <v>3350</v>
      </c>
      <c r="H1258" s="1" t="s">
        <v>898</v>
      </c>
      <c r="I1258" s="1" t="s">
        <v>2028</v>
      </c>
      <c r="J1258" s="1" t="s">
        <v>1636</v>
      </c>
      <c r="K1258" s="1" t="s">
        <v>1029</v>
      </c>
      <c r="L1258" s="1" t="s">
        <v>1571</v>
      </c>
      <c r="M1258" s="1" t="s">
        <v>1113</v>
      </c>
      <c r="N1258">
        <f>_xlfn.NUMBERVALUE(LEFT(Table11[[#This Row],[Score]],FIND("/",Table11[[#This Row],[Score]])-1))</f>
        <v>130</v>
      </c>
      <c r="O1258">
        <f>IFERROR(_xlfn.NUMBERVALUE(LEFT(Table11[[#This Row],[Score2 ]],FIND("/",Table11[[#This Row],[Score2 ]])-1)),"")</f>
        <v>107</v>
      </c>
      <c r="P1258" t="s">
        <v>176</v>
      </c>
      <c r="Q1258" s="1" t="s">
        <v>185</v>
      </c>
      <c r="R1258" t="str">
        <f>Table11[[#This Row],[Match]]&amp;" "&amp;Table11[[#This Row],[Over]]</f>
        <v>17 30</v>
      </c>
    </row>
    <row r="1259" spans="1:18" x14ac:dyDescent="0.3">
      <c r="A1259">
        <v>17</v>
      </c>
      <c r="B1259" s="1">
        <v>31</v>
      </c>
      <c r="C1259" s="1" t="s">
        <v>2953</v>
      </c>
      <c r="D1259" s="1" t="s">
        <v>898</v>
      </c>
      <c r="E1259" s="1" t="s">
        <v>1074</v>
      </c>
      <c r="F1259" s="1" t="s">
        <v>969</v>
      </c>
      <c r="G1259" s="1" t="s">
        <v>3351</v>
      </c>
      <c r="H1259" s="1" t="s">
        <v>947</v>
      </c>
      <c r="I1259" s="1" t="s">
        <v>2474</v>
      </c>
      <c r="J1259" s="1" t="s">
        <v>977</v>
      </c>
      <c r="K1259" s="1" t="s">
        <v>969</v>
      </c>
      <c r="L1259" s="1" t="s">
        <v>2537</v>
      </c>
      <c r="M1259" s="1" t="s">
        <v>1121</v>
      </c>
      <c r="N1259">
        <f>_xlfn.NUMBERVALUE(LEFT(Table11[[#This Row],[Score]],FIND("/",Table11[[#This Row],[Score]])-1))</f>
        <v>132</v>
      </c>
      <c r="O1259">
        <f>IFERROR(_xlfn.NUMBERVALUE(LEFT(Table11[[#This Row],[Score2 ]],FIND("/",Table11[[#This Row],[Score2 ]])-1)),"")</f>
        <v>116</v>
      </c>
      <c r="P1259" t="s">
        <v>176</v>
      </c>
      <c r="Q1259" s="1" t="s">
        <v>185</v>
      </c>
      <c r="R1259" t="str">
        <f>Table11[[#This Row],[Match]]&amp;" "&amp;Table11[[#This Row],[Over]]</f>
        <v>17 31</v>
      </c>
    </row>
    <row r="1260" spans="1:18" x14ac:dyDescent="0.3">
      <c r="A1260">
        <v>17</v>
      </c>
      <c r="B1260" s="1">
        <v>32</v>
      </c>
      <c r="C1260" s="1" t="s">
        <v>3352</v>
      </c>
      <c r="D1260" s="1" t="s">
        <v>898</v>
      </c>
      <c r="E1260" s="1" t="s">
        <v>1292</v>
      </c>
      <c r="F1260" s="1" t="s">
        <v>1029</v>
      </c>
      <c r="G1260" s="1" t="s">
        <v>1933</v>
      </c>
      <c r="H1260" s="1" t="s">
        <v>968</v>
      </c>
      <c r="I1260" s="1" t="s">
        <v>1897</v>
      </c>
      <c r="J1260" s="1" t="s">
        <v>1247</v>
      </c>
      <c r="K1260" s="1" t="s">
        <v>1058</v>
      </c>
      <c r="L1260" s="1" t="s">
        <v>2409</v>
      </c>
      <c r="M1260" s="1" t="s">
        <v>1127</v>
      </c>
      <c r="N1260">
        <f>_xlfn.NUMBERVALUE(LEFT(Table11[[#This Row],[Score]],FIND("/",Table11[[#This Row],[Score]])-1))</f>
        <v>134</v>
      </c>
      <c r="O1260">
        <f>IFERROR(_xlfn.NUMBERVALUE(LEFT(Table11[[#This Row],[Score2 ]],FIND("/",Table11[[#This Row],[Score2 ]])-1)),"")</f>
        <v>117</v>
      </c>
      <c r="P1260" t="s">
        <v>176</v>
      </c>
      <c r="Q1260" s="1" t="s">
        <v>185</v>
      </c>
      <c r="R1260" t="str">
        <f>Table11[[#This Row],[Match]]&amp;" "&amp;Table11[[#This Row],[Over]]</f>
        <v>17 32</v>
      </c>
    </row>
    <row r="1261" spans="1:18" x14ac:dyDescent="0.3">
      <c r="A1261">
        <v>17</v>
      </c>
      <c r="B1261" s="1">
        <v>33</v>
      </c>
      <c r="C1261" s="1" t="s">
        <v>3353</v>
      </c>
      <c r="D1261" s="1" t="s">
        <v>1007</v>
      </c>
      <c r="E1261" s="1" t="s">
        <v>1288</v>
      </c>
      <c r="F1261" s="1" t="s">
        <v>1247</v>
      </c>
      <c r="G1261" s="1" t="s">
        <v>3354</v>
      </c>
      <c r="H1261" s="1" t="s">
        <v>916</v>
      </c>
      <c r="I1261" s="1" t="s">
        <v>1276</v>
      </c>
      <c r="J1261" s="1" t="s">
        <v>976</v>
      </c>
      <c r="K1261" s="1" t="s">
        <v>1643</v>
      </c>
      <c r="L1261" s="1" t="s">
        <v>2540</v>
      </c>
      <c r="M1261" s="1" t="s">
        <v>1132</v>
      </c>
      <c r="N1261">
        <f>_xlfn.NUMBERVALUE(LEFT(Table11[[#This Row],[Score]],FIND("/",Table11[[#This Row],[Score]])-1))</f>
        <v>134</v>
      </c>
      <c r="O1261">
        <f>IFERROR(_xlfn.NUMBERVALUE(LEFT(Table11[[#This Row],[Score2 ]],FIND("/",Table11[[#This Row],[Score2 ]])-1)),"")</f>
        <v>124</v>
      </c>
      <c r="P1261" t="s">
        <v>176</v>
      </c>
      <c r="Q1261" s="1" t="s">
        <v>185</v>
      </c>
      <c r="R1261" t="str">
        <f>Table11[[#This Row],[Match]]&amp;" "&amp;Table11[[#This Row],[Over]]</f>
        <v>17 33</v>
      </c>
    </row>
    <row r="1262" spans="1:18" x14ac:dyDescent="0.3">
      <c r="A1262">
        <v>17</v>
      </c>
      <c r="B1262" s="1">
        <v>34</v>
      </c>
      <c r="C1262" s="1" t="s">
        <v>2660</v>
      </c>
      <c r="D1262" s="1" t="s">
        <v>922</v>
      </c>
      <c r="E1262" s="1" t="s">
        <v>1297</v>
      </c>
      <c r="F1262" s="1" t="s">
        <v>1238</v>
      </c>
      <c r="G1262" s="1" t="s">
        <v>3355</v>
      </c>
      <c r="H1262" s="1" t="s">
        <v>898</v>
      </c>
      <c r="I1262" s="1" t="s">
        <v>2816</v>
      </c>
      <c r="J1262" s="1" t="s">
        <v>931</v>
      </c>
      <c r="K1262" s="1" t="s">
        <v>2257</v>
      </c>
      <c r="L1262" s="1" t="s">
        <v>1791</v>
      </c>
      <c r="M1262" s="1" t="s">
        <v>1138</v>
      </c>
      <c r="N1262">
        <f>_xlfn.NUMBERVALUE(LEFT(Table11[[#This Row],[Score]],FIND("/",Table11[[#This Row],[Score]])-1))</f>
        <v>140</v>
      </c>
      <c r="O1262">
        <f>IFERROR(_xlfn.NUMBERVALUE(LEFT(Table11[[#This Row],[Score2 ]],FIND("/",Table11[[#This Row],[Score2 ]])-1)),"")</f>
        <v>126</v>
      </c>
      <c r="P1262" t="s">
        <v>176</v>
      </c>
      <c r="Q1262" s="1" t="s">
        <v>185</v>
      </c>
      <c r="R1262" t="str">
        <f>Table11[[#This Row],[Match]]&amp;" "&amp;Table11[[#This Row],[Over]]</f>
        <v>17 34</v>
      </c>
    </row>
    <row r="1263" spans="1:18" x14ac:dyDescent="0.3">
      <c r="A1263">
        <v>17</v>
      </c>
      <c r="B1263" s="1">
        <v>35</v>
      </c>
      <c r="C1263" s="1" t="s">
        <v>3356</v>
      </c>
      <c r="D1263" s="1" t="s">
        <v>898</v>
      </c>
      <c r="E1263" s="1" t="s">
        <v>1957</v>
      </c>
      <c r="F1263" s="1" t="s">
        <v>1088</v>
      </c>
      <c r="G1263" s="1" t="s">
        <v>3357</v>
      </c>
      <c r="H1263" s="1" t="s">
        <v>922</v>
      </c>
      <c r="I1263" s="1" t="s">
        <v>1853</v>
      </c>
      <c r="J1263" s="1" t="s">
        <v>969</v>
      </c>
      <c r="K1263" s="1" t="s">
        <v>2178</v>
      </c>
      <c r="L1263" s="1" t="s">
        <v>1833</v>
      </c>
      <c r="M1263" s="1" t="s">
        <v>1143</v>
      </c>
      <c r="N1263">
        <f>_xlfn.NUMBERVALUE(LEFT(Table11[[#This Row],[Score]],FIND("/",Table11[[#This Row],[Score]])-1))</f>
        <v>142</v>
      </c>
      <c r="O1263">
        <f>IFERROR(_xlfn.NUMBERVALUE(LEFT(Table11[[#This Row],[Score2 ]],FIND("/",Table11[[#This Row],[Score2 ]])-1)),"")</f>
        <v>132</v>
      </c>
      <c r="P1263" t="s">
        <v>176</v>
      </c>
      <c r="Q1263" s="1" t="s">
        <v>185</v>
      </c>
      <c r="R1263" t="str">
        <f>Table11[[#This Row],[Match]]&amp;" "&amp;Table11[[#This Row],[Over]]</f>
        <v>17 35</v>
      </c>
    </row>
    <row r="1264" spans="1:18" x14ac:dyDescent="0.3">
      <c r="A1264">
        <v>17</v>
      </c>
      <c r="B1264" s="1">
        <v>36</v>
      </c>
      <c r="C1264" s="1" t="s">
        <v>3358</v>
      </c>
      <c r="D1264" s="1" t="s">
        <v>968</v>
      </c>
      <c r="E1264" s="1" t="s">
        <v>2043</v>
      </c>
      <c r="F1264" s="1" t="s">
        <v>1383</v>
      </c>
      <c r="G1264" s="1" t="s">
        <v>3359</v>
      </c>
      <c r="H1264" s="1" t="s">
        <v>968</v>
      </c>
      <c r="I1264" s="1" t="s">
        <v>1847</v>
      </c>
      <c r="J1264" s="1" t="s">
        <v>1247</v>
      </c>
      <c r="K1264" s="1" t="s">
        <v>951</v>
      </c>
      <c r="L1264" s="1" t="s">
        <v>1156</v>
      </c>
      <c r="M1264" s="1" t="s">
        <v>1150</v>
      </c>
      <c r="N1264">
        <f>_xlfn.NUMBERVALUE(LEFT(Table11[[#This Row],[Score]],FIND("/",Table11[[#This Row],[Score]])-1))</f>
        <v>143</v>
      </c>
      <c r="O1264">
        <f>IFERROR(_xlfn.NUMBERVALUE(LEFT(Table11[[#This Row],[Score2 ]],FIND("/",Table11[[#This Row],[Score2 ]])-1)),"")</f>
        <v>133</v>
      </c>
      <c r="P1264" t="s">
        <v>176</v>
      </c>
      <c r="Q1264" s="1" t="s">
        <v>185</v>
      </c>
      <c r="R1264" t="str">
        <f>Table11[[#This Row],[Match]]&amp;" "&amp;Table11[[#This Row],[Over]]</f>
        <v>17 36</v>
      </c>
    </row>
    <row r="1265" spans="1:18" x14ac:dyDescent="0.3">
      <c r="A1265">
        <v>17</v>
      </c>
      <c r="B1265" s="1">
        <v>37</v>
      </c>
      <c r="C1265" s="1" t="s">
        <v>3360</v>
      </c>
      <c r="D1265" s="1" t="s">
        <v>968</v>
      </c>
      <c r="E1265" s="1" t="s">
        <v>2936</v>
      </c>
      <c r="F1265" s="1" t="s">
        <v>899</v>
      </c>
      <c r="G1265" s="1" t="s">
        <v>2592</v>
      </c>
      <c r="H1265" s="1" t="s">
        <v>904</v>
      </c>
      <c r="I1265" s="1" t="s">
        <v>2030</v>
      </c>
      <c r="J1265" s="1" t="s">
        <v>990</v>
      </c>
      <c r="K1265" s="1" t="s">
        <v>1610</v>
      </c>
      <c r="L1265" s="1" t="s">
        <v>3160</v>
      </c>
      <c r="M1265" s="1" t="s">
        <v>1156</v>
      </c>
      <c r="N1265">
        <f>_xlfn.NUMBERVALUE(LEFT(Table11[[#This Row],[Score]],FIND("/",Table11[[#This Row],[Score]])-1))</f>
        <v>144</v>
      </c>
      <c r="O1265">
        <f>IFERROR(_xlfn.NUMBERVALUE(LEFT(Table11[[#This Row],[Score2 ]],FIND("/",Table11[[#This Row],[Score2 ]])-1)),"")</f>
        <v>136</v>
      </c>
      <c r="P1265" t="s">
        <v>176</v>
      </c>
      <c r="Q1265" s="1" t="s">
        <v>185</v>
      </c>
      <c r="R1265" t="str">
        <f>Table11[[#This Row],[Match]]&amp;" "&amp;Table11[[#This Row],[Over]]</f>
        <v>17 37</v>
      </c>
    </row>
    <row r="1266" spans="1:18" x14ac:dyDescent="0.3">
      <c r="A1266">
        <v>17</v>
      </c>
      <c r="B1266" s="1">
        <v>38</v>
      </c>
      <c r="C1266" s="1" t="s">
        <v>3361</v>
      </c>
      <c r="D1266" s="1" t="s">
        <v>998</v>
      </c>
      <c r="E1266" s="1" t="s">
        <v>2936</v>
      </c>
      <c r="F1266" s="1" t="s">
        <v>993</v>
      </c>
      <c r="G1266" s="1" t="s">
        <v>3362</v>
      </c>
      <c r="H1266" s="1" t="s">
        <v>968</v>
      </c>
      <c r="I1266" s="1" t="s">
        <v>977</v>
      </c>
      <c r="J1266" s="1" t="s">
        <v>984</v>
      </c>
      <c r="K1266" s="1" t="s">
        <v>1233</v>
      </c>
      <c r="L1266" s="1" t="s">
        <v>2547</v>
      </c>
      <c r="M1266" s="1" t="s">
        <v>1164</v>
      </c>
      <c r="N1266">
        <f>_xlfn.NUMBERVALUE(LEFT(Table11[[#This Row],[Score]],FIND("/",Table11[[#This Row],[Score]])-1))</f>
        <v>148</v>
      </c>
      <c r="O1266">
        <f>IFERROR(_xlfn.NUMBERVALUE(LEFT(Table11[[#This Row],[Score2 ]],FIND("/",Table11[[#This Row],[Score2 ]])-1)),"")</f>
        <v>137</v>
      </c>
      <c r="P1266" t="s">
        <v>176</v>
      </c>
      <c r="Q1266" s="1" t="s">
        <v>185</v>
      </c>
      <c r="R1266" t="str">
        <f>Table11[[#This Row],[Match]]&amp;" "&amp;Table11[[#This Row],[Over]]</f>
        <v>17 38</v>
      </c>
    </row>
    <row r="1267" spans="1:18" x14ac:dyDescent="0.3">
      <c r="A1267">
        <v>17</v>
      </c>
      <c r="B1267" s="1">
        <v>39</v>
      </c>
      <c r="C1267" s="1" t="s">
        <v>3363</v>
      </c>
      <c r="D1267" s="1" t="s">
        <v>968</v>
      </c>
      <c r="E1267" s="1" t="s">
        <v>1522</v>
      </c>
      <c r="F1267" s="1" t="s">
        <v>1636</v>
      </c>
      <c r="G1267" s="1" t="s">
        <v>3361</v>
      </c>
      <c r="H1267" s="1" t="s">
        <v>1051</v>
      </c>
      <c r="I1267" s="1" t="s">
        <v>1855</v>
      </c>
      <c r="J1267" s="1" t="s">
        <v>940</v>
      </c>
      <c r="K1267" s="1" t="s">
        <v>1597</v>
      </c>
      <c r="L1267" s="1" t="s">
        <v>2426</v>
      </c>
      <c r="M1267" s="1" t="s">
        <v>1171</v>
      </c>
      <c r="N1267">
        <f>_xlfn.NUMBERVALUE(LEFT(Table11[[#This Row],[Score]],FIND("/",Table11[[#This Row],[Score]])-1))</f>
        <v>149</v>
      </c>
      <c r="O1267">
        <f>IFERROR(_xlfn.NUMBERVALUE(LEFT(Table11[[#This Row],[Score2 ]],FIND("/",Table11[[#This Row],[Score2 ]])-1)),"")</f>
        <v>148</v>
      </c>
      <c r="P1267" t="s">
        <v>176</v>
      </c>
      <c r="Q1267" s="1" t="s">
        <v>185</v>
      </c>
      <c r="R1267" t="str">
        <f>Table11[[#This Row],[Match]]&amp;" "&amp;Table11[[#This Row],[Over]]</f>
        <v>17 39</v>
      </c>
    </row>
    <row r="1268" spans="1:18" x14ac:dyDescent="0.3">
      <c r="A1268">
        <v>17</v>
      </c>
      <c r="B1268" s="1">
        <v>40</v>
      </c>
      <c r="C1268" s="1" t="s">
        <v>2847</v>
      </c>
      <c r="D1268" s="1" t="s">
        <v>922</v>
      </c>
      <c r="E1268" s="1" t="s">
        <v>1436</v>
      </c>
      <c r="F1268" s="1" t="s">
        <v>984</v>
      </c>
      <c r="G1268" s="1" t="s">
        <v>3364</v>
      </c>
      <c r="H1268" s="1" t="s">
        <v>950</v>
      </c>
      <c r="I1268" s="1" t="s">
        <v>1522</v>
      </c>
      <c r="J1268" s="1" t="s">
        <v>931</v>
      </c>
      <c r="K1268" s="1" t="s">
        <v>1013</v>
      </c>
      <c r="L1268" s="1" t="s">
        <v>1403</v>
      </c>
      <c r="M1268" s="1" t="s">
        <v>1177</v>
      </c>
      <c r="N1268">
        <f>_xlfn.NUMBERVALUE(LEFT(Table11[[#This Row],[Score]],FIND("/",Table11[[#This Row],[Score]])-1))</f>
        <v>155</v>
      </c>
      <c r="O1268">
        <f>IFERROR(_xlfn.NUMBERVALUE(LEFT(Table11[[#This Row],[Score2 ]],FIND("/",Table11[[#This Row],[Score2 ]])-1)),"")</f>
        <v>153</v>
      </c>
      <c r="P1268" t="s">
        <v>176</v>
      </c>
      <c r="Q1268" s="1" t="s">
        <v>185</v>
      </c>
      <c r="R1268" t="str">
        <f>Table11[[#This Row],[Match]]&amp;" "&amp;Table11[[#This Row],[Over]]</f>
        <v>17 40</v>
      </c>
    </row>
    <row r="1269" spans="1:18" x14ac:dyDescent="0.3">
      <c r="A1269">
        <v>17</v>
      </c>
      <c r="B1269" s="1">
        <v>41</v>
      </c>
      <c r="C1269" s="1" t="s">
        <v>3365</v>
      </c>
      <c r="D1269" s="1" t="s">
        <v>898</v>
      </c>
      <c r="E1269" s="1" t="s">
        <v>1522</v>
      </c>
      <c r="F1269" s="1" t="s">
        <v>993</v>
      </c>
      <c r="G1269" s="1" t="s">
        <v>2666</v>
      </c>
      <c r="H1269" s="1" t="s">
        <v>968</v>
      </c>
      <c r="I1269" s="1" t="s">
        <v>1276</v>
      </c>
      <c r="J1269" s="1" t="s">
        <v>931</v>
      </c>
      <c r="K1269" s="1" t="s">
        <v>1723</v>
      </c>
      <c r="L1269" s="1" t="s">
        <v>1645</v>
      </c>
      <c r="M1269" s="1" t="s">
        <v>1183</v>
      </c>
      <c r="N1269">
        <f>_xlfn.NUMBERVALUE(LEFT(Table11[[#This Row],[Score]],FIND("/",Table11[[#This Row],[Score]])-1))</f>
        <v>157</v>
      </c>
      <c r="O1269">
        <f>IFERROR(_xlfn.NUMBERVALUE(LEFT(Table11[[#This Row],[Score2 ]],FIND("/",Table11[[#This Row],[Score2 ]])-1)),"")</f>
        <v>154</v>
      </c>
      <c r="P1269" t="s">
        <v>176</v>
      </c>
      <c r="Q1269" s="1" t="s">
        <v>185</v>
      </c>
      <c r="R1269" t="str">
        <f>Table11[[#This Row],[Match]]&amp;" "&amp;Table11[[#This Row],[Over]]</f>
        <v>17 41</v>
      </c>
    </row>
    <row r="1270" spans="1:18" x14ac:dyDescent="0.3">
      <c r="A1270">
        <v>17</v>
      </c>
      <c r="B1270" s="1">
        <v>42</v>
      </c>
      <c r="C1270" s="1" t="s">
        <v>2968</v>
      </c>
      <c r="D1270" s="1" t="s">
        <v>922</v>
      </c>
      <c r="E1270" s="1" t="s">
        <v>1860</v>
      </c>
      <c r="F1270" s="1" t="s">
        <v>990</v>
      </c>
      <c r="G1270" s="1" t="s">
        <v>2847</v>
      </c>
      <c r="H1270" s="1" t="s">
        <v>968</v>
      </c>
      <c r="I1270" s="1" t="s">
        <v>1847</v>
      </c>
      <c r="J1270" s="1" t="s">
        <v>990</v>
      </c>
      <c r="K1270" s="1" t="s">
        <v>952</v>
      </c>
      <c r="L1270" s="1" t="s">
        <v>3366</v>
      </c>
      <c r="M1270" s="1" t="s">
        <v>1190</v>
      </c>
      <c r="N1270">
        <f>_xlfn.NUMBERVALUE(LEFT(Table11[[#This Row],[Score]],FIND("/",Table11[[#This Row],[Score]])-1))</f>
        <v>163</v>
      </c>
      <c r="O1270">
        <f>IFERROR(_xlfn.NUMBERVALUE(LEFT(Table11[[#This Row],[Score2 ]],FIND("/",Table11[[#This Row],[Score2 ]])-1)),"")</f>
        <v>155</v>
      </c>
      <c r="P1270" t="s">
        <v>176</v>
      </c>
      <c r="Q1270" s="1" t="s">
        <v>185</v>
      </c>
      <c r="R1270" t="str">
        <f>Table11[[#This Row],[Match]]&amp;" "&amp;Table11[[#This Row],[Over]]</f>
        <v>17 42</v>
      </c>
    </row>
    <row r="1271" spans="1:18" x14ac:dyDescent="0.3">
      <c r="A1271">
        <v>17</v>
      </c>
      <c r="B1271" s="1">
        <v>43</v>
      </c>
      <c r="C1271" s="1" t="s">
        <v>3367</v>
      </c>
      <c r="D1271" s="1" t="s">
        <v>998</v>
      </c>
      <c r="E1271" s="1" t="s">
        <v>1860</v>
      </c>
      <c r="F1271" s="1" t="s">
        <v>990</v>
      </c>
      <c r="G1271" s="1" t="s">
        <v>1379</v>
      </c>
      <c r="H1271" s="1" t="s">
        <v>922</v>
      </c>
      <c r="I1271" s="1" t="s">
        <v>2474</v>
      </c>
      <c r="J1271" s="1" t="s">
        <v>1093</v>
      </c>
      <c r="K1271" s="1" t="s">
        <v>2221</v>
      </c>
      <c r="L1271" s="1" t="s">
        <v>1812</v>
      </c>
      <c r="M1271" s="1" t="s">
        <v>1197</v>
      </c>
      <c r="N1271">
        <f>_xlfn.NUMBERVALUE(LEFT(Table11[[#This Row],[Score]],FIND("/",Table11[[#This Row],[Score]])-1))</f>
        <v>167</v>
      </c>
      <c r="O1271">
        <f>IFERROR(_xlfn.NUMBERVALUE(LEFT(Table11[[#This Row],[Score2 ]],FIND("/",Table11[[#This Row],[Score2 ]])-1)),"")</f>
        <v>161</v>
      </c>
      <c r="P1271" t="s">
        <v>176</v>
      </c>
      <c r="Q1271" s="1" t="s">
        <v>185</v>
      </c>
      <c r="R1271" t="str">
        <f>Table11[[#This Row],[Match]]&amp;" "&amp;Table11[[#This Row],[Over]]</f>
        <v>17 43</v>
      </c>
    </row>
    <row r="1272" spans="1:18" x14ac:dyDescent="0.3">
      <c r="A1272">
        <v>17</v>
      </c>
      <c r="B1272" s="1">
        <v>44</v>
      </c>
      <c r="C1272" s="1" t="s">
        <v>1962</v>
      </c>
      <c r="D1272" s="1" t="s">
        <v>950</v>
      </c>
      <c r="E1272" s="1" t="s">
        <v>1273</v>
      </c>
      <c r="F1272" s="1" t="s">
        <v>976</v>
      </c>
      <c r="G1272" s="1" t="s">
        <v>1961</v>
      </c>
      <c r="H1272" s="1" t="s">
        <v>916</v>
      </c>
      <c r="I1272" s="1" t="s">
        <v>1866</v>
      </c>
      <c r="J1272" s="1" t="s">
        <v>939</v>
      </c>
      <c r="K1272" s="1" t="s">
        <v>2112</v>
      </c>
      <c r="L1272" s="1" t="s">
        <v>2677</v>
      </c>
      <c r="M1272" s="1" t="s">
        <v>1205</v>
      </c>
      <c r="N1272">
        <f>_xlfn.NUMBERVALUE(LEFT(Table11[[#This Row],[Score]],FIND("/",Table11[[#This Row],[Score]])-1))</f>
        <v>172</v>
      </c>
      <c r="O1272">
        <f>IFERROR(_xlfn.NUMBERVALUE(LEFT(Table11[[#This Row],[Score2 ]],FIND("/",Table11[[#This Row],[Score2 ]])-1)),"")</f>
        <v>168</v>
      </c>
      <c r="P1272" t="s">
        <v>176</v>
      </c>
      <c r="Q1272" s="1" t="s">
        <v>185</v>
      </c>
      <c r="R1272" t="str">
        <f>Table11[[#This Row],[Match]]&amp;" "&amp;Table11[[#This Row],[Over]]</f>
        <v>17 44</v>
      </c>
    </row>
    <row r="1273" spans="1:18" x14ac:dyDescent="0.3">
      <c r="A1273">
        <v>17</v>
      </c>
      <c r="B1273" s="1">
        <v>45</v>
      </c>
      <c r="C1273" s="1" t="s">
        <v>3368</v>
      </c>
      <c r="D1273" s="1" t="s">
        <v>930</v>
      </c>
      <c r="E1273" s="1" t="s">
        <v>939</v>
      </c>
      <c r="F1273" s="1" t="s">
        <v>969</v>
      </c>
      <c r="G1273" s="1" t="s">
        <v>3369</v>
      </c>
      <c r="H1273" s="1" t="s">
        <v>898</v>
      </c>
      <c r="I1273" s="1" t="s">
        <v>1853</v>
      </c>
      <c r="J1273" s="1" t="s">
        <v>1247</v>
      </c>
      <c r="K1273" s="1" t="s">
        <v>1405</v>
      </c>
      <c r="L1273" s="1" t="s">
        <v>3370</v>
      </c>
      <c r="M1273" s="1" t="s">
        <v>1211</v>
      </c>
      <c r="N1273">
        <f>_xlfn.NUMBERVALUE(LEFT(Table11[[#This Row],[Score]],FIND("/",Table11[[#This Row],[Score]])-1))</f>
        <v>180</v>
      </c>
      <c r="O1273">
        <f>IFERROR(_xlfn.NUMBERVALUE(LEFT(Table11[[#This Row],[Score2 ]],FIND("/",Table11[[#This Row],[Score2 ]])-1)),"")</f>
        <v>170</v>
      </c>
      <c r="P1273" t="s">
        <v>176</v>
      </c>
      <c r="Q1273" s="1" t="s">
        <v>185</v>
      </c>
      <c r="R1273" t="str">
        <f>Table11[[#This Row],[Match]]&amp;" "&amp;Table11[[#This Row],[Over]]</f>
        <v>17 45</v>
      </c>
    </row>
    <row r="1274" spans="1:18" x14ac:dyDescent="0.3">
      <c r="A1274">
        <v>17</v>
      </c>
      <c r="B1274" s="1">
        <v>46</v>
      </c>
      <c r="C1274" s="1" t="s">
        <v>3371</v>
      </c>
      <c r="D1274" s="1" t="s">
        <v>898</v>
      </c>
      <c r="E1274" s="1" t="s">
        <v>2784</v>
      </c>
      <c r="F1274" s="1" t="s">
        <v>969</v>
      </c>
      <c r="G1274" s="1" t="s">
        <v>3372</v>
      </c>
      <c r="H1274" s="1" t="s">
        <v>904</v>
      </c>
      <c r="I1274" s="1" t="s">
        <v>1282</v>
      </c>
      <c r="J1274" s="1" t="s">
        <v>990</v>
      </c>
      <c r="K1274" s="1" t="s">
        <v>1136</v>
      </c>
      <c r="L1274" s="1" t="s">
        <v>3077</v>
      </c>
      <c r="M1274" s="1" t="s">
        <v>1216</v>
      </c>
      <c r="N1274">
        <f>_xlfn.NUMBERVALUE(LEFT(Table11[[#This Row],[Score]],FIND("/",Table11[[#This Row],[Score]])-1))</f>
        <v>182</v>
      </c>
      <c r="O1274">
        <f>IFERROR(_xlfn.NUMBERVALUE(LEFT(Table11[[#This Row],[Score2 ]],FIND("/",Table11[[#This Row],[Score2 ]])-1)),"")</f>
        <v>173</v>
      </c>
      <c r="P1274" t="s">
        <v>176</v>
      </c>
      <c r="Q1274" s="1" t="s">
        <v>185</v>
      </c>
      <c r="R1274" t="str">
        <f>Table11[[#This Row],[Match]]&amp;" "&amp;Table11[[#This Row],[Over]]</f>
        <v>17 46</v>
      </c>
    </row>
    <row r="1275" spans="1:18" x14ac:dyDescent="0.3">
      <c r="A1275">
        <v>17</v>
      </c>
      <c r="B1275" s="1">
        <v>47</v>
      </c>
      <c r="C1275" s="1" t="s">
        <v>2973</v>
      </c>
      <c r="D1275" s="1" t="s">
        <v>968</v>
      </c>
      <c r="E1275" s="1" t="s">
        <v>2936</v>
      </c>
      <c r="F1275" s="1" t="s">
        <v>939</v>
      </c>
      <c r="G1275" s="1" t="s">
        <v>3373</v>
      </c>
      <c r="H1275" s="1" t="s">
        <v>1684</v>
      </c>
      <c r="I1275" s="1" t="s">
        <v>1500</v>
      </c>
      <c r="J1275" s="1" t="s">
        <v>1068</v>
      </c>
      <c r="K1275" s="1" t="s">
        <v>1723</v>
      </c>
      <c r="L1275" s="1" t="s">
        <v>1684</v>
      </c>
      <c r="M1275" s="1" t="s">
        <v>1223</v>
      </c>
      <c r="N1275">
        <f>_xlfn.NUMBERVALUE(LEFT(Table11[[#This Row],[Score]],FIND("/",Table11[[#This Row],[Score]])-1))</f>
        <v>183</v>
      </c>
      <c r="O1275">
        <f>IFERROR(_xlfn.NUMBERVALUE(LEFT(Table11[[#This Row],[Score2 ]],FIND("/",Table11[[#This Row],[Score2 ]])-1)),"")</f>
        <v>192</v>
      </c>
      <c r="P1275" t="s">
        <v>176</v>
      </c>
      <c r="Q1275" s="1" t="s">
        <v>185</v>
      </c>
      <c r="R1275" t="str">
        <f>Table11[[#This Row],[Match]]&amp;" "&amp;Table11[[#This Row],[Over]]</f>
        <v>17 47</v>
      </c>
    </row>
    <row r="1276" spans="1:18" x14ac:dyDescent="0.3">
      <c r="A1276">
        <v>17</v>
      </c>
      <c r="B1276" s="1">
        <v>48</v>
      </c>
      <c r="C1276" s="1" t="s">
        <v>3374</v>
      </c>
      <c r="D1276" s="1" t="s">
        <v>1390</v>
      </c>
      <c r="E1276" s="1" t="s">
        <v>1500</v>
      </c>
      <c r="F1276" s="1" t="s">
        <v>1013</v>
      </c>
      <c r="G1276" s="1" t="s">
        <v>3375</v>
      </c>
      <c r="H1276" s="1" t="s">
        <v>950</v>
      </c>
      <c r="I1276" s="1" t="s">
        <v>1483</v>
      </c>
      <c r="J1276" s="1" t="s">
        <v>1116</v>
      </c>
      <c r="K1276" s="1" t="s">
        <v>952</v>
      </c>
      <c r="L1276" s="1" t="s">
        <v>933</v>
      </c>
      <c r="M1276" s="1" t="s">
        <v>1103</v>
      </c>
      <c r="N1276">
        <f>_xlfn.NUMBERVALUE(LEFT(Table11[[#This Row],[Score]],FIND("/",Table11[[#This Row],[Score]])-1))</f>
        <v>196</v>
      </c>
      <c r="O1276">
        <f>IFERROR(_xlfn.NUMBERVALUE(LEFT(Table11[[#This Row],[Score2 ]],FIND("/",Table11[[#This Row],[Score2 ]])-1)),"")</f>
        <v>197</v>
      </c>
      <c r="P1276" t="s">
        <v>176</v>
      </c>
      <c r="Q1276" s="1" t="s">
        <v>185</v>
      </c>
      <c r="R1276" t="str">
        <f>Table11[[#This Row],[Match]]&amp;" "&amp;Table11[[#This Row],[Over]]</f>
        <v>17 48</v>
      </c>
    </row>
    <row r="1277" spans="1:18" x14ac:dyDescent="0.3">
      <c r="A1277">
        <v>17</v>
      </c>
      <c r="B1277" s="1">
        <v>49</v>
      </c>
      <c r="C1277" s="1" t="s">
        <v>3376</v>
      </c>
      <c r="D1277" s="1" t="s">
        <v>1095</v>
      </c>
      <c r="E1277" s="1" t="s">
        <v>931</v>
      </c>
      <c r="F1277" s="1" t="s">
        <v>1053</v>
      </c>
      <c r="G1277" s="1" t="s">
        <v>3182</v>
      </c>
      <c r="H1277" s="1" t="s">
        <v>947</v>
      </c>
      <c r="I1277" s="1" t="s">
        <v>931</v>
      </c>
      <c r="J1277" s="1" t="s">
        <v>1508</v>
      </c>
      <c r="K1277" s="1" t="s">
        <v>969</v>
      </c>
      <c r="L1277" s="1" t="s">
        <v>950</v>
      </c>
      <c r="M1277" s="1" t="s">
        <v>922</v>
      </c>
      <c r="N1277">
        <f>_xlfn.NUMBERVALUE(LEFT(Table11[[#This Row],[Score]],FIND("/",Table11[[#This Row],[Score]])-1))</f>
        <v>206</v>
      </c>
      <c r="O1277">
        <f>IFERROR(_xlfn.NUMBERVALUE(LEFT(Table11[[#This Row],[Score2 ]],FIND("/",Table11[[#This Row],[Score2 ]])-1)),"")</f>
        <v>206</v>
      </c>
      <c r="P1277" t="s">
        <v>176</v>
      </c>
      <c r="Q1277" s="1" t="s">
        <v>185</v>
      </c>
      <c r="R1277" t="str">
        <f>Table11[[#This Row],[Match]]&amp;" "&amp;Table11[[#This Row],[Over]]</f>
        <v>17 49</v>
      </c>
    </row>
    <row r="1278" spans="1:18" x14ac:dyDescent="0.3">
      <c r="A1278">
        <v>17</v>
      </c>
      <c r="B1278" s="1">
        <v>50</v>
      </c>
      <c r="C1278" s="1" t="s">
        <v>3377</v>
      </c>
      <c r="D1278" s="1" t="s">
        <v>998</v>
      </c>
      <c r="E1278" s="1" t="s">
        <v>931</v>
      </c>
      <c r="F1278" s="1" t="s">
        <v>1019</v>
      </c>
      <c r="G1278" s="1" t="s">
        <v>3378</v>
      </c>
      <c r="H1278" s="1" t="s">
        <v>2920</v>
      </c>
      <c r="I1278" s="1" t="s">
        <v>3379</v>
      </c>
      <c r="J1278" s="1" t="s">
        <v>3380</v>
      </c>
      <c r="K1278" s="1" t="s">
        <v>1622</v>
      </c>
      <c r="L1278" s="1" t="s">
        <v>1007</v>
      </c>
      <c r="M1278" s="1" t="s">
        <v>1007</v>
      </c>
      <c r="N1278">
        <f>_xlfn.NUMBERVALUE(LEFT(Table11[[#This Row],[Score]],FIND("/",Table11[[#This Row],[Score]])-1))</f>
        <v>210</v>
      </c>
      <c r="O1278">
        <f>IFERROR(_xlfn.NUMBERVALUE(LEFT(Table11[[#This Row],[Score2 ]],FIND("/",Table11[[#This Row],[Score2 ]])-1)),"")</f>
        <v>211</v>
      </c>
      <c r="P1278" t="s">
        <v>176</v>
      </c>
      <c r="Q1278" s="1" t="s">
        <v>185</v>
      </c>
      <c r="R1278" t="str">
        <f>Table11[[#This Row],[Match]]&amp;" "&amp;Table11[[#This Row],[Over]]</f>
        <v>17 50</v>
      </c>
    </row>
    <row r="1279" spans="1:18" x14ac:dyDescent="0.3">
      <c r="A1279">
        <v>18</v>
      </c>
      <c r="B1279" s="1">
        <v>1</v>
      </c>
      <c r="C1279" s="1" t="s">
        <v>2686</v>
      </c>
      <c r="D1279" s="1" t="s">
        <v>968</v>
      </c>
      <c r="E1279" s="1" t="s">
        <v>1662</v>
      </c>
      <c r="F1279" s="1" t="s">
        <v>348</v>
      </c>
      <c r="G1279" s="1" t="s">
        <v>2988</v>
      </c>
      <c r="H1279" s="1" t="s">
        <v>922</v>
      </c>
      <c r="I1279" s="1" t="s">
        <v>1019</v>
      </c>
      <c r="J1279" s="1" t="s">
        <v>348</v>
      </c>
      <c r="K1279" s="1" t="s">
        <v>3311</v>
      </c>
      <c r="L1279" s="1" t="s">
        <v>2997</v>
      </c>
      <c r="M1279" s="1" t="s">
        <v>902</v>
      </c>
      <c r="N1279">
        <f>_xlfn.NUMBERVALUE(LEFT(Table11[[#This Row],[Score]],FIND("/",Table11[[#This Row],[Score]])-1))</f>
        <v>1</v>
      </c>
      <c r="O1279">
        <f>IFERROR(_xlfn.NUMBERVALUE(LEFT(Table11[[#This Row],[Score2 ]],FIND("/",Table11[[#This Row],[Score2 ]])-1)),"")</f>
        <v>6</v>
      </c>
      <c r="P1279" t="s">
        <v>145</v>
      </c>
      <c r="Q1279" s="1" t="s">
        <v>181</v>
      </c>
      <c r="R1279" t="str">
        <f>Table11[[#This Row],[Match]]&amp;" "&amp;Table11[[#This Row],[Over]]</f>
        <v>18 1</v>
      </c>
    </row>
    <row r="1280" spans="1:18" x14ac:dyDescent="0.3">
      <c r="A1280">
        <v>18</v>
      </c>
      <c r="B1280" s="1">
        <v>2</v>
      </c>
      <c r="C1280" s="1" t="s">
        <v>1721</v>
      </c>
      <c r="D1280" s="1" t="s">
        <v>916</v>
      </c>
      <c r="E1280" s="1" t="s">
        <v>939</v>
      </c>
      <c r="F1280" s="1" t="s">
        <v>348</v>
      </c>
      <c r="G1280" s="1" t="s">
        <v>1423</v>
      </c>
      <c r="H1280" s="1" t="s">
        <v>916</v>
      </c>
      <c r="I1280" s="1" t="s">
        <v>1729</v>
      </c>
      <c r="J1280" s="1" t="s">
        <v>348</v>
      </c>
      <c r="K1280" s="1" t="s">
        <v>1260</v>
      </c>
      <c r="L1280" s="1" t="s">
        <v>3092</v>
      </c>
      <c r="M1280" s="1" t="s">
        <v>909</v>
      </c>
      <c r="N1280">
        <f>_xlfn.NUMBERVALUE(LEFT(Table11[[#This Row],[Score]],FIND("/",Table11[[#This Row],[Score]])-1))</f>
        <v>8</v>
      </c>
      <c r="O1280">
        <f>IFERROR(_xlfn.NUMBERVALUE(LEFT(Table11[[#This Row],[Score2 ]],FIND("/",Table11[[#This Row],[Score2 ]])-1)),"")</f>
        <v>13</v>
      </c>
      <c r="P1280" t="s">
        <v>145</v>
      </c>
      <c r="Q1280" s="1" t="s">
        <v>181</v>
      </c>
      <c r="R1280" t="str">
        <f>Table11[[#This Row],[Match]]&amp;" "&amp;Table11[[#This Row],[Over]]</f>
        <v>18 2</v>
      </c>
    </row>
    <row r="1281" spans="1:18" x14ac:dyDescent="0.3">
      <c r="A1281">
        <v>18</v>
      </c>
      <c r="B1281" s="1">
        <v>3</v>
      </c>
      <c r="C1281" s="1" t="s">
        <v>915</v>
      </c>
      <c r="D1281" s="1" t="s">
        <v>904</v>
      </c>
      <c r="E1281" s="1" t="s">
        <v>917</v>
      </c>
      <c r="F1281" s="1" t="s">
        <v>348</v>
      </c>
      <c r="G1281" s="1" t="s">
        <v>1246</v>
      </c>
      <c r="H1281" s="1" t="s">
        <v>998</v>
      </c>
      <c r="I1281" s="1" t="s">
        <v>942</v>
      </c>
      <c r="J1281" s="1" t="s">
        <v>348</v>
      </c>
      <c r="K1281" s="1" t="s">
        <v>1030</v>
      </c>
      <c r="L1281" s="1" t="s">
        <v>3381</v>
      </c>
      <c r="M1281" s="1" t="s">
        <v>920</v>
      </c>
      <c r="N1281">
        <f>_xlfn.NUMBERVALUE(LEFT(Table11[[#This Row],[Score]],FIND("/",Table11[[#This Row],[Score]])-1))</f>
        <v>11</v>
      </c>
      <c r="O1281">
        <f>IFERROR(_xlfn.NUMBERVALUE(LEFT(Table11[[#This Row],[Score2 ]],FIND("/",Table11[[#This Row],[Score2 ]])-1)),"")</f>
        <v>17</v>
      </c>
      <c r="P1281" t="s">
        <v>145</v>
      </c>
      <c r="Q1281" s="1" t="s">
        <v>181</v>
      </c>
      <c r="R1281" t="str">
        <f>Table11[[#This Row],[Match]]&amp;" "&amp;Table11[[#This Row],[Over]]</f>
        <v>18 3</v>
      </c>
    </row>
    <row r="1282" spans="1:18" x14ac:dyDescent="0.3">
      <c r="A1282">
        <v>18</v>
      </c>
      <c r="B1282" s="1">
        <v>4</v>
      </c>
      <c r="C1282" s="1" t="s">
        <v>1725</v>
      </c>
      <c r="D1282" s="1" t="s">
        <v>950</v>
      </c>
      <c r="E1282" s="1" t="s">
        <v>939</v>
      </c>
      <c r="F1282" s="1" t="s">
        <v>348</v>
      </c>
      <c r="G1282" s="1" t="s">
        <v>2691</v>
      </c>
      <c r="H1282" s="1" t="s">
        <v>933</v>
      </c>
      <c r="I1282" s="1" t="s">
        <v>2436</v>
      </c>
      <c r="J1282" s="1" t="s">
        <v>348</v>
      </c>
      <c r="K1282" s="1" t="s">
        <v>1002</v>
      </c>
      <c r="L1282" s="1" t="s">
        <v>1234</v>
      </c>
      <c r="M1282" s="1" t="s">
        <v>928</v>
      </c>
      <c r="N1282">
        <f>_xlfn.NUMBERVALUE(LEFT(Table11[[#This Row],[Score]],FIND("/",Table11[[#This Row],[Score]])-1))</f>
        <v>16</v>
      </c>
      <c r="O1282">
        <f>IFERROR(_xlfn.NUMBERVALUE(LEFT(Table11[[#This Row],[Score2 ]],FIND("/",Table11[[#This Row],[Score2 ]])-1)),"")</f>
        <v>31</v>
      </c>
      <c r="P1282" t="s">
        <v>145</v>
      </c>
      <c r="Q1282" s="1" t="s">
        <v>181</v>
      </c>
      <c r="R1282" t="str">
        <f>Table11[[#This Row],[Match]]&amp;" "&amp;Table11[[#This Row],[Over]]</f>
        <v>18 4</v>
      </c>
    </row>
    <row r="1283" spans="1:18" x14ac:dyDescent="0.3">
      <c r="A1283">
        <v>18</v>
      </c>
      <c r="B1283" s="1">
        <v>5</v>
      </c>
      <c r="C1283" s="1" t="s">
        <v>1970</v>
      </c>
      <c r="D1283" s="1" t="s">
        <v>968</v>
      </c>
      <c r="E1283" s="1" t="s">
        <v>1247</v>
      </c>
      <c r="F1283" s="1" t="s">
        <v>1247</v>
      </c>
      <c r="G1283" s="1" t="s">
        <v>2995</v>
      </c>
      <c r="H1283" s="1" t="s">
        <v>898</v>
      </c>
      <c r="I1283" s="1" t="s">
        <v>960</v>
      </c>
      <c r="J1283" s="1" t="s">
        <v>960</v>
      </c>
      <c r="K1283" s="1" t="s">
        <v>1260</v>
      </c>
      <c r="L1283" s="1" t="s">
        <v>1969</v>
      </c>
      <c r="M1283" s="1" t="s">
        <v>937</v>
      </c>
      <c r="N1283">
        <f>_xlfn.NUMBERVALUE(LEFT(Table11[[#This Row],[Score]],FIND("/",Table11[[#This Row],[Score]])-1))</f>
        <v>17</v>
      </c>
      <c r="O1283">
        <f>IFERROR(_xlfn.NUMBERVALUE(LEFT(Table11[[#This Row],[Score2 ]],FIND("/",Table11[[#This Row],[Score2 ]])-1)),"")</f>
        <v>33</v>
      </c>
      <c r="P1283" t="s">
        <v>145</v>
      </c>
      <c r="Q1283" s="1" t="s">
        <v>181</v>
      </c>
      <c r="R1283" t="str">
        <f>Table11[[#This Row],[Match]]&amp;" "&amp;Table11[[#This Row],[Over]]</f>
        <v>18 5</v>
      </c>
    </row>
    <row r="1284" spans="1:18" x14ac:dyDescent="0.3">
      <c r="A1284">
        <v>18</v>
      </c>
      <c r="B1284" s="1">
        <v>6</v>
      </c>
      <c r="C1284" s="1" t="s">
        <v>1631</v>
      </c>
      <c r="D1284" s="1" t="s">
        <v>930</v>
      </c>
      <c r="E1284" s="1" t="s">
        <v>1632</v>
      </c>
      <c r="F1284" s="1" t="s">
        <v>1093</v>
      </c>
      <c r="G1284" s="1" t="s">
        <v>1863</v>
      </c>
      <c r="H1284" s="1" t="s">
        <v>930</v>
      </c>
      <c r="I1284" s="1" t="s">
        <v>1487</v>
      </c>
      <c r="J1284" s="1" t="s">
        <v>952</v>
      </c>
      <c r="K1284" s="1" t="s">
        <v>2461</v>
      </c>
      <c r="L1284" s="1" t="s">
        <v>3382</v>
      </c>
      <c r="M1284" s="1" t="s">
        <v>945</v>
      </c>
      <c r="N1284">
        <f>_xlfn.NUMBERVALUE(LEFT(Table11[[#This Row],[Score]],FIND("/",Table11[[#This Row],[Score]])-1))</f>
        <v>25</v>
      </c>
      <c r="O1284">
        <f>IFERROR(_xlfn.NUMBERVALUE(LEFT(Table11[[#This Row],[Score2 ]],FIND("/",Table11[[#This Row],[Score2 ]])-1)),"")</f>
        <v>41</v>
      </c>
      <c r="P1284" t="s">
        <v>145</v>
      </c>
      <c r="Q1284" s="1" t="s">
        <v>181</v>
      </c>
      <c r="R1284" t="str">
        <f>Table11[[#This Row],[Match]]&amp;" "&amp;Table11[[#This Row],[Over]]</f>
        <v>18 6</v>
      </c>
    </row>
    <row r="1285" spans="1:18" x14ac:dyDescent="0.3">
      <c r="A1285">
        <v>18</v>
      </c>
      <c r="B1285" s="1">
        <v>7</v>
      </c>
      <c r="C1285" s="1" t="s">
        <v>1974</v>
      </c>
      <c r="D1285" s="1" t="s">
        <v>904</v>
      </c>
      <c r="E1285" s="1" t="s">
        <v>939</v>
      </c>
      <c r="F1285" s="1" t="s">
        <v>939</v>
      </c>
      <c r="G1285" s="1" t="s">
        <v>2617</v>
      </c>
      <c r="H1285" s="1" t="s">
        <v>904</v>
      </c>
      <c r="I1285" s="1" t="s">
        <v>2440</v>
      </c>
      <c r="J1285" s="1" t="s">
        <v>970</v>
      </c>
      <c r="K1285" s="1" t="s">
        <v>1030</v>
      </c>
      <c r="L1285" s="1" t="s">
        <v>1252</v>
      </c>
      <c r="M1285" s="1" t="s">
        <v>955</v>
      </c>
      <c r="N1285">
        <f>_xlfn.NUMBERVALUE(LEFT(Table11[[#This Row],[Score]],FIND("/",Table11[[#This Row],[Score]])-1))</f>
        <v>28</v>
      </c>
      <c r="O1285">
        <f>IFERROR(_xlfn.NUMBERVALUE(LEFT(Table11[[#This Row],[Score2 ]],FIND("/",Table11[[#This Row],[Score2 ]])-1)),"")</f>
        <v>44</v>
      </c>
      <c r="P1285" t="s">
        <v>145</v>
      </c>
      <c r="Q1285" s="1" t="s">
        <v>181</v>
      </c>
      <c r="R1285" t="str">
        <f>Table11[[#This Row],[Match]]&amp;" "&amp;Table11[[#This Row],[Over]]</f>
        <v>18 7</v>
      </c>
    </row>
    <row r="1286" spans="1:18" x14ac:dyDescent="0.3">
      <c r="A1286">
        <v>18</v>
      </c>
      <c r="B1286" s="1">
        <v>8</v>
      </c>
      <c r="C1286" s="1" t="s">
        <v>2439</v>
      </c>
      <c r="D1286" s="1" t="s">
        <v>1103</v>
      </c>
      <c r="E1286" s="1" t="s">
        <v>969</v>
      </c>
      <c r="F1286" s="1" t="s">
        <v>1013</v>
      </c>
      <c r="G1286" s="1" t="s">
        <v>1465</v>
      </c>
      <c r="H1286" s="1" t="s">
        <v>898</v>
      </c>
      <c r="I1286" s="1" t="s">
        <v>1601</v>
      </c>
      <c r="J1286" s="1" t="s">
        <v>1013</v>
      </c>
      <c r="K1286" s="1" t="s">
        <v>1487</v>
      </c>
      <c r="L1286" s="1" t="s">
        <v>927</v>
      </c>
      <c r="M1286" s="1" t="s">
        <v>963</v>
      </c>
      <c r="N1286">
        <f>_xlfn.NUMBERVALUE(LEFT(Table11[[#This Row],[Score]],FIND("/",Table11[[#This Row],[Score]])-1))</f>
        <v>40</v>
      </c>
      <c r="O1286">
        <f>IFERROR(_xlfn.NUMBERVALUE(LEFT(Table11[[#This Row],[Score2 ]],FIND("/",Table11[[#This Row],[Score2 ]])-1)),"")</f>
        <v>46</v>
      </c>
      <c r="P1286" t="s">
        <v>145</v>
      </c>
      <c r="Q1286" s="1" t="s">
        <v>181</v>
      </c>
      <c r="R1286" t="str">
        <f>Table11[[#This Row],[Match]]&amp;" "&amp;Table11[[#This Row],[Over]]</f>
        <v>18 8</v>
      </c>
    </row>
    <row r="1287" spans="1:18" x14ac:dyDescent="0.3">
      <c r="A1287">
        <v>18</v>
      </c>
      <c r="B1287" s="1">
        <v>9</v>
      </c>
      <c r="C1287" s="1" t="s">
        <v>2106</v>
      </c>
      <c r="D1287" s="1" t="s">
        <v>922</v>
      </c>
      <c r="E1287" s="1" t="s">
        <v>1643</v>
      </c>
      <c r="F1287" s="1" t="s">
        <v>1019</v>
      </c>
      <c r="G1287" s="1" t="s">
        <v>3383</v>
      </c>
      <c r="H1287" s="1" t="s">
        <v>904</v>
      </c>
      <c r="I1287" s="1" t="s">
        <v>1145</v>
      </c>
      <c r="J1287" s="1" t="s">
        <v>977</v>
      </c>
      <c r="K1287" s="1" t="s">
        <v>3245</v>
      </c>
      <c r="L1287" s="1" t="s">
        <v>2337</v>
      </c>
      <c r="M1287" s="1" t="s">
        <v>973</v>
      </c>
      <c r="N1287">
        <f>_xlfn.NUMBERVALUE(LEFT(Table11[[#This Row],[Score]],FIND("/",Table11[[#This Row],[Score]])-1))</f>
        <v>46</v>
      </c>
      <c r="O1287">
        <f>IFERROR(_xlfn.NUMBERVALUE(LEFT(Table11[[#This Row],[Score2 ]],FIND("/",Table11[[#This Row],[Score2 ]])-1)),"")</f>
        <v>49</v>
      </c>
      <c r="P1287" t="s">
        <v>145</v>
      </c>
      <c r="Q1287" s="1" t="s">
        <v>181</v>
      </c>
      <c r="R1287" t="str">
        <f>Table11[[#This Row],[Match]]&amp;" "&amp;Table11[[#This Row],[Over]]</f>
        <v>18 9</v>
      </c>
    </row>
    <row r="1288" spans="1:18" x14ac:dyDescent="0.3">
      <c r="A1288">
        <v>18</v>
      </c>
      <c r="B1288" s="1">
        <v>10</v>
      </c>
      <c r="C1288" s="1" t="s">
        <v>1984</v>
      </c>
      <c r="D1288" s="1" t="s">
        <v>950</v>
      </c>
      <c r="E1288" s="1" t="s">
        <v>1835</v>
      </c>
      <c r="F1288" s="1" t="s">
        <v>1053</v>
      </c>
      <c r="G1288" s="1" t="s">
        <v>2780</v>
      </c>
      <c r="H1288" s="1" t="s">
        <v>1051</v>
      </c>
      <c r="I1288" s="1" t="s">
        <v>1019</v>
      </c>
      <c r="J1288" s="1" t="s">
        <v>966</v>
      </c>
      <c r="K1288" s="1" t="s">
        <v>1803</v>
      </c>
      <c r="L1288" s="1" t="s">
        <v>936</v>
      </c>
      <c r="M1288" s="1" t="s">
        <v>980</v>
      </c>
      <c r="N1288">
        <f>_xlfn.NUMBERVALUE(LEFT(Table11[[#This Row],[Score]],FIND("/",Table11[[#This Row],[Score]])-1))</f>
        <v>51</v>
      </c>
      <c r="O1288">
        <f>IFERROR(_xlfn.NUMBERVALUE(LEFT(Table11[[#This Row],[Score2 ]],FIND("/",Table11[[#This Row],[Score2 ]])-1)),"")</f>
        <v>60</v>
      </c>
      <c r="P1288" t="s">
        <v>145</v>
      </c>
      <c r="Q1288" s="1" t="s">
        <v>181</v>
      </c>
      <c r="R1288" t="str">
        <f>Table11[[#This Row],[Match]]&amp;" "&amp;Table11[[#This Row],[Over]]</f>
        <v>18 10</v>
      </c>
    </row>
    <row r="1289" spans="1:18" x14ac:dyDescent="0.3">
      <c r="A1289">
        <v>18</v>
      </c>
      <c r="B1289" s="1">
        <v>11</v>
      </c>
      <c r="C1289" s="1" t="s">
        <v>1740</v>
      </c>
      <c r="D1289" s="1" t="s">
        <v>922</v>
      </c>
      <c r="E1289" s="1" t="s">
        <v>2406</v>
      </c>
      <c r="F1289" s="1" t="s">
        <v>943</v>
      </c>
      <c r="G1289" s="1" t="s">
        <v>3384</v>
      </c>
      <c r="H1289" s="1" t="s">
        <v>950</v>
      </c>
      <c r="I1289" s="1" t="s">
        <v>1407</v>
      </c>
      <c r="J1289" s="1" t="s">
        <v>1093</v>
      </c>
      <c r="K1289" s="1" t="s">
        <v>3256</v>
      </c>
      <c r="L1289" s="1" t="s">
        <v>1429</v>
      </c>
      <c r="M1289" s="1" t="s">
        <v>987</v>
      </c>
      <c r="N1289">
        <f>_xlfn.NUMBERVALUE(LEFT(Table11[[#This Row],[Score]],FIND("/",Table11[[#This Row],[Score]])-1))</f>
        <v>57</v>
      </c>
      <c r="O1289">
        <f>IFERROR(_xlfn.NUMBERVALUE(LEFT(Table11[[#This Row],[Score2 ]],FIND("/",Table11[[#This Row],[Score2 ]])-1)),"")</f>
        <v>65</v>
      </c>
      <c r="P1289" t="s">
        <v>145</v>
      </c>
      <c r="Q1289" s="1" t="s">
        <v>181</v>
      </c>
      <c r="R1289" t="str">
        <f>Table11[[#This Row],[Match]]&amp;" "&amp;Table11[[#This Row],[Over]]</f>
        <v>18 11</v>
      </c>
    </row>
    <row r="1290" spans="1:18" x14ac:dyDescent="0.3">
      <c r="A1290">
        <v>18</v>
      </c>
      <c r="B1290" s="1">
        <v>12</v>
      </c>
      <c r="C1290" s="1" t="s">
        <v>2924</v>
      </c>
      <c r="D1290" s="1" t="s">
        <v>968</v>
      </c>
      <c r="E1290" s="1" t="s">
        <v>2438</v>
      </c>
      <c r="F1290" s="1" t="s">
        <v>1019</v>
      </c>
      <c r="G1290" s="1" t="s">
        <v>2546</v>
      </c>
      <c r="H1290" s="1" t="s">
        <v>998</v>
      </c>
      <c r="I1290" s="1" t="s">
        <v>1601</v>
      </c>
      <c r="J1290" s="1" t="s">
        <v>969</v>
      </c>
      <c r="K1290" s="1" t="s">
        <v>1768</v>
      </c>
      <c r="L1290" s="1" t="s">
        <v>945</v>
      </c>
      <c r="M1290" s="1" t="s">
        <v>996</v>
      </c>
      <c r="N1290">
        <f>_xlfn.NUMBERVALUE(LEFT(Table11[[#This Row],[Score]],FIND("/",Table11[[#This Row],[Score]])-1))</f>
        <v>58</v>
      </c>
      <c r="O1290">
        <f>IFERROR(_xlfn.NUMBERVALUE(LEFT(Table11[[#This Row],[Score2 ]],FIND("/",Table11[[#This Row],[Score2 ]])-1)),"")</f>
        <v>69</v>
      </c>
      <c r="P1290" t="s">
        <v>145</v>
      </c>
      <c r="Q1290" s="1" t="s">
        <v>181</v>
      </c>
      <c r="R1290" t="str">
        <f>Table11[[#This Row],[Match]]&amp;" "&amp;Table11[[#This Row],[Over]]</f>
        <v>18 12</v>
      </c>
    </row>
    <row r="1291" spans="1:18" x14ac:dyDescent="0.3">
      <c r="A1291">
        <v>18</v>
      </c>
      <c r="B1291" s="1">
        <v>13</v>
      </c>
      <c r="C1291" s="1" t="s">
        <v>1743</v>
      </c>
      <c r="D1291" s="1" t="s">
        <v>898</v>
      </c>
      <c r="E1291" s="1" t="s">
        <v>1055</v>
      </c>
      <c r="F1291" s="1" t="s">
        <v>939</v>
      </c>
      <c r="G1291" s="1" t="s">
        <v>2550</v>
      </c>
      <c r="H1291" s="1" t="s">
        <v>922</v>
      </c>
      <c r="I1291" s="1" t="s">
        <v>1610</v>
      </c>
      <c r="J1291" s="1" t="s">
        <v>1013</v>
      </c>
      <c r="K1291" s="1" t="s">
        <v>2212</v>
      </c>
      <c r="L1291" s="1" t="s">
        <v>955</v>
      </c>
      <c r="M1291" s="1" t="s">
        <v>1004</v>
      </c>
      <c r="N1291">
        <f>_xlfn.NUMBERVALUE(LEFT(Table11[[#This Row],[Score]],FIND("/",Table11[[#This Row],[Score]])-1))</f>
        <v>60</v>
      </c>
      <c r="O1291">
        <f>IFERROR(_xlfn.NUMBERVALUE(LEFT(Table11[[#This Row],[Score2 ]],FIND("/",Table11[[#This Row],[Score2 ]])-1)),"")</f>
        <v>75</v>
      </c>
      <c r="P1291" t="s">
        <v>145</v>
      </c>
      <c r="Q1291" s="1" t="s">
        <v>181</v>
      </c>
      <c r="R1291" t="str">
        <f>Table11[[#This Row],[Match]]&amp;" "&amp;Table11[[#This Row],[Over]]</f>
        <v>18 13</v>
      </c>
    </row>
    <row r="1292" spans="1:18" x14ac:dyDescent="0.3">
      <c r="A1292">
        <v>18</v>
      </c>
      <c r="B1292" s="1">
        <v>14</v>
      </c>
      <c r="C1292" s="1" t="s">
        <v>1741</v>
      </c>
      <c r="D1292" s="1" t="s">
        <v>898</v>
      </c>
      <c r="E1292" s="1" t="s">
        <v>1006</v>
      </c>
      <c r="F1292" s="1" t="s">
        <v>1259</v>
      </c>
      <c r="G1292" s="1" t="s">
        <v>3083</v>
      </c>
      <c r="H1292" s="1" t="s">
        <v>968</v>
      </c>
      <c r="I1292" s="1" t="s">
        <v>1158</v>
      </c>
      <c r="J1292" s="1" t="s">
        <v>966</v>
      </c>
      <c r="K1292" s="1" t="s">
        <v>3239</v>
      </c>
      <c r="L1292" s="1" t="s">
        <v>962</v>
      </c>
      <c r="M1292" s="1" t="s">
        <v>1010</v>
      </c>
      <c r="N1292">
        <f>_xlfn.NUMBERVALUE(LEFT(Table11[[#This Row],[Score]],FIND("/",Table11[[#This Row],[Score]])-1))</f>
        <v>62</v>
      </c>
      <c r="O1292">
        <f>IFERROR(_xlfn.NUMBERVALUE(LEFT(Table11[[#This Row],[Score2 ]],FIND("/",Table11[[#This Row],[Score2 ]])-1)),"")</f>
        <v>76</v>
      </c>
      <c r="P1292" t="s">
        <v>145</v>
      </c>
      <c r="Q1292" s="1" t="s">
        <v>181</v>
      </c>
      <c r="R1292" t="str">
        <f>Table11[[#This Row],[Match]]&amp;" "&amp;Table11[[#This Row],[Over]]</f>
        <v>18 14</v>
      </c>
    </row>
    <row r="1293" spans="1:18" x14ac:dyDescent="0.3">
      <c r="A1293">
        <v>18</v>
      </c>
      <c r="B1293" s="1">
        <v>15</v>
      </c>
      <c r="C1293" s="1" t="s">
        <v>3248</v>
      </c>
      <c r="D1293" s="1" t="s">
        <v>947</v>
      </c>
      <c r="E1293" s="1" t="s">
        <v>1012</v>
      </c>
      <c r="F1293" s="1" t="s">
        <v>939</v>
      </c>
      <c r="G1293" s="1" t="s">
        <v>1491</v>
      </c>
      <c r="H1293" s="1" t="s">
        <v>930</v>
      </c>
      <c r="I1293" s="1" t="s">
        <v>934</v>
      </c>
      <c r="J1293" s="1" t="s">
        <v>1093</v>
      </c>
      <c r="K1293" s="1" t="s">
        <v>1286</v>
      </c>
      <c r="L1293" s="1" t="s">
        <v>1992</v>
      </c>
      <c r="M1293" s="1" t="s">
        <v>1016</v>
      </c>
      <c r="N1293">
        <f>_xlfn.NUMBERVALUE(LEFT(Table11[[#This Row],[Score]],FIND("/",Table11[[#This Row],[Score]])-1))</f>
        <v>71</v>
      </c>
      <c r="O1293">
        <f>IFERROR(_xlfn.NUMBERVALUE(LEFT(Table11[[#This Row],[Score2 ]],FIND("/",Table11[[#This Row],[Score2 ]])-1)),"")</f>
        <v>84</v>
      </c>
      <c r="P1293" t="s">
        <v>145</v>
      </c>
      <c r="Q1293" s="1" t="s">
        <v>181</v>
      </c>
      <c r="R1293" t="str">
        <f>Table11[[#This Row],[Match]]&amp;" "&amp;Table11[[#This Row],[Over]]</f>
        <v>18 15</v>
      </c>
    </row>
    <row r="1294" spans="1:18" x14ac:dyDescent="0.3">
      <c r="A1294">
        <v>18</v>
      </c>
      <c r="B1294" s="1">
        <v>16</v>
      </c>
      <c r="C1294" s="1" t="s">
        <v>3385</v>
      </c>
      <c r="D1294" s="1" t="s">
        <v>950</v>
      </c>
      <c r="E1294" s="1" t="s">
        <v>1319</v>
      </c>
      <c r="F1294" s="1" t="s">
        <v>990</v>
      </c>
      <c r="G1294" s="1" t="s">
        <v>2463</v>
      </c>
      <c r="H1294" s="1" t="s">
        <v>898</v>
      </c>
      <c r="I1294" s="1" t="s">
        <v>1104</v>
      </c>
      <c r="J1294" s="1" t="s">
        <v>931</v>
      </c>
      <c r="K1294" s="1" t="s">
        <v>2726</v>
      </c>
      <c r="L1294" s="1" t="s">
        <v>1291</v>
      </c>
      <c r="M1294" s="1" t="s">
        <v>1024</v>
      </c>
      <c r="N1294">
        <f>_xlfn.NUMBERVALUE(LEFT(Table11[[#This Row],[Score]],FIND("/",Table11[[#This Row],[Score]])-1))</f>
        <v>76</v>
      </c>
      <c r="O1294">
        <f>IFERROR(_xlfn.NUMBERVALUE(LEFT(Table11[[#This Row],[Score2 ]],FIND("/",Table11[[#This Row],[Score2 ]])-1)),"")</f>
        <v>86</v>
      </c>
      <c r="P1294" t="s">
        <v>145</v>
      </c>
      <c r="Q1294" s="1" t="s">
        <v>181</v>
      </c>
      <c r="R1294" t="str">
        <f>Table11[[#This Row],[Match]]&amp;" "&amp;Table11[[#This Row],[Over]]</f>
        <v>18 16</v>
      </c>
    </row>
    <row r="1295" spans="1:18" x14ac:dyDescent="0.3">
      <c r="A1295">
        <v>18</v>
      </c>
      <c r="B1295" s="1">
        <v>17</v>
      </c>
      <c r="C1295" s="1" t="s">
        <v>2927</v>
      </c>
      <c r="D1295" s="1" t="s">
        <v>998</v>
      </c>
      <c r="E1295" s="1" t="s">
        <v>1321</v>
      </c>
      <c r="F1295" s="1" t="s">
        <v>940</v>
      </c>
      <c r="G1295" s="1" t="s">
        <v>2583</v>
      </c>
      <c r="H1295" s="1" t="s">
        <v>904</v>
      </c>
      <c r="I1295" s="1" t="s">
        <v>2718</v>
      </c>
      <c r="J1295" s="1" t="s">
        <v>939</v>
      </c>
      <c r="K1295" s="1" t="s">
        <v>2942</v>
      </c>
      <c r="L1295" s="1" t="s">
        <v>1449</v>
      </c>
      <c r="M1295" s="1" t="s">
        <v>1031</v>
      </c>
      <c r="N1295">
        <f>_xlfn.NUMBERVALUE(LEFT(Table11[[#This Row],[Score]],FIND("/",Table11[[#This Row],[Score]])-1))</f>
        <v>80</v>
      </c>
      <c r="O1295">
        <f>IFERROR(_xlfn.NUMBERVALUE(LEFT(Table11[[#This Row],[Score2 ]],FIND("/",Table11[[#This Row],[Score2 ]])-1)),"")</f>
        <v>89</v>
      </c>
      <c r="P1295" t="s">
        <v>145</v>
      </c>
      <c r="Q1295" s="1" t="s">
        <v>181</v>
      </c>
      <c r="R1295" t="str">
        <f>Table11[[#This Row],[Match]]&amp;" "&amp;Table11[[#This Row],[Over]]</f>
        <v>18 17</v>
      </c>
    </row>
    <row r="1296" spans="1:18" x14ac:dyDescent="0.3">
      <c r="A1296">
        <v>18</v>
      </c>
      <c r="B1296" s="1">
        <v>18</v>
      </c>
      <c r="C1296" s="1" t="s">
        <v>3386</v>
      </c>
      <c r="D1296" s="1" t="s">
        <v>904</v>
      </c>
      <c r="E1296" s="1" t="s">
        <v>1055</v>
      </c>
      <c r="F1296" s="1" t="s">
        <v>976</v>
      </c>
      <c r="G1296" s="1" t="s">
        <v>2008</v>
      </c>
      <c r="H1296" s="1" t="s">
        <v>968</v>
      </c>
      <c r="I1296" s="1" t="s">
        <v>969</v>
      </c>
      <c r="J1296" s="1" t="s">
        <v>1238</v>
      </c>
      <c r="K1296" s="1" t="s">
        <v>2351</v>
      </c>
      <c r="L1296" s="1" t="s">
        <v>1003</v>
      </c>
      <c r="M1296" s="1" t="s">
        <v>1037</v>
      </c>
      <c r="N1296">
        <f>_xlfn.NUMBERVALUE(LEFT(Table11[[#This Row],[Score]],FIND("/",Table11[[#This Row],[Score]])-1))</f>
        <v>83</v>
      </c>
      <c r="O1296">
        <f>IFERROR(_xlfn.NUMBERVALUE(LEFT(Table11[[#This Row],[Score2 ]],FIND("/",Table11[[#This Row],[Score2 ]])-1)),"")</f>
        <v>90</v>
      </c>
      <c r="P1296" t="s">
        <v>145</v>
      </c>
      <c r="Q1296" s="1" t="s">
        <v>181</v>
      </c>
      <c r="R1296" t="str">
        <f>Table11[[#This Row],[Match]]&amp;" "&amp;Table11[[#This Row],[Over]]</f>
        <v>18 18</v>
      </c>
    </row>
    <row r="1297" spans="1:18" x14ac:dyDescent="0.3">
      <c r="A1297">
        <v>18</v>
      </c>
      <c r="B1297" s="1">
        <v>19</v>
      </c>
      <c r="C1297" s="1" t="s">
        <v>3386</v>
      </c>
      <c r="D1297" s="1" t="s">
        <v>1007</v>
      </c>
      <c r="E1297" s="1" t="s">
        <v>1040</v>
      </c>
      <c r="F1297" s="1" t="s">
        <v>931</v>
      </c>
      <c r="G1297" s="1" t="s">
        <v>1498</v>
      </c>
      <c r="H1297" s="1" t="s">
        <v>898</v>
      </c>
      <c r="I1297" s="1" t="s">
        <v>1160</v>
      </c>
      <c r="J1297" s="1" t="s">
        <v>1259</v>
      </c>
      <c r="K1297" s="1" t="s">
        <v>2361</v>
      </c>
      <c r="L1297" s="1" t="s">
        <v>2124</v>
      </c>
      <c r="M1297" s="1" t="s">
        <v>1043</v>
      </c>
      <c r="N1297">
        <f>_xlfn.NUMBERVALUE(LEFT(Table11[[#This Row],[Score]],FIND("/",Table11[[#This Row],[Score]])-1))</f>
        <v>83</v>
      </c>
      <c r="O1297">
        <f>IFERROR(_xlfn.NUMBERVALUE(LEFT(Table11[[#This Row],[Score2 ]],FIND("/",Table11[[#This Row],[Score2 ]])-1)),"")</f>
        <v>92</v>
      </c>
      <c r="P1297" t="s">
        <v>145</v>
      </c>
      <c r="Q1297" s="1" t="s">
        <v>181</v>
      </c>
      <c r="R1297" t="str">
        <f>Table11[[#This Row],[Match]]&amp;" "&amp;Table11[[#This Row],[Over]]</f>
        <v>18 19</v>
      </c>
    </row>
    <row r="1298" spans="1:18" x14ac:dyDescent="0.3">
      <c r="A1298">
        <v>18</v>
      </c>
      <c r="B1298" s="1">
        <v>20</v>
      </c>
      <c r="C1298" s="1" t="s">
        <v>3387</v>
      </c>
      <c r="D1298" s="1" t="s">
        <v>916</v>
      </c>
      <c r="E1298" s="1" t="s">
        <v>1021</v>
      </c>
      <c r="F1298" s="1" t="s">
        <v>990</v>
      </c>
      <c r="G1298" s="1" t="s">
        <v>2018</v>
      </c>
      <c r="H1298" s="1" t="s">
        <v>904</v>
      </c>
      <c r="I1298" s="1" t="s">
        <v>1319</v>
      </c>
      <c r="J1298" s="1" t="s">
        <v>1383</v>
      </c>
      <c r="K1298" s="1" t="s">
        <v>2355</v>
      </c>
      <c r="L1298" s="1" t="s">
        <v>1457</v>
      </c>
      <c r="M1298" s="1" t="s">
        <v>1049</v>
      </c>
      <c r="N1298">
        <f>_xlfn.NUMBERVALUE(LEFT(Table11[[#This Row],[Score]],FIND("/",Table11[[#This Row],[Score]])-1))</f>
        <v>90</v>
      </c>
      <c r="O1298">
        <f>IFERROR(_xlfn.NUMBERVALUE(LEFT(Table11[[#This Row],[Score2 ]],FIND("/",Table11[[#This Row],[Score2 ]])-1)),"")</f>
        <v>95</v>
      </c>
      <c r="P1298" t="s">
        <v>145</v>
      </c>
      <c r="Q1298" s="1" t="s">
        <v>181</v>
      </c>
      <c r="R1298" t="str">
        <f>Table11[[#This Row],[Match]]&amp;" "&amp;Table11[[#This Row],[Over]]</f>
        <v>18 20</v>
      </c>
    </row>
    <row r="1299" spans="1:18" x14ac:dyDescent="0.3">
      <c r="A1299">
        <v>18</v>
      </c>
      <c r="B1299" s="1">
        <v>21</v>
      </c>
      <c r="C1299" s="1" t="s">
        <v>1758</v>
      </c>
      <c r="D1299" s="1" t="s">
        <v>1390</v>
      </c>
      <c r="E1299" s="1" t="s">
        <v>1045</v>
      </c>
      <c r="F1299" s="1" t="s">
        <v>966</v>
      </c>
      <c r="G1299" s="1" t="s">
        <v>3388</v>
      </c>
      <c r="H1299" s="1" t="s">
        <v>950</v>
      </c>
      <c r="I1299" s="1" t="s">
        <v>1187</v>
      </c>
      <c r="J1299" s="1" t="s">
        <v>993</v>
      </c>
      <c r="K1299" s="1" t="s">
        <v>3389</v>
      </c>
      <c r="L1299" s="1" t="s">
        <v>2616</v>
      </c>
      <c r="M1299" s="1" t="s">
        <v>1056</v>
      </c>
      <c r="N1299">
        <f>_xlfn.NUMBERVALUE(LEFT(Table11[[#This Row],[Score]],FIND("/",Table11[[#This Row],[Score]])-1))</f>
        <v>103</v>
      </c>
      <c r="O1299">
        <f>IFERROR(_xlfn.NUMBERVALUE(LEFT(Table11[[#This Row],[Score2 ]],FIND("/",Table11[[#This Row],[Score2 ]])-1)),"")</f>
        <v>100</v>
      </c>
      <c r="P1299" t="s">
        <v>145</v>
      </c>
      <c r="Q1299" s="1" t="s">
        <v>181</v>
      </c>
      <c r="R1299" t="str">
        <f>Table11[[#This Row],[Match]]&amp;" "&amp;Table11[[#This Row],[Over]]</f>
        <v>18 21</v>
      </c>
    </row>
    <row r="1300" spans="1:18" x14ac:dyDescent="0.3">
      <c r="A1300">
        <v>18</v>
      </c>
      <c r="B1300" s="1">
        <v>22</v>
      </c>
      <c r="C1300" s="1" t="s">
        <v>3390</v>
      </c>
      <c r="D1300" s="1" t="s">
        <v>922</v>
      </c>
      <c r="E1300" s="1" t="s">
        <v>2672</v>
      </c>
      <c r="F1300" s="1" t="s">
        <v>1013</v>
      </c>
      <c r="G1300" s="1" t="s">
        <v>1080</v>
      </c>
      <c r="H1300" s="1" t="s">
        <v>950</v>
      </c>
      <c r="I1300" s="1" t="s">
        <v>2695</v>
      </c>
      <c r="J1300" s="1" t="s">
        <v>1259</v>
      </c>
      <c r="K1300" s="1" t="s">
        <v>2376</v>
      </c>
      <c r="L1300" s="1" t="s">
        <v>996</v>
      </c>
      <c r="M1300" s="1" t="s">
        <v>1063</v>
      </c>
      <c r="N1300">
        <f>_xlfn.NUMBERVALUE(LEFT(Table11[[#This Row],[Score]],FIND("/",Table11[[#This Row],[Score]])-1))</f>
        <v>109</v>
      </c>
      <c r="O1300">
        <f>IFERROR(_xlfn.NUMBERVALUE(LEFT(Table11[[#This Row],[Score2 ]],FIND("/",Table11[[#This Row],[Score2 ]])-1)),"")</f>
        <v>105</v>
      </c>
      <c r="P1300" t="s">
        <v>145</v>
      </c>
      <c r="Q1300" s="1" t="s">
        <v>181</v>
      </c>
      <c r="R1300" t="str">
        <f>Table11[[#This Row],[Match]]&amp;" "&amp;Table11[[#This Row],[Over]]</f>
        <v>18 22</v>
      </c>
    </row>
    <row r="1301" spans="1:18" x14ac:dyDescent="0.3">
      <c r="A1301">
        <v>18</v>
      </c>
      <c r="B1301" s="1">
        <v>23</v>
      </c>
      <c r="C1301" s="1" t="s">
        <v>3391</v>
      </c>
      <c r="D1301" s="1" t="s">
        <v>950</v>
      </c>
      <c r="E1301" s="1" t="s">
        <v>2672</v>
      </c>
      <c r="F1301" s="1" t="s">
        <v>970</v>
      </c>
      <c r="G1301" s="1" t="s">
        <v>2485</v>
      </c>
      <c r="H1301" s="1" t="s">
        <v>950</v>
      </c>
      <c r="I1301" s="1" t="s">
        <v>1180</v>
      </c>
      <c r="J1301" s="1" t="s">
        <v>939</v>
      </c>
      <c r="K1301" s="1" t="s">
        <v>3392</v>
      </c>
      <c r="L1301" s="1" t="s">
        <v>1464</v>
      </c>
      <c r="M1301" s="1" t="s">
        <v>1070</v>
      </c>
      <c r="N1301">
        <f>_xlfn.NUMBERVALUE(LEFT(Table11[[#This Row],[Score]],FIND("/",Table11[[#This Row],[Score]])-1))</f>
        <v>114</v>
      </c>
      <c r="O1301">
        <f>IFERROR(_xlfn.NUMBERVALUE(LEFT(Table11[[#This Row],[Score2 ]],FIND("/",Table11[[#This Row],[Score2 ]])-1)),"")</f>
        <v>110</v>
      </c>
      <c r="P1301" t="s">
        <v>145</v>
      </c>
      <c r="Q1301" s="1" t="s">
        <v>181</v>
      </c>
      <c r="R1301" t="str">
        <f>Table11[[#This Row],[Match]]&amp;" "&amp;Table11[[#This Row],[Over]]</f>
        <v>18 23</v>
      </c>
    </row>
    <row r="1302" spans="1:18" x14ac:dyDescent="0.3">
      <c r="A1302">
        <v>18</v>
      </c>
      <c r="B1302" s="1">
        <v>24</v>
      </c>
      <c r="C1302" s="1" t="s">
        <v>2938</v>
      </c>
      <c r="D1302" s="1" t="s">
        <v>922</v>
      </c>
      <c r="E1302" s="1" t="s">
        <v>969</v>
      </c>
      <c r="F1302" s="1" t="s">
        <v>1068</v>
      </c>
      <c r="G1302" s="1" t="s">
        <v>1903</v>
      </c>
      <c r="H1302" s="1" t="s">
        <v>904</v>
      </c>
      <c r="I1302" s="1" t="s">
        <v>1321</v>
      </c>
      <c r="J1302" s="1" t="s">
        <v>931</v>
      </c>
      <c r="K1302" s="1" t="s">
        <v>3008</v>
      </c>
      <c r="L1302" s="1" t="s">
        <v>2004</v>
      </c>
      <c r="M1302" s="1" t="s">
        <v>1077</v>
      </c>
      <c r="N1302">
        <f>_xlfn.NUMBERVALUE(LEFT(Table11[[#This Row],[Score]],FIND("/",Table11[[#This Row],[Score]])-1))</f>
        <v>120</v>
      </c>
      <c r="O1302">
        <f>IFERROR(_xlfn.NUMBERVALUE(LEFT(Table11[[#This Row],[Score2 ]],FIND("/",Table11[[#This Row],[Score2 ]])-1)),"")</f>
        <v>113</v>
      </c>
      <c r="P1302" t="s">
        <v>145</v>
      </c>
      <c r="Q1302" s="1" t="s">
        <v>181</v>
      </c>
      <c r="R1302" t="str">
        <f>Table11[[#This Row],[Match]]&amp;" "&amp;Table11[[#This Row],[Over]]</f>
        <v>18 24</v>
      </c>
    </row>
    <row r="1303" spans="1:18" x14ac:dyDescent="0.3">
      <c r="A1303">
        <v>18</v>
      </c>
      <c r="B1303" s="1">
        <v>25</v>
      </c>
      <c r="C1303" s="1" t="s">
        <v>1064</v>
      </c>
      <c r="D1303" s="1" t="s">
        <v>898</v>
      </c>
      <c r="E1303" s="1" t="s">
        <v>1202</v>
      </c>
      <c r="F1303" s="1" t="s">
        <v>943</v>
      </c>
      <c r="G1303" s="1" t="s">
        <v>2587</v>
      </c>
      <c r="H1303" s="1" t="s">
        <v>898</v>
      </c>
      <c r="I1303" s="1" t="s">
        <v>976</v>
      </c>
      <c r="J1303" s="1" t="s">
        <v>939</v>
      </c>
      <c r="K1303" s="1" t="s">
        <v>3393</v>
      </c>
      <c r="L1303" s="1" t="s">
        <v>1042</v>
      </c>
      <c r="M1303" s="1" t="s">
        <v>1083</v>
      </c>
      <c r="N1303">
        <f>_xlfn.NUMBERVALUE(LEFT(Table11[[#This Row],[Score]],FIND("/",Table11[[#This Row],[Score]])-1))</f>
        <v>122</v>
      </c>
      <c r="O1303">
        <f>IFERROR(_xlfn.NUMBERVALUE(LEFT(Table11[[#This Row],[Score2 ]],FIND("/",Table11[[#This Row],[Score2 ]])-1)),"")</f>
        <v>115</v>
      </c>
      <c r="P1303" t="s">
        <v>145</v>
      </c>
      <c r="Q1303" s="1" t="s">
        <v>181</v>
      </c>
      <c r="R1303" t="str">
        <f>Table11[[#This Row],[Match]]&amp;" "&amp;Table11[[#This Row],[Over]]</f>
        <v>18 25</v>
      </c>
    </row>
    <row r="1304" spans="1:18" x14ac:dyDescent="0.3">
      <c r="A1304">
        <v>18</v>
      </c>
      <c r="B1304" s="1">
        <v>26</v>
      </c>
      <c r="C1304" s="1" t="s">
        <v>1071</v>
      </c>
      <c r="D1304" s="1" t="s">
        <v>950</v>
      </c>
      <c r="E1304" s="1" t="s">
        <v>1202</v>
      </c>
      <c r="F1304" s="1" t="s">
        <v>1093</v>
      </c>
      <c r="G1304" s="1" t="s">
        <v>1909</v>
      </c>
      <c r="H1304" s="1" t="s">
        <v>904</v>
      </c>
      <c r="I1304" s="1" t="s">
        <v>1793</v>
      </c>
      <c r="J1304" s="1" t="s">
        <v>977</v>
      </c>
      <c r="K1304" s="1" t="s">
        <v>3394</v>
      </c>
      <c r="L1304" s="1" t="s">
        <v>1475</v>
      </c>
      <c r="M1304" s="1" t="s">
        <v>1090</v>
      </c>
      <c r="N1304">
        <f>_xlfn.NUMBERVALUE(LEFT(Table11[[#This Row],[Score]],FIND("/",Table11[[#This Row],[Score]])-1))</f>
        <v>127</v>
      </c>
      <c r="O1304">
        <f>IFERROR(_xlfn.NUMBERVALUE(LEFT(Table11[[#This Row],[Score2 ]],FIND("/",Table11[[#This Row],[Score2 ]])-1)),"")</f>
        <v>118</v>
      </c>
      <c r="P1304" t="s">
        <v>145</v>
      </c>
      <c r="Q1304" s="1" t="s">
        <v>181</v>
      </c>
      <c r="R1304" t="str">
        <f>Table11[[#This Row],[Match]]&amp;" "&amp;Table11[[#This Row],[Over]]</f>
        <v>18 26</v>
      </c>
    </row>
    <row r="1305" spans="1:18" x14ac:dyDescent="0.3">
      <c r="A1305">
        <v>18</v>
      </c>
      <c r="B1305" s="1">
        <v>27</v>
      </c>
      <c r="C1305" s="1" t="s">
        <v>3395</v>
      </c>
      <c r="D1305" s="1" t="s">
        <v>922</v>
      </c>
      <c r="E1305" s="1" t="s">
        <v>1325</v>
      </c>
      <c r="F1305" s="1" t="s">
        <v>1093</v>
      </c>
      <c r="G1305" s="1" t="s">
        <v>2486</v>
      </c>
      <c r="H1305" s="1" t="s">
        <v>898</v>
      </c>
      <c r="I1305" s="1" t="s">
        <v>965</v>
      </c>
      <c r="J1305" s="1" t="s">
        <v>1238</v>
      </c>
      <c r="K1305" s="1" t="s">
        <v>3031</v>
      </c>
      <c r="L1305" s="1" t="s">
        <v>2010</v>
      </c>
      <c r="M1305" s="1" t="s">
        <v>1098</v>
      </c>
      <c r="N1305">
        <f>_xlfn.NUMBERVALUE(LEFT(Table11[[#This Row],[Score]],FIND("/",Table11[[#This Row],[Score]])-1))</f>
        <v>133</v>
      </c>
      <c r="O1305">
        <f>IFERROR(_xlfn.NUMBERVALUE(LEFT(Table11[[#This Row],[Score2 ]],FIND("/",Table11[[#This Row],[Score2 ]])-1)),"")</f>
        <v>120</v>
      </c>
      <c r="P1305" t="s">
        <v>145</v>
      </c>
      <c r="Q1305" s="1" t="s">
        <v>181</v>
      </c>
      <c r="R1305" t="str">
        <f>Table11[[#This Row],[Match]]&amp;" "&amp;Table11[[#This Row],[Over]]</f>
        <v>18 27</v>
      </c>
    </row>
    <row r="1306" spans="1:18" x14ac:dyDescent="0.3">
      <c r="A1306">
        <v>18</v>
      </c>
      <c r="B1306" s="1">
        <v>28</v>
      </c>
      <c r="C1306" s="1" t="s">
        <v>3396</v>
      </c>
      <c r="D1306" s="1" t="s">
        <v>998</v>
      </c>
      <c r="E1306" s="1" t="s">
        <v>1153</v>
      </c>
      <c r="F1306" s="1" t="s">
        <v>976</v>
      </c>
      <c r="G1306" s="1" t="s">
        <v>1912</v>
      </c>
      <c r="H1306" s="1" t="s">
        <v>898</v>
      </c>
      <c r="I1306" s="1" t="s">
        <v>1299</v>
      </c>
      <c r="J1306" s="1" t="s">
        <v>1088</v>
      </c>
      <c r="K1306" s="1" t="s">
        <v>3397</v>
      </c>
      <c r="L1306" s="1" t="s">
        <v>1310</v>
      </c>
      <c r="M1306" s="1" t="s">
        <v>1101</v>
      </c>
      <c r="N1306">
        <f>_xlfn.NUMBERVALUE(LEFT(Table11[[#This Row],[Score]],FIND("/",Table11[[#This Row],[Score]])-1))</f>
        <v>137</v>
      </c>
      <c r="O1306">
        <f>IFERROR(_xlfn.NUMBERVALUE(LEFT(Table11[[#This Row],[Score2 ]],FIND("/",Table11[[#This Row],[Score2 ]])-1)),"")</f>
        <v>122</v>
      </c>
      <c r="P1306" t="s">
        <v>145</v>
      </c>
      <c r="Q1306" s="1" t="s">
        <v>181</v>
      </c>
      <c r="R1306" t="str">
        <f>Table11[[#This Row],[Match]]&amp;" "&amp;Table11[[#This Row],[Over]]</f>
        <v>18 28</v>
      </c>
    </row>
    <row r="1307" spans="1:18" x14ac:dyDescent="0.3">
      <c r="A1307">
        <v>18</v>
      </c>
      <c r="B1307" s="1">
        <v>29</v>
      </c>
      <c r="C1307" s="1" t="s">
        <v>3398</v>
      </c>
      <c r="D1307" s="1" t="s">
        <v>904</v>
      </c>
      <c r="E1307" s="1" t="s">
        <v>1026</v>
      </c>
      <c r="F1307" s="1" t="s">
        <v>939</v>
      </c>
      <c r="G1307" s="1" t="s">
        <v>3399</v>
      </c>
      <c r="H1307" s="1" t="s">
        <v>1511</v>
      </c>
      <c r="I1307" s="1" t="s">
        <v>1319</v>
      </c>
      <c r="J1307" s="1" t="s">
        <v>969</v>
      </c>
      <c r="K1307" s="1" t="s">
        <v>3400</v>
      </c>
      <c r="L1307" s="1" t="s">
        <v>1323</v>
      </c>
      <c r="M1307" s="1" t="s">
        <v>1108</v>
      </c>
      <c r="N1307">
        <f>_xlfn.NUMBERVALUE(LEFT(Table11[[#This Row],[Score]],FIND("/",Table11[[#This Row],[Score]])-1))</f>
        <v>140</v>
      </c>
      <c r="O1307">
        <f>IFERROR(_xlfn.NUMBERVALUE(LEFT(Table11[[#This Row],[Score2 ]],FIND("/",Table11[[#This Row],[Score2 ]])-1)),"")</f>
        <v>138</v>
      </c>
      <c r="P1307" t="s">
        <v>145</v>
      </c>
      <c r="Q1307" s="1" t="s">
        <v>181</v>
      </c>
      <c r="R1307" t="str">
        <f>Table11[[#This Row],[Match]]&amp;" "&amp;Table11[[#This Row],[Over]]</f>
        <v>18 29</v>
      </c>
    </row>
    <row r="1308" spans="1:18" x14ac:dyDescent="0.3">
      <c r="A1308">
        <v>18</v>
      </c>
      <c r="B1308" s="1">
        <v>30</v>
      </c>
      <c r="C1308" s="1" t="s">
        <v>3107</v>
      </c>
      <c r="D1308" s="1" t="s">
        <v>916</v>
      </c>
      <c r="E1308" s="1" t="s">
        <v>1045</v>
      </c>
      <c r="F1308" s="1" t="s">
        <v>969</v>
      </c>
      <c r="G1308" s="1" t="s">
        <v>3401</v>
      </c>
      <c r="H1308" s="1" t="s">
        <v>916</v>
      </c>
      <c r="I1308" s="1" t="s">
        <v>2438</v>
      </c>
      <c r="J1308" s="1" t="s">
        <v>1019</v>
      </c>
      <c r="K1308" s="1" t="s">
        <v>1226</v>
      </c>
      <c r="L1308" s="1" t="s">
        <v>2701</v>
      </c>
      <c r="M1308" s="1" t="s">
        <v>1113</v>
      </c>
      <c r="N1308">
        <f>_xlfn.NUMBERVALUE(LEFT(Table11[[#This Row],[Score]],FIND("/",Table11[[#This Row],[Score]])-1))</f>
        <v>147</v>
      </c>
      <c r="O1308">
        <f>IFERROR(_xlfn.NUMBERVALUE(LEFT(Table11[[#This Row],[Score2 ]],FIND("/",Table11[[#This Row],[Score2 ]])-1)),"")</f>
        <v>145</v>
      </c>
      <c r="P1308" t="s">
        <v>145</v>
      </c>
      <c r="Q1308" s="1" t="s">
        <v>181</v>
      </c>
      <c r="R1308" t="str">
        <f>Table11[[#This Row],[Match]]&amp;" "&amp;Table11[[#This Row],[Over]]</f>
        <v>18 30</v>
      </c>
    </row>
    <row r="1309" spans="1:18" x14ac:dyDescent="0.3">
      <c r="A1309">
        <v>18</v>
      </c>
      <c r="B1309" s="1">
        <v>31</v>
      </c>
      <c r="C1309" s="1" t="s">
        <v>3025</v>
      </c>
      <c r="D1309" s="1" t="s">
        <v>916</v>
      </c>
      <c r="E1309" s="1" t="s">
        <v>2282</v>
      </c>
      <c r="F1309" s="1" t="s">
        <v>966</v>
      </c>
      <c r="G1309" s="1" t="s">
        <v>3402</v>
      </c>
      <c r="H1309" s="1" t="s">
        <v>1103</v>
      </c>
      <c r="I1309" s="1" t="s">
        <v>2279</v>
      </c>
      <c r="J1309" s="1" t="s">
        <v>1168</v>
      </c>
      <c r="K1309" s="1" t="s">
        <v>3031</v>
      </c>
      <c r="L1309" s="1" t="s">
        <v>1529</v>
      </c>
      <c r="M1309" s="1" t="s">
        <v>1121</v>
      </c>
      <c r="N1309">
        <f>_xlfn.NUMBERVALUE(LEFT(Table11[[#This Row],[Score]],FIND("/",Table11[[#This Row],[Score]])-1))</f>
        <v>154</v>
      </c>
      <c r="O1309">
        <f>IFERROR(_xlfn.NUMBERVALUE(LEFT(Table11[[#This Row],[Score2 ]],FIND("/",Table11[[#This Row],[Score2 ]])-1)),"")</f>
        <v>157</v>
      </c>
      <c r="P1309" t="s">
        <v>145</v>
      </c>
      <c r="Q1309" s="1" t="s">
        <v>181</v>
      </c>
      <c r="R1309" t="str">
        <f>Table11[[#This Row],[Match]]&amp;" "&amp;Table11[[#This Row],[Over]]</f>
        <v>18 31</v>
      </c>
    </row>
    <row r="1310" spans="1:18" x14ac:dyDescent="0.3">
      <c r="A1310">
        <v>18</v>
      </c>
      <c r="B1310" s="1">
        <v>32</v>
      </c>
      <c r="C1310" s="1" t="s">
        <v>2467</v>
      </c>
      <c r="D1310" s="1" t="s">
        <v>930</v>
      </c>
      <c r="E1310" s="1" t="s">
        <v>2279</v>
      </c>
      <c r="F1310" s="1" t="s">
        <v>1013</v>
      </c>
      <c r="G1310" s="1" t="s">
        <v>2053</v>
      </c>
      <c r="H1310" s="1" t="s">
        <v>930</v>
      </c>
      <c r="I1310" s="1" t="s">
        <v>1085</v>
      </c>
      <c r="J1310" s="1" t="s">
        <v>1161</v>
      </c>
      <c r="K1310" s="1" t="s">
        <v>1583</v>
      </c>
      <c r="L1310" s="1" t="s">
        <v>1063</v>
      </c>
      <c r="M1310" s="1" t="s">
        <v>1127</v>
      </c>
      <c r="N1310">
        <f>_xlfn.NUMBERVALUE(LEFT(Table11[[#This Row],[Score]],FIND("/",Table11[[#This Row],[Score]])-1))</f>
        <v>162</v>
      </c>
      <c r="O1310">
        <f>IFERROR(_xlfn.NUMBERVALUE(LEFT(Table11[[#This Row],[Score2 ]],FIND("/",Table11[[#This Row],[Score2 ]])-1)),"")</f>
        <v>165</v>
      </c>
      <c r="P1310" t="s">
        <v>145</v>
      </c>
      <c r="Q1310" s="1" t="s">
        <v>181</v>
      </c>
      <c r="R1310" t="str">
        <f>Table11[[#This Row],[Match]]&amp;" "&amp;Table11[[#This Row],[Over]]</f>
        <v>18 32</v>
      </c>
    </row>
    <row r="1311" spans="1:18" x14ac:dyDescent="0.3">
      <c r="A1311">
        <v>18</v>
      </c>
      <c r="B1311" s="1">
        <v>33</v>
      </c>
      <c r="C1311" s="1" t="s">
        <v>3403</v>
      </c>
      <c r="D1311" s="1" t="s">
        <v>922</v>
      </c>
      <c r="E1311" s="1" t="s">
        <v>2186</v>
      </c>
      <c r="F1311" s="1" t="s">
        <v>970</v>
      </c>
      <c r="G1311" s="1" t="s">
        <v>1948</v>
      </c>
      <c r="H1311" s="1" t="s">
        <v>922</v>
      </c>
      <c r="I1311" s="1" t="s">
        <v>2406</v>
      </c>
      <c r="J1311" s="1" t="s">
        <v>1141</v>
      </c>
      <c r="K1311" s="1" t="s">
        <v>1131</v>
      </c>
      <c r="L1311" s="1" t="s">
        <v>1070</v>
      </c>
      <c r="M1311" s="1" t="s">
        <v>1132</v>
      </c>
      <c r="N1311">
        <f>_xlfn.NUMBERVALUE(LEFT(Table11[[#This Row],[Score]],FIND("/",Table11[[#This Row],[Score]])-1))</f>
        <v>168</v>
      </c>
      <c r="O1311">
        <f>IFERROR(_xlfn.NUMBERVALUE(LEFT(Table11[[#This Row],[Score2 ]],FIND("/",Table11[[#This Row],[Score2 ]])-1)),"")</f>
        <v>171</v>
      </c>
      <c r="P1311" t="s">
        <v>145</v>
      </c>
      <c r="Q1311" s="1" t="s">
        <v>181</v>
      </c>
      <c r="R1311" t="str">
        <f>Table11[[#This Row],[Match]]&amp;" "&amp;Table11[[#This Row],[Over]]</f>
        <v>18 33</v>
      </c>
    </row>
    <row r="1312" spans="1:18" x14ac:dyDescent="0.3">
      <c r="A1312">
        <v>18</v>
      </c>
      <c r="B1312" s="1">
        <v>34</v>
      </c>
      <c r="C1312" s="1" t="s">
        <v>1790</v>
      </c>
      <c r="D1312" s="1" t="s">
        <v>916</v>
      </c>
      <c r="E1312" s="1" t="s">
        <v>1092</v>
      </c>
      <c r="F1312" s="1" t="s">
        <v>952</v>
      </c>
      <c r="G1312" s="1" t="s">
        <v>2287</v>
      </c>
      <c r="H1312" s="1" t="s">
        <v>950</v>
      </c>
      <c r="I1312" s="1" t="s">
        <v>1573</v>
      </c>
      <c r="J1312" s="1" t="s">
        <v>1508</v>
      </c>
      <c r="K1312" s="1" t="s">
        <v>3404</v>
      </c>
      <c r="L1312" s="1" t="s">
        <v>1363</v>
      </c>
      <c r="M1312" s="1" t="s">
        <v>1138</v>
      </c>
      <c r="N1312">
        <f>_xlfn.NUMBERVALUE(LEFT(Table11[[#This Row],[Score]],FIND("/",Table11[[#This Row],[Score]])-1))</f>
        <v>175</v>
      </c>
      <c r="O1312">
        <f>IFERROR(_xlfn.NUMBERVALUE(LEFT(Table11[[#This Row],[Score2 ]],FIND("/",Table11[[#This Row],[Score2 ]])-1)),"")</f>
        <v>176</v>
      </c>
      <c r="P1312" t="s">
        <v>145</v>
      </c>
      <c r="Q1312" s="1" t="s">
        <v>181</v>
      </c>
      <c r="R1312" t="str">
        <f>Table11[[#This Row],[Match]]&amp;" "&amp;Table11[[#This Row],[Over]]</f>
        <v>18 34</v>
      </c>
    </row>
    <row r="1313" spans="1:18" x14ac:dyDescent="0.3">
      <c r="A1313">
        <v>18</v>
      </c>
      <c r="B1313" s="1">
        <v>35</v>
      </c>
      <c r="C1313" s="1" t="s">
        <v>3405</v>
      </c>
      <c r="D1313" s="1" t="s">
        <v>998</v>
      </c>
      <c r="E1313" s="1" t="s">
        <v>1643</v>
      </c>
      <c r="F1313" s="1" t="s">
        <v>943</v>
      </c>
      <c r="G1313" s="1" t="s">
        <v>3177</v>
      </c>
      <c r="H1313" s="1" t="s">
        <v>922</v>
      </c>
      <c r="I1313" s="1" t="s">
        <v>1029</v>
      </c>
      <c r="J1313" s="1" t="s">
        <v>1068</v>
      </c>
      <c r="K1313" s="1" t="s">
        <v>3406</v>
      </c>
      <c r="L1313" s="1" t="s">
        <v>1376</v>
      </c>
      <c r="M1313" s="1" t="s">
        <v>1143</v>
      </c>
      <c r="N1313">
        <f>_xlfn.NUMBERVALUE(LEFT(Table11[[#This Row],[Score]],FIND("/",Table11[[#This Row],[Score]])-1))</f>
        <v>179</v>
      </c>
      <c r="O1313">
        <f>IFERROR(_xlfn.NUMBERVALUE(LEFT(Table11[[#This Row],[Score2 ]],FIND("/",Table11[[#This Row],[Score2 ]])-1)),"")</f>
        <v>182</v>
      </c>
      <c r="P1313" t="s">
        <v>145</v>
      </c>
      <c r="Q1313" s="1" t="s">
        <v>181</v>
      </c>
      <c r="R1313" t="str">
        <f>Table11[[#This Row],[Match]]&amp;" "&amp;Table11[[#This Row],[Over]]</f>
        <v>18 35</v>
      </c>
    </row>
    <row r="1314" spans="1:18" x14ac:dyDescent="0.3">
      <c r="A1314">
        <v>18</v>
      </c>
      <c r="B1314" s="1">
        <v>36</v>
      </c>
      <c r="C1314" s="1" t="s">
        <v>3407</v>
      </c>
      <c r="D1314" s="1" t="s">
        <v>916</v>
      </c>
      <c r="E1314" s="1" t="s">
        <v>1587</v>
      </c>
      <c r="F1314" s="1" t="s">
        <v>943</v>
      </c>
      <c r="G1314" s="1" t="s">
        <v>3408</v>
      </c>
      <c r="H1314" s="1" t="s">
        <v>998</v>
      </c>
      <c r="I1314" s="1" t="s">
        <v>1587</v>
      </c>
      <c r="J1314" s="1" t="s">
        <v>1013</v>
      </c>
      <c r="K1314" s="1" t="s">
        <v>3409</v>
      </c>
      <c r="L1314" s="1" t="s">
        <v>1142</v>
      </c>
      <c r="M1314" s="1" t="s">
        <v>1150</v>
      </c>
      <c r="N1314">
        <f>_xlfn.NUMBERVALUE(LEFT(Table11[[#This Row],[Score]],FIND("/",Table11[[#This Row],[Score]])-1))</f>
        <v>186</v>
      </c>
      <c r="O1314">
        <f>IFERROR(_xlfn.NUMBERVALUE(LEFT(Table11[[#This Row],[Score2 ]],FIND("/",Table11[[#This Row],[Score2 ]])-1)),"")</f>
        <v>186</v>
      </c>
      <c r="P1314" t="s">
        <v>145</v>
      </c>
      <c r="Q1314" s="1" t="s">
        <v>181</v>
      </c>
      <c r="R1314" t="str">
        <f>Table11[[#This Row],[Match]]&amp;" "&amp;Table11[[#This Row],[Over]]</f>
        <v>18 36</v>
      </c>
    </row>
    <row r="1315" spans="1:18" x14ac:dyDescent="0.3">
      <c r="A1315">
        <v>18</v>
      </c>
      <c r="B1315" s="1">
        <v>37</v>
      </c>
      <c r="C1315" s="1" t="s">
        <v>3410</v>
      </c>
      <c r="D1315" s="1" t="s">
        <v>1095</v>
      </c>
      <c r="E1315" s="1" t="s">
        <v>1072</v>
      </c>
      <c r="F1315" s="1" t="s">
        <v>1053</v>
      </c>
      <c r="G1315" s="1" t="s">
        <v>3411</v>
      </c>
      <c r="H1315" s="1" t="s">
        <v>916</v>
      </c>
      <c r="I1315" s="1" t="s">
        <v>2449</v>
      </c>
      <c r="J1315" s="1" t="s">
        <v>934</v>
      </c>
      <c r="K1315" s="1" t="s">
        <v>3412</v>
      </c>
      <c r="L1315" s="1" t="s">
        <v>3152</v>
      </c>
      <c r="M1315" s="1" t="s">
        <v>1156</v>
      </c>
      <c r="N1315">
        <f>_xlfn.NUMBERVALUE(LEFT(Table11[[#This Row],[Score]],FIND("/",Table11[[#This Row],[Score]])-1))</f>
        <v>196</v>
      </c>
      <c r="O1315">
        <f>IFERROR(_xlfn.NUMBERVALUE(LEFT(Table11[[#This Row],[Score2 ]],FIND("/",Table11[[#This Row],[Score2 ]])-1)),"")</f>
        <v>193</v>
      </c>
      <c r="P1315" t="s">
        <v>145</v>
      </c>
      <c r="Q1315" s="1" t="s">
        <v>181</v>
      </c>
      <c r="R1315" t="str">
        <f>Table11[[#This Row],[Match]]&amp;" "&amp;Table11[[#This Row],[Over]]</f>
        <v>18 37</v>
      </c>
    </row>
    <row r="1316" spans="1:18" x14ac:dyDescent="0.3">
      <c r="A1316">
        <v>18</v>
      </c>
      <c r="B1316" s="1">
        <v>38</v>
      </c>
      <c r="C1316" s="1" t="s">
        <v>3413</v>
      </c>
      <c r="D1316" s="1" t="s">
        <v>930</v>
      </c>
      <c r="E1316" s="1" t="s">
        <v>1652</v>
      </c>
      <c r="F1316" s="1" t="s">
        <v>1116</v>
      </c>
      <c r="G1316" s="1" t="s">
        <v>2909</v>
      </c>
      <c r="H1316" s="1" t="s">
        <v>998</v>
      </c>
      <c r="I1316" s="1" t="s">
        <v>2406</v>
      </c>
      <c r="J1316" s="1" t="s">
        <v>1029</v>
      </c>
      <c r="K1316" s="1" t="s">
        <v>3414</v>
      </c>
      <c r="L1316" s="1" t="s">
        <v>3415</v>
      </c>
      <c r="M1316" s="1" t="s">
        <v>1164</v>
      </c>
      <c r="N1316">
        <f>_xlfn.NUMBERVALUE(LEFT(Table11[[#This Row],[Score]],FIND("/",Table11[[#This Row],[Score]])-1))</f>
        <v>204</v>
      </c>
      <c r="O1316">
        <f>IFERROR(_xlfn.NUMBERVALUE(LEFT(Table11[[#This Row],[Score2 ]],FIND("/",Table11[[#This Row],[Score2 ]])-1)),"")</f>
        <v>197</v>
      </c>
      <c r="P1316" t="s">
        <v>145</v>
      </c>
      <c r="Q1316" s="1" t="s">
        <v>181</v>
      </c>
      <c r="R1316" t="str">
        <f>Table11[[#This Row],[Match]]&amp;" "&amp;Table11[[#This Row],[Over]]</f>
        <v>18 38</v>
      </c>
    </row>
    <row r="1317" spans="1:18" x14ac:dyDescent="0.3">
      <c r="A1317">
        <v>18</v>
      </c>
      <c r="B1317" s="1">
        <v>39</v>
      </c>
      <c r="C1317" s="1" t="s">
        <v>3416</v>
      </c>
      <c r="D1317" s="1" t="s">
        <v>922</v>
      </c>
      <c r="E1317" s="1" t="s">
        <v>1732</v>
      </c>
      <c r="F1317" s="1" t="s">
        <v>952</v>
      </c>
      <c r="G1317" s="1" t="s">
        <v>3417</v>
      </c>
      <c r="H1317" s="1" t="s">
        <v>898</v>
      </c>
      <c r="I1317" s="1" t="s">
        <v>1835</v>
      </c>
      <c r="J1317" s="1" t="s">
        <v>976</v>
      </c>
      <c r="K1317" s="1" t="s">
        <v>3418</v>
      </c>
      <c r="L1317" s="1" t="s">
        <v>1868</v>
      </c>
      <c r="M1317" s="1" t="s">
        <v>1171</v>
      </c>
      <c r="N1317">
        <f>_xlfn.NUMBERVALUE(LEFT(Table11[[#This Row],[Score]],FIND("/",Table11[[#This Row],[Score]])-1))</f>
        <v>210</v>
      </c>
      <c r="O1317">
        <f>IFERROR(_xlfn.NUMBERVALUE(LEFT(Table11[[#This Row],[Score2 ]],FIND("/",Table11[[#This Row],[Score2 ]])-1)),"")</f>
        <v>199</v>
      </c>
      <c r="P1317" t="s">
        <v>145</v>
      </c>
      <c r="Q1317" s="1" t="s">
        <v>181</v>
      </c>
      <c r="R1317" t="str">
        <f>Table11[[#This Row],[Match]]&amp;" "&amp;Table11[[#This Row],[Over]]</f>
        <v>18 39</v>
      </c>
    </row>
    <row r="1318" spans="1:18" x14ac:dyDescent="0.3">
      <c r="A1318">
        <v>18</v>
      </c>
      <c r="B1318" s="1">
        <v>40</v>
      </c>
      <c r="C1318" s="1" t="s">
        <v>3419</v>
      </c>
      <c r="D1318" s="1" t="s">
        <v>916</v>
      </c>
      <c r="E1318" s="1" t="s">
        <v>1158</v>
      </c>
      <c r="F1318" s="1" t="s">
        <v>1508</v>
      </c>
      <c r="G1318" s="1" t="s">
        <v>3420</v>
      </c>
      <c r="H1318" s="1" t="s">
        <v>950</v>
      </c>
      <c r="I1318" s="1" t="s">
        <v>1835</v>
      </c>
      <c r="J1318" s="1" t="s">
        <v>940</v>
      </c>
      <c r="K1318" s="1" t="s">
        <v>2971</v>
      </c>
      <c r="L1318" s="1" t="s">
        <v>2061</v>
      </c>
      <c r="M1318" s="1" t="s">
        <v>1177</v>
      </c>
      <c r="N1318">
        <f>_xlfn.NUMBERVALUE(LEFT(Table11[[#This Row],[Score]],FIND("/",Table11[[#This Row],[Score]])-1))</f>
        <v>217</v>
      </c>
      <c r="O1318">
        <f>IFERROR(_xlfn.NUMBERVALUE(LEFT(Table11[[#This Row],[Score2 ]],FIND("/",Table11[[#This Row],[Score2 ]])-1)),"")</f>
        <v>204</v>
      </c>
      <c r="P1318" t="s">
        <v>145</v>
      </c>
      <c r="Q1318" s="1" t="s">
        <v>181</v>
      </c>
      <c r="R1318" t="str">
        <f>Table11[[#This Row],[Match]]&amp;" "&amp;Table11[[#This Row],[Over]]</f>
        <v>18 40</v>
      </c>
    </row>
    <row r="1319" spans="1:18" x14ac:dyDescent="0.3">
      <c r="A1319">
        <v>18</v>
      </c>
      <c r="B1319" s="1">
        <v>41</v>
      </c>
      <c r="C1319" s="1" t="s">
        <v>3421</v>
      </c>
      <c r="D1319" s="1" t="s">
        <v>916</v>
      </c>
      <c r="E1319" s="1" t="s">
        <v>1166</v>
      </c>
      <c r="F1319" s="1" t="s">
        <v>1508</v>
      </c>
      <c r="G1319" s="1" t="s">
        <v>3422</v>
      </c>
      <c r="H1319" s="1" t="s">
        <v>1051</v>
      </c>
      <c r="I1319" s="1" t="s">
        <v>1079</v>
      </c>
      <c r="J1319" s="1" t="s">
        <v>1013</v>
      </c>
      <c r="K1319" s="1" t="s">
        <v>2307</v>
      </c>
      <c r="L1319" s="1" t="s">
        <v>1559</v>
      </c>
      <c r="M1319" s="1" t="s">
        <v>1183</v>
      </c>
      <c r="N1319">
        <f>_xlfn.NUMBERVALUE(LEFT(Table11[[#This Row],[Score]],FIND("/",Table11[[#This Row],[Score]])-1))</f>
        <v>224</v>
      </c>
      <c r="O1319">
        <f>IFERROR(_xlfn.NUMBERVALUE(LEFT(Table11[[#This Row],[Score2 ]],FIND("/",Table11[[#This Row],[Score2 ]])-1)),"")</f>
        <v>215</v>
      </c>
      <c r="P1319" t="s">
        <v>145</v>
      </c>
      <c r="Q1319" s="1" t="s">
        <v>181</v>
      </c>
      <c r="R1319" t="str">
        <f>Table11[[#This Row],[Match]]&amp;" "&amp;Table11[[#This Row],[Over]]</f>
        <v>18 41</v>
      </c>
    </row>
    <row r="1320" spans="1:18" x14ac:dyDescent="0.3">
      <c r="A1320">
        <v>18</v>
      </c>
      <c r="B1320" s="1">
        <v>42</v>
      </c>
      <c r="C1320" s="1" t="s">
        <v>3423</v>
      </c>
      <c r="D1320" s="1" t="s">
        <v>1147</v>
      </c>
      <c r="E1320" s="1" t="s">
        <v>1192</v>
      </c>
      <c r="F1320" s="1" t="s">
        <v>1414</v>
      </c>
      <c r="G1320" s="1" t="s">
        <v>2177</v>
      </c>
      <c r="H1320" s="1" t="s">
        <v>968</v>
      </c>
      <c r="I1320" s="1" t="s">
        <v>1092</v>
      </c>
      <c r="J1320" s="1" t="s">
        <v>976</v>
      </c>
      <c r="K1320" s="1" t="s">
        <v>3424</v>
      </c>
      <c r="L1320" s="1" t="s">
        <v>1163</v>
      </c>
      <c r="M1320" s="1" t="s">
        <v>1190</v>
      </c>
      <c r="N1320">
        <f>_xlfn.NUMBERVALUE(LEFT(Table11[[#This Row],[Score]],FIND("/",Table11[[#This Row],[Score]])-1))</f>
        <v>239</v>
      </c>
      <c r="O1320">
        <f>IFERROR(_xlfn.NUMBERVALUE(LEFT(Table11[[#This Row],[Score2 ]],FIND("/",Table11[[#This Row],[Score2 ]])-1)),"")</f>
        <v>216</v>
      </c>
      <c r="P1320" t="s">
        <v>145</v>
      </c>
      <c r="Q1320" s="1" t="s">
        <v>181</v>
      </c>
      <c r="R1320" t="str">
        <f>Table11[[#This Row],[Match]]&amp;" "&amp;Table11[[#This Row],[Over]]</f>
        <v>18 42</v>
      </c>
    </row>
    <row r="1321" spans="1:18" x14ac:dyDescent="0.3">
      <c r="A1321">
        <v>18</v>
      </c>
      <c r="B1321" s="1">
        <v>43</v>
      </c>
      <c r="C1321" s="1" t="s">
        <v>3425</v>
      </c>
      <c r="D1321" s="1" t="s">
        <v>930</v>
      </c>
      <c r="E1321" s="1" t="s">
        <v>2745</v>
      </c>
      <c r="F1321" s="1" t="s">
        <v>1414</v>
      </c>
      <c r="G1321" s="1" t="s">
        <v>2914</v>
      </c>
      <c r="H1321" s="1" t="s">
        <v>922</v>
      </c>
      <c r="I1321" s="1" t="s">
        <v>1587</v>
      </c>
      <c r="J1321" s="1" t="s">
        <v>969</v>
      </c>
      <c r="K1321" s="1" t="s">
        <v>3426</v>
      </c>
      <c r="L1321" s="1" t="s">
        <v>2073</v>
      </c>
      <c r="M1321" s="1" t="s">
        <v>1197</v>
      </c>
      <c r="N1321">
        <f>_xlfn.NUMBERVALUE(LEFT(Table11[[#This Row],[Score]],FIND("/",Table11[[#This Row],[Score]])-1))</f>
        <v>247</v>
      </c>
      <c r="O1321">
        <f>IFERROR(_xlfn.NUMBERVALUE(LEFT(Table11[[#This Row],[Score2 ]],FIND("/",Table11[[#This Row],[Score2 ]])-1)),"")</f>
        <v>222</v>
      </c>
      <c r="P1321" t="s">
        <v>145</v>
      </c>
      <c r="Q1321" s="1" t="s">
        <v>181</v>
      </c>
      <c r="R1321" t="str">
        <f>Table11[[#This Row],[Match]]&amp;" "&amp;Table11[[#This Row],[Over]]</f>
        <v>18 43</v>
      </c>
    </row>
    <row r="1322" spans="1:18" x14ac:dyDescent="0.3">
      <c r="A1322">
        <v>18</v>
      </c>
      <c r="B1322" s="1">
        <v>44</v>
      </c>
      <c r="C1322" s="1" t="s">
        <v>3050</v>
      </c>
      <c r="D1322" s="1" t="s">
        <v>1051</v>
      </c>
      <c r="E1322" s="1" t="s">
        <v>2184</v>
      </c>
      <c r="F1322" s="1" t="s">
        <v>1219</v>
      </c>
      <c r="G1322" s="1" t="s">
        <v>3427</v>
      </c>
      <c r="H1322" s="1" t="s">
        <v>922</v>
      </c>
      <c r="I1322" s="1" t="s">
        <v>2406</v>
      </c>
      <c r="J1322" s="1" t="s">
        <v>1013</v>
      </c>
      <c r="K1322" s="1" t="s">
        <v>3428</v>
      </c>
      <c r="L1322" s="1" t="s">
        <v>1182</v>
      </c>
      <c r="M1322" s="1" t="s">
        <v>1205</v>
      </c>
      <c r="N1322">
        <f>_xlfn.NUMBERVALUE(LEFT(Table11[[#This Row],[Score]],FIND("/",Table11[[#This Row],[Score]])-1))</f>
        <v>258</v>
      </c>
      <c r="O1322">
        <f>IFERROR(_xlfn.NUMBERVALUE(LEFT(Table11[[#This Row],[Score2 ]],FIND("/",Table11[[#This Row],[Score2 ]])-1)),"")</f>
        <v>228</v>
      </c>
      <c r="P1322" t="s">
        <v>145</v>
      </c>
      <c r="Q1322" s="1" t="s">
        <v>181</v>
      </c>
      <c r="R1322" t="str">
        <f>Table11[[#This Row],[Match]]&amp;" "&amp;Table11[[#This Row],[Over]]</f>
        <v>18 44</v>
      </c>
    </row>
    <row r="1323" spans="1:18" x14ac:dyDescent="0.3">
      <c r="A1323">
        <v>18</v>
      </c>
      <c r="B1323" s="1">
        <v>45</v>
      </c>
      <c r="C1323" s="1" t="s">
        <v>3429</v>
      </c>
      <c r="D1323" s="1" t="s">
        <v>1511</v>
      </c>
      <c r="E1323" s="1" t="s">
        <v>1225</v>
      </c>
      <c r="F1323" s="1" t="s">
        <v>2084</v>
      </c>
      <c r="G1323" s="1" t="s">
        <v>1841</v>
      </c>
      <c r="H1323" s="1" t="s">
        <v>950</v>
      </c>
      <c r="I1323" s="1" t="s">
        <v>1573</v>
      </c>
      <c r="J1323" s="1" t="s">
        <v>1013</v>
      </c>
      <c r="K1323" s="1" t="s">
        <v>3430</v>
      </c>
      <c r="L1323" s="1" t="s">
        <v>2198</v>
      </c>
      <c r="M1323" s="1" t="s">
        <v>1211</v>
      </c>
      <c r="N1323">
        <f>_xlfn.NUMBERVALUE(LEFT(Table11[[#This Row],[Score]],FIND("/",Table11[[#This Row],[Score]])-1))</f>
        <v>274</v>
      </c>
      <c r="O1323">
        <f>IFERROR(_xlfn.NUMBERVALUE(LEFT(Table11[[#This Row],[Score2 ]],FIND("/",Table11[[#This Row],[Score2 ]])-1)),"")</f>
        <v>233</v>
      </c>
      <c r="P1323" t="s">
        <v>145</v>
      </c>
      <c r="Q1323" s="1" t="s">
        <v>181</v>
      </c>
      <c r="R1323" t="str">
        <f>Table11[[#This Row],[Match]]&amp;" "&amp;Table11[[#This Row],[Over]]</f>
        <v>18 45</v>
      </c>
    </row>
    <row r="1324" spans="1:18" x14ac:dyDescent="0.3">
      <c r="A1324">
        <v>18</v>
      </c>
      <c r="B1324" s="1">
        <v>46</v>
      </c>
      <c r="C1324" s="1" t="s">
        <v>3431</v>
      </c>
      <c r="D1324" s="1" t="s">
        <v>930</v>
      </c>
      <c r="E1324" s="1" t="s">
        <v>3005</v>
      </c>
      <c r="F1324" s="1" t="s">
        <v>1591</v>
      </c>
      <c r="G1324" s="1" t="s">
        <v>1842</v>
      </c>
      <c r="H1324" s="1" t="s">
        <v>968</v>
      </c>
      <c r="I1324" s="1" t="s">
        <v>1657</v>
      </c>
      <c r="J1324" s="1" t="s">
        <v>990</v>
      </c>
      <c r="K1324" s="1" t="s">
        <v>3432</v>
      </c>
      <c r="L1324" s="1" t="s">
        <v>1624</v>
      </c>
      <c r="M1324" s="1" t="s">
        <v>1216</v>
      </c>
      <c r="N1324">
        <f>_xlfn.NUMBERVALUE(LEFT(Table11[[#This Row],[Score]],FIND("/",Table11[[#This Row],[Score]])-1))</f>
        <v>282</v>
      </c>
      <c r="O1324">
        <f>IFERROR(_xlfn.NUMBERVALUE(LEFT(Table11[[#This Row],[Score2 ]],FIND("/",Table11[[#This Row],[Score2 ]])-1)),"")</f>
        <v>234</v>
      </c>
      <c r="P1324" t="s">
        <v>145</v>
      </c>
      <c r="Q1324" s="1" t="s">
        <v>181</v>
      </c>
      <c r="R1324" t="str">
        <f>Table11[[#This Row],[Match]]&amp;" "&amp;Table11[[#This Row],[Over]]</f>
        <v>18 46</v>
      </c>
    </row>
    <row r="1325" spans="1:18" x14ac:dyDescent="0.3">
      <c r="A1325">
        <v>18</v>
      </c>
      <c r="B1325" s="1">
        <v>47</v>
      </c>
      <c r="C1325" s="1" t="s">
        <v>3433</v>
      </c>
      <c r="D1325" s="1" t="s">
        <v>933</v>
      </c>
      <c r="E1325" s="1" t="s">
        <v>1240</v>
      </c>
      <c r="F1325" s="1" t="s">
        <v>2084</v>
      </c>
      <c r="G1325" s="1" t="s">
        <v>3434</v>
      </c>
      <c r="H1325" s="1" t="s">
        <v>922</v>
      </c>
      <c r="I1325" s="1" t="s">
        <v>1835</v>
      </c>
      <c r="J1325" s="1" t="s">
        <v>1093</v>
      </c>
      <c r="K1325" s="1" t="s">
        <v>3435</v>
      </c>
      <c r="L1325" s="1" t="s">
        <v>1628</v>
      </c>
      <c r="M1325" s="1" t="s">
        <v>1223</v>
      </c>
      <c r="N1325">
        <f>_xlfn.NUMBERVALUE(LEFT(Table11[[#This Row],[Score]],FIND("/",Table11[[#This Row],[Score]])-1))</f>
        <v>296</v>
      </c>
      <c r="O1325">
        <f>IFERROR(_xlfn.NUMBERVALUE(LEFT(Table11[[#This Row],[Score2 ]],FIND("/",Table11[[#This Row],[Score2 ]])-1)),"")</f>
        <v>240</v>
      </c>
      <c r="P1325" t="s">
        <v>145</v>
      </c>
      <c r="Q1325" s="1" t="s">
        <v>181</v>
      </c>
      <c r="R1325" t="str">
        <f>Table11[[#This Row],[Match]]&amp;" "&amp;Table11[[#This Row],[Over]]</f>
        <v>18 47</v>
      </c>
    </row>
    <row r="1326" spans="1:18" x14ac:dyDescent="0.3">
      <c r="A1326">
        <v>18</v>
      </c>
      <c r="B1326" s="1">
        <v>48</v>
      </c>
      <c r="C1326" s="1" t="s">
        <v>3436</v>
      </c>
      <c r="D1326" s="1" t="s">
        <v>1390</v>
      </c>
      <c r="E1326" s="1" t="s">
        <v>1244</v>
      </c>
      <c r="F1326" s="1" t="s">
        <v>3197</v>
      </c>
      <c r="N1326">
        <f>_xlfn.NUMBERVALUE(LEFT(Table11[[#This Row],[Score]],FIND("/",Table11[[#This Row],[Score]])-1))</f>
        <v>309</v>
      </c>
      <c r="O1326" t="str">
        <f>IFERROR(_xlfn.NUMBERVALUE(LEFT(Table11[[#This Row],[Score2 ]],FIND("/",Table11[[#This Row],[Score2 ]])-1)),"")</f>
        <v/>
      </c>
      <c r="P1326" t="s">
        <v>145</v>
      </c>
      <c r="Q1326" s="1" t="s">
        <v>181</v>
      </c>
      <c r="R1326" t="str">
        <f>Table11[[#This Row],[Match]]&amp;" "&amp;Table11[[#This Row],[Over]]</f>
        <v>18 48</v>
      </c>
    </row>
    <row r="1327" spans="1:18" x14ac:dyDescent="0.3">
      <c r="A1327">
        <v>18</v>
      </c>
      <c r="B1327" s="1">
        <v>49</v>
      </c>
      <c r="C1327" s="1" t="s">
        <v>3437</v>
      </c>
      <c r="D1327" s="1" t="s">
        <v>1051</v>
      </c>
      <c r="E1327" s="1" t="s">
        <v>2428</v>
      </c>
      <c r="F1327" s="1" t="s">
        <v>3197</v>
      </c>
      <c r="N1327">
        <f>_xlfn.NUMBERVALUE(LEFT(Table11[[#This Row],[Score]],FIND("/",Table11[[#This Row],[Score]])-1))</f>
        <v>320</v>
      </c>
      <c r="O1327" t="str">
        <f>IFERROR(_xlfn.NUMBERVALUE(LEFT(Table11[[#This Row],[Score2 ]],FIND("/",Table11[[#This Row],[Score2 ]])-1)),"")</f>
        <v/>
      </c>
      <c r="P1327" t="s">
        <v>145</v>
      </c>
      <c r="Q1327" s="1" t="s">
        <v>181</v>
      </c>
      <c r="R1327" t="str">
        <f>Table11[[#This Row],[Match]]&amp;" "&amp;Table11[[#This Row],[Over]]</f>
        <v>18 49</v>
      </c>
    </row>
    <row r="1328" spans="1:18" x14ac:dyDescent="0.3">
      <c r="A1328">
        <v>18</v>
      </c>
      <c r="B1328" s="1">
        <v>50</v>
      </c>
      <c r="C1328" s="1" t="s">
        <v>3438</v>
      </c>
      <c r="D1328" s="1" t="s">
        <v>1103</v>
      </c>
      <c r="E1328" s="1" t="s">
        <v>2086</v>
      </c>
      <c r="F1328" s="1" t="s">
        <v>1591</v>
      </c>
      <c r="N1328">
        <f>_xlfn.NUMBERVALUE(LEFT(Table11[[#This Row],[Score]],FIND("/",Table11[[#This Row],[Score]])-1))</f>
        <v>332</v>
      </c>
      <c r="O1328" t="str">
        <f>IFERROR(_xlfn.NUMBERVALUE(LEFT(Table11[[#This Row],[Score2 ]],FIND("/",Table11[[#This Row],[Score2 ]])-1)),"")</f>
        <v/>
      </c>
      <c r="P1328" t="s">
        <v>145</v>
      </c>
      <c r="Q1328" s="1" t="s">
        <v>181</v>
      </c>
      <c r="R1328" t="str">
        <f>Table11[[#This Row],[Match]]&amp;" "&amp;Table11[[#This Row],[Over]]</f>
        <v>18 50</v>
      </c>
    </row>
    <row r="1329" spans="1:18" x14ac:dyDescent="0.3">
      <c r="A1329">
        <v>19</v>
      </c>
      <c r="B1329" s="1">
        <v>1</v>
      </c>
      <c r="C1329" s="1" t="s">
        <v>1721</v>
      </c>
      <c r="D1329" s="1" t="s">
        <v>930</v>
      </c>
      <c r="E1329" s="1" t="s">
        <v>1089</v>
      </c>
      <c r="F1329" s="1" t="s">
        <v>348</v>
      </c>
      <c r="G1329" s="1" t="s">
        <v>1421</v>
      </c>
      <c r="H1329" s="1" t="s">
        <v>1095</v>
      </c>
      <c r="I1329" s="1" t="s">
        <v>2055</v>
      </c>
      <c r="J1329" s="1" t="s">
        <v>348</v>
      </c>
      <c r="K1329" s="1" t="s">
        <v>2376</v>
      </c>
      <c r="L1329" s="1" t="s">
        <v>3439</v>
      </c>
      <c r="M1329" s="1" t="s">
        <v>902</v>
      </c>
      <c r="N1329">
        <f>_xlfn.NUMBERVALUE(LEFT(Table11[[#This Row],[Score]],FIND("/",Table11[[#This Row],[Score]])-1))</f>
        <v>8</v>
      </c>
      <c r="O1329">
        <f>IFERROR(_xlfn.NUMBERVALUE(LEFT(Table11[[#This Row],[Score2 ]],FIND("/",Table11[[#This Row],[Score2 ]])-1)),"")</f>
        <v>10</v>
      </c>
      <c r="P1329" t="s">
        <v>141</v>
      </c>
      <c r="Q1329" s="1" t="s">
        <v>170</v>
      </c>
      <c r="R1329" t="str">
        <f>Table11[[#This Row],[Match]]&amp;" "&amp;Table11[[#This Row],[Over]]</f>
        <v>19 1</v>
      </c>
    </row>
    <row r="1330" spans="1:18" x14ac:dyDescent="0.3">
      <c r="A1330">
        <v>19</v>
      </c>
      <c r="B1330" s="1">
        <v>2</v>
      </c>
      <c r="C1330" s="1" t="s">
        <v>1721</v>
      </c>
      <c r="D1330" s="1" t="s">
        <v>1007</v>
      </c>
      <c r="E1330" s="1" t="s">
        <v>939</v>
      </c>
      <c r="F1330" s="1" t="s">
        <v>348</v>
      </c>
      <c r="G1330" s="1" t="s">
        <v>1423</v>
      </c>
      <c r="H1330" s="1" t="s">
        <v>904</v>
      </c>
      <c r="I1330" s="1" t="s">
        <v>1729</v>
      </c>
      <c r="J1330" s="1" t="s">
        <v>348</v>
      </c>
      <c r="K1330" s="1" t="s">
        <v>3392</v>
      </c>
      <c r="L1330" s="1" t="s">
        <v>3440</v>
      </c>
      <c r="M1330" s="1" t="s">
        <v>909</v>
      </c>
      <c r="N1330">
        <f>_xlfn.NUMBERVALUE(LEFT(Table11[[#This Row],[Score]],FIND("/",Table11[[#This Row],[Score]])-1))</f>
        <v>8</v>
      </c>
      <c r="O1330">
        <f>IFERROR(_xlfn.NUMBERVALUE(LEFT(Table11[[#This Row],[Score2 ]],FIND("/",Table11[[#This Row],[Score2 ]])-1)),"")</f>
        <v>13</v>
      </c>
      <c r="P1330" t="s">
        <v>141</v>
      </c>
      <c r="Q1330" s="1" t="s">
        <v>170</v>
      </c>
      <c r="R1330" t="str">
        <f>Table11[[#This Row],[Match]]&amp;" "&amp;Table11[[#This Row],[Over]]</f>
        <v>19 2</v>
      </c>
    </row>
    <row r="1331" spans="1:18" x14ac:dyDescent="0.3">
      <c r="A1331">
        <v>19</v>
      </c>
      <c r="B1331" s="1">
        <v>3</v>
      </c>
      <c r="C1331" s="1" t="s">
        <v>1721</v>
      </c>
      <c r="D1331" s="1" t="s">
        <v>1007</v>
      </c>
      <c r="E1331" s="1" t="s">
        <v>1642</v>
      </c>
      <c r="F1331" s="1" t="s">
        <v>348</v>
      </c>
      <c r="G1331" s="1" t="s">
        <v>3147</v>
      </c>
      <c r="H1331" s="1" t="s">
        <v>898</v>
      </c>
      <c r="I1331" s="1" t="s">
        <v>969</v>
      </c>
      <c r="J1331" s="1" t="s">
        <v>348</v>
      </c>
      <c r="K1331" s="1" t="s">
        <v>1528</v>
      </c>
      <c r="L1331" s="1" t="s">
        <v>3441</v>
      </c>
      <c r="M1331" s="1" t="s">
        <v>920</v>
      </c>
      <c r="N1331">
        <f>_xlfn.NUMBERVALUE(LEFT(Table11[[#This Row],[Score]],FIND("/",Table11[[#This Row],[Score]])-1))</f>
        <v>8</v>
      </c>
      <c r="O1331">
        <f>IFERROR(_xlfn.NUMBERVALUE(LEFT(Table11[[#This Row],[Score2 ]],FIND("/",Table11[[#This Row],[Score2 ]])-1)),"")</f>
        <v>15</v>
      </c>
      <c r="P1331" t="s">
        <v>141</v>
      </c>
      <c r="Q1331" s="1" t="s">
        <v>170</v>
      </c>
      <c r="R1331" t="str">
        <f>Table11[[#This Row],[Match]]&amp;" "&amp;Table11[[#This Row],[Over]]</f>
        <v>19 3</v>
      </c>
    </row>
    <row r="1332" spans="1:18" x14ac:dyDescent="0.3">
      <c r="A1332">
        <v>19</v>
      </c>
      <c r="B1332" s="1">
        <v>4</v>
      </c>
      <c r="C1332" s="1" t="s">
        <v>2689</v>
      </c>
      <c r="D1332" s="1" t="s">
        <v>922</v>
      </c>
      <c r="E1332" s="1" t="s">
        <v>925</v>
      </c>
      <c r="F1332" s="1" t="s">
        <v>348</v>
      </c>
      <c r="G1332" s="1" t="s">
        <v>1634</v>
      </c>
      <c r="H1332" s="1" t="s">
        <v>968</v>
      </c>
      <c r="I1332" s="1" t="s">
        <v>939</v>
      </c>
      <c r="J1332" s="1" t="s">
        <v>348</v>
      </c>
      <c r="K1332" s="1" t="s">
        <v>3252</v>
      </c>
      <c r="L1332" s="1" t="s">
        <v>3442</v>
      </c>
      <c r="M1332" s="1" t="s">
        <v>928</v>
      </c>
      <c r="N1332">
        <f>_xlfn.NUMBERVALUE(LEFT(Table11[[#This Row],[Score]],FIND("/",Table11[[#This Row],[Score]])-1))</f>
        <v>14</v>
      </c>
      <c r="O1332">
        <f>IFERROR(_xlfn.NUMBERVALUE(LEFT(Table11[[#This Row],[Score2 ]],FIND("/",Table11[[#This Row],[Score2 ]])-1)),"")</f>
        <v>16</v>
      </c>
      <c r="P1332" t="s">
        <v>141</v>
      </c>
      <c r="Q1332" s="1" t="s">
        <v>170</v>
      </c>
      <c r="R1332" t="str">
        <f>Table11[[#This Row],[Match]]&amp;" "&amp;Table11[[#This Row],[Over]]</f>
        <v>19 4</v>
      </c>
    </row>
    <row r="1333" spans="1:18" x14ac:dyDescent="0.3">
      <c r="A1333">
        <v>19</v>
      </c>
      <c r="B1333" s="1">
        <v>5</v>
      </c>
      <c r="C1333" s="1" t="s">
        <v>2326</v>
      </c>
      <c r="D1333" s="1" t="s">
        <v>998</v>
      </c>
      <c r="E1333" s="1" t="s">
        <v>977</v>
      </c>
      <c r="F1333" s="1" t="s">
        <v>977</v>
      </c>
      <c r="G1333" s="1" t="s">
        <v>1854</v>
      </c>
      <c r="H1333" s="1" t="s">
        <v>998</v>
      </c>
      <c r="I1333" s="1" t="s">
        <v>939</v>
      </c>
      <c r="J1333" s="1" t="s">
        <v>939</v>
      </c>
      <c r="K1333" s="1" t="s">
        <v>3320</v>
      </c>
      <c r="L1333" s="1" t="s">
        <v>3189</v>
      </c>
      <c r="M1333" s="1" t="s">
        <v>937</v>
      </c>
      <c r="N1333">
        <f>_xlfn.NUMBERVALUE(LEFT(Table11[[#This Row],[Score]],FIND("/",Table11[[#This Row],[Score]])-1))</f>
        <v>18</v>
      </c>
      <c r="O1333">
        <f>IFERROR(_xlfn.NUMBERVALUE(LEFT(Table11[[#This Row],[Score2 ]],FIND("/",Table11[[#This Row],[Score2 ]])-1)),"")</f>
        <v>20</v>
      </c>
      <c r="P1333" t="s">
        <v>141</v>
      </c>
      <c r="Q1333" s="1" t="s">
        <v>170</v>
      </c>
      <c r="R1333" t="str">
        <f>Table11[[#This Row],[Match]]&amp;" "&amp;Table11[[#This Row],[Over]]</f>
        <v>19 5</v>
      </c>
    </row>
    <row r="1334" spans="1:18" x14ac:dyDescent="0.3">
      <c r="A1334">
        <v>19</v>
      </c>
      <c r="B1334" s="1">
        <v>6</v>
      </c>
      <c r="C1334" s="1" t="s">
        <v>2530</v>
      </c>
      <c r="D1334" s="1" t="s">
        <v>1007</v>
      </c>
      <c r="E1334" s="1" t="s">
        <v>1238</v>
      </c>
      <c r="F1334" s="1" t="s">
        <v>899</v>
      </c>
      <c r="G1334" s="1" t="s">
        <v>2803</v>
      </c>
      <c r="H1334" s="1" t="s">
        <v>947</v>
      </c>
      <c r="I1334" s="1" t="s">
        <v>2438</v>
      </c>
      <c r="J1334" s="1" t="s">
        <v>990</v>
      </c>
      <c r="K1334" s="1" t="s">
        <v>3443</v>
      </c>
      <c r="L1334" s="1" t="s">
        <v>3444</v>
      </c>
      <c r="M1334" s="1" t="s">
        <v>945</v>
      </c>
      <c r="N1334">
        <f>_xlfn.NUMBERVALUE(LEFT(Table11[[#This Row],[Score]],FIND("/",Table11[[#This Row],[Score]])-1))</f>
        <v>18</v>
      </c>
      <c r="O1334">
        <f>IFERROR(_xlfn.NUMBERVALUE(LEFT(Table11[[#This Row],[Score2 ]],FIND("/",Table11[[#This Row],[Score2 ]])-1)),"")</f>
        <v>29</v>
      </c>
      <c r="P1334" t="s">
        <v>141</v>
      </c>
      <c r="Q1334" s="1" t="s">
        <v>170</v>
      </c>
      <c r="R1334" t="str">
        <f>Table11[[#This Row],[Match]]&amp;" "&amp;Table11[[#This Row],[Over]]</f>
        <v>19 6</v>
      </c>
    </row>
    <row r="1335" spans="1:18" x14ac:dyDescent="0.3">
      <c r="A1335">
        <v>19</v>
      </c>
      <c r="B1335" s="1">
        <v>7</v>
      </c>
      <c r="C1335" s="1" t="s">
        <v>3149</v>
      </c>
      <c r="D1335" s="1" t="s">
        <v>922</v>
      </c>
      <c r="E1335" s="1" t="s">
        <v>1490</v>
      </c>
      <c r="F1335" s="1" t="s">
        <v>1259</v>
      </c>
      <c r="G1335" s="1" t="s">
        <v>1435</v>
      </c>
      <c r="H1335" s="1" t="s">
        <v>898</v>
      </c>
      <c r="I1335" s="1" t="s">
        <v>1006</v>
      </c>
      <c r="J1335" s="1" t="s">
        <v>977</v>
      </c>
      <c r="K1335" s="1" t="s">
        <v>3014</v>
      </c>
      <c r="L1335" s="1" t="s">
        <v>3445</v>
      </c>
      <c r="M1335" s="1" t="s">
        <v>955</v>
      </c>
      <c r="N1335">
        <f>_xlfn.NUMBERVALUE(LEFT(Table11[[#This Row],[Score]],FIND("/",Table11[[#This Row],[Score]])-1))</f>
        <v>24</v>
      </c>
      <c r="O1335">
        <f>IFERROR(_xlfn.NUMBERVALUE(LEFT(Table11[[#This Row],[Score2 ]],FIND("/",Table11[[#This Row],[Score2 ]])-1)),"")</f>
        <v>31</v>
      </c>
      <c r="P1335" t="s">
        <v>141</v>
      </c>
      <c r="Q1335" s="1" t="s">
        <v>170</v>
      </c>
      <c r="R1335" t="str">
        <f>Table11[[#This Row],[Match]]&amp;" "&amp;Table11[[#This Row],[Over]]</f>
        <v>19 7</v>
      </c>
    </row>
    <row r="1336" spans="1:18" x14ac:dyDescent="0.3">
      <c r="A1336">
        <v>19</v>
      </c>
      <c r="B1336" s="1">
        <v>8</v>
      </c>
      <c r="C1336" s="1" t="s">
        <v>2690</v>
      </c>
      <c r="D1336" s="1" t="s">
        <v>904</v>
      </c>
      <c r="E1336" s="1" t="s">
        <v>3446</v>
      </c>
      <c r="F1336" s="1" t="s">
        <v>990</v>
      </c>
      <c r="G1336" s="1" t="s">
        <v>3151</v>
      </c>
      <c r="H1336" s="1" t="s">
        <v>922</v>
      </c>
      <c r="I1336" s="1" t="s">
        <v>1344</v>
      </c>
      <c r="J1336" s="1" t="s">
        <v>940</v>
      </c>
      <c r="K1336" s="1" t="s">
        <v>2151</v>
      </c>
      <c r="L1336" s="1" t="s">
        <v>3447</v>
      </c>
      <c r="M1336" s="1" t="s">
        <v>963</v>
      </c>
      <c r="N1336">
        <f>_xlfn.NUMBERVALUE(LEFT(Table11[[#This Row],[Score]],FIND("/",Table11[[#This Row],[Score]])-1))</f>
        <v>27</v>
      </c>
      <c r="O1336">
        <f>IFERROR(_xlfn.NUMBERVALUE(LEFT(Table11[[#This Row],[Score2 ]],FIND("/",Table11[[#This Row],[Score2 ]])-1)),"")</f>
        <v>37</v>
      </c>
      <c r="P1336" t="s">
        <v>141</v>
      </c>
      <c r="Q1336" s="1" t="s">
        <v>170</v>
      </c>
      <c r="R1336" t="str">
        <f>Table11[[#This Row],[Match]]&amp;" "&amp;Table11[[#This Row],[Over]]</f>
        <v>19 8</v>
      </c>
    </row>
    <row r="1337" spans="1:18" x14ac:dyDescent="0.3">
      <c r="A1337">
        <v>19</v>
      </c>
      <c r="B1337" s="1">
        <v>9</v>
      </c>
      <c r="C1337" s="1" t="s">
        <v>1257</v>
      </c>
      <c r="D1337" s="1" t="s">
        <v>898</v>
      </c>
      <c r="E1337" s="1" t="s">
        <v>2577</v>
      </c>
      <c r="F1337" s="1" t="s">
        <v>1238</v>
      </c>
      <c r="G1337" s="1" t="s">
        <v>2766</v>
      </c>
      <c r="H1337" s="1" t="s">
        <v>950</v>
      </c>
      <c r="I1337" s="1" t="s">
        <v>1975</v>
      </c>
      <c r="J1337" s="1" t="s">
        <v>1029</v>
      </c>
      <c r="K1337" s="1" t="s">
        <v>3394</v>
      </c>
      <c r="L1337" s="1" t="s">
        <v>2987</v>
      </c>
      <c r="M1337" s="1" t="s">
        <v>973</v>
      </c>
      <c r="N1337">
        <f>_xlfn.NUMBERVALUE(LEFT(Table11[[#This Row],[Score]],FIND("/",Table11[[#This Row],[Score]])-1))</f>
        <v>29</v>
      </c>
      <c r="O1337">
        <f>IFERROR(_xlfn.NUMBERVALUE(LEFT(Table11[[#This Row],[Score2 ]],FIND("/",Table11[[#This Row],[Score2 ]])-1)),"")</f>
        <v>42</v>
      </c>
      <c r="P1337" t="s">
        <v>141</v>
      </c>
      <c r="Q1337" s="1" t="s">
        <v>170</v>
      </c>
      <c r="R1337" t="str">
        <f>Table11[[#This Row],[Match]]&amp;" "&amp;Table11[[#This Row],[Over]]</f>
        <v>19 9</v>
      </c>
    </row>
    <row r="1338" spans="1:18" x14ac:dyDescent="0.3">
      <c r="A1338">
        <v>19</v>
      </c>
      <c r="B1338" s="1">
        <v>10</v>
      </c>
      <c r="C1338" s="1" t="s">
        <v>1264</v>
      </c>
      <c r="D1338" s="1" t="s">
        <v>968</v>
      </c>
      <c r="E1338" s="1" t="s">
        <v>1238</v>
      </c>
      <c r="F1338" s="1" t="s">
        <v>1088</v>
      </c>
      <c r="G1338" s="1" t="s">
        <v>1277</v>
      </c>
      <c r="H1338" s="1" t="s">
        <v>950</v>
      </c>
      <c r="I1338" s="1" t="s">
        <v>1321</v>
      </c>
      <c r="J1338" s="1" t="s">
        <v>966</v>
      </c>
      <c r="K1338" s="1" t="s">
        <v>2647</v>
      </c>
      <c r="L1338" s="1" t="s">
        <v>3448</v>
      </c>
      <c r="M1338" s="1" t="s">
        <v>980</v>
      </c>
      <c r="N1338">
        <f>_xlfn.NUMBERVALUE(LEFT(Table11[[#This Row],[Score]],FIND("/",Table11[[#This Row],[Score]])-1))</f>
        <v>30</v>
      </c>
      <c r="O1338">
        <f>IFERROR(_xlfn.NUMBERVALUE(LEFT(Table11[[#This Row],[Score2 ]],FIND("/",Table11[[#This Row],[Score2 ]])-1)),"")</f>
        <v>47</v>
      </c>
      <c r="P1338" t="s">
        <v>141</v>
      </c>
      <c r="Q1338" s="1" t="s">
        <v>170</v>
      </c>
      <c r="R1338" t="str">
        <f>Table11[[#This Row],[Match]]&amp;" "&amp;Table11[[#This Row],[Over]]</f>
        <v>19 10</v>
      </c>
    </row>
    <row r="1339" spans="1:18" x14ac:dyDescent="0.3">
      <c r="A1339">
        <v>19</v>
      </c>
      <c r="B1339" s="1">
        <v>11</v>
      </c>
      <c r="C1339" s="1" t="s">
        <v>941</v>
      </c>
      <c r="D1339" s="1" t="s">
        <v>998</v>
      </c>
      <c r="E1339" s="1" t="s">
        <v>3449</v>
      </c>
      <c r="F1339" s="1" t="s">
        <v>1259</v>
      </c>
      <c r="G1339" s="1" t="s">
        <v>3450</v>
      </c>
      <c r="H1339" s="1" t="s">
        <v>950</v>
      </c>
      <c r="I1339" s="1" t="s">
        <v>1194</v>
      </c>
      <c r="J1339" s="1" t="s">
        <v>976</v>
      </c>
      <c r="K1339" s="1" t="s">
        <v>3451</v>
      </c>
      <c r="L1339" s="1" t="s">
        <v>2991</v>
      </c>
      <c r="M1339" s="1" t="s">
        <v>987</v>
      </c>
      <c r="N1339">
        <f>_xlfn.NUMBERVALUE(LEFT(Table11[[#This Row],[Score]],FIND("/",Table11[[#This Row],[Score]])-1))</f>
        <v>34</v>
      </c>
      <c r="O1339">
        <f>IFERROR(_xlfn.NUMBERVALUE(LEFT(Table11[[#This Row],[Score2 ]],FIND("/",Table11[[#This Row],[Score2 ]])-1)),"")</f>
        <v>52</v>
      </c>
      <c r="P1339" t="s">
        <v>141</v>
      </c>
      <c r="Q1339" s="1" t="s">
        <v>170</v>
      </c>
      <c r="R1339" t="str">
        <f>Table11[[#This Row],[Match]]&amp;" "&amp;Table11[[#This Row],[Over]]</f>
        <v>19 11</v>
      </c>
    </row>
    <row r="1340" spans="1:18" x14ac:dyDescent="0.3">
      <c r="A1340">
        <v>19</v>
      </c>
      <c r="B1340" s="1">
        <v>12</v>
      </c>
      <c r="C1340" s="1" t="s">
        <v>949</v>
      </c>
      <c r="D1340" s="1" t="s">
        <v>950</v>
      </c>
      <c r="E1340" s="1" t="s">
        <v>923</v>
      </c>
      <c r="F1340" s="1" t="s">
        <v>1238</v>
      </c>
      <c r="G1340" s="1" t="s">
        <v>3452</v>
      </c>
      <c r="H1340" s="1" t="s">
        <v>968</v>
      </c>
      <c r="I1340" s="1" t="s">
        <v>992</v>
      </c>
      <c r="J1340" s="1" t="s">
        <v>940</v>
      </c>
      <c r="K1340" s="1" t="s">
        <v>2836</v>
      </c>
      <c r="L1340" s="1" t="s">
        <v>3453</v>
      </c>
      <c r="M1340" s="1" t="s">
        <v>996</v>
      </c>
      <c r="N1340">
        <f>_xlfn.NUMBERVALUE(LEFT(Table11[[#This Row],[Score]],FIND("/",Table11[[#This Row],[Score]])-1))</f>
        <v>39</v>
      </c>
      <c r="O1340">
        <f>IFERROR(_xlfn.NUMBERVALUE(LEFT(Table11[[#This Row],[Score2 ]],FIND("/",Table11[[#This Row],[Score2 ]])-1)),"")</f>
        <v>53</v>
      </c>
      <c r="P1340" t="s">
        <v>141</v>
      </c>
      <c r="Q1340" s="1" t="s">
        <v>170</v>
      </c>
      <c r="R1340" t="str">
        <f>Table11[[#This Row],[Match]]&amp;" "&amp;Table11[[#This Row],[Over]]</f>
        <v>19 12</v>
      </c>
    </row>
    <row r="1341" spans="1:18" x14ac:dyDescent="0.3">
      <c r="A1341">
        <v>19</v>
      </c>
      <c r="B1341" s="1">
        <v>13</v>
      </c>
      <c r="C1341" s="1" t="s">
        <v>975</v>
      </c>
      <c r="D1341" s="1" t="s">
        <v>916</v>
      </c>
      <c r="E1341" s="1" t="s">
        <v>2482</v>
      </c>
      <c r="F1341" s="1" t="s">
        <v>990</v>
      </c>
      <c r="G1341" s="1" t="s">
        <v>3454</v>
      </c>
      <c r="H1341" s="1" t="s">
        <v>998</v>
      </c>
      <c r="I1341" s="1" t="s">
        <v>1035</v>
      </c>
      <c r="J1341" s="1" t="s">
        <v>939</v>
      </c>
      <c r="K1341" s="1" t="s">
        <v>3455</v>
      </c>
      <c r="L1341" s="1" t="s">
        <v>3456</v>
      </c>
      <c r="M1341" s="1" t="s">
        <v>1004</v>
      </c>
      <c r="N1341">
        <f>_xlfn.NUMBERVALUE(LEFT(Table11[[#This Row],[Score]],FIND("/",Table11[[#This Row],[Score]])-1))</f>
        <v>46</v>
      </c>
      <c r="O1341">
        <f>IFERROR(_xlfn.NUMBERVALUE(LEFT(Table11[[#This Row],[Score2 ]],FIND("/",Table11[[#This Row],[Score2 ]])-1)),"")</f>
        <v>57</v>
      </c>
      <c r="P1341" t="s">
        <v>141</v>
      </c>
      <c r="Q1341" s="1" t="s">
        <v>170</v>
      </c>
      <c r="R1341" t="str">
        <f>Table11[[#This Row],[Match]]&amp;" "&amp;Table11[[#This Row],[Over]]</f>
        <v>19 13</v>
      </c>
    </row>
    <row r="1342" spans="1:18" x14ac:dyDescent="0.3">
      <c r="A1342">
        <v>19</v>
      </c>
      <c r="B1342" s="1">
        <v>14</v>
      </c>
      <c r="C1342" s="1" t="s">
        <v>1281</v>
      </c>
      <c r="D1342" s="1" t="s">
        <v>904</v>
      </c>
      <c r="E1342" s="1" t="s">
        <v>925</v>
      </c>
      <c r="F1342" s="1" t="s">
        <v>939</v>
      </c>
      <c r="G1342" s="1" t="s">
        <v>3457</v>
      </c>
      <c r="H1342" s="1" t="s">
        <v>904</v>
      </c>
      <c r="I1342" s="1" t="s">
        <v>1124</v>
      </c>
      <c r="J1342" s="1" t="s">
        <v>977</v>
      </c>
      <c r="K1342" s="1" t="s">
        <v>3035</v>
      </c>
      <c r="L1342" s="1" t="s">
        <v>3458</v>
      </c>
      <c r="M1342" s="1" t="s">
        <v>1010</v>
      </c>
      <c r="N1342">
        <f>_xlfn.NUMBERVALUE(LEFT(Table11[[#This Row],[Score]],FIND("/",Table11[[#This Row],[Score]])-1))</f>
        <v>49</v>
      </c>
      <c r="O1342">
        <f>IFERROR(_xlfn.NUMBERVALUE(LEFT(Table11[[#This Row],[Score2 ]],FIND("/",Table11[[#This Row],[Score2 ]])-1)),"")</f>
        <v>60</v>
      </c>
      <c r="P1342" t="s">
        <v>141</v>
      </c>
      <c r="Q1342" s="1" t="s">
        <v>170</v>
      </c>
      <c r="R1342" t="str">
        <f>Table11[[#This Row],[Match]]&amp;" "&amp;Table11[[#This Row],[Over]]</f>
        <v>19 14</v>
      </c>
    </row>
    <row r="1343" spans="1:18" x14ac:dyDescent="0.3">
      <c r="A1343">
        <v>19</v>
      </c>
      <c r="B1343" s="1">
        <v>15</v>
      </c>
      <c r="C1343" s="1" t="s">
        <v>1000</v>
      </c>
      <c r="D1343" s="1" t="s">
        <v>947</v>
      </c>
      <c r="E1343" s="1" t="s">
        <v>1497</v>
      </c>
      <c r="F1343" s="1" t="s">
        <v>934</v>
      </c>
      <c r="G1343" s="1" t="s">
        <v>2814</v>
      </c>
      <c r="H1343" s="1" t="s">
        <v>968</v>
      </c>
      <c r="I1343" s="1" t="s">
        <v>1288</v>
      </c>
      <c r="J1343" s="1" t="s">
        <v>993</v>
      </c>
      <c r="K1343" s="1" t="s">
        <v>2031</v>
      </c>
      <c r="L1343" s="1" t="s">
        <v>3459</v>
      </c>
      <c r="M1343" s="1" t="s">
        <v>1016</v>
      </c>
      <c r="N1343">
        <f>_xlfn.NUMBERVALUE(LEFT(Table11[[#This Row],[Score]],FIND("/",Table11[[#This Row],[Score]])-1))</f>
        <v>58</v>
      </c>
      <c r="O1343">
        <f>IFERROR(_xlfn.NUMBERVALUE(LEFT(Table11[[#This Row],[Score2 ]],FIND("/",Table11[[#This Row],[Score2 ]])-1)),"")</f>
        <v>61</v>
      </c>
      <c r="P1343" t="s">
        <v>141</v>
      </c>
      <c r="Q1343" s="1" t="s">
        <v>170</v>
      </c>
      <c r="R1343" t="str">
        <f>Table11[[#This Row],[Match]]&amp;" "&amp;Table11[[#This Row],[Over]]</f>
        <v>19 15</v>
      </c>
    </row>
    <row r="1344" spans="1:18" x14ac:dyDescent="0.3">
      <c r="A1344">
        <v>19</v>
      </c>
      <c r="B1344" s="1">
        <v>16</v>
      </c>
      <c r="C1344" s="1" t="s">
        <v>3310</v>
      </c>
      <c r="D1344" s="1" t="s">
        <v>1095</v>
      </c>
      <c r="E1344" s="1" t="s">
        <v>1074</v>
      </c>
      <c r="F1344" s="1" t="s">
        <v>1053</v>
      </c>
      <c r="G1344" s="1" t="s">
        <v>3460</v>
      </c>
      <c r="H1344" s="1" t="s">
        <v>968</v>
      </c>
      <c r="I1344" s="1" t="s">
        <v>1436</v>
      </c>
      <c r="J1344" s="1" t="s">
        <v>899</v>
      </c>
      <c r="K1344" s="1" t="s">
        <v>1746</v>
      </c>
      <c r="L1344" s="1" t="s">
        <v>3461</v>
      </c>
      <c r="M1344" s="1" t="s">
        <v>1024</v>
      </c>
      <c r="N1344">
        <f>_xlfn.NUMBERVALUE(LEFT(Table11[[#This Row],[Score]],FIND("/",Table11[[#This Row],[Score]])-1))</f>
        <v>68</v>
      </c>
      <c r="O1344">
        <f>IFERROR(_xlfn.NUMBERVALUE(LEFT(Table11[[#This Row],[Score2 ]],FIND("/",Table11[[#This Row],[Score2 ]])-1)),"")</f>
        <v>62</v>
      </c>
      <c r="P1344" t="s">
        <v>141</v>
      </c>
      <c r="Q1344" s="1" t="s">
        <v>170</v>
      </c>
      <c r="R1344" t="str">
        <f>Table11[[#This Row],[Match]]&amp;" "&amp;Table11[[#This Row],[Over]]</f>
        <v>19 16</v>
      </c>
    </row>
    <row r="1345" spans="1:18" x14ac:dyDescent="0.3">
      <c r="A1345">
        <v>19</v>
      </c>
      <c r="B1345" s="1">
        <v>17</v>
      </c>
      <c r="C1345" s="1" t="s">
        <v>1020</v>
      </c>
      <c r="D1345" s="1" t="s">
        <v>998</v>
      </c>
      <c r="E1345" s="1" t="s">
        <v>1532</v>
      </c>
      <c r="F1345" s="1" t="s">
        <v>960</v>
      </c>
      <c r="G1345" s="1" t="s">
        <v>2815</v>
      </c>
      <c r="H1345" s="1" t="s">
        <v>968</v>
      </c>
      <c r="I1345" s="1" t="s">
        <v>2816</v>
      </c>
      <c r="J1345" s="1" t="s">
        <v>899</v>
      </c>
      <c r="K1345" s="1" t="s">
        <v>3462</v>
      </c>
      <c r="L1345" s="1" t="s">
        <v>3463</v>
      </c>
      <c r="M1345" s="1" t="s">
        <v>1031</v>
      </c>
      <c r="N1345">
        <f>_xlfn.NUMBERVALUE(LEFT(Table11[[#This Row],[Score]],FIND("/",Table11[[#This Row],[Score]])-1))</f>
        <v>72</v>
      </c>
      <c r="O1345">
        <f>IFERROR(_xlfn.NUMBERVALUE(LEFT(Table11[[#This Row],[Score2 ]],FIND("/",Table11[[#This Row],[Score2 ]])-1)),"")</f>
        <v>63</v>
      </c>
      <c r="P1345" t="s">
        <v>141</v>
      </c>
      <c r="Q1345" s="1" t="s">
        <v>170</v>
      </c>
      <c r="R1345" t="str">
        <f>Table11[[#This Row],[Match]]&amp;" "&amp;Table11[[#This Row],[Over]]</f>
        <v>19 17</v>
      </c>
    </row>
    <row r="1346" spans="1:18" x14ac:dyDescent="0.3">
      <c r="A1346">
        <v>19</v>
      </c>
      <c r="B1346" s="1">
        <v>18</v>
      </c>
      <c r="C1346" s="1" t="s">
        <v>2450</v>
      </c>
      <c r="D1346" s="1" t="s">
        <v>998</v>
      </c>
      <c r="E1346" s="1" t="s">
        <v>1535</v>
      </c>
      <c r="F1346" s="1" t="s">
        <v>1019</v>
      </c>
      <c r="G1346" s="1" t="s">
        <v>3464</v>
      </c>
      <c r="H1346" s="1" t="s">
        <v>1007</v>
      </c>
      <c r="I1346" s="1" t="s">
        <v>925</v>
      </c>
      <c r="J1346" s="1" t="s">
        <v>1439</v>
      </c>
      <c r="K1346" s="1" t="s">
        <v>2772</v>
      </c>
      <c r="L1346" s="1" t="s">
        <v>3463</v>
      </c>
      <c r="M1346" s="1" t="s">
        <v>1037</v>
      </c>
      <c r="N1346">
        <f>_xlfn.NUMBERVALUE(LEFT(Table11[[#This Row],[Score]],FIND("/",Table11[[#This Row],[Score]])-1))</f>
        <v>76</v>
      </c>
      <c r="O1346">
        <f>IFERROR(_xlfn.NUMBERVALUE(LEFT(Table11[[#This Row],[Score2 ]],FIND("/",Table11[[#This Row],[Score2 ]])-1)),"")</f>
        <v>63</v>
      </c>
      <c r="P1346" t="s">
        <v>141</v>
      </c>
      <c r="Q1346" s="1" t="s">
        <v>170</v>
      </c>
      <c r="R1346" t="str">
        <f>Table11[[#This Row],[Match]]&amp;" "&amp;Table11[[#This Row],[Over]]</f>
        <v>19 18</v>
      </c>
    </row>
    <row r="1347" spans="1:18" x14ac:dyDescent="0.3">
      <c r="A1347">
        <v>19</v>
      </c>
      <c r="B1347" s="1">
        <v>19</v>
      </c>
      <c r="C1347" s="1" t="s">
        <v>1307</v>
      </c>
      <c r="D1347" s="1" t="s">
        <v>916</v>
      </c>
      <c r="E1347" s="1" t="s">
        <v>1040</v>
      </c>
      <c r="F1347" s="1" t="s">
        <v>1053</v>
      </c>
      <c r="G1347" s="1" t="s">
        <v>3465</v>
      </c>
      <c r="H1347" s="1" t="s">
        <v>968</v>
      </c>
      <c r="I1347" s="1" t="s">
        <v>1271</v>
      </c>
      <c r="J1347" s="1" t="s">
        <v>2516</v>
      </c>
      <c r="K1347" s="1" t="s">
        <v>3466</v>
      </c>
      <c r="L1347" s="1" t="s">
        <v>2992</v>
      </c>
      <c r="M1347" s="1" t="s">
        <v>1043</v>
      </c>
      <c r="N1347">
        <f>_xlfn.NUMBERVALUE(LEFT(Table11[[#This Row],[Score]],FIND("/",Table11[[#This Row],[Score]])-1))</f>
        <v>83</v>
      </c>
      <c r="O1347">
        <f>IFERROR(_xlfn.NUMBERVALUE(LEFT(Table11[[#This Row],[Score2 ]],FIND("/",Table11[[#This Row],[Score2 ]])-1)),"")</f>
        <v>64</v>
      </c>
      <c r="P1347" t="s">
        <v>141</v>
      </c>
      <c r="Q1347" s="1" t="s">
        <v>170</v>
      </c>
      <c r="R1347" t="str">
        <f>Table11[[#This Row],[Match]]&amp;" "&amp;Table11[[#This Row],[Over]]</f>
        <v>19 19</v>
      </c>
    </row>
    <row r="1348" spans="1:18" x14ac:dyDescent="0.3">
      <c r="A1348">
        <v>19</v>
      </c>
      <c r="B1348" s="1">
        <v>20</v>
      </c>
      <c r="C1348" s="1" t="s">
        <v>1308</v>
      </c>
      <c r="D1348" s="1" t="s">
        <v>998</v>
      </c>
      <c r="E1348" s="1" t="s">
        <v>1299</v>
      </c>
      <c r="F1348" s="1" t="s">
        <v>1013</v>
      </c>
      <c r="G1348" s="1" t="s">
        <v>3467</v>
      </c>
      <c r="H1348" s="1" t="s">
        <v>930</v>
      </c>
      <c r="I1348" s="1" t="s">
        <v>977</v>
      </c>
      <c r="J1348" s="1" t="s">
        <v>1383</v>
      </c>
      <c r="K1348" s="1" t="s">
        <v>3468</v>
      </c>
      <c r="L1348" s="1" t="s">
        <v>2994</v>
      </c>
      <c r="M1348" s="1" t="s">
        <v>1049</v>
      </c>
      <c r="N1348">
        <f>_xlfn.NUMBERVALUE(LEFT(Table11[[#This Row],[Score]],FIND("/",Table11[[#This Row],[Score]])-1))</f>
        <v>87</v>
      </c>
      <c r="O1348">
        <f>IFERROR(_xlfn.NUMBERVALUE(LEFT(Table11[[#This Row],[Score2 ]],FIND("/",Table11[[#This Row],[Score2 ]])-1)),"")</f>
        <v>72</v>
      </c>
      <c r="P1348" t="s">
        <v>141</v>
      </c>
      <c r="Q1348" s="1" t="s">
        <v>170</v>
      </c>
      <c r="R1348" t="str">
        <f>Table11[[#This Row],[Match]]&amp;" "&amp;Table11[[#This Row],[Over]]</f>
        <v>19 20</v>
      </c>
    </row>
    <row r="1349" spans="1:18" x14ac:dyDescent="0.3">
      <c r="A1349">
        <v>19</v>
      </c>
      <c r="B1349" s="1">
        <v>21</v>
      </c>
      <c r="C1349" s="1" t="s">
        <v>3469</v>
      </c>
      <c r="D1349" s="1" t="s">
        <v>904</v>
      </c>
      <c r="E1349" s="1" t="s">
        <v>1124</v>
      </c>
      <c r="F1349" s="1" t="s">
        <v>940</v>
      </c>
      <c r="G1349" s="1" t="s">
        <v>3470</v>
      </c>
      <c r="H1349" s="1" t="s">
        <v>998</v>
      </c>
      <c r="I1349" s="1" t="s">
        <v>3084</v>
      </c>
      <c r="J1349" s="1" t="s">
        <v>993</v>
      </c>
      <c r="K1349" s="1" t="s">
        <v>3471</v>
      </c>
      <c r="L1349" s="1" t="s">
        <v>2211</v>
      </c>
      <c r="M1349" s="1" t="s">
        <v>1056</v>
      </c>
      <c r="N1349">
        <f>_xlfn.NUMBERVALUE(LEFT(Table11[[#This Row],[Score]],FIND("/",Table11[[#This Row],[Score]])-1))</f>
        <v>90</v>
      </c>
      <c r="O1349">
        <f>IFERROR(_xlfn.NUMBERVALUE(LEFT(Table11[[#This Row],[Score2 ]],FIND("/",Table11[[#This Row],[Score2 ]])-1)),"")</f>
        <v>76</v>
      </c>
      <c r="P1349" t="s">
        <v>141</v>
      </c>
      <c r="Q1349" s="1" t="s">
        <v>170</v>
      </c>
      <c r="R1349" t="str">
        <f>Table11[[#This Row],[Match]]&amp;" "&amp;Table11[[#This Row],[Over]]</f>
        <v>19 21</v>
      </c>
    </row>
    <row r="1350" spans="1:18" x14ac:dyDescent="0.3">
      <c r="A1350">
        <v>19</v>
      </c>
      <c r="B1350" s="1">
        <v>22</v>
      </c>
      <c r="C1350" s="1" t="s">
        <v>1038</v>
      </c>
      <c r="D1350" s="1" t="s">
        <v>998</v>
      </c>
      <c r="E1350" s="1" t="s">
        <v>983</v>
      </c>
      <c r="F1350" s="1" t="s">
        <v>940</v>
      </c>
      <c r="G1350" s="1" t="s">
        <v>3472</v>
      </c>
      <c r="H1350" s="1" t="s">
        <v>947</v>
      </c>
      <c r="I1350" s="1" t="s">
        <v>1497</v>
      </c>
      <c r="J1350" s="1" t="s">
        <v>940</v>
      </c>
      <c r="K1350" s="1" t="s">
        <v>3473</v>
      </c>
      <c r="L1350" s="1" t="s">
        <v>3474</v>
      </c>
      <c r="M1350" s="1" t="s">
        <v>1063</v>
      </c>
      <c r="N1350">
        <f>_xlfn.NUMBERVALUE(LEFT(Table11[[#This Row],[Score]],FIND("/",Table11[[#This Row],[Score]])-1))</f>
        <v>94</v>
      </c>
      <c r="O1350">
        <f>IFERROR(_xlfn.NUMBERVALUE(LEFT(Table11[[#This Row],[Score2 ]],FIND("/",Table11[[#This Row],[Score2 ]])-1)),"")</f>
        <v>85</v>
      </c>
      <c r="P1350" t="s">
        <v>141</v>
      </c>
      <c r="Q1350" s="1" t="s">
        <v>170</v>
      </c>
      <c r="R1350" t="str">
        <f>Table11[[#This Row],[Match]]&amp;" "&amp;Table11[[#This Row],[Over]]</f>
        <v>19 22</v>
      </c>
    </row>
    <row r="1351" spans="1:18" x14ac:dyDescent="0.3">
      <c r="A1351">
        <v>19</v>
      </c>
      <c r="B1351" s="1">
        <v>23</v>
      </c>
      <c r="C1351" s="1" t="s">
        <v>2125</v>
      </c>
      <c r="D1351" s="1" t="s">
        <v>904</v>
      </c>
      <c r="E1351" s="1" t="s">
        <v>1130</v>
      </c>
      <c r="F1351" s="1" t="s">
        <v>931</v>
      </c>
      <c r="G1351" s="1" t="s">
        <v>3475</v>
      </c>
      <c r="H1351" s="1" t="s">
        <v>922</v>
      </c>
      <c r="I1351" s="1" t="s">
        <v>2784</v>
      </c>
      <c r="J1351" s="1" t="s">
        <v>934</v>
      </c>
      <c r="K1351" s="1" t="s">
        <v>3476</v>
      </c>
      <c r="L1351" s="1" t="s">
        <v>3477</v>
      </c>
      <c r="M1351" s="1" t="s">
        <v>1070</v>
      </c>
      <c r="N1351">
        <f>_xlfn.NUMBERVALUE(LEFT(Table11[[#This Row],[Score]],FIND("/",Table11[[#This Row],[Score]])-1))</f>
        <v>97</v>
      </c>
      <c r="O1351">
        <f>IFERROR(_xlfn.NUMBERVALUE(LEFT(Table11[[#This Row],[Score2 ]],FIND("/",Table11[[#This Row],[Score2 ]])-1)),"")</f>
        <v>91</v>
      </c>
      <c r="P1351" t="s">
        <v>141</v>
      </c>
      <c r="Q1351" s="1" t="s">
        <v>170</v>
      </c>
      <c r="R1351" t="str">
        <f>Table11[[#This Row],[Match]]&amp;" "&amp;Table11[[#This Row],[Over]]</f>
        <v>19 23</v>
      </c>
    </row>
    <row r="1352" spans="1:18" x14ac:dyDescent="0.3">
      <c r="A1352">
        <v>19</v>
      </c>
      <c r="B1352" s="1">
        <v>24</v>
      </c>
      <c r="C1352" s="1" t="s">
        <v>2354</v>
      </c>
      <c r="D1352" s="1" t="s">
        <v>950</v>
      </c>
      <c r="E1352" s="1" t="s">
        <v>1074</v>
      </c>
      <c r="F1352" s="1" t="s">
        <v>990</v>
      </c>
      <c r="G1352" s="1" t="s">
        <v>1911</v>
      </c>
      <c r="H1352" s="1" t="s">
        <v>950</v>
      </c>
      <c r="I1352" s="1" t="s">
        <v>939</v>
      </c>
      <c r="J1352" s="1" t="s">
        <v>943</v>
      </c>
      <c r="K1352" s="1" t="s">
        <v>3478</v>
      </c>
      <c r="L1352" s="1" t="s">
        <v>2329</v>
      </c>
      <c r="M1352" s="1" t="s">
        <v>1077</v>
      </c>
      <c r="N1352">
        <f>_xlfn.NUMBERVALUE(LEFT(Table11[[#This Row],[Score]],FIND("/",Table11[[#This Row],[Score]])-1))</f>
        <v>102</v>
      </c>
      <c r="O1352">
        <f>IFERROR(_xlfn.NUMBERVALUE(LEFT(Table11[[#This Row],[Score2 ]],FIND("/",Table11[[#This Row],[Score2 ]])-1)),"")</f>
        <v>96</v>
      </c>
      <c r="P1352" t="s">
        <v>141</v>
      </c>
      <c r="Q1352" s="1" t="s">
        <v>170</v>
      </c>
      <c r="R1352" t="str">
        <f>Table11[[#This Row],[Match]]&amp;" "&amp;Table11[[#This Row],[Over]]</f>
        <v>19 24</v>
      </c>
    </row>
    <row r="1353" spans="1:18" x14ac:dyDescent="0.3">
      <c r="A1353">
        <v>19</v>
      </c>
      <c r="B1353" s="1">
        <v>25</v>
      </c>
      <c r="C1353" s="1" t="s">
        <v>2122</v>
      </c>
      <c r="D1353" s="1" t="s">
        <v>1095</v>
      </c>
      <c r="E1353" s="1" t="s">
        <v>1759</v>
      </c>
      <c r="F1353" s="1" t="s">
        <v>969</v>
      </c>
      <c r="G1353" s="1" t="s">
        <v>3479</v>
      </c>
      <c r="H1353" s="1" t="s">
        <v>916</v>
      </c>
      <c r="I1353" s="1" t="s">
        <v>2897</v>
      </c>
      <c r="J1353" s="1" t="s">
        <v>970</v>
      </c>
      <c r="K1353" s="1" t="s">
        <v>3480</v>
      </c>
      <c r="L1353" s="1" t="s">
        <v>3481</v>
      </c>
      <c r="M1353" s="1" t="s">
        <v>1083</v>
      </c>
      <c r="N1353">
        <f>_xlfn.NUMBERVALUE(LEFT(Table11[[#This Row],[Score]],FIND("/",Table11[[#This Row],[Score]])-1))</f>
        <v>112</v>
      </c>
      <c r="O1353">
        <f>IFERROR(_xlfn.NUMBERVALUE(LEFT(Table11[[#This Row],[Score2 ]],FIND("/",Table11[[#This Row],[Score2 ]])-1)),"")</f>
        <v>103</v>
      </c>
      <c r="P1353" t="s">
        <v>141</v>
      </c>
      <c r="Q1353" s="1" t="s">
        <v>170</v>
      </c>
      <c r="R1353" t="str">
        <f>Table11[[#This Row],[Match]]&amp;" "&amp;Table11[[#This Row],[Over]]</f>
        <v>19 25</v>
      </c>
    </row>
    <row r="1354" spans="1:18" x14ac:dyDescent="0.3">
      <c r="A1354">
        <v>19</v>
      </c>
      <c r="B1354" s="1">
        <v>26</v>
      </c>
      <c r="C1354" s="1" t="s">
        <v>2130</v>
      </c>
      <c r="D1354" s="1" t="s">
        <v>916</v>
      </c>
      <c r="E1354" s="1" t="s">
        <v>1362</v>
      </c>
      <c r="F1354" s="1" t="s">
        <v>1013</v>
      </c>
      <c r="G1354" s="1" t="s">
        <v>3482</v>
      </c>
      <c r="H1354" s="1" t="s">
        <v>950</v>
      </c>
      <c r="I1354" s="1" t="s">
        <v>1303</v>
      </c>
      <c r="J1354" s="1" t="s">
        <v>943</v>
      </c>
      <c r="K1354" s="1" t="s">
        <v>1388</v>
      </c>
      <c r="L1354" s="1" t="s">
        <v>3483</v>
      </c>
      <c r="M1354" s="1" t="s">
        <v>1090</v>
      </c>
      <c r="N1354">
        <f>_xlfn.NUMBERVALUE(LEFT(Table11[[#This Row],[Score]],FIND("/",Table11[[#This Row],[Score]])-1))</f>
        <v>119</v>
      </c>
      <c r="O1354">
        <f>IFERROR(_xlfn.NUMBERVALUE(LEFT(Table11[[#This Row],[Score2 ]],FIND("/",Table11[[#This Row],[Score2 ]])-1)),"")</f>
        <v>108</v>
      </c>
      <c r="P1354" t="s">
        <v>141</v>
      </c>
      <c r="Q1354" s="1" t="s">
        <v>170</v>
      </c>
      <c r="R1354" t="str">
        <f>Table11[[#This Row],[Match]]&amp;" "&amp;Table11[[#This Row],[Over]]</f>
        <v>19 26</v>
      </c>
    </row>
    <row r="1355" spans="1:18" x14ac:dyDescent="0.3">
      <c r="A1355">
        <v>19</v>
      </c>
      <c r="B1355" s="1">
        <v>27</v>
      </c>
      <c r="C1355" s="1" t="s">
        <v>2129</v>
      </c>
      <c r="D1355" s="1" t="s">
        <v>947</v>
      </c>
      <c r="E1355" s="1" t="s">
        <v>1353</v>
      </c>
      <c r="F1355" s="1" t="s">
        <v>1053</v>
      </c>
      <c r="G1355" s="1" t="s">
        <v>3484</v>
      </c>
      <c r="H1355" s="1" t="s">
        <v>898</v>
      </c>
      <c r="I1355" s="1" t="s">
        <v>2632</v>
      </c>
      <c r="J1355" s="1" t="s">
        <v>969</v>
      </c>
      <c r="K1355" s="1" t="s">
        <v>3246</v>
      </c>
      <c r="L1355" s="1" t="s">
        <v>901</v>
      </c>
      <c r="M1355" s="1" t="s">
        <v>1098</v>
      </c>
      <c r="N1355">
        <f>_xlfn.NUMBERVALUE(LEFT(Table11[[#This Row],[Score]],FIND("/",Table11[[#This Row],[Score]])-1))</f>
        <v>128</v>
      </c>
      <c r="O1355">
        <f>IFERROR(_xlfn.NUMBERVALUE(LEFT(Table11[[#This Row],[Score2 ]],FIND("/",Table11[[#This Row],[Score2 ]])-1)),"")</f>
        <v>110</v>
      </c>
      <c r="P1355" t="s">
        <v>141</v>
      </c>
      <c r="Q1355" s="1" t="s">
        <v>170</v>
      </c>
      <c r="R1355" t="str">
        <f>Table11[[#This Row],[Match]]&amp;" "&amp;Table11[[#This Row],[Over]]</f>
        <v>19 27</v>
      </c>
    </row>
    <row r="1356" spans="1:18" x14ac:dyDescent="0.3">
      <c r="A1356">
        <v>19</v>
      </c>
      <c r="B1356" s="1">
        <v>28</v>
      </c>
      <c r="C1356" s="1" t="s">
        <v>1333</v>
      </c>
      <c r="D1356" s="1" t="s">
        <v>930</v>
      </c>
      <c r="E1356" s="1" t="s">
        <v>1174</v>
      </c>
      <c r="F1356" s="1" t="s">
        <v>1168</v>
      </c>
      <c r="G1356" s="1" t="s">
        <v>3484</v>
      </c>
      <c r="H1356" s="1" t="s">
        <v>1007</v>
      </c>
      <c r="I1356" s="1" t="s">
        <v>1507</v>
      </c>
      <c r="J1356" s="1" t="s">
        <v>990</v>
      </c>
      <c r="K1356" s="1" t="s">
        <v>3485</v>
      </c>
      <c r="L1356" s="1" t="s">
        <v>901</v>
      </c>
      <c r="M1356" s="1" t="s">
        <v>1101</v>
      </c>
      <c r="N1356">
        <f>_xlfn.NUMBERVALUE(LEFT(Table11[[#This Row],[Score]],FIND("/",Table11[[#This Row],[Score]])-1))</f>
        <v>136</v>
      </c>
      <c r="O1356">
        <f>IFERROR(_xlfn.NUMBERVALUE(LEFT(Table11[[#This Row],[Score2 ]],FIND("/",Table11[[#This Row],[Score2 ]])-1)),"")</f>
        <v>110</v>
      </c>
      <c r="P1356" t="s">
        <v>141</v>
      </c>
      <c r="Q1356" s="1" t="s">
        <v>170</v>
      </c>
      <c r="R1356" t="str">
        <f>Table11[[#This Row],[Match]]&amp;" "&amp;Table11[[#This Row],[Over]]</f>
        <v>19 28</v>
      </c>
    </row>
    <row r="1357" spans="1:18" x14ac:dyDescent="0.3">
      <c r="A1357">
        <v>19</v>
      </c>
      <c r="B1357" s="1">
        <v>29</v>
      </c>
      <c r="C1357" s="1" t="s">
        <v>3019</v>
      </c>
      <c r="D1357" s="1" t="s">
        <v>947</v>
      </c>
      <c r="E1357" s="1" t="s">
        <v>969</v>
      </c>
      <c r="F1357" s="1" t="s">
        <v>1414</v>
      </c>
      <c r="G1357" s="1" t="s">
        <v>2788</v>
      </c>
      <c r="H1357" s="1" t="s">
        <v>922</v>
      </c>
      <c r="I1357" s="1" t="s">
        <v>939</v>
      </c>
      <c r="J1357" s="1" t="s">
        <v>939</v>
      </c>
      <c r="K1357" s="1" t="s">
        <v>3486</v>
      </c>
      <c r="L1357" s="1" t="s">
        <v>2227</v>
      </c>
      <c r="M1357" s="1" t="s">
        <v>1108</v>
      </c>
      <c r="N1357">
        <f>_xlfn.NUMBERVALUE(LEFT(Table11[[#This Row],[Score]],FIND("/",Table11[[#This Row],[Score]])-1))</f>
        <v>145</v>
      </c>
      <c r="O1357">
        <f>IFERROR(_xlfn.NUMBERVALUE(LEFT(Table11[[#This Row],[Score2 ]],FIND("/",Table11[[#This Row],[Score2 ]])-1)),"")</f>
        <v>116</v>
      </c>
      <c r="P1357" t="s">
        <v>141</v>
      </c>
      <c r="Q1357" s="1" t="s">
        <v>170</v>
      </c>
      <c r="R1357" t="str">
        <f>Table11[[#This Row],[Match]]&amp;" "&amp;Table11[[#This Row],[Over]]</f>
        <v>19 29</v>
      </c>
    </row>
    <row r="1358" spans="1:18" x14ac:dyDescent="0.3">
      <c r="A1358">
        <v>19</v>
      </c>
      <c r="B1358" s="1">
        <v>30</v>
      </c>
      <c r="C1358" s="1" t="s">
        <v>2035</v>
      </c>
      <c r="D1358" s="1" t="s">
        <v>898</v>
      </c>
      <c r="E1358" s="1" t="s">
        <v>1045</v>
      </c>
      <c r="F1358" s="1" t="s">
        <v>952</v>
      </c>
      <c r="G1358" s="1" t="s">
        <v>3487</v>
      </c>
      <c r="H1358" s="1" t="s">
        <v>1390</v>
      </c>
      <c r="I1358" s="1" t="s">
        <v>999</v>
      </c>
      <c r="J1358" s="1" t="s">
        <v>1029</v>
      </c>
      <c r="K1358" s="1" t="s">
        <v>1195</v>
      </c>
      <c r="L1358" s="1" t="s">
        <v>1261</v>
      </c>
      <c r="M1358" s="1" t="s">
        <v>1113</v>
      </c>
      <c r="N1358">
        <f>_xlfn.NUMBERVALUE(LEFT(Table11[[#This Row],[Score]],FIND("/",Table11[[#This Row],[Score]])-1))</f>
        <v>147</v>
      </c>
      <c r="O1358">
        <f>IFERROR(_xlfn.NUMBERVALUE(LEFT(Table11[[#This Row],[Score2 ]],FIND("/",Table11[[#This Row],[Score2 ]])-1)),"")</f>
        <v>129</v>
      </c>
      <c r="P1358" t="s">
        <v>141</v>
      </c>
      <c r="Q1358" s="1" t="s">
        <v>170</v>
      </c>
      <c r="R1358" t="str">
        <f>Table11[[#This Row],[Match]]&amp;" "&amp;Table11[[#This Row],[Over]]</f>
        <v>19 30</v>
      </c>
    </row>
    <row r="1359" spans="1:18" x14ac:dyDescent="0.3">
      <c r="A1359">
        <v>19</v>
      </c>
      <c r="B1359" s="1">
        <v>31</v>
      </c>
      <c r="C1359" s="1" t="s">
        <v>3488</v>
      </c>
      <c r="D1359" s="1" t="s">
        <v>922</v>
      </c>
      <c r="E1359" s="1" t="s">
        <v>1351</v>
      </c>
      <c r="F1359" s="1" t="s">
        <v>1053</v>
      </c>
      <c r="G1359" s="1" t="s">
        <v>3362</v>
      </c>
      <c r="H1359" s="1" t="s">
        <v>930</v>
      </c>
      <c r="I1359" s="1" t="s">
        <v>992</v>
      </c>
      <c r="J1359" s="1" t="s">
        <v>1013</v>
      </c>
      <c r="K1359" s="1" t="s">
        <v>3489</v>
      </c>
      <c r="L1359" s="1" t="s">
        <v>1977</v>
      </c>
      <c r="M1359" s="1" t="s">
        <v>1121</v>
      </c>
      <c r="N1359">
        <f>_xlfn.NUMBERVALUE(LEFT(Table11[[#This Row],[Score]],FIND("/",Table11[[#This Row],[Score]])-1))</f>
        <v>153</v>
      </c>
      <c r="O1359">
        <f>IFERROR(_xlfn.NUMBERVALUE(LEFT(Table11[[#This Row],[Score2 ]],FIND("/",Table11[[#This Row],[Score2 ]])-1)),"")</f>
        <v>137</v>
      </c>
      <c r="P1359" t="s">
        <v>141</v>
      </c>
      <c r="Q1359" s="1" t="s">
        <v>170</v>
      </c>
      <c r="R1359" t="str">
        <f>Table11[[#This Row],[Match]]&amp;" "&amp;Table11[[#This Row],[Over]]</f>
        <v>19 31</v>
      </c>
    </row>
    <row r="1360" spans="1:18" x14ac:dyDescent="0.3">
      <c r="A1360">
        <v>19</v>
      </c>
      <c r="B1360" s="1">
        <v>32</v>
      </c>
      <c r="C1360" s="1" t="s">
        <v>3490</v>
      </c>
      <c r="D1360" s="1" t="s">
        <v>922</v>
      </c>
      <c r="E1360" s="1" t="s">
        <v>2282</v>
      </c>
      <c r="F1360" s="1" t="s">
        <v>970</v>
      </c>
      <c r="G1360" s="1" t="s">
        <v>3360</v>
      </c>
      <c r="H1360" s="1" t="s">
        <v>916</v>
      </c>
      <c r="I1360" s="1" t="s">
        <v>1021</v>
      </c>
      <c r="J1360" s="1" t="s">
        <v>1053</v>
      </c>
      <c r="K1360" s="1" t="s">
        <v>3491</v>
      </c>
      <c r="L1360" s="1" t="s">
        <v>1275</v>
      </c>
      <c r="M1360" s="1" t="s">
        <v>1127</v>
      </c>
      <c r="N1360">
        <f>_xlfn.NUMBERVALUE(LEFT(Table11[[#This Row],[Score]],FIND("/",Table11[[#This Row],[Score]])-1))</f>
        <v>159</v>
      </c>
      <c r="O1360">
        <f>IFERROR(_xlfn.NUMBERVALUE(LEFT(Table11[[#This Row],[Score2 ]],FIND("/",Table11[[#This Row],[Score2 ]])-1)),"")</f>
        <v>144</v>
      </c>
      <c r="P1360" t="s">
        <v>141</v>
      </c>
      <c r="Q1360" s="1" t="s">
        <v>170</v>
      </c>
      <c r="R1360" t="str">
        <f>Table11[[#This Row],[Match]]&amp;" "&amp;Table11[[#This Row],[Over]]</f>
        <v>19 32</v>
      </c>
    </row>
    <row r="1361" spans="1:18" x14ac:dyDescent="0.3">
      <c r="A1361">
        <v>19</v>
      </c>
      <c r="B1361" s="1">
        <v>33</v>
      </c>
      <c r="C1361" s="1" t="s">
        <v>1823</v>
      </c>
      <c r="D1361" s="1" t="s">
        <v>1103</v>
      </c>
      <c r="E1361" s="1" t="s">
        <v>2406</v>
      </c>
      <c r="F1361" s="1" t="s">
        <v>952</v>
      </c>
      <c r="G1361" s="1" t="s">
        <v>3492</v>
      </c>
      <c r="H1361" s="1" t="s">
        <v>916</v>
      </c>
      <c r="I1361" s="1" t="s">
        <v>1362</v>
      </c>
      <c r="J1361" s="1" t="s">
        <v>1405</v>
      </c>
      <c r="K1361" s="1" t="s">
        <v>3493</v>
      </c>
      <c r="L1361" s="1" t="s">
        <v>955</v>
      </c>
      <c r="M1361" s="1" t="s">
        <v>1132</v>
      </c>
      <c r="N1361">
        <f>_xlfn.NUMBERVALUE(LEFT(Table11[[#This Row],[Score]],FIND("/",Table11[[#This Row],[Score]])-1))</f>
        <v>171</v>
      </c>
      <c r="O1361">
        <f>IFERROR(_xlfn.NUMBERVALUE(LEFT(Table11[[#This Row],[Score2 ]],FIND("/",Table11[[#This Row],[Score2 ]])-1)),"")</f>
        <v>151</v>
      </c>
      <c r="P1361" t="s">
        <v>141</v>
      </c>
      <c r="Q1361" s="1" t="s">
        <v>170</v>
      </c>
      <c r="R1361" t="str">
        <f>Table11[[#This Row],[Match]]&amp;" "&amp;Table11[[#This Row],[Over]]</f>
        <v>19 33</v>
      </c>
    </row>
    <row r="1362" spans="1:18" x14ac:dyDescent="0.3">
      <c r="A1362">
        <v>19</v>
      </c>
      <c r="B1362" s="1">
        <v>34</v>
      </c>
      <c r="C1362" s="1" t="s">
        <v>2281</v>
      </c>
      <c r="D1362" s="1" t="s">
        <v>950</v>
      </c>
      <c r="E1362" s="1" t="s">
        <v>1573</v>
      </c>
      <c r="F1362" s="1" t="s">
        <v>970</v>
      </c>
      <c r="G1362" s="1" t="s">
        <v>3494</v>
      </c>
      <c r="H1362" s="1" t="s">
        <v>1966</v>
      </c>
      <c r="I1362" s="1" t="s">
        <v>2520</v>
      </c>
      <c r="J1362" s="1" t="s">
        <v>3299</v>
      </c>
      <c r="K1362" s="1" t="s">
        <v>3495</v>
      </c>
      <c r="L1362" s="1" t="s">
        <v>955</v>
      </c>
      <c r="M1362" s="1" t="s">
        <v>1189</v>
      </c>
      <c r="N1362">
        <f>_xlfn.NUMBERVALUE(LEFT(Table11[[#This Row],[Score]],FIND("/",Table11[[#This Row],[Score]])-1))</f>
        <v>176</v>
      </c>
      <c r="O1362">
        <f>IFERROR(_xlfn.NUMBERVALUE(LEFT(Table11[[#This Row],[Score2 ]],FIND("/",Table11[[#This Row],[Score2 ]])-1)),"")</f>
        <v>151</v>
      </c>
      <c r="P1362" t="s">
        <v>141</v>
      </c>
      <c r="Q1362" s="1" t="s">
        <v>170</v>
      </c>
      <c r="R1362" t="str">
        <f>Table11[[#This Row],[Match]]&amp;" "&amp;Table11[[#This Row],[Over]]</f>
        <v>19 34</v>
      </c>
    </row>
    <row r="1363" spans="1:18" x14ac:dyDescent="0.3">
      <c r="A1363">
        <v>19</v>
      </c>
      <c r="B1363" s="1">
        <v>35</v>
      </c>
      <c r="C1363" s="1" t="s">
        <v>3297</v>
      </c>
      <c r="D1363" s="1" t="s">
        <v>1095</v>
      </c>
      <c r="E1363" s="1" t="s">
        <v>2257</v>
      </c>
      <c r="F1363" s="1" t="s">
        <v>1168</v>
      </c>
      <c r="N1363">
        <f>_xlfn.NUMBERVALUE(LEFT(Table11[[#This Row],[Score]],FIND("/",Table11[[#This Row],[Score]])-1))</f>
        <v>186</v>
      </c>
      <c r="O1363" t="str">
        <f>IFERROR(_xlfn.NUMBERVALUE(LEFT(Table11[[#This Row],[Score2 ]],FIND("/",Table11[[#This Row],[Score2 ]])-1)),"")</f>
        <v/>
      </c>
      <c r="P1363" t="s">
        <v>141</v>
      </c>
      <c r="Q1363" s="1" t="s">
        <v>170</v>
      </c>
      <c r="R1363" t="str">
        <f>Table11[[#This Row],[Match]]&amp;" "&amp;Table11[[#This Row],[Over]]</f>
        <v>19 35</v>
      </c>
    </row>
    <row r="1364" spans="1:18" x14ac:dyDescent="0.3">
      <c r="A1364">
        <v>19</v>
      </c>
      <c r="B1364" s="1">
        <v>36</v>
      </c>
      <c r="C1364" s="1" t="s">
        <v>1834</v>
      </c>
      <c r="D1364" s="1" t="s">
        <v>930</v>
      </c>
      <c r="E1364" s="1" t="s">
        <v>1732</v>
      </c>
      <c r="F1364" s="1" t="s">
        <v>1405</v>
      </c>
      <c r="N1364">
        <f>_xlfn.NUMBERVALUE(LEFT(Table11[[#This Row],[Score]],FIND("/",Table11[[#This Row],[Score]])-1))</f>
        <v>194</v>
      </c>
      <c r="O1364" t="str">
        <f>IFERROR(_xlfn.NUMBERVALUE(LEFT(Table11[[#This Row],[Score2 ]],FIND("/",Table11[[#This Row],[Score2 ]])-1)),"")</f>
        <v/>
      </c>
      <c r="P1364" t="s">
        <v>141</v>
      </c>
      <c r="Q1364" s="1" t="s">
        <v>170</v>
      </c>
      <c r="R1364" t="str">
        <f>Table11[[#This Row],[Match]]&amp;" "&amp;Table11[[#This Row],[Over]]</f>
        <v>19 36</v>
      </c>
    </row>
    <row r="1365" spans="1:18" x14ac:dyDescent="0.3">
      <c r="A1365">
        <v>19</v>
      </c>
      <c r="B1365" s="1">
        <v>37</v>
      </c>
      <c r="C1365" s="1" t="s">
        <v>3496</v>
      </c>
      <c r="D1365" s="1" t="s">
        <v>1223</v>
      </c>
      <c r="E1365" s="1" t="s">
        <v>1597</v>
      </c>
      <c r="F1365" s="1" t="s">
        <v>1568</v>
      </c>
      <c r="N1365">
        <f>_xlfn.NUMBERVALUE(LEFT(Table11[[#This Row],[Score]],FIND("/",Table11[[#This Row],[Score]])-1))</f>
        <v>212</v>
      </c>
      <c r="O1365" t="str">
        <f>IFERROR(_xlfn.NUMBERVALUE(LEFT(Table11[[#This Row],[Score2 ]],FIND("/",Table11[[#This Row],[Score2 ]])-1)),"")</f>
        <v/>
      </c>
      <c r="P1365" t="s">
        <v>141</v>
      </c>
      <c r="Q1365" s="1" t="s">
        <v>170</v>
      </c>
      <c r="R1365" t="str">
        <f>Table11[[#This Row],[Match]]&amp;" "&amp;Table11[[#This Row],[Over]]</f>
        <v>19 37</v>
      </c>
    </row>
    <row r="1366" spans="1:18" x14ac:dyDescent="0.3">
      <c r="A1366">
        <v>19</v>
      </c>
      <c r="B1366" s="1">
        <v>38</v>
      </c>
      <c r="C1366" s="1" t="s">
        <v>3497</v>
      </c>
      <c r="D1366" s="1" t="s">
        <v>1103</v>
      </c>
      <c r="E1366" s="1" t="s">
        <v>2081</v>
      </c>
      <c r="F1366" s="1" t="s">
        <v>1568</v>
      </c>
      <c r="N1366">
        <f>_xlfn.NUMBERVALUE(LEFT(Table11[[#This Row],[Score]],FIND("/",Table11[[#This Row],[Score]])-1))</f>
        <v>224</v>
      </c>
      <c r="O1366" t="str">
        <f>IFERROR(_xlfn.NUMBERVALUE(LEFT(Table11[[#This Row],[Score2 ]],FIND("/",Table11[[#This Row],[Score2 ]])-1)),"")</f>
        <v/>
      </c>
      <c r="P1366" t="s">
        <v>141</v>
      </c>
      <c r="Q1366" s="1" t="s">
        <v>170</v>
      </c>
      <c r="R1366" t="str">
        <f>Table11[[#This Row],[Match]]&amp;" "&amp;Table11[[#This Row],[Over]]</f>
        <v>19 38</v>
      </c>
    </row>
    <row r="1367" spans="1:18" x14ac:dyDescent="0.3">
      <c r="A1367">
        <v>19</v>
      </c>
      <c r="B1367" s="1">
        <v>39</v>
      </c>
      <c r="C1367" s="1" t="s">
        <v>3232</v>
      </c>
      <c r="D1367" s="1" t="s">
        <v>1511</v>
      </c>
      <c r="E1367" s="1" t="s">
        <v>1971</v>
      </c>
      <c r="F1367" s="1" t="s">
        <v>2417</v>
      </c>
      <c r="N1367">
        <f>_xlfn.NUMBERVALUE(LEFT(Table11[[#This Row],[Score]],FIND("/",Table11[[#This Row],[Score]])-1))</f>
        <v>240</v>
      </c>
      <c r="O1367" t="str">
        <f>IFERROR(_xlfn.NUMBERVALUE(LEFT(Table11[[#This Row],[Score2 ]],FIND("/",Table11[[#This Row],[Score2 ]])-1)),"")</f>
        <v/>
      </c>
      <c r="P1367" t="s">
        <v>141</v>
      </c>
      <c r="Q1367" s="1" t="s">
        <v>170</v>
      </c>
      <c r="R1367" t="str">
        <f>Table11[[#This Row],[Match]]&amp;" "&amp;Table11[[#This Row],[Over]]</f>
        <v>19 39</v>
      </c>
    </row>
    <row r="1368" spans="1:18" x14ac:dyDescent="0.3">
      <c r="A1368">
        <v>19</v>
      </c>
      <c r="B1368" s="1">
        <v>40</v>
      </c>
      <c r="C1368" s="1" t="s">
        <v>3498</v>
      </c>
      <c r="D1368" s="1" t="s">
        <v>1223</v>
      </c>
      <c r="E1368" s="1" t="s">
        <v>2454</v>
      </c>
      <c r="F1368" s="1" t="s">
        <v>2764</v>
      </c>
      <c r="N1368">
        <f>_xlfn.NUMBERVALUE(LEFT(Table11[[#This Row],[Score]],FIND("/",Table11[[#This Row],[Score]])-1))</f>
        <v>258</v>
      </c>
      <c r="O1368" t="str">
        <f>IFERROR(_xlfn.NUMBERVALUE(LEFT(Table11[[#This Row],[Score2 ]],FIND("/",Table11[[#This Row],[Score2 ]])-1)),"")</f>
        <v/>
      </c>
      <c r="P1368" t="s">
        <v>141</v>
      </c>
      <c r="Q1368" s="1" t="s">
        <v>170</v>
      </c>
      <c r="R1368" t="str">
        <f>Table11[[#This Row],[Match]]&amp;" "&amp;Table11[[#This Row],[Over]]</f>
        <v>19 40</v>
      </c>
    </row>
    <row r="1369" spans="1:18" x14ac:dyDescent="0.3">
      <c r="A1369">
        <v>19</v>
      </c>
      <c r="B1369" s="1">
        <v>41</v>
      </c>
      <c r="C1369" s="1" t="s">
        <v>3499</v>
      </c>
      <c r="D1369" s="1" t="s">
        <v>1051</v>
      </c>
      <c r="E1369" s="1" t="s">
        <v>1002</v>
      </c>
      <c r="F1369" s="1" t="s">
        <v>2762</v>
      </c>
      <c r="N1369">
        <f>_xlfn.NUMBERVALUE(LEFT(Table11[[#This Row],[Score]],FIND("/",Table11[[#This Row],[Score]])-1))</f>
        <v>269</v>
      </c>
      <c r="O1369" t="str">
        <f>IFERROR(_xlfn.NUMBERVALUE(LEFT(Table11[[#This Row],[Score2 ]],FIND("/",Table11[[#This Row],[Score2 ]])-1)),"")</f>
        <v/>
      </c>
      <c r="P1369" t="s">
        <v>141</v>
      </c>
      <c r="Q1369" s="1" t="s">
        <v>170</v>
      </c>
      <c r="R1369" t="str">
        <f>Table11[[#This Row],[Match]]&amp;" "&amp;Table11[[#This Row],[Over]]</f>
        <v>19 41</v>
      </c>
    </row>
    <row r="1370" spans="1:18" x14ac:dyDescent="0.3">
      <c r="A1370">
        <v>19</v>
      </c>
      <c r="B1370" s="1">
        <v>42</v>
      </c>
      <c r="C1370" s="1" t="s">
        <v>3500</v>
      </c>
      <c r="D1370" s="1" t="s">
        <v>1051</v>
      </c>
      <c r="E1370" s="1" t="s">
        <v>1260</v>
      </c>
      <c r="F1370" s="1" t="s">
        <v>1585</v>
      </c>
      <c r="N1370">
        <f>_xlfn.NUMBERVALUE(LEFT(Table11[[#This Row],[Score]],FIND("/",Table11[[#This Row],[Score]])-1))</f>
        <v>280</v>
      </c>
      <c r="O1370" t="str">
        <f>IFERROR(_xlfn.NUMBERVALUE(LEFT(Table11[[#This Row],[Score2 ]],FIND("/",Table11[[#This Row],[Score2 ]])-1)),"")</f>
        <v/>
      </c>
      <c r="P1370" t="s">
        <v>141</v>
      </c>
      <c r="Q1370" s="1" t="s">
        <v>170</v>
      </c>
      <c r="R1370" t="str">
        <f>Table11[[#This Row],[Match]]&amp;" "&amp;Table11[[#This Row],[Over]]</f>
        <v>19 42</v>
      </c>
    </row>
    <row r="1371" spans="1:18" x14ac:dyDescent="0.3">
      <c r="A1371">
        <v>19</v>
      </c>
      <c r="B1371" s="1">
        <v>43</v>
      </c>
      <c r="C1371" s="1" t="s">
        <v>2508</v>
      </c>
      <c r="D1371" s="1" t="s">
        <v>922</v>
      </c>
      <c r="E1371" s="1" t="s">
        <v>2492</v>
      </c>
      <c r="F1371" s="1" t="s">
        <v>3197</v>
      </c>
      <c r="N1371">
        <f>_xlfn.NUMBERVALUE(LEFT(Table11[[#This Row],[Score]],FIND("/",Table11[[#This Row],[Score]])-1))</f>
        <v>286</v>
      </c>
      <c r="O1371" t="str">
        <f>IFERROR(_xlfn.NUMBERVALUE(LEFT(Table11[[#This Row],[Score2 ]],FIND("/",Table11[[#This Row],[Score2 ]])-1)),"")</f>
        <v/>
      </c>
      <c r="P1371" t="s">
        <v>141</v>
      </c>
      <c r="Q1371" s="1" t="s">
        <v>170</v>
      </c>
      <c r="R1371" t="str">
        <f>Table11[[#This Row],[Match]]&amp;" "&amp;Table11[[#This Row],[Over]]</f>
        <v>19 43</v>
      </c>
    </row>
    <row r="1372" spans="1:18" x14ac:dyDescent="0.3">
      <c r="A1372">
        <v>19</v>
      </c>
      <c r="B1372" s="1">
        <v>44</v>
      </c>
      <c r="C1372" s="1" t="s">
        <v>3501</v>
      </c>
      <c r="D1372" s="1" t="s">
        <v>1390</v>
      </c>
      <c r="E1372" s="1" t="s">
        <v>1274</v>
      </c>
      <c r="F1372" s="1" t="s">
        <v>2205</v>
      </c>
      <c r="N1372">
        <f>_xlfn.NUMBERVALUE(LEFT(Table11[[#This Row],[Score]],FIND("/",Table11[[#This Row],[Score]])-1))</f>
        <v>299</v>
      </c>
      <c r="O1372" t="str">
        <f>IFERROR(_xlfn.NUMBERVALUE(LEFT(Table11[[#This Row],[Score2 ]],FIND("/",Table11[[#This Row],[Score2 ]])-1)),"")</f>
        <v/>
      </c>
      <c r="P1372" t="s">
        <v>141</v>
      </c>
      <c r="Q1372" s="1" t="s">
        <v>170</v>
      </c>
      <c r="R1372" t="str">
        <f>Table11[[#This Row],[Match]]&amp;" "&amp;Table11[[#This Row],[Over]]</f>
        <v>19 44</v>
      </c>
    </row>
    <row r="1373" spans="1:18" x14ac:dyDescent="0.3">
      <c r="A1373">
        <v>19</v>
      </c>
      <c r="B1373" s="1">
        <v>45</v>
      </c>
      <c r="C1373" s="1" t="s">
        <v>3502</v>
      </c>
      <c r="D1373" s="1" t="s">
        <v>1390</v>
      </c>
      <c r="E1373" s="1" t="s">
        <v>1036</v>
      </c>
      <c r="F1373" s="1" t="s">
        <v>1611</v>
      </c>
      <c r="N1373">
        <f>_xlfn.NUMBERVALUE(LEFT(Table11[[#This Row],[Score]],FIND("/",Table11[[#This Row],[Score]])-1))</f>
        <v>312</v>
      </c>
      <c r="O1373" t="str">
        <f>IFERROR(_xlfn.NUMBERVALUE(LEFT(Table11[[#This Row],[Score2 ]],FIND("/",Table11[[#This Row],[Score2 ]])-1)),"")</f>
        <v/>
      </c>
      <c r="P1373" t="s">
        <v>141</v>
      </c>
      <c r="Q1373" s="1" t="s">
        <v>170</v>
      </c>
      <c r="R1373" t="str">
        <f>Table11[[#This Row],[Match]]&amp;" "&amp;Table11[[#This Row],[Over]]</f>
        <v>19 45</v>
      </c>
    </row>
    <row r="1374" spans="1:18" x14ac:dyDescent="0.3">
      <c r="A1374">
        <v>19</v>
      </c>
      <c r="B1374" s="1">
        <v>46</v>
      </c>
      <c r="C1374" s="1" t="s">
        <v>3503</v>
      </c>
      <c r="D1374" s="1" t="s">
        <v>1051</v>
      </c>
      <c r="E1374" s="1" t="s">
        <v>2102</v>
      </c>
      <c r="F1374" s="1" t="s">
        <v>1611</v>
      </c>
      <c r="N1374">
        <f>_xlfn.NUMBERVALUE(LEFT(Table11[[#This Row],[Score]],FIND("/",Table11[[#This Row],[Score]])-1))</f>
        <v>323</v>
      </c>
      <c r="O1374" t="str">
        <f>IFERROR(_xlfn.NUMBERVALUE(LEFT(Table11[[#This Row],[Score2 ]],FIND("/",Table11[[#This Row],[Score2 ]])-1)),"")</f>
        <v/>
      </c>
      <c r="P1374" t="s">
        <v>141</v>
      </c>
      <c r="Q1374" s="1" t="s">
        <v>170</v>
      </c>
      <c r="R1374" t="str">
        <f>Table11[[#This Row],[Match]]&amp;" "&amp;Table11[[#This Row],[Over]]</f>
        <v>19 46</v>
      </c>
    </row>
    <row r="1375" spans="1:18" x14ac:dyDescent="0.3">
      <c r="A1375">
        <v>19</v>
      </c>
      <c r="B1375" s="1">
        <v>47</v>
      </c>
      <c r="C1375" s="1" t="s">
        <v>3504</v>
      </c>
      <c r="D1375" s="1" t="s">
        <v>916</v>
      </c>
      <c r="E1375" s="1" t="s">
        <v>2102</v>
      </c>
      <c r="F1375" s="1" t="s">
        <v>2055</v>
      </c>
      <c r="N1375">
        <f>_xlfn.NUMBERVALUE(LEFT(Table11[[#This Row],[Score]],FIND("/",Table11[[#This Row],[Score]])-1))</f>
        <v>330</v>
      </c>
      <c r="O1375" t="str">
        <f>IFERROR(_xlfn.NUMBERVALUE(LEFT(Table11[[#This Row],[Score2 ]],FIND("/",Table11[[#This Row],[Score2 ]])-1)),"")</f>
        <v/>
      </c>
      <c r="P1375" t="s">
        <v>141</v>
      </c>
      <c r="Q1375" s="1" t="s">
        <v>170</v>
      </c>
      <c r="R1375" t="str">
        <f>Table11[[#This Row],[Match]]&amp;" "&amp;Table11[[#This Row],[Over]]</f>
        <v>19 47</v>
      </c>
    </row>
    <row r="1376" spans="1:18" x14ac:dyDescent="0.3">
      <c r="A1376">
        <v>19</v>
      </c>
      <c r="B1376" s="1">
        <v>48</v>
      </c>
      <c r="C1376" s="1" t="s">
        <v>3505</v>
      </c>
      <c r="D1376" s="1" t="s">
        <v>2569</v>
      </c>
      <c r="E1376" s="1" t="s">
        <v>3097</v>
      </c>
      <c r="F1376" s="1" t="s">
        <v>2412</v>
      </c>
      <c r="N1376">
        <f>_xlfn.NUMBERVALUE(LEFT(Table11[[#This Row],[Score]],FIND("/",Table11[[#This Row],[Score]])-1))</f>
        <v>364</v>
      </c>
      <c r="O1376" t="str">
        <f>IFERROR(_xlfn.NUMBERVALUE(LEFT(Table11[[#This Row],[Score2 ]],FIND("/",Table11[[#This Row],[Score2 ]])-1)),"")</f>
        <v/>
      </c>
      <c r="P1376" t="s">
        <v>141</v>
      </c>
      <c r="Q1376" s="1" t="s">
        <v>170</v>
      </c>
      <c r="R1376" t="str">
        <f>Table11[[#This Row],[Match]]&amp;" "&amp;Table11[[#This Row],[Over]]</f>
        <v>19 48</v>
      </c>
    </row>
    <row r="1377" spans="1:18" x14ac:dyDescent="0.3">
      <c r="A1377">
        <v>19</v>
      </c>
      <c r="B1377" s="1">
        <v>49</v>
      </c>
      <c r="C1377" s="1" t="s">
        <v>3506</v>
      </c>
      <c r="D1377" s="1" t="s">
        <v>933</v>
      </c>
      <c r="E1377" s="1" t="s">
        <v>3201</v>
      </c>
      <c r="F1377" s="1" t="s">
        <v>2865</v>
      </c>
      <c r="N1377">
        <f>_xlfn.NUMBERVALUE(LEFT(Table11[[#This Row],[Score]],FIND("/",Table11[[#This Row],[Score]])-1))</f>
        <v>378</v>
      </c>
      <c r="O1377" t="str">
        <f>IFERROR(_xlfn.NUMBERVALUE(LEFT(Table11[[#This Row],[Score2 ]],FIND("/",Table11[[#This Row],[Score2 ]])-1)),"")</f>
        <v/>
      </c>
      <c r="P1377" t="s">
        <v>141</v>
      </c>
      <c r="Q1377" s="1" t="s">
        <v>170</v>
      </c>
      <c r="R1377" t="str">
        <f>Table11[[#This Row],[Match]]&amp;" "&amp;Table11[[#This Row],[Over]]</f>
        <v>19 49</v>
      </c>
    </row>
    <row r="1378" spans="1:18" x14ac:dyDescent="0.3">
      <c r="A1378">
        <v>19</v>
      </c>
      <c r="B1378" s="1">
        <v>50</v>
      </c>
      <c r="C1378" s="1" t="s">
        <v>3507</v>
      </c>
      <c r="D1378" s="1" t="s">
        <v>1211</v>
      </c>
      <c r="E1378" s="1" t="s">
        <v>1540</v>
      </c>
      <c r="F1378" s="1" t="s">
        <v>2435</v>
      </c>
      <c r="N1378">
        <f>_xlfn.NUMBERVALUE(LEFT(Table11[[#This Row],[Score]],FIND("/",Table11[[#This Row],[Score]])-1))</f>
        <v>408</v>
      </c>
      <c r="O1378" t="str">
        <f>IFERROR(_xlfn.NUMBERVALUE(LEFT(Table11[[#This Row],[Score2 ]],FIND("/",Table11[[#This Row],[Score2 ]])-1)),"")</f>
        <v/>
      </c>
      <c r="P1378" t="s">
        <v>141</v>
      </c>
      <c r="Q1378" s="1" t="s">
        <v>170</v>
      </c>
      <c r="R1378" t="str">
        <f>Table11[[#This Row],[Match]]&amp;" "&amp;Table11[[#This Row],[Over]]</f>
        <v>19 50</v>
      </c>
    </row>
    <row r="1379" spans="1:18" x14ac:dyDescent="0.3">
      <c r="A1379">
        <v>20</v>
      </c>
      <c r="B1379" s="1">
        <v>1</v>
      </c>
      <c r="C1379" s="1" t="s">
        <v>1424</v>
      </c>
      <c r="D1379" s="1" t="s">
        <v>1147</v>
      </c>
      <c r="E1379" s="1" t="s">
        <v>2762</v>
      </c>
      <c r="F1379" s="1" t="s">
        <v>348</v>
      </c>
      <c r="G1379" s="1" t="s">
        <v>915</v>
      </c>
      <c r="H1379" s="1" t="s">
        <v>1051</v>
      </c>
      <c r="I1379" s="1" t="s">
        <v>1213</v>
      </c>
      <c r="J1379" s="1" t="s">
        <v>348</v>
      </c>
      <c r="K1379" s="1" t="s">
        <v>1466</v>
      </c>
      <c r="L1379" s="1" t="s">
        <v>2713</v>
      </c>
      <c r="M1379" s="1" t="s">
        <v>902</v>
      </c>
      <c r="N1379">
        <f>_xlfn.NUMBERVALUE(LEFT(Table11[[#This Row],[Score]],FIND("/",Table11[[#This Row],[Score]])-1))</f>
        <v>15</v>
      </c>
      <c r="O1379">
        <f>IFERROR(_xlfn.NUMBERVALUE(LEFT(Table11[[#This Row],[Score2 ]],FIND("/",Table11[[#This Row],[Score2 ]])-1)),"")</f>
        <v>11</v>
      </c>
      <c r="P1379" t="s">
        <v>149</v>
      </c>
      <c r="Q1379" s="1" t="s">
        <v>140</v>
      </c>
      <c r="R1379" t="str">
        <f>Table11[[#This Row],[Match]]&amp;" "&amp;Table11[[#This Row],[Over]]</f>
        <v>20 1</v>
      </c>
    </row>
    <row r="1380" spans="1:18" x14ac:dyDescent="0.3">
      <c r="A1380">
        <v>20</v>
      </c>
      <c r="B1380" s="1">
        <v>2</v>
      </c>
      <c r="C1380" s="1" t="s">
        <v>938</v>
      </c>
      <c r="D1380" s="1" t="s">
        <v>947</v>
      </c>
      <c r="E1380" s="1" t="s">
        <v>2320</v>
      </c>
      <c r="F1380" s="1" t="s">
        <v>348</v>
      </c>
      <c r="G1380" s="1" t="s">
        <v>1631</v>
      </c>
      <c r="H1380" s="1" t="s">
        <v>933</v>
      </c>
      <c r="I1380" s="1" t="s">
        <v>3508</v>
      </c>
      <c r="J1380" s="1" t="s">
        <v>348</v>
      </c>
      <c r="K1380" s="1" t="s">
        <v>3509</v>
      </c>
      <c r="L1380" s="1" t="s">
        <v>1871</v>
      </c>
      <c r="M1380" s="1" t="s">
        <v>909</v>
      </c>
      <c r="N1380">
        <f>_xlfn.NUMBERVALUE(LEFT(Table11[[#This Row],[Score]],FIND("/",Table11[[#This Row],[Score]])-1))</f>
        <v>24</v>
      </c>
      <c r="O1380">
        <f>IFERROR(_xlfn.NUMBERVALUE(LEFT(Table11[[#This Row],[Score2 ]],FIND("/",Table11[[#This Row],[Score2 ]])-1)),"")</f>
        <v>25</v>
      </c>
      <c r="P1380" t="s">
        <v>149</v>
      </c>
      <c r="Q1380" s="1" t="s">
        <v>140</v>
      </c>
      <c r="R1380" t="str">
        <f>Table11[[#This Row],[Match]]&amp;" "&amp;Table11[[#This Row],[Over]]</f>
        <v>20 2</v>
      </c>
    </row>
    <row r="1381" spans="1:18" x14ac:dyDescent="0.3">
      <c r="A1381">
        <v>20</v>
      </c>
      <c r="B1381" s="1">
        <v>3</v>
      </c>
      <c r="C1381" s="1" t="s">
        <v>1268</v>
      </c>
      <c r="D1381" s="1" t="s">
        <v>1103</v>
      </c>
      <c r="E1381" s="1" t="s">
        <v>2320</v>
      </c>
      <c r="F1381" s="1" t="s">
        <v>348</v>
      </c>
      <c r="G1381" s="1" t="s">
        <v>1728</v>
      </c>
      <c r="H1381" s="1" t="s">
        <v>933</v>
      </c>
      <c r="I1381" s="1" t="s">
        <v>3246</v>
      </c>
      <c r="J1381" s="1" t="s">
        <v>348</v>
      </c>
      <c r="K1381" s="1" t="s">
        <v>1088</v>
      </c>
      <c r="L1381" s="1" t="s">
        <v>1170</v>
      </c>
      <c r="M1381" s="1" t="s">
        <v>920</v>
      </c>
      <c r="N1381">
        <f>_xlfn.NUMBERVALUE(LEFT(Table11[[#This Row],[Score]],FIND("/",Table11[[#This Row],[Score]])-1))</f>
        <v>36</v>
      </c>
      <c r="O1381">
        <f>IFERROR(_xlfn.NUMBERVALUE(LEFT(Table11[[#This Row],[Score2 ]],FIND("/",Table11[[#This Row],[Score2 ]])-1)),"")</f>
        <v>39</v>
      </c>
      <c r="P1381" t="s">
        <v>149</v>
      </c>
      <c r="Q1381" s="1" t="s">
        <v>140</v>
      </c>
      <c r="R1381" t="str">
        <f>Table11[[#This Row],[Match]]&amp;" "&amp;Table11[[#This Row],[Over]]</f>
        <v>20 3</v>
      </c>
    </row>
    <row r="1382" spans="1:18" x14ac:dyDescent="0.3">
      <c r="A1382">
        <v>20</v>
      </c>
      <c r="B1382" s="1">
        <v>4</v>
      </c>
      <c r="C1382" s="1" t="s">
        <v>949</v>
      </c>
      <c r="D1382" s="1" t="s">
        <v>904</v>
      </c>
      <c r="E1382" s="1" t="s">
        <v>1162</v>
      </c>
      <c r="F1382" s="1" t="s">
        <v>348</v>
      </c>
      <c r="G1382" s="1" t="s">
        <v>964</v>
      </c>
      <c r="H1382" s="1" t="s">
        <v>968</v>
      </c>
      <c r="I1382" s="1" t="s">
        <v>2055</v>
      </c>
      <c r="J1382" s="1" t="s">
        <v>348</v>
      </c>
      <c r="K1382" s="1" t="s">
        <v>3510</v>
      </c>
      <c r="L1382" s="1" t="s">
        <v>2312</v>
      </c>
      <c r="M1382" s="1" t="s">
        <v>928</v>
      </c>
      <c r="N1382">
        <f>_xlfn.NUMBERVALUE(LEFT(Table11[[#This Row],[Score]],FIND("/",Table11[[#This Row],[Score]])-1))</f>
        <v>39</v>
      </c>
      <c r="O1382">
        <f>IFERROR(_xlfn.NUMBERVALUE(LEFT(Table11[[#This Row],[Score2 ]],FIND("/",Table11[[#This Row],[Score2 ]])-1)),"")</f>
        <v>40</v>
      </c>
      <c r="P1382" t="s">
        <v>149</v>
      </c>
      <c r="Q1382" s="1" t="s">
        <v>140</v>
      </c>
      <c r="R1382" t="str">
        <f>Table11[[#This Row],[Match]]&amp;" "&amp;Table11[[#This Row],[Over]]</f>
        <v>20 4</v>
      </c>
    </row>
    <row r="1383" spans="1:18" x14ac:dyDescent="0.3">
      <c r="A1383">
        <v>20</v>
      </c>
      <c r="B1383" s="1">
        <v>5</v>
      </c>
      <c r="C1383" s="1" t="s">
        <v>2223</v>
      </c>
      <c r="D1383" s="1" t="s">
        <v>947</v>
      </c>
      <c r="E1383" s="1" t="s">
        <v>1219</v>
      </c>
      <c r="F1383" s="1" t="s">
        <v>1219</v>
      </c>
      <c r="G1383" s="1" t="s">
        <v>2335</v>
      </c>
      <c r="H1383" s="1" t="s">
        <v>1095</v>
      </c>
      <c r="I1383" s="1" t="s">
        <v>2055</v>
      </c>
      <c r="J1383" s="1" t="s">
        <v>2055</v>
      </c>
      <c r="K1383" s="1" t="s">
        <v>3070</v>
      </c>
      <c r="L1383" s="1" t="s">
        <v>1132</v>
      </c>
      <c r="M1383" s="1" t="s">
        <v>937</v>
      </c>
      <c r="N1383">
        <f>_xlfn.NUMBERVALUE(LEFT(Table11[[#This Row],[Score]],FIND("/",Table11[[#This Row],[Score]])-1))</f>
        <v>48</v>
      </c>
      <c r="O1383">
        <f>IFERROR(_xlfn.NUMBERVALUE(LEFT(Table11[[#This Row],[Score2 ]],FIND("/",Table11[[#This Row],[Score2 ]])-1)),"")</f>
        <v>50</v>
      </c>
      <c r="P1383" t="s">
        <v>149</v>
      </c>
      <c r="Q1383" s="1" t="s">
        <v>140</v>
      </c>
      <c r="R1383" t="str">
        <f>Table11[[#This Row],[Match]]&amp;" "&amp;Table11[[#This Row],[Over]]</f>
        <v>20 5</v>
      </c>
    </row>
    <row r="1384" spans="1:18" x14ac:dyDescent="0.3">
      <c r="A1384">
        <v>20</v>
      </c>
      <c r="B1384" s="1">
        <v>6</v>
      </c>
      <c r="C1384" s="1" t="s">
        <v>3000</v>
      </c>
      <c r="D1384" s="1" t="s">
        <v>904</v>
      </c>
      <c r="E1384" s="1" t="s">
        <v>2100</v>
      </c>
      <c r="F1384" s="1" t="s">
        <v>1116</v>
      </c>
      <c r="G1384" s="1" t="s">
        <v>3511</v>
      </c>
      <c r="H1384" s="1" t="s">
        <v>950</v>
      </c>
      <c r="I1384" s="1" t="s">
        <v>3512</v>
      </c>
      <c r="J1384" s="1" t="s">
        <v>1154</v>
      </c>
      <c r="K1384" s="1" t="s">
        <v>1383</v>
      </c>
      <c r="L1384" s="1" t="s">
        <v>2752</v>
      </c>
      <c r="M1384" s="1" t="s">
        <v>945</v>
      </c>
      <c r="N1384">
        <f>_xlfn.NUMBERVALUE(LEFT(Table11[[#This Row],[Score]],FIND("/",Table11[[#This Row],[Score]])-1))</f>
        <v>51</v>
      </c>
      <c r="O1384">
        <f>IFERROR(_xlfn.NUMBERVALUE(LEFT(Table11[[#This Row],[Score2 ]],FIND("/",Table11[[#This Row],[Score2 ]])-1)),"")</f>
        <v>55</v>
      </c>
      <c r="P1384" t="s">
        <v>149</v>
      </c>
      <c r="Q1384" s="1" t="s">
        <v>140</v>
      </c>
      <c r="R1384" t="str">
        <f>Table11[[#This Row],[Match]]&amp;" "&amp;Table11[[#This Row],[Over]]</f>
        <v>20 6</v>
      </c>
    </row>
    <row r="1385" spans="1:18" x14ac:dyDescent="0.3">
      <c r="A1385">
        <v>20</v>
      </c>
      <c r="B1385" s="1">
        <v>7</v>
      </c>
      <c r="C1385" s="1" t="s">
        <v>991</v>
      </c>
      <c r="D1385" s="1" t="s">
        <v>898</v>
      </c>
      <c r="E1385" s="1" t="s">
        <v>3513</v>
      </c>
      <c r="F1385" s="1" t="s">
        <v>1013</v>
      </c>
      <c r="G1385" s="1" t="s">
        <v>1020</v>
      </c>
      <c r="H1385" s="1" t="s">
        <v>1566</v>
      </c>
      <c r="I1385" s="1" t="s">
        <v>3250</v>
      </c>
      <c r="J1385" s="1" t="s">
        <v>1226</v>
      </c>
      <c r="K1385" s="1" t="s">
        <v>1630</v>
      </c>
      <c r="L1385" s="1" t="s">
        <v>1895</v>
      </c>
      <c r="M1385" s="1" t="s">
        <v>955</v>
      </c>
      <c r="N1385">
        <f>_xlfn.NUMBERVALUE(LEFT(Table11[[#This Row],[Score]],FIND("/",Table11[[#This Row],[Score]])-1))</f>
        <v>53</v>
      </c>
      <c r="O1385">
        <f>IFERROR(_xlfn.NUMBERVALUE(LEFT(Table11[[#This Row],[Score2 ]],FIND("/",Table11[[#This Row],[Score2 ]])-1)),"")</f>
        <v>72</v>
      </c>
      <c r="P1385" t="s">
        <v>149</v>
      </c>
      <c r="Q1385" s="1" t="s">
        <v>140</v>
      </c>
      <c r="R1385" t="str">
        <f>Table11[[#This Row],[Match]]&amp;" "&amp;Table11[[#This Row],[Over]]</f>
        <v>20 7</v>
      </c>
    </row>
    <row r="1386" spans="1:18" x14ac:dyDescent="0.3">
      <c r="A1386">
        <v>20</v>
      </c>
      <c r="B1386" s="1">
        <v>8</v>
      </c>
      <c r="C1386" s="1" t="s">
        <v>3002</v>
      </c>
      <c r="D1386" s="1" t="s">
        <v>998</v>
      </c>
      <c r="E1386" s="1" t="s">
        <v>2219</v>
      </c>
      <c r="F1386" s="1" t="s">
        <v>931</v>
      </c>
      <c r="G1386" s="1" t="s">
        <v>1034</v>
      </c>
      <c r="H1386" s="1" t="s">
        <v>916</v>
      </c>
      <c r="I1386" s="1" t="s">
        <v>3514</v>
      </c>
      <c r="J1386" s="1" t="s">
        <v>1089</v>
      </c>
      <c r="K1386" s="1" t="s">
        <v>3515</v>
      </c>
      <c r="L1386" s="1" t="s">
        <v>1638</v>
      </c>
      <c r="M1386" s="1" t="s">
        <v>963</v>
      </c>
      <c r="N1386">
        <f>_xlfn.NUMBERVALUE(LEFT(Table11[[#This Row],[Score]],FIND("/",Table11[[#This Row],[Score]])-1))</f>
        <v>57</v>
      </c>
      <c r="O1386">
        <f>IFERROR(_xlfn.NUMBERVALUE(LEFT(Table11[[#This Row],[Score2 ]],FIND("/",Table11[[#This Row],[Score2 ]])-1)),"")</f>
        <v>79</v>
      </c>
      <c r="P1386" t="s">
        <v>149</v>
      </c>
      <c r="Q1386" s="1" t="s">
        <v>140</v>
      </c>
      <c r="R1386" t="str">
        <f>Table11[[#This Row],[Match]]&amp;" "&amp;Table11[[#This Row],[Over]]</f>
        <v>20 8</v>
      </c>
    </row>
    <row r="1387" spans="1:18" x14ac:dyDescent="0.3">
      <c r="A1387">
        <v>20</v>
      </c>
      <c r="B1387" s="1">
        <v>9</v>
      </c>
      <c r="C1387" s="1" t="s">
        <v>1005</v>
      </c>
      <c r="D1387" s="1" t="s">
        <v>950</v>
      </c>
      <c r="E1387" s="1" t="s">
        <v>1742</v>
      </c>
      <c r="F1387" s="1" t="s">
        <v>976</v>
      </c>
      <c r="G1387" s="1" t="s">
        <v>3195</v>
      </c>
      <c r="H1387" s="1" t="s">
        <v>968</v>
      </c>
      <c r="I1387" s="1" t="s">
        <v>1359</v>
      </c>
      <c r="J1387" s="1" t="s">
        <v>1089</v>
      </c>
      <c r="K1387" s="1" t="s">
        <v>1939</v>
      </c>
      <c r="L1387" s="1" t="s">
        <v>1164</v>
      </c>
      <c r="M1387" s="1" t="s">
        <v>973</v>
      </c>
      <c r="N1387">
        <f>_xlfn.NUMBERVALUE(LEFT(Table11[[#This Row],[Score]],FIND("/",Table11[[#This Row],[Score]])-1))</f>
        <v>62</v>
      </c>
      <c r="O1387">
        <f>IFERROR(_xlfn.NUMBERVALUE(LEFT(Table11[[#This Row],[Score2 ]],FIND("/",Table11[[#This Row],[Score2 ]])-1)),"")</f>
        <v>80</v>
      </c>
      <c r="P1387" t="s">
        <v>149</v>
      </c>
      <c r="Q1387" s="1" t="s">
        <v>140</v>
      </c>
      <c r="R1387" t="str">
        <f>Table11[[#This Row],[Match]]&amp;" "&amp;Table11[[#This Row],[Over]]</f>
        <v>20 9</v>
      </c>
    </row>
    <row r="1388" spans="1:18" x14ac:dyDescent="0.3">
      <c r="A1388">
        <v>20</v>
      </c>
      <c r="B1388" s="1">
        <v>10</v>
      </c>
      <c r="C1388" s="1" t="s">
        <v>3310</v>
      </c>
      <c r="D1388" s="1" t="s">
        <v>922</v>
      </c>
      <c r="E1388" s="1" t="s">
        <v>1053</v>
      </c>
      <c r="F1388" s="1" t="s">
        <v>939</v>
      </c>
      <c r="G1388" s="1" t="s">
        <v>2886</v>
      </c>
      <c r="H1388" s="1" t="s">
        <v>968</v>
      </c>
      <c r="I1388" s="1" t="s">
        <v>2378</v>
      </c>
      <c r="J1388" s="1" t="s">
        <v>970</v>
      </c>
      <c r="K1388" s="1" t="s">
        <v>1633</v>
      </c>
      <c r="L1388" s="1" t="s">
        <v>1589</v>
      </c>
      <c r="M1388" s="1" t="s">
        <v>980</v>
      </c>
      <c r="N1388">
        <f>_xlfn.NUMBERVALUE(LEFT(Table11[[#This Row],[Score]],FIND("/",Table11[[#This Row],[Score]])-1))</f>
        <v>68</v>
      </c>
      <c r="O1388">
        <f>IFERROR(_xlfn.NUMBERVALUE(LEFT(Table11[[#This Row],[Score2 ]],FIND("/",Table11[[#This Row],[Score2 ]])-1)),"")</f>
        <v>81</v>
      </c>
      <c r="P1388" t="s">
        <v>149</v>
      </c>
      <c r="Q1388" s="1" t="s">
        <v>140</v>
      </c>
      <c r="R1388" t="str">
        <f>Table11[[#This Row],[Match]]&amp;" "&amp;Table11[[#This Row],[Over]]</f>
        <v>20 10</v>
      </c>
    </row>
    <row r="1389" spans="1:18" x14ac:dyDescent="0.3">
      <c r="A1389">
        <v>20</v>
      </c>
      <c r="B1389" s="1">
        <v>11</v>
      </c>
      <c r="C1389" s="1" t="s">
        <v>1296</v>
      </c>
      <c r="D1389" s="1" t="s">
        <v>898</v>
      </c>
      <c r="E1389" s="1" t="s">
        <v>2720</v>
      </c>
      <c r="F1389" s="1" t="s">
        <v>990</v>
      </c>
      <c r="G1389" s="1" t="s">
        <v>2579</v>
      </c>
      <c r="H1389" s="1" t="s">
        <v>898</v>
      </c>
      <c r="I1389" s="1" t="s">
        <v>3312</v>
      </c>
      <c r="J1389" s="1" t="s">
        <v>934</v>
      </c>
      <c r="K1389" s="1" t="s">
        <v>1936</v>
      </c>
      <c r="L1389" s="1" t="s">
        <v>1640</v>
      </c>
      <c r="M1389" s="1" t="s">
        <v>987</v>
      </c>
      <c r="N1389">
        <f>_xlfn.NUMBERVALUE(LEFT(Table11[[#This Row],[Score]],FIND("/",Table11[[#This Row],[Score]])-1))</f>
        <v>70</v>
      </c>
      <c r="O1389">
        <f>IFERROR(_xlfn.NUMBERVALUE(LEFT(Table11[[#This Row],[Score2 ]],FIND("/",Table11[[#This Row],[Score2 ]])-1)),"")</f>
        <v>83</v>
      </c>
      <c r="P1389" t="s">
        <v>149</v>
      </c>
      <c r="Q1389" s="1" t="s">
        <v>140</v>
      </c>
      <c r="R1389" t="str">
        <f>Table11[[#This Row],[Match]]&amp;" "&amp;Table11[[#This Row],[Over]]</f>
        <v>20 11</v>
      </c>
    </row>
    <row r="1390" spans="1:18" x14ac:dyDescent="0.3">
      <c r="A1390">
        <v>20</v>
      </c>
      <c r="B1390" s="1">
        <v>12</v>
      </c>
      <c r="C1390" s="1" t="s">
        <v>2450</v>
      </c>
      <c r="D1390" s="1" t="s">
        <v>922</v>
      </c>
      <c r="E1390" s="1" t="s">
        <v>1723</v>
      </c>
      <c r="F1390" s="1" t="s">
        <v>976</v>
      </c>
      <c r="G1390" s="1" t="s">
        <v>2583</v>
      </c>
      <c r="H1390" s="1" t="s">
        <v>922</v>
      </c>
      <c r="I1390" s="1" t="s">
        <v>2229</v>
      </c>
      <c r="J1390" s="1" t="s">
        <v>1247</v>
      </c>
      <c r="K1390" s="1" t="s">
        <v>3516</v>
      </c>
      <c r="L1390" s="1" t="s">
        <v>2426</v>
      </c>
      <c r="M1390" s="1" t="s">
        <v>996</v>
      </c>
      <c r="N1390">
        <f>_xlfn.NUMBERVALUE(LEFT(Table11[[#This Row],[Score]],FIND("/",Table11[[#This Row],[Score]])-1))</f>
        <v>76</v>
      </c>
      <c r="O1390">
        <f>IFERROR(_xlfn.NUMBERVALUE(LEFT(Table11[[#This Row],[Score2 ]],FIND("/",Table11[[#This Row],[Score2 ]])-1)),"")</f>
        <v>89</v>
      </c>
      <c r="P1390" t="s">
        <v>149</v>
      </c>
      <c r="Q1390" s="1" t="s">
        <v>140</v>
      </c>
      <c r="R1390" t="str">
        <f>Table11[[#This Row],[Match]]&amp;" "&amp;Table11[[#This Row],[Over]]</f>
        <v>20 12</v>
      </c>
    </row>
    <row r="1391" spans="1:18" x14ac:dyDescent="0.3">
      <c r="A1391">
        <v>20</v>
      </c>
      <c r="B1391" s="1">
        <v>13</v>
      </c>
      <c r="C1391" s="1" t="s">
        <v>3094</v>
      </c>
      <c r="D1391" s="1" t="s">
        <v>998</v>
      </c>
      <c r="E1391" s="1" t="s">
        <v>1971</v>
      </c>
      <c r="F1391" s="1" t="s">
        <v>976</v>
      </c>
      <c r="G1391" s="1" t="s">
        <v>2008</v>
      </c>
      <c r="H1391" s="1" t="s">
        <v>968</v>
      </c>
      <c r="I1391" s="1" t="s">
        <v>3245</v>
      </c>
      <c r="J1391" s="1" t="s">
        <v>1383</v>
      </c>
      <c r="K1391" s="1" t="s">
        <v>3517</v>
      </c>
      <c r="L1391" s="1" t="s">
        <v>3518</v>
      </c>
      <c r="M1391" s="1" t="s">
        <v>1004</v>
      </c>
      <c r="N1391">
        <f>_xlfn.NUMBERVALUE(LEFT(Table11[[#This Row],[Score]],FIND("/",Table11[[#This Row],[Score]])-1))</f>
        <v>80</v>
      </c>
      <c r="O1391">
        <f>IFERROR(_xlfn.NUMBERVALUE(LEFT(Table11[[#This Row],[Score2 ]],FIND("/",Table11[[#This Row],[Score2 ]])-1)),"")</f>
        <v>90</v>
      </c>
      <c r="P1391" t="s">
        <v>149</v>
      </c>
      <c r="Q1391" s="1" t="s">
        <v>140</v>
      </c>
      <c r="R1391" t="str">
        <f>Table11[[#This Row],[Match]]&amp;" "&amp;Table11[[#This Row],[Over]]</f>
        <v>20 13</v>
      </c>
    </row>
    <row r="1392" spans="1:18" x14ac:dyDescent="0.3">
      <c r="A1392">
        <v>20</v>
      </c>
      <c r="B1392" s="1">
        <v>14</v>
      </c>
      <c r="C1392" s="1" t="s">
        <v>2939</v>
      </c>
      <c r="D1392" s="1" t="s">
        <v>950</v>
      </c>
      <c r="E1392" s="1" t="s">
        <v>1756</v>
      </c>
      <c r="F1392" s="1" t="s">
        <v>976</v>
      </c>
      <c r="G1392" s="1" t="s">
        <v>1498</v>
      </c>
      <c r="H1392" s="1" t="s">
        <v>898</v>
      </c>
      <c r="I1392" s="1" t="s">
        <v>2926</v>
      </c>
      <c r="J1392" s="1" t="s">
        <v>1088</v>
      </c>
      <c r="K1392" s="1" t="s">
        <v>1852</v>
      </c>
      <c r="L1392" s="1" t="s">
        <v>1177</v>
      </c>
      <c r="M1392" s="1" t="s">
        <v>1010</v>
      </c>
      <c r="N1392">
        <f>_xlfn.NUMBERVALUE(LEFT(Table11[[#This Row],[Score]],FIND("/",Table11[[#This Row],[Score]])-1))</f>
        <v>85</v>
      </c>
      <c r="O1392">
        <f>IFERROR(_xlfn.NUMBERVALUE(LEFT(Table11[[#This Row],[Score2 ]],FIND("/",Table11[[#This Row],[Score2 ]])-1)),"")</f>
        <v>92</v>
      </c>
      <c r="P1392" t="s">
        <v>149</v>
      </c>
      <c r="Q1392" s="1" t="s">
        <v>140</v>
      </c>
      <c r="R1392" t="str">
        <f>Table11[[#This Row],[Match]]&amp;" "&amp;Table11[[#This Row],[Over]]</f>
        <v>20 14</v>
      </c>
    </row>
    <row r="1393" spans="1:18" x14ac:dyDescent="0.3">
      <c r="A1393">
        <v>20</v>
      </c>
      <c r="B1393" s="1">
        <v>15</v>
      </c>
      <c r="C1393" s="1" t="s">
        <v>3346</v>
      </c>
      <c r="D1393" s="1" t="s">
        <v>898</v>
      </c>
      <c r="E1393" s="1" t="s">
        <v>1013</v>
      </c>
      <c r="F1393" s="1" t="s">
        <v>990</v>
      </c>
      <c r="G1393" s="1" t="s">
        <v>3101</v>
      </c>
      <c r="H1393" s="1" t="s">
        <v>1511</v>
      </c>
      <c r="I1393" s="1" t="s">
        <v>1116</v>
      </c>
      <c r="J1393" s="1" t="s">
        <v>966</v>
      </c>
      <c r="K1393" s="1" t="s">
        <v>3519</v>
      </c>
      <c r="L1393" s="1" t="s">
        <v>1654</v>
      </c>
      <c r="M1393" s="1" t="s">
        <v>1016</v>
      </c>
      <c r="N1393">
        <f>_xlfn.NUMBERVALUE(LEFT(Table11[[#This Row],[Score]],FIND("/",Table11[[#This Row],[Score]])-1))</f>
        <v>87</v>
      </c>
      <c r="O1393">
        <f>IFERROR(_xlfn.NUMBERVALUE(LEFT(Table11[[#This Row],[Score2 ]],FIND("/",Table11[[#This Row],[Score2 ]])-1)),"")</f>
        <v>108</v>
      </c>
      <c r="P1393" t="s">
        <v>149</v>
      </c>
      <c r="Q1393" s="1" t="s">
        <v>140</v>
      </c>
      <c r="R1393" t="str">
        <f>Table11[[#This Row],[Match]]&amp;" "&amp;Table11[[#This Row],[Over]]</f>
        <v>20 15</v>
      </c>
    </row>
    <row r="1394" spans="1:18" x14ac:dyDescent="0.3">
      <c r="A1394">
        <v>20</v>
      </c>
      <c r="B1394" s="1">
        <v>16</v>
      </c>
      <c r="C1394" s="1" t="s">
        <v>3096</v>
      </c>
      <c r="D1394" s="1" t="s">
        <v>916</v>
      </c>
      <c r="E1394" s="1" t="s">
        <v>2334</v>
      </c>
      <c r="F1394" s="1" t="s">
        <v>1093</v>
      </c>
      <c r="G1394" s="1" t="s">
        <v>2947</v>
      </c>
      <c r="H1394" s="1" t="s">
        <v>1095</v>
      </c>
      <c r="I1394" s="1" t="s">
        <v>2119</v>
      </c>
      <c r="J1394" s="1" t="s">
        <v>952</v>
      </c>
      <c r="K1394" s="1" t="s">
        <v>1662</v>
      </c>
      <c r="L1394" s="1" t="s">
        <v>2569</v>
      </c>
      <c r="M1394" s="1" t="s">
        <v>1024</v>
      </c>
      <c r="N1394">
        <f>_xlfn.NUMBERVALUE(LEFT(Table11[[#This Row],[Score]],FIND("/",Table11[[#This Row],[Score]])-1))</f>
        <v>94</v>
      </c>
      <c r="O1394">
        <f>IFERROR(_xlfn.NUMBERVALUE(LEFT(Table11[[#This Row],[Score2 ]],FIND("/",Table11[[#This Row],[Score2 ]])-1)),"")</f>
        <v>118</v>
      </c>
      <c r="P1394" t="s">
        <v>149</v>
      </c>
      <c r="Q1394" s="1" t="s">
        <v>140</v>
      </c>
      <c r="R1394" t="str">
        <f>Table11[[#This Row],[Match]]&amp;" "&amp;Table11[[#This Row],[Over]]</f>
        <v>20 16</v>
      </c>
    </row>
    <row r="1395" spans="1:18" x14ac:dyDescent="0.3">
      <c r="A1395">
        <v>20</v>
      </c>
      <c r="B1395" s="1">
        <v>17</v>
      </c>
      <c r="C1395" s="1" t="s">
        <v>3520</v>
      </c>
      <c r="D1395" s="1" t="s">
        <v>898</v>
      </c>
      <c r="E1395" s="1" t="s">
        <v>2242</v>
      </c>
      <c r="F1395" s="1" t="s">
        <v>939</v>
      </c>
      <c r="G1395" s="1" t="s">
        <v>2947</v>
      </c>
      <c r="H1395" s="1" t="s">
        <v>1007</v>
      </c>
      <c r="I1395" s="1" t="s">
        <v>1768</v>
      </c>
      <c r="J1395" s="1" t="s">
        <v>1013</v>
      </c>
      <c r="K1395" s="1" t="s">
        <v>3521</v>
      </c>
      <c r="L1395" s="1" t="s">
        <v>2569</v>
      </c>
      <c r="M1395" s="1" t="s">
        <v>1031</v>
      </c>
      <c r="N1395">
        <f>_xlfn.NUMBERVALUE(LEFT(Table11[[#This Row],[Score]],FIND("/",Table11[[#This Row],[Score]])-1))</f>
        <v>96</v>
      </c>
      <c r="O1395">
        <f>IFERROR(_xlfn.NUMBERVALUE(LEFT(Table11[[#This Row],[Score2 ]],FIND("/",Table11[[#This Row],[Score2 ]])-1)),"")</f>
        <v>118</v>
      </c>
      <c r="P1395" t="s">
        <v>149</v>
      </c>
      <c r="Q1395" s="1" t="s">
        <v>140</v>
      </c>
      <c r="R1395" t="str">
        <f>Table11[[#This Row],[Match]]&amp;" "&amp;Table11[[#This Row],[Over]]</f>
        <v>20 17</v>
      </c>
    </row>
    <row r="1396" spans="1:18" x14ac:dyDescent="0.3">
      <c r="A1396">
        <v>20</v>
      </c>
      <c r="B1396" s="1">
        <v>18</v>
      </c>
      <c r="C1396" s="1" t="s">
        <v>3522</v>
      </c>
      <c r="D1396" s="1" t="s">
        <v>968</v>
      </c>
      <c r="E1396" s="1" t="s">
        <v>1732</v>
      </c>
      <c r="F1396" s="1" t="s">
        <v>1247</v>
      </c>
      <c r="G1396" s="1" t="s">
        <v>2646</v>
      </c>
      <c r="H1396" s="1" t="s">
        <v>1051</v>
      </c>
      <c r="I1396" s="1" t="s">
        <v>2112</v>
      </c>
      <c r="J1396" s="1" t="s">
        <v>1168</v>
      </c>
      <c r="K1396" s="1" t="s">
        <v>3523</v>
      </c>
      <c r="L1396" s="1" t="s">
        <v>1698</v>
      </c>
      <c r="M1396" s="1" t="s">
        <v>1037</v>
      </c>
      <c r="N1396">
        <f>_xlfn.NUMBERVALUE(LEFT(Table11[[#This Row],[Score]],FIND("/",Table11[[#This Row],[Score]])-1))</f>
        <v>97</v>
      </c>
      <c r="O1396">
        <f>IFERROR(_xlfn.NUMBERVALUE(LEFT(Table11[[#This Row],[Score2 ]],FIND("/",Table11[[#This Row],[Score2 ]])-1)),"")</f>
        <v>129</v>
      </c>
      <c r="P1396" t="s">
        <v>149</v>
      </c>
      <c r="Q1396" s="1" t="s">
        <v>140</v>
      </c>
      <c r="R1396" t="str">
        <f>Table11[[#This Row],[Match]]&amp;" "&amp;Table11[[#This Row],[Over]]</f>
        <v>20 18</v>
      </c>
    </row>
    <row r="1397" spans="1:18" x14ac:dyDescent="0.3">
      <c r="A1397">
        <v>20</v>
      </c>
      <c r="B1397" s="1">
        <v>19</v>
      </c>
      <c r="C1397" s="1" t="s">
        <v>3524</v>
      </c>
      <c r="D1397" s="1" t="s">
        <v>922</v>
      </c>
      <c r="E1397" s="1" t="s">
        <v>1158</v>
      </c>
      <c r="F1397" s="1" t="s">
        <v>977</v>
      </c>
      <c r="G1397" s="1" t="s">
        <v>1536</v>
      </c>
      <c r="H1397" s="1" t="s">
        <v>968</v>
      </c>
      <c r="I1397" s="1" t="s">
        <v>1795</v>
      </c>
      <c r="J1397" s="1" t="s">
        <v>1508</v>
      </c>
      <c r="K1397" s="1" t="s">
        <v>3525</v>
      </c>
      <c r="L1397" s="1" t="s">
        <v>1695</v>
      </c>
      <c r="M1397" s="1" t="s">
        <v>1043</v>
      </c>
      <c r="N1397">
        <f>_xlfn.NUMBERVALUE(LEFT(Table11[[#This Row],[Score]],FIND("/",Table11[[#This Row],[Score]])-1))</f>
        <v>103</v>
      </c>
      <c r="O1397">
        <f>IFERROR(_xlfn.NUMBERVALUE(LEFT(Table11[[#This Row],[Score2 ]],FIND("/",Table11[[#This Row],[Score2 ]])-1)),"")</f>
        <v>130</v>
      </c>
      <c r="P1397" t="s">
        <v>149</v>
      </c>
      <c r="Q1397" s="1" t="s">
        <v>140</v>
      </c>
      <c r="R1397" t="str">
        <f>Table11[[#This Row],[Match]]&amp;" "&amp;Table11[[#This Row],[Over]]</f>
        <v>20 19</v>
      </c>
    </row>
    <row r="1398" spans="1:18" x14ac:dyDescent="0.3">
      <c r="A1398">
        <v>20</v>
      </c>
      <c r="B1398" s="1">
        <v>20</v>
      </c>
      <c r="C1398" s="1" t="s">
        <v>3526</v>
      </c>
      <c r="D1398" s="1" t="s">
        <v>968</v>
      </c>
      <c r="E1398" s="1" t="s">
        <v>1029</v>
      </c>
      <c r="F1398" s="1" t="s">
        <v>1247</v>
      </c>
      <c r="G1398" s="1" t="s">
        <v>1123</v>
      </c>
      <c r="H1398" s="1" t="s">
        <v>916</v>
      </c>
      <c r="I1398" s="1" t="s">
        <v>1996</v>
      </c>
      <c r="J1398" s="1" t="s">
        <v>1013</v>
      </c>
      <c r="K1398" s="1" t="s">
        <v>2527</v>
      </c>
      <c r="L1398" s="1" t="s">
        <v>1147</v>
      </c>
      <c r="M1398" s="1" t="s">
        <v>1049</v>
      </c>
      <c r="N1398">
        <f>_xlfn.NUMBERVALUE(LEFT(Table11[[#This Row],[Score]],FIND("/",Table11[[#This Row],[Score]])-1))</f>
        <v>104</v>
      </c>
      <c r="O1398">
        <f>IFERROR(_xlfn.NUMBERVALUE(LEFT(Table11[[#This Row],[Score2 ]],FIND("/",Table11[[#This Row],[Score2 ]])-1)),"")</f>
        <v>137</v>
      </c>
      <c r="P1398" t="s">
        <v>149</v>
      </c>
      <c r="Q1398" s="1" t="s">
        <v>140</v>
      </c>
      <c r="R1398" t="str">
        <f>Table11[[#This Row],[Match]]&amp;" "&amp;Table11[[#This Row],[Over]]</f>
        <v>20 20</v>
      </c>
    </row>
    <row r="1399" spans="1:18" x14ac:dyDescent="0.3">
      <c r="A1399">
        <v>20</v>
      </c>
      <c r="B1399" s="1">
        <v>21</v>
      </c>
      <c r="C1399" s="1" t="s">
        <v>3527</v>
      </c>
      <c r="D1399" s="1" t="s">
        <v>898</v>
      </c>
      <c r="E1399" s="1" t="s">
        <v>2193</v>
      </c>
      <c r="F1399" s="1" t="s">
        <v>1088</v>
      </c>
      <c r="G1399" s="1" t="s">
        <v>3528</v>
      </c>
      <c r="H1399" s="1" t="s">
        <v>898</v>
      </c>
      <c r="I1399" s="1" t="s">
        <v>1754</v>
      </c>
      <c r="J1399" s="1" t="s">
        <v>931</v>
      </c>
      <c r="K1399" s="1" t="s">
        <v>1674</v>
      </c>
      <c r="L1399" s="1" t="s">
        <v>1390</v>
      </c>
      <c r="M1399" s="1" t="s">
        <v>1056</v>
      </c>
      <c r="N1399">
        <f>_xlfn.NUMBERVALUE(LEFT(Table11[[#This Row],[Score]],FIND("/",Table11[[#This Row],[Score]])-1))</f>
        <v>106</v>
      </c>
      <c r="O1399">
        <f>IFERROR(_xlfn.NUMBERVALUE(LEFT(Table11[[#This Row],[Score2 ]],FIND("/",Table11[[#This Row],[Score2 ]])-1)),"")</f>
        <v>139</v>
      </c>
      <c r="P1399" t="s">
        <v>149</v>
      </c>
      <c r="Q1399" s="1" t="s">
        <v>140</v>
      </c>
      <c r="R1399" t="str">
        <f>Table11[[#This Row],[Match]]&amp;" "&amp;Table11[[#This Row],[Over]]</f>
        <v>20 21</v>
      </c>
    </row>
    <row r="1400" spans="1:18" x14ac:dyDescent="0.3">
      <c r="A1400">
        <v>20</v>
      </c>
      <c r="B1400" s="1">
        <v>22</v>
      </c>
      <c r="C1400" s="1" t="s">
        <v>3529</v>
      </c>
      <c r="D1400" s="1" t="s">
        <v>1007</v>
      </c>
      <c r="E1400" s="1" t="s">
        <v>1561</v>
      </c>
      <c r="F1400" s="1" t="s">
        <v>899</v>
      </c>
      <c r="G1400" s="1" t="s">
        <v>2663</v>
      </c>
      <c r="H1400" s="1" t="s">
        <v>922</v>
      </c>
      <c r="I1400" s="1" t="s">
        <v>2319</v>
      </c>
      <c r="J1400" s="1" t="s">
        <v>966</v>
      </c>
      <c r="K1400" s="1" t="s">
        <v>2796</v>
      </c>
      <c r="L1400" s="1" t="s">
        <v>916</v>
      </c>
      <c r="M1400" s="1" t="s">
        <v>1063</v>
      </c>
      <c r="N1400">
        <f>_xlfn.NUMBERVALUE(LEFT(Table11[[#This Row],[Score]],FIND("/",Table11[[#This Row],[Score]])-1))</f>
        <v>106</v>
      </c>
      <c r="O1400">
        <f>IFERROR(_xlfn.NUMBERVALUE(LEFT(Table11[[#This Row],[Score2 ]],FIND("/",Table11[[#This Row],[Score2 ]])-1)),"")</f>
        <v>145</v>
      </c>
      <c r="P1400" t="s">
        <v>149</v>
      </c>
      <c r="Q1400" s="1" t="s">
        <v>140</v>
      </c>
      <c r="R1400" t="str">
        <f>Table11[[#This Row],[Match]]&amp;" "&amp;Table11[[#This Row],[Over]]</f>
        <v>20 22</v>
      </c>
    </row>
    <row r="1401" spans="1:18" x14ac:dyDescent="0.3">
      <c r="A1401">
        <v>20</v>
      </c>
      <c r="B1401" s="1">
        <v>23</v>
      </c>
      <c r="C1401" s="1" t="s">
        <v>3530</v>
      </c>
      <c r="D1401" s="1" t="s">
        <v>904</v>
      </c>
      <c r="E1401" s="1" t="s">
        <v>1012</v>
      </c>
      <c r="F1401" s="1" t="s">
        <v>1088</v>
      </c>
      <c r="G1401" s="1" t="s">
        <v>3531</v>
      </c>
      <c r="H1401" s="1" t="s">
        <v>968</v>
      </c>
      <c r="I1401" s="1" t="s">
        <v>2706</v>
      </c>
      <c r="J1401" s="1" t="s">
        <v>1247</v>
      </c>
      <c r="K1401" s="1" t="s">
        <v>3295</v>
      </c>
      <c r="L1401" s="1" t="s">
        <v>922</v>
      </c>
      <c r="M1401" s="1" t="s">
        <v>1070</v>
      </c>
      <c r="N1401">
        <f>_xlfn.NUMBERVALUE(LEFT(Table11[[#This Row],[Score]],FIND("/",Table11[[#This Row],[Score]])-1))</f>
        <v>109</v>
      </c>
      <c r="O1401">
        <f>IFERROR(_xlfn.NUMBERVALUE(LEFT(Table11[[#This Row],[Score2 ]],FIND("/",Table11[[#This Row],[Score2 ]])-1)),"")</f>
        <v>146</v>
      </c>
      <c r="P1401" t="s">
        <v>149</v>
      </c>
      <c r="Q1401" s="1" t="s">
        <v>140</v>
      </c>
      <c r="R1401" t="str">
        <f>Table11[[#This Row],[Match]]&amp;" "&amp;Table11[[#This Row],[Over]]</f>
        <v>20 23</v>
      </c>
    </row>
    <row r="1402" spans="1:18" x14ac:dyDescent="0.3">
      <c r="A1402">
        <v>20</v>
      </c>
      <c r="B1402" s="1">
        <v>24</v>
      </c>
      <c r="C1402" s="1" t="s">
        <v>3532</v>
      </c>
      <c r="D1402" s="1" t="s">
        <v>898</v>
      </c>
      <c r="E1402" s="1" t="s">
        <v>1344</v>
      </c>
      <c r="F1402" s="1" t="s">
        <v>1770</v>
      </c>
      <c r="G1402" s="1" t="s">
        <v>3533</v>
      </c>
      <c r="H1402" s="1" t="s">
        <v>1830</v>
      </c>
      <c r="I1402" s="1" t="s">
        <v>3534</v>
      </c>
      <c r="J1402" s="1" t="s">
        <v>3535</v>
      </c>
      <c r="K1402" s="1" t="s">
        <v>1622</v>
      </c>
      <c r="L1402" s="1" t="s">
        <v>1007</v>
      </c>
      <c r="M1402" s="1" t="s">
        <v>1355</v>
      </c>
      <c r="N1402">
        <f>_xlfn.NUMBERVALUE(LEFT(Table11[[#This Row],[Score]],FIND("/",Table11[[#This Row],[Score]])-1))</f>
        <v>111</v>
      </c>
      <c r="O1402">
        <f>IFERROR(_xlfn.NUMBERVALUE(LEFT(Table11[[#This Row],[Score2 ]],FIND("/",Table11[[#This Row],[Score2 ]])-1)),"")</f>
        <v>152</v>
      </c>
      <c r="P1402" t="s">
        <v>149</v>
      </c>
      <c r="Q1402" s="1" t="s">
        <v>140</v>
      </c>
      <c r="R1402" t="str">
        <f>Table11[[#This Row],[Match]]&amp;" "&amp;Table11[[#This Row],[Over]]</f>
        <v>20 24</v>
      </c>
    </row>
    <row r="1403" spans="1:18" x14ac:dyDescent="0.3">
      <c r="A1403">
        <v>20</v>
      </c>
      <c r="B1403" s="1">
        <v>25</v>
      </c>
      <c r="C1403" s="1" t="s">
        <v>3536</v>
      </c>
      <c r="D1403" s="1" t="s">
        <v>1390</v>
      </c>
      <c r="E1403" s="1" t="s">
        <v>2282</v>
      </c>
      <c r="F1403" s="1" t="s">
        <v>939</v>
      </c>
      <c r="N1403">
        <f>_xlfn.NUMBERVALUE(LEFT(Table11[[#This Row],[Score]],FIND("/",Table11[[#This Row],[Score]])-1))</f>
        <v>124</v>
      </c>
      <c r="O1403" t="str">
        <f>IFERROR(_xlfn.NUMBERVALUE(LEFT(Table11[[#This Row],[Score2 ]],FIND("/",Table11[[#This Row],[Score2 ]])-1)),"")</f>
        <v/>
      </c>
      <c r="P1403" t="s">
        <v>149</v>
      </c>
      <c r="Q1403" s="1" t="s">
        <v>140</v>
      </c>
      <c r="R1403" t="str">
        <f>Table11[[#This Row],[Match]]&amp;" "&amp;Table11[[#This Row],[Over]]</f>
        <v>20 25</v>
      </c>
    </row>
    <row r="1404" spans="1:18" x14ac:dyDescent="0.3">
      <c r="A1404">
        <v>20</v>
      </c>
      <c r="B1404" s="1">
        <v>26</v>
      </c>
      <c r="C1404" s="1" t="s">
        <v>3536</v>
      </c>
      <c r="D1404" s="1" t="s">
        <v>1007</v>
      </c>
      <c r="E1404" s="1" t="s">
        <v>1187</v>
      </c>
      <c r="F1404" s="1" t="s">
        <v>977</v>
      </c>
      <c r="N1404">
        <f>_xlfn.NUMBERVALUE(LEFT(Table11[[#This Row],[Score]],FIND("/",Table11[[#This Row],[Score]])-1))</f>
        <v>124</v>
      </c>
      <c r="O1404" t="str">
        <f>IFERROR(_xlfn.NUMBERVALUE(LEFT(Table11[[#This Row],[Score2 ]],FIND("/",Table11[[#This Row],[Score2 ]])-1)),"")</f>
        <v/>
      </c>
      <c r="P1404" t="s">
        <v>149</v>
      </c>
      <c r="Q1404" s="1" t="s">
        <v>140</v>
      </c>
      <c r="R1404" t="str">
        <f>Table11[[#This Row],[Match]]&amp;" "&amp;Table11[[#This Row],[Over]]</f>
        <v>20 26</v>
      </c>
    </row>
    <row r="1405" spans="1:18" x14ac:dyDescent="0.3">
      <c r="A1405">
        <v>20</v>
      </c>
      <c r="B1405" s="1">
        <v>27</v>
      </c>
      <c r="C1405" s="1" t="s">
        <v>3537</v>
      </c>
      <c r="D1405" s="1" t="s">
        <v>998</v>
      </c>
      <c r="E1405" s="1" t="s">
        <v>1353</v>
      </c>
      <c r="F1405" s="1" t="s">
        <v>940</v>
      </c>
      <c r="N1405">
        <f>_xlfn.NUMBERVALUE(LEFT(Table11[[#This Row],[Score]],FIND("/",Table11[[#This Row],[Score]])-1))</f>
        <v>128</v>
      </c>
      <c r="O1405" t="str">
        <f>IFERROR(_xlfn.NUMBERVALUE(LEFT(Table11[[#This Row],[Score2 ]],FIND("/",Table11[[#This Row],[Score2 ]])-1)),"")</f>
        <v/>
      </c>
      <c r="P1405" t="s">
        <v>149</v>
      </c>
      <c r="Q1405" s="1" t="s">
        <v>140</v>
      </c>
      <c r="R1405" t="str">
        <f>Table11[[#This Row],[Match]]&amp;" "&amp;Table11[[#This Row],[Over]]</f>
        <v>20 27</v>
      </c>
    </row>
    <row r="1406" spans="1:18" x14ac:dyDescent="0.3">
      <c r="A1406">
        <v>20</v>
      </c>
      <c r="B1406" s="1">
        <v>28</v>
      </c>
      <c r="C1406" s="1" t="s">
        <v>3538</v>
      </c>
      <c r="D1406" s="1" t="s">
        <v>968</v>
      </c>
      <c r="E1406" s="1" t="s">
        <v>976</v>
      </c>
      <c r="F1406" s="1" t="s">
        <v>939</v>
      </c>
      <c r="N1406">
        <f>_xlfn.NUMBERVALUE(LEFT(Table11[[#This Row],[Score]],FIND("/",Table11[[#This Row],[Score]])-1))</f>
        <v>129</v>
      </c>
      <c r="O1406" t="str">
        <f>IFERROR(_xlfn.NUMBERVALUE(LEFT(Table11[[#This Row],[Score2 ]],FIND("/",Table11[[#This Row],[Score2 ]])-1)),"")</f>
        <v/>
      </c>
      <c r="P1406" t="s">
        <v>149</v>
      </c>
      <c r="Q1406" s="1" t="s">
        <v>140</v>
      </c>
      <c r="R1406" t="str">
        <f>Table11[[#This Row],[Match]]&amp;" "&amp;Table11[[#This Row],[Over]]</f>
        <v>20 28</v>
      </c>
    </row>
    <row r="1407" spans="1:18" x14ac:dyDescent="0.3">
      <c r="A1407">
        <v>20</v>
      </c>
      <c r="B1407" s="1">
        <v>29</v>
      </c>
      <c r="C1407" s="1" t="s">
        <v>3539</v>
      </c>
      <c r="D1407" s="1" t="s">
        <v>916</v>
      </c>
      <c r="E1407" s="1" t="s">
        <v>1018</v>
      </c>
      <c r="F1407" s="1" t="s">
        <v>969</v>
      </c>
      <c r="N1407">
        <f>_xlfn.NUMBERVALUE(LEFT(Table11[[#This Row],[Score]],FIND("/",Table11[[#This Row],[Score]])-1))</f>
        <v>136</v>
      </c>
      <c r="O1407" t="str">
        <f>IFERROR(_xlfn.NUMBERVALUE(LEFT(Table11[[#This Row],[Score2 ]],FIND("/",Table11[[#This Row],[Score2 ]])-1)),"")</f>
        <v/>
      </c>
      <c r="P1407" t="s">
        <v>149</v>
      </c>
      <c r="Q1407" s="1" t="s">
        <v>140</v>
      </c>
      <c r="R1407" t="str">
        <f>Table11[[#This Row],[Match]]&amp;" "&amp;Table11[[#This Row],[Over]]</f>
        <v>20 29</v>
      </c>
    </row>
    <row r="1408" spans="1:18" x14ac:dyDescent="0.3">
      <c r="A1408">
        <v>20</v>
      </c>
      <c r="B1408" s="1">
        <v>30</v>
      </c>
      <c r="C1408" s="1" t="s">
        <v>3540</v>
      </c>
      <c r="D1408" s="1" t="s">
        <v>998</v>
      </c>
      <c r="E1408" s="1" t="s">
        <v>1975</v>
      </c>
      <c r="F1408" s="1" t="s">
        <v>1259</v>
      </c>
      <c r="N1408">
        <f>_xlfn.NUMBERVALUE(LEFT(Table11[[#This Row],[Score]],FIND("/",Table11[[#This Row],[Score]])-1))</f>
        <v>140</v>
      </c>
      <c r="O1408" t="str">
        <f>IFERROR(_xlfn.NUMBERVALUE(LEFT(Table11[[#This Row],[Score2 ]],FIND("/",Table11[[#This Row],[Score2 ]])-1)),"")</f>
        <v/>
      </c>
      <c r="P1408" t="s">
        <v>149</v>
      </c>
      <c r="Q1408" s="1" t="s">
        <v>140</v>
      </c>
      <c r="R1408" t="str">
        <f>Table11[[#This Row],[Match]]&amp;" "&amp;Table11[[#This Row],[Over]]</f>
        <v>20 30</v>
      </c>
    </row>
    <row r="1409" spans="1:18" x14ac:dyDescent="0.3">
      <c r="A1409">
        <v>20</v>
      </c>
      <c r="B1409" s="1">
        <v>31</v>
      </c>
      <c r="C1409" s="1" t="s">
        <v>3541</v>
      </c>
      <c r="D1409" s="1" t="s">
        <v>998</v>
      </c>
      <c r="E1409" s="1" t="s">
        <v>1028</v>
      </c>
      <c r="F1409" s="1" t="s">
        <v>939</v>
      </c>
      <c r="N1409">
        <f>_xlfn.NUMBERVALUE(LEFT(Table11[[#This Row],[Score]],FIND("/",Table11[[#This Row],[Score]])-1))</f>
        <v>144</v>
      </c>
      <c r="O1409" t="str">
        <f>IFERROR(_xlfn.NUMBERVALUE(LEFT(Table11[[#This Row],[Score2 ]],FIND("/",Table11[[#This Row],[Score2 ]])-1)),"")</f>
        <v/>
      </c>
      <c r="P1409" t="s">
        <v>149</v>
      </c>
      <c r="Q1409" s="1" t="s">
        <v>140</v>
      </c>
      <c r="R1409" t="str">
        <f>Table11[[#This Row],[Match]]&amp;" "&amp;Table11[[#This Row],[Over]]</f>
        <v>20 31</v>
      </c>
    </row>
    <row r="1410" spans="1:18" x14ac:dyDescent="0.3">
      <c r="A1410">
        <v>20</v>
      </c>
      <c r="B1410" s="1">
        <v>32</v>
      </c>
      <c r="C1410" s="1" t="s">
        <v>3542</v>
      </c>
      <c r="D1410" s="1" t="s">
        <v>968</v>
      </c>
      <c r="E1410" s="1" t="s">
        <v>1793</v>
      </c>
      <c r="F1410" s="1" t="s">
        <v>1247</v>
      </c>
      <c r="N1410">
        <f>_xlfn.NUMBERVALUE(LEFT(Table11[[#This Row],[Score]],FIND("/",Table11[[#This Row],[Score]])-1))</f>
        <v>145</v>
      </c>
      <c r="O1410" t="str">
        <f>IFERROR(_xlfn.NUMBERVALUE(LEFT(Table11[[#This Row],[Score2 ]],FIND("/",Table11[[#This Row],[Score2 ]])-1)),"")</f>
        <v/>
      </c>
      <c r="P1410" t="s">
        <v>149</v>
      </c>
      <c r="Q1410" s="1" t="s">
        <v>140</v>
      </c>
      <c r="R1410" t="str">
        <f>Table11[[#This Row],[Match]]&amp;" "&amp;Table11[[#This Row],[Over]]</f>
        <v>20 32</v>
      </c>
    </row>
    <row r="1411" spans="1:18" x14ac:dyDescent="0.3">
      <c r="A1411">
        <v>20</v>
      </c>
      <c r="B1411" s="1">
        <v>33</v>
      </c>
      <c r="C1411" s="1" t="s">
        <v>3494</v>
      </c>
      <c r="D1411" s="1" t="s">
        <v>1830</v>
      </c>
      <c r="E1411" s="1" t="s">
        <v>2921</v>
      </c>
      <c r="F1411" s="1" t="s">
        <v>3543</v>
      </c>
      <c r="N1411">
        <f>_xlfn.NUMBERVALUE(LEFT(Table11[[#This Row],[Score]],FIND("/",Table11[[#This Row],[Score]])-1))</f>
        <v>151</v>
      </c>
      <c r="O1411" t="str">
        <f>IFERROR(_xlfn.NUMBERVALUE(LEFT(Table11[[#This Row],[Score2 ]],FIND("/",Table11[[#This Row],[Score2 ]])-1)),"")</f>
        <v/>
      </c>
      <c r="P1411" t="s">
        <v>149</v>
      </c>
      <c r="Q1411" s="1" t="s">
        <v>140</v>
      </c>
      <c r="R1411" t="str">
        <f>Table11[[#This Row],[Match]]&amp;" "&amp;Table11[[#This Row],[Over]]</f>
        <v>20 33</v>
      </c>
    </row>
    <row r="1412" spans="1:18" x14ac:dyDescent="0.3">
      <c r="A1412">
        <v>22</v>
      </c>
      <c r="B1412" s="1">
        <v>1</v>
      </c>
      <c r="C1412" s="1" t="s">
        <v>2686</v>
      </c>
      <c r="D1412" s="1" t="s">
        <v>968</v>
      </c>
      <c r="E1412" s="1" t="s">
        <v>1662</v>
      </c>
      <c r="F1412" s="1" t="s">
        <v>348</v>
      </c>
      <c r="G1412" s="1" t="s">
        <v>897</v>
      </c>
      <c r="H1412" s="1" t="s">
        <v>898</v>
      </c>
      <c r="I1412" s="1" t="s">
        <v>899</v>
      </c>
      <c r="J1412" s="1" t="s">
        <v>348</v>
      </c>
      <c r="K1412" s="1" t="s">
        <v>2440</v>
      </c>
      <c r="L1412" s="1" t="s">
        <v>2093</v>
      </c>
      <c r="M1412" s="1" t="s">
        <v>902</v>
      </c>
      <c r="N1412">
        <f>_xlfn.NUMBERVALUE(LEFT(Table11[[#This Row],[Score]],FIND("/",Table11[[#This Row],[Score]])-1))</f>
        <v>1</v>
      </c>
      <c r="O1412">
        <f>IFERROR(_xlfn.NUMBERVALUE(LEFT(Table11[[#This Row],[Score2 ]],FIND("/",Table11[[#This Row],[Score2 ]])-1)),"")</f>
        <v>2</v>
      </c>
      <c r="P1412" t="s">
        <v>154</v>
      </c>
      <c r="Q1412" s="1" t="s">
        <v>145</v>
      </c>
      <c r="R1412" t="str">
        <f>Table11[[#This Row],[Match]]&amp;" "&amp;Table11[[#This Row],[Over]]</f>
        <v>22 1</v>
      </c>
    </row>
    <row r="1413" spans="1:18" x14ac:dyDescent="0.3">
      <c r="A1413">
        <v>22</v>
      </c>
      <c r="B1413" s="1">
        <v>2</v>
      </c>
      <c r="C1413" s="1" t="s">
        <v>1421</v>
      </c>
      <c r="D1413" s="1" t="s">
        <v>947</v>
      </c>
      <c r="E1413" s="1" t="s">
        <v>969</v>
      </c>
      <c r="F1413" s="1" t="s">
        <v>348</v>
      </c>
      <c r="G1413" s="1" t="s">
        <v>1721</v>
      </c>
      <c r="H1413" s="1" t="s">
        <v>922</v>
      </c>
      <c r="I1413" s="1" t="s">
        <v>939</v>
      </c>
      <c r="J1413" s="1" t="s">
        <v>348</v>
      </c>
      <c r="K1413" s="1" t="s">
        <v>1240</v>
      </c>
      <c r="L1413" s="1" t="s">
        <v>1234</v>
      </c>
      <c r="M1413" s="1" t="s">
        <v>909</v>
      </c>
      <c r="N1413">
        <f>_xlfn.NUMBERVALUE(LEFT(Table11[[#This Row],[Score]],FIND("/",Table11[[#This Row],[Score]])-1))</f>
        <v>10</v>
      </c>
      <c r="O1413">
        <f>IFERROR(_xlfn.NUMBERVALUE(LEFT(Table11[[#This Row],[Score2 ]],FIND("/",Table11[[#This Row],[Score2 ]])-1)),"")</f>
        <v>8</v>
      </c>
      <c r="P1413" t="s">
        <v>154</v>
      </c>
      <c r="Q1413" s="1" t="s">
        <v>145</v>
      </c>
      <c r="R1413" t="str">
        <f>Table11[[#This Row],[Match]]&amp;" "&amp;Table11[[#This Row],[Over]]</f>
        <v>22 2</v>
      </c>
    </row>
    <row r="1414" spans="1:18" x14ac:dyDescent="0.3">
      <c r="A1414">
        <v>22</v>
      </c>
      <c r="B1414" s="1">
        <v>3</v>
      </c>
      <c r="C1414" s="1" t="s">
        <v>1629</v>
      </c>
      <c r="D1414" s="1" t="s">
        <v>947</v>
      </c>
      <c r="E1414" s="1" t="s">
        <v>1723</v>
      </c>
      <c r="F1414" s="1" t="s">
        <v>348</v>
      </c>
      <c r="G1414" s="1" t="s">
        <v>1235</v>
      </c>
      <c r="H1414" s="1" t="s">
        <v>968</v>
      </c>
      <c r="I1414" s="1" t="s">
        <v>1238</v>
      </c>
      <c r="J1414" s="1" t="s">
        <v>348</v>
      </c>
      <c r="K1414" s="1" t="s">
        <v>943</v>
      </c>
      <c r="L1414" s="1" t="s">
        <v>3483</v>
      </c>
      <c r="M1414" s="1" t="s">
        <v>920</v>
      </c>
      <c r="N1414">
        <f>_xlfn.NUMBERVALUE(LEFT(Table11[[#This Row],[Score]],FIND("/",Table11[[#This Row],[Score]])-1))</f>
        <v>19</v>
      </c>
      <c r="O1414">
        <f>IFERROR(_xlfn.NUMBERVALUE(LEFT(Table11[[#This Row],[Score2 ]],FIND("/",Table11[[#This Row],[Score2 ]])-1)),"")</f>
        <v>9</v>
      </c>
      <c r="P1414" t="s">
        <v>154</v>
      </c>
      <c r="Q1414" s="1" t="s">
        <v>145</v>
      </c>
      <c r="R1414" t="str">
        <f>Table11[[#This Row],[Match]]&amp;" "&amp;Table11[[#This Row],[Over]]</f>
        <v>22 3</v>
      </c>
    </row>
    <row r="1415" spans="1:18" x14ac:dyDescent="0.3">
      <c r="A1415">
        <v>22</v>
      </c>
      <c r="B1415" s="1">
        <v>4</v>
      </c>
      <c r="C1415" s="1" t="s">
        <v>2090</v>
      </c>
      <c r="D1415" s="1" t="s">
        <v>1684</v>
      </c>
      <c r="E1415" s="1" t="s">
        <v>1136</v>
      </c>
      <c r="F1415" s="1" t="s">
        <v>348</v>
      </c>
      <c r="G1415" s="1" t="s">
        <v>2326</v>
      </c>
      <c r="H1415" s="1" t="s">
        <v>947</v>
      </c>
      <c r="I1415" s="1" t="s">
        <v>1021</v>
      </c>
      <c r="J1415" s="1" t="s">
        <v>348</v>
      </c>
      <c r="K1415" s="1" t="s">
        <v>2706</v>
      </c>
      <c r="L1415" s="1" t="s">
        <v>3382</v>
      </c>
      <c r="M1415" s="1" t="s">
        <v>928</v>
      </c>
      <c r="N1415">
        <f>_xlfn.NUMBERVALUE(LEFT(Table11[[#This Row],[Score]],FIND("/",Table11[[#This Row],[Score]])-1))</f>
        <v>38</v>
      </c>
      <c r="O1415">
        <f>IFERROR(_xlfn.NUMBERVALUE(LEFT(Table11[[#This Row],[Score2 ]],FIND("/",Table11[[#This Row],[Score2 ]])-1)),"")</f>
        <v>18</v>
      </c>
      <c r="P1415" t="s">
        <v>154</v>
      </c>
      <c r="Q1415" s="1" t="s">
        <v>145</v>
      </c>
      <c r="R1415" t="str">
        <f>Table11[[#This Row],[Match]]&amp;" "&amp;Table11[[#This Row],[Over]]</f>
        <v>22 4</v>
      </c>
    </row>
    <row r="1416" spans="1:18" x14ac:dyDescent="0.3">
      <c r="A1416">
        <v>22</v>
      </c>
      <c r="B1416" s="1">
        <v>5</v>
      </c>
      <c r="C1416" s="1" t="s">
        <v>2104</v>
      </c>
      <c r="D1416" s="1" t="s">
        <v>998</v>
      </c>
      <c r="E1416" s="1" t="s">
        <v>1335</v>
      </c>
      <c r="F1416" s="1" t="s">
        <v>1335</v>
      </c>
      <c r="G1416" s="1" t="s">
        <v>1631</v>
      </c>
      <c r="H1416" s="1" t="s">
        <v>916</v>
      </c>
      <c r="I1416" s="1" t="s">
        <v>969</v>
      </c>
      <c r="J1416" s="1" t="s">
        <v>969</v>
      </c>
      <c r="K1416" s="1" t="s">
        <v>1723</v>
      </c>
      <c r="L1416" s="1" t="s">
        <v>2687</v>
      </c>
      <c r="M1416" s="1" t="s">
        <v>937</v>
      </c>
      <c r="N1416">
        <f>_xlfn.NUMBERVALUE(LEFT(Table11[[#This Row],[Score]],FIND("/",Table11[[#This Row],[Score]])-1))</f>
        <v>42</v>
      </c>
      <c r="O1416">
        <f>IFERROR(_xlfn.NUMBERVALUE(LEFT(Table11[[#This Row],[Score2 ]],FIND("/",Table11[[#This Row],[Score2 ]])-1)),"")</f>
        <v>25</v>
      </c>
      <c r="P1416" t="s">
        <v>154</v>
      </c>
      <c r="Q1416" s="1" t="s">
        <v>145</v>
      </c>
      <c r="R1416" t="str">
        <f>Table11[[#This Row],[Match]]&amp;" "&amp;Table11[[#This Row],[Over]]</f>
        <v>22 5</v>
      </c>
    </row>
    <row r="1417" spans="1:18" x14ac:dyDescent="0.3">
      <c r="A1417">
        <v>22</v>
      </c>
      <c r="B1417" s="1">
        <v>6</v>
      </c>
      <c r="C1417" s="1" t="s">
        <v>2094</v>
      </c>
      <c r="D1417" s="1" t="s">
        <v>904</v>
      </c>
      <c r="E1417" s="1" t="s">
        <v>1322</v>
      </c>
      <c r="F1417" s="1" t="s">
        <v>1154</v>
      </c>
      <c r="G1417" s="1" t="s">
        <v>1631</v>
      </c>
      <c r="H1417" s="1" t="s">
        <v>1007</v>
      </c>
      <c r="I1417" s="1" t="s">
        <v>1632</v>
      </c>
      <c r="J1417" s="1" t="s">
        <v>976</v>
      </c>
      <c r="K1417" s="1" t="s">
        <v>1985</v>
      </c>
      <c r="L1417" s="1" t="s">
        <v>2687</v>
      </c>
      <c r="M1417" s="1" t="s">
        <v>945</v>
      </c>
      <c r="N1417">
        <f>_xlfn.NUMBERVALUE(LEFT(Table11[[#This Row],[Score]],FIND("/",Table11[[#This Row],[Score]])-1))</f>
        <v>45</v>
      </c>
      <c r="O1417">
        <f>IFERROR(_xlfn.NUMBERVALUE(LEFT(Table11[[#This Row],[Score2 ]],FIND("/",Table11[[#This Row],[Score2 ]])-1)),"")</f>
        <v>25</v>
      </c>
      <c r="P1417" t="s">
        <v>154</v>
      </c>
      <c r="Q1417" s="1" t="s">
        <v>145</v>
      </c>
      <c r="R1417" t="str">
        <f>Table11[[#This Row],[Match]]&amp;" "&amp;Table11[[#This Row],[Over]]</f>
        <v>22 6</v>
      </c>
    </row>
    <row r="1418" spans="1:18" x14ac:dyDescent="0.3">
      <c r="A1418">
        <v>22</v>
      </c>
      <c r="B1418" s="1">
        <v>7</v>
      </c>
      <c r="C1418" s="1" t="s">
        <v>1984</v>
      </c>
      <c r="D1418" s="1" t="s">
        <v>922</v>
      </c>
      <c r="E1418" s="1" t="s">
        <v>2627</v>
      </c>
      <c r="F1418" s="1" t="s">
        <v>1405</v>
      </c>
      <c r="G1418" s="1" t="s">
        <v>1974</v>
      </c>
      <c r="H1418" s="1" t="s">
        <v>904</v>
      </c>
      <c r="I1418" s="1" t="s">
        <v>939</v>
      </c>
      <c r="J1418" s="1" t="s">
        <v>939</v>
      </c>
      <c r="K1418" s="1" t="s">
        <v>1256</v>
      </c>
      <c r="L1418" s="1" t="s">
        <v>920</v>
      </c>
      <c r="M1418" s="1" t="s">
        <v>955</v>
      </c>
      <c r="N1418">
        <f>_xlfn.NUMBERVALUE(LEFT(Table11[[#This Row],[Score]],FIND("/",Table11[[#This Row],[Score]])-1))</f>
        <v>51</v>
      </c>
      <c r="O1418">
        <f>IFERROR(_xlfn.NUMBERVALUE(LEFT(Table11[[#This Row],[Score2 ]],FIND("/",Table11[[#This Row],[Score2 ]])-1)),"")</f>
        <v>28</v>
      </c>
      <c r="P1418" t="s">
        <v>154</v>
      </c>
      <c r="Q1418" s="1" t="s">
        <v>145</v>
      </c>
      <c r="R1418" t="str">
        <f>Table11[[#This Row],[Match]]&amp;" "&amp;Table11[[#This Row],[Over]]</f>
        <v>22 7</v>
      </c>
    </row>
    <row r="1419" spans="1:18" x14ac:dyDescent="0.3">
      <c r="A1419">
        <v>22</v>
      </c>
      <c r="B1419" s="1">
        <v>8</v>
      </c>
      <c r="C1419" s="1" t="s">
        <v>2445</v>
      </c>
      <c r="D1419" s="1" t="s">
        <v>1095</v>
      </c>
      <c r="E1419" s="1" t="s">
        <v>3544</v>
      </c>
      <c r="F1419" s="1" t="s">
        <v>1335</v>
      </c>
      <c r="G1419" s="1" t="s">
        <v>2104</v>
      </c>
      <c r="H1419" s="1" t="s">
        <v>933</v>
      </c>
      <c r="I1419" s="1" t="s">
        <v>1722</v>
      </c>
      <c r="J1419" s="1" t="s">
        <v>960</v>
      </c>
      <c r="K1419" s="1" t="s">
        <v>1459</v>
      </c>
      <c r="L1419" s="1" t="s">
        <v>1429</v>
      </c>
      <c r="M1419" s="1" t="s">
        <v>963</v>
      </c>
      <c r="N1419">
        <f>_xlfn.NUMBERVALUE(LEFT(Table11[[#This Row],[Score]],FIND("/",Table11[[#This Row],[Score]])-1))</f>
        <v>61</v>
      </c>
      <c r="O1419">
        <f>IFERROR(_xlfn.NUMBERVALUE(LEFT(Table11[[#This Row],[Score2 ]],FIND("/",Table11[[#This Row],[Score2 ]])-1)),"")</f>
        <v>42</v>
      </c>
      <c r="P1419" t="s">
        <v>154</v>
      </c>
      <c r="Q1419" s="1" t="s">
        <v>145</v>
      </c>
      <c r="R1419" t="str">
        <f>Table11[[#This Row],[Match]]&amp;" "&amp;Table11[[#This Row],[Over]]</f>
        <v>22 8</v>
      </c>
    </row>
    <row r="1420" spans="1:18" x14ac:dyDescent="0.3">
      <c r="A1420">
        <v>22</v>
      </c>
      <c r="B1420" s="1">
        <v>9</v>
      </c>
      <c r="C1420" s="1" t="s">
        <v>1741</v>
      </c>
      <c r="D1420" s="1" t="s">
        <v>968</v>
      </c>
      <c r="E1420" s="1" t="s">
        <v>1742</v>
      </c>
      <c r="F1420" s="1" t="s">
        <v>1093</v>
      </c>
      <c r="G1420" s="1" t="s">
        <v>2108</v>
      </c>
      <c r="H1420" s="1" t="s">
        <v>1095</v>
      </c>
      <c r="I1420" s="1" t="s">
        <v>2424</v>
      </c>
      <c r="J1420" s="1" t="s">
        <v>1053</v>
      </c>
      <c r="K1420" s="1" t="s">
        <v>1240</v>
      </c>
      <c r="L1420" s="1" t="s">
        <v>955</v>
      </c>
      <c r="M1420" s="1" t="s">
        <v>973</v>
      </c>
      <c r="N1420">
        <f>_xlfn.NUMBERVALUE(LEFT(Table11[[#This Row],[Score]],FIND("/",Table11[[#This Row],[Score]])-1))</f>
        <v>62</v>
      </c>
      <c r="O1420">
        <f>IFERROR(_xlfn.NUMBERVALUE(LEFT(Table11[[#This Row],[Score2 ]],FIND("/",Table11[[#This Row],[Score2 ]])-1)),"")</f>
        <v>52</v>
      </c>
      <c r="P1420" t="s">
        <v>154</v>
      </c>
      <c r="Q1420" s="1" t="s">
        <v>145</v>
      </c>
      <c r="R1420" t="str">
        <f>Table11[[#This Row],[Match]]&amp;" "&amp;Table11[[#This Row],[Over]]</f>
        <v>22 9</v>
      </c>
    </row>
    <row r="1421" spans="1:18" x14ac:dyDescent="0.3">
      <c r="A1421">
        <v>22</v>
      </c>
      <c r="B1421" s="1">
        <v>10</v>
      </c>
      <c r="C1421" s="1" t="s">
        <v>1005</v>
      </c>
      <c r="D1421" s="1" t="s">
        <v>1007</v>
      </c>
      <c r="E1421" s="1" t="s">
        <v>970</v>
      </c>
      <c r="F1421" s="1" t="s">
        <v>939</v>
      </c>
      <c r="G1421" s="1" t="s">
        <v>1986</v>
      </c>
      <c r="H1421" s="1" t="s">
        <v>904</v>
      </c>
      <c r="I1421" s="1" t="s">
        <v>959</v>
      </c>
      <c r="J1421" s="1" t="s">
        <v>1019</v>
      </c>
      <c r="K1421" s="1" t="s">
        <v>978</v>
      </c>
      <c r="L1421" s="1" t="s">
        <v>979</v>
      </c>
      <c r="M1421" s="1" t="s">
        <v>980</v>
      </c>
      <c r="N1421">
        <f>_xlfn.NUMBERVALUE(LEFT(Table11[[#This Row],[Score]],FIND("/",Table11[[#This Row],[Score]])-1))</f>
        <v>62</v>
      </c>
      <c r="O1421">
        <f>IFERROR(_xlfn.NUMBERVALUE(LEFT(Table11[[#This Row],[Score2 ]],FIND("/",Table11[[#This Row],[Score2 ]])-1)),"")</f>
        <v>55</v>
      </c>
      <c r="P1421" t="s">
        <v>154</v>
      </c>
      <c r="Q1421" s="1" t="s">
        <v>145</v>
      </c>
      <c r="R1421" t="str">
        <f>Table11[[#This Row],[Match]]&amp;" "&amp;Table11[[#This Row],[Over]]</f>
        <v>22 10</v>
      </c>
    </row>
    <row r="1422" spans="1:18" x14ac:dyDescent="0.3">
      <c r="A1422">
        <v>22</v>
      </c>
      <c r="B1422" s="1">
        <v>11</v>
      </c>
      <c r="C1422" s="1" t="s">
        <v>2694</v>
      </c>
      <c r="D1422" s="1" t="s">
        <v>898</v>
      </c>
      <c r="E1422" s="1" t="s">
        <v>1420</v>
      </c>
      <c r="F1422" s="1" t="s">
        <v>990</v>
      </c>
      <c r="G1422" s="1" t="s">
        <v>1740</v>
      </c>
      <c r="H1422" s="1" t="s">
        <v>898</v>
      </c>
      <c r="I1422" s="1" t="s">
        <v>2406</v>
      </c>
      <c r="J1422" s="1" t="s">
        <v>943</v>
      </c>
      <c r="K1422" s="1" t="s">
        <v>2468</v>
      </c>
      <c r="L1422" s="1" t="s">
        <v>1445</v>
      </c>
      <c r="M1422" s="1" t="s">
        <v>987</v>
      </c>
      <c r="N1422">
        <f>_xlfn.NUMBERVALUE(LEFT(Table11[[#This Row],[Score]],FIND("/",Table11[[#This Row],[Score]])-1))</f>
        <v>64</v>
      </c>
      <c r="O1422">
        <f>IFERROR(_xlfn.NUMBERVALUE(LEFT(Table11[[#This Row],[Score2 ]],FIND("/",Table11[[#This Row],[Score2 ]])-1)),"")</f>
        <v>57</v>
      </c>
      <c r="P1422" t="s">
        <v>154</v>
      </c>
      <c r="Q1422" s="1" t="s">
        <v>145</v>
      </c>
      <c r="R1422" t="str">
        <f>Table11[[#This Row],[Match]]&amp;" "&amp;Table11[[#This Row],[Over]]</f>
        <v>22 11</v>
      </c>
    </row>
    <row r="1423" spans="1:18" x14ac:dyDescent="0.3">
      <c r="A1423">
        <v>22</v>
      </c>
      <c r="B1423" s="1">
        <v>12</v>
      </c>
      <c r="C1423" s="1" t="s">
        <v>1296</v>
      </c>
      <c r="D1423" s="1" t="s">
        <v>922</v>
      </c>
      <c r="E1423" s="1" t="s">
        <v>1404</v>
      </c>
      <c r="F1423" s="1" t="s">
        <v>990</v>
      </c>
      <c r="G1423" s="1" t="s">
        <v>2755</v>
      </c>
      <c r="H1423" s="1" t="s">
        <v>1095</v>
      </c>
      <c r="I1423" s="1" t="s">
        <v>1134</v>
      </c>
      <c r="J1423" s="1" t="s">
        <v>1168</v>
      </c>
      <c r="K1423" s="1" t="s">
        <v>1452</v>
      </c>
      <c r="L1423" s="1" t="s">
        <v>1003</v>
      </c>
      <c r="M1423" s="1" t="s">
        <v>996</v>
      </c>
      <c r="N1423">
        <f>_xlfn.NUMBERVALUE(LEFT(Table11[[#This Row],[Score]],FIND("/",Table11[[#This Row],[Score]])-1))</f>
        <v>70</v>
      </c>
      <c r="O1423">
        <f>IFERROR(_xlfn.NUMBERVALUE(LEFT(Table11[[#This Row],[Score2 ]],FIND("/",Table11[[#This Row],[Score2 ]])-1)),"")</f>
        <v>67</v>
      </c>
      <c r="P1423" t="s">
        <v>154</v>
      </c>
      <c r="Q1423" s="1" t="s">
        <v>145</v>
      </c>
      <c r="R1423" t="str">
        <f>Table11[[#This Row],[Match]]&amp;" "&amp;Table11[[#This Row],[Over]]</f>
        <v>22 12</v>
      </c>
    </row>
    <row r="1424" spans="1:18" x14ac:dyDescent="0.3">
      <c r="A1424">
        <v>22</v>
      </c>
      <c r="B1424" s="1">
        <v>13</v>
      </c>
      <c r="C1424" s="1" t="s">
        <v>1298</v>
      </c>
      <c r="D1424" s="1" t="s">
        <v>998</v>
      </c>
      <c r="E1424" s="1" t="s">
        <v>1192</v>
      </c>
      <c r="F1424" s="1" t="s">
        <v>984</v>
      </c>
      <c r="G1424" s="1" t="s">
        <v>1744</v>
      </c>
      <c r="H1424" s="1" t="s">
        <v>922</v>
      </c>
      <c r="I1424" s="1" t="s">
        <v>1752</v>
      </c>
      <c r="J1424" s="1" t="s">
        <v>970</v>
      </c>
      <c r="K1424" s="1" t="s">
        <v>943</v>
      </c>
      <c r="L1424" s="1" t="s">
        <v>1733</v>
      </c>
      <c r="M1424" s="1" t="s">
        <v>1004</v>
      </c>
      <c r="N1424">
        <f>_xlfn.NUMBERVALUE(LEFT(Table11[[#This Row],[Score]],FIND("/",Table11[[#This Row],[Score]])-1))</f>
        <v>74</v>
      </c>
      <c r="O1424">
        <f>IFERROR(_xlfn.NUMBERVALUE(LEFT(Table11[[#This Row],[Score2 ]],FIND("/",Table11[[#This Row],[Score2 ]])-1)),"")</f>
        <v>73</v>
      </c>
      <c r="P1424" t="s">
        <v>154</v>
      </c>
      <c r="Q1424" s="1" t="s">
        <v>145</v>
      </c>
      <c r="R1424" t="str">
        <f>Table11[[#This Row],[Match]]&amp;" "&amp;Table11[[#This Row],[Over]]</f>
        <v>22 13</v>
      </c>
    </row>
    <row r="1425" spans="1:18" x14ac:dyDescent="0.3">
      <c r="A1425">
        <v>22</v>
      </c>
      <c r="B1425" s="1">
        <v>14</v>
      </c>
      <c r="C1425" s="1" t="s">
        <v>2626</v>
      </c>
      <c r="D1425" s="1" t="s">
        <v>898</v>
      </c>
      <c r="E1425" s="1" t="s">
        <v>1158</v>
      </c>
      <c r="F1425" s="1" t="s">
        <v>993</v>
      </c>
      <c r="G1425" s="1" t="s">
        <v>1751</v>
      </c>
      <c r="H1425" s="1" t="s">
        <v>950</v>
      </c>
      <c r="I1425" s="1" t="s">
        <v>951</v>
      </c>
      <c r="J1425" s="1" t="s">
        <v>1029</v>
      </c>
      <c r="K1425" s="1" t="s">
        <v>1469</v>
      </c>
      <c r="L1425" s="1" t="s">
        <v>2000</v>
      </c>
      <c r="M1425" s="1" t="s">
        <v>1010</v>
      </c>
      <c r="N1425">
        <f>_xlfn.NUMBERVALUE(LEFT(Table11[[#This Row],[Score]],FIND("/",Table11[[#This Row],[Score]])-1))</f>
        <v>76</v>
      </c>
      <c r="O1425">
        <f>IFERROR(_xlfn.NUMBERVALUE(LEFT(Table11[[#This Row],[Score2 ]],FIND("/",Table11[[#This Row],[Score2 ]])-1)),"")</f>
        <v>78</v>
      </c>
      <c r="P1425" t="s">
        <v>154</v>
      </c>
      <c r="Q1425" s="1" t="s">
        <v>145</v>
      </c>
      <c r="R1425" t="str">
        <f>Table11[[#This Row],[Match]]&amp;" "&amp;Table11[[#This Row],[Over]]</f>
        <v>22 14</v>
      </c>
    </row>
    <row r="1426" spans="1:18" x14ac:dyDescent="0.3">
      <c r="A1426">
        <v>22</v>
      </c>
      <c r="B1426" s="1">
        <v>15</v>
      </c>
      <c r="C1426" s="1" t="s">
        <v>1034</v>
      </c>
      <c r="D1426" s="1" t="s">
        <v>904</v>
      </c>
      <c r="E1426" s="1" t="s">
        <v>2178</v>
      </c>
      <c r="F1426" s="1" t="s">
        <v>1247</v>
      </c>
      <c r="G1426" s="1" t="s">
        <v>3545</v>
      </c>
      <c r="H1426" s="1" t="s">
        <v>922</v>
      </c>
      <c r="I1426" s="1" t="s">
        <v>934</v>
      </c>
      <c r="J1426" s="1" t="s">
        <v>1013</v>
      </c>
      <c r="K1426" s="1" t="s">
        <v>2454</v>
      </c>
      <c r="L1426" s="1" t="s">
        <v>2356</v>
      </c>
      <c r="M1426" s="1" t="s">
        <v>1016</v>
      </c>
      <c r="N1426">
        <f>_xlfn.NUMBERVALUE(LEFT(Table11[[#This Row],[Score]],FIND("/",Table11[[#This Row],[Score]])-1))</f>
        <v>79</v>
      </c>
      <c r="O1426">
        <f>IFERROR(_xlfn.NUMBERVALUE(LEFT(Table11[[#This Row],[Score2 ]],FIND("/",Table11[[#This Row],[Score2 ]])-1)),"")</f>
        <v>84</v>
      </c>
      <c r="P1426" t="s">
        <v>154</v>
      </c>
      <c r="Q1426" s="1" t="s">
        <v>145</v>
      </c>
      <c r="R1426" t="str">
        <f>Table11[[#This Row],[Match]]&amp;" "&amp;Table11[[#This Row],[Over]]</f>
        <v>22 15</v>
      </c>
    </row>
    <row r="1427" spans="1:18" x14ac:dyDescent="0.3">
      <c r="A1427">
        <v>22</v>
      </c>
      <c r="B1427" s="1">
        <v>16</v>
      </c>
      <c r="C1427" s="1" t="s">
        <v>1039</v>
      </c>
      <c r="D1427" s="1" t="s">
        <v>998</v>
      </c>
      <c r="E1427" s="1" t="s">
        <v>2406</v>
      </c>
      <c r="F1427" s="1" t="s">
        <v>990</v>
      </c>
      <c r="G1427" s="1" t="s">
        <v>2931</v>
      </c>
      <c r="H1427" s="1" t="s">
        <v>916</v>
      </c>
      <c r="I1427" s="1" t="s">
        <v>1761</v>
      </c>
      <c r="J1427" s="1" t="s">
        <v>1053</v>
      </c>
      <c r="K1427" s="1" t="s">
        <v>1469</v>
      </c>
      <c r="L1427" s="1" t="s">
        <v>1470</v>
      </c>
      <c r="M1427" s="1" t="s">
        <v>1024</v>
      </c>
      <c r="N1427">
        <f>_xlfn.NUMBERVALUE(LEFT(Table11[[#This Row],[Score]],FIND("/",Table11[[#This Row],[Score]])-1))</f>
        <v>83</v>
      </c>
      <c r="O1427">
        <f>IFERROR(_xlfn.NUMBERVALUE(LEFT(Table11[[#This Row],[Score2 ]],FIND("/",Table11[[#This Row],[Score2 ]])-1)),"")</f>
        <v>91</v>
      </c>
      <c r="P1427" t="s">
        <v>154</v>
      </c>
      <c r="Q1427" s="1" t="s">
        <v>145</v>
      </c>
      <c r="R1427" t="str">
        <f>Table11[[#This Row],[Match]]&amp;" "&amp;Table11[[#This Row],[Over]]</f>
        <v>22 16</v>
      </c>
    </row>
    <row r="1428" spans="1:18" x14ac:dyDescent="0.3">
      <c r="A1428">
        <v>22</v>
      </c>
      <c r="B1428" s="1">
        <v>17</v>
      </c>
      <c r="C1428" s="1" t="s">
        <v>2821</v>
      </c>
      <c r="D1428" s="1" t="s">
        <v>950</v>
      </c>
      <c r="E1428" s="1" t="s">
        <v>1573</v>
      </c>
      <c r="F1428" s="1" t="s">
        <v>977</v>
      </c>
      <c r="G1428" s="1" t="s">
        <v>3546</v>
      </c>
      <c r="H1428" s="1" t="s">
        <v>898</v>
      </c>
      <c r="I1428" s="1" t="s">
        <v>2070</v>
      </c>
      <c r="J1428" s="1" t="s">
        <v>1029</v>
      </c>
      <c r="K1428" s="1" t="s">
        <v>2926</v>
      </c>
      <c r="L1428" s="1" t="s">
        <v>2006</v>
      </c>
      <c r="M1428" s="1" t="s">
        <v>1031</v>
      </c>
      <c r="N1428">
        <f>_xlfn.NUMBERVALUE(LEFT(Table11[[#This Row],[Score]],FIND("/",Table11[[#This Row],[Score]])-1))</f>
        <v>88</v>
      </c>
      <c r="O1428">
        <f>IFERROR(_xlfn.NUMBERVALUE(LEFT(Table11[[#This Row],[Score2 ]],FIND("/",Table11[[#This Row],[Score2 ]])-1)),"")</f>
        <v>93</v>
      </c>
      <c r="P1428" t="s">
        <v>154</v>
      </c>
      <c r="Q1428" s="1" t="s">
        <v>145</v>
      </c>
      <c r="R1428" t="str">
        <f>Table11[[#This Row],[Match]]&amp;" "&amp;Table11[[#This Row],[Over]]</f>
        <v>22 17</v>
      </c>
    </row>
    <row r="1429" spans="1:18" x14ac:dyDescent="0.3">
      <c r="A1429">
        <v>22</v>
      </c>
      <c r="B1429" s="1">
        <v>18</v>
      </c>
      <c r="C1429" s="1" t="s">
        <v>2698</v>
      </c>
      <c r="D1429" s="1" t="s">
        <v>898</v>
      </c>
      <c r="E1429" s="1" t="s">
        <v>969</v>
      </c>
      <c r="F1429" s="1" t="s">
        <v>1259</v>
      </c>
      <c r="G1429" s="1" t="s">
        <v>2111</v>
      </c>
      <c r="H1429" s="1" t="s">
        <v>998</v>
      </c>
      <c r="I1429" s="1" t="s">
        <v>1732</v>
      </c>
      <c r="J1429" s="1" t="s">
        <v>1093</v>
      </c>
      <c r="K1429" s="1" t="s">
        <v>2492</v>
      </c>
      <c r="L1429" s="1" t="s">
        <v>2010</v>
      </c>
      <c r="M1429" s="1" t="s">
        <v>1037</v>
      </c>
      <c r="N1429">
        <f>_xlfn.NUMBERVALUE(LEFT(Table11[[#This Row],[Score]],FIND("/",Table11[[#This Row],[Score]])-1))</f>
        <v>90</v>
      </c>
      <c r="O1429">
        <f>IFERROR(_xlfn.NUMBERVALUE(LEFT(Table11[[#This Row],[Score2 ]],FIND("/",Table11[[#This Row],[Score2 ]])-1)),"")</f>
        <v>97</v>
      </c>
      <c r="P1429" t="s">
        <v>154</v>
      </c>
      <c r="Q1429" s="1" t="s">
        <v>145</v>
      </c>
      <c r="R1429" t="str">
        <f>Table11[[#This Row],[Match]]&amp;" "&amp;Table11[[#This Row],[Over]]</f>
        <v>22 18</v>
      </c>
    </row>
    <row r="1430" spans="1:18" x14ac:dyDescent="0.3">
      <c r="A1430">
        <v>22</v>
      </c>
      <c r="B1430" s="1">
        <v>19</v>
      </c>
      <c r="C1430" s="1" t="s">
        <v>2699</v>
      </c>
      <c r="D1430" s="1" t="s">
        <v>998</v>
      </c>
      <c r="E1430" s="1" t="s">
        <v>1033</v>
      </c>
      <c r="F1430" s="1" t="s">
        <v>977</v>
      </c>
      <c r="G1430" s="1" t="s">
        <v>1681</v>
      </c>
      <c r="H1430" s="1" t="s">
        <v>904</v>
      </c>
      <c r="I1430" s="1" t="s">
        <v>2178</v>
      </c>
      <c r="J1430" s="1" t="s">
        <v>940</v>
      </c>
      <c r="K1430" s="1" t="s">
        <v>1484</v>
      </c>
      <c r="L1430" s="1" t="s">
        <v>1016</v>
      </c>
      <c r="M1430" s="1" t="s">
        <v>1043</v>
      </c>
      <c r="N1430">
        <f>_xlfn.NUMBERVALUE(LEFT(Table11[[#This Row],[Score]],FIND("/",Table11[[#This Row],[Score]])-1))</f>
        <v>94</v>
      </c>
      <c r="O1430">
        <f>IFERROR(_xlfn.NUMBERVALUE(LEFT(Table11[[#This Row],[Score2 ]],FIND("/",Table11[[#This Row],[Score2 ]])-1)),"")</f>
        <v>100</v>
      </c>
      <c r="P1430" t="s">
        <v>154</v>
      </c>
      <c r="Q1430" s="1" t="s">
        <v>145</v>
      </c>
      <c r="R1430" t="str">
        <f>Table11[[#This Row],[Match]]&amp;" "&amp;Table11[[#This Row],[Over]]</f>
        <v>22 19</v>
      </c>
    </row>
    <row r="1431" spans="1:18" x14ac:dyDescent="0.3">
      <c r="A1431">
        <v>22</v>
      </c>
      <c r="B1431" s="1">
        <v>20</v>
      </c>
      <c r="C1431" s="1" t="s">
        <v>2704</v>
      </c>
      <c r="D1431" s="1" t="s">
        <v>922</v>
      </c>
      <c r="E1431" s="1" t="s">
        <v>969</v>
      </c>
      <c r="F1431" s="1" t="s">
        <v>931</v>
      </c>
      <c r="G1431" s="1" t="s">
        <v>3098</v>
      </c>
      <c r="H1431" s="1" t="s">
        <v>950</v>
      </c>
      <c r="I1431" s="1" t="s">
        <v>1722</v>
      </c>
      <c r="J1431" s="1" t="s">
        <v>931</v>
      </c>
      <c r="K1431" s="1" t="s">
        <v>1487</v>
      </c>
      <c r="L1431" s="1" t="s">
        <v>1488</v>
      </c>
      <c r="M1431" s="1" t="s">
        <v>1049</v>
      </c>
      <c r="N1431">
        <f>_xlfn.NUMBERVALUE(LEFT(Table11[[#This Row],[Score]],FIND("/",Table11[[#This Row],[Score]])-1))</f>
        <v>100</v>
      </c>
      <c r="O1431">
        <f>IFERROR(_xlfn.NUMBERVALUE(LEFT(Table11[[#This Row],[Score2 ]],FIND("/",Table11[[#This Row],[Score2 ]])-1)),"")</f>
        <v>105</v>
      </c>
      <c r="P1431" t="s">
        <v>154</v>
      </c>
      <c r="Q1431" s="1" t="s">
        <v>145</v>
      </c>
      <c r="R1431" t="str">
        <f>Table11[[#This Row],[Match]]&amp;" "&amp;Table11[[#This Row],[Over]]</f>
        <v>22 20</v>
      </c>
    </row>
    <row r="1432" spans="1:18" x14ac:dyDescent="0.3">
      <c r="A1432">
        <v>22</v>
      </c>
      <c r="B1432" s="1">
        <v>21</v>
      </c>
      <c r="C1432" s="1" t="s">
        <v>2252</v>
      </c>
      <c r="D1432" s="1" t="s">
        <v>950</v>
      </c>
      <c r="E1432" s="1" t="s">
        <v>969</v>
      </c>
      <c r="F1432" s="1" t="s">
        <v>940</v>
      </c>
      <c r="G1432" s="1" t="s">
        <v>1050</v>
      </c>
      <c r="H1432" s="1" t="s">
        <v>998</v>
      </c>
      <c r="I1432" s="1" t="s">
        <v>1052</v>
      </c>
      <c r="J1432" s="1" t="s">
        <v>977</v>
      </c>
      <c r="K1432" s="1" t="s">
        <v>1036</v>
      </c>
      <c r="L1432" s="1" t="s">
        <v>1314</v>
      </c>
      <c r="M1432" s="1" t="s">
        <v>1056</v>
      </c>
      <c r="N1432">
        <f>_xlfn.NUMBERVALUE(LEFT(Table11[[#This Row],[Score]],FIND("/",Table11[[#This Row],[Score]])-1))</f>
        <v>105</v>
      </c>
      <c r="O1432">
        <f>IFERROR(_xlfn.NUMBERVALUE(LEFT(Table11[[#This Row],[Score2 ]],FIND("/",Table11[[#This Row],[Score2 ]])-1)),"")</f>
        <v>109</v>
      </c>
      <c r="P1432" t="s">
        <v>154</v>
      </c>
      <c r="Q1432" s="1" t="s">
        <v>145</v>
      </c>
      <c r="R1432" t="str">
        <f>Table11[[#This Row],[Match]]&amp;" "&amp;Table11[[#This Row],[Over]]</f>
        <v>22 21</v>
      </c>
    </row>
    <row r="1433" spans="1:18" x14ac:dyDescent="0.3">
      <c r="A1433">
        <v>22</v>
      </c>
      <c r="B1433" s="1">
        <v>22</v>
      </c>
      <c r="C1433" s="1" t="s">
        <v>1317</v>
      </c>
      <c r="D1433" s="1" t="s">
        <v>904</v>
      </c>
      <c r="E1433" s="1" t="s">
        <v>1045</v>
      </c>
      <c r="F1433" s="1" t="s">
        <v>939</v>
      </c>
      <c r="G1433" s="1" t="s">
        <v>3547</v>
      </c>
      <c r="H1433" s="1" t="s">
        <v>916</v>
      </c>
      <c r="I1433" s="1" t="s">
        <v>1593</v>
      </c>
      <c r="J1433" s="1" t="s">
        <v>976</v>
      </c>
      <c r="K1433" s="1" t="s">
        <v>3245</v>
      </c>
      <c r="L1433" s="1" t="s">
        <v>1503</v>
      </c>
      <c r="M1433" s="1" t="s">
        <v>1063</v>
      </c>
      <c r="N1433">
        <f>_xlfn.NUMBERVALUE(LEFT(Table11[[#This Row],[Score]],FIND("/",Table11[[#This Row],[Score]])-1))</f>
        <v>108</v>
      </c>
      <c r="O1433">
        <f>IFERROR(_xlfn.NUMBERVALUE(LEFT(Table11[[#This Row],[Score2 ]],FIND("/",Table11[[#This Row],[Score2 ]])-1)),"")</f>
        <v>116</v>
      </c>
      <c r="P1433" t="s">
        <v>154</v>
      </c>
      <c r="Q1433" s="1" t="s">
        <v>145</v>
      </c>
      <c r="R1433" t="str">
        <f>Table11[[#This Row],[Match]]&amp;" "&amp;Table11[[#This Row],[Over]]</f>
        <v>22 22</v>
      </c>
    </row>
    <row r="1434" spans="1:18" x14ac:dyDescent="0.3">
      <c r="A1434">
        <v>22</v>
      </c>
      <c r="B1434" s="1">
        <v>23</v>
      </c>
      <c r="C1434" s="1" t="s">
        <v>1326</v>
      </c>
      <c r="D1434" s="1" t="s">
        <v>916</v>
      </c>
      <c r="E1434" s="1" t="s">
        <v>969</v>
      </c>
      <c r="F1434" s="1" t="s">
        <v>969</v>
      </c>
      <c r="G1434" s="1" t="s">
        <v>3103</v>
      </c>
      <c r="H1434" s="1" t="s">
        <v>930</v>
      </c>
      <c r="I1434" s="1" t="s">
        <v>2298</v>
      </c>
      <c r="J1434" s="1" t="s">
        <v>966</v>
      </c>
      <c r="K1434" s="1" t="s">
        <v>1742</v>
      </c>
      <c r="L1434" s="1" t="s">
        <v>1043</v>
      </c>
      <c r="M1434" s="1" t="s">
        <v>1070</v>
      </c>
      <c r="N1434">
        <f>_xlfn.NUMBERVALUE(LEFT(Table11[[#This Row],[Score]],FIND("/",Table11[[#This Row],[Score]])-1))</f>
        <v>115</v>
      </c>
      <c r="O1434">
        <f>IFERROR(_xlfn.NUMBERVALUE(LEFT(Table11[[#This Row],[Score2 ]],FIND("/",Table11[[#This Row],[Score2 ]])-1)),"")</f>
        <v>124</v>
      </c>
      <c r="P1434" t="s">
        <v>154</v>
      </c>
      <c r="Q1434" s="1" t="s">
        <v>145</v>
      </c>
      <c r="R1434" t="str">
        <f>Table11[[#This Row],[Match]]&amp;" "&amp;Table11[[#This Row],[Over]]</f>
        <v>22 23</v>
      </c>
    </row>
    <row r="1435" spans="1:18" x14ac:dyDescent="0.3">
      <c r="A1435">
        <v>22</v>
      </c>
      <c r="B1435" s="1">
        <v>24</v>
      </c>
      <c r="C1435" s="1" t="s">
        <v>3259</v>
      </c>
      <c r="D1435" s="1" t="s">
        <v>968</v>
      </c>
      <c r="E1435" s="1" t="s">
        <v>2438</v>
      </c>
      <c r="F1435" s="1" t="s">
        <v>940</v>
      </c>
      <c r="G1435" s="1" t="s">
        <v>3548</v>
      </c>
      <c r="H1435" s="1" t="s">
        <v>950</v>
      </c>
      <c r="I1435" s="1" t="s">
        <v>1104</v>
      </c>
      <c r="J1435" s="1" t="s">
        <v>1013</v>
      </c>
      <c r="K1435" s="1" t="s">
        <v>1047</v>
      </c>
      <c r="L1435" s="1" t="s">
        <v>1524</v>
      </c>
      <c r="M1435" s="1" t="s">
        <v>1077</v>
      </c>
      <c r="N1435">
        <f>_xlfn.NUMBERVALUE(LEFT(Table11[[#This Row],[Score]],FIND("/",Table11[[#This Row],[Score]])-1))</f>
        <v>116</v>
      </c>
      <c r="O1435">
        <f>IFERROR(_xlfn.NUMBERVALUE(LEFT(Table11[[#This Row],[Score2 ]],FIND("/",Table11[[#This Row],[Score2 ]])-1)),"")</f>
        <v>129</v>
      </c>
      <c r="P1435" t="s">
        <v>154</v>
      </c>
      <c r="Q1435" s="1" t="s">
        <v>145</v>
      </c>
      <c r="R1435" t="str">
        <f>Table11[[#This Row],[Match]]&amp;" "&amp;Table11[[#This Row],[Over]]</f>
        <v>22 24</v>
      </c>
    </row>
    <row r="1436" spans="1:18" x14ac:dyDescent="0.3">
      <c r="A1436">
        <v>22</v>
      </c>
      <c r="B1436" s="1">
        <v>25</v>
      </c>
      <c r="C1436" s="1" t="s">
        <v>3289</v>
      </c>
      <c r="D1436" s="1" t="s">
        <v>898</v>
      </c>
      <c r="E1436" s="1" t="s">
        <v>1194</v>
      </c>
      <c r="F1436" s="1" t="s">
        <v>977</v>
      </c>
      <c r="G1436" s="1" t="s">
        <v>1078</v>
      </c>
      <c r="H1436" s="1" t="s">
        <v>898</v>
      </c>
      <c r="I1436" s="1" t="s">
        <v>1079</v>
      </c>
      <c r="J1436" s="1" t="s">
        <v>1029</v>
      </c>
      <c r="K1436" s="1" t="s">
        <v>2112</v>
      </c>
      <c r="L1436" s="1" t="s">
        <v>2370</v>
      </c>
      <c r="M1436" s="1" t="s">
        <v>1083</v>
      </c>
      <c r="N1436">
        <f>_xlfn.NUMBERVALUE(LEFT(Table11[[#This Row],[Score]],FIND("/",Table11[[#This Row],[Score]])-1))</f>
        <v>118</v>
      </c>
      <c r="O1436">
        <f>IFERROR(_xlfn.NUMBERVALUE(LEFT(Table11[[#This Row],[Score2 ]],FIND("/",Table11[[#This Row],[Score2 ]])-1)),"")</f>
        <v>131</v>
      </c>
      <c r="P1436" t="s">
        <v>154</v>
      </c>
      <c r="Q1436" s="1" t="s">
        <v>145</v>
      </c>
      <c r="R1436" t="str">
        <f>Table11[[#This Row],[Match]]&amp;" "&amp;Table11[[#This Row],[Over]]</f>
        <v>22 25</v>
      </c>
    </row>
    <row r="1437" spans="1:18" x14ac:dyDescent="0.3">
      <c r="A1437">
        <v>22</v>
      </c>
      <c r="B1437" s="1">
        <v>26</v>
      </c>
      <c r="C1437" s="1" t="s">
        <v>2026</v>
      </c>
      <c r="D1437" s="1" t="s">
        <v>898</v>
      </c>
      <c r="E1437" s="1" t="s">
        <v>1055</v>
      </c>
      <c r="F1437" s="1" t="s">
        <v>1238</v>
      </c>
      <c r="G1437" s="1" t="s">
        <v>1084</v>
      </c>
      <c r="H1437" s="1" t="s">
        <v>904</v>
      </c>
      <c r="I1437" s="1" t="s">
        <v>1085</v>
      </c>
      <c r="J1437" s="1" t="s">
        <v>969</v>
      </c>
      <c r="K1437" s="1" t="s">
        <v>2092</v>
      </c>
      <c r="L1437" s="1" t="s">
        <v>1529</v>
      </c>
      <c r="M1437" s="1" t="s">
        <v>1090</v>
      </c>
      <c r="N1437">
        <f>_xlfn.NUMBERVALUE(LEFT(Table11[[#This Row],[Score]],FIND("/",Table11[[#This Row],[Score]])-1))</f>
        <v>120</v>
      </c>
      <c r="O1437">
        <f>IFERROR(_xlfn.NUMBERVALUE(LEFT(Table11[[#This Row],[Score2 ]],FIND("/",Table11[[#This Row],[Score2 ]])-1)),"")</f>
        <v>134</v>
      </c>
      <c r="P1437" t="s">
        <v>154</v>
      </c>
      <c r="Q1437" s="1" t="s">
        <v>145</v>
      </c>
      <c r="R1437" t="str">
        <f>Table11[[#This Row],[Match]]&amp;" "&amp;Table11[[#This Row],[Over]]</f>
        <v>22 26</v>
      </c>
    </row>
    <row r="1438" spans="1:18" x14ac:dyDescent="0.3">
      <c r="A1438">
        <v>22</v>
      </c>
      <c r="B1438" s="1">
        <v>27</v>
      </c>
      <c r="C1438" s="1" t="s">
        <v>3156</v>
      </c>
      <c r="D1438" s="1" t="s">
        <v>904</v>
      </c>
      <c r="E1438" s="1" t="s">
        <v>1919</v>
      </c>
      <c r="F1438" s="1" t="s">
        <v>1238</v>
      </c>
      <c r="G1438" s="1" t="s">
        <v>3398</v>
      </c>
      <c r="H1438" s="1" t="s">
        <v>922</v>
      </c>
      <c r="I1438" s="1" t="s">
        <v>2406</v>
      </c>
      <c r="J1438" s="1" t="s">
        <v>1093</v>
      </c>
      <c r="K1438" s="1" t="s">
        <v>2942</v>
      </c>
      <c r="L1438" s="1" t="s">
        <v>2041</v>
      </c>
      <c r="M1438" s="1" t="s">
        <v>1098</v>
      </c>
      <c r="N1438">
        <f>_xlfn.NUMBERVALUE(LEFT(Table11[[#This Row],[Score]],FIND("/",Table11[[#This Row],[Score]])-1))</f>
        <v>123</v>
      </c>
      <c r="O1438">
        <f>IFERROR(_xlfn.NUMBERVALUE(LEFT(Table11[[#This Row],[Score2 ]],FIND("/",Table11[[#This Row],[Score2 ]])-1)),"")</f>
        <v>140</v>
      </c>
      <c r="P1438" t="s">
        <v>154</v>
      </c>
      <c r="Q1438" s="1" t="s">
        <v>145</v>
      </c>
      <c r="R1438" t="str">
        <f>Table11[[#This Row],[Match]]&amp;" "&amp;Table11[[#This Row],[Over]]</f>
        <v>22 27</v>
      </c>
    </row>
    <row r="1439" spans="1:18" x14ac:dyDescent="0.3">
      <c r="A1439">
        <v>22</v>
      </c>
      <c r="B1439" s="1">
        <v>28</v>
      </c>
      <c r="C1439" s="1" t="s">
        <v>2714</v>
      </c>
      <c r="D1439" s="1" t="s">
        <v>916</v>
      </c>
      <c r="E1439" s="1" t="s">
        <v>1028</v>
      </c>
      <c r="F1439" s="1" t="s">
        <v>1238</v>
      </c>
      <c r="G1439" s="1" t="s">
        <v>3549</v>
      </c>
      <c r="H1439" s="1" t="s">
        <v>922</v>
      </c>
      <c r="I1439" s="1" t="s">
        <v>2449</v>
      </c>
      <c r="J1439" s="1" t="s">
        <v>940</v>
      </c>
      <c r="K1439" s="1" t="s">
        <v>2350</v>
      </c>
      <c r="L1439" s="1" t="s">
        <v>1126</v>
      </c>
      <c r="M1439" s="1" t="s">
        <v>1101</v>
      </c>
      <c r="N1439">
        <f>_xlfn.NUMBERVALUE(LEFT(Table11[[#This Row],[Score]],FIND("/",Table11[[#This Row],[Score]])-1))</f>
        <v>130</v>
      </c>
      <c r="O1439">
        <f>IFERROR(_xlfn.NUMBERVALUE(LEFT(Table11[[#This Row],[Score2 ]],FIND("/",Table11[[#This Row],[Score2 ]])-1)),"")</f>
        <v>146</v>
      </c>
      <c r="P1439" t="s">
        <v>154</v>
      </c>
      <c r="Q1439" s="1" t="s">
        <v>145</v>
      </c>
      <c r="R1439" t="str">
        <f>Table11[[#This Row],[Match]]&amp;" "&amp;Table11[[#This Row],[Over]]</f>
        <v>22 28</v>
      </c>
    </row>
    <row r="1440" spans="1:18" x14ac:dyDescent="0.3">
      <c r="A1440">
        <v>22</v>
      </c>
      <c r="B1440" s="1">
        <v>29</v>
      </c>
      <c r="C1440" s="1" t="s">
        <v>3159</v>
      </c>
      <c r="D1440" s="1" t="s">
        <v>947</v>
      </c>
      <c r="E1440" s="1" t="s">
        <v>2511</v>
      </c>
      <c r="F1440" s="1" t="s">
        <v>976</v>
      </c>
      <c r="G1440" s="1" t="s">
        <v>3025</v>
      </c>
      <c r="H1440" s="1" t="s">
        <v>930</v>
      </c>
      <c r="I1440" s="1" t="s">
        <v>2257</v>
      </c>
      <c r="J1440" s="1" t="s">
        <v>969</v>
      </c>
      <c r="K1440" s="1" t="s">
        <v>2114</v>
      </c>
      <c r="L1440" s="1" t="s">
        <v>1077</v>
      </c>
      <c r="M1440" s="1" t="s">
        <v>1108</v>
      </c>
      <c r="N1440">
        <f>_xlfn.NUMBERVALUE(LEFT(Table11[[#This Row],[Score]],FIND("/",Table11[[#This Row],[Score]])-1))</f>
        <v>139</v>
      </c>
      <c r="O1440">
        <f>IFERROR(_xlfn.NUMBERVALUE(LEFT(Table11[[#This Row],[Score2 ]],FIND("/",Table11[[#This Row],[Score2 ]])-1)),"")</f>
        <v>154</v>
      </c>
      <c r="P1440" t="s">
        <v>154</v>
      </c>
      <c r="Q1440" s="1" t="s">
        <v>145</v>
      </c>
      <c r="R1440" t="str">
        <f>Table11[[#This Row],[Match]]&amp;" "&amp;Table11[[#This Row],[Over]]</f>
        <v>22 29</v>
      </c>
    </row>
    <row r="1441" spans="1:18" x14ac:dyDescent="0.3">
      <c r="A1441">
        <v>22</v>
      </c>
      <c r="B1441" s="1">
        <v>30</v>
      </c>
      <c r="C1441" s="1" t="s">
        <v>3550</v>
      </c>
      <c r="D1441" s="1" t="s">
        <v>922</v>
      </c>
      <c r="E1441" s="1" t="s">
        <v>2438</v>
      </c>
      <c r="F1441" s="1" t="s">
        <v>966</v>
      </c>
      <c r="G1441" s="1" t="s">
        <v>2471</v>
      </c>
      <c r="H1441" s="1" t="s">
        <v>1103</v>
      </c>
      <c r="I1441" s="1" t="s">
        <v>1603</v>
      </c>
      <c r="J1441" s="1" t="s">
        <v>952</v>
      </c>
      <c r="K1441" s="1" t="s">
        <v>1116</v>
      </c>
      <c r="L1441" s="1" t="s">
        <v>1090</v>
      </c>
      <c r="M1441" s="1" t="s">
        <v>1113</v>
      </c>
      <c r="N1441">
        <f>_xlfn.NUMBERVALUE(LEFT(Table11[[#This Row],[Score]],FIND("/",Table11[[#This Row],[Score]])-1))</f>
        <v>145</v>
      </c>
      <c r="O1441">
        <f>IFERROR(_xlfn.NUMBERVALUE(LEFT(Table11[[#This Row],[Score2 ]],FIND("/",Table11[[#This Row],[Score2 ]])-1)),"")</f>
        <v>166</v>
      </c>
      <c r="P1441" t="s">
        <v>154</v>
      </c>
      <c r="Q1441" s="1" t="s">
        <v>145</v>
      </c>
      <c r="R1441" t="str">
        <f>Table11[[#This Row],[Match]]&amp;" "&amp;Table11[[#This Row],[Over]]</f>
        <v>22 30</v>
      </c>
    </row>
    <row r="1442" spans="1:18" x14ac:dyDescent="0.3">
      <c r="A1442">
        <v>22</v>
      </c>
      <c r="B1442" s="1">
        <v>31</v>
      </c>
      <c r="C1442" s="1" t="s">
        <v>1813</v>
      </c>
      <c r="D1442" s="1" t="s">
        <v>968</v>
      </c>
      <c r="E1442" s="1" t="s">
        <v>1321</v>
      </c>
      <c r="F1442" s="1" t="s">
        <v>1029</v>
      </c>
      <c r="G1442" s="1" t="s">
        <v>3551</v>
      </c>
      <c r="H1442" s="1" t="s">
        <v>998</v>
      </c>
      <c r="I1442" s="1" t="s">
        <v>1115</v>
      </c>
      <c r="J1442" s="1" t="s">
        <v>1116</v>
      </c>
      <c r="K1442" s="1" t="s">
        <v>1779</v>
      </c>
      <c r="L1442" s="1" t="s">
        <v>3152</v>
      </c>
      <c r="M1442" s="1" t="s">
        <v>1121</v>
      </c>
      <c r="N1442">
        <f>_xlfn.NUMBERVALUE(LEFT(Table11[[#This Row],[Score]],FIND("/",Table11[[#This Row],[Score]])-1))</f>
        <v>146</v>
      </c>
      <c r="O1442">
        <f>IFERROR(_xlfn.NUMBERVALUE(LEFT(Table11[[#This Row],[Score2 ]],FIND("/",Table11[[#This Row],[Score2 ]])-1)),"")</f>
        <v>170</v>
      </c>
      <c r="P1442" t="s">
        <v>154</v>
      </c>
      <c r="Q1442" s="1" t="s">
        <v>145</v>
      </c>
      <c r="R1442" t="str">
        <f>Table11[[#This Row],[Match]]&amp;" "&amp;Table11[[#This Row],[Over]]</f>
        <v>22 31</v>
      </c>
    </row>
    <row r="1443" spans="1:18" x14ac:dyDescent="0.3">
      <c r="A1443">
        <v>22</v>
      </c>
      <c r="B1443" s="1">
        <v>32</v>
      </c>
      <c r="C1443" s="1" t="s">
        <v>3552</v>
      </c>
      <c r="D1443" s="1" t="s">
        <v>930</v>
      </c>
      <c r="E1443" s="1" t="s">
        <v>1561</v>
      </c>
      <c r="F1443" s="1" t="s">
        <v>970</v>
      </c>
      <c r="G1443" s="1" t="s">
        <v>3553</v>
      </c>
      <c r="H1443" s="1" t="s">
        <v>898</v>
      </c>
      <c r="I1443" s="1" t="s">
        <v>1104</v>
      </c>
      <c r="J1443" s="1" t="s">
        <v>943</v>
      </c>
      <c r="K1443" s="1" t="s">
        <v>2136</v>
      </c>
      <c r="L1443" s="1" t="s">
        <v>1098</v>
      </c>
      <c r="M1443" s="1" t="s">
        <v>1127</v>
      </c>
      <c r="N1443">
        <f>_xlfn.NUMBERVALUE(LEFT(Table11[[#This Row],[Score]],FIND("/",Table11[[#This Row],[Score]])-1))</f>
        <v>154</v>
      </c>
      <c r="O1443">
        <f>IFERROR(_xlfn.NUMBERVALUE(LEFT(Table11[[#This Row],[Score2 ]],FIND("/",Table11[[#This Row],[Score2 ]])-1)),"")</f>
        <v>172</v>
      </c>
      <c r="P1443" t="s">
        <v>154</v>
      </c>
      <c r="Q1443" s="1" t="s">
        <v>145</v>
      </c>
      <c r="R1443" t="str">
        <f>Table11[[#This Row],[Match]]&amp;" "&amp;Table11[[#This Row],[Over]]</f>
        <v>22 32</v>
      </c>
    </row>
    <row r="1444" spans="1:18" x14ac:dyDescent="0.3">
      <c r="A1444">
        <v>22</v>
      </c>
      <c r="B1444" s="1">
        <v>33</v>
      </c>
      <c r="C1444" s="1" t="s">
        <v>1816</v>
      </c>
      <c r="D1444" s="1" t="s">
        <v>898</v>
      </c>
      <c r="E1444" s="1" t="s">
        <v>1194</v>
      </c>
      <c r="F1444" s="1" t="s">
        <v>1029</v>
      </c>
      <c r="G1444" s="1" t="s">
        <v>3405</v>
      </c>
      <c r="H1444" s="1" t="s">
        <v>916</v>
      </c>
      <c r="I1444" s="1" t="s">
        <v>1158</v>
      </c>
      <c r="J1444" s="1" t="s">
        <v>960</v>
      </c>
      <c r="K1444" s="1" t="s">
        <v>1514</v>
      </c>
      <c r="L1444" s="1" t="s">
        <v>1402</v>
      </c>
      <c r="M1444" s="1" t="s">
        <v>1132</v>
      </c>
      <c r="N1444">
        <f>_xlfn.NUMBERVALUE(LEFT(Table11[[#This Row],[Score]],FIND("/",Table11[[#This Row],[Score]])-1))</f>
        <v>156</v>
      </c>
      <c r="O1444">
        <f>IFERROR(_xlfn.NUMBERVALUE(LEFT(Table11[[#This Row],[Score2 ]],FIND("/",Table11[[#This Row],[Score2 ]])-1)),"")</f>
        <v>179</v>
      </c>
      <c r="P1444" t="s">
        <v>154</v>
      </c>
      <c r="Q1444" s="1" t="s">
        <v>145</v>
      </c>
      <c r="R1444" t="str">
        <f>Table11[[#This Row],[Match]]&amp;" "&amp;Table11[[#This Row],[Over]]</f>
        <v>22 33</v>
      </c>
    </row>
    <row r="1445" spans="1:18" x14ac:dyDescent="0.3">
      <c r="A1445">
        <v>22</v>
      </c>
      <c r="B1445" s="1">
        <v>34</v>
      </c>
      <c r="C1445" s="1" t="s">
        <v>3490</v>
      </c>
      <c r="D1445" s="1" t="s">
        <v>904</v>
      </c>
      <c r="E1445" s="1" t="s">
        <v>1747</v>
      </c>
      <c r="F1445" s="1" t="s">
        <v>939</v>
      </c>
      <c r="G1445" s="1" t="s">
        <v>3554</v>
      </c>
      <c r="H1445" s="1" t="s">
        <v>947</v>
      </c>
      <c r="I1445" s="1" t="s">
        <v>1677</v>
      </c>
      <c r="J1445" s="1" t="s">
        <v>1053</v>
      </c>
      <c r="K1445" s="1" t="s">
        <v>3544</v>
      </c>
      <c r="L1445" s="1" t="s">
        <v>2304</v>
      </c>
      <c r="M1445" s="1" t="s">
        <v>1138</v>
      </c>
      <c r="N1445">
        <f>_xlfn.NUMBERVALUE(LEFT(Table11[[#This Row],[Score]],FIND("/",Table11[[#This Row],[Score]])-1))</f>
        <v>159</v>
      </c>
      <c r="O1445">
        <f>IFERROR(_xlfn.NUMBERVALUE(LEFT(Table11[[#This Row],[Score2 ]],FIND("/",Table11[[#This Row],[Score2 ]])-1)),"")</f>
        <v>188</v>
      </c>
      <c r="P1445" t="s">
        <v>154</v>
      </c>
      <c r="Q1445" s="1" t="s">
        <v>145</v>
      </c>
      <c r="R1445" t="str">
        <f>Table11[[#This Row],[Match]]&amp;" "&amp;Table11[[#This Row],[Over]]</f>
        <v>22 34</v>
      </c>
    </row>
    <row r="1446" spans="1:18" x14ac:dyDescent="0.3">
      <c r="A1446">
        <v>22</v>
      </c>
      <c r="B1446" s="1">
        <v>35</v>
      </c>
      <c r="C1446" s="1" t="s">
        <v>2152</v>
      </c>
      <c r="D1446" s="1" t="s">
        <v>898</v>
      </c>
      <c r="E1446" s="1" t="s">
        <v>976</v>
      </c>
      <c r="F1446" s="1" t="s">
        <v>1259</v>
      </c>
      <c r="G1446" s="1" t="s">
        <v>3116</v>
      </c>
      <c r="H1446" s="1" t="s">
        <v>947</v>
      </c>
      <c r="I1446" s="1" t="s">
        <v>2268</v>
      </c>
      <c r="J1446" s="1" t="s">
        <v>970</v>
      </c>
      <c r="K1446" s="1" t="s">
        <v>2818</v>
      </c>
      <c r="L1446" s="1" t="s">
        <v>1170</v>
      </c>
      <c r="M1446" s="1" t="s">
        <v>1143</v>
      </c>
      <c r="N1446">
        <f>_xlfn.NUMBERVALUE(LEFT(Table11[[#This Row],[Score]],FIND("/",Table11[[#This Row],[Score]])-1))</f>
        <v>161</v>
      </c>
      <c r="O1446">
        <f>IFERROR(_xlfn.NUMBERVALUE(LEFT(Table11[[#This Row],[Score2 ]],FIND("/",Table11[[#This Row],[Score2 ]])-1)),"")</f>
        <v>197</v>
      </c>
      <c r="P1446" t="s">
        <v>154</v>
      </c>
      <c r="Q1446" s="1" t="s">
        <v>145</v>
      </c>
      <c r="R1446" t="str">
        <f>Table11[[#This Row],[Match]]&amp;" "&amp;Table11[[#This Row],[Over]]</f>
        <v>22 35</v>
      </c>
    </row>
    <row r="1447" spans="1:18" x14ac:dyDescent="0.3">
      <c r="A1447">
        <v>22</v>
      </c>
      <c r="B1447" s="1">
        <v>36</v>
      </c>
      <c r="C1447" s="1" t="s">
        <v>1556</v>
      </c>
      <c r="D1447" s="1" t="s">
        <v>947</v>
      </c>
      <c r="E1447" s="1" t="s">
        <v>1194</v>
      </c>
      <c r="F1447" s="1" t="s">
        <v>1093</v>
      </c>
      <c r="G1447" s="1" t="s">
        <v>3416</v>
      </c>
      <c r="H1447" s="1" t="s">
        <v>1390</v>
      </c>
      <c r="I1447" s="1" t="s">
        <v>1404</v>
      </c>
      <c r="J1447" s="1" t="s">
        <v>1089</v>
      </c>
      <c r="K1447" s="1" t="s">
        <v>2221</v>
      </c>
      <c r="L1447" s="1" t="s">
        <v>2198</v>
      </c>
      <c r="M1447" s="1" t="s">
        <v>1150</v>
      </c>
      <c r="N1447">
        <f>_xlfn.NUMBERVALUE(LEFT(Table11[[#This Row],[Score]],FIND("/",Table11[[#This Row],[Score]])-1))</f>
        <v>170</v>
      </c>
      <c r="O1447">
        <f>IFERROR(_xlfn.NUMBERVALUE(LEFT(Table11[[#This Row],[Score2 ]],FIND("/",Table11[[#This Row],[Score2 ]])-1)),"")</f>
        <v>210</v>
      </c>
      <c r="P1447" t="s">
        <v>154</v>
      </c>
      <c r="Q1447" s="1" t="s">
        <v>145</v>
      </c>
      <c r="R1447" t="str">
        <f>Table11[[#This Row],[Match]]&amp;" "&amp;Table11[[#This Row],[Over]]</f>
        <v>22 36</v>
      </c>
    </row>
    <row r="1448" spans="1:18" x14ac:dyDescent="0.3">
      <c r="A1448">
        <v>22</v>
      </c>
      <c r="B1448" s="1">
        <v>37</v>
      </c>
      <c r="C1448" s="1" t="s">
        <v>3260</v>
      </c>
      <c r="D1448" s="1" t="s">
        <v>947</v>
      </c>
      <c r="E1448" s="1" t="s">
        <v>2438</v>
      </c>
      <c r="F1448" s="1" t="s">
        <v>969</v>
      </c>
      <c r="G1448" s="1" t="s">
        <v>3419</v>
      </c>
      <c r="H1448" s="1" t="s">
        <v>916</v>
      </c>
      <c r="I1448" s="1" t="s">
        <v>2184</v>
      </c>
      <c r="J1448" s="1" t="s">
        <v>1161</v>
      </c>
      <c r="K1448" s="1" t="s">
        <v>1302</v>
      </c>
      <c r="L1448" s="1" t="s">
        <v>1628</v>
      </c>
      <c r="M1448" s="1" t="s">
        <v>1156</v>
      </c>
      <c r="N1448">
        <f>_xlfn.NUMBERVALUE(LEFT(Table11[[#This Row],[Score]],FIND("/",Table11[[#This Row],[Score]])-1))</f>
        <v>179</v>
      </c>
      <c r="O1448">
        <f>IFERROR(_xlfn.NUMBERVALUE(LEFT(Table11[[#This Row],[Score2 ]],FIND("/",Table11[[#This Row],[Score2 ]])-1)),"")</f>
        <v>217</v>
      </c>
      <c r="P1448" t="s">
        <v>154</v>
      </c>
      <c r="Q1448" s="1" t="s">
        <v>145</v>
      </c>
      <c r="R1448" t="str">
        <f>Table11[[#This Row],[Match]]&amp;" "&amp;Table11[[#This Row],[Over]]</f>
        <v>22 37</v>
      </c>
    </row>
    <row r="1449" spans="1:18" x14ac:dyDescent="0.3">
      <c r="A1449">
        <v>22</v>
      </c>
      <c r="B1449" s="1">
        <v>38</v>
      </c>
      <c r="C1449" s="1" t="s">
        <v>3555</v>
      </c>
      <c r="D1449" s="1" t="s">
        <v>947</v>
      </c>
      <c r="E1449" s="1" t="s">
        <v>1033</v>
      </c>
      <c r="F1449" s="1" t="s">
        <v>943</v>
      </c>
      <c r="G1449" s="1" t="s">
        <v>3556</v>
      </c>
      <c r="H1449" s="1" t="s">
        <v>1095</v>
      </c>
      <c r="I1449" s="1" t="s">
        <v>2442</v>
      </c>
      <c r="J1449" s="1" t="s">
        <v>1219</v>
      </c>
      <c r="K1449" s="1" t="s">
        <v>1825</v>
      </c>
      <c r="L1449" s="1" t="s">
        <v>3557</v>
      </c>
      <c r="M1449" s="1" t="s">
        <v>1164</v>
      </c>
      <c r="N1449">
        <f>_xlfn.NUMBERVALUE(LEFT(Table11[[#This Row],[Score]],FIND("/",Table11[[#This Row],[Score]])-1))</f>
        <v>188</v>
      </c>
      <c r="O1449">
        <f>IFERROR(_xlfn.NUMBERVALUE(LEFT(Table11[[#This Row],[Score2 ]],FIND("/",Table11[[#This Row],[Score2 ]])-1)),"")</f>
        <v>227</v>
      </c>
      <c r="P1449" t="s">
        <v>154</v>
      </c>
      <c r="Q1449" s="1" t="s">
        <v>145</v>
      </c>
      <c r="R1449" t="str">
        <f>Table11[[#This Row],[Match]]&amp;" "&amp;Table11[[#This Row],[Over]]</f>
        <v>22 38</v>
      </c>
    </row>
    <row r="1450" spans="1:18" x14ac:dyDescent="0.3">
      <c r="A1450">
        <v>22</v>
      </c>
      <c r="B1450" s="1">
        <v>39</v>
      </c>
      <c r="C1450" s="1" t="s">
        <v>2665</v>
      </c>
      <c r="D1450" s="1" t="s">
        <v>922</v>
      </c>
      <c r="E1450" s="1" t="s">
        <v>1582</v>
      </c>
      <c r="F1450" s="1" t="s">
        <v>952</v>
      </c>
      <c r="G1450" s="1" t="s">
        <v>3558</v>
      </c>
      <c r="H1450" s="1" t="s">
        <v>1147</v>
      </c>
      <c r="I1450" s="1" t="s">
        <v>970</v>
      </c>
      <c r="J1450" s="1" t="s">
        <v>1611</v>
      </c>
      <c r="K1450" s="1" t="s">
        <v>907</v>
      </c>
      <c r="L1450" s="1" t="s">
        <v>2420</v>
      </c>
      <c r="M1450" s="1" t="s">
        <v>1171</v>
      </c>
      <c r="N1450">
        <f>_xlfn.NUMBERVALUE(LEFT(Table11[[#This Row],[Score]],FIND("/",Table11[[#This Row],[Score]])-1))</f>
        <v>194</v>
      </c>
      <c r="O1450">
        <f>IFERROR(_xlfn.NUMBERVALUE(LEFT(Table11[[#This Row],[Score2 ]],FIND("/",Table11[[#This Row],[Score2 ]])-1)),"")</f>
        <v>242</v>
      </c>
      <c r="P1450" t="s">
        <v>154</v>
      </c>
      <c r="Q1450" s="1" t="s">
        <v>145</v>
      </c>
      <c r="R1450" t="str">
        <f>Table11[[#This Row],[Match]]&amp;" "&amp;Table11[[#This Row],[Over]]</f>
        <v>22 39</v>
      </c>
    </row>
    <row r="1451" spans="1:18" x14ac:dyDescent="0.3">
      <c r="A1451">
        <v>22</v>
      </c>
      <c r="B1451" s="1">
        <v>40</v>
      </c>
      <c r="C1451" s="1" t="s">
        <v>3169</v>
      </c>
      <c r="D1451" s="1" t="s">
        <v>947</v>
      </c>
      <c r="E1451" s="1" t="s">
        <v>1661</v>
      </c>
      <c r="F1451" s="1" t="s">
        <v>1335</v>
      </c>
      <c r="G1451" s="1" t="s">
        <v>3425</v>
      </c>
      <c r="H1451" s="1" t="s">
        <v>950</v>
      </c>
      <c r="I1451" s="1" t="s">
        <v>918</v>
      </c>
      <c r="J1451" s="1" t="s">
        <v>2055</v>
      </c>
      <c r="K1451" s="1" t="s">
        <v>1982</v>
      </c>
      <c r="L1451" s="1" t="s">
        <v>2426</v>
      </c>
      <c r="M1451" s="1" t="s">
        <v>1177</v>
      </c>
      <c r="N1451">
        <f>_xlfn.NUMBERVALUE(LEFT(Table11[[#This Row],[Score]],FIND("/",Table11[[#This Row],[Score]])-1))</f>
        <v>203</v>
      </c>
      <c r="O1451">
        <f>IFERROR(_xlfn.NUMBERVALUE(LEFT(Table11[[#This Row],[Score2 ]],FIND("/",Table11[[#This Row],[Score2 ]])-1)),"")</f>
        <v>247</v>
      </c>
      <c r="P1451" t="s">
        <v>154</v>
      </c>
      <c r="Q1451" s="1" t="s">
        <v>145</v>
      </c>
      <c r="R1451" t="str">
        <f>Table11[[#This Row],[Match]]&amp;" "&amp;Table11[[#This Row],[Over]]</f>
        <v>22 40</v>
      </c>
    </row>
    <row r="1452" spans="1:18" x14ac:dyDescent="0.3">
      <c r="A1452">
        <v>22</v>
      </c>
      <c r="B1452" s="1">
        <v>41</v>
      </c>
      <c r="C1452" s="1" t="s">
        <v>2668</v>
      </c>
      <c r="D1452" s="1" t="s">
        <v>922</v>
      </c>
      <c r="E1452" s="1" t="s">
        <v>2186</v>
      </c>
      <c r="F1452" s="1" t="s">
        <v>1168</v>
      </c>
      <c r="G1452" s="1" t="s">
        <v>3559</v>
      </c>
      <c r="H1452" s="1" t="s">
        <v>930</v>
      </c>
      <c r="I1452" s="1" t="s">
        <v>2697</v>
      </c>
      <c r="J1452" s="1" t="s">
        <v>1161</v>
      </c>
      <c r="K1452" s="1" t="s">
        <v>961</v>
      </c>
      <c r="L1452" s="1" t="s">
        <v>1916</v>
      </c>
      <c r="M1452" s="1" t="s">
        <v>1183</v>
      </c>
      <c r="N1452">
        <f>_xlfn.NUMBERVALUE(LEFT(Table11[[#This Row],[Score]],FIND("/",Table11[[#This Row],[Score]])-1))</f>
        <v>209</v>
      </c>
      <c r="O1452">
        <f>IFERROR(_xlfn.NUMBERVALUE(LEFT(Table11[[#This Row],[Score2 ]],FIND("/",Table11[[#This Row],[Score2 ]])-1)),"")</f>
        <v>255</v>
      </c>
      <c r="P1452" t="s">
        <v>154</v>
      </c>
      <c r="Q1452" s="1" t="s">
        <v>145</v>
      </c>
      <c r="R1452" t="str">
        <f>Table11[[#This Row],[Match]]&amp;" "&amp;Table11[[#This Row],[Over]]</f>
        <v>22 41</v>
      </c>
    </row>
    <row r="1453" spans="1:18" x14ac:dyDescent="0.3">
      <c r="A1453">
        <v>22</v>
      </c>
      <c r="B1453" s="1">
        <v>42</v>
      </c>
      <c r="C1453" s="1" t="s">
        <v>2400</v>
      </c>
      <c r="D1453" s="1" t="s">
        <v>950</v>
      </c>
      <c r="E1453" s="1" t="s">
        <v>2186</v>
      </c>
      <c r="F1453" s="1" t="s">
        <v>952</v>
      </c>
      <c r="G1453" s="1" t="s">
        <v>3560</v>
      </c>
      <c r="H1453" s="1" t="s">
        <v>1095</v>
      </c>
      <c r="I1453" s="1" t="s">
        <v>1982</v>
      </c>
      <c r="J1453" s="1" t="s">
        <v>1219</v>
      </c>
      <c r="K1453" s="1" t="s">
        <v>2268</v>
      </c>
      <c r="L1453" s="1" t="s">
        <v>1927</v>
      </c>
      <c r="M1453" s="1" t="s">
        <v>1190</v>
      </c>
      <c r="N1453">
        <f>_xlfn.NUMBERVALUE(LEFT(Table11[[#This Row],[Score]],FIND("/",Table11[[#This Row],[Score]])-1))</f>
        <v>214</v>
      </c>
      <c r="O1453">
        <f>IFERROR(_xlfn.NUMBERVALUE(LEFT(Table11[[#This Row],[Score2 ]],FIND("/",Table11[[#This Row],[Score2 ]])-1)),"")</f>
        <v>265</v>
      </c>
      <c r="P1453" t="s">
        <v>154</v>
      </c>
      <c r="Q1453" s="1" t="s">
        <v>145</v>
      </c>
      <c r="R1453" t="str">
        <f>Table11[[#This Row],[Match]]&amp;" "&amp;Table11[[#This Row],[Over]]</f>
        <v>22 42</v>
      </c>
    </row>
    <row r="1454" spans="1:18" x14ac:dyDescent="0.3">
      <c r="A1454">
        <v>22</v>
      </c>
      <c r="B1454" s="1">
        <v>43</v>
      </c>
      <c r="C1454" s="1" t="s">
        <v>2292</v>
      </c>
      <c r="D1454" s="1" t="s">
        <v>950</v>
      </c>
      <c r="E1454" s="1" t="s">
        <v>2186</v>
      </c>
      <c r="F1454" s="1" t="s">
        <v>970</v>
      </c>
      <c r="G1454" s="1" t="s">
        <v>3561</v>
      </c>
      <c r="H1454" s="1" t="s">
        <v>930</v>
      </c>
      <c r="I1454" s="1" t="s">
        <v>2706</v>
      </c>
      <c r="J1454" s="1" t="s">
        <v>1200</v>
      </c>
      <c r="K1454" s="1" t="s">
        <v>1727</v>
      </c>
      <c r="L1454" s="1" t="s">
        <v>1663</v>
      </c>
      <c r="M1454" s="1" t="s">
        <v>1197</v>
      </c>
      <c r="N1454">
        <f>_xlfn.NUMBERVALUE(LEFT(Table11[[#This Row],[Score]],FIND("/",Table11[[#This Row],[Score]])-1))</f>
        <v>219</v>
      </c>
      <c r="O1454">
        <f>IFERROR(_xlfn.NUMBERVALUE(LEFT(Table11[[#This Row],[Score2 ]],FIND("/",Table11[[#This Row],[Score2 ]])-1)),"")</f>
        <v>273</v>
      </c>
      <c r="P1454" t="s">
        <v>154</v>
      </c>
      <c r="Q1454" s="1" t="s">
        <v>145</v>
      </c>
      <c r="R1454" t="str">
        <f>Table11[[#This Row],[Match]]&amp;" "&amp;Table11[[#This Row],[Over]]</f>
        <v>22 43</v>
      </c>
    </row>
    <row r="1455" spans="1:18" x14ac:dyDescent="0.3">
      <c r="A1455">
        <v>22</v>
      </c>
      <c r="B1455" s="1">
        <v>44</v>
      </c>
      <c r="C1455" s="1" t="s">
        <v>1577</v>
      </c>
      <c r="D1455" s="1" t="s">
        <v>1390</v>
      </c>
      <c r="E1455" s="1" t="s">
        <v>1593</v>
      </c>
      <c r="F1455" s="1" t="s">
        <v>1508</v>
      </c>
      <c r="G1455" s="1" t="s">
        <v>3052</v>
      </c>
      <c r="H1455" s="1" t="s">
        <v>922</v>
      </c>
      <c r="I1455" s="1" t="s">
        <v>2706</v>
      </c>
      <c r="J1455" s="1" t="s">
        <v>1068</v>
      </c>
      <c r="K1455" s="1" t="s">
        <v>1587</v>
      </c>
      <c r="L1455" s="1" t="s">
        <v>1666</v>
      </c>
      <c r="M1455" s="1" t="s">
        <v>1205</v>
      </c>
      <c r="N1455">
        <f>_xlfn.NUMBERVALUE(LEFT(Table11[[#This Row],[Score]],FIND("/",Table11[[#This Row],[Score]])-1))</f>
        <v>232</v>
      </c>
      <c r="O1455">
        <f>IFERROR(_xlfn.NUMBERVALUE(LEFT(Table11[[#This Row],[Score2 ]],FIND("/",Table11[[#This Row],[Score2 ]])-1)),"")</f>
        <v>279</v>
      </c>
      <c r="P1455" t="s">
        <v>154</v>
      </c>
      <c r="Q1455" s="1" t="s">
        <v>145</v>
      </c>
      <c r="R1455" t="str">
        <f>Table11[[#This Row],[Match]]&amp;" "&amp;Table11[[#This Row],[Over]]</f>
        <v>22 44</v>
      </c>
    </row>
    <row r="1456" spans="1:18" x14ac:dyDescent="0.3">
      <c r="A1456">
        <v>22</v>
      </c>
      <c r="B1456" s="1">
        <v>45</v>
      </c>
      <c r="C1456" s="1" t="s">
        <v>3562</v>
      </c>
      <c r="D1456" s="1" t="s">
        <v>1578</v>
      </c>
      <c r="E1456" s="1" t="s">
        <v>2153</v>
      </c>
      <c r="F1456" s="1" t="s">
        <v>1611</v>
      </c>
      <c r="G1456" s="1" t="s">
        <v>3563</v>
      </c>
      <c r="H1456" s="1" t="s">
        <v>1051</v>
      </c>
      <c r="I1456" s="1" t="s">
        <v>1469</v>
      </c>
      <c r="J1456" s="1" t="s">
        <v>1414</v>
      </c>
      <c r="K1456" s="1" t="s">
        <v>939</v>
      </c>
      <c r="L1456" s="1" t="s">
        <v>1670</v>
      </c>
      <c r="M1456" s="1" t="s">
        <v>1211</v>
      </c>
      <c r="N1456">
        <f>_xlfn.NUMBERVALUE(LEFT(Table11[[#This Row],[Score]],FIND("/",Table11[[#This Row],[Score]])-1))</f>
        <v>257</v>
      </c>
      <c r="O1456">
        <f>IFERROR(_xlfn.NUMBERVALUE(LEFT(Table11[[#This Row],[Score2 ]],FIND("/",Table11[[#This Row],[Score2 ]])-1)),"")</f>
        <v>290</v>
      </c>
      <c r="P1456" t="s">
        <v>154</v>
      </c>
      <c r="Q1456" s="1" t="s">
        <v>145</v>
      </c>
      <c r="R1456" t="str">
        <f>Table11[[#This Row],[Match]]&amp;" "&amp;Table11[[#This Row],[Over]]</f>
        <v>22 45</v>
      </c>
    </row>
    <row r="1457" spans="1:18" x14ac:dyDescent="0.3">
      <c r="A1457">
        <v>22</v>
      </c>
      <c r="B1457" s="1">
        <v>46</v>
      </c>
      <c r="C1457" s="1" t="s">
        <v>3564</v>
      </c>
      <c r="D1457" s="1" t="s">
        <v>916</v>
      </c>
      <c r="E1457" s="1" t="s">
        <v>2143</v>
      </c>
      <c r="F1457" s="1" t="s">
        <v>1213</v>
      </c>
      <c r="G1457" s="1" t="s">
        <v>3056</v>
      </c>
      <c r="H1457" s="1" t="s">
        <v>1095</v>
      </c>
      <c r="I1457" s="1" t="s">
        <v>994</v>
      </c>
      <c r="J1457" s="1" t="s">
        <v>1161</v>
      </c>
      <c r="K1457" s="1" t="s">
        <v>905</v>
      </c>
      <c r="L1457" s="1" t="s">
        <v>1095</v>
      </c>
      <c r="M1457" s="1" t="s">
        <v>1216</v>
      </c>
      <c r="N1457">
        <f>_xlfn.NUMBERVALUE(LEFT(Table11[[#This Row],[Score]],FIND("/",Table11[[#This Row],[Score]])-1))</f>
        <v>264</v>
      </c>
      <c r="O1457">
        <f>IFERROR(_xlfn.NUMBERVALUE(LEFT(Table11[[#This Row],[Score2 ]],FIND("/",Table11[[#This Row],[Score2 ]])-1)),"")</f>
        <v>300</v>
      </c>
      <c r="P1457" t="s">
        <v>154</v>
      </c>
      <c r="Q1457" s="1" t="s">
        <v>145</v>
      </c>
      <c r="R1457" t="str">
        <f>Table11[[#This Row],[Match]]&amp;" "&amp;Table11[[#This Row],[Over]]</f>
        <v>22 46</v>
      </c>
    </row>
    <row r="1458" spans="1:18" x14ac:dyDescent="0.3">
      <c r="A1458">
        <v>22</v>
      </c>
      <c r="B1458" s="1">
        <v>47</v>
      </c>
      <c r="C1458" s="1" t="s">
        <v>3565</v>
      </c>
      <c r="D1458" s="1" t="s">
        <v>904</v>
      </c>
      <c r="E1458" s="1" t="s">
        <v>1761</v>
      </c>
      <c r="F1458" s="1" t="s">
        <v>1568</v>
      </c>
      <c r="G1458" s="1" t="s">
        <v>3566</v>
      </c>
      <c r="H1458" s="1" t="s">
        <v>998</v>
      </c>
      <c r="I1458" s="1" t="s">
        <v>1248</v>
      </c>
      <c r="J1458" s="1" t="s">
        <v>1168</v>
      </c>
      <c r="K1458" s="1" t="s">
        <v>899</v>
      </c>
      <c r="L1458" s="1" t="s">
        <v>922</v>
      </c>
      <c r="M1458" s="1" t="s">
        <v>1223</v>
      </c>
      <c r="N1458">
        <f>_xlfn.NUMBERVALUE(LEFT(Table11[[#This Row],[Score]],FIND("/",Table11[[#This Row],[Score]])-1))</f>
        <v>267</v>
      </c>
      <c r="O1458">
        <f>IFERROR(_xlfn.NUMBERVALUE(LEFT(Table11[[#This Row],[Score2 ]],FIND("/",Table11[[#This Row],[Score2 ]])-1)),"")</f>
        <v>304</v>
      </c>
      <c r="P1458" t="s">
        <v>154</v>
      </c>
      <c r="Q1458" s="1" t="s">
        <v>145</v>
      </c>
      <c r="R1458" t="str">
        <f>Table11[[#This Row],[Match]]&amp;" "&amp;Table11[[#This Row],[Over]]</f>
        <v>22 47</v>
      </c>
    </row>
    <row r="1459" spans="1:18" x14ac:dyDescent="0.3">
      <c r="A1459">
        <v>22</v>
      </c>
      <c r="B1459" s="1">
        <v>48</v>
      </c>
      <c r="C1459" s="1" t="s">
        <v>3567</v>
      </c>
      <c r="D1459" s="1" t="s">
        <v>1103</v>
      </c>
      <c r="E1459" s="1" t="s">
        <v>1420</v>
      </c>
      <c r="F1459" s="1" t="s">
        <v>2320</v>
      </c>
      <c r="G1459" s="1" t="s">
        <v>3568</v>
      </c>
      <c r="H1459" s="1" t="s">
        <v>2585</v>
      </c>
      <c r="I1459" s="1" t="s">
        <v>3569</v>
      </c>
      <c r="J1459" s="1" t="s">
        <v>3570</v>
      </c>
      <c r="K1459" s="1" t="s">
        <v>1622</v>
      </c>
      <c r="L1459" s="1" t="s">
        <v>1007</v>
      </c>
      <c r="M1459" s="1" t="s">
        <v>1511</v>
      </c>
      <c r="N1459">
        <f>_xlfn.NUMBERVALUE(LEFT(Table11[[#This Row],[Score]],FIND("/",Table11[[#This Row],[Score]])-1))</f>
        <v>279</v>
      </c>
      <c r="O1459">
        <f>IFERROR(_xlfn.NUMBERVALUE(LEFT(Table11[[#This Row],[Score2 ]],FIND("/",Table11[[#This Row],[Score2 ]])-1)),"")</f>
        <v>312</v>
      </c>
      <c r="P1459" t="s">
        <v>154</v>
      </c>
      <c r="Q1459" s="1" t="s">
        <v>145</v>
      </c>
      <c r="R1459" t="str">
        <f>Table11[[#This Row],[Match]]&amp;" "&amp;Table11[[#This Row],[Over]]</f>
        <v>22 48</v>
      </c>
    </row>
    <row r="1460" spans="1:18" x14ac:dyDescent="0.3">
      <c r="A1460">
        <v>22</v>
      </c>
      <c r="B1460" s="1">
        <v>49</v>
      </c>
      <c r="C1460" s="1" t="s">
        <v>3571</v>
      </c>
      <c r="D1460" s="1" t="s">
        <v>930</v>
      </c>
      <c r="E1460" s="1" t="s">
        <v>2217</v>
      </c>
      <c r="F1460" s="1" t="s">
        <v>1213</v>
      </c>
      <c r="N1460">
        <f>_xlfn.NUMBERVALUE(LEFT(Table11[[#This Row],[Score]],FIND("/",Table11[[#This Row],[Score]])-1))</f>
        <v>287</v>
      </c>
      <c r="O1460" t="str">
        <f>IFERROR(_xlfn.NUMBERVALUE(LEFT(Table11[[#This Row],[Score2 ]],FIND("/",Table11[[#This Row],[Score2 ]])-1)),"")</f>
        <v/>
      </c>
      <c r="P1460" t="s">
        <v>154</v>
      </c>
      <c r="Q1460" s="1" t="s">
        <v>145</v>
      </c>
      <c r="R1460" t="str">
        <f>Table11[[#This Row],[Match]]&amp;" "&amp;Table11[[#This Row],[Over]]</f>
        <v>22 49</v>
      </c>
    </row>
    <row r="1461" spans="1:18" x14ac:dyDescent="0.3">
      <c r="A1461">
        <v>22</v>
      </c>
      <c r="B1461" s="1">
        <v>50</v>
      </c>
      <c r="C1461" s="1" t="s">
        <v>3572</v>
      </c>
      <c r="D1461" s="1" t="s">
        <v>1695</v>
      </c>
      <c r="E1461" s="1" t="s">
        <v>907</v>
      </c>
      <c r="F1461" s="1" t="s">
        <v>1409</v>
      </c>
      <c r="N1461">
        <f>_xlfn.NUMBERVALUE(LEFT(Table11[[#This Row],[Score]],FIND("/",Table11[[#This Row],[Score]])-1))</f>
        <v>309</v>
      </c>
      <c r="O1461" t="str">
        <f>IFERROR(_xlfn.NUMBERVALUE(LEFT(Table11[[#This Row],[Score2 ]],FIND("/",Table11[[#This Row],[Score2 ]])-1)),"")</f>
        <v/>
      </c>
      <c r="P1461" t="s">
        <v>154</v>
      </c>
      <c r="Q1461" s="1" t="s">
        <v>145</v>
      </c>
      <c r="R1461" t="str">
        <f>Table11[[#This Row],[Match]]&amp;" "&amp;Table11[[#This Row],[Over]]</f>
        <v>22 50</v>
      </c>
    </row>
    <row r="1462" spans="1:18" x14ac:dyDescent="0.3">
      <c r="A1462">
        <v>23</v>
      </c>
      <c r="B1462" s="1">
        <v>1</v>
      </c>
      <c r="C1462" s="1" t="s">
        <v>2686</v>
      </c>
      <c r="D1462" s="1" t="s">
        <v>968</v>
      </c>
      <c r="E1462" s="1" t="s">
        <v>1662</v>
      </c>
      <c r="F1462" s="1" t="s">
        <v>348</v>
      </c>
      <c r="G1462" s="1" t="s">
        <v>2686</v>
      </c>
      <c r="H1462" s="1" t="s">
        <v>968</v>
      </c>
      <c r="I1462" s="1" t="s">
        <v>1662</v>
      </c>
      <c r="J1462" s="1" t="s">
        <v>348</v>
      </c>
      <c r="K1462" s="1" t="s">
        <v>2511</v>
      </c>
      <c r="L1462" s="1" t="s">
        <v>2126</v>
      </c>
      <c r="M1462" s="1" t="s">
        <v>902</v>
      </c>
      <c r="N1462">
        <f>_xlfn.NUMBERVALUE(LEFT(Table11[[#This Row],[Score]],FIND("/",Table11[[#This Row],[Score]])-1))</f>
        <v>1</v>
      </c>
      <c r="O1462">
        <f>IFERROR(_xlfn.NUMBERVALUE(LEFT(Table11[[#This Row],[Score2 ]],FIND("/",Table11[[#This Row],[Score2 ]])-1)),"")</f>
        <v>1</v>
      </c>
      <c r="P1462" t="s">
        <v>153</v>
      </c>
      <c r="Q1462" s="1" t="s">
        <v>158</v>
      </c>
      <c r="R1462" t="str">
        <f>Table11[[#This Row],[Match]]&amp;" "&amp;Table11[[#This Row],[Over]]</f>
        <v>23 1</v>
      </c>
    </row>
    <row r="1463" spans="1:18" x14ac:dyDescent="0.3">
      <c r="A1463">
        <v>23</v>
      </c>
      <c r="B1463" s="1">
        <v>2</v>
      </c>
      <c r="C1463" s="1" t="s">
        <v>2866</v>
      </c>
      <c r="D1463" s="1" t="s">
        <v>1007</v>
      </c>
      <c r="E1463" s="1" t="s">
        <v>2527</v>
      </c>
      <c r="F1463" s="1" t="s">
        <v>348</v>
      </c>
      <c r="G1463" s="1" t="s">
        <v>903</v>
      </c>
      <c r="H1463" s="1" t="s">
        <v>998</v>
      </c>
      <c r="I1463" s="1" t="s">
        <v>905</v>
      </c>
      <c r="J1463" s="1" t="s">
        <v>348</v>
      </c>
      <c r="K1463" s="1" t="s">
        <v>1561</v>
      </c>
      <c r="L1463" s="1" t="s">
        <v>2692</v>
      </c>
      <c r="M1463" s="1" t="s">
        <v>909</v>
      </c>
      <c r="N1463">
        <f>_xlfn.NUMBERVALUE(LEFT(Table11[[#This Row],[Score]],FIND("/",Table11[[#This Row],[Score]])-1))</f>
        <v>1</v>
      </c>
      <c r="O1463">
        <f>IFERROR(_xlfn.NUMBERVALUE(LEFT(Table11[[#This Row],[Score2 ]],FIND("/",Table11[[#This Row],[Score2 ]])-1)),"")</f>
        <v>5</v>
      </c>
      <c r="P1463" t="s">
        <v>153</v>
      </c>
      <c r="Q1463" s="1" t="s">
        <v>158</v>
      </c>
      <c r="R1463" t="str">
        <f>Table11[[#This Row],[Match]]&amp;" "&amp;Table11[[#This Row],[Over]]</f>
        <v>23 2</v>
      </c>
    </row>
    <row r="1464" spans="1:18" x14ac:dyDescent="0.3">
      <c r="A1464">
        <v>23</v>
      </c>
      <c r="B1464" s="1">
        <v>3</v>
      </c>
      <c r="C1464" s="1" t="s">
        <v>2986</v>
      </c>
      <c r="D1464" s="1" t="s">
        <v>898</v>
      </c>
      <c r="E1464" s="1" t="s">
        <v>1662</v>
      </c>
      <c r="F1464" s="1" t="s">
        <v>348</v>
      </c>
      <c r="G1464" s="1" t="s">
        <v>903</v>
      </c>
      <c r="H1464" s="1" t="s">
        <v>1007</v>
      </c>
      <c r="I1464" s="1" t="s">
        <v>1852</v>
      </c>
      <c r="J1464" s="1" t="s">
        <v>348</v>
      </c>
      <c r="K1464" s="1" t="s">
        <v>2880</v>
      </c>
      <c r="L1464" s="1" t="s">
        <v>2692</v>
      </c>
      <c r="M1464" s="1" t="s">
        <v>920</v>
      </c>
      <c r="N1464">
        <f>_xlfn.NUMBERVALUE(LEFT(Table11[[#This Row],[Score]],FIND("/",Table11[[#This Row],[Score]])-1))</f>
        <v>3</v>
      </c>
      <c r="O1464">
        <f>IFERROR(_xlfn.NUMBERVALUE(LEFT(Table11[[#This Row],[Score2 ]],FIND("/",Table11[[#This Row],[Score2 ]])-1)),"")</f>
        <v>5</v>
      </c>
      <c r="P1464" t="s">
        <v>153</v>
      </c>
      <c r="Q1464" s="1" t="s">
        <v>158</v>
      </c>
      <c r="R1464" t="str">
        <f>Table11[[#This Row],[Match]]&amp;" "&amp;Table11[[#This Row],[Over]]</f>
        <v>23 3</v>
      </c>
    </row>
    <row r="1465" spans="1:18" x14ac:dyDescent="0.3">
      <c r="A1465">
        <v>23</v>
      </c>
      <c r="B1465" s="1">
        <v>4</v>
      </c>
      <c r="C1465" s="1" t="s">
        <v>2867</v>
      </c>
      <c r="D1465" s="1" t="s">
        <v>968</v>
      </c>
      <c r="E1465" s="1" t="s">
        <v>1662</v>
      </c>
      <c r="F1465" s="1" t="s">
        <v>348</v>
      </c>
      <c r="G1465" s="1" t="s">
        <v>2689</v>
      </c>
      <c r="H1465" s="1" t="s">
        <v>947</v>
      </c>
      <c r="I1465" s="1" t="s">
        <v>925</v>
      </c>
      <c r="J1465" s="1" t="s">
        <v>348</v>
      </c>
      <c r="K1465" s="1" t="s">
        <v>1026</v>
      </c>
      <c r="L1465" s="1" t="s">
        <v>1004</v>
      </c>
      <c r="M1465" s="1" t="s">
        <v>928</v>
      </c>
      <c r="N1465">
        <f>_xlfn.NUMBERVALUE(LEFT(Table11[[#This Row],[Score]],FIND("/",Table11[[#This Row],[Score]])-1))</f>
        <v>4</v>
      </c>
      <c r="O1465">
        <f>IFERROR(_xlfn.NUMBERVALUE(LEFT(Table11[[#This Row],[Score2 ]],FIND("/",Table11[[#This Row],[Score2 ]])-1)),"")</f>
        <v>14</v>
      </c>
      <c r="P1465" t="s">
        <v>153</v>
      </c>
      <c r="Q1465" s="1" t="s">
        <v>158</v>
      </c>
      <c r="R1465" t="str">
        <f>Table11[[#This Row],[Match]]&amp;" "&amp;Table11[[#This Row],[Over]]</f>
        <v>23 4</v>
      </c>
    </row>
    <row r="1466" spans="1:18" x14ac:dyDescent="0.3">
      <c r="A1466">
        <v>23</v>
      </c>
      <c r="B1466" s="1">
        <v>5</v>
      </c>
      <c r="C1466" s="1" t="s">
        <v>3573</v>
      </c>
      <c r="D1466" s="1" t="s">
        <v>968</v>
      </c>
      <c r="E1466" s="1" t="s">
        <v>1662</v>
      </c>
      <c r="F1466" s="1" t="s">
        <v>1662</v>
      </c>
      <c r="G1466" s="1" t="s">
        <v>3147</v>
      </c>
      <c r="H1466" s="1" t="s">
        <v>968</v>
      </c>
      <c r="I1466" s="1" t="s">
        <v>1238</v>
      </c>
      <c r="J1466" s="1" t="s">
        <v>1238</v>
      </c>
      <c r="K1466" s="1" t="s">
        <v>2880</v>
      </c>
      <c r="L1466" s="1" t="s">
        <v>3012</v>
      </c>
      <c r="M1466" s="1" t="s">
        <v>937</v>
      </c>
      <c r="N1466">
        <f>_xlfn.NUMBERVALUE(LEFT(Table11[[#This Row],[Score]],FIND("/",Table11[[#This Row],[Score]])-1))</f>
        <v>5</v>
      </c>
      <c r="O1466">
        <f>IFERROR(_xlfn.NUMBERVALUE(LEFT(Table11[[#This Row],[Score2 ]],FIND("/",Table11[[#This Row],[Score2 ]])-1)),"")</f>
        <v>15</v>
      </c>
      <c r="P1466" t="s">
        <v>153</v>
      </c>
      <c r="Q1466" s="1" t="s">
        <v>158</v>
      </c>
      <c r="R1466" t="str">
        <f>Table11[[#This Row],[Match]]&amp;" "&amp;Table11[[#This Row],[Over]]</f>
        <v>23 5</v>
      </c>
    </row>
    <row r="1467" spans="1:18" x14ac:dyDescent="0.3">
      <c r="A1467">
        <v>23</v>
      </c>
      <c r="B1467" s="1">
        <v>6</v>
      </c>
      <c r="C1467" s="1" t="s">
        <v>3574</v>
      </c>
      <c r="D1467" s="1" t="s">
        <v>950</v>
      </c>
      <c r="E1467" s="1" t="s">
        <v>1852</v>
      </c>
      <c r="F1467" s="1" t="s">
        <v>1636</v>
      </c>
      <c r="G1467" s="1" t="s">
        <v>1246</v>
      </c>
      <c r="H1467" s="1" t="s">
        <v>898</v>
      </c>
      <c r="I1467" s="1" t="s">
        <v>1656</v>
      </c>
      <c r="J1467" s="1" t="s">
        <v>1259</v>
      </c>
      <c r="K1467" s="1" t="s">
        <v>1582</v>
      </c>
      <c r="L1467" s="1" t="s">
        <v>1470</v>
      </c>
      <c r="M1467" s="1" t="s">
        <v>945</v>
      </c>
      <c r="N1467">
        <f>_xlfn.NUMBERVALUE(LEFT(Table11[[#This Row],[Score]],FIND("/",Table11[[#This Row],[Score]])-1))</f>
        <v>10</v>
      </c>
      <c r="O1467">
        <f>IFERROR(_xlfn.NUMBERVALUE(LEFT(Table11[[#This Row],[Score2 ]],FIND("/",Table11[[#This Row],[Score2 ]])-1)),"")</f>
        <v>17</v>
      </c>
      <c r="P1467" t="s">
        <v>153</v>
      </c>
      <c r="Q1467" s="1" t="s">
        <v>158</v>
      </c>
      <c r="R1467" t="str">
        <f>Table11[[#This Row],[Match]]&amp;" "&amp;Table11[[#This Row],[Over]]</f>
        <v>23 6</v>
      </c>
    </row>
    <row r="1468" spans="1:18" x14ac:dyDescent="0.3">
      <c r="A1468">
        <v>23</v>
      </c>
      <c r="B1468" s="1">
        <v>7</v>
      </c>
      <c r="C1468" s="1" t="s">
        <v>3575</v>
      </c>
      <c r="D1468" s="1" t="s">
        <v>968</v>
      </c>
      <c r="E1468" s="1" t="s">
        <v>3290</v>
      </c>
      <c r="F1468" s="1" t="s">
        <v>899</v>
      </c>
      <c r="G1468" s="1" t="s">
        <v>3576</v>
      </c>
      <c r="H1468" s="1" t="s">
        <v>950</v>
      </c>
      <c r="I1468" s="1" t="s">
        <v>1711</v>
      </c>
      <c r="J1468" s="1" t="s">
        <v>1247</v>
      </c>
      <c r="K1468" s="1" t="s">
        <v>1582</v>
      </c>
      <c r="L1468" s="1" t="s">
        <v>1479</v>
      </c>
      <c r="M1468" s="1" t="s">
        <v>955</v>
      </c>
      <c r="N1468">
        <f>_xlfn.NUMBERVALUE(LEFT(Table11[[#This Row],[Score]],FIND("/",Table11[[#This Row],[Score]])-1))</f>
        <v>11</v>
      </c>
      <c r="O1468">
        <f>IFERROR(_xlfn.NUMBERVALUE(LEFT(Table11[[#This Row],[Score2 ]],FIND("/",Table11[[#This Row],[Score2 ]])-1)),"")</f>
        <v>22</v>
      </c>
      <c r="P1468" t="s">
        <v>153</v>
      </c>
      <c r="Q1468" s="1" t="s">
        <v>158</v>
      </c>
      <c r="R1468" t="str">
        <f>Table11[[#This Row],[Match]]&amp;" "&amp;Table11[[#This Row],[Over]]</f>
        <v>23 7</v>
      </c>
    </row>
    <row r="1469" spans="1:18" x14ac:dyDescent="0.3">
      <c r="A1469">
        <v>23</v>
      </c>
      <c r="B1469" s="1">
        <v>8</v>
      </c>
      <c r="C1469" s="1" t="s">
        <v>2531</v>
      </c>
      <c r="D1469" s="1" t="s">
        <v>968</v>
      </c>
      <c r="E1469" s="1" t="s">
        <v>1822</v>
      </c>
      <c r="F1469" s="1" t="s">
        <v>1636</v>
      </c>
      <c r="G1469" s="1" t="s">
        <v>3577</v>
      </c>
      <c r="H1469" s="1" t="s">
        <v>968</v>
      </c>
      <c r="I1469" s="1" t="s">
        <v>1466</v>
      </c>
      <c r="J1469" s="1" t="s">
        <v>977</v>
      </c>
      <c r="K1469" s="1" t="s">
        <v>1661</v>
      </c>
      <c r="L1469" s="1" t="s">
        <v>2010</v>
      </c>
      <c r="M1469" s="1" t="s">
        <v>963</v>
      </c>
      <c r="N1469">
        <f>_xlfn.NUMBERVALUE(LEFT(Table11[[#This Row],[Score]],FIND("/",Table11[[#This Row],[Score]])-1))</f>
        <v>12</v>
      </c>
      <c r="O1469">
        <f>IFERROR(_xlfn.NUMBERVALUE(LEFT(Table11[[#This Row],[Score2 ]],FIND("/",Table11[[#This Row],[Score2 ]])-1)),"")</f>
        <v>23</v>
      </c>
      <c r="P1469" t="s">
        <v>153</v>
      </c>
      <c r="Q1469" s="1" t="s">
        <v>158</v>
      </c>
      <c r="R1469" t="str">
        <f>Table11[[#This Row],[Match]]&amp;" "&amp;Table11[[#This Row],[Over]]</f>
        <v>23 8</v>
      </c>
    </row>
    <row r="1470" spans="1:18" x14ac:dyDescent="0.3">
      <c r="A1470">
        <v>23</v>
      </c>
      <c r="B1470" s="1">
        <v>9</v>
      </c>
      <c r="C1470" s="1" t="s">
        <v>2531</v>
      </c>
      <c r="D1470" s="1" t="s">
        <v>1007</v>
      </c>
      <c r="E1470" s="1" t="s">
        <v>2688</v>
      </c>
      <c r="F1470" s="1" t="s">
        <v>1770</v>
      </c>
      <c r="G1470" s="1" t="s">
        <v>1641</v>
      </c>
      <c r="H1470" s="1" t="s">
        <v>968</v>
      </c>
      <c r="I1470" s="1" t="s">
        <v>1642</v>
      </c>
      <c r="J1470" s="1" t="s">
        <v>899</v>
      </c>
      <c r="K1470" s="1" t="s">
        <v>1573</v>
      </c>
      <c r="L1470" s="1" t="s">
        <v>2016</v>
      </c>
      <c r="M1470" s="1" t="s">
        <v>973</v>
      </c>
      <c r="N1470">
        <f>_xlfn.NUMBERVALUE(LEFT(Table11[[#This Row],[Score]],FIND("/",Table11[[#This Row],[Score]])-1))</f>
        <v>12</v>
      </c>
      <c r="O1470">
        <f>IFERROR(_xlfn.NUMBERVALUE(LEFT(Table11[[#This Row],[Score2 ]],FIND("/",Table11[[#This Row],[Score2 ]])-1)),"")</f>
        <v>24</v>
      </c>
      <c r="P1470" t="s">
        <v>153</v>
      </c>
      <c r="Q1470" s="1" t="s">
        <v>158</v>
      </c>
      <c r="R1470" t="str">
        <f>Table11[[#This Row],[Match]]&amp;" "&amp;Table11[[#This Row],[Over]]</f>
        <v>23 9</v>
      </c>
    </row>
    <row r="1471" spans="1:18" x14ac:dyDescent="0.3">
      <c r="A1471">
        <v>23</v>
      </c>
      <c r="B1471" s="1">
        <v>10</v>
      </c>
      <c r="C1471" s="1" t="s">
        <v>3578</v>
      </c>
      <c r="D1471" s="1" t="s">
        <v>898</v>
      </c>
      <c r="E1471" s="1" t="s">
        <v>1432</v>
      </c>
      <c r="F1471" s="1" t="s">
        <v>1636</v>
      </c>
      <c r="G1471" s="1" t="s">
        <v>1646</v>
      </c>
      <c r="H1471" s="1" t="s">
        <v>998</v>
      </c>
      <c r="I1471" s="1" t="s">
        <v>993</v>
      </c>
      <c r="J1471" s="1" t="s">
        <v>984</v>
      </c>
      <c r="K1471" s="1" t="s">
        <v>1029</v>
      </c>
      <c r="L1471" s="1" t="s">
        <v>2020</v>
      </c>
      <c r="M1471" s="1" t="s">
        <v>980</v>
      </c>
      <c r="N1471">
        <f>_xlfn.NUMBERVALUE(LEFT(Table11[[#This Row],[Score]],FIND("/",Table11[[#This Row],[Score]])-1))</f>
        <v>14</v>
      </c>
      <c r="O1471">
        <f>IFERROR(_xlfn.NUMBERVALUE(LEFT(Table11[[#This Row],[Score2 ]],FIND("/",Table11[[#This Row],[Score2 ]])-1)),"")</f>
        <v>28</v>
      </c>
      <c r="P1471" t="s">
        <v>153</v>
      </c>
      <c r="Q1471" s="1" t="s">
        <v>158</v>
      </c>
      <c r="R1471" t="str">
        <f>Table11[[#This Row],[Match]]&amp;" "&amp;Table11[[#This Row],[Over]]</f>
        <v>23 10</v>
      </c>
    </row>
    <row r="1472" spans="1:18" x14ac:dyDescent="0.3">
      <c r="A1472">
        <v>23</v>
      </c>
      <c r="B1472" s="1">
        <v>11</v>
      </c>
      <c r="C1472" s="1" t="s">
        <v>2871</v>
      </c>
      <c r="D1472" s="1" t="s">
        <v>904</v>
      </c>
      <c r="E1472" s="1" t="s">
        <v>3579</v>
      </c>
      <c r="F1472" s="1" t="s">
        <v>1432</v>
      </c>
      <c r="G1472" s="1" t="s">
        <v>3151</v>
      </c>
      <c r="H1472" s="1" t="s">
        <v>947</v>
      </c>
      <c r="I1472" s="1" t="s">
        <v>1271</v>
      </c>
      <c r="J1472" s="1" t="s">
        <v>939</v>
      </c>
      <c r="K1472" s="1" t="s">
        <v>1835</v>
      </c>
      <c r="L1472" s="1" t="s">
        <v>1076</v>
      </c>
      <c r="M1472" s="1" t="s">
        <v>987</v>
      </c>
      <c r="N1472">
        <f>_xlfn.NUMBERVALUE(LEFT(Table11[[#This Row],[Score]],FIND("/",Table11[[#This Row],[Score]])-1))</f>
        <v>17</v>
      </c>
      <c r="O1472">
        <f>IFERROR(_xlfn.NUMBERVALUE(LEFT(Table11[[#This Row],[Score2 ]],FIND("/",Table11[[#This Row],[Score2 ]])-1)),"")</f>
        <v>37</v>
      </c>
      <c r="P1472" t="s">
        <v>153</v>
      </c>
      <c r="Q1472" s="1" t="s">
        <v>158</v>
      </c>
      <c r="R1472" t="str">
        <f>Table11[[#This Row],[Match]]&amp;" "&amp;Table11[[#This Row],[Over]]</f>
        <v>23 11</v>
      </c>
    </row>
    <row r="1473" spans="1:18" x14ac:dyDescent="0.3">
      <c r="A1473">
        <v>23</v>
      </c>
      <c r="B1473" s="1">
        <v>12</v>
      </c>
      <c r="C1473" s="1" t="s">
        <v>2871</v>
      </c>
      <c r="D1473" s="1" t="s">
        <v>1007</v>
      </c>
      <c r="E1473" s="1" t="s">
        <v>3580</v>
      </c>
      <c r="F1473" s="1" t="s">
        <v>1439</v>
      </c>
      <c r="G1473" s="1" t="s">
        <v>1447</v>
      </c>
      <c r="H1473" s="1" t="s">
        <v>916</v>
      </c>
      <c r="I1473" s="1" t="s">
        <v>917</v>
      </c>
      <c r="J1473" s="1" t="s">
        <v>940</v>
      </c>
      <c r="K1473" s="1" t="s">
        <v>1365</v>
      </c>
      <c r="L1473" s="1" t="s">
        <v>1037</v>
      </c>
      <c r="M1473" s="1" t="s">
        <v>996</v>
      </c>
      <c r="N1473">
        <f>_xlfn.NUMBERVALUE(LEFT(Table11[[#This Row],[Score]],FIND("/",Table11[[#This Row],[Score]])-1))</f>
        <v>17</v>
      </c>
      <c r="O1473">
        <f>IFERROR(_xlfn.NUMBERVALUE(LEFT(Table11[[#This Row],[Score2 ]],FIND("/",Table11[[#This Row],[Score2 ]])-1)),"")</f>
        <v>44</v>
      </c>
      <c r="P1473" t="s">
        <v>153</v>
      </c>
      <c r="Q1473" s="1" t="s">
        <v>158</v>
      </c>
      <c r="R1473" t="str">
        <f>Table11[[#This Row],[Match]]&amp;" "&amp;Table11[[#This Row],[Over]]</f>
        <v>23 12</v>
      </c>
    </row>
    <row r="1474" spans="1:18" x14ac:dyDescent="0.3">
      <c r="A1474">
        <v>23</v>
      </c>
      <c r="B1474" s="1">
        <v>13</v>
      </c>
      <c r="C1474" s="1" t="s">
        <v>1641</v>
      </c>
      <c r="D1474" s="1" t="s">
        <v>916</v>
      </c>
      <c r="E1474" s="1" t="s">
        <v>3581</v>
      </c>
      <c r="F1474" s="1" t="s">
        <v>1088</v>
      </c>
      <c r="G1474" s="1" t="s">
        <v>1451</v>
      </c>
      <c r="H1474" s="1" t="s">
        <v>968</v>
      </c>
      <c r="I1474" s="1" t="s">
        <v>3582</v>
      </c>
      <c r="J1474" s="1" t="s">
        <v>940</v>
      </c>
      <c r="K1474" s="1" t="s">
        <v>1587</v>
      </c>
      <c r="L1474" s="1" t="s">
        <v>2877</v>
      </c>
      <c r="M1474" s="1" t="s">
        <v>1004</v>
      </c>
      <c r="N1474">
        <f>_xlfn.NUMBERVALUE(LEFT(Table11[[#This Row],[Score]],FIND("/",Table11[[#This Row],[Score]])-1))</f>
        <v>24</v>
      </c>
      <c r="O1474">
        <f>IFERROR(_xlfn.NUMBERVALUE(LEFT(Table11[[#This Row],[Score2 ]],FIND("/",Table11[[#This Row],[Score2 ]])-1)),"")</f>
        <v>45</v>
      </c>
      <c r="P1474" t="s">
        <v>153</v>
      </c>
      <c r="Q1474" s="1" t="s">
        <v>158</v>
      </c>
      <c r="R1474" t="str">
        <f>Table11[[#This Row],[Match]]&amp;" "&amp;Table11[[#This Row],[Over]]</f>
        <v>23 13</v>
      </c>
    </row>
    <row r="1475" spans="1:18" x14ac:dyDescent="0.3">
      <c r="A1475">
        <v>23</v>
      </c>
      <c r="B1475" s="1">
        <v>14</v>
      </c>
      <c r="C1475" s="1" t="s">
        <v>2993</v>
      </c>
      <c r="D1475" s="1" t="s">
        <v>898</v>
      </c>
      <c r="E1475" s="1" t="s">
        <v>1431</v>
      </c>
      <c r="F1475" s="1" t="s">
        <v>993</v>
      </c>
      <c r="G1475" s="1" t="s">
        <v>1987</v>
      </c>
      <c r="H1475" s="1" t="s">
        <v>968</v>
      </c>
      <c r="I1475" s="1" t="s">
        <v>1885</v>
      </c>
      <c r="J1475" s="1" t="s">
        <v>940</v>
      </c>
      <c r="K1475" s="1" t="s">
        <v>1593</v>
      </c>
      <c r="L1475" s="1" t="s">
        <v>1509</v>
      </c>
      <c r="M1475" s="1" t="s">
        <v>1010</v>
      </c>
      <c r="N1475">
        <f>_xlfn.NUMBERVALUE(LEFT(Table11[[#This Row],[Score]],FIND("/",Table11[[#This Row],[Score]])-1))</f>
        <v>26</v>
      </c>
      <c r="O1475">
        <f>IFERROR(_xlfn.NUMBERVALUE(LEFT(Table11[[#This Row],[Score2 ]],FIND("/",Table11[[#This Row],[Score2 ]])-1)),"")</f>
        <v>46</v>
      </c>
      <c r="P1475" t="s">
        <v>153</v>
      </c>
      <c r="Q1475" s="1" t="s">
        <v>158</v>
      </c>
      <c r="R1475" t="str">
        <f>Table11[[#This Row],[Match]]&amp;" "&amp;Table11[[#This Row],[Over]]</f>
        <v>23 14</v>
      </c>
    </row>
    <row r="1476" spans="1:18" x14ac:dyDescent="0.3">
      <c r="A1476">
        <v>23</v>
      </c>
      <c r="B1476" s="1">
        <v>15</v>
      </c>
      <c r="C1476" s="1" t="s">
        <v>1978</v>
      </c>
      <c r="D1476" s="1" t="s">
        <v>916</v>
      </c>
      <c r="E1476" s="1" t="s">
        <v>1383</v>
      </c>
      <c r="F1476" s="1" t="s">
        <v>990</v>
      </c>
      <c r="G1476" s="1" t="s">
        <v>1277</v>
      </c>
      <c r="H1476" s="1" t="s">
        <v>968</v>
      </c>
      <c r="I1476" s="1" t="s">
        <v>1716</v>
      </c>
      <c r="J1476" s="1" t="s">
        <v>990</v>
      </c>
      <c r="K1476" s="1" t="s">
        <v>966</v>
      </c>
      <c r="L1476" s="1" t="s">
        <v>2032</v>
      </c>
      <c r="M1476" s="1" t="s">
        <v>1016</v>
      </c>
      <c r="N1476">
        <f>_xlfn.NUMBERVALUE(LEFT(Table11[[#This Row],[Score]],FIND("/",Table11[[#This Row],[Score]])-1))</f>
        <v>33</v>
      </c>
      <c r="O1476">
        <f>IFERROR(_xlfn.NUMBERVALUE(LEFT(Table11[[#This Row],[Score2 ]],FIND("/",Table11[[#This Row],[Score2 ]])-1)),"")</f>
        <v>47</v>
      </c>
      <c r="P1476" t="s">
        <v>153</v>
      </c>
      <c r="Q1476" s="1" t="s">
        <v>158</v>
      </c>
      <c r="R1476" t="str">
        <f>Table11[[#This Row],[Match]]&amp;" "&amp;Table11[[#This Row],[Over]]</f>
        <v>23 15</v>
      </c>
    </row>
    <row r="1477" spans="1:18" x14ac:dyDescent="0.3">
      <c r="A1477">
        <v>23</v>
      </c>
      <c r="B1477" s="1">
        <v>16</v>
      </c>
      <c r="C1477" s="1" t="s">
        <v>2339</v>
      </c>
      <c r="D1477" s="1" t="s">
        <v>968</v>
      </c>
      <c r="E1477" s="1" t="s">
        <v>3583</v>
      </c>
      <c r="F1477" s="1" t="s">
        <v>1247</v>
      </c>
      <c r="G1477" s="1" t="s">
        <v>2878</v>
      </c>
      <c r="H1477" s="1" t="s">
        <v>922</v>
      </c>
      <c r="I1477" s="1" t="s">
        <v>3086</v>
      </c>
      <c r="J1477" s="1" t="s">
        <v>1259</v>
      </c>
      <c r="K1477" s="1" t="s">
        <v>1732</v>
      </c>
      <c r="L1477" s="1" t="s">
        <v>2636</v>
      </c>
      <c r="M1477" s="1" t="s">
        <v>1024</v>
      </c>
      <c r="N1477">
        <f>_xlfn.NUMBERVALUE(LEFT(Table11[[#This Row],[Score]],FIND("/",Table11[[#This Row],[Score]])-1))</f>
        <v>34</v>
      </c>
      <c r="O1477">
        <f>IFERROR(_xlfn.NUMBERVALUE(LEFT(Table11[[#This Row],[Score2 ]],FIND("/",Table11[[#This Row],[Score2 ]])-1)),"")</f>
        <v>53</v>
      </c>
      <c r="P1477" t="s">
        <v>153</v>
      </c>
      <c r="Q1477" s="1" t="s">
        <v>158</v>
      </c>
      <c r="R1477" t="str">
        <f>Table11[[#This Row],[Match]]&amp;" "&amp;Table11[[#This Row],[Over]]</f>
        <v>23 16</v>
      </c>
    </row>
    <row r="1478" spans="1:18" x14ac:dyDescent="0.3">
      <c r="A1478">
        <v>23</v>
      </c>
      <c r="B1478" s="1">
        <v>17</v>
      </c>
      <c r="C1478" s="1" t="s">
        <v>1981</v>
      </c>
      <c r="D1478" s="1" t="s">
        <v>998</v>
      </c>
      <c r="E1478" s="1" t="s">
        <v>2614</v>
      </c>
      <c r="F1478" s="1" t="s">
        <v>931</v>
      </c>
      <c r="G1478" s="1" t="s">
        <v>2345</v>
      </c>
      <c r="H1478" s="1" t="s">
        <v>898</v>
      </c>
      <c r="I1478" s="1" t="s">
        <v>1454</v>
      </c>
      <c r="J1478" s="1" t="s">
        <v>1383</v>
      </c>
      <c r="K1478" s="1" t="s">
        <v>1115</v>
      </c>
      <c r="L1478" s="1" t="s">
        <v>1524</v>
      </c>
      <c r="M1478" s="1" t="s">
        <v>1031</v>
      </c>
      <c r="N1478">
        <f>_xlfn.NUMBERVALUE(LEFT(Table11[[#This Row],[Score]],FIND("/",Table11[[#This Row],[Score]])-1))</f>
        <v>38</v>
      </c>
      <c r="O1478">
        <f>IFERROR(_xlfn.NUMBERVALUE(LEFT(Table11[[#This Row],[Score2 ]],FIND("/",Table11[[#This Row],[Score2 ]])-1)),"")</f>
        <v>55</v>
      </c>
      <c r="P1478" t="s">
        <v>153</v>
      </c>
      <c r="Q1478" s="1" t="s">
        <v>158</v>
      </c>
      <c r="R1478" t="str">
        <f>Table11[[#This Row],[Match]]&amp;" "&amp;Table11[[#This Row],[Over]]</f>
        <v>23 17</v>
      </c>
    </row>
    <row r="1479" spans="1:18" x14ac:dyDescent="0.3">
      <c r="A1479">
        <v>23</v>
      </c>
      <c r="B1479" s="1">
        <v>18</v>
      </c>
      <c r="C1479" s="1" t="s">
        <v>1447</v>
      </c>
      <c r="D1479" s="1" t="s">
        <v>922</v>
      </c>
      <c r="E1479" s="1" t="s">
        <v>2541</v>
      </c>
      <c r="F1479" s="1" t="s">
        <v>939</v>
      </c>
      <c r="G1479" s="1" t="s">
        <v>1458</v>
      </c>
      <c r="H1479" s="1" t="s">
        <v>904</v>
      </c>
      <c r="I1479" s="1" t="s">
        <v>2577</v>
      </c>
      <c r="J1479" s="1" t="s">
        <v>984</v>
      </c>
      <c r="K1479" s="1" t="s">
        <v>1607</v>
      </c>
      <c r="L1479" s="1" t="s">
        <v>2837</v>
      </c>
      <c r="M1479" s="1" t="s">
        <v>1037</v>
      </c>
      <c r="N1479">
        <f>_xlfn.NUMBERVALUE(LEFT(Table11[[#This Row],[Score]],FIND("/",Table11[[#This Row],[Score]])-1))</f>
        <v>44</v>
      </c>
      <c r="O1479">
        <f>IFERROR(_xlfn.NUMBERVALUE(LEFT(Table11[[#This Row],[Score2 ]],FIND("/",Table11[[#This Row],[Score2 ]])-1)),"")</f>
        <v>58</v>
      </c>
      <c r="P1479" t="s">
        <v>153</v>
      </c>
      <c r="Q1479" s="1" t="s">
        <v>158</v>
      </c>
      <c r="R1479" t="str">
        <f>Table11[[#This Row],[Match]]&amp;" "&amp;Table11[[#This Row],[Over]]</f>
        <v>23 18</v>
      </c>
    </row>
    <row r="1480" spans="1:18" x14ac:dyDescent="0.3">
      <c r="A1480">
        <v>23</v>
      </c>
      <c r="B1480" s="1">
        <v>19</v>
      </c>
      <c r="C1480" s="1" t="s">
        <v>2451</v>
      </c>
      <c r="D1480" s="1" t="s">
        <v>916</v>
      </c>
      <c r="E1480" s="1" t="s">
        <v>1686</v>
      </c>
      <c r="F1480" s="1" t="s">
        <v>969</v>
      </c>
      <c r="G1480" s="1" t="s">
        <v>1463</v>
      </c>
      <c r="H1480" s="1" t="s">
        <v>916</v>
      </c>
      <c r="I1480" s="1" t="s">
        <v>1490</v>
      </c>
      <c r="J1480" s="1" t="s">
        <v>990</v>
      </c>
      <c r="K1480" s="1" t="s">
        <v>1378</v>
      </c>
      <c r="L1480" s="1" t="s">
        <v>1851</v>
      </c>
      <c r="M1480" s="1" t="s">
        <v>1043</v>
      </c>
      <c r="N1480">
        <f>_xlfn.NUMBERVALUE(LEFT(Table11[[#This Row],[Score]],FIND("/",Table11[[#This Row],[Score]])-1))</f>
        <v>51</v>
      </c>
      <c r="O1480">
        <f>IFERROR(_xlfn.NUMBERVALUE(LEFT(Table11[[#This Row],[Score2 ]],FIND("/",Table11[[#This Row],[Score2 ]])-1)),"")</f>
        <v>65</v>
      </c>
      <c r="P1480" t="s">
        <v>153</v>
      </c>
      <c r="Q1480" s="1" t="s">
        <v>158</v>
      </c>
      <c r="R1480" t="str">
        <f>Table11[[#This Row],[Match]]&amp;" "&amp;Table11[[#This Row],[Over]]</f>
        <v>23 19</v>
      </c>
    </row>
    <row r="1481" spans="1:18" x14ac:dyDescent="0.3">
      <c r="A1481">
        <v>23</v>
      </c>
      <c r="B1481" s="1">
        <v>20</v>
      </c>
      <c r="C1481" s="1" t="s">
        <v>1458</v>
      </c>
      <c r="D1481" s="1" t="s">
        <v>916</v>
      </c>
      <c r="E1481" s="1" t="s">
        <v>1694</v>
      </c>
      <c r="F1481" s="1" t="s">
        <v>969</v>
      </c>
      <c r="G1481" s="1" t="s">
        <v>2624</v>
      </c>
      <c r="H1481" s="1" t="s">
        <v>916</v>
      </c>
      <c r="I1481" s="1" t="s">
        <v>977</v>
      </c>
      <c r="J1481" s="1" t="s">
        <v>969</v>
      </c>
      <c r="K1481" s="1" t="s">
        <v>1166</v>
      </c>
      <c r="L1481" s="1" t="s">
        <v>1126</v>
      </c>
      <c r="M1481" s="1" t="s">
        <v>1049</v>
      </c>
      <c r="N1481">
        <f>_xlfn.NUMBERVALUE(LEFT(Table11[[#This Row],[Score]],FIND("/",Table11[[#This Row],[Score]])-1))</f>
        <v>58</v>
      </c>
      <c r="O1481">
        <f>IFERROR(_xlfn.NUMBERVALUE(LEFT(Table11[[#This Row],[Score2 ]],FIND("/",Table11[[#This Row],[Score2 ]])-1)),"")</f>
        <v>72</v>
      </c>
      <c r="P1481" t="s">
        <v>153</v>
      </c>
      <c r="Q1481" s="1" t="s">
        <v>158</v>
      </c>
      <c r="R1481" t="str">
        <f>Table11[[#This Row],[Match]]&amp;" "&amp;Table11[[#This Row],[Over]]</f>
        <v>23 20</v>
      </c>
    </row>
    <row r="1482" spans="1:18" x14ac:dyDescent="0.3">
      <c r="A1482">
        <v>23</v>
      </c>
      <c r="B1482" s="1">
        <v>21</v>
      </c>
      <c r="C1482" s="1" t="s">
        <v>2623</v>
      </c>
      <c r="D1482" s="1" t="s">
        <v>998</v>
      </c>
      <c r="E1482" s="1" t="s">
        <v>1700</v>
      </c>
      <c r="F1482" s="1" t="s">
        <v>934</v>
      </c>
      <c r="G1482" s="1" t="s">
        <v>1298</v>
      </c>
      <c r="H1482" s="1" t="s">
        <v>898</v>
      </c>
      <c r="I1482" s="1" t="s">
        <v>1874</v>
      </c>
      <c r="J1482" s="1" t="s">
        <v>931</v>
      </c>
      <c r="K1482" s="1" t="s">
        <v>1134</v>
      </c>
      <c r="L1482" s="1" t="s">
        <v>1070</v>
      </c>
      <c r="M1482" s="1" t="s">
        <v>1056</v>
      </c>
      <c r="N1482">
        <f>_xlfn.NUMBERVALUE(LEFT(Table11[[#This Row],[Score]],FIND("/",Table11[[#This Row],[Score]])-1))</f>
        <v>62</v>
      </c>
      <c r="O1482">
        <f>IFERROR(_xlfn.NUMBERVALUE(LEFT(Table11[[#This Row],[Score2 ]],FIND("/",Table11[[#This Row],[Score2 ]])-1)),"")</f>
        <v>74</v>
      </c>
      <c r="P1482" t="s">
        <v>153</v>
      </c>
      <c r="Q1482" s="1" t="s">
        <v>158</v>
      </c>
      <c r="R1482" t="str">
        <f>Table11[[#This Row],[Match]]&amp;" "&amp;Table11[[#This Row],[Over]]</f>
        <v>23 21</v>
      </c>
    </row>
    <row r="1483" spans="1:18" x14ac:dyDescent="0.3">
      <c r="A1483">
        <v>23</v>
      </c>
      <c r="B1483" s="1">
        <v>22</v>
      </c>
      <c r="C1483" s="1" t="s">
        <v>1485</v>
      </c>
      <c r="D1483" s="1" t="s">
        <v>898</v>
      </c>
      <c r="E1483" s="1" t="s">
        <v>1694</v>
      </c>
      <c r="F1483" s="1" t="s">
        <v>1029</v>
      </c>
      <c r="G1483" s="1" t="s">
        <v>1478</v>
      </c>
      <c r="H1483" s="1" t="s">
        <v>1007</v>
      </c>
      <c r="I1483" s="1" t="s">
        <v>1271</v>
      </c>
      <c r="J1483" s="1" t="s">
        <v>990</v>
      </c>
      <c r="K1483" s="1" t="s">
        <v>1396</v>
      </c>
      <c r="L1483" s="1" t="s">
        <v>1070</v>
      </c>
      <c r="M1483" s="1" t="s">
        <v>1063</v>
      </c>
      <c r="N1483">
        <f>_xlfn.NUMBERVALUE(LEFT(Table11[[#This Row],[Score]],FIND("/",Table11[[#This Row],[Score]])-1))</f>
        <v>64</v>
      </c>
      <c r="O1483">
        <f>IFERROR(_xlfn.NUMBERVALUE(LEFT(Table11[[#This Row],[Score2 ]],FIND("/",Table11[[#This Row],[Score2 ]])-1)),"")</f>
        <v>74</v>
      </c>
      <c r="P1483" t="s">
        <v>153</v>
      </c>
      <c r="Q1483" s="1" t="s">
        <v>158</v>
      </c>
      <c r="R1483" t="str">
        <f>Table11[[#This Row],[Match]]&amp;" "&amp;Table11[[#This Row],[Over]]</f>
        <v>23 22</v>
      </c>
    </row>
    <row r="1484" spans="1:18" x14ac:dyDescent="0.3">
      <c r="A1484">
        <v>23</v>
      </c>
      <c r="B1484" s="1">
        <v>23</v>
      </c>
      <c r="C1484" s="1" t="s">
        <v>2933</v>
      </c>
      <c r="D1484" s="1" t="s">
        <v>898</v>
      </c>
      <c r="E1484" s="1" t="s">
        <v>1462</v>
      </c>
      <c r="F1484" s="1" t="s">
        <v>940</v>
      </c>
      <c r="G1484" s="1" t="s">
        <v>1486</v>
      </c>
      <c r="H1484" s="1" t="s">
        <v>947</v>
      </c>
      <c r="I1484" s="1" t="s">
        <v>977</v>
      </c>
      <c r="J1484" s="1" t="s">
        <v>969</v>
      </c>
      <c r="K1484" s="1" t="s">
        <v>942</v>
      </c>
      <c r="L1484" s="1" t="s">
        <v>1763</v>
      </c>
      <c r="M1484" s="1" t="s">
        <v>1070</v>
      </c>
      <c r="N1484">
        <f>_xlfn.NUMBERVALUE(LEFT(Table11[[#This Row],[Score]],FIND("/",Table11[[#This Row],[Score]])-1))</f>
        <v>66</v>
      </c>
      <c r="O1484">
        <f>IFERROR(_xlfn.NUMBERVALUE(LEFT(Table11[[#This Row],[Score2 ]],FIND("/",Table11[[#This Row],[Score2 ]])-1)),"")</f>
        <v>83</v>
      </c>
      <c r="P1484" t="s">
        <v>153</v>
      </c>
      <c r="Q1484" s="1" t="s">
        <v>158</v>
      </c>
      <c r="R1484" t="str">
        <f>Table11[[#This Row],[Match]]&amp;" "&amp;Table11[[#This Row],[Over]]</f>
        <v>23 23</v>
      </c>
    </row>
    <row r="1485" spans="1:18" x14ac:dyDescent="0.3">
      <c r="A1485">
        <v>23</v>
      </c>
      <c r="B1485" s="1">
        <v>24</v>
      </c>
      <c r="C1485" s="1" t="s">
        <v>1473</v>
      </c>
      <c r="D1485" s="1" t="s">
        <v>916</v>
      </c>
      <c r="E1485" s="1" t="s">
        <v>1697</v>
      </c>
      <c r="F1485" s="1" t="s">
        <v>940</v>
      </c>
      <c r="G1485" s="1" t="s">
        <v>1499</v>
      </c>
      <c r="H1485" s="1" t="s">
        <v>1147</v>
      </c>
      <c r="I1485" s="1" t="s">
        <v>1500</v>
      </c>
      <c r="J1485" s="1" t="s">
        <v>960</v>
      </c>
      <c r="K1485" s="1" t="s">
        <v>1065</v>
      </c>
      <c r="L1485" s="1" t="s">
        <v>1098</v>
      </c>
      <c r="M1485" s="1" t="s">
        <v>1077</v>
      </c>
      <c r="N1485">
        <f>_xlfn.NUMBERVALUE(LEFT(Table11[[#This Row],[Score]],FIND("/",Table11[[#This Row],[Score]])-1))</f>
        <v>73</v>
      </c>
      <c r="O1485">
        <f>IFERROR(_xlfn.NUMBERVALUE(LEFT(Table11[[#This Row],[Score2 ]],FIND("/",Table11[[#This Row],[Score2 ]])-1)),"")</f>
        <v>98</v>
      </c>
      <c r="P1485" t="s">
        <v>153</v>
      </c>
      <c r="Q1485" s="1" t="s">
        <v>158</v>
      </c>
      <c r="R1485" t="str">
        <f>Table11[[#This Row],[Match]]&amp;" "&amp;Table11[[#This Row],[Over]]</f>
        <v>23 24</v>
      </c>
    </row>
    <row r="1486" spans="1:18" x14ac:dyDescent="0.3">
      <c r="A1486">
        <v>23</v>
      </c>
      <c r="B1486" s="1">
        <v>25</v>
      </c>
      <c r="C1486" s="1" t="s">
        <v>2230</v>
      </c>
      <c r="D1486" s="1" t="s">
        <v>998</v>
      </c>
      <c r="E1486" s="1" t="s">
        <v>3584</v>
      </c>
      <c r="F1486" s="1" t="s">
        <v>990</v>
      </c>
      <c r="G1486" s="1" t="s">
        <v>2252</v>
      </c>
      <c r="H1486" s="1" t="s">
        <v>916</v>
      </c>
      <c r="I1486" s="1" t="s">
        <v>931</v>
      </c>
      <c r="J1486" s="1" t="s">
        <v>960</v>
      </c>
      <c r="K1486" s="1" t="s">
        <v>1079</v>
      </c>
      <c r="L1486" s="1" t="s">
        <v>1402</v>
      </c>
      <c r="M1486" s="1" t="s">
        <v>1083</v>
      </c>
      <c r="N1486">
        <f>_xlfn.NUMBERVALUE(LEFT(Table11[[#This Row],[Score]],FIND("/",Table11[[#This Row],[Score]])-1))</f>
        <v>77</v>
      </c>
      <c r="O1486">
        <f>IFERROR(_xlfn.NUMBERVALUE(LEFT(Table11[[#This Row],[Score2 ]],FIND("/",Table11[[#This Row],[Score2 ]])-1)),"")</f>
        <v>105</v>
      </c>
      <c r="P1486" t="s">
        <v>153</v>
      </c>
      <c r="Q1486" s="1" t="s">
        <v>158</v>
      </c>
      <c r="R1486" t="str">
        <f>Table11[[#This Row],[Match]]&amp;" "&amp;Table11[[#This Row],[Over]]</f>
        <v>23 25</v>
      </c>
    </row>
    <row r="1487" spans="1:18" x14ac:dyDescent="0.3">
      <c r="A1487">
        <v>23</v>
      </c>
      <c r="B1487" s="1">
        <v>26</v>
      </c>
      <c r="C1487" s="1" t="s">
        <v>1491</v>
      </c>
      <c r="D1487" s="1" t="s">
        <v>916</v>
      </c>
      <c r="E1487" s="1" t="s">
        <v>1454</v>
      </c>
      <c r="F1487" s="1" t="s">
        <v>940</v>
      </c>
      <c r="G1487" s="1" t="s">
        <v>2254</v>
      </c>
      <c r="H1487" s="1" t="s">
        <v>898</v>
      </c>
      <c r="I1487" s="1" t="s">
        <v>1297</v>
      </c>
      <c r="J1487" s="1" t="s">
        <v>960</v>
      </c>
      <c r="K1487" s="1" t="s">
        <v>1104</v>
      </c>
      <c r="L1487" s="1" t="s">
        <v>2061</v>
      </c>
      <c r="M1487" s="1" t="s">
        <v>1090</v>
      </c>
      <c r="N1487">
        <f>_xlfn.NUMBERVALUE(LEFT(Table11[[#This Row],[Score]],FIND("/",Table11[[#This Row],[Score]])-1))</f>
        <v>84</v>
      </c>
      <c r="O1487">
        <f>IFERROR(_xlfn.NUMBERVALUE(LEFT(Table11[[#This Row],[Score2 ]],FIND("/",Table11[[#This Row],[Score2 ]])-1)),"")</f>
        <v>107</v>
      </c>
      <c r="P1487" t="s">
        <v>153</v>
      </c>
      <c r="Q1487" s="1" t="s">
        <v>158</v>
      </c>
      <c r="R1487" t="str">
        <f>Table11[[#This Row],[Match]]&amp;" "&amp;Table11[[#This Row],[Over]]</f>
        <v>23 26</v>
      </c>
    </row>
    <row r="1488" spans="1:18" x14ac:dyDescent="0.3">
      <c r="A1488">
        <v>23</v>
      </c>
      <c r="B1488" s="1">
        <v>27</v>
      </c>
      <c r="C1488" s="1" t="s">
        <v>1494</v>
      </c>
      <c r="D1488" s="1" t="s">
        <v>922</v>
      </c>
      <c r="E1488" s="1" t="s">
        <v>1265</v>
      </c>
      <c r="F1488" s="1" t="s">
        <v>1029</v>
      </c>
      <c r="G1488" s="1" t="s">
        <v>3259</v>
      </c>
      <c r="H1488" s="1" t="s">
        <v>947</v>
      </c>
      <c r="I1488" s="1" t="s">
        <v>1474</v>
      </c>
      <c r="J1488" s="1" t="s">
        <v>1335</v>
      </c>
      <c r="K1488" s="1" t="s">
        <v>2449</v>
      </c>
      <c r="L1488" s="1" t="s">
        <v>1113</v>
      </c>
      <c r="M1488" s="1" t="s">
        <v>1098</v>
      </c>
      <c r="N1488">
        <f>_xlfn.NUMBERVALUE(LEFT(Table11[[#This Row],[Score]],FIND("/",Table11[[#This Row],[Score]])-1))</f>
        <v>90</v>
      </c>
      <c r="O1488">
        <f>IFERROR(_xlfn.NUMBERVALUE(LEFT(Table11[[#This Row],[Score2 ]],FIND("/",Table11[[#This Row],[Score2 ]])-1)),"")</f>
        <v>116</v>
      </c>
      <c r="P1488" t="s">
        <v>153</v>
      </c>
      <c r="Q1488" s="1" t="s">
        <v>158</v>
      </c>
      <c r="R1488" t="str">
        <f>Table11[[#This Row],[Match]]&amp;" "&amp;Table11[[#This Row],[Over]]</f>
        <v>23 27</v>
      </c>
    </row>
    <row r="1489" spans="1:18" x14ac:dyDescent="0.3">
      <c r="A1489">
        <v>23</v>
      </c>
      <c r="B1489" s="1">
        <v>28</v>
      </c>
      <c r="C1489" s="1" t="s">
        <v>2560</v>
      </c>
      <c r="D1489" s="1" t="s">
        <v>916</v>
      </c>
      <c r="E1489" s="1" t="s">
        <v>3582</v>
      </c>
      <c r="F1489" s="1" t="s">
        <v>970</v>
      </c>
      <c r="G1489" s="1" t="s">
        <v>3585</v>
      </c>
      <c r="H1489" s="1" t="s">
        <v>930</v>
      </c>
      <c r="I1489" s="1" t="s">
        <v>1006</v>
      </c>
      <c r="J1489" s="1" t="s">
        <v>1405</v>
      </c>
      <c r="K1489" s="1" t="s">
        <v>2186</v>
      </c>
      <c r="L1489" s="1" t="s">
        <v>2312</v>
      </c>
      <c r="M1489" s="1" t="s">
        <v>1101</v>
      </c>
      <c r="N1489">
        <f>_xlfn.NUMBERVALUE(LEFT(Table11[[#This Row],[Score]],FIND("/",Table11[[#This Row],[Score]])-1))</f>
        <v>97</v>
      </c>
      <c r="O1489">
        <f>IFERROR(_xlfn.NUMBERVALUE(LEFT(Table11[[#This Row],[Score2 ]],FIND("/",Table11[[#This Row],[Score2 ]])-1)),"")</f>
        <v>124</v>
      </c>
      <c r="P1489" t="s">
        <v>153</v>
      </c>
      <c r="Q1489" s="1" t="s">
        <v>158</v>
      </c>
      <c r="R1489" t="str">
        <f>Table11[[#This Row],[Match]]&amp;" "&amp;Table11[[#This Row],[Over]]</f>
        <v>23 28</v>
      </c>
    </row>
    <row r="1490" spans="1:18" x14ac:dyDescent="0.3">
      <c r="A1490">
        <v>23</v>
      </c>
      <c r="B1490" s="1">
        <v>29</v>
      </c>
      <c r="C1490" s="1" t="s">
        <v>2631</v>
      </c>
      <c r="D1490" s="1" t="s">
        <v>947</v>
      </c>
      <c r="E1490" s="1" t="s">
        <v>1897</v>
      </c>
      <c r="F1490" s="1" t="s">
        <v>960</v>
      </c>
      <c r="G1490" s="1" t="s">
        <v>2712</v>
      </c>
      <c r="H1490" s="1" t="s">
        <v>998</v>
      </c>
      <c r="I1490" s="1" t="s">
        <v>992</v>
      </c>
      <c r="J1490" s="1" t="s">
        <v>1019</v>
      </c>
      <c r="K1490" s="1" t="s">
        <v>1092</v>
      </c>
      <c r="L1490" s="1" t="s">
        <v>1127</v>
      </c>
      <c r="M1490" s="1" t="s">
        <v>1108</v>
      </c>
      <c r="N1490">
        <f>_xlfn.NUMBERVALUE(LEFT(Table11[[#This Row],[Score]],FIND("/",Table11[[#This Row],[Score]])-1))</f>
        <v>106</v>
      </c>
      <c r="O1490">
        <f>IFERROR(_xlfn.NUMBERVALUE(LEFT(Table11[[#This Row],[Score2 ]],FIND("/",Table11[[#This Row],[Score2 ]])-1)),"")</f>
        <v>128</v>
      </c>
      <c r="P1490" t="s">
        <v>153</v>
      </c>
      <c r="Q1490" s="1" t="s">
        <v>158</v>
      </c>
      <c r="R1490" t="str">
        <f>Table11[[#This Row],[Match]]&amp;" "&amp;Table11[[#This Row],[Over]]</f>
        <v>23 29</v>
      </c>
    </row>
    <row r="1491" spans="1:18" x14ac:dyDescent="0.3">
      <c r="A1491">
        <v>23</v>
      </c>
      <c r="B1491" s="1">
        <v>30</v>
      </c>
      <c r="C1491" s="1" t="s">
        <v>1320</v>
      </c>
      <c r="D1491" s="1" t="s">
        <v>916</v>
      </c>
      <c r="E1491" s="1" t="s">
        <v>1282</v>
      </c>
      <c r="F1491" s="1" t="s">
        <v>1116</v>
      </c>
      <c r="G1491" s="1" t="s">
        <v>1530</v>
      </c>
      <c r="H1491" s="1" t="s">
        <v>1007</v>
      </c>
      <c r="I1491" s="1" t="s">
        <v>1382</v>
      </c>
      <c r="J1491" s="1" t="s">
        <v>976</v>
      </c>
      <c r="K1491" s="1" t="s">
        <v>966</v>
      </c>
      <c r="L1491" s="1" t="s">
        <v>1127</v>
      </c>
      <c r="M1491" s="1" t="s">
        <v>1113</v>
      </c>
      <c r="N1491">
        <f>_xlfn.NUMBERVALUE(LEFT(Table11[[#This Row],[Score]],FIND("/",Table11[[#This Row],[Score]])-1))</f>
        <v>113</v>
      </c>
      <c r="O1491">
        <f>IFERROR(_xlfn.NUMBERVALUE(LEFT(Table11[[#This Row],[Score2 ]],FIND("/",Table11[[#This Row],[Score2 ]])-1)),"")</f>
        <v>128</v>
      </c>
      <c r="P1491" t="s">
        <v>153</v>
      </c>
      <c r="Q1491" s="1" t="s">
        <v>158</v>
      </c>
      <c r="R1491" t="str">
        <f>Table11[[#This Row],[Match]]&amp;" "&amp;Table11[[#This Row],[Over]]</f>
        <v>23 30</v>
      </c>
    </row>
    <row r="1492" spans="1:18" x14ac:dyDescent="0.3">
      <c r="A1492">
        <v>23</v>
      </c>
      <c r="B1492" s="1">
        <v>31</v>
      </c>
      <c r="C1492" s="1" t="s">
        <v>3289</v>
      </c>
      <c r="D1492" s="1" t="s">
        <v>950</v>
      </c>
      <c r="E1492" s="1" t="s">
        <v>990</v>
      </c>
      <c r="F1492" s="1" t="s">
        <v>1053</v>
      </c>
      <c r="G1492" s="1" t="s">
        <v>2896</v>
      </c>
      <c r="H1492" s="1" t="s">
        <v>916</v>
      </c>
      <c r="I1492" s="1" t="s">
        <v>1299</v>
      </c>
      <c r="J1492" s="1" t="s">
        <v>934</v>
      </c>
      <c r="K1492" s="1" t="s">
        <v>2257</v>
      </c>
      <c r="L1492" s="1" t="s">
        <v>1189</v>
      </c>
      <c r="M1492" s="1" t="s">
        <v>1121</v>
      </c>
      <c r="N1492">
        <f>_xlfn.NUMBERVALUE(LEFT(Table11[[#This Row],[Score]],FIND("/",Table11[[#This Row],[Score]])-1))</f>
        <v>118</v>
      </c>
      <c r="O1492">
        <f>IFERROR(_xlfn.NUMBERVALUE(LEFT(Table11[[#This Row],[Score2 ]],FIND("/",Table11[[#This Row],[Score2 ]])-1)),"")</f>
        <v>135</v>
      </c>
      <c r="P1492" t="s">
        <v>153</v>
      </c>
      <c r="Q1492" s="1" t="s">
        <v>158</v>
      </c>
      <c r="R1492" t="str">
        <f>Table11[[#This Row],[Match]]&amp;" "&amp;Table11[[#This Row],[Over]]</f>
        <v>23 31</v>
      </c>
    </row>
    <row r="1493" spans="1:18" x14ac:dyDescent="0.3">
      <c r="A1493">
        <v>23</v>
      </c>
      <c r="B1493" s="1">
        <v>32</v>
      </c>
      <c r="C1493" s="1" t="s">
        <v>1329</v>
      </c>
      <c r="D1493" s="1" t="s">
        <v>904</v>
      </c>
      <c r="E1493" s="1" t="s">
        <v>2782</v>
      </c>
      <c r="F1493" s="1" t="s">
        <v>970</v>
      </c>
      <c r="G1493" s="1" t="s">
        <v>3013</v>
      </c>
      <c r="H1493" s="1" t="s">
        <v>947</v>
      </c>
      <c r="I1493" s="1" t="s">
        <v>1021</v>
      </c>
      <c r="J1493" s="1" t="s">
        <v>934</v>
      </c>
      <c r="K1493" s="1" t="s">
        <v>1643</v>
      </c>
      <c r="L1493" s="1" t="s">
        <v>2489</v>
      </c>
      <c r="M1493" s="1" t="s">
        <v>1127</v>
      </c>
      <c r="N1493">
        <f>_xlfn.NUMBERVALUE(LEFT(Table11[[#This Row],[Score]],FIND("/",Table11[[#This Row],[Score]])-1))</f>
        <v>121</v>
      </c>
      <c r="O1493">
        <f>IFERROR(_xlfn.NUMBERVALUE(LEFT(Table11[[#This Row],[Score2 ]],FIND("/",Table11[[#This Row],[Score2 ]])-1)),"")</f>
        <v>144</v>
      </c>
      <c r="P1493" t="s">
        <v>153</v>
      </c>
      <c r="Q1493" s="1" t="s">
        <v>158</v>
      </c>
      <c r="R1493" t="str">
        <f>Table11[[#This Row],[Match]]&amp;" "&amp;Table11[[#This Row],[Over]]</f>
        <v>23 32</v>
      </c>
    </row>
    <row r="1494" spans="1:18" x14ac:dyDescent="0.3">
      <c r="A1494">
        <v>23</v>
      </c>
      <c r="B1494" s="1">
        <v>33</v>
      </c>
      <c r="C1494" s="1" t="s">
        <v>2027</v>
      </c>
      <c r="D1494" s="1" t="s">
        <v>950</v>
      </c>
      <c r="E1494" s="1" t="s">
        <v>1866</v>
      </c>
      <c r="F1494" s="1" t="s">
        <v>1013</v>
      </c>
      <c r="G1494" s="1" t="s">
        <v>2146</v>
      </c>
      <c r="H1494" s="1" t="s">
        <v>922</v>
      </c>
      <c r="I1494" s="1" t="s">
        <v>2895</v>
      </c>
      <c r="J1494" s="1" t="s">
        <v>1029</v>
      </c>
      <c r="K1494" s="1" t="s">
        <v>1365</v>
      </c>
      <c r="L1494" s="1" t="s">
        <v>1204</v>
      </c>
      <c r="M1494" s="1" t="s">
        <v>1132</v>
      </c>
      <c r="N1494">
        <f>_xlfn.NUMBERVALUE(LEFT(Table11[[#This Row],[Score]],FIND("/",Table11[[#This Row],[Score]])-1))</f>
        <v>126</v>
      </c>
      <c r="O1494">
        <f>IFERROR(_xlfn.NUMBERVALUE(LEFT(Table11[[#This Row],[Score2 ]],FIND("/",Table11[[#This Row],[Score2 ]])-1)),"")</f>
        <v>150</v>
      </c>
      <c r="P1494" t="s">
        <v>153</v>
      </c>
      <c r="Q1494" s="1" t="s">
        <v>158</v>
      </c>
      <c r="R1494" t="str">
        <f>Table11[[#This Row],[Match]]&amp;" "&amp;Table11[[#This Row],[Over]]</f>
        <v>23 33</v>
      </c>
    </row>
    <row r="1495" spans="1:18" x14ac:dyDescent="0.3">
      <c r="A1495">
        <v>23</v>
      </c>
      <c r="B1495" s="1">
        <v>34</v>
      </c>
      <c r="C1495" s="1" t="s">
        <v>2036</v>
      </c>
      <c r="D1495" s="1" t="s">
        <v>968</v>
      </c>
      <c r="E1495" s="1" t="s">
        <v>1848</v>
      </c>
      <c r="F1495" s="1" t="s">
        <v>931</v>
      </c>
      <c r="G1495" s="1" t="s">
        <v>1361</v>
      </c>
      <c r="H1495" s="1" t="s">
        <v>968</v>
      </c>
      <c r="I1495" s="1" t="s">
        <v>965</v>
      </c>
      <c r="J1495" s="1" t="s">
        <v>976</v>
      </c>
      <c r="K1495" s="1" t="s">
        <v>2257</v>
      </c>
      <c r="L1495" s="1" t="s">
        <v>1791</v>
      </c>
      <c r="M1495" s="1" t="s">
        <v>1138</v>
      </c>
      <c r="N1495">
        <f>_xlfn.NUMBERVALUE(LEFT(Table11[[#This Row],[Score]],FIND("/",Table11[[#This Row],[Score]])-1))</f>
        <v>127</v>
      </c>
      <c r="O1495">
        <f>IFERROR(_xlfn.NUMBERVALUE(LEFT(Table11[[#This Row],[Score2 ]],FIND("/",Table11[[#This Row],[Score2 ]])-1)),"")</f>
        <v>151</v>
      </c>
      <c r="P1495" t="s">
        <v>153</v>
      </c>
      <c r="Q1495" s="1" t="s">
        <v>158</v>
      </c>
      <c r="R1495" t="str">
        <f>Table11[[#This Row],[Match]]&amp;" "&amp;Table11[[#This Row],[Over]]</f>
        <v>23 34</v>
      </c>
    </row>
    <row r="1496" spans="1:18" x14ac:dyDescent="0.3">
      <c r="A1496">
        <v>23</v>
      </c>
      <c r="B1496" s="1">
        <v>35</v>
      </c>
      <c r="C1496" s="1" t="s">
        <v>3164</v>
      </c>
      <c r="D1496" s="1" t="s">
        <v>930</v>
      </c>
      <c r="E1496" s="1" t="s">
        <v>1518</v>
      </c>
      <c r="F1496" s="1" t="s">
        <v>940</v>
      </c>
      <c r="G1496" s="1" t="s">
        <v>3586</v>
      </c>
      <c r="H1496" s="1" t="s">
        <v>947</v>
      </c>
      <c r="I1496" s="1" t="s">
        <v>1362</v>
      </c>
      <c r="J1496" s="1" t="s">
        <v>943</v>
      </c>
      <c r="K1496" s="1" t="s">
        <v>2279</v>
      </c>
      <c r="L1496" s="1" t="s">
        <v>1900</v>
      </c>
      <c r="M1496" s="1" t="s">
        <v>1143</v>
      </c>
      <c r="N1496">
        <f>_xlfn.NUMBERVALUE(LEFT(Table11[[#This Row],[Score]],FIND("/",Table11[[#This Row],[Score]])-1))</f>
        <v>135</v>
      </c>
      <c r="O1496">
        <f>IFERROR(_xlfn.NUMBERVALUE(LEFT(Table11[[#This Row],[Score2 ]],FIND("/",Table11[[#This Row],[Score2 ]])-1)),"")</f>
        <v>160</v>
      </c>
      <c r="P1496" t="s">
        <v>153</v>
      </c>
      <c r="Q1496" s="1" t="s">
        <v>158</v>
      </c>
      <c r="R1496" t="str">
        <f>Table11[[#This Row],[Match]]&amp;" "&amp;Table11[[#This Row],[Over]]</f>
        <v>23 35</v>
      </c>
    </row>
    <row r="1497" spans="1:18" x14ac:dyDescent="0.3">
      <c r="A1497">
        <v>23</v>
      </c>
      <c r="B1497" s="1">
        <v>36</v>
      </c>
      <c r="C1497" s="1" t="s">
        <v>3399</v>
      </c>
      <c r="D1497" s="1" t="s">
        <v>904</v>
      </c>
      <c r="E1497" s="1" t="s">
        <v>1731</v>
      </c>
      <c r="F1497" s="1" t="s">
        <v>939</v>
      </c>
      <c r="G1497" s="1" t="s">
        <v>3587</v>
      </c>
      <c r="H1497" s="1" t="s">
        <v>998</v>
      </c>
      <c r="I1497" s="1" t="s">
        <v>1919</v>
      </c>
      <c r="J1497" s="1" t="s">
        <v>1013</v>
      </c>
      <c r="K1497" s="1" t="s">
        <v>1092</v>
      </c>
      <c r="L1497" s="1" t="s">
        <v>1164</v>
      </c>
      <c r="M1497" s="1" t="s">
        <v>1150</v>
      </c>
      <c r="N1497">
        <f>_xlfn.NUMBERVALUE(LEFT(Table11[[#This Row],[Score]],FIND("/",Table11[[#This Row],[Score]])-1))</f>
        <v>138</v>
      </c>
      <c r="O1497">
        <f>IFERROR(_xlfn.NUMBERVALUE(LEFT(Table11[[#This Row],[Score2 ]],FIND("/",Table11[[#This Row],[Score2 ]])-1)),"")</f>
        <v>164</v>
      </c>
      <c r="P1497" t="s">
        <v>153</v>
      </c>
      <c r="Q1497" s="1" t="s">
        <v>158</v>
      </c>
      <c r="R1497" t="str">
        <f>Table11[[#This Row],[Match]]&amp;" "&amp;Table11[[#This Row],[Over]]</f>
        <v>23 36</v>
      </c>
    </row>
    <row r="1498" spans="1:18" x14ac:dyDescent="0.3">
      <c r="A1498">
        <v>23</v>
      </c>
      <c r="B1498" s="1">
        <v>37</v>
      </c>
      <c r="C1498" s="1" t="s">
        <v>3588</v>
      </c>
      <c r="D1498" s="1" t="s">
        <v>904</v>
      </c>
      <c r="E1498" s="1" t="s">
        <v>1866</v>
      </c>
      <c r="F1498" s="1" t="s">
        <v>939</v>
      </c>
      <c r="G1498" s="1" t="s">
        <v>1945</v>
      </c>
      <c r="H1498" s="1" t="s">
        <v>898</v>
      </c>
      <c r="I1498" s="1" t="s">
        <v>1759</v>
      </c>
      <c r="J1498" s="1" t="s">
        <v>940</v>
      </c>
      <c r="K1498" s="1" t="s">
        <v>1732</v>
      </c>
      <c r="L1498" s="1" t="s">
        <v>1905</v>
      </c>
      <c r="M1498" s="1" t="s">
        <v>1156</v>
      </c>
      <c r="N1498">
        <f>_xlfn.NUMBERVALUE(LEFT(Table11[[#This Row],[Score]],FIND("/",Table11[[#This Row],[Score]])-1))</f>
        <v>141</v>
      </c>
      <c r="O1498">
        <f>IFERROR(_xlfn.NUMBERVALUE(LEFT(Table11[[#This Row],[Score2 ]],FIND("/",Table11[[#This Row],[Score2 ]])-1)),"")</f>
        <v>166</v>
      </c>
      <c r="P1498" t="s">
        <v>153</v>
      </c>
      <c r="Q1498" s="1" t="s">
        <v>158</v>
      </c>
      <c r="R1498" t="str">
        <f>Table11[[#This Row],[Match]]&amp;" "&amp;Table11[[#This Row],[Over]]</f>
        <v>23 37</v>
      </c>
    </row>
    <row r="1499" spans="1:18" x14ac:dyDescent="0.3">
      <c r="A1499">
        <v>23</v>
      </c>
      <c r="B1499" s="1">
        <v>38</v>
      </c>
      <c r="C1499" s="1" t="s">
        <v>1361</v>
      </c>
      <c r="D1499" s="1" t="s">
        <v>1095</v>
      </c>
      <c r="E1499" s="1" t="s">
        <v>2043</v>
      </c>
      <c r="F1499" s="1" t="s">
        <v>969</v>
      </c>
      <c r="G1499" s="1" t="s">
        <v>3176</v>
      </c>
      <c r="H1499" s="1" t="s">
        <v>968</v>
      </c>
      <c r="I1499" s="1" t="s">
        <v>1067</v>
      </c>
      <c r="J1499" s="1" t="s">
        <v>1247</v>
      </c>
      <c r="K1499" s="1" t="s">
        <v>1601</v>
      </c>
      <c r="L1499" s="1" t="s">
        <v>1640</v>
      </c>
      <c r="M1499" s="1" t="s">
        <v>1164</v>
      </c>
      <c r="N1499">
        <f>_xlfn.NUMBERVALUE(LEFT(Table11[[#This Row],[Score]],FIND("/",Table11[[#This Row],[Score]])-1))</f>
        <v>151</v>
      </c>
      <c r="O1499">
        <f>IFERROR(_xlfn.NUMBERVALUE(LEFT(Table11[[#This Row],[Score2 ]],FIND("/",Table11[[#This Row],[Score2 ]])-1)),"")</f>
        <v>167</v>
      </c>
      <c r="P1499" t="s">
        <v>153</v>
      </c>
      <c r="Q1499" s="1" t="s">
        <v>158</v>
      </c>
      <c r="R1499" t="str">
        <f>Table11[[#This Row],[Match]]&amp;" "&amp;Table11[[#This Row],[Over]]</f>
        <v>23 38</v>
      </c>
    </row>
    <row r="1500" spans="1:18" x14ac:dyDescent="0.3">
      <c r="A1500">
        <v>23</v>
      </c>
      <c r="B1500" s="1">
        <v>39</v>
      </c>
      <c r="C1500" s="1" t="s">
        <v>3171</v>
      </c>
      <c r="D1500" s="1" t="s">
        <v>916</v>
      </c>
      <c r="E1500" s="1" t="s">
        <v>1957</v>
      </c>
      <c r="F1500" s="1" t="s">
        <v>970</v>
      </c>
      <c r="G1500" s="1" t="s">
        <v>2154</v>
      </c>
      <c r="H1500" s="1" t="s">
        <v>968</v>
      </c>
      <c r="I1500" s="1" t="s">
        <v>999</v>
      </c>
      <c r="J1500" s="1" t="s">
        <v>1247</v>
      </c>
      <c r="K1500" s="1" t="s">
        <v>907</v>
      </c>
      <c r="L1500" s="1" t="s">
        <v>2420</v>
      </c>
      <c r="M1500" s="1" t="s">
        <v>1171</v>
      </c>
      <c r="N1500">
        <f>_xlfn.NUMBERVALUE(LEFT(Table11[[#This Row],[Score]],FIND("/",Table11[[#This Row],[Score]])-1))</f>
        <v>158</v>
      </c>
      <c r="O1500">
        <f>IFERROR(_xlfn.NUMBERVALUE(LEFT(Table11[[#This Row],[Score2 ]],FIND("/",Table11[[#This Row],[Score2 ]])-1)),"")</f>
        <v>168</v>
      </c>
      <c r="P1500" t="s">
        <v>153</v>
      </c>
      <c r="Q1500" s="1" t="s">
        <v>158</v>
      </c>
      <c r="R1500" t="str">
        <f>Table11[[#This Row],[Match]]&amp;" "&amp;Table11[[#This Row],[Over]]</f>
        <v>23 39</v>
      </c>
    </row>
    <row r="1501" spans="1:18" x14ac:dyDescent="0.3">
      <c r="A1501">
        <v>23</v>
      </c>
      <c r="B1501" s="1">
        <v>40</v>
      </c>
      <c r="C1501" s="1" t="s">
        <v>3175</v>
      </c>
      <c r="D1501" s="1" t="s">
        <v>998</v>
      </c>
      <c r="E1501" s="1" t="s">
        <v>1957</v>
      </c>
      <c r="F1501" s="1" t="s">
        <v>966</v>
      </c>
      <c r="G1501" s="1" t="s">
        <v>3304</v>
      </c>
      <c r="H1501" s="1" t="s">
        <v>904</v>
      </c>
      <c r="I1501" s="1" t="s">
        <v>983</v>
      </c>
      <c r="J1501" s="1" t="s">
        <v>1383</v>
      </c>
      <c r="K1501" s="1" t="s">
        <v>1729</v>
      </c>
      <c r="L1501" s="1" t="s">
        <v>1910</v>
      </c>
      <c r="M1501" s="1" t="s">
        <v>1177</v>
      </c>
      <c r="N1501">
        <f>_xlfn.NUMBERVALUE(LEFT(Table11[[#This Row],[Score]],FIND("/",Table11[[#This Row],[Score]])-1))</f>
        <v>162</v>
      </c>
      <c r="O1501">
        <f>IFERROR(_xlfn.NUMBERVALUE(LEFT(Table11[[#This Row],[Score2 ]],FIND("/",Table11[[#This Row],[Score2 ]])-1)),"")</f>
        <v>171</v>
      </c>
      <c r="P1501" t="s">
        <v>153</v>
      </c>
      <c r="Q1501" s="1" t="s">
        <v>158</v>
      </c>
      <c r="R1501" t="str">
        <f>Table11[[#This Row],[Match]]&amp;" "&amp;Table11[[#This Row],[Over]]</f>
        <v>23 40</v>
      </c>
    </row>
    <row r="1502" spans="1:18" x14ac:dyDescent="0.3">
      <c r="A1502">
        <v>23</v>
      </c>
      <c r="B1502" s="1">
        <v>41</v>
      </c>
      <c r="C1502" s="1" t="s">
        <v>1948</v>
      </c>
      <c r="D1502" s="1" t="s">
        <v>947</v>
      </c>
      <c r="E1502" s="1" t="s">
        <v>2652</v>
      </c>
      <c r="F1502" s="1" t="s">
        <v>960</v>
      </c>
      <c r="G1502" s="1" t="s">
        <v>3589</v>
      </c>
      <c r="H1502" s="1" t="s">
        <v>904</v>
      </c>
      <c r="I1502" s="1" t="s">
        <v>2060</v>
      </c>
      <c r="J1502" s="1" t="s">
        <v>899</v>
      </c>
      <c r="K1502" s="1" t="s">
        <v>1742</v>
      </c>
      <c r="L1502" s="1" t="s">
        <v>3518</v>
      </c>
      <c r="M1502" s="1" t="s">
        <v>1183</v>
      </c>
      <c r="N1502">
        <f>_xlfn.NUMBERVALUE(LEFT(Table11[[#This Row],[Score]],FIND("/",Table11[[#This Row],[Score]])-1))</f>
        <v>171</v>
      </c>
      <c r="O1502">
        <f>IFERROR(_xlfn.NUMBERVALUE(LEFT(Table11[[#This Row],[Score2 ]],FIND("/",Table11[[#This Row],[Score2 ]])-1)),"")</f>
        <v>174</v>
      </c>
      <c r="P1502" t="s">
        <v>153</v>
      </c>
      <c r="Q1502" s="1" t="s">
        <v>158</v>
      </c>
      <c r="R1502" t="str">
        <f>Table11[[#This Row],[Match]]&amp;" "&amp;Table11[[#This Row],[Over]]</f>
        <v>23 41</v>
      </c>
    </row>
    <row r="1503" spans="1:18" x14ac:dyDescent="0.3">
      <c r="A1503">
        <v>23</v>
      </c>
      <c r="B1503" s="1">
        <v>42</v>
      </c>
      <c r="C1503" s="1" t="s">
        <v>2157</v>
      </c>
      <c r="D1503" s="1" t="s">
        <v>922</v>
      </c>
      <c r="E1503" s="1" t="s">
        <v>1130</v>
      </c>
      <c r="F1503" s="1" t="s">
        <v>1116</v>
      </c>
      <c r="G1503" s="1" t="s">
        <v>3306</v>
      </c>
      <c r="H1503" s="1" t="s">
        <v>916</v>
      </c>
      <c r="I1503" s="1" t="s">
        <v>999</v>
      </c>
      <c r="J1503" s="1" t="s">
        <v>1238</v>
      </c>
      <c r="K1503" s="1" t="s">
        <v>3256</v>
      </c>
      <c r="L1503" s="1" t="s">
        <v>1916</v>
      </c>
      <c r="M1503" s="1" t="s">
        <v>1190</v>
      </c>
      <c r="N1503">
        <f>_xlfn.NUMBERVALUE(LEFT(Table11[[#This Row],[Score]],FIND("/",Table11[[#This Row],[Score]])-1))</f>
        <v>177</v>
      </c>
      <c r="O1503">
        <f>IFERROR(_xlfn.NUMBERVALUE(LEFT(Table11[[#This Row],[Score2 ]],FIND("/",Table11[[#This Row],[Score2 ]])-1)),"")</f>
        <v>181</v>
      </c>
      <c r="P1503" t="s">
        <v>153</v>
      </c>
      <c r="Q1503" s="1" t="s">
        <v>158</v>
      </c>
      <c r="R1503" t="str">
        <f>Table11[[#This Row],[Match]]&amp;" "&amp;Table11[[#This Row],[Over]]</f>
        <v>23 42</v>
      </c>
    </row>
    <row r="1504" spans="1:18" x14ac:dyDescent="0.3">
      <c r="A1504">
        <v>23</v>
      </c>
      <c r="B1504" s="1">
        <v>43</v>
      </c>
      <c r="C1504" s="1" t="s">
        <v>2159</v>
      </c>
      <c r="D1504" s="1" t="s">
        <v>922</v>
      </c>
      <c r="E1504" s="1" t="s">
        <v>1074</v>
      </c>
      <c r="F1504" s="1" t="s">
        <v>943</v>
      </c>
      <c r="G1504" s="1" t="s">
        <v>3590</v>
      </c>
      <c r="H1504" s="1" t="s">
        <v>950</v>
      </c>
      <c r="I1504" s="1" t="s">
        <v>1118</v>
      </c>
      <c r="J1504" s="1" t="s">
        <v>990</v>
      </c>
      <c r="K1504" s="1" t="s">
        <v>2221</v>
      </c>
      <c r="L1504" s="1" t="s">
        <v>1812</v>
      </c>
      <c r="M1504" s="1" t="s">
        <v>1197</v>
      </c>
      <c r="N1504">
        <f>_xlfn.NUMBERVALUE(LEFT(Table11[[#This Row],[Score]],FIND("/",Table11[[#This Row],[Score]])-1))</f>
        <v>183</v>
      </c>
      <c r="O1504">
        <f>IFERROR(_xlfn.NUMBERVALUE(LEFT(Table11[[#This Row],[Score2 ]],FIND("/",Table11[[#This Row],[Score2 ]])-1)),"")</f>
        <v>186</v>
      </c>
      <c r="P1504" t="s">
        <v>153</v>
      </c>
      <c r="Q1504" s="1" t="s">
        <v>158</v>
      </c>
      <c r="R1504" t="str">
        <f>Table11[[#This Row],[Match]]&amp;" "&amp;Table11[[#This Row],[Over]]</f>
        <v>23 43</v>
      </c>
    </row>
    <row r="1505" spans="1:18" x14ac:dyDescent="0.3">
      <c r="A1505">
        <v>23</v>
      </c>
      <c r="B1505" s="1">
        <v>44</v>
      </c>
      <c r="C1505" s="1" t="s">
        <v>2159</v>
      </c>
      <c r="D1505" s="1" t="s">
        <v>1007</v>
      </c>
      <c r="E1505" s="1" t="s">
        <v>1303</v>
      </c>
      <c r="F1505" s="1" t="s">
        <v>969</v>
      </c>
      <c r="G1505" s="1" t="s">
        <v>3591</v>
      </c>
      <c r="H1505" s="1" t="s">
        <v>904</v>
      </c>
      <c r="I1505" s="1" t="s">
        <v>1474</v>
      </c>
      <c r="J1505" s="1" t="s">
        <v>931</v>
      </c>
      <c r="K1505" s="1" t="s">
        <v>2214</v>
      </c>
      <c r="L1505" s="1" t="s">
        <v>2733</v>
      </c>
      <c r="M1505" s="1" t="s">
        <v>1205</v>
      </c>
      <c r="N1505">
        <f>_xlfn.NUMBERVALUE(LEFT(Table11[[#This Row],[Score]],FIND("/",Table11[[#This Row],[Score]])-1))</f>
        <v>183</v>
      </c>
      <c r="O1505">
        <f>IFERROR(_xlfn.NUMBERVALUE(LEFT(Table11[[#This Row],[Score2 ]],FIND("/",Table11[[#This Row],[Score2 ]])-1)),"")</f>
        <v>189</v>
      </c>
      <c r="P1505" t="s">
        <v>153</v>
      </c>
      <c r="Q1505" s="1" t="s">
        <v>158</v>
      </c>
      <c r="R1505" t="str">
        <f>Table11[[#This Row],[Match]]&amp;" "&amp;Table11[[#This Row],[Over]]</f>
        <v>23 44</v>
      </c>
    </row>
    <row r="1506" spans="1:18" x14ac:dyDescent="0.3">
      <c r="A1506">
        <v>23</v>
      </c>
      <c r="B1506" s="1">
        <v>45</v>
      </c>
      <c r="C1506" s="1" t="s">
        <v>2907</v>
      </c>
      <c r="D1506" s="1" t="s">
        <v>947</v>
      </c>
      <c r="E1506" s="1" t="s">
        <v>1382</v>
      </c>
      <c r="F1506" s="1" t="s">
        <v>1019</v>
      </c>
      <c r="G1506" s="1" t="s">
        <v>2293</v>
      </c>
      <c r="H1506" s="1" t="s">
        <v>922</v>
      </c>
      <c r="I1506" s="1" t="s">
        <v>989</v>
      </c>
      <c r="J1506" s="1" t="s">
        <v>1093</v>
      </c>
      <c r="K1506" s="1" t="s">
        <v>1405</v>
      </c>
      <c r="L1506" s="1" t="s">
        <v>3370</v>
      </c>
      <c r="M1506" s="1" t="s">
        <v>1211</v>
      </c>
      <c r="N1506">
        <f>_xlfn.NUMBERVALUE(LEFT(Table11[[#This Row],[Score]],FIND("/",Table11[[#This Row],[Score]])-1))</f>
        <v>192</v>
      </c>
      <c r="O1506">
        <f>IFERROR(_xlfn.NUMBERVALUE(LEFT(Table11[[#This Row],[Score2 ]],FIND("/",Table11[[#This Row],[Score2 ]])-1)),"")</f>
        <v>195</v>
      </c>
      <c r="P1506" t="s">
        <v>153</v>
      </c>
      <c r="Q1506" s="1" t="s">
        <v>158</v>
      </c>
      <c r="R1506" t="str">
        <f>Table11[[#This Row],[Match]]&amp;" "&amp;Table11[[#This Row],[Over]]</f>
        <v>23 45</v>
      </c>
    </row>
    <row r="1507" spans="1:18" x14ac:dyDescent="0.3">
      <c r="A1507">
        <v>23</v>
      </c>
      <c r="B1507" s="1">
        <v>46</v>
      </c>
      <c r="C1507" s="1" t="s">
        <v>3592</v>
      </c>
      <c r="D1507" s="1" t="s">
        <v>1095</v>
      </c>
      <c r="E1507" s="1" t="s">
        <v>1067</v>
      </c>
      <c r="F1507" s="1" t="s">
        <v>970</v>
      </c>
      <c r="G1507" s="1" t="s">
        <v>3593</v>
      </c>
      <c r="H1507" s="1" t="s">
        <v>916</v>
      </c>
      <c r="I1507" s="1" t="s">
        <v>1067</v>
      </c>
      <c r="J1507" s="1" t="s">
        <v>934</v>
      </c>
      <c r="K1507" s="1" t="s">
        <v>2100</v>
      </c>
      <c r="L1507" s="1" t="s">
        <v>2569</v>
      </c>
      <c r="M1507" s="1" t="s">
        <v>1216</v>
      </c>
      <c r="N1507">
        <f>_xlfn.NUMBERVALUE(LEFT(Table11[[#This Row],[Score]],FIND("/",Table11[[#This Row],[Score]])-1))</f>
        <v>202</v>
      </c>
      <c r="O1507">
        <f>IFERROR(_xlfn.NUMBERVALUE(LEFT(Table11[[#This Row],[Score2 ]],FIND("/",Table11[[#This Row],[Score2 ]])-1)),"")</f>
        <v>202</v>
      </c>
      <c r="P1507" t="s">
        <v>153</v>
      </c>
      <c r="Q1507" s="1" t="s">
        <v>158</v>
      </c>
      <c r="R1507" t="str">
        <f>Table11[[#This Row],[Match]]&amp;" "&amp;Table11[[#This Row],[Over]]</f>
        <v>23 46</v>
      </c>
    </row>
    <row r="1508" spans="1:18" x14ac:dyDescent="0.3">
      <c r="A1508">
        <v>23</v>
      </c>
      <c r="B1508" s="1">
        <v>47</v>
      </c>
      <c r="C1508" s="1" t="s">
        <v>3594</v>
      </c>
      <c r="D1508" s="1" t="s">
        <v>998</v>
      </c>
      <c r="E1508" s="1" t="s">
        <v>1035</v>
      </c>
      <c r="F1508" s="1" t="s">
        <v>1013</v>
      </c>
      <c r="G1508" s="1" t="s">
        <v>3593</v>
      </c>
      <c r="H1508" s="1" t="s">
        <v>1007</v>
      </c>
      <c r="I1508" s="1" t="s">
        <v>1474</v>
      </c>
      <c r="J1508" s="1" t="s">
        <v>931</v>
      </c>
      <c r="K1508" s="1" t="s">
        <v>3414</v>
      </c>
      <c r="L1508" s="1" t="s">
        <v>2569</v>
      </c>
      <c r="M1508" s="1" t="s">
        <v>1223</v>
      </c>
      <c r="N1508">
        <f>_xlfn.NUMBERVALUE(LEFT(Table11[[#This Row],[Score]],FIND("/",Table11[[#This Row],[Score]])-1))</f>
        <v>206</v>
      </c>
      <c r="O1508">
        <f>IFERROR(_xlfn.NUMBERVALUE(LEFT(Table11[[#This Row],[Score2 ]],FIND("/",Table11[[#This Row],[Score2 ]])-1)),"")</f>
        <v>202</v>
      </c>
      <c r="P1508" t="s">
        <v>153</v>
      </c>
      <c r="Q1508" s="1" t="s">
        <v>158</v>
      </c>
      <c r="R1508" t="str">
        <f>Table11[[#This Row],[Match]]&amp;" "&amp;Table11[[#This Row],[Over]]</f>
        <v>23 47</v>
      </c>
    </row>
    <row r="1509" spans="1:18" x14ac:dyDescent="0.3">
      <c r="A1509">
        <v>23</v>
      </c>
      <c r="B1509" s="1">
        <v>48</v>
      </c>
      <c r="C1509" s="1" t="s">
        <v>2177</v>
      </c>
      <c r="D1509" s="1" t="s">
        <v>1095</v>
      </c>
      <c r="E1509" s="1" t="s">
        <v>1021</v>
      </c>
      <c r="F1509" s="1" t="s">
        <v>960</v>
      </c>
      <c r="G1509" s="1" t="s">
        <v>3595</v>
      </c>
      <c r="H1509" s="1" t="s">
        <v>922</v>
      </c>
      <c r="I1509" s="1" t="s">
        <v>989</v>
      </c>
      <c r="J1509" s="1" t="s">
        <v>940</v>
      </c>
      <c r="K1509" s="1" t="s">
        <v>1195</v>
      </c>
      <c r="L1509" s="1" t="s">
        <v>1709</v>
      </c>
      <c r="M1509" s="1" t="s">
        <v>1103</v>
      </c>
      <c r="N1509">
        <f>_xlfn.NUMBERVALUE(LEFT(Table11[[#This Row],[Score]],FIND("/",Table11[[#This Row],[Score]])-1))</f>
        <v>216</v>
      </c>
      <c r="O1509">
        <f>IFERROR(_xlfn.NUMBERVALUE(LEFT(Table11[[#This Row],[Score2 ]],FIND("/",Table11[[#This Row],[Score2 ]])-1)),"")</f>
        <v>208</v>
      </c>
      <c r="P1509" t="s">
        <v>153</v>
      </c>
      <c r="Q1509" s="1" t="s">
        <v>158</v>
      </c>
      <c r="R1509" t="str">
        <f>Table11[[#This Row],[Match]]&amp;" "&amp;Table11[[#This Row],[Over]]</f>
        <v>23 48</v>
      </c>
    </row>
    <row r="1510" spans="1:18" x14ac:dyDescent="0.3">
      <c r="A1510">
        <v>23</v>
      </c>
      <c r="B1510" s="1">
        <v>49</v>
      </c>
      <c r="C1510" s="1" t="s">
        <v>2914</v>
      </c>
      <c r="D1510" s="1" t="s">
        <v>922</v>
      </c>
      <c r="E1510" s="1" t="s">
        <v>1793</v>
      </c>
      <c r="F1510" s="1" t="s">
        <v>1168</v>
      </c>
      <c r="G1510" s="1" t="s">
        <v>3596</v>
      </c>
      <c r="H1510" s="1" t="s">
        <v>998</v>
      </c>
      <c r="I1510" s="1" t="s">
        <v>1118</v>
      </c>
      <c r="J1510" s="1" t="s">
        <v>976</v>
      </c>
      <c r="K1510" s="1" t="s">
        <v>3597</v>
      </c>
      <c r="L1510" s="1" t="s">
        <v>1216</v>
      </c>
      <c r="M1510" s="1" t="s">
        <v>922</v>
      </c>
      <c r="N1510">
        <f>_xlfn.NUMBERVALUE(LEFT(Table11[[#This Row],[Score]],FIND("/",Table11[[#This Row],[Score]])-1))</f>
        <v>222</v>
      </c>
      <c r="O1510">
        <f>IFERROR(_xlfn.NUMBERVALUE(LEFT(Table11[[#This Row],[Score2 ]],FIND("/",Table11[[#This Row],[Score2 ]])-1)),"")</f>
        <v>212</v>
      </c>
      <c r="P1510" t="s">
        <v>153</v>
      </c>
      <c r="Q1510" s="1" t="s">
        <v>158</v>
      </c>
      <c r="R1510" t="str">
        <f>Table11[[#This Row],[Match]]&amp;" "&amp;Table11[[#This Row],[Over]]</f>
        <v>23 49</v>
      </c>
    </row>
    <row r="1511" spans="1:18" x14ac:dyDescent="0.3">
      <c r="A1511">
        <v>23</v>
      </c>
      <c r="B1511" s="1">
        <v>50</v>
      </c>
      <c r="C1511" s="1" t="s">
        <v>3598</v>
      </c>
      <c r="D1511" s="1" t="s">
        <v>1390</v>
      </c>
      <c r="E1511" s="1" t="s">
        <v>1321</v>
      </c>
      <c r="F1511" s="1" t="s">
        <v>1414</v>
      </c>
      <c r="G1511" s="1" t="s">
        <v>3599</v>
      </c>
      <c r="H1511" s="1" t="s">
        <v>3341</v>
      </c>
      <c r="I1511" s="1" t="s">
        <v>3600</v>
      </c>
      <c r="J1511" s="1" t="s">
        <v>3601</v>
      </c>
      <c r="K1511" s="1" t="s">
        <v>1622</v>
      </c>
      <c r="L1511" s="1" t="s">
        <v>1692</v>
      </c>
      <c r="M1511" s="1" t="s">
        <v>1007</v>
      </c>
      <c r="N1511">
        <f>_xlfn.NUMBERVALUE(LEFT(Table11[[#This Row],[Score]],FIND("/",Table11[[#This Row],[Score]])-1))</f>
        <v>235</v>
      </c>
      <c r="O1511">
        <f>IFERROR(_xlfn.NUMBERVALUE(LEFT(Table11[[#This Row],[Score2 ]],FIND("/",Table11[[#This Row],[Score2 ]])-1)),"")</f>
        <v>215</v>
      </c>
      <c r="P1511" t="s">
        <v>153</v>
      </c>
      <c r="Q1511" s="1" t="s">
        <v>158</v>
      </c>
      <c r="R1511" t="str">
        <f>Table11[[#This Row],[Match]]&amp;" "&amp;Table11[[#This Row],[Over]]</f>
        <v>23 50</v>
      </c>
    </row>
    <row r="1512" spans="1:18" x14ac:dyDescent="0.3">
      <c r="A1512">
        <v>24</v>
      </c>
      <c r="B1512" s="1">
        <v>1</v>
      </c>
      <c r="C1512" s="1" t="s">
        <v>1230</v>
      </c>
      <c r="D1512" s="1" t="s">
        <v>1007</v>
      </c>
      <c r="E1512" s="1" t="s">
        <v>1231</v>
      </c>
      <c r="F1512" s="1" t="s">
        <v>348</v>
      </c>
      <c r="G1512" s="1" t="s">
        <v>903</v>
      </c>
      <c r="H1512" s="1" t="s">
        <v>950</v>
      </c>
      <c r="I1512" s="1" t="s">
        <v>969</v>
      </c>
      <c r="J1512" s="1" t="s">
        <v>348</v>
      </c>
      <c r="K1512" s="1" t="s">
        <v>1348</v>
      </c>
      <c r="L1512" s="1" t="s">
        <v>3602</v>
      </c>
      <c r="M1512" s="1" t="s">
        <v>902</v>
      </c>
      <c r="N1512">
        <f>_xlfn.NUMBERVALUE(LEFT(Table11[[#This Row],[Score]],FIND("/",Table11[[#This Row],[Score]])-1))</f>
        <v>0</v>
      </c>
      <c r="O1512">
        <f>IFERROR(_xlfn.NUMBERVALUE(LEFT(Table11[[#This Row],[Score2 ]],FIND("/",Table11[[#This Row],[Score2 ]])-1)),"")</f>
        <v>5</v>
      </c>
      <c r="P1512" t="s">
        <v>141</v>
      </c>
      <c r="Q1512" s="1" t="s">
        <v>169</v>
      </c>
      <c r="R1512" t="str">
        <f>Table11[[#This Row],[Match]]&amp;" "&amp;Table11[[#This Row],[Over]]</f>
        <v>24 1</v>
      </c>
    </row>
    <row r="1513" spans="1:18" x14ac:dyDescent="0.3">
      <c r="A1513">
        <v>24</v>
      </c>
      <c r="B1513" s="1">
        <v>2</v>
      </c>
      <c r="C1513" s="1" t="s">
        <v>1239</v>
      </c>
      <c r="D1513" s="1" t="s">
        <v>1103</v>
      </c>
      <c r="E1513" s="1" t="s">
        <v>1019</v>
      </c>
      <c r="F1513" s="1" t="s">
        <v>348</v>
      </c>
      <c r="G1513" s="1" t="s">
        <v>913</v>
      </c>
      <c r="H1513" s="1" t="s">
        <v>898</v>
      </c>
      <c r="I1513" s="1" t="s">
        <v>925</v>
      </c>
      <c r="J1513" s="1" t="s">
        <v>348</v>
      </c>
      <c r="K1513" s="1" t="s">
        <v>2248</v>
      </c>
      <c r="L1513" s="1" t="s">
        <v>3603</v>
      </c>
      <c r="M1513" s="1" t="s">
        <v>909</v>
      </c>
      <c r="N1513">
        <f>_xlfn.NUMBERVALUE(LEFT(Table11[[#This Row],[Score]],FIND("/",Table11[[#This Row],[Score]])-1))</f>
        <v>12</v>
      </c>
      <c r="O1513">
        <f>IFERROR(_xlfn.NUMBERVALUE(LEFT(Table11[[#This Row],[Score2 ]],FIND("/",Table11[[#This Row],[Score2 ]])-1)),"")</f>
        <v>7</v>
      </c>
      <c r="P1513" t="s">
        <v>141</v>
      </c>
      <c r="Q1513" s="1" t="s">
        <v>169</v>
      </c>
      <c r="R1513" t="str">
        <f>Table11[[#This Row],[Match]]&amp;" "&amp;Table11[[#This Row],[Over]]</f>
        <v>24 2</v>
      </c>
    </row>
    <row r="1514" spans="1:18" x14ac:dyDescent="0.3">
      <c r="A1514">
        <v>24</v>
      </c>
      <c r="B1514" s="1">
        <v>3</v>
      </c>
      <c r="C1514" s="1" t="s">
        <v>1243</v>
      </c>
      <c r="D1514" s="1" t="s">
        <v>1007</v>
      </c>
      <c r="E1514" s="1" t="s">
        <v>939</v>
      </c>
      <c r="F1514" s="1" t="s">
        <v>348</v>
      </c>
      <c r="G1514" s="1" t="s">
        <v>1246</v>
      </c>
      <c r="H1514" s="1" t="s">
        <v>1095</v>
      </c>
      <c r="I1514" s="1" t="s">
        <v>942</v>
      </c>
      <c r="J1514" s="1" t="s">
        <v>348</v>
      </c>
      <c r="K1514" s="1" t="s">
        <v>1335</v>
      </c>
      <c r="L1514" s="1" t="s">
        <v>3604</v>
      </c>
      <c r="M1514" s="1" t="s">
        <v>920</v>
      </c>
      <c r="N1514">
        <f>_xlfn.NUMBERVALUE(LEFT(Table11[[#This Row],[Score]],FIND("/",Table11[[#This Row],[Score]])-1))</f>
        <v>12</v>
      </c>
      <c r="O1514">
        <f>IFERROR(_xlfn.NUMBERVALUE(LEFT(Table11[[#This Row],[Score2 ]],FIND("/",Table11[[#This Row],[Score2 ]])-1)),"")</f>
        <v>17</v>
      </c>
      <c r="P1514" t="s">
        <v>141</v>
      </c>
      <c r="Q1514" s="1" t="s">
        <v>169</v>
      </c>
      <c r="R1514" t="str">
        <f>Table11[[#This Row],[Match]]&amp;" "&amp;Table11[[#This Row],[Over]]</f>
        <v>24 3</v>
      </c>
    </row>
    <row r="1515" spans="1:18" x14ac:dyDescent="0.3">
      <c r="A1515">
        <v>24</v>
      </c>
      <c r="B1515" s="1">
        <v>4</v>
      </c>
      <c r="C1515" s="1" t="s">
        <v>2332</v>
      </c>
      <c r="D1515" s="1" t="s">
        <v>947</v>
      </c>
      <c r="E1515" s="1" t="s">
        <v>1722</v>
      </c>
      <c r="F1515" s="1" t="s">
        <v>348</v>
      </c>
      <c r="G1515" s="1" t="s">
        <v>1433</v>
      </c>
      <c r="H1515" s="1" t="s">
        <v>998</v>
      </c>
      <c r="I1515" s="1" t="s">
        <v>1722</v>
      </c>
      <c r="J1515" s="1" t="s">
        <v>348</v>
      </c>
      <c r="K1515" s="1" t="s">
        <v>2100</v>
      </c>
      <c r="L1515" s="1" t="s">
        <v>3605</v>
      </c>
      <c r="M1515" s="1" t="s">
        <v>928</v>
      </c>
      <c r="N1515">
        <f>_xlfn.NUMBERVALUE(LEFT(Table11[[#This Row],[Score]],FIND("/",Table11[[#This Row],[Score]])-1))</f>
        <v>21</v>
      </c>
      <c r="O1515">
        <f>IFERROR(_xlfn.NUMBERVALUE(LEFT(Table11[[#This Row],[Score2 ]],FIND("/",Table11[[#This Row],[Score2 ]])-1)),"")</f>
        <v>21</v>
      </c>
      <c r="P1515" t="s">
        <v>141</v>
      </c>
      <c r="Q1515" s="1" t="s">
        <v>169</v>
      </c>
      <c r="R1515" t="str">
        <f>Table11[[#This Row],[Match]]&amp;" "&amp;Table11[[#This Row],[Over]]</f>
        <v>24 4</v>
      </c>
    </row>
    <row r="1516" spans="1:18" x14ac:dyDescent="0.3">
      <c r="A1516">
        <v>24</v>
      </c>
      <c r="B1516" s="1">
        <v>5</v>
      </c>
      <c r="C1516" s="1" t="s">
        <v>3247</v>
      </c>
      <c r="D1516" s="1" t="s">
        <v>998</v>
      </c>
      <c r="E1516" s="1" t="s">
        <v>969</v>
      </c>
      <c r="F1516" s="1" t="s">
        <v>969</v>
      </c>
      <c r="G1516" s="1" t="s">
        <v>2610</v>
      </c>
      <c r="H1516" s="1" t="s">
        <v>998</v>
      </c>
      <c r="I1516" s="1" t="s">
        <v>969</v>
      </c>
      <c r="J1516" s="1" t="s">
        <v>969</v>
      </c>
      <c r="K1516" s="1" t="s">
        <v>1414</v>
      </c>
      <c r="L1516" s="1" t="s">
        <v>3606</v>
      </c>
      <c r="M1516" s="1" t="s">
        <v>937</v>
      </c>
      <c r="N1516">
        <f>_xlfn.NUMBERVALUE(LEFT(Table11[[#This Row],[Score]],FIND("/",Table11[[#This Row],[Score]])-1))</f>
        <v>25</v>
      </c>
      <c r="O1516">
        <f>IFERROR(_xlfn.NUMBERVALUE(LEFT(Table11[[#This Row],[Score2 ]],FIND("/",Table11[[#This Row],[Score2 ]])-1)),"")</f>
        <v>25</v>
      </c>
      <c r="P1516" t="s">
        <v>141</v>
      </c>
      <c r="Q1516" s="1" t="s">
        <v>169</v>
      </c>
      <c r="R1516" t="str">
        <f>Table11[[#This Row],[Match]]&amp;" "&amp;Table11[[#This Row],[Over]]</f>
        <v>24 5</v>
      </c>
    </row>
    <row r="1517" spans="1:18" x14ac:dyDescent="0.3">
      <c r="A1517">
        <v>24</v>
      </c>
      <c r="B1517" s="1">
        <v>6</v>
      </c>
      <c r="C1517" s="1" t="s">
        <v>1268</v>
      </c>
      <c r="D1517" s="1" t="s">
        <v>1051</v>
      </c>
      <c r="E1517" s="1" t="s">
        <v>1019</v>
      </c>
      <c r="F1517" s="1" t="s">
        <v>1116</v>
      </c>
      <c r="G1517" s="1" t="s">
        <v>3607</v>
      </c>
      <c r="H1517" s="1" t="s">
        <v>968</v>
      </c>
      <c r="I1517" s="1" t="s">
        <v>989</v>
      </c>
      <c r="J1517" s="1" t="s">
        <v>931</v>
      </c>
      <c r="K1517" s="1" t="s">
        <v>3263</v>
      </c>
      <c r="L1517" s="1" t="s">
        <v>3608</v>
      </c>
      <c r="M1517" s="1" t="s">
        <v>945</v>
      </c>
      <c r="N1517">
        <f>_xlfn.NUMBERVALUE(LEFT(Table11[[#This Row],[Score]],FIND("/",Table11[[#This Row],[Score]])-1))</f>
        <v>36</v>
      </c>
      <c r="O1517">
        <f>IFERROR(_xlfn.NUMBERVALUE(LEFT(Table11[[#This Row],[Score2 ]],FIND("/",Table11[[#This Row],[Score2 ]])-1)),"")</f>
        <v>26</v>
      </c>
      <c r="P1517" t="s">
        <v>141</v>
      </c>
      <c r="Q1517" s="1" t="s">
        <v>169</v>
      </c>
      <c r="R1517" t="str">
        <f>Table11[[#This Row],[Match]]&amp;" "&amp;Table11[[#This Row],[Over]]</f>
        <v>24 6</v>
      </c>
    </row>
    <row r="1518" spans="1:18" x14ac:dyDescent="0.3">
      <c r="A1518">
        <v>24</v>
      </c>
      <c r="B1518" s="1">
        <v>7</v>
      </c>
      <c r="C1518" s="1" t="s">
        <v>1269</v>
      </c>
      <c r="D1518" s="1" t="s">
        <v>898</v>
      </c>
      <c r="E1518" s="1" t="s">
        <v>1158</v>
      </c>
      <c r="F1518" s="1" t="s">
        <v>1029</v>
      </c>
      <c r="G1518" s="1" t="s">
        <v>1450</v>
      </c>
      <c r="H1518" s="1" t="s">
        <v>1095</v>
      </c>
      <c r="I1518" s="1" t="s">
        <v>1092</v>
      </c>
      <c r="J1518" s="1" t="s">
        <v>1013</v>
      </c>
      <c r="K1518" s="1" t="s">
        <v>3609</v>
      </c>
      <c r="L1518" s="1" t="s">
        <v>3610</v>
      </c>
      <c r="M1518" s="1" t="s">
        <v>955</v>
      </c>
      <c r="N1518">
        <f>_xlfn.NUMBERVALUE(LEFT(Table11[[#This Row],[Score]],FIND("/",Table11[[#This Row],[Score]])-1))</f>
        <v>38</v>
      </c>
      <c r="O1518">
        <f>IFERROR(_xlfn.NUMBERVALUE(LEFT(Table11[[#This Row],[Score2 ]],FIND("/",Table11[[#This Row],[Score2 ]])-1)),"")</f>
        <v>36</v>
      </c>
      <c r="P1518" t="s">
        <v>141</v>
      </c>
      <c r="Q1518" s="1" t="s">
        <v>169</v>
      </c>
      <c r="R1518" t="str">
        <f>Table11[[#This Row],[Match]]&amp;" "&amp;Table11[[#This Row],[Over]]</f>
        <v>24 7</v>
      </c>
    </row>
    <row r="1519" spans="1:18" x14ac:dyDescent="0.3">
      <c r="A1519">
        <v>24</v>
      </c>
      <c r="B1519" s="1">
        <v>8</v>
      </c>
      <c r="C1519" s="1" t="s">
        <v>2223</v>
      </c>
      <c r="D1519" s="1" t="s">
        <v>1095</v>
      </c>
      <c r="E1519" s="1" t="s">
        <v>1019</v>
      </c>
      <c r="F1519" s="1" t="s">
        <v>1116</v>
      </c>
      <c r="G1519" s="1" t="s">
        <v>3611</v>
      </c>
      <c r="H1519" s="1" t="s">
        <v>968</v>
      </c>
      <c r="I1519" s="1" t="s">
        <v>1344</v>
      </c>
      <c r="J1519" s="1" t="s">
        <v>939</v>
      </c>
      <c r="K1519" s="1" t="s">
        <v>1553</v>
      </c>
      <c r="L1519" s="1" t="s">
        <v>3612</v>
      </c>
      <c r="M1519" s="1" t="s">
        <v>963</v>
      </c>
      <c r="N1519">
        <f>_xlfn.NUMBERVALUE(LEFT(Table11[[#This Row],[Score]],FIND("/",Table11[[#This Row],[Score]])-1))</f>
        <v>48</v>
      </c>
      <c r="O1519">
        <f>IFERROR(_xlfn.NUMBERVALUE(LEFT(Table11[[#This Row],[Score2 ]],FIND("/",Table11[[#This Row],[Score2 ]])-1)),"")</f>
        <v>37</v>
      </c>
      <c r="P1519" t="s">
        <v>141</v>
      </c>
      <c r="Q1519" s="1" t="s">
        <v>169</v>
      </c>
      <c r="R1519" t="str">
        <f>Table11[[#This Row],[Match]]&amp;" "&amp;Table11[[#This Row],[Over]]</f>
        <v>24 8</v>
      </c>
    </row>
    <row r="1520" spans="1:18" x14ac:dyDescent="0.3">
      <c r="A1520">
        <v>24</v>
      </c>
      <c r="B1520" s="1">
        <v>9</v>
      </c>
      <c r="C1520" s="1" t="s">
        <v>3000</v>
      </c>
      <c r="D1520" s="1" t="s">
        <v>904</v>
      </c>
      <c r="E1520" s="1" t="s">
        <v>942</v>
      </c>
      <c r="F1520" s="1" t="s">
        <v>1019</v>
      </c>
      <c r="G1520" s="1" t="s">
        <v>1865</v>
      </c>
      <c r="H1520" s="1" t="s">
        <v>950</v>
      </c>
      <c r="I1520" s="1" t="s">
        <v>1975</v>
      </c>
      <c r="J1520" s="1" t="s">
        <v>931</v>
      </c>
      <c r="K1520" s="1" t="s">
        <v>3613</v>
      </c>
      <c r="L1520" s="1" t="s">
        <v>3614</v>
      </c>
      <c r="M1520" s="1" t="s">
        <v>973</v>
      </c>
      <c r="N1520">
        <f>_xlfn.NUMBERVALUE(LEFT(Table11[[#This Row],[Score]],FIND("/",Table11[[#This Row],[Score]])-1))</f>
        <v>51</v>
      </c>
      <c r="O1520">
        <f>IFERROR(_xlfn.NUMBERVALUE(LEFT(Table11[[#This Row],[Score2 ]],FIND("/",Table11[[#This Row],[Score2 ]])-1)),"")</f>
        <v>42</v>
      </c>
      <c r="P1520" t="s">
        <v>141</v>
      </c>
      <c r="Q1520" s="1" t="s">
        <v>169</v>
      </c>
      <c r="R1520" t="str">
        <f>Table11[[#This Row],[Match]]&amp;" "&amp;Table11[[#This Row],[Over]]</f>
        <v>24 9</v>
      </c>
    </row>
    <row r="1521" spans="1:18" x14ac:dyDescent="0.3">
      <c r="A1521">
        <v>24</v>
      </c>
      <c r="B1521" s="1">
        <v>10</v>
      </c>
      <c r="C1521" s="1" t="s">
        <v>3002</v>
      </c>
      <c r="D1521" s="1" t="s">
        <v>922</v>
      </c>
      <c r="E1521" s="1" t="s">
        <v>2362</v>
      </c>
      <c r="F1521" s="1" t="s">
        <v>943</v>
      </c>
      <c r="G1521" s="1" t="s">
        <v>2555</v>
      </c>
      <c r="H1521" s="1" t="s">
        <v>950</v>
      </c>
      <c r="I1521" s="1" t="s">
        <v>1321</v>
      </c>
      <c r="J1521" s="1" t="s">
        <v>940</v>
      </c>
      <c r="K1521" s="1" t="s">
        <v>2385</v>
      </c>
      <c r="L1521" s="1" t="s">
        <v>3615</v>
      </c>
      <c r="M1521" s="1" t="s">
        <v>980</v>
      </c>
      <c r="N1521">
        <f>_xlfn.NUMBERVALUE(LEFT(Table11[[#This Row],[Score]],FIND("/",Table11[[#This Row],[Score]])-1))</f>
        <v>57</v>
      </c>
      <c r="O1521">
        <f>IFERROR(_xlfn.NUMBERVALUE(LEFT(Table11[[#This Row],[Score2 ]],FIND("/",Table11[[#This Row],[Score2 ]])-1)),"")</f>
        <v>47</v>
      </c>
      <c r="P1521" t="s">
        <v>141</v>
      </c>
      <c r="Q1521" s="1" t="s">
        <v>169</v>
      </c>
      <c r="R1521" t="str">
        <f>Table11[[#This Row],[Match]]&amp;" "&amp;Table11[[#This Row],[Over]]</f>
        <v>24 10</v>
      </c>
    </row>
    <row r="1522" spans="1:18" x14ac:dyDescent="0.3">
      <c r="A1522">
        <v>24</v>
      </c>
      <c r="B1522" s="1">
        <v>11</v>
      </c>
      <c r="C1522" s="1" t="s">
        <v>2694</v>
      </c>
      <c r="D1522" s="1" t="s">
        <v>916</v>
      </c>
      <c r="E1522" s="1" t="s">
        <v>1420</v>
      </c>
      <c r="F1522" s="1" t="s">
        <v>934</v>
      </c>
      <c r="G1522" s="1" t="s">
        <v>3616</v>
      </c>
      <c r="H1522" s="1" t="s">
        <v>968</v>
      </c>
      <c r="I1522" s="1" t="s">
        <v>1040</v>
      </c>
      <c r="J1522" s="1" t="s">
        <v>940</v>
      </c>
      <c r="K1522" s="1" t="s">
        <v>1583</v>
      </c>
      <c r="L1522" s="1" t="s">
        <v>3192</v>
      </c>
      <c r="M1522" s="1" t="s">
        <v>987</v>
      </c>
      <c r="N1522">
        <f>_xlfn.NUMBERVALUE(LEFT(Table11[[#This Row],[Score]],FIND("/",Table11[[#This Row],[Score]])-1))</f>
        <v>64</v>
      </c>
      <c r="O1522">
        <f>IFERROR(_xlfn.NUMBERVALUE(LEFT(Table11[[#This Row],[Score2 ]],FIND("/",Table11[[#This Row],[Score2 ]])-1)),"")</f>
        <v>48</v>
      </c>
      <c r="P1522" t="s">
        <v>141</v>
      </c>
      <c r="Q1522" s="1" t="s">
        <v>169</v>
      </c>
      <c r="R1522" t="str">
        <f>Table11[[#This Row],[Match]]&amp;" "&amp;Table11[[#This Row],[Over]]</f>
        <v>24 11</v>
      </c>
    </row>
    <row r="1523" spans="1:18" x14ac:dyDescent="0.3">
      <c r="A1523">
        <v>24</v>
      </c>
      <c r="B1523" s="1">
        <v>12</v>
      </c>
      <c r="C1523" s="1" t="s">
        <v>1660</v>
      </c>
      <c r="D1523" s="1" t="s">
        <v>898</v>
      </c>
      <c r="E1523" s="1" t="s">
        <v>959</v>
      </c>
      <c r="F1523" s="1" t="s">
        <v>934</v>
      </c>
      <c r="G1523" s="1" t="s">
        <v>1685</v>
      </c>
      <c r="H1523" s="1" t="s">
        <v>904</v>
      </c>
      <c r="I1523" s="1" t="s">
        <v>1074</v>
      </c>
      <c r="J1523" s="1" t="s">
        <v>1238</v>
      </c>
      <c r="K1523" s="1" t="s">
        <v>1136</v>
      </c>
      <c r="L1523" s="1" t="s">
        <v>3617</v>
      </c>
      <c r="M1523" s="1" t="s">
        <v>996</v>
      </c>
      <c r="N1523">
        <f>_xlfn.NUMBERVALUE(LEFT(Table11[[#This Row],[Score]],FIND("/",Table11[[#This Row],[Score]])-1))</f>
        <v>66</v>
      </c>
      <c r="O1523">
        <f>IFERROR(_xlfn.NUMBERVALUE(LEFT(Table11[[#This Row],[Score2 ]],FIND("/",Table11[[#This Row],[Score2 ]])-1)),"")</f>
        <v>51</v>
      </c>
      <c r="P1523" t="s">
        <v>141</v>
      </c>
      <c r="Q1523" s="1" t="s">
        <v>169</v>
      </c>
      <c r="R1523" t="str">
        <f>Table11[[#This Row],[Match]]&amp;" "&amp;Table11[[#This Row],[Over]]</f>
        <v>24 12</v>
      </c>
    </row>
    <row r="1524" spans="1:18" x14ac:dyDescent="0.3">
      <c r="A1524">
        <v>24</v>
      </c>
      <c r="B1524" s="1">
        <v>13</v>
      </c>
      <c r="C1524" s="1" t="s">
        <v>1296</v>
      </c>
      <c r="D1524" s="1" t="s">
        <v>998</v>
      </c>
      <c r="E1524" s="1" t="s">
        <v>1732</v>
      </c>
      <c r="F1524" s="1" t="s">
        <v>940</v>
      </c>
      <c r="G1524" s="1" t="s">
        <v>3452</v>
      </c>
      <c r="H1524" s="1" t="s">
        <v>898</v>
      </c>
      <c r="I1524" s="1" t="s">
        <v>2632</v>
      </c>
      <c r="J1524" s="1" t="s">
        <v>1259</v>
      </c>
      <c r="K1524" s="1" t="s">
        <v>2840</v>
      </c>
      <c r="L1524" s="1" t="s">
        <v>3618</v>
      </c>
      <c r="M1524" s="1" t="s">
        <v>1004</v>
      </c>
      <c r="N1524">
        <f>_xlfn.NUMBERVALUE(LEFT(Table11[[#This Row],[Score]],FIND("/",Table11[[#This Row],[Score]])-1))</f>
        <v>70</v>
      </c>
      <c r="O1524">
        <f>IFERROR(_xlfn.NUMBERVALUE(LEFT(Table11[[#This Row],[Score2 ]],FIND("/",Table11[[#This Row],[Score2 ]])-1)),"")</f>
        <v>53</v>
      </c>
      <c r="P1524" t="s">
        <v>141</v>
      </c>
      <c r="Q1524" s="1" t="s">
        <v>169</v>
      </c>
      <c r="R1524" t="str">
        <f>Table11[[#This Row],[Match]]&amp;" "&amp;Table11[[#This Row],[Over]]</f>
        <v>24 13</v>
      </c>
    </row>
    <row r="1525" spans="1:18" x14ac:dyDescent="0.3">
      <c r="A1525">
        <v>24</v>
      </c>
      <c r="B1525" s="1">
        <v>14</v>
      </c>
      <c r="C1525" s="1" t="s">
        <v>2448</v>
      </c>
      <c r="D1525" s="1" t="s">
        <v>904</v>
      </c>
      <c r="E1525" s="1" t="s">
        <v>2449</v>
      </c>
      <c r="F1525" s="1" t="s">
        <v>940</v>
      </c>
      <c r="G1525" s="1" t="s">
        <v>3619</v>
      </c>
      <c r="H1525" s="1" t="s">
        <v>968</v>
      </c>
      <c r="I1525" s="1" t="s">
        <v>1518</v>
      </c>
      <c r="J1525" s="1" t="s">
        <v>1088</v>
      </c>
      <c r="K1525" s="1" t="s">
        <v>2031</v>
      </c>
      <c r="L1525" s="1" t="s">
        <v>3620</v>
      </c>
      <c r="M1525" s="1" t="s">
        <v>1010</v>
      </c>
      <c r="N1525">
        <f>_xlfn.NUMBERVALUE(LEFT(Table11[[#This Row],[Score]],FIND("/",Table11[[#This Row],[Score]])-1))</f>
        <v>73</v>
      </c>
      <c r="O1525">
        <f>IFERROR(_xlfn.NUMBERVALUE(LEFT(Table11[[#This Row],[Score2 ]],FIND("/",Table11[[#This Row],[Score2 ]])-1)),"")</f>
        <v>54</v>
      </c>
      <c r="P1525" t="s">
        <v>141</v>
      </c>
      <c r="Q1525" s="1" t="s">
        <v>169</v>
      </c>
      <c r="R1525" t="str">
        <f>Table11[[#This Row],[Match]]&amp;" "&amp;Table11[[#This Row],[Over]]</f>
        <v>24 14</v>
      </c>
    </row>
    <row r="1526" spans="1:18" x14ac:dyDescent="0.3">
      <c r="A1526">
        <v>24</v>
      </c>
      <c r="B1526" s="1">
        <v>15</v>
      </c>
      <c r="C1526" s="1" t="s">
        <v>3621</v>
      </c>
      <c r="D1526" s="1" t="s">
        <v>916</v>
      </c>
      <c r="E1526" s="1" t="s">
        <v>2110</v>
      </c>
      <c r="F1526" s="1" t="s">
        <v>976</v>
      </c>
      <c r="G1526" s="1" t="s">
        <v>2814</v>
      </c>
      <c r="H1526" s="1" t="s">
        <v>916</v>
      </c>
      <c r="I1526" s="1" t="s">
        <v>1288</v>
      </c>
      <c r="J1526" s="1" t="s">
        <v>993</v>
      </c>
      <c r="K1526" s="1" t="s">
        <v>3622</v>
      </c>
      <c r="L1526" s="1" t="s">
        <v>3623</v>
      </c>
      <c r="M1526" s="1" t="s">
        <v>1016</v>
      </c>
      <c r="N1526">
        <f>_xlfn.NUMBERVALUE(LEFT(Table11[[#This Row],[Score]],FIND("/",Table11[[#This Row],[Score]])-1))</f>
        <v>80</v>
      </c>
      <c r="O1526">
        <f>IFERROR(_xlfn.NUMBERVALUE(LEFT(Table11[[#This Row],[Score2 ]],FIND("/",Table11[[#This Row],[Score2 ]])-1)),"")</f>
        <v>61</v>
      </c>
      <c r="P1526" t="s">
        <v>141</v>
      </c>
      <c r="Q1526" s="1" t="s">
        <v>169</v>
      </c>
      <c r="R1526" t="str">
        <f>Table11[[#This Row],[Match]]&amp;" "&amp;Table11[[#This Row],[Over]]</f>
        <v>24 15</v>
      </c>
    </row>
    <row r="1527" spans="1:18" x14ac:dyDescent="0.3">
      <c r="A1527">
        <v>24</v>
      </c>
      <c r="B1527" s="1">
        <v>16</v>
      </c>
      <c r="C1527" s="1" t="s">
        <v>1308</v>
      </c>
      <c r="D1527" s="1" t="s">
        <v>916</v>
      </c>
      <c r="E1527" s="1" t="s">
        <v>2135</v>
      </c>
      <c r="F1527" s="1" t="s">
        <v>976</v>
      </c>
      <c r="G1527" s="1" t="s">
        <v>3624</v>
      </c>
      <c r="H1527" s="1" t="s">
        <v>998</v>
      </c>
      <c r="I1527" s="1" t="s">
        <v>1288</v>
      </c>
      <c r="J1527" s="1" t="s">
        <v>1247</v>
      </c>
      <c r="K1527" s="1" t="s">
        <v>1746</v>
      </c>
      <c r="L1527" s="1" t="s">
        <v>3461</v>
      </c>
      <c r="M1527" s="1" t="s">
        <v>1024</v>
      </c>
      <c r="N1527">
        <f>_xlfn.NUMBERVALUE(LEFT(Table11[[#This Row],[Score]],FIND("/",Table11[[#This Row],[Score]])-1))</f>
        <v>87</v>
      </c>
      <c r="O1527">
        <f>IFERROR(_xlfn.NUMBERVALUE(LEFT(Table11[[#This Row],[Score2 ]],FIND("/",Table11[[#This Row],[Score2 ]])-1)),"")</f>
        <v>65</v>
      </c>
      <c r="P1527" t="s">
        <v>141</v>
      </c>
      <c r="Q1527" s="1" t="s">
        <v>169</v>
      </c>
      <c r="R1527" t="str">
        <f>Table11[[#This Row],[Match]]&amp;" "&amp;Table11[[#This Row],[Over]]</f>
        <v>24 16</v>
      </c>
    </row>
    <row r="1528" spans="1:18" x14ac:dyDescent="0.3">
      <c r="A1528">
        <v>24</v>
      </c>
      <c r="B1528" s="1">
        <v>17</v>
      </c>
      <c r="C1528" s="1" t="s">
        <v>3011</v>
      </c>
      <c r="D1528" s="1" t="s">
        <v>947</v>
      </c>
      <c r="E1528" s="1" t="s">
        <v>2242</v>
      </c>
      <c r="F1528" s="1" t="s">
        <v>1019</v>
      </c>
      <c r="G1528" s="1" t="s">
        <v>3625</v>
      </c>
      <c r="H1528" s="1" t="s">
        <v>916</v>
      </c>
      <c r="I1528" s="1" t="s">
        <v>1532</v>
      </c>
      <c r="J1528" s="1" t="s">
        <v>931</v>
      </c>
      <c r="K1528" s="1" t="s">
        <v>3626</v>
      </c>
      <c r="L1528" s="1" t="s">
        <v>3627</v>
      </c>
      <c r="M1528" s="1" t="s">
        <v>1031</v>
      </c>
      <c r="N1528">
        <f>_xlfn.NUMBERVALUE(LEFT(Table11[[#This Row],[Score]],FIND("/",Table11[[#This Row],[Score]])-1))</f>
        <v>96</v>
      </c>
      <c r="O1528">
        <f>IFERROR(_xlfn.NUMBERVALUE(LEFT(Table11[[#This Row],[Score2 ]],FIND("/",Table11[[#This Row],[Score2 ]])-1)),"")</f>
        <v>72</v>
      </c>
      <c r="P1528" t="s">
        <v>141</v>
      </c>
      <c r="Q1528" s="1" t="s">
        <v>169</v>
      </c>
      <c r="R1528" t="str">
        <f>Table11[[#This Row],[Match]]&amp;" "&amp;Table11[[#This Row],[Over]]</f>
        <v>24 17</v>
      </c>
    </row>
    <row r="1529" spans="1:18" x14ac:dyDescent="0.3">
      <c r="A1529">
        <v>24</v>
      </c>
      <c r="B1529" s="1">
        <v>18</v>
      </c>
      <c r="C1529" s="1" t="s">
        <v>2354</v>
      </c>
      <c r="D1529" s="1" t="s">
        <v>922</v>
      </c>
      <c r="E1529" s="1" t="s">
        <v>942</v>
      </c>
      <c r="F1529" s="1" t="s">
        <v>943</v>
      </c>
      <c r="G1529" s="1" t="s">
        <v>2253</v>
      </c>
      <c r="H1529" s="1" t="s">
        <v>947</v>
      </c>
      <c r="I1529" s="1" t="s">
        <v>1021</v>
      </c>
      <c r="J1529" s="1" t="s">
        <v>934</v>
      </c>
      <c r="K1529" s="1" t="s">
        <v>3628</v>
      </c>
      <c r="L1529" s="1" t="s">
        <v>3629</v>
      </c>
      <c r="M1529" s="1" t="s">
        <v>1037</v>
      </c>
      <c r="N1529">
        <f>_xlfn.NUMBERVALUE(LEFT(Table11[[#This Row],[Score]],FIND("/",Table11[[#This Row],[Score]])-1))</f>
        <v>102</v>
      </c>
      <c r="O1529">
        <f>IFERROR(_xlfn.NUMBERVALUE(LEFT(Table11[[#This Row],[Score2 ]],FIND("/",Table11[[#This Row],[Score2 ]])-1)),"")</f>
        <v>81</v>
      </c>
      <c r="P1529" t="s">
        <v>141</v>
      </c>
      <c r="Q1529" s="1" t="s">
        <v>169</v>
      </c>
      <c r="R1529" t="str">
        <f>Table11[[#This Row],[Match]]&amp;" "&amp;Table11[[#This Row],[Over]]</f>
        <v>24 18</v>
      </c>
    </row>
    <row r="1530" spans="1:18" x14ac:dyDescent="0.3">
      <c r="A1530">
        <v>24</v>
      </c>
      <c r="B1530" s="1">
        <v>19</v>
      </c>
      <c r="C1530" s="1" t="s">
        <v>3015</v>
      </c>
      <c r="D1530" s="1" t="s">
        <v>950</v>
      </c>
      <c r="E1530" s="1" t="s">
        <v>2133</v>
      </c>
      <c r="F1530" s="1" t="s">
        <v>1053</v>
      </c>
      <c r="G1530" s="1" t="s">
        <v>3630</v>
      </c>
      <c r="H1530" s="1" t="s">
        <v>968</v>
      </c>
      <c r="I1530" s="1" t="s">
        <v>1468</v>
      </c>
      <c r="J1530" s="1" t="s">
        <v>934</v>
      </c>
      <c r="K1530" s="1" t="s">
        <v>2160</v>
      </c>
      <c r="L1530" s="1" t="s">
        <v>3631</v>
      </c>
      <c r="M1530" s="1" t="s">
        <v>1043</v>
      </c>
      <c r="N1530">
        <f>_xlfn.NUMBERVALUE(LEFT(Table11[[#This Row],[Score]],FIND("/",Table11[[#This Row],[Score]])-1))</f>
        <v>107</v>
      </c>
      <c r="O1530">
        <f>IFERROR(_xlfn.NUMBERVALUE(LEFT(Table11[[#This Row],[Score2 ]],FIND("/",Table11[[#This Row],[Score2 ]])-1)),"")</f>
        <v>82</v>
      </c>
      <c r="P1530" t="s">
        <v>141</v>
      </c>
      <c r="Q1530" s="1" t="s">
        <v>169</v>
      </c>
      <c r="R1530" t="str">
        <f>Table11[[#This Row],[Match]]&amp;" "&amp;Table11[[#This Row],[Over]]</f>
        <v>24 19</v>
      </c>
    </row>
    <row r="1531" spans="1:18" x14ac:dyDescent="0.3">
      <c r="A1531">
        <v>24</v>
      </c>
      <c r="B1531" s="1">
        <v>20</v>
      </c>
      <c r="C1531" s="1" t="s">
        <v>1057</v>
      </c>
      <c r="D1531" s="1" t="s">
        <v>930</v>
      </c>
      <c r="E1531" s="1" t="s">
        <v>1601</v>
      </c>
      <c r="F1531" s="1" t="s">
        <v>952</v>
      </c>
      <c r="G1531" s="1" t="s">
        <v>2824</v>
      </c>
      <c r="H1531" s="1" t="s">
        <v>950</v>
      </c>
      <c r="I1531" s="1" t="s">
        <v>1299</v>
      </c>
      <c r="J1531" s="1" t="s">
        <v>1029</v>
      </c>
      <c r="K1531" s="1" t="s">
        <v>3632</v>
      </c>
      <c r="L1531" s="1" t="s">
        <v>3091</v>
      </c>
      <c r="M1531" s="1" t="s">
        <v>1049</v>
      </c>
      <c r="N1531">
        <f>_xlfn.NUMBERVALUE(LEFT(Table11[[#This Row],[Score]],FIND("/",Table11[[#This Row],[Score]])-1))</f>
        <v>115</v>
      </c>
      <c r="O1531">
        <f>IFERROR(_xlfn.NUMBERVALUE(LEFT(Table11[[#This Row],[Score2 ]],FIND("/",Table11[[#This Row],[Score2 ]])-1)),"")</f>
        <v>87</v>
      </c>
      <c r="P1531" t="s">
        <v>141</v>
      </c>
      <c r="Q1531" s="1" t="s">
        <v>169</v>
      </c>
      <c r="R1531" t="str">
        <f>Table11[[#This Row],[Match]]&amp;" "&amp;Table11[[#This Row],[Over]]</f>
        <v>24 20</v>
      </c>
    </row>
    <row r="1532" spans="1:18" x14ac:dyDescent="0.3">
      <c r="A1532">
        <v>24</v>
      </c>
      <c r="B1532" s="1">
        <v>21</v>
      </c>
      <c r="C1532" s="1" t="s">
        <v>2358</v>
      </c>
      <c r="D1532" s="1" t="s">
        <v>904</v>
      </c>
      <c r="E1532" s="1" t="s">
        <v>1752</v>
      </c>
      <c r="F1532" s="1" t="s">
        <v>970</v>
      </c>
      <c r="G1532" s="1" t="s">
        <v>2255</v>
      </c>
      <c r="H1532" s="1" t="s">
        <v>998</v>
      </c>
      <c r="I1532" s="1" t="s">
        <v>989</v>
      </c>
      <c r="J1532" s="1" t="s">
        <v>1029</v>
      </c>
      <c r="K1532" s="1" t="s">
        <v>3633</v>
      </c>
      <c r="L1532" s="1" t="s">
        <v>3634</v>
      </c>
      <c r="M1532" s="1" t="s">
        <v>1056</v>
      </c>
      <c r="N1532">
        <f>_xlfn.NUMBERVALUE(LEFT(Table11[[#This Row],[Score]],FIND("/",Table11[[#This Row],[Score]])-1))</f>
        <v>118</v>
      </c>
      <c r="O1532">
        <f>IFERROR(_xlfn.NUMBERVALUE(LEFT(Table11[[#This Row],[Score2 ]],FIND("/",Table11[[#This Row],[Score2 ]])-1)),"")</f>
        <v>91</v>
      </c>
      <c r="P1532" t="s">
        <v>141</v>
      </c>
      <c r="Q1532" s="1" t="s">
        <v>169</v>
      </c>
      <c r="R1532" t="str">
        <f>Table11[[#This Row],[Match]]&amp;" "&amp;Table11[[#This Row],[Over]]</f>
        <v>24 21</v>
      </c>
    </row>
    <row r="1533" spans="1:18" x14ac:dyDescent="0.3">
      <c r="A1533">
        <v>24</v>
      </c>
      <c r="B1533" s="1">
        <v>22</v>
      </c>
      <c r="C1533" s="1" t="s">
        <v>3103</v>
      </c>
      <c r="D1533" s="1" t="s">
        <v>922</v>
      </c>
      <c r="E1533" s="1" t="s">
        <v>2133</v>
      </c>
      <c r="F1533" s="1" t="s">
        <v>934</v>
      </c>
      <c r="G1533" s="1" t="s">
        <v>2470</v>
      </c>
      <c r="H1533" s="1" t="s">
        <v>930</v>
      </c>
      <c r="I1533" s="1" t="s">
        <v>1021</v>
      </c>
      <c r="J1533" s="1" t="s">
        <v>966</v>
      </c>
      <c r="K1533" s="1" t="s">
        <v>3635</v>
      </c>
      <c r="L1533" s="1" t="s">
        <v>2329</v>
      </c>
      <c r="M1533" s="1" t="s">
        <v>1063</v>
      </c>
      <c r="N1533">
        <f>_xlfn.NUMBERVALUE(LEFT(Table11[[#This Row],[Score]],FIND("/",Table11[[#This Row],[Score]])-1))</f>
        <v>124</v>
      </c>
      <c r="O1533">
        <f>IFERROR(_xlfn.NUMBERVALUE(LEFT(Table11[[#This Row],[Score2 ]],FIND("/",Table11[[#This Row],[Score2 ]])-1)),"")</f>
        <v>99</v>
      </c>
      <c r="P1533" t="s">
        <v>141</v>
      </c>
      <c r="Q1533" s="1" t="s">
        <v>169</v>
      </c>
      <c r="R1533" t="str">
        <f>Table11[[#This Row],[Match]]&amp;" "&amp;Table11[[#This Row],[Over]]</f>
        <v>24 22</v>
      </c>
    </row>
    <row r="1534" spans="1:18" x14ac:dyDescent="0.3">
      <c r="A1534">
        <v>24</v>
      </c>
      <c r="B1534" s="1">
        <v>23</v>
      </c>
      <c r="C1534" s="1" t="s">
        <v>2129</v>
      </c>
      <c r="D1534" s="1" t="s">
        <v>998</v>
      </c>
      <c r="E1534" s="1" t="s">
        <v>1607</v>
      </c>
      <c r="F1534" s="1" t="s">
        <v>1029</v>
      </c>
      <c r="G1534" s="1" t="s">
        <v>1898</v>
      </c>
      <c r="H1534" s="1" t="s">
        <v>930</v>
      </c>
      <c r="I1534" s="1" t="s">
        <v>1330</v>
      </c>
      <c r="J1534" s="1" t="s">
        <v>1029</v>
      </c>
      <c r="K1534" s="1" t="s">
        <v>3636</v>
      </c>
      <c r="L1534" s="1" t="s">
        <v>2215</v>
      </c>
      <c r="M1534" s="1" t="s">
        <v>1070</v>
      </c>
      <c r="N1534">
        <f>_xlfn.NUMBERVALUE(LEFT(Table11[[#This Row],[Score]],FIND("/",Table11[[#This Row],[Score]])-1))</f>
        <v>128</v>
      </c>
      <c r="O1534">
        <f>IFERROR(_xlfn.NUMBERVALUE(LEFT(Table11[[#This Row],[Score2 ]],FIND("/",Table11[[#This Row],[Score2 ]])-1)),"")</f>
        <v>107</v>
      </c>
      <c r="P1534" t="s">
        <v>141</v>
      </c>
      <c r="Q1534" s="1" t="s">
        <v>169</v>
      </c>
      <c r="R1534" t="str">
        <f>Table11[[#This Row],[Match]]&amp;" "&amp;Table11[[#This Row],[Over]]</f>
        <v>24 23</v>
      </c>
    </row>
    <row r="1535" spans="1:18" x14ac:dyDescent="0.3">
      <c r="A1535">
        <v>24</v>
      </c>
      <c r="B1535" s="1">
        <v>24</v>
      </c>
      <c r="C1535" s="1" t="s">
        <v>3637</v>
      </c>
      <c r="D1535" s="1" t="s">
        <v>1216</v>
      </c>
      <c r="E1535" s="1" t="s">
        <v>1723</v>
      </c>
      <c r="F1535" s="1" t="s">
        <v>1161</v>
      </c>
      <c r="G1535" s="1" t="s">
        <v>2587</v>
      </c>
      <c r="H1535" s="1" t="s">
        <v>930</v>
      </c>
      <c r="I1535" s="1" t="s">
        <v>2511</v>
      </c>
      <c r="J1535" s="1" t="s">
        <v>960</v>
      </c>
      <c r="K1535" s="1" t="s">
        <v>3638</v>
      </c>
      <c r="L1535" s="1" t="s">
        <v>908</v>
      </c>
      <c r="M1535" s="1" t="s">
        <v>1077</v>
      </c>
      <c r="N1535">
        <f>_xlfn.NUMBERVALUE(LEFT(Table11[[#This Row],[Score]],FIND("/",Table11[[#This Row],[Score]])-1))</f>
        <v>152</v>
      </c>
      <c r="O1535">
        <f>IFERROR(_xlfn.NUMBERVALUE(LEFT(Table11[[#This Row],[Score2 ]],FIND("/",Table11[[#This Row],[Score2 ]])-1)),"")</f>
        <v>115</v>
      </c>
      <c r="P1535" t="s">
        <v>141</v>
      </c>
      <c r="Q1535" s="1" t="s">
        <v>169</v>
      </c>
      <c r="R1535" t="str">
        <f>Table11[[#This Row],[Match]]&amp;" "&amp;Table11[[#This Row],[Over]]</f>
        <v>24 24</v>
      </c>
    </row>
    <row r="1536" spans="1:18" x14ac:dyDescent="0.3">
      <c r="A1536">
        <v>24</v>
      </c>
      <c r="B1536" s="1">
        <v>25</v>
      </c>
      <c r="C1536" s="1" t="s">
        <v>3639</v>
      </c>
      <c r="D1536" s="1" t="s">
        <v>930</v>
      </c>
      <c r="E1536" s="1" t="s">
        <v>943</v>
      </c>
      <c r="F1536" s="1" t="s">
        <v>1161</v>
      </c>
      <c r="G1536" s="1" t="s">
        <v>1105</v>
      </c>
      <c r="H1536" s="1" t="s">
        <v>947</v>
      </c>
      <c r="I1536" s="1" t="s">
        <v>2282</v>
      </c>
      <c r="J1536" s="1" t="s">
        <v>1068</v>
      </c>
      <c r="K1536" s="1" t="s">
        <v>3640</v>
      </c>
      <c r="L1536" s="1" t="s">
        <v>909</v>
      </c>
      <c r="M1536" s="1" t="s">
        <v>1083</v>
      </c>
      <c r="N1536">
        <f>_xlfn.NUMBERVALUE(LEFT(Table11[[#This Row],[Score]],FIND("/",Table11[[#This Row],[Score]])-1))</f>
        <v>160</v>
      </c>
      <c r="O1536">
        <f>IFERROR(_xlfn.NUMBERVALUE(LEFT(Table11[[#This Row],[Score2 ]],FIND("/",Table11[[#This Row],[Score2 ]])-1)),"")</f>
        <v>124</v>
      </c>
      <c r="P1536" t="s">
        <v>141</v>
      </c>
      <c r="Q1536" s="1" t="s">
        <v>169</v>
      </c>
      <c r="R1536" t="str">
        <f>Table11[[#This Row],[Match]]&amp;" "&amp;Table11[[#This Row],[Over]]</f>
        <v>24 25</v>
      </c>
    </row>
    <row r="1537" spans="1:18" x14ac:dyDescent="0.3">
      <c r="A1537">
        <v>24</v>
      </c>
      <c r="B1537" s="1">
        <v>26</v>
      </c>
      <c r="C1537" s="1" t="s">
        <v>3641</v>
      </c>
      <c r="D1537" s="1" t="s">
        <v>904</v>
      </c>
      <c r="E1537" s="1" t="s">
        <v>2700</v>
      </c>
      <c r="F1537" s="1" t="s">
        <v>1161</v>
      </c>
      <c r="G1537" s="1" t="s">
        <v>2833</v>
      </c>
      <c r="H1537" s="1" t="s">
        <v>922</v>
      </c>
      <c r="I1537" s="1" t="s">
        <v>969</v>
      </c>
      <c r="J1537" s="1" t="s">
        <v>1168</v>
      </c>
      <c r="K1537" s="1" t="s">
        <v>3642</v>
      </c>
      <c r="L1537" s="1" t="s">
        <v>920</v>
      </c>
      <c r="M1537" s="1" t="s">
        <v>1090</v>
      </c>
      <c r="N1537">
        <f>_xlfn.NUMBERVALUE(LEFT(Table11[[#This Row],[Score]],FIND("/",Table11[[#This Row],[Score]])-1))</f>
        <v>163</v>
      </c>
      <c r="O1537">
        <f>IFERROR(_xlfn.NUMBERVALUE(LEFT(Table11[[#This Row],[Score2 ]],FIND("/",Table11[[#This Row],[Score2 ]])-1)),"")</f>
        <v>130</v>
      </c>
      <c r="P1537" t="s">
        <v>141</v>
      </c>
      <c r="Q1537" s="1" t="s">
        <v>169</v>
      </c>
      <c r="R1537" t="str">
        <f>Table11[[#This Row],[Match]]&amp;" "&amp;Table11[[#This Row],[Over]]</f>
        <v>24 26</v>
      </c>
    </row>
    <row r="1538" spans="1:18" x14ac:dyDescent="0.3">
      <c r="A1538">
        <v>24</v>
      </c>
      <c r="B1538" s="1">
        <v>27</v>
      </c>
      <c r="C1538" s="1" t="s">
        <v>3643</v>
      </c>
      <c r="D1538" s="1" t="s">
        <v>922</v>
      </c>
      <c r="E1538" s="1" t="s">
        <v>1448</v>
      </c>
      <c r="F1538" s="1" t="s">
        <v>1161</v>
      </c>
      <c r="G1538" s="1" t="s">
        <v>1922</v>
      </c>
      <c r="H1538" s="1" t="s">
        <v>950</v>
      </c>
      <c r="I1538" s="1" t="s">
        <v>969</v>
      </c>
      <c r="J1538" s="1" t="s">
        <v>1116</v>
      </c>
      <c r="K1538" s="1" t="s">
        <v>3644</v>
      </c>
      <c r="L1538" s="1" t="s">
        <v>2237</v>
      </c>
      <c r="M1538" s="1" t="s">
        <v>1098</v>
      </c>
      <c r="N1538">
        <f>_xlfn.NUMBERVALUE(LEFT(Table11[[#This Row],[Score]],FIND("/",Table11[[#This Row],[Score]])-1))</f>
        <v>169</v>
      </c>
      <c r="O1538">
        <f>IFERROR(_xlfn.NUMBERVALUE(LEFT(Table11[[#This Row],[Score2 ]],FIND("/",Table11[[#This Row],[Score2 ]])-1)),"")</f>
        <v>135</v>
      </c>
      <c r="P1538" t="s">
        <v>141</v>
      </c>
      <c r="Q1538" s="1" t="s">
        <v>169</v>
      </c>
      <c r="R1538" t="str">
        <f>Table11[[#This Row],[Match]]&amp;" "&amp;Table11[[#This Row],[Over]]</f>
        <v>24 27</v>
      </c>
    </row>
    <row r="1539" spans="1:18" x14ac:dyDescent="0.3">
      <c r="A1539">
        <v>24</v>
      </c>
      <c r="B1539" s="1">
        <v>28</v>
      </c>
      <c r="C1539" s="1" t="s">
        <v>3553</v>
      </c>
      <c r="D1539" s="1" t="s">
        <v>904</v>
      </c>
      <c r="E1539" s="1" t="s">
        <v>1417</v>
      </c>
      <c r="F1539" s="1" t="s">
        <v>1154</v>
      </c>
      <c r="G1539" s="1" t="s">
        <v>3319</v>
      </c>
      <c r="H1539" s="1" t="s">
        <v>898</v>
      </c>
      <c r="I1539" s="1" t="s">
        <v>1153</v>
      </c>
      <c r="J1539" s="1" t="s">
        <v>1019</v>
      </c>
      <c r="K1539" s="1" t="s">
        <v>3508</v>
      </c>
      <c r="L1539" s="1" t="s">
        <v>2341</v>
      </c>
      <c r="M1539" s="1" t="s">
        <v>1101</v>
      </c>
      <c r="N1539">
        <f>_xlfn.NUMBERVALUE(LEFT(Table11[[#This Row],[Score]],FIND("/",Table11[[#This Row],[Score]])-1))</f>
        <v>172</v>
      </c>
      <c r="O1539">
        <f>IFERROR(_xlfn.NUMBERVALUE(LEFT(Table11[[#This Row],[Score2 ]],FIND("/",Table11[[#This Row],[Score2 ]])-1)),"")</f>
        <v>137</v>
      </c>
      <c r="P1539" t="s">
        <v>141</v>
      </c>
      <c r="Q1539" s="1" t="s">
        <v>169</v>
      </c>
      <c r="R1539" t="str">
        <f>Table11[[#This Row],[Match]]&amp;" "&amp;Table11[[#This Row],[Over]]</f>
        <v>24 28</v>
      </c>
    </row>
    <row r="1540" spans="1:18" x14ac:dyDescent="0.3">
      <c r="A1540">
        <v>24</v>
      </c>
      <c r="B1540" s="1">
        <v>29</v>
      </c>
      <c r="C1540" s="1" t="s">
        <v>3645</v>
      </c>
      <c r="D1540" s="1" t="s">
        <v>998</v>
      </c>
      <c r="E1540" s="1" t="s">
        <v>935</v>
      </c>
      <c r="F1540" s="1" t="s">
        <v>1093</v>
      </c>
      <c r="G1540" s="1" t="s">
        <v>3646</v>
      </c>
      <c r="H1540" s="1" t="s">
        <v>947</v>
      </c>
      <c r="I1540" s="1" t="s">
        <v>1334</v>
      </c>
      <c r="J1540" s="1" t="s">
        <v>970</v>
      </c>
      <c r="K1540" s="1" t="s">
        <v>2667</v>
      </c>
      <c r="L1540" s="1" t="s">
        <v>2597</v>
      </c>
      <c r="M1540" s="1" t="s">
        <v>1108</v>
      </c>
      <c r="N1540">
        <f>_xlfn.NUMBERVALUE(LEFT(Table11[[#This Row],[Score]],FIND("/",Table11[[#This Row],[Score]])-1))</f>
        <v>176</v>
      </c>
      <c r="O1540">
        <f>IFERROR(_xlfn.NUMBERVALUE(LEFT(Table11[[#This Row],[Score2 ]],FIND("/",Table11[[#This Row],[Score2 ]])-1)),"")</f>
        <v>146</v>
      </c>
      <c r="P1540" t="s">
        <v>141</v>
      </c>
      <c r="Q1540" s="1" t="s">
        <v>169</v>
      </c>
      <c r="R1540" t="str">
        <f>Table11[[#This Row],[Match]]&amp;" "&amp;Table11[[#This Row],[Over]]</f>
        <v>24 29</v>
      </c>
    </row>
    <row r="1541" spans="1:18" x14ac:dyDescent="0.3">
      <c r="A1541">
        <v>24</v>
      </c>
      <c r="B1541" s="1">
        <v>30</v>
      </c>
      <c r="C1541" s="1" t="s">
        <v>3114</v>
      </c>
      <c r="D1541" s="1" t="s">
        <v>950</v>
      </c>
      <c r="E1541" s="1" t="s">
        <v>3167</v>
      </c>
      <c r="F1541" s="1" t="s">
        <v>931</v>
      </c>
      <c r="G1541" s="1" t="s">
        <v>3647</v>
      </c>
      <c r="H1541" s="1" t="s">
        <v>998</v>
      </c>
      <c r="I1541" s="1" t="s">
        <v>969</v>
      </c>
      <c r="J1541" s="1" t="s">
        <v>1029</v>
      </c>
      <c r="K1541" s="1" t="s">
        <v>3648</v>
      </c>
      <c r="L1541" s="1" t="s">
        <v>954</v>
      </c>
      <c r="M1541" s="1" t="s">
        <v>1113</v>
      </c>
      <c r="N1541">
        <f>_xlfn.NUMBERVALUE(LEFT(Table11[[#This Row],[Score]],FIND("/",Table11[[#This Row],[Score]])-1))</f>
        <v>181</v>
      </c>
      <c r="O1541">
        <f>IFERROR(_xlfn.NUMBERVALUE(LEFT(Table11[[#This Row],[Score2 ]],FIND("/",Table11[[#This Row],[Score2 ]])-1)),"")</f>
        <v>150</v>
      </c>
      <c r="P1541" t="s">
        <v>141</v>
      </c>
      <c r="Q1541" s="1" t="s">
        <v>169</v>
      </c>
      <c r="R1541" t="str">
        <f>Table11[[#This Row],[Match]]&amp;" "&amp;Table11[[#This Row],[Over]]</f>
        <v>24 30</v>
      </c>
    </row>
    <row r="1542" spans="1:18" x14ac:dyDescent="0.3">
      <c r="A1542">
        <v>24</v>
      </c>
      <c r="B1542" s="1">
        <v>31</v>
      </c>
      <c r="C1542" s="1" t="s">
        <v>3649</v>
      </c>
      <c r="D1542" s="1" t="s">
        <v>947</v>
      </c>
      <c r="E1542" s="1" t="s">
        <v>1968</v>
      </c>
      <c r="F1542" s="1" t="s">
        <v>966</v>
      </c>
      <c r="G1542" s="1" t="s">
        <v>3650</v>
      </c>
      <c r="H1542" s="1" t="s">
        <v>950</v>
      </c>
      <c r="I1542" s="1" t="s">
        <v>969</v>
      </c>
      <c r="J1542" s="1" t="s">
        <v>969</v>
      </c>
      <c r="K1542" s="1" t="s">
        <v>3651</v>
      </c>
      <c r="L1542" s="1" t="s">
        <v>962</v>
      </c>
      <c r="M1542" s="1" t="s">
        <v>1121</v>
      </c>
      <c r="N1542">
        <f>_xlfn.NUMBERVALUE(LEFT(Table11[[#This Row],[Score]],FIND("/",Table11[[#This Row],[Score]])-1))</f>
        <v>190</v>
      </c>
      <c r="O1542">
        <f>IFERROR(_xlfn.NUMBERVALUE(LEFT(Table11[[#This Row],[Score2 ]],FIND("/",Table11[[#This Row],[Score2 ]])-1)),"")</f>
        <v>155</v>
      </c>
      <c r="P1542" t="s">
        <v>141</v>
      </c>
      <c r="Q1542" s="1" t="s">
        <v>169</v>
      </c>
      <c r="R1542" t="str">
        <f>Table11[[#This Row],[Match]]&amp;" "&amp;Table11[[#This Row],[Over]]</f>
        <v>24 31</v>
      </c>
    </row>
    <row r="1543" spans="1:18" x14ac:dyDescent="0.3">
      <c r="A1543">
        <v>24</v>
      </c>
      <c r="B1543" s="1">
        <v>32</v>
      </c>
      <c r="C1543" s="1" t="s">
        <v>3652</v>
      </c>
      <c r="D1543" s="1" t="s">
        <v>998</v>
      </c>
      <c r="E1543" s="1" t="s">
        <v>935</v>
      </c>
      <c r="F1543" s="1" t="s">
        <v>969</v>
      </c>
      <c r="G1543" s="1" t="s">
        <v>3650</v>
      </c>
      <c r="H1543" s="1" t="s">
        <v>1007</v>
      </c>
      <c r="I1543" s="1" t="s">
        <v>1160</v>
      </c>
      <c r="J1543" s="1" t="s">
        <v>939</v>
      </c>
      <c r="K1543" s="1" t="s">
        <v>3653</v>
      </c>
      <c r="L1543" s="1" t="s">
        <v>962</v>
      </c>
      <c r="M1543" s="1" t="s">
        <v>1127</v>
      </c>
      <c r="N1543">
        <f>_xlfn.NUMBERVALUE(LEFT(Table11[[#This Row],[Score]],FIND("/",Table11[[#This Row],[Score]])-1))</f>
        <v>194</v>
      </c>
      <c r="O1543">
        <f>IFERROR(_xlfn.NUMBERVALUE(LEFT(Table11[[#This Row],[Score2 ]],FIND("/",Table11[[#This Row],[Score2 ]])-1)),"")</f>
        <v>155</v>
      </c>
      <c r="P1543" t="s">
        <v>141</v>
      </c>
      <c r="Q1543" s="1" t="s">
        <v>169</v>
      </c>
      <c r="R1543" t="str">
        <f>Table11[[#This Row],[Match]]&amp;" "&amp;Table11[[#This Row],[Over]]</f>
        <v>24 32</v>
      </c>
    </row>
    <row r="1544" spans="1:18" x14ac:dyDescent="0.3">
      <c r="A1544">
        <v>24</v>
      </c>
      <c r="B1544" s="1">
        <v>33</v>
      </c>
      <c r="C1544" s="1" t="s">
        <v>3654</v>
      </c>
      <c r="D1544" s="1" t="s">
        <v>930</v>
      </c>
      <c r="E1544" s="1" t="s">
        <v>1968</v>
      </c>
      <c r="F1544" s="1" t="s">
        <v>1019</v>
      </c>
      <c r="G1544" s="1" t="s">
        <v>1374</v>
      </c>
      <c r="H1544" s="1" t="s">
        <v>898</v>
      </c>
      <c r="I1544" s="1" t="s">
        <v>1319</v>
      </c>
      <c r="J1544" s="1" t="s">
        <v>939</v>
      </c>
      <c r="K1544" s="1" t="s">
        <v>2762</v>
      </c>
      <c r="L1544" s="1" t="s">
        <v>979</v>
      </c>
      <c r="M1544" s="1" t="s">
        <v>1132</v>
      </c>
      <c r="N1544">
        <f>_xlfn.NUMBERVALUE(LEFT(Table11[[#This Row],[Score]],FIND("/",Table11[[#This Row],[Score]])-1))</f>
        <v>202</v>
      </c>
      <c r="O1544">
        <f>IFERROR(_xlfn.NUMBERVALUE(LEFT(Table11[[#This Row],[Score2 ]],FIND("/",Table11[[#This Row],[Score2 ]])-1)),"")</f>
        <v>157</v>
      </c>
      <c r="P1544" t="s">
        <v>141</v>
      </c>
      <c r="Q1544" s="1" t="s">
        <v>169</v>
      </c>
      <c r="R1544" t="str">
        <f>Table11[[#This Row],[Match]]&amp;" "&amp;Table11[[#This Row],[Over]]</f>
        <v>24 33</v>
      </c>
    </row>
    <row r="1545" spans="1:18" x14ac:dyDescent="0.3">
      <c r="A1545">
        <v>24</v>
      </c>
      <c r="B1545" s="1">
        <v>34</v>
      </c>
      <c r="C1545" s="1" t="s">
        <v>3655</v>
      </c>
      <c r="D1545" s="1" t="s">
        <v>998</v>
      </c>
      <c r="E1545" s="1" t="s">
        <v>3656</v>
      </c>
      <c r="F1545" s="1" t="s">
        <v>1019</v>
      </c>
      <c r="G1545" s="1" t="s">
        <v>3657</v>
      </c>
      <c r="H1545" s="1" t="s">
        <v>922</v>
      </c>
      <c r="I1545" s="1" t="s">
        <v>2511</v>
      </c>
      <c r="J1545" s="1" t="s">
        <v>1247</v>
      </c>
      <c r="K1545" s="1" t="s">
        <v>3658</v>
      </c>
      <c r="L1545" s="1" t="s">
        <v>1992</v>
      </c>
      <c r="M1545" s="1" t="s">
        <v>1138</v>
      </c>
      <c r="N1545">
        <f>_xlfn.NUMBERVALUE(LEFT(Table11[[#This Row],[Score]],FIND("/",Table11[[#This Row],[Score]])-1))</f>
        <v>206</v>
      </c>
      <c r="O1545">
        <f>IFERROR(_xlfn.NUMBERVALUE(LEFT(Table11[[#This Row],[Score2 ]],FIND("/",Table11[[#This Row],[Score2 ]])-1)),"")</f>
        <v>163</v>
      </c>
      <c r="P1545" t="s">
        <v>141</v>
      </c>
      <c r="Q1545" s="1" t="s">
        <v>169</v>
      </c>
      <c r="R1545" t="str">
        <f>Table11[[#This Row],[Match]]&amp;" "&amp;Table11[[#This Row],[Over]]</f>
        <v>24 34</v>
      </c>
    </row>
    <row r="1546" spans="1:18" x14ac:dyDescent="0.3">
      <c r="A1546">
        <v>24</v>
      </c>
      <c r="B1546" s="1">
        <v>35</v>
      </c>
      <c r="C1546" s="1" t="s">
        <v>3659</v>
      </c>
      <c r="D1546" s="1" t="s">
        <v>950</v>
      </c>
      <c r="E1546" s="1" t="s">
        <v>1218</v>
      </c>
      <c r="F1546" s="1" t="s">
        <v>1019</v>
      </c>
      <c r="G1546" s="1" t="s">
        <v>3660</v>
      </c>
      <c r="H1546" s="1" t="s">
        <v>904</v>
      </c>
      <c r="I1546" s="1" t="s">
        <v>1353</v>
      </c>
      <c r="J1546" s="1" t="s">
        <v>1259</v>
      </c>
      <c r="K1546" s="1" t="s">
        <v>3661</v>
      </c>
      <c r="L1546" s="1" t="s">
        <v>973</v>
      </c>
      <c r="M1546" s="1" t="s">
        <v>1143</v>
      </c>
      <c r="N1546">
        <f>_xlfn.NUMBERVALUE(LEFT(Table11[[#This Row],[Score]],FIND("/",Table11[[#This Row],[Score]])-1))</f>
        <v>211</v>
      </c>
      <c r="O1546">
        <f>IFERROR(_xlfn.NUMBERVALUE(LEFT(Table11[[#This Row],[Score2 ]],FIND("/",Table11[[#This Row],[Score2 ]])-1)),"")</f>
        <v>166</v>
      </c>
      <c r="P1546" t="s">
        <v>141</v>
      </c>
      <c r="Q1546" s="1" t="s">
        <v>169</v>
      </c>
      <c r="R1546" t="str">
        <f>Table11[[#This Row],[Match]]&amp;" "&amp;Table11[[#This Row],[Over]]</f>
        <v>24 35</v>
      </c>
    </row>
    <row r="1547" spans="1:18" x14ac:dyDescent="0.3">
      <c r="A1547">
        <v>24</v>
      </c>
      <c r="B1547" s="1">
        <v>36</v>
      </c>
      <c r="C1547" s="1" t="s">
        <v>3662</v>
      </c>
      <c r="D1547" s="1" t="s">
        <v>998</v>
      </c>
      <c r="E1547" s="1" t="s">
        <v>2442</v>
      </c>
      <c r="F1547" s="1" t="s">
        <v>969</v>
      </c>
      <c r="G1547" s="1" t="s">
        <v>1961</v>
      </c>
      <c r="H1547" s="1" t="s">
        <v>898</v>
      </c>
      <c r="I1547" s="1" t="s">
        <v>1975</v>
      </c>
      <c r="J1547" s="1" t="s">
        <v>984</v>
      </c>
      <c r="K1547" s="1" t="s">
        <v>3663</v>
      </c>
      <c r="L1547" s="1" t="s">
        <v>1449</v>
      </c>
      <c r="M1547" s="1" t="s">
        <v>1150</v>
      </c>
      <c r="N1547">
        <f>_xlfn.NUMBERVALUE(LEFT(Table11[[#This Row],[Score]],FIND("/",Table11[[#This Row],[Score]])-1))</f>
        <v>215</v>
      </c>
      <c r="O1547">
        <f>IFERROR(_xlfn.NUMBERVALUE(LEFT(Table11[[#This Row],[Score2 ]],FIND("/",Table11[[#This Row],[Score2 ]])-1)),"")</f>
        <v>168</v>
      </c>
      <c r="P1547" t="s">
        <v>141</v>
      </c>
      <c r="Q1547" s="1" t="s">
        <v>169</v>
      </c>
      <c r="R1547" t="str">
        <f>Table11[[#This Row],[Match]]&amp;" "&amp;Table11[[#This Row],[Over]]</f>
        <v>24 36</v>
      </c>
    </row>
    <row r="1548" spans="1:18" x14ac:dyDescent="0.3">
      <c r="A1548">
        <v>24</v>
      </c>
      <c r="B1548" s="1">
        <v>37</v>
      </c>
      <c r="C1548" s="1" t="s">
        <v>3664</v>
      </c>
      <c r="D1548" s="1" t="s">
        <v>1390</v>
      </c>
      <c r="E1548" s="1" t="s">
        <v>1233</v>
      </c>
      <c r="F1548" s="1" t="s">
        <v>1053</v>
      </c>
      <c r="G1548" s="1" t="s">
        <v>3665</v>
      </c>
      <c r="H1548" s="1" t="s">
        <v>968</v>
      </c>
      <c r="I1548" s="1" t="s">
        <v>1781</v>
      </c>
      <c r="J1548" s="1" t="s">
        <v>993</v>
      </c>
      <c r="K1548" s="1" t="s">
        <v>3666</v>
      </c>
      <c r="L1548" s="1" t="s">
        <v>1003</v>
      </c>
      <c r="M1548" s="1" t="s">
        <v>1156</v>
      </c>
      <c r="N1548">
        <f>_xlfn.NUMBERVALUE(LEFT(Table11[[#This Row],[Score]],FIND("/",Table11[[#This Row],[Score]])-1))</f>
        <v>228</v>
      </c>
      <c r="O1548">
        <f>IFERROR(_xlfn.NUMBERVALUE(LEFT(Table11[[#This Row],[Score2 ]],FIND("/",Table11[[#This Row],[Score2 ]])-1)),"")</f>
        <v>169</v>
      </c>
      <c r="P1548" t="s">
        <v>141</v>
      </c>
      <c r="Q1548" s="1" t="s">
        <v>169</v>
      </c>
      <c r="R1548" t="str">
        <f>Table11[[#This Row],[Match]]&amp;" "&amp;Table11[[#This Row],[Over]]</f>
        <v>24 37</v>
      </c>
    </row>
    <row r="1549" spans="1:18" x14ac:dyDescent="0.3">
      <c r="A1549">
        <v>24</v>
      </c>
      <c r="B1549" s="1">
        <v>38</v>
      </c>
      <c r="C1549" s="1" t="s">
        <v>3559</v>
      </c>
      <c r="D1549" s="1" t="s">
        <v>1706</v>
      </c>
      <c r="E1549" s="1" t="s">
        <v>1735</v>
      </c>
      <c r="F1549" s="1" t="s">
        <v>1568</v>
      </c>
      <c r="G1549" s="1" t="s">
        <v>1962</v>
      </c>
      <c r="H1549" s="1" t="s">
        <v>904</v>
      </c>
      <c r="I1549" s="1" t="s">
        <v>1552</v>
      </c>
      <c r="J1549" s="1" t="s">
        <v>1238</v>
      </c>
      <c r="K1549" s="1" t="s">
        <v>3430</v>
      </c>
      <c r="L1549" s="1" t="s">
        <v>980</v>
      </c>
      <c r="M1549" s="1" t="s">
        <v>1164</v>
      </c>
      <c r="N1549">
        <f>_xlfn.NUMBERVALUE(LEFT(Table11[[#This Row],[Score]],FIND("/",Table11[[#This Row],[Score]])-1))</f>
        <v>255</v>
      </c>
      <c r="O1549">
        <f>IFERROR(_xlfn.NUMBERVALUE(LEFT(Table11[[#This Row],[Score2 ]],FIND("/",Table11[[#This Row],[Score2 ]])-1)),"")</f>
        <v>172</v>
      </c>
      <c r="P1549" t="s">
        <v>141</v>
      </c>
      <c r="Q1549" s="1" t="s">
        <v>169</v>
      </c>
      <c r="R1549" t="str">
        <f>Table11[[#This Row],[Match]]&amp;" "&amp;Table11[[#This Row],[Over]]</f>
        <v>24 38</v>
      </c>
    </row>
    <row r="1550" spans="1:18" x14ac:dyDescent="0.3">
      <c r="A1550">
        <v>24</v>
      </c>
      <c r="B1550" s="1">
        <v>39</v>
      </c>
      <c r="C1550" s="1" t="s">
        <v>3667</v>
      </c>
      <c r="D1550" s="1" t="s">
        <v>916</v>
      </c>
      <c r="E1550" s="1" t="s">
        <v>1735</v>
      </c>
      <c r="F1550" s="1" t="s">
        <v>1207</v>
      </c>
      <c r="G1550" s="1" t="s">
        <v>3668</v>
      </c>
      <c r="H1550" s="1" t="s">
        <v>998</v>
      </c>
      <c r="I1550" s="1" t="s">
        <v>1542</v>
      </c>
      <c r="J1550" s="1" t="s">
        <v>984</v>
      </c>
      <c r="K1550" s="1" t="s">
        <v>3669</v>
      </c>
      <c r="L1550" s="1" t="s">
        <v>2264</v>
      </c>
      <c r="M1550" s="1" t="s">
        <v>1171</v>
      </c>
      <c r="N1550">
        <f>_xlfn.NUMBERVALUE(LEFT(Table11[[#This Row],[Score]],FIND("/",Table11[[#This Row],[Score]])-1))</f>
        <v>262</v>
      </c>
      <c r="O1550">
        <f>IFERROR(_xlfn.NUMBERVALUE(LEFT(Table11[[#This Row],[Score2 ]],FIND("/",Table11[[#This Row],[Score2 ]])-1)),"")</f>
        <v>176</v>
      </c>
      <c r="P1550" t="s">
        <v>141</v>
      </c>
      <c r="Q1550" s="1" t="s">
        <v>169</v>
      </c>
      <c r="R1550" t="str">
        <f>Table11[[#This Row],[Match]]&amp;" "&amp;Table11[[#This Row],[Over]]</f>
        <v>24 39</v>
      </c>
    </row>
    <row r="1551" spans="1:18" x14ac:dyDescent="0.3">
      <c r="A1551">
        <v>24</v>
      </c>
      <c r="B1551" s="1">
        <v>40</v>
      </c>
      <c r="C1551" s="1" t="s">
        <v>3670</v>
      </c>
      <c r="D1551" s="1" t="s">
        <v>1223</v>
      </c>
      <c r="E1551" s="1" t="s">
        <v>952</v>
      </c>
      <c r="F1551" s="1" t="s">
        <v>1580</v>
      </c>
      <c r="G1551" s="1" t="s">
        <v>3671</v>
      </c>
      <c r="H1551" s="1" t="s">
        <v>930</v>
      </c>
      <c r="I1551" s="1" t="s">
        <v>976</v>
      </c>
      <c r="J1551" s="1" t="s">
        <v>977</v>
      </c>
      <c r="K1551" s="1" t="s">
        <v>3672</v>
      </c>
      <c r="L1551" s="1" t="s">
        <v>996</v>
      </c>
      <c r="M1551" s="1" t="s">
        <v>1177</v>
      </c>
      <c r="N1551">
        <f>_xlfn.NUMBERVALUE(LEFT(Table11[[#This Row],[Score]],FIND("/",Table11[[#This Row],[Score]])-1))</f>
        <v>280</v>
      </c>
      <c r="O1551">
        <f>IFERROR(_xlfn.NUMBERVALUE(LEFT(Table11[[#This Row],[Score2 ]],FIND("/",Table11[[#This Row],[Score2 ]])-1)),"")</f>
        <v>184</v>
      </c>
      <c r="P1551" t="s">
        <v>141</v>
      </c>
      <c r="Q1551" s="1" t="s">
        <v>169</v>
      </c>
      <c r="R1551" t="str">
        <f>Table11[[#This Row],[Match]]&amp;" "&amp;Table11[[#This Row],[Over]]</f>
        <v>24 40</v>
      </c>
    </row>
    <row r="1552" spans="1:18" x14ac:dyDescent="0.3">
      <c r="A1552">
        <v>24</v>
      </c>
      <c r="B1552" s="1">
        <v>41</v>
      </c>
      <c r="C1552" s="1" t="s">
        <v>3673</v>
      </c>
      <c r="D1552" s="1" t="s">
        <v>1684</v>
      </c>
      <c r="E1552" s="1" t="s">
        <v>3258</v>
      </c>
      <c r="F1552" s="1" t="s">
        <v>3062</v>
      </c>
      <c r="G1552" s="1" t="s">
        <v>3590</v>
      </c>
      <c r="H1552" s="1" t="s">
        <v>898</v>
      </c>
      <c r="I1552" s="1" t="s">
        <v>1793</v>
      </c>
      <c r="J1552" s="1" t="s">
        <v>977</v>
      </c>
      <c r="K1552" s="1" t="s">
        <v>3674</v>
      </c>
      <c r="L1552" s="1" t="s">
        <v>2356</v>
      </c>
      <c r="M1552" s="1" t="s">
        <v>1183</v>
      </c>
      <c r="N1552">
        <f>_xlfn.NUMBERVALUE(LEFT(Table11[[#This Row],[Score]],FIND("/",Table11[[#This Row],[Score]])-1))</f>
        <v>299</v>
      </c>
      <c r="O1552">
        <f>IFERROR(_xlfn.NUMBERVALUE(LEFT(Table11[[#This Row],[Score2 ]],FIND("/",Table11[[#This Row],[Score2 ]])-1)),"")</f>
        <v>186</v>
      </c>
      <c r="P1552" t="s">
        <v>141</v>
      </c>
      <c r="Q1552" s="1" t="s">
        <v>169</v>
      </c>
      <c r="R1552" t="str">
        <f>Table11[[#This Row],[Match]]&amp;" "&amp;Table11[[#This Row],[Over]]</f>
        <v>24 41</v>
      </c>
    </row>
    <row r="1553" spans="1:18" x14ac:dyDescent="0.3">
      <c r="A1553">
        <v>24</v>
      </c>
      <c r="B1553" s="1">
        <v>42</v>
      </c>
      <c r="C1553" s="1" t="s">
        <v>3675</v>
      </c>
      <c r="D1553" s="1" t="s">
        <v>930</v>
      </c>
      <c r="E1553" s="1" t="s">
        <v>1745</v>
      </c>
      <c r="F1553" s="1" t="s">
        <v>2865</v>
      </c>
      <c r="G1553" s="1" t="s">
        <v>3676</v>
      </c>
      <c r="H1553" s="1" t="s">
        <v>1390</v>
      </c>
      <c r="I1553" s="1" t="s">
        <v>1012</v>
      </c>
      <c r="J1553" s="1" t="s">
        <v>1019</v>
      </c>
      <c r="K1553" s="1" t="s">
        <v>3677</v>
      </c>
      <c r="L1553" s="1" t="s">
        <v>2010</v>
      </c>
      <c r="M1553" s="1" t="s">
        <v>1190</v>
      </c>
      <c r="N1553">
        <f>_xlfn.NUMBERVALUE(LEFT(Table11[[#This Row],[Score]],FIND("/",Table11[[#This Row],[Score]])-1))</f>
        <v>307</v>
      </c>
      <c r="O1553">
        <f>IFERROR(_xlfn.NUMBERVALUE(LEFT(Table11[[#This Row],[Score2 ]],FIND("/",Table11[[#This Row],[Score2 ]])-1)),"")</f>
        <v>199</v>
      </c>
      <c r="P1553" t="s">
        <v>141</v>
      </c>
      <c r="Q1553" s="1" t="s">
        <v>169</v>
      </c>
      <c r="R1553" t="str">
        <f>Table11[[#This Row],[Match]]&amp;" "&amp;Table11[[#This Row],[Over]]</f>
        <v>24 42</v>
      </c>
    </row>
    <row r="1554" spans="1:18" x14ac:dyDescent="0.3">
      <c r="A1554">
        <v>24</v>
      </c>
      <c r="B1554" s="1">
        <v>43</v>
      </c>
      <c r="C1554" s="1" t="s">
        <v>3503</v>
      </c>
      <c r="D1554" s="1" t="s">
        <v>1511</v>
      </c>
      <c r="E1554" s="1" t="s">
        <v>2234</v>
      </c>
      <c r="F1554" s="1" t="s">
        <v>1585</v>
      </c>
      <c r="G1554" s="1" t="s">
        <v>3180</v>
      </c>
      <c r="H1554" s="1" t="s">
        <v>968</v>
      </c>
      <c r="I1554" s="1" t="s">
        <v>1330</v>
      </c>
      <c r="J1554" s="1" t="s">
        <v>934</v>
      </c>
      <c r="K1554" s="1" t="s">
        <v>3678</v>
      </c>
      <c r="L1554" s="1" t="s">
        <v>2016</v>
      </c>
      <c r="M1554" s="1" t="s">
        <v>1197</v>
      </c>
      <c r="N1554">
        <f>_xlfn.NUMBERVALUE(LEFT(Table11[[#This Row],[Score]],FIND("/",Table11[[#This Row],[Score]])-1))</f>
        <v>323</v>
      </c>
      <c r="O1554">
        <f>IFERROR(_xlfn.NUMBERVALUE(LEFT(Table11[[#This Row],[Score2 ]],FIND("/",Table11[[#This Row],[Score2 ]])-1)),"")</f>
        <v>200</v>
      </c>
      <c r="P1554" t="s">
        <v>141</v>
      </c>
      <c r="Q1554" s="1" t="s">
        <v>169</v>
      </c>
      <c r="R1554" t="str">
        <f>Table11[[#This Row],[Match]]&amp;" "&amp;Table11[[#This Row],[Over]]</f>
        <v>24 43</v>
      </c>
    </row>
    <row r="1555" spans="1:18" x14ac:dyDescent="0.3">
      <c r="A1555">
        <v>24</v>
      </c>
      <c r="B1555" s="1">
        <v>44</v>
      </c>
      <c r="C1555" s="1" t="s">
        <v>3679</v>
      </c>
      <c r="D1555" s="1" t="s">
        <v>1390</v>
      </c>
      <c r="E1555" s="1" t="s">
        <v>3680</v>
      </c>
      <c r="F1555" s="1" t="s">
        <v>2523</v>
      </c>
      <c r="G1555" s="1" t="s">
        <v>3181</v>
      </c>
      <c r="H1555" s="1" t="s">
        <v>904</v>
      </c>
      <c r="I1555" s="1" t="s">
        <v>1055</v>
      </c>
      <c r="J1555" s="1" t="s">
        <v>966</v>
      </c>
      <c r="K1555" s="1" t="s">
        <v>3681</v>
      </c>
      <c r="L1555" s="1" t="s">
        <v>1048</v>
      </c>
      <c r="M1555" s="1" t="s">
        <v>1205</v>
      </c>
      <c r="N1555">
        <f>_xlfn.NUMBERVALUE(LEFT(Table11[[#This Row],[Score]],FIND("/",Table11[[#This Row],[Score]])-1))</f>
        <v>336</v>
      </c>
      <c r="O1555">
        <f>IFERROR(_xlfn.NUMBERVALUE(LEFT(Table11[[#This Row],[Score2 ]],FIND("/",Table11[[#This Row],[Score2 ]])-1)),"")</f>
        <v>203</v>
      </c>
      <c r="P1555" t="s">
        <v>141</v>
      </c>
      <c r="Q1555" s="1" t="s">
        <v>169</v>
      </c>
      <c r="R1555" t="str">
        <f>Table11[[#This Row],[Match]]&amp;" "&amp;Table11[[#This Row],[Over]]</f>
        <v>24 44</v>
      </c>
    </row>
    <row r="1556" spans="1:18" x14ac:dyDescent="0.3">
      <c r="A1556">
        <v>24</v>
      </c>
      <c r="B1556" s="1">
        <v>45</v>
      </c>
      <c r="C1556" s="1" t="s">
        <v>3682</v>
      </c>
      <c r="D1556" s="1" t="s">
        <v>1051</v>
      </c>
      <c r="E1556" s="1" t="s">
        <v>3201</v>
      </c>
      <c r="F1556" s="1" t="s">
        <v>2057</v>
      </c>
      <c r="G1556" s="1" t="s">
        <v>3377</v>
      </c>
      <c r="H1556" s="1" t="s">
        <v>916</v>
      </c>
      <c r="I1556" s="1" t="s">
        <v>1975</v>
      </c>
      <c r="J1556" s="1" t="s">
        <v>1029</v>
      </c>
      <c r="K1556" s="1" t="s">
        <v>3683</v>
      </c>
      <c r="L1556" s="1" t="s">
        <v>2275</v>
      </c>
      <c r="M1556" s="1" t="s">
        <v>1211</v>
      </c>
      <c r="N1556">
        <f>_xlfn.NUMBERVALUE(LEFT(Table11[[#This Row],[Score]],FIND("/",Table11[[#This Row],[Score]])-1))</f>
        <v>347</v>
      </c>
      <c r="O1556">
        <f>IFERROR(_xlfn.NUMBERVALUE(LEFT(Table11[[#This Row],[Score2 ]],FIND("/",Table11[[#This Row],[Score2 ]])-1)),"")</f>
        <v>210</v>
      </c>
      <c r="P1556" t="s">
        <v>141</v>
      </c>
      <c r="Q1556" s="1" t="s">
        <v>169</v>
      </c>
      <c r="R1556" t="str">
        <f>Table11[[#This Row],[Match]]&amp;" "&amp;Table11[[#This Row],[Over]]</f>
        <v>24 45</v>
      </c>
    </row>
    <row r="1557" spans="1:18" x14ac:dyDescent="0.3">
      <c r="A1557">
        <v>24</v>
      </c>
      <c r="B1557" s="1">
        <v>46</v>
      </c>
      <c r="C1557" s="1" t="s">
        <v>3684</v>
      </c>
      <c r="D1557" s="1" t="s">
        <v>904</v>
      </c>
      <c r="E1557" s="1" t="s">
        <v>1508</v>
      </c>
      <c r="F1557" s="1" t="s">
        <v>1746</v>
      </c>
      <c r="N1557">
        <f>_xlfn.NUMBERVALUE(LEFT(Table11[[#This Row],[Score]],FIND("/",Table11[[#This Row],[Score]])-1))</f>
        <v>350</v>
      </c>
      <c r="O1557" t="str">
        <f>IFERROR(_xlfn.NUMBERVALUE(LEFT(Table11[[#This Row],[Score2 ]],FIND("/",Table11[[#This Row],[Score2 ]])-1)),"")</f>
        <v/>
      </c>
      <c r="P1557" t="s">
        <v>141</v>
      </c>
      <c r="Q1557" s="1" t="s">
        <v>169</v>
      </c>
      <c r="R1557" t="str">
        <f>Table11[[#This Row],[Match]]&amp;" "&amp;Table11[[#This Row],[Over]]</f>
        <v>24 46</v>
      </c>
    </row>
    <row r="1558" spans="1:18" x14ac:dyDescent="0.3">
      <c r="A1558">
        <v>24</v>
      </c>
      <c r="B1558" s="1">
        <v>47</v>
      </c>
      <c r="C1558" s="1" t="s">
        <v>3685</v>
      </c>
      <c r="D1558" s="1" t="s">
        <v>1095</v>
      </c>
      <c r="E1558" s="1" t="s">
        <v>1075</v>
      </c>
      <c r="F1558" s="1" t="s">
        <v>1568</v>
      </c>
      <c r="N1558">
        <f>_xlfn.NUMBERVALUE(LEFT(Table11[[#This Row],[Score]],FIND("/",Table11[[#This Row],[Score]])-1))</f>
        <v>360</v>
      </c>
      <c r="O1558" t="str">
        <f>IFERROR(_xlfn.NUMBERVALUE(LEFT(Table11[[#This Row],[Score2 ]],FIND("/",Table11[[#This Row],[Score2 ]])-1)),"")</f>
        <v/>
      </c>
      <c r="P1558" t="s">
        <v>141</v>
      </c>
      <c r="Q1558" s="1" t="s">
        <v>169</v>
      </c>
      <c r="R1558" t="str">
        <f>Table11[[#This Row],[Match]]&amp;" "&amp;Table11[[#This Row],[Over]]</f>
        <v>24 47</v>
      </c>
    </row>
    <row r="1559" spans="1:18" x14ac:dyDescent="0.3">
      <c r="A1559">
        <v>24</v>
      </c>
      <c r="B1559" s="1">
        <v>48</v>
      </c>
      <c r="C1559" s="1" t="s">
        <v>3686</v>
      </c>
      <c r="D1559" s="1" t="s">
        <v>1051</v>
      </c>
      <c r="E1559" s="1" t="s">
        <v>1327</v>
      </c>
      <c r="F1559" s="1" t="s">
        <v>1219</v>
      </c>
      <c r="N1559">
        <f>_xlfn.NUMBERVALUE(LEFT(Table11[[#This Row],[Score]],FIND("/",Table11[[#This Row],[Score]])-1))</f>
        <v>371</v>
      </c>
      <c r="O1559" t="str">
        <f>IFERROR(_xlfn.NUMBERVALUE(LEFT(Table11[[#This Row],[Score2 ]],FIND("/",Table11[[#This Row],[Score2 ]])-1)),"")</f>
        <v/>
      </c>
      <c r="P1559" t="s">
        <v>141</v>
      </c>
      <c r="Q1559" s="1" t="s">
        <v>169</v>
      </c>
      <c r="R1559" t="str">
        <f>Table11[[#This Row],[Match]]&amp;" "&amp;Table11[[#This Row],[Over]]</f>
        <v>24 48</v>
      </c>
    </row>
    <row r="1560" spans="1:18" x14ac:dyDescent="0.3">
      <c r="A1560">
        <v>24</v>
      </c>
      <c r="B1560" s="1">
        <v>49</v>
      </c>
      <c r="C1560" s="1" t="s">
        <v>3687</v>
      </c>
      <c r="D1560" s="1" t="s">
        <v>1511</v>
      </c>
      <c r="E1560" s="1" t="s">
        <v>3206</v>
      </c>
      <c r="F1560" s="1" t="s">
        <v>1746</v>
      </c>
      <c r="N1560">
        <f>_xlfn.NUMBERVALUE(LEFT(Table11[[#This Row],[Score]],FIND("/",Table11[[#This Row],[Score]])-1))</f>
        <v>387</v>
      </c>
      <c r="O1560" t="str">
        <f>IFERROR(_xlfn.NUMBERVALUE(LEFT(Table11[[#This Row],[Score2 ]],FIND("/",Table11[[#This Row],[Score2 ]])-1)),"")</f>
        <v/>
      </c>
      <c r="P1560" t="s">
        <v>141</v>
      </c>
      <c r="Q1560" s="1" t="s">
        <v>169</v>
      </c>
      <c r="R1560" t="str">
        <f>Table11[[#This Row],[Match]]&amp;" "&amp;Table11[[#This Row],[Over]]</f>
        <v>24 49</v>
      </c>
    </row>
    <row r="1561" spans="1:18" x14ac:dyDescent="0.3">
      <c r="A1561">
        <v>24</v>
      </c>
      <c r="B1561" s="1">
        <v>50</v>
      </c>
      <c r="C1561" s="1" t="s">
        <v>3688</v>
      </c>
      <c r="D1561" s="1" t="s">
        <v>1216</v>
      </c>
      <c r="E1561" s="1" t="s">
        <v>1523</v>
      </c>
      <c r="F1561" s="1" t="s">
        <v>2417</v>
      </c>
      <c r="N1561">
        <f>_xlfn.NUMBERVALUE(LEFT(Table11[[#This Row],[Score]],FIND("/",Table11[[#This Row],[Score]])-1))</f>
        <v>411</v>
      </c>
      <c r="O1561" t="str">
        <f>IFERROR(_xlfn.NUMBERVALUE(LEFT(Table11[[#This Row],[Score2 ]],FIND("/",Table11[[#This Row],[Score2 ]])-1)),"")</f>
        <v/>
      </c>
      <c r="P1561" t="s">
        <v>141</v>
      </c>
      <c r="Q1561" s="1" t="s">
        <v>169</v>
      </c>
      <c r="R1561" t="str">
        <f>Table11[[#This Row],[Match]]&amp;" "&amp;Table11[[#This Row],[Over]]</f>
        <v>24 50</v>
      </c>
    </row>
    <row r="1562" spans="1:18" x14ac:dyDescent="0.3">
      <c r="A1562">
        <v>25</v>
      </c>
      <c r="B1562" s="1">
        <v>1</v>
      </c>
      <c r="C1562" s="1" t="s">
        <v>1418</v>
      </c>
      <c r="D1562" s="1" t="s">
        <v>904</v>
      </c>
      <c r="E1562" s="1" t="s">
        <v>1238</v>
      </c>
      <c r="F1562" s="1" t="s">
        <v>348</v>
      </c>
      <c r="G1562" s="1" t="s">
        <v>2686</v>
      </c>
      <c r="H1562" s="1" t="s">
        <v>968</v>
      </c>
      <c r="I1562" s="1" t="s">
        <v>1662</v>
      </c>
      <c r="J1562" s="1" t="s">
        <v>348</v>
      </c>
      <c r="K1562" s="1" t="s">
        <v>1825</v>
      </c>
      <c r="L1562" s="1" t="s">
        <v>3689</v>
      </c>
      <c r="M1562" s="1" t="s">
        <v>902</v>
      </c>
      <c r="N1562">
        <f>_xlfn.NUMBERVALUE(LEFT(Table11[[#This Row],[Score]],FIND("/",Table11[[#This Row],[Score]])-1))</f>
        <v>3</v>
      </c>
      <c r="O1562">
        <f>IFERROR(_xlfn.NUMBERVALUE(LEFT(Table11[[#This Row],[Score2 ]],FIND("/",Table11[[#This Row],[Score2 ]])-1)),"")</f>
        <v>1</v>
      </c>
      <c r="P1562" t="s">
        <v>153</v>
      </c>
      <c r="Q1562" s="1" t="s">
        <v>164</v>
      </c>
      <c r="R1562" t="str">
        <f>Table11[[#This Row],[Match]]&amp;" "&amp;Table11[[#This Row],[Over]]</f>
        <v>25 1</v>
      </c>
    </row>
    <row r="1563" spans="1:18" x14ac:dyDescent="0.3">
      <c r="A1563">
        <v>25</v>
      </c>
      <c r="B1563" s="1">
        <v>2</v>
      </c>
      <c r="C1563" s="1" t="s">
        <v>913</v>
      </c>
      <c r="D1563" s="1" t="s">
        <v>998</v>
      </c>
      <c r="E1563" s="1" t="s">
        <v>925</v>
      </c>
      <c r="F1563" s="1" t="s">
        <v>348</v>
      </c>
      <c r="G1563" s="1" t="s">
        <v>1418</v>
      </c>
      <c r="H1563" s="1" t="s">
        <v>898</v>
      </c>
      <c r="I1563" s="1" t="s">
        <v>1822</v>
      </c>
      <c r="J1563" s="1" t="s">
        <v>348</v>
      </c>
      <c r="K1563" s="1" t="s">
        <v>2102</v>
      </c>
      <c r="L1563" s="1" t="s">
        <v>2994</v>
      </c>
      <c r="M1563" s="1" t="s">
        <v>909</v>
      </c>
      <c r="N1563">
        <f>_xlfn.NUMBERVALUE(LEFT(Table11[[#This Row],[Score]],FIND("/",Table11[[#This Row],[Score]])-1))</f>
        <v>7</v>
      </c>
      <c r="O1563">
        <f>IFERROR(_xlfn.NUMBERVALUE(LEFT(Table11[[#This Row],[Score2 ]],FIND("/",Table11[[#This Row],[Score2 ]])-1)),"")</f>
        <v>3</v>
      </c>
      <c r="P1563" t="s">
        <v>153</v>
      </c>
      <c r="Q1563" s="1" t="s">
        <v>164</v>
      </c>
      <c r="R1563" t="str">
        <f>Table11[[#This Row],[Match]]&amp;" "&amp;Table11[[#This Row],[Over]]</f>
        <v>25 2</v>
      </c>
    </row>
    <row r="1564" spans="1:18" x14ac:dyDescent="0.3">
      <c r="A1564">
        <v>25</v>
      </c>
      <c r="B1564" s="1">
        <v>3</v>
      </c>
      <c r="C1564" s="1" t="s">
        <v>1721</v>
      </c>
      <c r="D1564" s="1" t="s">
        <v>968</v>
      </c>
      <c r="E1564" s="1" t="s">
        <v>1642</v>
      </c>
      <c r="F1564" s="1" t="s">
        <v>348</v>
      </c>
      <c r="G1564" s="1" t="s">
        <v>1418</v>
      </c>
      <c r="H1564" s="1" t="s">
        <v>1007</v>
      </c>
      <c r="I1564" s="1" t="s">
        <v>1662</v>
      </c>
      <c r="J1564" s="1" t="s">
        <v>348</v>
      </c>
      <c r="K1564" s="1" t="s">
        <v>1313</v>
      </c>
      <c r="L1564" s="1" t="s">
        <v>2994</v>
      </c>
      <c r="M1564" s="1" t="s">
        <v>920</v>
      </c>
      <c r="N1564">
        <f>_xlfn.NUMBERVALUE(LEFT(Table11[[#This Row],[Score]],FIND("/",Table11[[#This Row],[Score]])-1))</f>
        <v>8</v>
      </c>
      <c r="O1564">
        <f>IFERROR(_xlfn.NUMBERVALUE(LEFT(Table11[[#This Row],[Score2 ]],FIND("/",Table11[[#This Row],[Score2 ]])-1)),"")</f>
        <v>3</v>
      </c>
      <c r="P1564" t="s">
        <v>153</v>
      </c>
      <c r="Q1564" s="1" t="s">
        <v>164</v>
      </c>
      <c r="R1564" t="str">
        <f>Table11[[#This Row],[Match]]&amp;" "&amp;Table11[[#This Row],[Over]]</f>
        <v>25 3</v>
      </c>
    </row>
    <row r="1565" spans="1:18" x14ac:dyDescent="0.3">
      <c r="A1565">
        <v>25</v>
      </c>
      <c r="B1565" s="1">
        <v>4</v>
      </c>
      <c r="C1565" s="1" t="s">
        <v>1245</v>
      </c>
      <c r="D1565" s="1" t="s">
        <v>898</v>
      </c>
      <c r="E1565" s="1" t="s">
        <v>905</v>
      </c>
      <c r="F1565" s="1" t="s">
        <v>348</v>
      </c>
      <c r="G1565" s="1" t="s">
        <v>903</v>
      </c>
      <c r="H1565" s="1" t="s">
        <v>898</v>
      </c>
      <c r="I1565" s="1" t="s">
        <v>3519</v>
      </c>
      <c r="J1565" s="1" t="s">
        <v>348</v>
      </c>
      <c r="K1565" s="1" t="s">
        <v>2627</v>
      </c>
      <c r="L1565" s="1" t="s">
        <v>3193</v>
      </c>
      <c r="M1565" s="1" t="s">
        <v>928</v>
      </c>
      <c r="N1565">
        <f>_xlfn.NUMBERVALUE(LEFT(Table11[[#This Row],[Score]],FIND("/",Table11[[#This Row],[Score]])-1))</f>
        <v>10</v>
      </c>
      <c r="O1565">
        <f>IFERROR(_xlfn.NUMBERVALUE(LEFT(Table11[[#This Row],[Score2 ]],FIND("/",Table11[[#This Row],[Score2 ]])-1)),"")</f>
        <v>5</v>
      </c>
      <c r="P1565" t="s">
        <v>153</v>
      </c>
      <c r="Q1565" s="1" t="s">
        <v>164</v>
      </c>
      <c r="R1565" t="str">
        <f>Table11[[#This Row],[Match]]&amp;" "&amp;Table11[[#This Row],[Over]]</f>
        <v>25 4</v>
      </c>
    </row>
    <row r="1566" spans="1:18" x14ac:dyDescent="0.3">
      <c r="A1566">
        <v>25</v>
      </c>
      <c r="B1566" s="1">
        <v>5</v>
      </c>
      <c r="C1566" s="1" t="s">
        <v>3279</v>
      </c>
      <c r="D1566" s="1" t="s">
        <v>968</v>
      </c>
      <c r="E1566" s="1" t="s">
        <v>1383</v>
      </c>
      <c r="F1566" s="1" t="s">
        <v>1383</v>
      </c>
      <c r="G1566" s="1" t="s">
        <v>1232</v>
      </c>
      <c r="H1566" s="1" t="s">
        <v>968</v>
      </c>
      <c r="I1566" s="1" t="s">
        <v>1439</v>
      </c>
      <c r="J1566" s="1" t="s">
        <v>1439</v>
      </c>
      <c r="K1566" s="1" t="s">
        <v>2114</v>
      </c>
      <c r="L1566" s="1" t="s">
        <v>2325</v>
      </c>
      <c r="M1566" s="1" t="s">
        <v>937</v>
      </c>
      <c r="N1566">
        <f>_xlfn.NUMBERVALUE(LEFT(Table11[[#This Row],[Score]],FIND("/",Table11[[#This Row],[Score]])-1))</f>
        <v>11</v>
      </c>
      <c r="O1566">
        <f>IFERROR(_xlfn.NUMBERVALUE(LEFT(Table11[[#This Row],[Score2 ]],FIND("/",Table11[[#This Row],[Score2 ]])-1)),"")</f>
        <v>6</v>
      </c>
      <c r="P1566" t="s">
        <v>153</v>
      </c>
      <c r="Q1566" s="1" t="s">
        <v>164</v>
      </c>
      <c r="R1566" t="str">
        <f>Table11[[#This Row],[Match]]&amp;" "&amp;Table11[[#This Row],[Over]]</f>
        <v>25 5</v>
      </c>
    </row>
    <row r="1567" spans="1:18" x14ac:dyDescent="0.3">
      <c r="A1567">
        <v>25</v>
      </c>
      <c r="B1567" s="1">
        <v>6</v>
      </c>
      <c r="C1567" s="1" t="s">
        <v>924</v>
      </c>
      <c r="D1567" s="1" t="s">
        <v>904</v>
      </c>
      <c r="E1567" s="1" t="s">
        <v>914</v>
      </c>
      <c r="F1567" s="1" t="s">
        <v>1383</v>
      </c>
      <c r="G1567" s="1" t="s">
        <v>1424</v>
      </c>
      <c r="H1567" s="1" t="s">
        <v>947</v>
      </c>
      <c r="I1567" s="1" t="s">
        <v>905</v>
      </c>
      <c r="J1567" s="1" t="s">
        <v>993</v>
      </c>
      <c r="K1567" s="1" t="s">
        <v>2127</v>
      </c>
      <c r="L1567" s="1" t="s">
        <v>3091</v>
      </c>
      <c r="M1567" s="1" t="s">
        <v>945</v>
      </c>
      <c r="N1567">
        <f>_xlfn.NUMBERVALUE(LEFT(Table11[[#This Row],[Score]],FIND("/",Table11[[#This Row],[Score]])-1))</f>
        <v>14</v>
      </c>
      <c r="O1567">
        <f>IFERROR(_xlfn.NUMBERVALUE(LEFT(Table11[[#This Row],[Score2 ]],FIND("/",Table11[[#This Row],[Score2 ]])-1)),"")</f>
        <v>15</v>
      </c>
      <c r="P1567" t="s">
        <v>153</v>
      </c>
      <c r="Q1567" s="1" t="s">
        <v>164</v>
      </c>
      <c r="R1567" t="str">
        <f>Table11[[#This Row],[Match]]&amp;" "&amp;Table11[[#This Row],[Over]]</f>
        <v>25 6</v>
      </c>
    </row>
    <row r="1568" spans="1:18" x14ac:dyDescent="0.3">
      <c r="A1568">
        <v>25</v>
      </c>
      <c r="B1568" s="1">
        <v>7</v>
      </c>
      <c r="C1568" s="1" t="s">
        <v>3147</v>
      </c>
      <c r="D1568" s="1" t="s">
        <v>968</v>
      </c>
      <c r="E1568" s="1" t="s">
        <v>3690</v>
      </c>
      <c r="F1568" s="1" t="s">
        <v>1770</v>
      </c>
      <c r="G1568" s="1" t="s">
        <v>1250</v>
      </c>
      <c r="H1568" s="1" t="s">
        <v>998</v>
      </c>
      <c r="I1568" s="1" t="s">
        <v>1253</v>
      </c>
      <c r="J1568" s="1" t="s">
        <v>1259</v>
      </c>
      <c r="K1568" s="1" t="s">
        <v>1502</v>
      </c>
      <c r="L1568" s="1" t="s">
        <v>3634</v>
      </c>
      <c r="M1568" s="1" t="s">
        <v>955</v>
      </c>
      <c r="N1568">
        <f>_xlfn.NUMBERVALUE(LEFT(Table11[[#This Row],[Score]],FIND("/",Table11[[#This Row],[Score]])-1))</f>
        <v>15</v>
      </c>
      <c r="O1568">
        <f>IFERROR(_xlfn.NUMBERVALUE(LEFT(Table11[[#This Row],[Score2 ]],FIND("/",Table11[[#This Row],[Score2 ]])-1)),"")</f>
        <v>19</v>
      </c>
      <c r="P1568" t="s">
        <v>153</v>
      </c>
      <c r="Q1568" s="1" t="s">
        <v>164</v>
      </c>
      <c r="R1568" t="str">
        <f>Table11[[#This Row],[Match]]&amp;" "&amp;Table11[[#This Row],[Over]]</f>
        <v>25 7</v>
      </c>
    </row>
    <row r="1569" spans="1:18" x14ac:dyDescent="0.3">
      <c r="A1569">
        <v>25</v>
      </c>
      <c r="B1569" s="1">
        <v>8</v>
      </c>
      <c r="C1569" s="1" t="s">
        <v>3150</v>
      </c>
      <c r="D1569" s="1" t="s">
        <v>930</v>
      </c>
      <c r="E1569" s="1" t="s">
        <v>1466</v>
      </c>
      <c r="F1569" s="1" t="s">
        <v>1238</v>
      </c>
      <c r="G1569" s="1" t="s">
        <v>1854</v>
      </c>
      <c r="H1569" s="1" t="s">
        <v>968</v>
      </c>
      <c r="I1569" s="1" t="s">
        <v>905</v>
      </c>
      <c r="J1569" s="1" t="s">
        <v>1247</v>
      </c>
      <c r="K1569" s="1" t="s">
        <v>2820</v>
      </c>
      <c r="L1569" s="1" t="s">
        <v>3092</v>
      </c>
      <c r="M1569" s="1" t="s">
        <v>963</v>
      </c>
      <c r="N1569">
        <f>_xlfn.NUMBERVALUE(LEFT(Table11[[#This Row],[Score]],FIND("/",Table11[[#This Row],[Score]])-1))</f>
        <v>23</v>
      </c>
      <c r="O1569">
        <f>IFERROR(_xlfn.NUMBERVALUE(LEFT(Table11[[#This Row],[Score2 ]],FIND("/",Table11[[#This Row],[Score2 ]])-1)),"")</f>
        <v>20</v>
      </c>
      <c r="P1569" t="s">
        <v>153</v>
      </c>
      <c r="Q1569" s="1" t="s">
        <v>164</v>
      </c>
      <c r="R1569" t="str">
        <f>Table11[[#This Row],[Match]]&amp;" "&amp;Table11[[#This Row],[Over]]</f>
        <v>25 8</v>
      </c>
    </row>
    <row r="1570" spans="1:18" x14ac:dyDescent="0.3">
      <c r="A1570">
        <v>25</v>
      </c>
      <c r="B1570" s="1">
        <v>9</v>
      </c>
      <c r="C1570" s="1" t="s">
        <v>2691</v>
      </c>
      <c r="D1570" s="1" t="s">
        <v>930</v>
      </c>
      <c r="E1570" s="1" t="s">
        <v>2456</v>
      </c>
      <c r="F1570" s="1" t="s">
        <v>931</v>
      </c>
      <c r="G1570" s="1" t="s">
        <v>3577</v>
      </c>
      <c r="H1570" s="1" t="s">
        <v>904</v>
      </c>
      <c r="I1570" s="1" t="s">
        <v>3691</v>
      </c>
      <c r="J1570" s="1" t="s">
        <v>977</v>
      </c>
      <c r="K1570" s="1" t="s">
        <v>3692</v>
      </c>
      <c r="L1570" s="1" t="s">
        <v>2089</v>
      </c>
      <c r="M1570" s="1" t="s">
        <v>973</v>
      </c>
      <c r="N1570">
        <f>_xlfn.NUMBERVALUE(LEFT(Table11[[#This Row],[Score]],FIND("/",Table11[[#This Row],[Score]])-1))</f>
        <v>31</v>
      </c>
      <c r="O1570">
        <f>IFERROR(_xlfn.NUMBERVALUE(LEFT(Table11[[#This Row],[Score2 ]],FIND("/",Table11[[#This Row],[Score2 ]])-1)),"")</f>
        <v>23</v>
      </c>
      <c r="P1570" t="s">
        <v>153</v>
      </c>
      <c r="Q1570" s="1" t="s">
        <v>164</v>
      </c>
      <c r="R1570" t="str">
        <f>Table11[[#This Row],[Match]]&amp;" "&amp;Table11[[#This Row],[Over]]</f>
        <v>25 9</v>
      </c>
    </row>
    <row r="1571" spans="1:18" x14ac:dyDescent="0.3">
      <c r="A1571">
        <v>25</v>
      </c>
      <c r="B1571" s="1">
        <v>10</v>
      </c>
      <c r="C1571" s="1" t="s">
        <v>2216</v>
      </c>
      <c r="D1571" s="1" t="s">
        <v>1095</v>
      </c>
      <c r="E1571" s="1" t="s">
        <v>1483</v>
      </c>
      <c r="F1571" s="1" t="s">
        <v>1019</v>
      </c>
      <c r="G1571" s="1" t="s">
        <v>2610</v>
      </c>
      <c r="H1571" s="1" t="s">
        <v>898</v>
      </c>
      <c r="I1571" s="1" t="s">
        <v>905</v>
      </c>
      <c r="J1571" s="1" t="s">
        <v>990</v>
      </c>
      <c r="K1571" s="1" t="s">
        <v>3693</v>
      </c>
      <c r="L1571" s="1" t="s">
        <v>2091</v>
      </c>
      <c r="M1571" s="1" t="s">
        <v>980</v>
      </c>
      <c r="N1571">
        <f>_xlfn.NUMBERVALUE(LEFT(Table11[[#This Row],[Score]],FIND("/",Table11[[#This Row],[Score]])-1))</f>
        <v>41</v>
      </c>
      <c r="O1571">
        <f>IFERROR(_xlfn.NUMBERVALUE(LEFT(Table11[[#This Row],[Score2 ]],FIND("/",Table11[[#This Row],[Score2 ]])-1)),"")</f>
        <v>25</v>
      </c>
      <c r="P1571" t="s">
        <v>153</v>
      </c>
      <c r="Q1571" s="1" t="s">
        <v>164</v>
      </c>
      <c r="R1571" t="str">
        <f>Table11[[#This Row],[Match]]&amp;" "&amp;Table11[[#This Row],[Over]]</f>
        <v>25 10</v>
      </c>
    </row>
    <row r="1572" spans="1:18" x14ac:dyDescent="0.3">
      <c r="A1572">
        <v>25</v>
      </c>
      <c r="B1572" s="1">
        <v>11</v>
      </c>
      <c r="C1572" s="1" t="s">
        <v>975</v>
      </c>
      <c r="D1572" s="1" t="s">
        <v>950</v>
      </c>
      <c r="E1572" s="1" t="s">
        <v>1292</v>
      </c>
      <c r="F1572" s="1" t="s">
        <v>943</v>
      </c>
      <c r="G1572" s="1" t="s">
        <v>1649</v>
      </c>
      <c r="H1572" s="1" t="s">
        <v>998</v>
      </c>
      <c r="I1572" s="1" t="s">
        <v>1650</v>
      </c>
      <c r="J1572" s="1" t="s">
        <v>993</v>
      </c>
      <c r="K1572" s="1" t="s">
        <v>2996</v>
      </c>
      <c r="L1572" s="1" t="s">
        <v>3694</v>
      </c>
      <c r="M1572" s="1" t="s">
        <v>987</v>
      </c>
      <c r="N1572">
        <f>_xlfn.NUMBERVALUE(LEFT(Table11[[#This Row],[Score]],FIND("/",Table11[[#This Row],[Score]])-1))</f>
        <v>46</v>
      </c>
      <c r="O1572">
        <f>IFERROR(_xlfn.NUMBERVALUE(LEFT(Table11[[#This Row],[Score2 ]],FIND("/",Table11[[#This Row],[Score2 ]])-1)),"")</f>
        <v>29</v>
      </c>
      <c r="P1572" t="s">
        <v>153</v>
      </c>
      <c r="Q1572" s="1" t="s">
        <v>164</v>
      </c>
      <c r="R1572" t="str">
        <f>Table11[[#This Row],[Match]]&amp;" "&amp;Table11[[#This Row],[Over]]</f>
        <v>25 11</v>
      </c>
    </row>
    <row r="1573" spans="1:18" x14ac:dyDescent="0.3">
      <c r="A1573">
        <v>25</v>
      </c>
      <c r="B1573" s="1">
        <v>12</v>
      </c>
      <c r="C1573" s="1" t="s">
        <v>1000</v>
      </c>
      <c r="D1573" s="1" t="s">
        <v>1103</v>
      </c>
      <c r="E1573" s="1" t="s">
        <v>2438</v>
      </c>
      <c r="F1573" s="1" t="s">
        <v>1414</v>
      </c>
      <c r="G1573" s="1" t="s">
        <v>1649</v>
      </c>
      <c r="H1573" s="1" t="s">
        <v>1007</v>
      </c>
      <c r="I1573" s="1" t="s">
        <v>3695</v>
      </c>
      <c r="J1573" s="1" t="s">
        <v>899</v>
      </c>
      <c r="K1573" s="1" t="s">
        <v>3102</v>
      </c>
      <c r="L1573" s="1" t="s">
        <v>3694</v>
      </c>
      <c r="M1573" s="1" t="s">
        <v>996</v>
      </c>
      <c r="N1573">
        <f>_xlfn.NUMBERVALUE(LEFT(Table11[[#This Row],[Score]],FIND("/",Table11[[#This Row],[Score]])-1))</f>
        <v>58</v>
      </c>
      <c r="O1573">
        <f>IFERROR(_xlfn.NUMBERVALUE(LEFT(Table11[[#This Row],[Score2 ]],FIND("/",Table11[[#This Row],[Score2 ]])-1)),"")</f>
        <v>29</v>
      </c>
      <c r="P1573" t="s">
        <v>153</v>
      </c>
      <c r="Q1573" s="1" t="s">
        <v>164</v>
      </c>
      <c r="R1573" t="str">
        <f>Table11[[#This Row],[Match]]&amp;" "&amp;Table11[[#This Row],[Over]]</f>
        <v>25 12</v>
      </c>
    </row>
    <row r="1574" spans="1:18" x14ac:dyDescent="0.3">
      <c r="A1574">
        <v>25</v>
      </c>
      <c r="B1574" s="1">
        <v>13</v>
      </c>
      <c r="C1574" s="1" t="s">
        <v>1005</v>
      </c>
      <c r="D1574" s="1" t="s">
        <v>998</v>
      </c>
      <c r="E1574" s="1" t="s">
        <v>1187</v>
      </c>
      <c r="F1574" s="1" t="s">
        <v>1168</v>
      </c>
      <c r="G1574" s="1" t="s">
        <v>2875</v>
      </c>
      <c r="H1574" s="1" t="s">
        <v>898</v>
      </c>
      <c r="I1574" s="1" t="s">
        <v>3696</v>
      </c>
      <c r="J1574" s="1" t="s">
        <v>1383</v>
      </c>
      <c r="K1574" s="1" t="s">
        <v>3697</v>
      </c>
      <c r="L1574" s="1" t="s">
        <v>2998</v>
      </c>
      <c r="M1574" s="1" t="s">
        <v>1004</v>
      </c>
      <c r="N1574">
        <f>_xlfn.NUMBERVALUE(LEFT(Table11[[#This Row],[Score]],FIND("/",Table11[[#This Row],[Score]])-1))</f>
        <v>62</v>
      </c>
      <c r="O1574">
        <f>IFERROR(_xlfn.NUMBERVALUE(LEFT(Table11[[#This Row],[Score2 ]],FIND("/",Table11[[#This Row],[Score2 ]])-1)),"")</f>
        <v>31</v>
      </c>
      <c r="P1574" t="s">
        <v>153</v>
      </c>
      <c r="Q1574" s="1" t="s">
        <v>164</v>
      </c>
      <c r="R1574" t="str">
        <f>Table11[[#This Row],[Match]]&amp;" "&amp;Table11[[#This Row],[Over]]</f>
        <v>25 13</v>
      </c>
    </row>
    <row r="1575" spans="1:18" x14ac:dyDescent="0.3">
      <c r="A1575">
        <v>25</v>
      </c>
      <c r="B1575" s="1">
        <v>14</v>
      </c>
      <c r="C1575" s="1" t="s">
        <v>2694</v>
      </c>
      <c r="D1575" s="1" t="s">
        <v>898</v>
      </c>
      <c r="E1575" s="1" t="s">
        <v>1362</v>
      </c>
      <c r="F1575" s="1" t="s">
        <v>960</v>
      </c>
      <c r="G1575" s="1" t="s">
        <v>3281</v>
      </c>
      <c r="H1575" s="1" t="s">
        <v>1095</v>
      </c>
      <c r="I1575" s="1" t="s">
        <v>2630</v>
      </c>
      <c r="J1575" s="1" t="s">
        <v>977</v>
      </c>
      <c r="K1575" s="1" t="s">
        <v>1348</v>
      </c>
      <c r="L1575" s="1" t="s">
        <v>901</v>
      </c>
      <c r="M1575" s="1" t="s">
        <v>1010</v>
      </c>
      <c r="N1575">
        <f>_xlfn.NUMBERVALUE(LEFT(Table11[[#This Row],[Score]],FIND("/",Table11[[#This Row],[Score]])-1))</f>
        <v>64</v>
      </c>
      <c r="O1575">
        <f>IFERROR(_xlfn.NUMBERVALUE(LEFT(Table11[[#This Row],[Score2 ]],FIND("/",Table11[[#This Row],[Score2 ]])-1)),"")</f>
        <v>41</v>
      </c>
      <c r="P1575" t="s">
        <v>153</v>
      </c>
      <c r="Q1575" s="1" t="s">
        <v>164</v>
      </c>
      <c r="R1575" t="str">
        <f>Table11[[#This Row],[Match]]&amp;" "&amp;Table11[[#This Row],[Over]]</f>
        <v>25 14</v>
      </c>
    </row>
    <row r="1576" spans="1:18" x14ac:dyDescent="0.3">
      <c r="A1576">
        <v>25</v>
      </c>
      <c r="B1576" s="1">
        <v>15</v>
      </c>
      <c r="C1576" s="1" t="s">
        <v>3310</v>
      </c>
      <c r="D1576" s="1" t="s">
        <v>998</v>
      </c>
      <c r="E1576" s="1" t="s">
        <v>1793</v>
      </c>
      <c r="F1576" s="1" t="s">
        <v>966</v>
      </c>
      <c r="G1576" s="1" t="s">
        <v>1453</v>
      </c>
      <c r="H1576" s="1" t="s">
        <v>968</v>
      </c>
      <c r="I1576" s="1" t="s">
        <v>993</v>
      </c>
      <c r="J1576" s="1" t="s">
        <v>1247</v>
      </c>
      <c r="K1576" s="1" t="s">
        <v>2251</v>
      </c>
      <c r="L1576" s="1" t="s">
        <v>3698</v>
      </c>
      <c r="M1576" s="1" t="s">
        <v>1016</v>
      </c>
      <c r="N1576">
        <f>_xlfn.NUMBERVALUE(LEFT(Table11[[#This Row],[Score]],FIND("/",Table11[[#This Row],[Score]])-1))</f>
        <v>68</v>
      </c>
      <c r="O1576">
        <f>IFERROR(_xlfn.NUMBERVALUE(LEFT(Table11[[#This Row],[Score2 ]],FIND("/",Table11[[#This Row],[Score2 ]])-1)),"")</f>
        <v>42</v>
      </c>
      <c r="P1576" t="s">
        <v>153</v>
      </c>
      <c r="Q1576" s="1" t="s">
        <v>164</v>
      </c>
      <c r="R1576" t="str">
        <f>Table11[[#This Row],[Match]]&amp;" "&amp;Table11[[#This Row],[Over]]</f>
        <v>25 15</v>
      </c>
    </row>
    <row r="1577" spans="1:18" x14ac:dyDescent="0.3">
      <c r="A1577">
        <v>25</v>
      </c>
      <c r="B1577" s="1">
        <v>16</v>
      </c>
      <c r="C1577" s="1" t="s">
        <v>1017</v>
      </c>
      <c r="D1577" s="1" t="s">
        <v>916</v>
      </c>
      <c r="E1577" s="1" t="s">
        <v>1018</v>
      </c>
      <c r="F1577" s="1" t="s">
        <v>1013</v>
      </c>
      <c r="G1577" s="1" t="s">
        <v>1465</v>
      </c>
      <c r="H1577" s="1" t="s">
        <v>998</v>
      </c>
      <c r="I1577" s="1" t="s">
        <v>1466</v>
      </c>
      <c r="J1577" s="1" t="s">
        <v>1247</v>
      </c>
      <c r="K1577" s="1" t="s">
        <v>3320</v>
      </c>
      <c r="L1577" s="1" t="s">
        <v>902</v>
      </c>
      <c r="M1577" s="1" t="s">
        <v>1024</v>
      </c>
      <c r="N1577">
        <f>_xlfn.NUMBERVALUE(LEFT(Table11[[#This Row],[Score]],FIND("/",Table11[[#This Row],[Score]])-1))</f>
        <v>75</v>
      </c>
      <c r="O1577">
        <f>IFERROR(_xlfn.NUMBERVALUE(LEFT(Table11[[#This Row],[Score2 ]],FIND("/",Table11[[#This Row],[Score2 ]])-1)),"")</f>
        <v>46</v>
      </c>
      <c r="P1577" t="s">
        <v>153</v>
      </c>
      <c r="Q1577" s="1" t="s">
        <v>164</v>
      </c>
      <c r="R1577" t="str">
        <f>Table11[[#This Row],[Match]]&amp;" "&amp;Table11[[#This Row],[Over]]</f>
        <v>25 16</v>
      </c>
    </row>
    <row r="1578" spans="1:18" x14ac:dyDescent="0.3">
      <c r="A1578">
        <v>25</v>
      </c>
      <c r="B1578" s="1">
        <v>17</v>
      </c>
      <c r="C1578" s="1" t="s">
        <v>3621</v>
      </c>
      <c r="D1578" s="1" t="s">
        <v>950</v>
      </c>
      <c r="E1578" s="1" t="s">
        <v>1321</v>
      </c>
      <c r="F1578" s="1" t="s">
        <v>940</v>
      </c>
      <c r="G1578" s="1" t="s">
        <v>3283</v>
      </c>
      <c r="H1578" s="1" t="s">
        <v>950</v>
      </c>
      <c r="I1578" s="1" t="s">
        <v>1238</v>
      </c>
      <c r="J1578" s="1" t="s">
        <v>940</v>
      </c>
      <c r="K1578" s="1" t="s">
        <v>3699</v>
      </c>
      <c r="L1578" s="1" t="s">
        <v>1252</v>
      </c>
      <c r="M1578" s="1" t="s">
        <v>1031</v>
      </c>
      <c r="N1578">
        <f>_xlfn.NUMBERVALUE(LEFT(Table11[[#This Row],[Score]],FIND("/",Table11[[#This Row],[Score]])-1))</f>
        <v>80</v>
      </c>
      <c r="O1578">
        <f>IFERROR(_xlfn.NUMBERVALUE(LEFT(Table11[[#This Row],[Score2 ]],FIND("/",Table11[[#This Row],[Score2 ]])-1)),"")</f>
        <v>51</v>
      </c>
      <c r="P1578" t="s">
        <v>153</v>
      </c>
      <c r="Q1578" s="1" t="s">
        <v>164</v>
      </c>
      <c r="R1578" t="str">
        <f>Table11[[#This Row],[Match]]&amp;" "&amp;Table11[[#This Row],[Over]]</f>
        <v>25 17</v>
      </c>
    </row>
    <row r="1579" spans="1:18" x14ac:dyDescent="0.3">
      <c r="A1579">
        <v>25</v>
      </c>
      <c r="B1579" s="1">
        <v>18</v>
      </c>
      <c r="C1579" s="1" t="s">
        <v>3700</v>
      </c>
      <c r="D1579" s="1" t="s">
        <v>950</v>
      </c>
      <c r="E1579" s="1" t="s">
        <v>1194</v>
      </c>
      <c r="F1579" s="1" t="s">
        <v>976</v>
      </c>
      <c r="G1579" s="1" t="s">
        <v>2928</v>
      </c>
      <c r="H1579" s="1" t="s">
        <v>916</v>
      </c>
      <c r="I1579" s="1" t="s">
        <v>2577</v>
      </c>
      <c r="J1579" s="1" t="s">
        <v>966</v>
      </c>
      <c r="K1579" s="1" t="s">
        <v>3701</v>
      </c>
      <c r="L1579" s="1" t="s">
        <v>920</v>
      </c>
      <c r="M1579" s="1" t="s">
        <v>1037</v>
      </c>
      <c r="N1579">
        <f>_xlfn.NUMBERVALUE(LEFT(Table11[[#This Row],[Score]],FIND("/",Table11[[#This Row],[Score]])-1))</f>
        <v>85</v>
      </c>
      <c r="O1579">
        <f>IFERROR(_xlfn.NUMBERVALUE(LEFT(Table11[[#This Row],[Score2 ]],FIND("/",Table11[[#This Row],[Score2 ]])-1)),"")</f>
        <v>58</v>
      </c>
      <c r="P1579" t="s">
        <v>153</v>
      </c>
      <c r="Q1579" s="1" t="s">
        <v>164</v>
      </c>
      <c r="R1579" t="str">
        <f>Table11[[#This Row],[Match]]&amp;" "&amp;Table11[[#This Row],[Over]]</f>
        <v>25 18</v>
      </c>
    </row>
    <row r="1580" spans="1:18" x14ac:dyDescent="0.3">
      <c r="A1580">
        <v>25</v>
      </c>
      <c r="B1580" s="1">
        <v>19</v>
      </c>
      <c r="C1580" s="1" t="s">
        <v>1673</v>
      </c>
      <c r="D1580" s="1" t="s">
        <v>904</v>
      </c>
      <c r="E1580" s="1" t="s">
        <v>1935</v>
      </c>
      <c r="F1580" s="1" t="s">
        <v>1093</v>
      </c>
      <c r="G1580" s="1" t="s">
        <v>2933</v>
      </c>
      <c r="H1580" s="1" t="s">
        <v>930</v>
      </c>
      <c r="I1580" s="1" t="s">
        <v>1944</v>
      </c>
      <c r="J1580" s="1" t="s">
        <v>969</v>
      </c>
      <c r="K1580" s="1" t="s">
        <v>1563</v>
      </c>
      <c r="L1580" s="1" t="s">
        <v>2437</v>
      </c>
      <c r="M1580" s="1" t="s">
        <v>1043</v>
      </c>
      <c r="N1580">
        <f>_xlfn.NUMBERVALUE(LEFT(Table11[[#This Row],[Score]],FIND("/",Table11[[#This Row],[Score]])-1))</f>
        <v>88</v>
      </c>
      <c r="O1580">
        <f>IFERROR(_xlfn.NUMBERVALUE(LEFT(Table11[[#This Row],[Score2 ]],FIND("/",Table11[[#This Row],[Score2 ]])-1)),"")</f>
        <v>66</v>
      </c>
      <c r="P1580" t="s">
        <v>153</v>
      </c>
      <c r="Q1580" s="1" t="s">
        <v>164</v>
      </c>
      <c r="R1580" t="str">
        <f>Table11[[#This Row],[Match]]&amp;" "&amp;Table11[[#This Row],[Over]]</f>
        <v>25 19</v>
      </c>
    </row>
    <row r="1581" spans="1:18" x14ac:dyDescent="0.3">
      <c r="A1581">
        <v>25</v>
      </c>
      <c r="B1581" s="1">
        <v>20</v>
      </c>
      <c r="C1581" s="1" t="s">
        <v>1032</v>
      </c>
      <c r="D1581" s="1" t="s">
        <v>968</v>
      </c>
      <c r="E1581" s="1" t="s">
        <v>1060</v>
      </c>
      <c r="F1581" s="1" t="s">
        <v>931</v>
      </c>
      <c r="G1581" s="1" t="s">
        <v>1882</v>
      </c>
      <c r="H1581" s="1" t="s">
        <v>998</v>
      </c>
      <c r="I1581" s="1" t="s">
        <v>925</v>
      </c>
      <c r="J1581" s="1" t="s">
        <v>934</v>
      </c>
      <c r="K1581" s="1" t="s">
        <v>1161</v>
      </c>
      <c r="L1581" s="1" t="s">
        <v>937</v>
      </c>
      <c r="M1581" s="1" t="s">
        <v>1049</v>
      </c>
      <c r="N1581">
        <f>_xlfn.NUMBERVALUE(LEFT(Table11[[#This Row],[Score]],FIND("/",Table11[[#This Row],[Score]])-1))</f>
        <v>89</v>
      </c>
      <c r="O1581">
        <f>IFERROR(_xlfn.NUMBERVALUE(LEFT(Table11[[#This Row],[Score2 ]],FIND("/",Table11[[#This Row],[Score2 ]])-1)),"")</f>
        <v>70</v>
      </c>
      <c r="P1581" t="s">
        <v>153</v>
      </c>
      <c r="Q1581" s="1" t="s">
        <v>164</v>
      </c>
      <c r="R1581" t="str">
        <f>Table11[[#This Row],[Match]]&amp;" "&amp;Table11[[#This Row],[Over]]</f>
        <v>25 20</v>
      </c>
    </row>
    <row r="1582" spans="1:18" x14ac:dyDescent="0.3">
      <c r="A1582">
        <v>25</v>
      </c>
      <c r="B1582" s="1">
        <v>21</v>
      </c>
      <c r="C1582" s="1" t="s">
        <v>2125</v>
      </c>
      <c r="D1582" s="1" t="s">
        <v>930</v>
      </c>
      <c r="E1582" s="1" t="s">
        <v>1055</v>
      </c>
      <c r="F1582" s="1" t="s">
        <v>940</v>
      </c>
      <c r="G1582" s="1" t="s">
        <v>1489</v>
      </c>
      <c r="H1582" s="1" t="s">
        <v>898</v>
      </c>
      <c r="I1582" s="1" t="s">
        <v>1490</v>
      </c>
      <c r="J1582" s="1" t="s">
        <v>1029</v>
      </c>
      <c r="K1582" s="1" t="s">
        <v>3702</v>
      </c>
      <c r="L1582" s="1" t="s">
        <v>1429</v>
      </c>
      <c r="M1582" s="1" t="s">
        <v>1056</v>
      </c>
      <c r="N1582">
        <f>_xlfn.NUMBERVALUE(LEFT(Table11[[#This Row],[Score]],FIND("/",Table11[[#This Row],[Score]])-1))</f>
        <v>97</v>
      </c>
      <c r="O1582">
        <f>IFERROR(_xlfn.NUMBERVALUE(LEFT(Table11[[#This Row],[Score2 ]],FIND("/",Table11[[#This Row],[Score2 ]])-1)),"")</f>
        <v>72</v>
      </c>
      <c r="P1582" t="s">
        <v>153</v>
      </c>
      <c r="Q1582" s="1" t="s">
        <v>164</v>
      </c>
      <c r="R1582" t="str">
        <f>Table11[[#This Row],[Match]]&amp;" "&amp;Table11[[#This Row],[Over]]</f>
        <v>25 21</v>
      </c>
    </row>
    <row r="1583" spans="1:18" x14ac:dyDescent="0.3">
      <c r="A1583">
        <v>25</v>
      </c>
      <c r="B1583" s="1">
        <v>22</v>
      </c>
      <c r="C1583" s="1" t="s">
        <v>2457</v>
      </c>
      <c r="D1583" s="1" t="s">
        <v>898</v>
      </c>
      <c r="E1583" s="1" t="s">
        <v>1021</v>
      </c>
      <c r="F1583" s="1" t="s">
        <v>990</v>
      </c>
      <c r="G1583" s="1" t="s">
        <v>2233</v>
      </c>
      <c r="H1583" s="1" t="s">
        <v>947</v>
      </c>
      <c r="I1583" s="1" t="s">
        <v>1861</v>
      </c>
      <c r="J1583" s="1" t="s">
        <v>1019</v>
      </c>
      <c r="K1583" s="1" t="s">
        <v>3703</v>
      </c>
      <c r="L1583" s="1" t="s">
        <v>1284</v>
      </c>
      <c r="M1583" s="1" t="s">
        <v>1063</v>
      </c>
      <c r="N1583">
        <f>_xlfn.NUMBERVALUE(LEFT(Table11[[#This Row],[Score]],FIND("/",Table11[[#This Row],[Score]])-1))</f>
        <v>99</v>
      </c>
      <c r="O1583">
        <f>IFERROR(_xlfn.NUMBERVALUE(LEFT(Table11[[#This Row],[Score2 ]],FIND("/",Table11[[#This Row],[Score2 ]])-1)),"")</f>
        <v>81</v>
      </c>
      <c r="P1583" t="s">
        <v>153</v>
      </c>
      <c r="Q1583" s="1" t="s">
        <v>164</v>
      </c>
      <c r="R1583" t="str">
        <f>Table11[[#This Row],[Match]]&amp;" "&amp;Table11[[#This Row],[Over]]</f>
        <v>25 22</v>
      </c>
    </row>
    <row r="1584" spans="1:18" x14ac:dyDescent="0.3">
      <c r="A1584">
        <v>25</v>
      </c>
      <c r="B1584" s="1">
        <v>23</v>
      </c>
      <c r="C1584" s="1" t="s">
        <v>2354</v>
      </c>
      <c r="D1584" s="1" t="s">
        <v>904</v>
      </c>
      <c r="E1584" s="1" t="s">
        <v>1999</v>
      </c>
      <c r="F1584" s="1" t="s">
        <v>1247</v>
      </c>
      <c r="G1584" s="1" t="s">
        <v>1491</v>
      </c>
      <c r="H1584" s="1" t="s">
        <v>904</v>
      </c>
      <c r="I1584" s="1" t="s">
        <v>1897</v>
      </c>
      <c r="J1584" s="1" t="s">
        <v>1029</v>
      </c>
      <c r="K1584" s="1" t="s">
        <v>3704</v>
      </c>
      <c r="L1584" s="1" t="s">
        <v>972</v>
      </c>
      <c r="M1584" s="1" t="s">
        <v>1070</v>
      </c>
      <c r="N1584">
        <f>_xlfn.NUMBERVALUE(LEFT(Table11[[#This Row],[Score]],FIND("/",Table11[[#This Row],[Score]])-1))</f>
        <v>102</v>
      </c>
      <c r="O1584">
        <f>IFERROR(_xlfn.NUMBERVALUE(LEFT(Table11[[#This Row],[Score2 ]],FIND("/",Table11[[#This Row],[Score2 ]])-1)),"")</f>
        <v>84</v>
      </c>
      <c r="P1584" t="s">
        <v>153</v>
      </c>
      <c r="Q1584" s="1" t="s">
        <v>164</v>
      </c>
      <c r="R1584" t="str">
        <f>Table11[[#This Row],[Match]]&amp;" "&amp;Table11[[#This Row],[Over]]</f>
        <v>25 23</v>
      </c>
    </row>
    <row r="1585" spans="1:18" x14ac:dyDescent="0.3">
      <c r="A1585">
        <v>25</v>
      </c>
      <c r="B1585" s="1">
        <v>24</v>
      </c>
      <c r="C1585" s="1" t="s">
        <v>3705</v>
      </c>
      <c r="D1585" s="1" t="s">
        <v>922</v>
      </c>
      <c r="E1585" s="1" t="s">
        <v>1021</v>
      </c>
      <c r="F1585" s="1" t="s">
        <v>939</v>
      </c>
      <c r="G1585" s="1" t="s">
        <v>1491</v>
      </c>
      <c r="H1585" s="1" t="s">
        <v>1007</v>
      </c>
      <c r="I1585" s="1" t="s">
        <v>925</v>
      </c>
      <c r="J1585" s="1" t="s">
        <v>977</v>
      </c>
      <c r="K1585" s="1" t="s">
        <v>3706</v>
      </c>
      <c r="L1585" s="1" t="s">
        <v>972</v>
      </c>
      <c r="M1585" s="1" t="s">
        <v>1077</v>
      </c>
      <c r="N1585">
        <f>_xlfn.NUMBERVALUE(LEFT(Table11[[#This Row],[Score]],FIND("/",Table11[[#This Row],[Score]])-1))</f>
        <v>108</v>
      </c>
      <c r="O1585">
        <f>IFERROR(_xlfn.NUMBERVALUE(LEFT(Table11[[#This Row],[Score2 ]],FIND("/",Table11[[#This Row],[Score2 ]])-1)),"")</f>
        <v>84</v>
      </c>
      <c r="P1585" t="s">
        <v>153</v>
      </c>
      <c r="Q1585" s="1" t="s">
        <v>164</v>
      </c>
      <c r="R1585" t="str">
        <f>Table11[[#This Row],[Match]]&amp;" "&amp;Table11[[#This Row],[Over]]</f>
        <v>25 24</v>
      </c>
    </row>
    <row r="1586" spans="1:18" x14ac:dyDescent="0.3">
      <c r="A1586">
        <v>25</v>
      </c>
      <c r="B1586" s="1">
        <v>25</v>
      </c>
      <c r="C1586" s="1" t="s">
        <v>3707</v>
      </c>
      <c r="D1586" s="1" t="s">
        <v>950</v>
      </c>
      <c r="E1586" s="1" t="s">
        <v>1552</v>
      </c>
      <c r="F1586" s="1" t="s">
        <v>1093</v>
      </c>
      <c r="G1586" s="1" t="s">
        <v>1496</v>
      </c>
      <c r="H1586" s="1" t="s">
        <v>950</v>
      </c>
      <c r="I1586" s="1" t="s">
        <v>2028</v>
      </c>
      <c r="J1586" s="1" t="s">
        <v>990</v>
      </c>
      <c r="K1586" s="1" t="s">
        <v>3708</v>
      </c>
      <c r="L1586" s="1" t="s">
        <v>2443</v>
      </c>
      <c r="M1586" s="1" t="s">
        <v>1083</v>
      </c>
      <c r="N1586">
        <f>_xlfn.NUMBERVALUE(LEFT(Table11[[#This Row],[Score]],FIND("/",Table11[[#This Row],[Score]])-1))</f>
        <v>113</v>
      </c>
      <c r="O1586">
        <f>IFERROR(_xlfn.NUMBERVALUE(LEFT(Table11[[#This Row],[Score2 ]],FIND("/",Table11[[#This Row],[Score2 ]])-1)),"")</f>
        <v>89</v>
      </c>
      <c r="P1586" t="s">
        <v>153</v>
      </c>
      <c r="Q1586" s="1" t="s">
        <v>164</v>
      </c>
      <c r="R1586" t="str">
        <f>Table11[[#This Row],[Match]]&amp;" "&amp;Table11[[#This Row],[Over]]</f>
        <v>25 25</v>
      </c>
    </row>
    <row r="1587" spans="1:18" x14ac:dyDescent="0.3">
      <c r="A1587">
        <v>25</v>
      </c>
      <c r="B1587" s="1">
        <v>26</v>
      </c>
      <c r="C1587" s="1" t="s">
        <v>3709</v>
      </c>
      <c r="D1587" s="1" t="s">
        <v>1390</v>
      </c>
      <c r="E1587" s="1" t="s">
        <v>1160</v>
      </c>
      <c r="F1587" s="1" t="s">
        <v>1013</v>
      </c>
      <c r="G1587" s="1" t="s">
        <v>3004</v>
      </c>
      <c r="H1587" s="1" t="s">
        <v>904</v>
      </c>
      <c r="I1587" s="1" t="s">
        <v>2482</v>
      </c>
      <c r="J1587" s="1" t="s">
        <v>939</v>
      </c>
      <c r="K1587" s="1" t="s">
        <v>3710</v>
      </c>
      <c r="L1587" s="1" t="s">
        <v>995</v>
      </c>
      <c r="M1587" s="1" t="s">
        <v>1090</v>
      </c>
      <c r="N1587">
        <f>_xlfn.NUMBERVALUE(LEFT(Table11[[#This Row],[Score]],FIND("/",Table11[[#This Row],[Score]])-1))</f>
        <v>126</v>
      </c>
      <c r="O1587">
        <f>IFERROR(_xlfn.NUMBERVALUE(LEFT(Table11[[#This Row],[Score2 ]],FIND("/",Table11[[#This Row],[Score2 ]])-1)),"")</f>
        <v>92</v>
      </c>
      <c r="P1587" t="s">
        <v>153</v>
      </c>
      <c r="Q1587" s="1" t="s">
        <v>164</v>
      </c>
      <c r="R1587" t="str">
        <f>Table11[[#This Row],[Match]]&amp;" "&amp;Table11[[#This Row],[Over]]</f>
        <v>25 26</v>
      </c>
    </row>
    <row r="1588" spans="1:18" x14ac:dyDescent="0.3">
      <c r="A1588">
        <v>25</v>
      </c>
      <c r="B1588" s="1">
        <v>27</v>
      </c>
      <c r="C1588" s="1" t="s">
        <v>1078</v>
      </c>
      <c r="D1588" s="1" t="s">
        <v>950</v>
      </c>
      <c r="E1588" s="1" t="s">
        <v>1174</v>
      </c>
      <c r="F1588" s="1" t="s">
        <v>943</v>
      </c>
      <c r="G1588" s="1" t="s">
        <v>2560</v>
      </c>
      <c r="H1588" s="1" t="s">
        <v>950</v>
      </c>
      <c r="I1588" s="1" t="s">
        <v>1929</v>
      </c>
      <c r="J1588" s="1" t="s">
        <v>1259</v>
      </c>
      <c r="K1588" s="1" t="s">
        <v>3711</v>
      </c>
      <c r="L1588" s="1" t="s">
        <v>1003</v>
      </c>
      <c r="M1588" s="1" t="s">
        <v>1098</v>
      </c>
      <c r="N1588">
        <f>_xlfn.NUMBERVALUE(LEFT(Table11[[#This Row],[Score]],FIND("/",Table11[[#This Row],[Score]])-1))</f>
        <v>131</v>
      </c>
      <c r="O1588">
        <f>IFERROR(_xlfn.NUMBERVALUE(LEFT(Table11[[#This Row],[Score2 ]],FIND("/",Table11[[#This Row],[Score2 ]])-1)),"")</f>
        <v>97</v>
      </c>
      <c r="P1588" t="s">
        <v>153</v>
      </c>
      <c r="Q1588" s="1" t="s">
        <v>164</v>
      </c>
      <c r="R1588" t="str">
        <f>Table11[[#This Row],[Match]]&amp;" "&amp;Table11[[#This Row],[Over]]</f>
        <v>25 27</v>
      </c>
    </row>
    <row r="1589" spans="1:18" x14ac:dyDescent="0.3">
      <c r="A1589">
        <v>25</v>
      </c>
      <c r="B1589" s="1">
        <v>28</v>
      </c>
      <c r="C1589" s="1" t="s">
        <v>1084</v>
      </c>
      <c r="D1589" s="1" t="s">
        <v>904</v>
      </c>
      <c r="E1589" s="1" t="s">
        <v>1180</v>
      </c>
      <c r="F1589" s="1" t="s">
        <v>943</v>
      </c>
      <c r="G1589" s="1" t="s">
        <v>2944</v>
      </c>
      <c r="H1589" s="1" t="s">
        <v>922</v>
      </c>
      <c r="I1589" s="1" t="s">
        <v>2030</v>
      </c>
      <c r="J1589" s="1" t="s">
        <v>990</v>
      </c>
      <c r="K1589" s="1" t="s">
        <v>3712</v>
      </c>
      <c r="L1589" s="1" t="s">
        <v>1733</v>
      </c>
      <c r="M1589" s="1" t="s">
        <v>1101</v>
      </c>
      <c r="N1589">
        <f>_xlfn.NUMBERVALUE(LEFT(Table11[[#This Row],[Score]],FIND("/",Table11[[#This Row],[Score]])-1))</f>
        <v>134</v>
      </c>
      <c r="O1589">
        <f>IFERROR(_xlfn.NUMBERVALUE(LEFT(Table11[[#This Row],[Score2 ]],FIND("/",Table11[[#This Row],[Score2 ]])-1)),"")</f>
        <v>103</v>
      </c>
      <c r="P1589" t="s">
        <v>153</v>
      </c>
      <c r="Q1589" s="1" t="s">
        <v>164</v>
      </c>
      <c r="R1589" t="str">
        <f>Table11[[#This Row],[Match]]&amp;" "&amp;Table11[[#This Row],[Over]]</f>
        <v>25 28</v>
      </c>
    </row>
    <row r="1590" spans="1:18" x14ac:dyDescent="0.3">
      <c r="A1590">
        <v>25</v>
      </c>
      <c r="B1590" s="1">
        <v>29</v>
      </c>
      <c r="C1590" s="1" t="s">
        <v>3398</v>
      </c>
      <c r="D1590" s="1" t="s">
        <v>922</v>
      </c>
      <c r="E1590" s="1" t="s">
        <v>1026</v>
      </c>
      <c r="F1590" s="1" t="s">
        <v>943</v>
      </c>
      <c r="G1590" s="1" t="s">
        <v>1317</v>
      </c>
      <c r="H1590" s="1" t="s">
        <v>950</v>
      </c>
      <c r="I1590" s="1" t="s">
        <v>1493</v>
      </c>
      <c r="J1590" s="1" t="s">
        <v>1093</v>
      </c>
      <c r="K1590" s="1" t="s">
        <v>3713</v>
      </c>
      <c r="L1590" s="1" t="s">
        <v>2000</v>
      </c>
      <c r="M1590" s="1" t="s">
        <v>1108</v>
      </c>
      <c r="N1590">
        <f>_xlfn.NUMBERVALUE(LEFT(Table11[[#This Row],[Score]],FIND("/",Table11[[#This Row],[Score]])-1))</f>
        <v>140</v>
      </c>
      <c r="O1590">
        <f>IFERROR(_xlfn.NUMBERVALUE(LEFT(Table11[[#This Row],[Score2 ]],FIND("/",Table11[[#This Row],[Score2 ]])-1)),"")</f>
        <v>108</v>
      </c>
      <c r="P1590" t="s">
        <v>153</v>
      </c>
      <c r="Q1590" s="1" t="s">
        <v>164</v>
      </c>
      <c r="R1590" t="str">
        <f>Table11[[#This Row],[Match]]&amp;" "&amp;Table11[[#This Row],[Over]]</f>
        <v>25 29</v>
      </c>
    </row>
    <row r="1591" spans="1:18" x14ac:dyDescent="0.3">
      <c r="A1591">
        <v>25</v>
      </c>
      <c r="B1591" s="1">
        <v>30</v>
      </c>
      <c r="C1591" s="1" t="s">
        <v>3714</v>
      </c>
      <c r="D1591" s="1" t="s">
        <v>930</v>
      </c>
      <c r="E1591" s="1" t="s">
        <v>1351</v>
      </c>
      <c r="F1591" s="1" t="s">
        <v>952</v>
      </c>
      <c r="G1591" s="1" t="s">
        <v>2365</v>
      </c>
      <c r="H1591" s="1" t="s">
        <v>968</v>
      </c>
      <c r="I1591" s="1" t="s">
        <v>2656</v>
      </c>
      <c r="J1591" s="1" t="s">
        <v>939</v>
      </c>
      <c r="K1591" s="1" t="s">
        <v>3715</v>
      </c>
      <c r="L1591" s="1" t="s">
        <v>2692</v>
      </c>
      <c r="M1591" s="1" t="s">
        <v>1113</v>
      </c>
      <c r="N1591">
        <f>_xlfn.NUMBERVALUE(LEFT(Table11[[#This Row],[Score]],FIND("/",Table11[[#This Row],[Score]])-1))</f>
        <v>148</v>
      </c>
      <c r="O1591">
        <f>IFERROR(_xlfn.NUMBERVALUE(LEFT(Table11[[#This Row],[Score2 ]],FIND("/",Table11[[#This Row],[Score2 ]])-1)),"")</f>
        <v>109</v>
      </c>
      <c r="P1591" t="s">
        <v>153</v>
      </c>
      <c r="Q1591" s="1" t="s">
        <v>164</v>
      </c>
      <c r="R1591" t="str">
        <f>Table11[[#This Row],[Match]]&amp;" "&amp;Table11[[#This Row],[Over]]</f>
        <v>25 30</v>
      </c>
    </row>
    <row r="1592" spans="1:18" x14ac:dyDescent="0.3">
      <c r="A1592">
        <v>25</v>
      </c>
      <c r="B1592" s="1">
        <v>31</v>
      </c>
      <c r="C1592" s="1" t="s">
        <v>3716</v>
      </c>
      <c r="D1592" s="1" t="s">
        <v>947</v>
      </c>
      <c r="E1592" s="1" t="s">
        <v>2279</v>
      </c>
      <c r="F1592" s="1" t="s">
        <v>970</v>
      </c>
      <c r="G1592" s="1" t="s">
        <v>1527</v>
      </c>
      <c r="H1592" s="1" t="s">
        <v>904</v>
      </c>
      <c r="I1592" s="1" t="s">
        <v>3084</v>
      </c>
      <c r="J1592" s="1" t="s">
        <v>939</v>
      </c>
      <c r="K1592" s="1" t="s">
        <v>2320</v>
      </c>
      <c r="L1592" s="1" t="s">
        <v>996</v>
      </c>
      <c r="M1592" s="1" t="s">
        <v>1121</v>
      </c>
      <c r="N1592">
        <f>_xlfn.NUMBERVALUE(LEFT(Table11[[#This Row],[Score]],FIND("/",Table11[[#This Row],[Score]])-1))</f>
        <v>157</v>
      </c>
      <c r="O1592">
        <f>IFERROR(_xlfn.NUMBERVALUE(LEFT(Table11[[#This Row],[Score2 ]],FIND("/",Table11[[#This Row],[Score2 ]])-1)),"")</f>
        <v>112</v>
      </c>
      <c r="P1592" t="s">
        <v>153</v>
      </c>
      <c r="Q1592" s="1" t="s">
        <v>164</v>
      </c>
      <c r="R1592" t="str">
        <f>Table11[[#This Row],[Match]]&amp;" "&amp;Table11[[#This Row],[Over]]</f>
        <v>25 31</v>
      </c>
    </row>
    <row r="1593" spans="1:18" x14ac:dyDescent="0.3">
      <c r="A1593">
        <v>25</v>
      </c>
      <c r="B1593" s="1">
        <v>32</v>
      </c>
      <c r="C1593" s="1" t="s">
        <v>3113</v>
      </c>
      <c r="D1593" s="1" t="s">
        <v>1095</v>
      </c>
      <c r="E1593" s="1" t="s">
        <v>2449</v>
      </c>
      <c r="F1593" s="1" t="s">
        <v>1116</v>
      </c>
      <c r="G1593" s="1" t="s">
        <v>2893</v>
      </c>
      <c r="H1593" s="1" t="s">
        <v>950</v>
      </c>
      <c r="I1593" s="1" t="s">
        <v>1897</v>
      </c>
      <c r="J1593" s="1" t="s">
        <v>939</v>
      </c>
      <c r="K1593" s="1" t="s">
        <v>3717</v>
      </c>
      <c r="L1593" s="1" t="s">
        <v>1464</v>
      </c>
      <c r="M1593" s="1" t="s">
        <v>1127</v>
      </c>
      <c r="N1593">
        <f>_xlfn.NUMBERVALUE(LEFT(Table11[[#This Row],[Score]],FIND("/",Table11[[#This Row],[Score]])-1))</f>
        <v>167</v>
      </c>
      <c r="O1593">
        <f>IFERROR(_xlfn.NUMBERVALUE(LEFT(Table11[[#This Row],[Score2 ]],FIND("/",Table11[[#This Row],[Score2 ]])-1)),"")</f>
        <v>117</v>
      </c>
      <c r="P1593" t="s">
        <v>153</v>
      </c>
      <c r="Q1593" s="1" t="s">
        <v>164</v>
      </c>
      <c r="R1593" t="str">
        <f>Table11[[#This Row],[Match]]&amp;" "&amp;Table11[[#This Row],[Over]]</f>
        <v>25 32</v>
      </c>
    </row>
    <row r="1594" spans="1:18" x14ac:dyDescent="0.3">
      <c r="A1594">
        <v>25</v>
      </c>
      <c r="B1594" s="1">
        <v>33</v>
      </c>
      <c r="C1594" s="1" t="s">
        <v>1114</v>
      </c>
      <c r="D1594" s="1" t="s">
        <v>904</v>
      </c>
      <c r="E1594" s="1" t="s">
        <v>1085</v>
      </c>
      <c r="F1594" s="1" t="s">
        <v>1116</v>
      </c>
      <c r="G1594" s="1" t="s">
        <v>1531</v>
      </c>
      <c r="H1594" s="1" t="s">
        <v>1095</v>
      </c>
      <c r="I1594" s="1" t="s">
        <v>1456</v>
      </c>
      <c r="J1594" s="1" t="s">
        <v>1093</v>
      </c>
      <c r="K1594" s="1" t="s">
        <v>3718</v>
      </c>
      <c r="L1594" s="1" t="s">
        <v>2010</v>
      </c>
      <c r="M1594" s="1" t="s">
        <v>1132</v>
      </c>
      <c r="N1594">
        <f>_xlfn.NUMBERVALUE(LEFT(Table11[[#This Row],[Score]],FIND("/",Table11[[#This Row],[Score]])-1))</f>
        <v>170</v>
      </c>
      <c r="O1594">
        <f>IFERROR(_xlfn.NUMBERVALUE(LEFT(Table11[[#This Row],[Score2 ]],FIND("/",Table11[[#This Row],[Score2 ]])-1)),"")</f>
        <v>127</v>
      </c>
      <c r="P1594" t="s">
        <v>153</v>
      </c>
      <c r="Q1594" s="1" t="s">
        <v>164</v>
      </c>
      <c r="R1594" t="str">
        <f>Table11[[#This Row],[Match]]&amp;" "&amp;Table11[[#This Row],[Over]]</f>
        <v>25 33</v>
      </c>
    </row>
    <row r="1595" spans="1:18" x14ac:dyDescent="0.3">
      <c r="A1595">
        <v>25</v>
      </c>
      <c r="B1595" s="1">
        <v>34</v>
      </c>
      <c r="C1595" s="1" t="s">
        <v>3227</v>
      </c>
      <c r="D1595" s="1" t="s">
        <v>950</v>
      </c>
      <c r="E1595" s="1" t="s">
        <v>1092</v>
      </c>
      <c r="F1595" s="1" t="s">
        <v>952</v>
      </c>
      <c r="G1595" s="1" t="s">
        <v>1530</v>
      </c>
      <c r="H1595" s="1" t="s">
        <v>968</v>
      </c>
      <c r="I1595" s="1" t="s">
        <v>1282</v>
      </c>
      <c r="J1595" s="1" t="s">
        <v>939</v>
      </c>
      <c r="K1595" s="1" t="s">
        <v>3719</v>
      </c>
      <c r="L1595" s="1" t="s">
        <v>2016</v>
      </c>
      <c r="M1595" s="1" t="s">
        <v>1138</v>
      </c>
      <c r="N1595">
        <f>_xlfn.NUMBERVALUE(LEFT(Table11[[#This Row],[Score]],FIND("/",Table11[[#This Row],[Score]])-1))</f>
        <v>175</v>
      </c>
      <c r="O1595">
        <f>IFERROR(_xlfn.NUMBERVALUE(LEFT(Table11[[#This Row],[Score2 ]],FIND("/",Table11[[#This Row],[Score2 ]])-1)),"")</f>
        <v>128</v>
      </c>
      <c r="P1595" t="s">
        <v>153</v>
      </c>
      <c r="Q1595" s="1" t="s">
        <v>164</v>
      </c>
      <c r="R1595" t="str">
        <f>Table11[[#This Row],[Match]]&amp;" "&amp;Table11[[#This Row],[Over]]</f>
        <v>25 34</v>
      </c>
    </row>
    <row r="1596" spans="1:18" x14ac:dyDescent="0.3">
      <c r="A1596">
        <v>25</v>
      </c>
      <c r="B1596" s="1">
        <v>35</v>
      </c>
      <c r="C1596" s="1" t="s">
        <v>2849</v>
      </c>
      <c r="D1596" s="1" t="s">
        <v>898</v>
      </c>
      <c r="E1596" s="1" t="s">
        <v>1365</v>
      </c>
      <c r="F1596" s="1" t="s">
        <v>1013</v>
      </c>
      <c r="G1596" s="1" t="s">
        <v>1534</v>
      </c>
      <c r="H1596" s="1" t="s">
        <v>904</v>
      </c>
      <c r="I1596" s="1" t="s">
        <v>2474</v>
      </c>
      <c r="J1596" s="1" t="s">
        <v>940</v>
      </c>
      <c r="K1596" s="1" t="s">
        <v>3720</v>
      </c>
      <c r="L1596" s="1" t="s">
        <v>1048</v>
      </c>
      <c r="M1596" s="1" t="s">
        <v>1143</v>
      </c>
      <c r="N1596">
        <f>_xlfn.NUMBERVALUE(LEFT(Table11[[#This Row],[Score]],FIND("/",Table11[[#This Row],[Score]])-1))</f>
        <v>177</v>
      </c>
      <c r="O1596">
        <f>IFERROR(_xlfn.NUMBERVALUE(LEFT(Table11[[#This Row],[Score2 ]],FIND("/",Table11[[#This Row],[Score2 ]])-1)),"")</f>
        <v>131</v>
      </c>
      <c r="P1596" t="s">
        <v>153</v>
      </c>
      <c r="Q1596" s="1" t="s">
        <v>164</v>
      </c>
      <c r="R1596" t="str">
        <f>Table11[[#This Row],[Match]]&amp;" "&amp;Table11[[#This Row],[Over]]</f>
        <v>25 35</v>
      </c>
    </row>
    <row r="1597" spans="1:18" x14ac:dyDescent="0.3">
      <c r="A1597">
        <v>25</v>
      </c>
      <c r="B1597" s="1">
        <v>36</v>
      </c>
      <c r="C1597" s="1" t="s">
        <v>3721</v>
      </c>
      <c r="D1597" s="1" t="s">
        <v>922</v>
      </c>
      <c r="E1597" s="1" t="s">
        <v>1657</v>
      </c>
      <c r="F1597" s="1" t="s">
        <v>1029</v>
      </c>
      <c r="G1597" s="1" t="s">
        <v>1343</v>
      </c>
      <c r="H1597" s="1" t="s">
        <v>904</v>
      </c>
      <c r="I1597" s="1" t="s">
        <v>1493</v>
      </c>
      <c r="J1597" s="1" t="s">
        <v>940</v>
      </c>
      <c r="K1597" s="1" t="s">
        <v>3722</v>
      </c>
      <c r="L1597" s="1" t="s">
        <v>2458</v>
      </c>
      <c r="M1597" s="1" t="s">
        <v>1150</v>
      </c>
      <c r="N1597">
        <f>_xlfn.NUMBERVALUE(LEFT(Table11[[#This Row],[Score]],FIND("/",Table11[[#This Row],[Score]])-1))</f>
        <v>183</v>
      </c>
      <c r="O1597">
        <f>IFERROR(_xlfn.NUMBERVALUE(LEFT(Table11[[#This Row],[Score2 ]],FIND("/",Table11[[#This Row],[Score2 ]])-1)),"")</f>
        <v>134</v>
      </c>
      <c r="P1597" t="s">
        <v>153</v>
      </c>
      <c r="Q1597" s="1" t="s">
        <v>164</v>
      </c>
      <c r="R1597" t="str">
        <f>Table11[[#This Row],[Match]]&amp;" "&amp;Table11[[#This Row],[Over]]</f>
        <v>25 36</v>
      </c>
    </row>
    <row r="1598" spans="1:18" x14ac:dyDescent="0.3">
      <c r="A1598">
        <v>25</v>
      </c>
      <c r="B1598" s="1">
        <v>37</v>
      </c>
      <c r="C1598" s="1" t="s">
        <v>3723</v>
      </c>
      <c r="D1598" s="1" t="s">
        <v>1095</v>
      </c>
      <c r="E1598" s="1" t="s">
        <v>2449</v>
      </c>
      <c r="F1598" s="1" t="s">
        <v>1029</v>
      </c>
      <c r="G1598" s="1" t="s">
        <v>2141</v>
      </c>
      <c r="H1598" s="1" t="s">
        <v>898</v>
      </c>
      <c r="I1598" s="1" t="s">
        <v>2030</v>
      </c>
      <c r="J1598" s="1" t="s">
        <v>990</v>
      </c>
      <c r="K1598" s="1" t="s">
        <v>3724</v>
      </c>
      <c r="L1598" s="1" t="s">
        <v>1024</v>
      </c>
      <c r="M1598" s="1" t="s">
        <v>1156</v>
      </c>
      <c r="N1598">
        <f>_xlfn.NUMBERVALUE(LEFT(Table11[[#This Row],[Score]],FIND("/",Table11[[#This Row],[Score]])-1))</f>
        <v>193</v>
      </c>
      <c r="O1598">
        <f>IFERROR(_xlfn.NUMBERVALUE(LEFT(Table11[[#This Row],[Score2 ]],FIND("/",Table11[[#This Row],[Score2 ]])-1)),"")</f>
        <v>136</v>
      </c>
      <c r="P1598" t="s">
        <v>153</v>
      </c>
      <c r="Q1598" s="1" t="s">
        <v>164</v>
      </c>
      <c r="R1598" t="str">
        <f>Table11[[#This Row],[Match]]&amp;" "&amp;Table11[[#This Row],[Over]]</f>
        <v>25 37</v>
      </c>
    </row>
    <row r="1599" spans="1:18" x14ac:dyDescent="0.3">
      <c r="A1599">
        <v>25</v>
      </c>
      <c r="B1599" s="1">
        <v>38</v>
      </c>
      <c r="C1599" s="1" t="s">
        <v>3725</v>
      </c>
      <c r="D1599" s="1" t="s">
        <v>904</v>
      </c>
      <c r="E1599" s="1" t="s">
        <v>1085</v>
      </c>
      <c r="F1599" s="1" t="s">
        <v>1029</v>
      </c>
      <c r="G1599" s="1" t="s">
        <v>3726</v>
      </c>
      <c r="H1599" s="1" t="s">
        <v>998</v>
      </c>
      <c r="I1599" s="1" t="s">
        <v>1861</v>
      </c>
      <c r="J1599" s="1" t="s">
        <v>984</v>
      </c>
      <c r="K1599" s="1" t="s">
        <v>3727</v>
      </c>
      <c r="L1599" s="1" t="s">
        <v>1069</v>
      </c>
      <c r="M1599" s="1" t="s">
        <v>1164</v>
      </c>
      <c r="N1599">
        <f>_xlfn.NUMBERVALUE(LEFT(Table11[[#This Row],[Score]],FIND("/",Table11[[#This Row],[Score]])-1))</f>
        <v>196</v>
      </c>
      <c r="O1599">
        <f>IFERROR(_xlfn.NUMBERVALUE(LEFT(Table11[[#This Row],[Score2 ]],FIND("/",Table11[[#This Row],[Score2 ]])-1)),"")</f>
        <v>140</v>
      </c>
      <c r="P1599" t="s">
        <v>153</v>
      </c>
      <c r="Q1599" s="1" t="s">
        <v>164</v>
      </c>
      <c r="R1599" t="str">
        <f>Table11[[#This Row],[Match]]&amp;" "&amp;Table11[[#This Row],[Over]]</f>
        <v>25 38</v>
      </c>
    </row>
    <row r="1600" spans="1:18" x14ac:dyDescent="0.3">
      <c r="A1600">
        <v>25</v>
      </c>
      <c r="B1600" s="1">
        <v>39</v>
      </c>
      <c r="C1600" s="1" t="s">
        <v>3728</v>
      </c>
      <c r="D1600" s="1" t="s">
        <v>1390</v>
      </c>
      <c r="E1600" s="1" t="s">
        <v>2123</v>
      </c>
      <c r="F1600" s="1" t="s">
        <v>1053</v>
      </c>
      <c r="G1600" s="1" t="s">
        <v>3729</v>
      </c>
      <c r="H1600" s="1" t="s">
        <v>898</v>
      </c>
      <c r="I1600" s="1" t="s">
        <v>1873</v>
      </c>
      <c r="J1600" s="1" t="s">
        <v>993</v>
      </c>
      <c r="K1600" s="1" t="s">
        <v>2190</v>
      </c>
      <c r="L1600" s="1" t="s">
        <v>1031</v>
      </c>
      <c r="M1600" s="1" t="s">
        <v>1171</v>
      </c>
      <c r="N1600">
        <f>_xlfn.NUMBERVALUE(LEFT(Table11[[#This Row],[Score]],FIND("/",Table11[[#This Row],[Score]])-1))</f>
        <v>209</v>
      </c>
      <c r="O1600">
        <f>IFERROR(_xlfn.NUMBERVALUE(LEFT(Table11[[#This Row],[Score2 ]],FIND("/",Table11[[#This Row],[Score2 ]])-1)),"")</f>
        <v>142</v>
      </c>
      <c r="P1600" t="s">
        <v>153</v>
      </c>
      <c r="Q1600" s="1" t="s">
        <v>164</v>
      </c>
      <c r="R1600" t="str">
        <f>Table11[[#This Row],[Match]]&amp;" "&amp;Table11[[#This Row],[Over]]</f>
        <v>25 39</v>
      </c>
    </row>
    <row r="1601" spans="1:18" x14ac:dyDescent="0.3">
      <c r="A1601">
        <v>25</v>
      </c>
      <c r="B1601" s="1">
        <v>40</v>
      </c>
      <c r="C1601" s="1" t="s">
        <v>3730</v>
      </c>
      <c r="D1601" s="1" t="s">
        <v>922</v>
      </c>
      <c r="E1601" s="1" t="s">
        <v>1104</v>
      </c>
      <c r="F1601" s="1" t="s">
        <v>1508</v>
      </c>
      <c r="G1601" s="1" t="s">
        <v>3731</v>
      </c>
      <c r="H1601" s="1" t="s">
        <v>904</v>
      </c>
      <c r="I1601" s="1" t="s">
        <v>1258</v>
      </c>
      <c r="J1601" s="1" t="s">
        <v>993</v>
      </c>
      <c r="K1601" s="1" t="s">
        <v>3055</v>
      </c>
      <c r="L1601" s="1" t="s">
        <v>1323</v>
      </c>
      <c r="M1601" s="1" t="s">
        <v>1177</v>
      </c>
      <c r="N1601">
        <f>_xlfn.NUMBERVALUE(LEFT(Table11[[#This Row],[Score]],FIND("/",Table11[[#This Row],[Score]])-1))</f>
        <v>215</v>
      </c>
      <c r="O1601">
        <f>IFERROR(_xlfn.NUMBERVALUE(LEFT(Table11[[#This Row],[Score2 ]],FIND("/",Table11[[#This Row],[Score2 ]])-1)),"")</f>
        <v>145</v>
      </c>
      <c r="P1601" t="s">
        <v>153</v>
      </c>
      <c r="Q1601" s="1" t="s">
        <v>164</v>
      </c>
      <c r="R1601" t="str">
        <f>Table11[[#This Row],[Match]]&amp;" "&amp;Table11[[#This Row],[Over]]</f>
        <v>25 40</v>
      </c>
    </row>
    <row r="1602" spans="1:18" x14ac:dyDescent="0.3">
      <c r="A1602">
        <v>25</v>
      </c>
      <c r="B1602" s="1">
        <v>41</v>
      </c>
      <c r="C1602" s="1" t="s">
        <v>3732</v>
      </c>
      <c r="D1602" s="1" t="s">
        <v>922</v>
      </c>
      <c r="E1602" s="1" t="s">
        <v>2298</v>
      </c>
      <c r="F1602" s="1" t="s">
        <v>1508</v>
      </c>
      <c r="G1602" s="1" t="s">
        <v>3731</v>
      </c>
      <c r="H1602" s="1" t="s">
        <v>1007</v>
      </c>
      <c r="I1602" s="1" t="s">
        <v>2482</v>
      </c>
      <c r="J1602" s="1" t="s">
        <v>1383</v>
      </c>
      <c r="K1602" s="1" t="s">
        <v>3733</v>
      </c>
      <c r="L1602" s="1" t="s">
        <v>1323</v>
      </c>
      <c r="M1602" s="1" t="s">
        <v>1183</v>
      </c>
      <c r="N1602">
        <f>_xlfn.NUMBERVALUE(LEFT(Table11[[#This Row],[Score]],FIND("/",Table11[[#This Row],[Score]])-1))</f>
        <v>221</v>
      </c>
      <c r="O1602">
        <f>IFERROR(_xlfn.NUMBERVALUE(LEFT(Table11[[#This Row],[Score2 ]],FIND("/",Table11[[#This Row],[Score2 ]])-1)),"")</f>
        <v>145</v>
      </c>
      <c r="P1602" t="s">
        <v>153</v>
      </c>
      <c r="Q1602" s="1" t="s">
        <v>164</v>
      </c>
      <c r="R1602" t="str">
        <f>Table11[[#This Row],[Match]]&amp;" "&amp;Table11[[#This Row],[Over]]</f>
        <v>25 41</v>
      </c>
    </row>
    <row r="1603" spans="1:18" x14ac:dyDescent="0.3">
      <c r="A1603">
        <v>25</v>
      </c>
      <c r="B1603" s="1">
        <v>42</v>
      </c>
      <c r="C1603" s="1" t="s">
        <v>3734</v>
      </c>
      <c r="D1603" s="1" t="s">
        <v>1566</v>
      </c>
      <c r="E1603" s="1" t="s">
        <v>942</v>
      </c>
      <c r="F1603" s="1" t="s">
        <v>1161</v>
      </c>
      <c r="G1603" s="1" t="s">
        <v>3647</v>
      </c>
      <c r="H1603" s="1" t="s">
        <v>950</v>
      </c>
      <c r="I1603" s="1" t="s">
        <v>1887</v>
      </c>
      <c r="J1603" s="1" t="s">
        <v>993</v>
      </c>
      <c r="K1603" s="1" t="s">
        <v>3735</v>
      </c>
      <c r="L1603" s="1" t="s">
        <v>1509</v>
      </c>
      <c r="M1603" s="1" t="s">
        <v>1190</v>
      </c>
      <c r="N1603">
        <f>_xlfn.NUMBERVALUE(LEFT(Table11[[#This Row],[Score]],FIND("/",Table11[[#This Row],[Score]])-1))</f>
        <v>238</v>
      </c>
      <c r="O1603">
        <f>IFERROR(_xlfn.NUMBERVALUE(LEFT(Table11[[#This Row],[Score2 ]],FIND("/",Table11[[#This Row],[Score2 ]])-1)),"")</f>
        <v>150</v>
      </c>
      <c r="P1603" t="s">
        <v>153</v>
      </c>
      <c r="Q1603" s="1" t="s">
        <v>164</v>
      </c>
      <c r="R1603" t="str">
        <f>Table11[[#This Row],[Match]]&amp;" "&amp;Table11[[#This Row],[Over]]</f>
        <v>25 42</v>
      </c>
    </row>
    <row r="1604" spans="1:18" x14ac:dyDescent="0.3">
      <c r="A1604">
        <v>25</v>
      </c>
      <c r="B1604" s="1">
        <v>43</v>
      </c>
      <c r="C1604" s="1" t="s">
        <v>3267</v>
      </c>
      <c r="D1604" s="1" t="s">
        <v>1390</v>
      </c>
      <c r="E1604" s="1" t="s">
        <v>1404</v>
      </c>
      <c r="F1604" s="1" t="s">
        <v>1213</v>
      </c>
      <c r="G1604" s="1" t="s">
        <v>1934</v>
      </c>
      <c r="H1604" s="1" t="s">
        <v>904</v>
      </c>
      <c r="I1604" s="1" t="s">
        <v>1263</v>
      </c>
      <c r="J1604" s="1" t="s">
        <v>984</v>
      </c>
      <c r="K1604" s="1" t="s">
        <v>3736</v>
      </c>
      <c r="L1604" s="1" t="s">
        <v>1332</v>
      </c>
      <c r="M1604" s="1" t="s">
        <v>1197</v>
      </c>
      <c r="N1604">
        <f>_xlfn.NUMBERVALUE(LEFT(Table11[[#This Row],[Score]],FIND("/",Table11[[#This Row],[Score]])-1))</f>
        <v>251</v>
      </c>
      <c r="O1604">
        <f>IFERROR(_xlfn.NUMBERVALUE(LEFT(Table11[[#This Row],[Score2 ]],FIND("/",Table11[[#This Row],[Score2 ]])-1)),"")</f>
        <v>153</v>
      </c>
      <c r="P1604" t="s">
        <v>153</v>
      </c>
      <c r="Q1604" s="1" t="s">
        <v>164</v>
      </c>
      <c r="R1604" t="str">
        <f>Table11[[#This Row],[Match]]&amp;" "&amp;Table11[[#This Row],[Over]]</f>
        <v>25 43</v>
      </c>
    </row>
    <row r="1605" spans="1:18" x14ac:dyDescent="0.3">
      <c r="A1605">
        <v>25</v>
      </c>
      <c r="B1605" s="1">
        <v>44</v>
      </c>
      <c r="C1605" s="1" t="s">
        <v>3737</v>
      </c>
      <c r="D1605" s="1" t="s">
        <v>947</v>
      </c>
      <c r="E1605" s="1" t="s">
        <v>1407</v>
      </c>
      <c r="F1605" s="1" t="s">
        <v>1746</v>
      </c>
      <c r="G1605" s="1" t="s">
        <v>3738</v>
      </c>
      <c r="H1605" s="1" t="s">
        <v>916</v>
      </c>
      <c r="I1605" s="1" t="s">
        <v>2656</v>
      </c>
      <c r="J1605" s="1" t="s">
        <v>977</v>
      </c>
      <c r="K1605" s="1" t="s">
        <v>3739</v>
      </c>
      <c r="L1605" s="1" t="s">
        <v>1049</v>
      </c>
      <c r="M1605" s="1" t="s">
        <v>1205</v>
      </c>
      <c r="N1605">
        <f>_xlfn.NUMBERVALUE(LEFT(Table11[[#This Row],[Score]],FIND("/",Table11[[#This Row],[Score]])-1))</f>
        <v>260</v>
      </c>
      <c r="O1605">
        <f>IFERROR(_xlfn.NUMBERVALUE(LEFT(Table11[[#This Row],[Score2 ]],FIND("/",Table11[[#This Row],[Score2 ]])-1)),"")</f>
        <v>160</v>
      </c>
      <c r="P1605" t="s">
        <v>153</v>
      </c>
      <c r="Q1605" s="1" t="s">
        <v>164</v>
      </c>
      <c r="R1605" t="str">
        <f>Table11[[#This Row],[Match]]&amp;" "&amp;Table11[[#This Row],[Over]]</f>
        <v>25 44</v>
      </c>
    </row>
    <row r="1606" spans="1:18" x14ac:dyDescent="0.3">
      <c r="A1606">
        <v>25</v>
      </c>
      <c r="B1606" s="1">
        <v>45</v>
      </c>
      <c r="C1606" s="1" t="s">
        <v>3740</v>
      </c>
      <c r="D1606" s="1" t="s">
        <v>930</v>
      </c>
      <c r="E1606" s="1" t="s">
        <v>1428</v>
      </c>
      <c r="F1606" s="1" t="s">
        <v>1568</v>
      </c>
      <c r="G1606" s="1" t="s">
        <v>1941</v>
      </c>
      <c r="H1606" s="1" t="s">
        <v>998</v>
      </c>
      <c r="I1606" s="1" t="s">
        <v>1873</v>
      </c>
      <c r="J1606" s="1" t="s">
        <v>990</v>
      </c>
      <c r="K1606" s="1" t="s">
        <v>3741</v>
      </c>
      <c r="L1606" s="1" t="s">
        <v>1529</v>
      </c>
      <c r="M1606" s="1" t="s">
        <v>1211</v>
      </c>
      <c r="N1606">
        <f>_xlfn.NUMBERVALUE(LEFT(Table11[[#This Row],[Score]],FIND("/",Table11[[#This Row],[Score]])-1))</f>
        <v>268</v>
      </c>
      <c r="O1606">
        <f>IFERROR(_xlfn.NUMBERVALUE(LEFT(Table11[[#This Row],[Score2 ]],FIND("/",Table11[[#This Row],[Score2 ]])-1)),"")</f>
        <v>164</v>
      </c>
      <c r="P1606" t="s">
        <v>153</v>
      </c>
      <c r="Q1606" s="1" t="s">
        <v>164</v>
      </c>
      <c r="R1606" t="str">
        <f>Table11[[#This Row],[Match]]&amp;" "&amp;Table11[[#This Row],[Over]]</f>
        <v>25 45</v>
      </c>
    </row>
    <row r="1607" spans="1:18" x14ac:dyDescent="0.3">
      <c r="A1607">
        <v>25</v>
      </c>
      <c r="B1607" s="1">
        <v>46</v>
      </c>
      <c r="C1607" s="1" t="s">
        <v>3742</v>
      </c>
      <c r="D1607" s="1" t="s">
        <v>1511</v>
      </c>
      <c r="E1607" s="1" t="s">
        <v>918</v>
      </c>
      <c r="F1607" s="1" t="s">
        <v>2322</v>
      </c>
      <c r="G1607" s="1" t="s">
        <v>1958</v>
      </c>
      <c r="H1607" s="1" t="s">
        <v>1692</v>
      </c>
      <c r="I1607" s="1" t="s">
        <v>3322</v>
      </c>
      <c r="J1607" s="1" t="s">
        <v>1089</v>
      </c>
      <c r="K1607" s="1" t="s">
        <v>3743</v>
      </c>
      <c r="L1607" s="1" t="s">
        <v>1368</v>
      </c>
      <c r="M1607" s="1" t="s">
        <v>1216</v>
      </c>
      <c r="N1607">
        <f>_xlfn.NUMBERVALUE(LEFT(Table11[[#This Row],[Score]],FIND("/",Table11[[#This Row],[Score]])-1))</f>
        <v>284</v>
      </c>
      <c r="O1607">
        <f>IFERROR(_xlfn.NUMBERVALUE(LEFT(Table11[[#This Row],[Score2 ]],FIND("/",Table11[[#This Row],[Score2 ]])-1)),"")</f>
        <v>185</v>
      </c>
      <c r="P1607" t="s">
        <v>153</v>
      </c>
      <c r="Q1607" s="1" t="s">
        <v>164</v>
      </c>
      <c r="R1607" t="str">
        <f>Table11[[#This Row],[Match]]&amp;" "&amp;Table11[[#This Row],[Over]]</f>
        <v>25 46</v>
      </c>
    </row>
    <row r="1608" spans="1:18" x14ac:dyDescent="0.3">
      <c r="A1608">
        <v>25</v>
      </c>
      <c r="B1608" s="1">
        <v>47</v>
      </c>
      <c r="C1608" s="1" t="s">
        <v>3744</v>
      </c>
      <c r="D1608" s="1" t="s">
        <v>1684</v>
      </c>
      <c r="E1608" s="1" t="s">
        <v>1469</v>
      </c>
      <c r="F1608" s="1" t="s">
        <v>3246</v>
      </c>
      <c r="G1608" s="1" t="s">
        <v>2163</v>
      </c>
      <c r="H1608" s="1" t="s">
        <v>898</v>
      </c>
      <c r="I1608" s="1" t="s">
        <v>2043</v>
      </c>
      <c r="J1608" s="1" t="s">
        <v>1068</v>
      </c>
      <c r="K1608" s="1" t="s">
        <v>3745</v>
      </c>
      <c r="L1608" s="1" t="s">
        <v>1763</v>
      </c>
      <c r="M1608" s="1" t="s">
        <v>1223</v>
      </c>
      <c r="N1608">
        <f>_xlfn.NUMBERVALUE(LEFT(Table11[[#This Row],[Score]],FIND("/",Table11[[#This Row],[Score]])-1))</f>
        <v>303</v>
      </c>
      <c r="O1608">
        <f>IFERROR(_xlfn.NUMBERVALUE(LEFT(Table11[[#This Row],[Score2 ]],FIND("/",Table11[[#This Row],[Score2 ]])-1)),"")</f>
        <v>187</v>
      </c>
      <c r="P1608" t="s">
        <v>153</v>
      </c>
      <c r="Q1608" s="1" t="s">
        <v>164</v>
      </c>
      <c r="R1608" t="str">
        <f>Table11[[#This Row],[Match]]&amp;" "&amp;Table11[[#This Row],[Over]]</f>
        <v>25 47</v>
      </c>
    </row>
    <row r="1609" spans="1:18" x14ac:dyDescent="0.3">
      <c r="A1609">
        <v>25</v>
      </c>
      <c r="B1609" s="1">
        <v>48</v>
      </c>
      <c r="C1609" s="1" t="s">
        <v>3237</v>
      </c>
      <c r="D1609" s="1" t="s">
        <v>922</v>
      </c>
      <c r="E1609" s="1" t="s">
        <v>1244</v>
      </c>
      <c r="F1609" s="1" t="s">
        <v>1591</v>
      </c>
      <c r="G1609" s="1" t="s">
        <v>3746</v>
      </c>
      <c r="H1609" s="1" t="s">
        <v>1051</v>
      </c>
      <c r="I1609" s="1" t="s">
        <v>2897</v>
      </c>
      <c r="J1609" s="1" t="s">
        <v>1161</v>
      </c>
      <c r="K1609" s="1" t="s">
        <v>3747</v>
      </c>
      <c r="L1609" s="1" t="s">
        <v>1864</v>
      </c>
      <c r="M1609" s="1" t="s">
        <v>1103</v>
      </c>
      <c r="N1609">
        <f>_xlfn.NUMBERVALUE(LEFT(Table11[[#This Row],[Score]],FIND("/",Table11[[#This Row],[Score]])-1))</f>
        <v>309</v>
      </c>
      <c r="O1609">
        <f>IFERROR(_xlfn.NUMBERVALUE(LEFT(Table11[[#This Row],[Score2 ]],FIND("/",Table11[[#This Row],[Score2 ]])-1)),"")</f>
        <v>198</v>
      </c>
      <c r="P1609" t="s">
        <v>153</v>
      </c>
      <c r="Q1609" s="1" t="s">
        <v>164</v>
      </c>
      <c r="R1609" t="str">
        <f>Table11[[#This Row],[Match]]&amp;" "&amp;Table11[[#This Row],[Over]]</f>
        <v>25 48</v>
      </c>
    </row>
    <row r="1610" spans="1:18" x14ac:dyDescent="0.3">
      <c r="A1610">
        <v>25</v>
      </c>
      <c r="B1610" s="1">
        <v>49</v>
      </c>
      <c r="C1610" s="1" t="s">
        <v>3748</v>
      </c>
      <c r="D1610" s="1" t="s">
        <v>1095</v>
      </c>
      <c r="E1610" s="1" t="s">
        <v>985</v>
      </c>
      <c r="F1610" s="1" t="s">
        <v>2205</v>
      </c>
      <c r="G1610" s="1" t="s">
        <v>2910</v>
      </c>
      <c r="H1610" s="1" t="s">
        <v>930</v>
      </c>
      <c r="I1610" s="1" t="s">
        <v>931</v>
      </c>
      <c r="J1610" s="1" t="s">
        <v>1200</v>
      </c>
      <c r="K1610" s="1" t="s">
        <v>3749</v>
      </c>
      <c r="L1610" s="1" t="s">
        <v>1868</v>
      </c>
      <c r="M1610" s="1" t="s">
        <v>922</v>
      </c>
      <c r="N1610">
        <f>_xlfn.NUMBERVALUE(LEFT(Table11[[#This Row],[Score]],FIND("/",Table11[[#This Row],[Score]])-1))</f>
        <v>319</v>
      </c>
      <c r="O1610">
        <f>IFERROR(_xlfn.NUMBERVALUE(LEFT(Table11[[#This Row],[Score2 ]],FIND("/",Table11[[#This Row],[Score2 ]])-1)),"")</f>
        <v>206</v>
      </c>
      <c r="P1610" t="s">
        <v>153</v>
      </c>
      <c r="Q1610" s="1" t="s">
        <v>164</v>
      </c>
      <c r="R1610" t="str">
        <f>Table11[[#This Row],[Match]]&amp;" "&amp;Table11[[#This Row],[Over]]</f>
        <v>25 49</v>
      </c>
    </row>
    <row r="1611" spans="1:18" x14ac:dyDescent="0.3">
      <c r="A1611">
        <v>25</v>
      </c>
      <c r="B1611" s="1">
        <v>50</v>
      </c>
      <c r="C1611" s="1" t="s">
        <v>3750</v>
      </c>
      <c r="D1611" s="1" t="s">
        <v>1670</v>
      </c>
      <c r="E1611" s="1" t="s">
        <v>1266</v>
      </c>
      <c r="F1611" s="1" t="s">
        <v>3249</v>
      </c>
      <c r="G1611" s="1" t="s">
        <v>3751</v>
      </c>
      <c r="H1611" s="1" t="s">
        <v>998</v>
      </c>
      <c r="I1611" s="1" t="s">
        <v>931</v>
      </c>
      <c r="J1611" s="1" t="s">
        <v>1200</v>
      </c>
      <c r="K1611" s="1" t="s">
        <v>348</v>
      </c>
      <c r="L1611" s="1" t="s">
        <v>1550</v>
      </c>
      <c r="M1611" s="1" t="s">
        <v>1007</v>
      </c>
      <c r="N1611">
        <f>_xlfn.NUMBERVALUE(LEFT(Table11[[#This Row],[Score]],FIND("/",Table11[[#This Row],[Score]])-1))</f>
        <v>339</v>
      </c>
      <c r="O1611">
        <f>IFERROR(_xlfn.NUMBERVALUE(LEFT(Table11[[#This Row],[Score2 ]],FIND("/",Table11[[#This Row],[Score2 ]])-1)),"")</f>
        <v>210</v>
      </c>
      <c r="P1611" t="s">
        <v>153</v>
      </c>
      <c r="Q1611" s="1" t="s">
        <v>164</v>
      </c>
      <c r="R1611" t="str">
        <f>Table11[[#This Row],[Match]]&amp;" "&amp;Table11[[#This Row],[Over]]</f>
        <v>25 50</v>
      </c>
    </row>
    <row r="1612" spans="1:18" x14ac:dyDescent="0.3">
      <c r="A1612">
        <v>26</v>
      </c>
      <c r="B1612" s="1">
        <v>1</v>
      </c>
      <c r="C1612" s="1" t="s">
        <v>906</v>
      </c>
      <c r="D1612" s="1" t="s">
        <v>998</v>
      </c>
      <c r="E1612" s="1" t="s">
        <v>939</v>
      </c>
      <c r="F1612" s="1" t="s">
        <v>348</v>
      </c>
      <c r="G1612" s="1" t="s">
        <v>913</v>
      </c>
      <c r="H1612" s="1" t="s">
        <v>916</v>
      </c>
      <c r="I1612" s="1" t="s">
        <v>952</v>
      </c>
      <c r="J1612" s="1" t="s">
        <v>348</v>
      </c>
      <c r="K1612" s="1" t="s">
        <v>1528</v>
      </c>
      <c r="L1612" s="1" t="s">
        <v>3752</v>
      </c>
      <c r="M1612" s="1" t="s">
        <v>902</v>
      </c>
      <c r="N1612">
        <f>_xlfn.NUMBERVALUE(LEFT(Table11[[#This Row],[Score]],FIND("/",Table11[[#This Row],[Score]])-1))</f>
        <v>4</v>
      </c>
      <c r="O1612">
        <f>IFERROR(_xlfn.NUMBERVALUE(LEFT(Table11[[#This Row],[Score2 ]],FIND("/",Table11[[#This Row],[Score2 ]])-1)),"")</f>
        <v>7</v>
      </c>
      <c r="P1612" t="s">
        <v>149</v>
      </c>
      <c r="Q1612" s="1" t="s">
        <v>185</v>
      </c>
      <c r="R1612" t="str">
        <f>Table11[[#This Row],[Match]]&amp;" "&amp;Table11[[#This Row],[Over]]</f>
        <v>26 1</v>
      </c>
    </row>
    <row r="1613" spans="1:18" x14ac:dyDescent="0.3">
      <c r="A1613">
        <v>26</v>
      </c>
      <c r="B1613" s="1">
        <v>2</v>
      </c>
      <c r="C1613" s="1" t="s">
        <v>2689</v>
      </c>
      <c r="D1613" s="1" t="s">
        <v>1095</v>
      </c>
      <c r="E1613" s="1" t="s">
        <v>952</v>
      </c>
      <c r="F1613" s="1" t="s">
        <v>348</v>
      </c>
      <c r="G1613" s="1" t="s">
        <v>1721</v>
      </c>
      <c r="H1613" s="1" t="s">
        <v>968</v>
      </c>
      <c r="I1613" s="1" t="s">
        <v>939</v>
      </c>
      <c r="J1613" s="1" t="s">
        <v>348</v>
      </c>
      <c r="K1613" s="1" t="s">
        <v>3252</v>
      </c>
      <c r="L1613" s="1" t="s">
        <v>3753</v>
      </c>
      <c r="M1613" s="1" t="s">
        <v>909</v>
      </c>
      <c r="N1613">
        <f>_xlfn.NUMBERVALUE(LEFT(Table11[[#This Row],[Score]],FIND("/",Table11[[#This Row],[Score]])-1))</f>
        <v>14</v>
      </c>
      <c r="O1613">
        <f>IFERROR(_xlfn.NUMBERVALUE(LEFT(Table11[[#This Row],[Score2 ]],FIND("/",Table11[[#This Row],[Score2 ]])-1)),"")</f>
        <v>8</v>
      </c>
      <c r="P1613" t="s">
        <v>149</v>
      </c>
      <c r="Q1613" s="1" t="s">
        <v>185</v>
      </c>
      <c r="R1613" t="str">
        <f>Table11[[#This Row],[Match]]&amp;" "&amp;Table11[[#This Row],[Over]]</f>
        <v>26 2</v>
      </c>
    </row>
    <row r="1614" spans="1:18" x14ac:dyDescent="0.3">
      <c r="A1614">
        <v>26</v>
      </c>
      <c r="B1614" s="1">
        <v>3</v>
      </c>
      <c r="C1614" s="1" t="s">
        <v>924</v>
      </c>
      <c r="D1614" s="1" t="s">
        <v>1007</v>
      </c>
      <c r="E1614" s="1" t="s">
        <v>1975</v>
      </c>
      <c r="F1614" s="1" t="s">
        <v>348</v>
      </c>
      <c r="G1614" s="1" t="s">
        <v>1235</v>
      </c>
      <c r="H1614" s="1" t="s">
        <v>968</v>
      </c>
      <c r="I1614" s="1" t="s">
        <v>1238</v>
      </c>
      <c r="J1614" s="1" t="s">
        <v>348</v>
      </c>
      <c r="K1614" s="1" t="s">
        <v>3754</v>
      </c>
      <c r="L1614" s="1" t="s">
        <v>3755</v>
      </c>
      <c r="M1614" s="1" t="s">
        <v>920</v>
      </c>
      <c r="N1614">
        <f>_xlfn.NUMBERVALUE(LEFT(Table11[[#This Row],[Score]],FIND("/",Table11[[#This Row],[Score]])-1))</f>
        <v>14</v>
      </c>
      <c r="O1614">
        <f>IFERROR(_xlfn.NUMBERVALUE(LEFT(Table11[[#This Row],[Score2 ]],FIND("/",Table11[[#This Row],[Score2 ]])-1)),"")</f>
        <v>9</v>
      </c>
      <c r="P1614" t="s">
        <v>149</v>
      </c>
      <c r="Q1614" s="1" t="s">
        <v>185</v>
      </c>
      <c r="R1614" t="str">
        <f>Table11[[#This Row],[Match]]&amp;" "&amp;Table11[[#This Row],[Over]]</f>
        <v>26 3</v>
      </c>
    </row>
    <row r="1615" spans="1:18" x14ac:dyDescent="0.3">
      <c r="A1615">
        <v>26</v>
      </c>
      <c r="B1615" s="1">
        <v>4</v>
      </c>
      <c r="C1615" s="1" t="s">
        <v>1250</v>
      </c>
      <c r="D1615" s="1" t="s">
        <v>950</v>
      </c>
      <c r="E1615" s="1" t="s">
        <v>1319</v>
      </c>
      <c r="F1615" s="1" t="s">
        <v>348</v>
      </c>
      <c r="G1615" s="1" t="s">
        <v>1725</v>
      </c>
      <c r="H1615" s="1" t="s">
        <v>916</v>
      </c>
      <c r="I1615" s="1" t="s">
        <v>939</v>
      </c>
      <c r="J1615" s="1" t="s">
        <v>348</v>
      </c>
      <c r="K1615" s="1" t="s">
        <v>2024</v>
      </c>
      <c r="L1615" s="1" t="s">
        <v>3756</v>
      </c>
      <c r="M1615" s="1" t="s">
        <v>928</v>
      </c>
      <c r="N1615">
        <f>_xlfn.NUMBERVALUE(LEFT(Table11[[#This Row],[Score]],FIND("/",Table11[[#This Row],[Score]])-1))</f>
        <v>19</v>
      </c>
      <c r="O1615">
        <f>IFERROR(_xlfn.NUMBERVALUE(LEFT(Table11[[#This Row],[Score2 ]],FIND("/",Table11[[#This Row],[Score2 ]])-1)),"")</f>
        <v>16</v>
      </c>
      <c r="P1615" t="s">
        <v>149</v>
      </c>
      <c r="Q1615" s="1" t="s">
        <v>185</v>
      </c>
      <c r="R1615" t="str">
        <f>Table11[[#This Row],[Match]]&amp;" "&amp;Table11[[#This Row],[Over]]</f>
        <v>26 4</v>
      </c>
    </row>
    <row r="1616" spans="1:18" x14ac:dyDescent="0.3">
      <c r="A1616">
        <v>26</v>
      </c>
      <c r="B1616" s="1">
        <v>5</v>
      </c>
      <c r="C1616" s="1" t="s">
        <v>3150</v>
      </c>
      <c r="D1616" s="1" t="s">
        <v>998</v>
      </c>
      <c r="E1616" s="1" t="s">
        <v>976</v>
      </c>
      <c r="F1616" s="1" t="s">
        <v>976</v>
      </c>
      <c r="G1616" s="1" t="s">
        <v>1726</v>
      </c>
      <c r="H1616" s="1" t="s">
        <v>922</v>
      </c>
      <c r="I1616" s="1" t="s">
        <v>940</v>
      </c>
      <c r="J1616" s="1" t="s">
        <v>940</v>
      </c>
      <c r="K1616" s="1" t="s">
        <v>1154</v>
      </c>
      <c r="L1616" s="1" t="s">
        <v>3440</v>
      </c>
      <c r="M1616" s="1" t="s">
        <v>937</v>
      </c>
      <c r="N1616">
        <f>_xlfn.NUMBERVALUE(LEFT(Table11[[#This Row],[Score]],FIND("/",Table11[[#This Row],[Score]])-1))</f>
        <v>23</v>
      </c>
      <c r="O1616">
        <f>IFERROR(_xlfn.NUMBERVALUE(LEFT(Table11[[#This Row],[Score2 ]],FIND("/",Table11[[#This Row],[Score2 ]])-1)),"")</f>
        <v>22</v>
      </c>
      <c r="P1616" t="s">
        <v>149</v>
      </c>
      <c r="Q1616" s="1" t="s">
        <v>185</v>
      </c>
      <c r="R1616" t="str">
        <f>Table11[[#This Row],[Match]]&amp;" "&amp;Table11[[#This Row],[Over]]</f>
        <v>26 5</v>
      </c>
    </row>
    <row r="1617" spans="1:18" x14ac:dyDescent="0.3">
      <c r="A1617">
        <v>26</v>
      </c>
      <c r="B1617" s="1">
        <v>6</v>
      </c>
      <c r="C1617" s="1" t="s">
        <v>3149</v>
      </c>
      <c r="D1617" s="1" t="s">
        <v>968</v>
      </c>
      <c r="E1617" s="1" t="s">
        <v>939</v>
      </c>
      <c r="F1617" s="1" t="s">
        <v>939</v>
      </c>
      <c r="G1617" s="1" t="s">
        <v>1631</v>
      </c>
      <c r="H1617" s="1" t="s">
        <v>904</v>
      </c>
      <c r="I1617" s="1" t="s">
        <v>1632</v>
      </c>
      <c r="J1617" s="1" t="s">
        <v>977</v>
      </c>
      <c r="K1617" s="1" t="s">
        <v>3757</v>
      </c>
      <c r="L1617" s="1" t="s">
        <v>3442</v>
      </c>
      <c r="M1617" s="1" t="s">
        <v>945</v>
      </c>
      <c r="N1617">
        <f>_xlfn.NUMBERVALUE(LEFT(Table11[[#This Row],[Score]],FIND("/",Table11[[#This Row],[Score]])-1))</f>
        <v>24</v>
      </c>
      <c r="O1617">
        <f>IFERROR(_xlfn.NUMBERVALUE(LEFT(Table11[[#This Row],[Score2 ]],FIND("/",Table11[[#This Row],[Score2 ]])-1)),"")</f>
        <v>25</v>
      </c>
      <c r="P1617" t="s">
        <v>149</v>
      </c>
      <c r="Q1617" s="1" t="s">
        <v>185</v>
      </c>
      <c r="R1617" t="str">
        <f>Table11[[#This Row],[Match]]&amp;" "&amp;Table11[[#This Row],[Over]]</f>
        <v>26 6</v>
      </c>
    </row>
    <row r="1618" spans="1:18" x14ac:dyDescent="0.3">
      <c r="A1618">
        <v>26</v>
      </c>
      <c r="B1618" s="1">
        <v>7</v>
      </c>
      <c r="C1618" s="1" t="s">
        <v>1264</v>
      </c>
      <c r="D1618" s="1" t="s">
        <v>922</v>
      </c>
      <c r="E1618" s="1" t="s">
        <v>1124</v>
      </c>
      <c r="F1618" s="1" t="s">
        <v>1259</v>
      </c>
      <c r="G1618" s="1" t="s">
        <v>1264</v>
      </c>
      <c r="H1618" s="1" t="s">
        <v>950</v>
      </c>
      <c r="I1618" s="1" t="s">
        <v>1124</v>
      </c>
      <c r="J1618" s="1" t="s">
        <v>940</v>
      </c>
      <c r="K1618" s="1" t="s">
        <v>3613</v>
      </c>
      <c r="L1618" s="1" t="s">
        <v>3190</v>
      </c>
      <c r="M1618" s="1" t="s">
        <v>955</v>
      </c>
      <c r="N1618">
        <f>_xlfn.NUMBERVALUE(LEFT(Table11[[#This Row],[Score]],FIND("/",Table11[[#This Row],[Score]])-1))</f>
        <v>30</v>
      </c>
      <c r="O1618">
        <f>IFERROR(_xlfn.NUMBERVALUE(LEFT(Table11[[#This Row],[Score2 ]],FIND("/",Table11[[#This Row],[Score2 ]])-1)),"")</f>
        <v>30</v>
      </c>
      <c r="P1618" t="s">
        <v>149</v>
      </c>
      <c r="Q1618" s="1" t="s">
        <v>185</v>
      </c>
      <c r="R1618" t="str">
        <f>Table11[[#This Row],[Match]]&amp;" "&amp;Table11[[#This Row],[Over]]</f>
        <v>26 7</v>
      </c>
    </row>
    <row r="1619" spans="1:18" x14ac:dyDescent="0.3">
      <c r="A1619">
        <v>26</v>
      </c>
      <c r="B1619" s="1">
        <v>8</v>
      </c>
      <c r="C1619" s="1" t="s">
        <v>2216</v>
      </c>
      <c r="D1619" s="1" t="s">
        <v>1051</v>
      </c>
      <c r="E1619" s="1" t="s">
        <v>1567</v>
      </c>
      <c r="F1619" s="1" t="s">
        <v>966</v>
      </c>
      <c r="G1619" s="1" t="s">
        <v>1978</v>
      </c>
      <c r="H1619" s="1" t="s">
        <v>904</v>
      </c>
      <c r="I1619" s="1" t="s">
        <v>2897</v>
      </c>
      <c r="J1619" s="1" t="s">
        <v>1093</v>
      </c>
      <c r="K1619" s="1" t="s">
        <v>3512</v>
      </c>
      <c r="L1619" s="1" t="s">
        <v>3758</v>
      </c>
      <c r="M1619" s="1" t="s">
        <v>963</v>
      </c>
      <c r="N1619">
        <f>_xlfn.NUMBERVALUE(LEFT(Table11[[#This Row],[Score]],FIND("/",Table11[[#This Row],[Score]])-1))</f>
        <v>41</v>
      </c>
      <c r="O1619">
        <f>IFERROR(_xlfn.NUMBERVALUE(LEFT(Table11[[#This Row],[Score2 ]],FIND("/",Table11[[#This Row],[Score2 ]])-1)),"")</f>
        <v>33</v>
      </c>
      <c r="P1619" t="s">
        <v>149</v>
      </c>
      <c r="Q1619" s="1" t="s">
        <v>185</v>
      </c>
      <c r="R1619" t="str">
        <f>Table11[[#This Row],[Match]]&amp;" "&amp;Table11[[#This Row],[Over]]</f>
        <v>26 8</v>
      </c>
    </row>
    <row r="1620" spans="1:18" x14ac:dyDescent="0.3">
      <c r="A1620">
        <v>26</v>
      </c>
      <c r="B1620" s="1">
        <v>9</v>
      </c>
      <c r="C1620" s="1" t="s">
        <v>3759</v>
      </c>
      <c r="D1620" s="1" t="s">
        <v>1390</v>
      </c>
      <c r="E1620" s="1" t="s">
        <v>1019</v>
      </c>
      <c r="F1620" s="1" t="s">
        <v>952</v>
      </c>
      <c r="G1620" s="1" t="s">
        <v>2760</v>
      </c>
      <c r="H1620" s="1" t="s">
        <v>904</v>
      </c>
      <c r="I1620" s="1" t="s">
        <v>939</v>
      </c>
      <c r="J1620" s="1" t="s">
        <v>939</v>
      </c>
      <c r="K1620" s="1" t="s">
        <v>3760</v>
      </c>
      <c r="L1620" s="1" t="s">
        <v>3761</v>
      </c>
      <c r="M1620" s="1" t="s">
        <v>973</v>
      </c>
      <c r="N1620">
        <f>_xlfn.NUMBERVALUE(LEFT(Table11[[#This Row],[Score]],FIND("/",Table11[[#This Row],[Score]])-1))</f>
        <v>54</v>
      </c>
      <c r="O1620">
        <f>IFERROR(_xlfn.NUMBERVALUE(LEFT(Table11[[#This Row],[Score2 ]],FIND("/",Table11[[#This Row],[Score2 ]])-1)),"")</f>
        <v>36</v>
      </c>
      <c r="P1620" t="s">
        <v>149</v>
      </c>
      <c r="Q1620" s="1" t="s">
        <v>185</v>
      </c>
      <c r="R1620" t="str">
        <f>Table11[[#This Row],[Match]]&amp;" "&amp;Table11[[#This Row],[Over]]</f>
        <v>26 9</v>
      </c>
    </row>
    <row r="1621" spans="1:18" x14ac:dyDescent="0.3">
      <c r="A1621">
        <v>26</v>
      </c>
      <c r="B1621" s="1">
        <v>10</v>
      </c>
      <c r="C1621" s="1" t="s">
        <v>3310</v>
      </c>
      <c r="D1621" s="1" t="s">
        <v>933</v>
      </c>
      <c r="E1621" s="1" t="s">
        <v>1053</v>
      </c>
      <c r="F1621" s="1" t="s">
        <v>1161</v>
      </c>
      <c r="G1621" s="1" t="s">
        <v>1447</v>
      </c>
      <c r="H1621" s="1" t="s">
        <v>930</v>
      </c>
      <c r="I1621" s="1" t="s">
        <v>940</v>
      </c>
      <c r="J1621" s="1" t="s">
        <v>940</v>
      </c>
      <c r="K1621" s="1" t="s">
        <v>3762</v>
      </c>
      <c r="L1621" s="1" t="s">
        <v>3763</v>
      </c>
      <c r="M1621" s="1" t="s">
        <v>980</v>
      </c>
      <c r="N1621">
        <f>_xlfn.NUMBERVALUE(LEFT(Table11[[#This Row],[Score]],FIND("/",Table11[[#This Row],[Score]])-1))</f>
        <v>68</v>
      </c>
      <c r="O1621">
        <f>IFERROR(_xlfn.NUMBERVALUE(LEFT(Table11[[#This Row],[Score2 ]],FIND("/",Table11[[#This Row],[Score2 ]])-1)),"")</f>
        <v>44</v>
      </c>
      <c r="P1621" t="s">
        <v>149</v>
      </c>
      <c r="Q1621" s="1" t="s">
        <v>185</v>
      </c>
      <c r="R1621" t="str">
        <f>Table11[[#This Row],[Match]]&amp;" "&amp;Table11[[#This Row],[Over]]</f>
        <v>26 10</v>
      </c>
    </row>
    <row r="1622" spans="1:18" x14ac:dyDescent="0.3">
      <c r="A1622">
        <v>26</v>
      </c>
      <c r="B1622" s="1">
        <v>11</v>
      </c>
      <c r="C1622" s="1" t="s">
        <v>1296</v>
      </c>
      <c r="D1622" s="1" t="s">
        <v>898</v>
      </c>
      <c r="E1622" s="1" t="s">
        <v>2720</v>
      </c>
      <c r="F1622" s="1" t="s">
        <v>1200</v>
      </c>
      <c r="G1622" s="1" t="s">
        <v>1465</v>
      </c>
      <c r="H1622" s="1" t="s">
        <v>898</v>
      </c>
      <c r="I1622" s="1" t="s">
        <v>1292</v>
      </c>
      <c r="J1622" s="1" t="s">
        <v>931</v>
      </c>
      <c r="K1622" s="1" t="s">
        <v>3764</v>
      </c>
      <c r="L1622" s="1" t="s">
        <v>3447</v>
      </c>
      <c r="M1622" s="1" t="s">
        <v>987</v>
      </c>
      <c r="N1622">
        <f>_xlfn.NUMBERVALUE(LEFT(Table11[[#This Row],[Score]],FIND("/",Table11[[#This Row],[Score]])-1))</f>
        <v>70</v>
      </c>
      <c r="O1622">
        <f>IFERROR(_xlfn.NUMBERVALUE(LEFT(Table11[[#This Row],[Score2 ]],FIND("/",Table11[[#This Row],[Score2 ]])-1)),"")</f>
        <v>46</v>
      </c>
      <c r="P1622" t="s">
        <v>149</v>
      </c>
      <c r="Q1622" s="1" t="s">
        <v>185</v>
      </c>
      <c r="R1622" t="str">
        <f>Table11[[#This Row],[Match]]&amp;" "&amp;Table11[[#This Row],[Over]]</f>
        <v>26 11</v>
      </c>
    </row>
    <row r="1623" spans="1:18" x14ac:dyDescent="0.3">
      <c r="A1623">
        <v>26</v>
      </c>
      <c r="B1623" s="1">
        <v>12</v>
      </c>
      <c r="C1623" s="1" t="s">
        <v>1027</v>
      </c>
      <c r="D1623" s="1" t="s">
        <v>947</v>
      </c>
      <c r="E1623" s="1" t="s">
        <v>1988</v>
      </c>
      <c r="F1623" s="1" t="s">
        <v>1141</v>
      </c>
      <c r="G1623" s="1" t="s">
        <v>2618</v>
      </c>
      <c r="H1623" s="1" t="s">
        <v>898</v>
      </c>
      <c r="I1623" s="1" t="s">
        <v>939</v>
      </c>
      <c r="J1623" s="1" t="s">
        <v>977</v>
      </c>
      <c r="K1623" s="1" t="s">
        <v>3765</v>
      </c>
      <c r="L1623" s="1" t="s">
        <v>3614</v>
      </c>
      <c r="M1623" s="1" t="s">
        <v>996</v>
      </c>
      <c r="N1623">
        <f>_xlfn.NUMBERVALUE(LEFT(Table11[[#This Row],[Score]],FIND("/",Table11[[#This Row],[Score]])-1))</f>
        <v>79</v>
      </c>
      <c r="O1623">
        <f>IFERROR(_xlfn.NUMBERVALUE(LEFT(Table11[[#This Row],[Score2 ]],FIND("/",Table11[[#This Row],[Score2 ]])-1)),"")</f>
        <v>48</v>
      </c>
      <c r="P1623" t="s">
        <v>149</v>
      </c>
      <c r="Q1623" s="1" t="s">
        <v>185</v>
      </c>
      <c r="R1623" t="str">
        <f>Table11[[#This Row],[Match]]&amp;" "&amp;Table11[[#This Row],[Over]]</f>
        <v>26 12</v>
      </c>
    </row>
    <row r="1624" spans="1:18" x14ac:dyDescent="0.3">
      <c r="A1624">
        <v>26</v>
      </c>
      <c r="B1624" s="1">
        <v>13</v>
      </c>
      <c r="C1624" s="1" t="s">
        <v>2121</v>
      </c>
      <c r="D1624" s="1" t="s">
        <v>916</v>
      </c>
      <c r="E1624" s="1" t="s">
        <v>1754</v>
      </c>
      <c r="F1624" s="1" t="s">
        <v>1161</v>
      </c>
      <c r="G1624" s="1" t="s">
        <v>2348</v>
      </c>
      <c r="H1624" s="1" t="s">
        <v>1684</v>
      </c>
      <c r="I1624" s="1" t="s">
        <v>1085</v>
      </c>
      <c r="J1624" s="1" t="s">
        <v>1053</v>
      </c>
      <c r="K1624" s="1" t="s">
        <v>3704</v>
      </c>
      <c r="L1624" s="1" t="s">
        <v>3623</v>
      </c>
      <c r="M1624" s="1" t="s">
        <v>1004</v>
      </c>
      <c r="N1624">
        <f>_xlfn.NUMBERVALUE(LEFT(Table11[[#This Row],[Score]],FIND("/",Table11[[#This Row],[Score]])-1))</f>
        <v>86</v>
      </c>
      <c r="O1624">
        <f>IFERROR(_xlfn.NUMBERVALUE(LEFT(Table11[[#This Row],[Score2 ]],FIND("/",Table11[[#This Row],[Score2 ]])-1)),"")</f>
        <v>67</v>
      </c>
      <c r="P1624" t="s">
        <v>149</v>
      </c>
      <c r="Q1624" s="1" t="s">
        <v>185</v>
      </c>
      <c r="R1624" t="str">
        <f>Table11[[#This Row],[Match]]&amp;" "&amp;Table11[[#This Row],[Over]]</f>
        <v>26 13</v>
      </c>
    </row>
    <row r="1625" spans="1:18" x14ac:dyDescent="0.3">
      <c r="A1625">
        <v>26</v>
      </c>
      <c r="B1625" s="1">
        <v>14</v>
      </c>
      <c r="C1625" s="1" t="s">
        <v>1673</v>
      </c>
      <c r="D1625" s="1" t="s">
        <v>898</v>
      </c>
      <c r="E1625" s="1" t="s">
        <v>2440</v>
      </c>
      <c r="F1625" s="1" t="s">
        <v>1053</v>
      </c>
      <c r="G1625" s="1" t="s">
        <v>2781</v>
      </c>
      <c r="H1625" s="1" t="s">
        <v>998</v>
      </c>
      <c r="I1625" s="1" t="s">
        <v>1661</v>
      </c>
      <c r="J1625" s="1" t="s">
        <v>952</v>
      </c>
      <c r="K1625" s="1" t="s">
        <v>2271</v>
      </c>
      <c r="L1625" s="1" t="s">
        <v>3461</v>
      </c>
      <c r="M1625" s="1" t="s">
        <v>1010</v>
      </c>
      <c r="N1625">
        <f>_xlfn.NUMBERVALUE(LEFT(Table11[[#This Row],[Score]],FIND("/",Table11[[#This Row],[Score]])-1))</f>
        <v>88</v>
      </c>
      <c r="O1625">
        <f>IFERROR(_xlfn.NUMBERVALUE(LEFT(Table11[[#This Row],[Score2 ]],FIND("/",Table11[[#This Row],[Score2 ]])-1)),"")</f>
        <v>71</v>
      </c>
      <c r="P1625" t="s">
        <v>149</v>
      </c>
      <c r="Q1625" s="1" t="s">
        <v>185</v>
      </c>
      <c r="R1625" t="str">
        <f>Table11[[#This Row],[Match]]&amp;" "&amp;Table11[[#This Row],[Over]]</f>
        <v>26 14</v>
      </c>
    </row>
    <row r="1626" spans="1:18" x14ac:dyDescent="0.3">
      <c r="A1626">
        <v>26</v>
      </c>
      <c r="B1626" s="1">
        <v>15</v>
      </c>
      <c r="C1626" s="1" t="s">
        <v>3469</v>
      </c>
      <c r="D1626" s="1" t="s">
        <v>898</v>
      </c>
      <c r="E1626" s="1" t="s">
        <v>1019</v>
      </c>
      <c r="F1626" s="1" t="s">
        <v>940</v>
      </c>
      <c r="G1626" s="1" t="s">
        <v>1482</v>
      </c>
      <c r="H1626" s="1" t="s">
        <v>916</v>
      </c>
      <c r="I1626" s="1" t="s">
        <v>1029</v>
      </c>
      <c r="J1626" s="1" t="s">
        <v>1053</v>
      </c>
      <c r="K1626" s="1" t="s">
        <v>3766</v>
      </c>
      <c r="L1626" s="1" t="s">
        <v>3627</v>
      </c>
      <c r="M1626" s="1" t="s">
        <v>1016</v>
      </c>
      <c r="N1626">
        <f>_xlfn.NUMBERVALUE(LEFT(Table11[[#This Row],[Score]],FIND("/",Table11[[#This Row],[Score]])-1))</f>
        <v>90</v>
      </c>
      <c r="O1626">
        <f>IFERROR(_xlfn.NUMBERVALUE(LEFT(Table11[[#This Row],[Score2 ]],FIND("/",Table11[[#This Row],[Score2 ]])-1)),"")</f>
        <v>78</v>
      </c>
      <c r="P1626" t="s">
        <v>149</v>
      </c>
      <c r="Q1626" s="1" t="s">
        <v>185</v>
      </c>
      <c r="R1626" t="str">
        <f>Table11[[#This Row],[Match]]&amp;" "&amp;Table11[[#This Row],[Over]]</f>
        <v>26 15</v>
      </c>
    </row>
    <row r="1627" spans="1:18" x14ac:dyDescent="0.3">
      <c r="A1627">
        <v>26</v>
      </c>
      <c r="B1627" s="1">
        <v>16</v>
      </c>
      <c r="C1627" s="1" t="s">
        <v>1038</v>
      </c>
      <c r="D1627" s="1" t="s">
        <v>998</v>
      </c>
      <c r="E1627" s="1" t="s">
        <v>2334</v>
      </c>
      <c r="F1627" s="1" t="s">
        <v>1093</v>
      </c>
      <c r="G1627" s="1" t="s">
        <v>1492</v>
      </c>
      <c r="H1627" s="1" t="s">
        <v>998</v>
      </c>
      <c r="I1627" s="1" t="s">
        <v>1567</v>
      </c>
      <c r="J1627" s="1" t="s">
        <v>1116</v>
      </c>
      <c r="K1627" s="1" t="s">
        <v>3767</v>
      </c>
      <c r="L1627" s="1" t="s">
        <v>3768</v>
      </c>
      <c r="M1627" s="1" t="s">
        <v>1024</v>
      </c>
      <c r="N1627">
        <f>_xlfn.NUMBERVALUE(LEFT(Table11[[#This Row],[Score]],FIND("/",Table11[[#This Row],[Score]])-1))</f>
        <v>94</v>
      </c>
      <c r="O1627">
        <f>IFERROR(_xlfn.NUMBERVALUE(LEFT(Table11[[#This Row],[Score2 ]],FIND("/",Table11[[#This Row],[Score2 ]])-1)),"")</f>
        <v>82</v>
      </c>
      <c r="P1627" t="s">
        <v>149</v>
      </c>
      <c r="Q1627" s="1" t="s">
        <v>185</v>
      </c>
      <c r="R1627" t="str">
        <f>Table11[[#This Row],[Match]]&amp;" "&amp;Table11[[#This Row],[Over]]</f>
        <v>26 16</v>
      </c>
    </row>
    <row r="1628" spans="1:18" x14ac:dyDescent="0.3">
      <c r="A1628">
        <v>26</v>
      </c>
      <c r="B1628" s="1">
        <v>17</v>
      </c>
      <c r="C1628" s="1" t="s">
        <v>1687</v>
      </c>
      <c r="D1628" s="1" t="s">
        <v>1095</v>
      </c>
      <c r="E1628" s="1" t="s">
        <v>961</v>
      </c>
      <c r="F1628" s="1" t="s">
        <v>969</v>
      </c>
      <c r="G1628" s="1" t="s">
        <v>2939</v>
      </c>
      <c r="H1628" s="1" t="s">
        <v>904</v>
      </c>
      <c r="I1628" s="1" t="s">
        <v>969</v>
      </c>
      <c r="J1628" s="1" t="s">
        <v>1068</v>
      </c>
      <c r="K1628" s="1" t="s">
        <v>3769</v>
      </c>
      <c r="L1628" s="1" t="s">
        <v>2211</v>
      </c>
      <c r="M1628" s="1" t="s">
        <v>1031</v>
      </c>
      <c r="N1628">
        <f>_xlfn.NUMBERVALUE(LEFT(Table11[[#This Row],[Score]],FIND("/",Table11[[#This Row],[Score]])-1))</f>
        <v>104</v>
      </c>
      <c r="O1628">
        <f>IFERROR(_xlfn.NUMBERVALUE(LEFT(Table11[[#This Row],[Score2 ]],FIND("/",Table11[[#This Row],[Score2 ]])-1)),"")</f>
        <v>85</v>
      </c>
      <c r="P1628" t="s">
        <v>149</v>
      </c>
      <c r="Q1628" s="1" t="s">
        <v>185</v>
      </c>
      <c r="R1628" t="str">
        <f>Table11[[#This Row],[Match]]&amp;" "&amp;Table11[[#This Row],[Over]]</f>
        <v>26 17</v>
      </c>
    </row>
    <row r="1629" spans="1:18" x14ac:dyDescent="0.3">
      <c r="A1629">
        <v>26</v>
      </c>
      <c r="B1629" s="1">
        <v>18</v>
      </c>
      <c r="C1629" s="1" t="s">
        <v>1050</v>
      </c>
      <c r="D1629" s="1" t="s">
        <v>950</v>
      </c>
      <c r="E1629" s="1" t="s">
        <v>3656</v>
      </c>
      <c r="F1629" s="1" t="s">
        <v>976</v>
      </c>
      <c r="G1629" s="1" t="s">
        <v>3153</v>
      </c>
      <c r="H1629" s="1" t="s">
        <v>904</v>
      </c>
      <c r="I1629" s="1" t="s">
        <v>1202</v>
      </c>
      <c r="J1629" s="1" t="s">
        <v>931</v>
      </c>
      <c r="K1629" s="1" t="s">
        <v>3770</v>
      </c>
      <c r="L1629" s="1" t="s">
        <v>3631</v>
      </c>
      <c r="M1629" s="1" t="s">
        <v>1037</v>
      </c>
      <c r="N1629">
        <f>_xlfn.NUMBERVALUE(LEFT(Table11[[#This Row],[Score]],FIND("/",Table11[[#This Row],[Score]])-1))</f>
        <v>109</v>
      </c>
      <c r="O1629">
        <f>IFERROR(_xlfn.NUMBERVALUE(LEFT(Table11[[#This Row],[Score2 ]],FIND("/",Table11[[#This Row],[Score2 ]])-1)),"")</f>
        <v>88</v>
      </c>
      <c r="P1629" t="s">
        <v>149</v>
      </c>
      <c r="Q1629" s="1" t="s">
        <v>185</v>
      </c>
      <c r="R1629" t="str">
        <f>Table11[[#This Row],[Match]]&amp;" "&amp;Table11[[#This Row],[Over]]</f>
        <v>26 18</v>
      </c>
    </row>
    <row r="1630" spans="1:18" x14ac:dyDescent="0.3">
      <c r="A1630">
        <v>26</v>
      </c>
      <c r="B1630" s="1">
        <v>19</v>
      </c>
      <c r="C1630" s="1" t="s">
        <v>3771</v>
      </c>
      <c r="D1630" s="1" t="s">
        <v>930</v>
      </c>
      <c r="E1630" s="1" t="s">
        <v>1971</v>
      </c>
      <c r="F1630" s="1" t="s">
        <v>1013</v>
      </c>
      <c r="G1630" s="1" t="s">
        <v>2238</v>
      </c>
      <c r="H1630" s="1" t="s">
        <v>950</v>
      </c>
      <c r="I1630" s="1" t="s">
        <v>1153</v>
      </c>
      <c r="J1630" s="1" t="s">
        <v>940</v>
      </c>
      <c r="K1630" s="1" t="s">
        <v>3462</v>
      </c>
      <c r="L1630" s="1" t="s">
        <v>3091</v>
      </c>
      <c r="M1630" s="1" t="s">
        <v>1043</v>
      </c>
      <c r="N1630">
        <f>_xlfn.NUMBERVALUE(LEFT(Table11[[#This Row],[Score]],FIND("/",Table11[[#This Row],[Score]])-1))</f>
        <v>117</v>
      </c>
      <c r="O1630">
        <f>IFERROR(_xlfn.NUMBERVALUE(LEFT(Table11[[#This Row],[Score2 ]],FIND("/",Table11[[#This Row],[Score2 ]])-1)),"")</f>
        <v>93</v>
      </c>
      <c r="P1630" t="s">
        <v>149</v>
      </c>
      <c r="Q1630" s="1" t="s">
        <v>185</v>
      </c>
      <c r="R1630" t="str">
        <f>Table11[[#This Row],[Match]]&amp;" "&amp;Table11[[#This Row],[Over]]</f>
        <v>26 19</v>
      </c>
    </row>
    <row r="1631" spans="1:18" x14ac:dyDescent="0.3">
      <c r="A1631">
        <v>26</v>
      </c>
      <c r="B1631" s="1">
        <v>20</v>
      </c>
      <c r="C1631" s="1" t="s">
        <v>3016</v>
      </c>
      <c r="D1631" s="1" t="s">
        <v>998</v>
      </c>
      <c r="E1631" s="1" t="s">
        <v>3656</v>
      </c>
      <c r="F1631" s="1" t="s">
        <v>970</v>
      </c>
      <c r="G1631" s="1" t="s">
        <v>1501</v>
      </c>
      <c r="H1631" s="1" t="s">
        <v>968</v>
      </c>
      <c r="I1631" s="1" t="s">
        <v>1321</v>
      </c>
      <c r="J1631" s="1" t="s">
        <v>1259</v>
      </c>
      <c r="K1631" s="1" t="s">
        <v>1611</v>
      </c>
      <c r="L1631" s="1" t="s">
        <v>3474</v>
      </c>
      <c r="M1631" s="1" t="s">
        <v>1049</v>
      </c>
      <c r="N1631">
        <f>_xlfn.NUMBERVALUE(LEFT(Table11[[#This Row],[Score]],FIND("/",Table11[[#This Row],[Score]])-1))</f>
        <v>121</v>
      </c>
      <c r="O1631">
        <f>IFERROR(_xlfn.NUMBERVALUE(LEFT(Table11[[#This Row],[Score2 ]],FIND("/",Table11[[#This Row],[Score2 ]])-1)),"")</f>
        <v>94</v>
      </c>
      <c r="P1631" t="s">
        <v>149</v>
      </c>
      <c r="Q1631" s="1" t="s">
        <v>185</v>
      </c>
      <c r="R1631" t="str">
        <f>Table11[[#This Row],[Match]]&amp;" "&amp;Table11[[#This Row],[Over]]</f>
        <v>26 20</v>
      </c>
    </row>
    <row r="1632" spans="1:18" x14ac:dyDescent="0.3">
      <c r="A1632">
        <v>26</v>
      </c>
      <c r="B1632" s="1">
        <v>21</v>
      </c>
      <c r="C1632" s="1" t="s">
        <v>3772</v>
      </c>
      <c r="D1632" s="1" t="s">
        <v>998</v>
      </c>
      <c r="E1632" s="1" t="s">
        <v>1428</v>
      </c>
      <c r="F1632" s="1" t="s">
        <v>970</v>
      </c>
      <c r="G1632" s="1" t="s">
        <v>2644</v>
      </c>
      <c r="H1632" s="1" t="s">
        <v>898</v>
      </c>
      <c r="I1632" s="1" t="s">
        <v>1362</v>
      </c>
      <c r="J1632" s="1" t="s">
        <v>993</v>
      </c>
      <c r="K1632" s="1" t="s">
        <v>3773</v>
      </c>
      <c r="L1632" s="1" t="s">
        <v>2328</v>
      </c>
      <c r="M1632" s="1" t="s">
        <v>1056</v>
      </c>
      <c r="N1632">
        <f>_xlfn.NUMBERVALUE(LEFT(Table11[[#This Row],[Score]],FIND("/",Table11[[#This Row],[Score]])-1))</f>
        <v>125</v>
      </c>
      <c r="O1632">
        <f>IFERROR(_xlfn.NUMBERVALUE(LEFT(Table11[[#This Row],[Score2 ]],FIND("/",Table11[[#This Row],[Score2 ]])-1)),"")</f>
        <v>96</v>
      </c>
      <c r="P1632" t="s">
        <v>149</v>
      </c>
      <c r="Q1632" s="1" t="s">
        <v>185</v>
      </c>
      <c r="R1632" t="str">
        <f>Table11[[#This Row],[Match]]&amp;" "&amp;Table11[[#This Row],[Over]]</f>
        <v>26 21</v>
      </c>
    </row>
    <row r="1633" spans="1:18" x14ac:dyDescent="0.3">
      <c r="A1633">
        <v>26</v>
      </c>
      <c r="B1633" s="1">
        <v>22</v>
      </c>
      <c r="C1633" s="1" t="s">
        <v>3548</v>
      </c>
      <c r="D1633" s="1" t="s">
        <v>998</v>
      </c>
      <c r="E1633" s="1" t="s">
        <v>2184</v>
      </c>
      <c r="F1633" s="1" t="s">
        <v>969</v>
      </c>
      <c r="G1633" s="1" t="s">
        <v>3774</v>
      </c>
      <c r="H1633" s="1" t="s">
        <v>968</v>
      </c>
      <c r="I1633" s="1" t="s">
        <v>940</v>
      </c>
      <c r="J1633" s="1" t="s">
        <v>1088</v>
      </c>
      <c r="K1633" s="1" t="s">
        <v>3775</v>
      </c>
      <c r="L1633" s="1" t="s">
        <v>3634</v>
      </c>
      <c r="M1633" s="1" t="s">
        <v>1063</v>
      </c>
      <c r="N1633">
        <f>_xlfn.NUMBERVALUE(LEFT(Table11[[#This Row],[Score]],FIND("/",Table11[[#This Row],[Score]])-1))</f>
        <v>129</v>
      </c>
      <c r="O1633">
        <f>IFERROR(_xlfn.NUMBERVALUE(LEFT(Table11[[#This Row],[Score2 ]],FIND("/",Table11[[#This Row],[Score2 ]])-1)),"")</f>
        <v>97</v>
      </c>
      <c r="P1633" t="s">
        <v>149</v>
      </c>
      <c r="Q1633" s="1" t="s">
        <v>185</v>
      </c>
      <c r="R1633" t="str">
        <f>Table11[[#This Row],[Match]]&amp;" "&amp;Table11[[#This Row],[Over]]</f>
        <v>26 22</v>
      </c>
    </row>
    <row r="1634" spans="1:18" x14ac:dyDescent="0.3">
      <c r="A1634">
        <v>26</v>
      </c>
      <c r="B1634" s="1">
        <v>23</v>
      </c>
      <c r="C1634" s="1" t="s">
        <v>3396</v>
      </c>
      <c r="D1634" s="1" t="s">
        <v>930</v>
      </c>
      <c r="E1634" s="1" t="s">
        <v>1428</v>
      </c>
      <c r="F1634" s="1" t="s">
        <v>934</v>
      </c>
      <c r="G1634" s="1" t="s">
        <v>2476</v>
      </c>
      <c r="H1634" s="1" t="s">
        <v>950</v>
      </c>
      <c r="I1634" s="1" t="s">
        <v>1999</v>
      </c>
      <c r="J1634" s="1" t="s">
        <v>993</v>
      </c>
      <c r="K1634" s="1" t="s">
        <v>3776</v>
      </c>
      <c r="L1634" s="1" t="s">
        <v>3381</v>
      </c>
      <c r="M1634" s="1" t="s">
        <v>1070</v>
      </c>
      <c r="N1634">
        <f>_xlfn.NUMBERVALUE(LEFT(Table11[[#This Row],[Score]],FIND("/",Table11[[#This Row],[Score]])-1))</f>
        <v>137</v>
      </c>
      <c r="O1634">
        <f>IFERROR(_xlfn.NUMBERVALUE(LEFT(Table11[[#This Row],[Score2 ]],FIND("/",Table11[[#This Row],[Score2 ]])-1)),"")</f>
        <v>102</v>
      </c>
      <c r="P1634" t="s">
        <v>149</v>
      </c>
      <c r="Q1634" s="1" t="s">
        <v>185</v>
      </c>
      <c r="R1634" t="str">
        <f>Table11[[#This Row],[Match]]&amp;" "&amp;Table11[[#This Row],[Over]]</f>
        <v>26 23</v>
      </c>
    </row>
    <row r="1635" spans="1:18" x14ac:dyDescent="0.3">
      <c r="A1635">
        <v>26</v>
      </c>
      <c r="B1635" s="1">
        <v>24</v>
      </c>
      <c r="C1635" s="1" t="s">
        <v>3106</v>
      </c>
      <c r="D1635" s="1" t="s">
        <v>922</v>
      </c>
      <c r="E1635" s="1" t="s">
        <v>1428</v>
      </c>
      <c r="F1635" s="1" t="s">
        <v>1029</v>
      </c>
      <c r="G1635" s="1" t="s">
        <v>3777</v>
      </c>
      <c r="H1635" s="1" t="s">
        <v>968</v>
      </c>
      <c r="I1635" s="1" t="s">
        <v>1474</v>
      </c>
      <c r="J1635" s="1" t="s">
        <v>899</v>
      </c>
      <c r="K1635" s="1" t="s">
        <v>3778</v>
      </c>
      <c r="L1635" s="1" t="s">
        <v>2091</v>
      </c>
      <c r="M1635" s="1" t="s">
        <v>1077</v>
      </c>
      <c r="N1635">
        <f>_xlfn.NUMBERVALUE(LEFT(Table11[[#This Row],[Score]],FIND("/",Table11[[#This Row],[Score]])-1))</f>
        <v>143</v>
      </c>
      <c r="O1635">
        <f>IFERROR(_xlfn.NUMBERVALUE(LEFT(Table11[[#This Row],[Score2 ]],FIND("/",Table11[[#This Row],[Score2 ]])-1)),"")</f>
        <v>103</v>
      </c>
      <c r="P1635" t="s">
        <v>149</v>
      </c>
      <c r="Q1635" s="1" t="s">
        <v>185</v>
      </c>
      <c r="R1635" t="str">
        <f>Table11[[#This Row],[Match]]&amp;" "&amp;Table11[[#This Row],[Over]]</f>
        <v>26 24</v>
      </c>
    </row>
    <row r="1636" spans="1:18" x14ac:dyDescent="0.3">
      <c r="A1636">
        <v>26</v>
      </c>
      <c r="B1636" s="1">
        <v>25</v>
      </c>
      <c r="C1636" s="1" t="s">
        <v>3779</v>
      </c>
      <c r="D1636" s="1" t="s">
        <v>930</v>
      </c>
      <c r="E1636" s="1" t="s">
        <v>1228</v>
      </c>
      <c r="F1636" s="1" t="s">
        <v>1019</v>
      </c>
      <c r="G1636" s="1" t="s">
        <v>3524</v>
      </c>
      <c r="H1636" s="1" t="s">
        <v>1007</v>
      </c>
      <c r="I1636" s="1" t="s">
        <v>2897</v>
      </c>
      <c r="J1636" s="1" t="s">
        <v>1636</v>
      </c>
      <c r="K1636" s="1" t="s">
        <v>2322</v>
      </c>
      <c r="L1636" s="1" t="s">
        <v>2091</v>
      </c>
      <c r="M1636" s="1" t="s">
        <v>1083</v>
      </c>
      <c r="N1636">
        <f>_xlfn.NUMBERVALUE(LEFT(Table11[[#This Row],[Score]],FIND("/",Table11[[#This Row],[Score]])-1))</f>
        <v>151</v>
      </c>
      <c r="O1636">
        <f>IFERROR(_xlfn.NUMBERVALUE(LEFT(Table11[[#This Row],[Score2 ]],FIND("/",Table11[[#This Row],[Score2 ]])-1)),"")</f>
        <v>103</v>
      </c>
      <c r="P1636" t="s">
        <v>149</v>
      </c>
      <c r="Q1636" s="1" t="s">
        <v>185</v>
      </c>
      <c r="R1636" t="str">
        <f>Table11[[#This Row],[Match]]&amp;" "&amp;Table11[[#This Row],[Over]]</f>
        <v>26 25</v>
      </c>
    </row>
    <row r="1637" spans="1:18" x14ac:dyDescent="0.3">
      <c r="A1637">
        <v>26</v>
      </c>
      <c r="B1637" s="1">
        <v>26</v>
      </c>
      <c r="C1637" s="1" t="s">
        <v>3111</v>
      </c>
      <c r="D1637" s="1" t="s">
        <v>1095</v>
      </c>
      <c r="E1637" s="1" t="s">
        <v>2465</v>
      </c>
      <c r="F1637" s="1" t="s">
        <v>1116</v>
      </c>
      <c r="G1637" s="1" t="s">
        <v>2828</v>
      </c>
      <c r="H1637" s="1" t="s">
        <v>898</v>
      </c>
      <c r="I1637" s="1" t="s">
        <v>2021</v>
      </c>
      <c r="J1637" s="1" t="s">
        <v>1636</v>
      </c>
      <c r="K1637" s="1" t="s">
        <v>3780</v>
      </c>
      <c r="L1637" s="1" t="s">
        <v>2329</v>
      </c>
      <c r="M1637" s="1" t="s">
        <v>1090</v>
      </c>
      <c r="N1637">
        <f>_xlfn.NUMBERVALUE(LEFT(Table11[[#This Row],[Score]],FIND("/",Table11[[#This Row],[Score]])-1))</f>
        <v>161</v>
      </c>
      <c r="O1637">
        <f>IFERROR(_xlfn.NUMBERVALUE(LEFT(Table11[[#This Row],[Score2 ]],FIND("/",Table11[[#This Row],[Score2 ]])-1)),"")</f>
        <v>105</v>
      </c>
      <c r="P1637" t="s">
        <v>149</v>
      </c>
      <c r="Q1637" s="1" t="s">
        <v>185</v>
      </c>
      <c r="R1637" t="str">
        <f>Table11[[#This Row],[Match]]&amp;" "&amp;Table11[[#This Row],[Over]]</f>
        <v>26 26</v>
      </c>
    </row>
    <row r="1638" spans="1:18" x14ac:dyDescent="0.3">
      <c r="A1638">
        <v>26</v>
      </c>
      <c r="B1638" s="1">
        <v>27</v>
      </c>
      <c r="C1638" s="1" t="s">
        <v>3113</v>
      </c>
      <c r="D1638" s="1" t="s">
        <v>922</v>
      </c>
      <c r="E1638" s="1" t="s">
        <v>907</v>
      </c>
      <c r="F1638" s="1" t="s">
        <v>1508</v>
      </c>
      <c r="G1638" s="1" t="s">
        <v>2831</v>
      </c>
      <c r="H1638" s="1" t="s">
        <v>1051</v>
      </c>
      <c r="I1638" s="1" t="s">
        <v>1474</v>
      </c>
      <c r="J1638" s="1" t="s">
        <v>990</v>
      </c>
      <c r="K1638" s="1" t="s">
        <v>3781</v>
      </c>
      <c r="L1638" s="1" t="s">
        <v>1234</v>
      </c>
      <c r="M1638" s="1" t="s">
        <v>1098</v>
      </c>
      <c r="N1638">
        <f>_xlfn.NUMBERVALUE(LEFT(Table11[[#This Row],[Score]],FIND("/",Table11[[#This Row],[Score]])-1))</f>
        <v>167</v>
      </c>
      <c r="O1638">
        <f>IFERROR(_xlfn.NUMBERVALUE(LEFT(Table11[[#This Row],[Score2 ]],FIND("/",Table11[[#This Row],[Score2 ]])-1)),"")</f>
        <v>116</v>
      </c>
      <c r="P1638" t="s">
        <v>149</v>
      </c>
      <c r="Q1638" s="1" t="s">
        <v>185</v>
      </c>
      <c r="R1638" t="str">
        <f>Table11[[#This Row],[Match]]&amp;" "&amp;Table11[[#This Row],[Over]]</f>
        <v>26 27</v>
      </c>
    </row>
    <row r="1639" spans="1:18" x14ac:dyDescent="0.3">
      <c r="A1639">
        <v>26</v>
      </c>
      <c r="B1639" s="1">
        <v>28</v>
      </c>
      <c r="C1639" s="1" t="s">
        <v>3782</v>
      </c>
      <c r="D1639" s="1" t="s">
        <v>922</v>
      </c>
      <c r="E1639" s="1" t="s">
        <v>918</v>
      </c>
      <c r="F1639" s="1" t="s">
        <v>1116</v>
      </c>
      <c r="G1639" s="1" t="s">
        <v>3783</v>
      </c>
      <c r="H1639" s="1" t="s">
        <v>998</v>
      </c>
      <c r="I1639" s="1" t="s">
        <v>1124</v>
      </c>
      <c r="J1639" s="1" t="s">
        <v>977</v>
      </c>
      <c r="K1639" s="1" t="s">
        <v>3784</v>
      </c>
      <c r="L1639" s="1" t="s">
        <v>3698</v>
      </c>
      <c r="M1639" s="1" t="s">
        <v>1101</v>
      </c>
      <c r="N1639">
        <f>_xlfn.NUMBERVALUE(LEFT(Table11[[#This Row],[Score]],FIND("/",Table11[[#This Row],[Score]])-1))</f>
        <v>173</v>
      </c>
      <c r="O1639">
        <f>IFERROR(_xlfn.NUMBERVALUE(LEFT(Table11[[#This Row],[Score2 ]],FIND("/",Table11[[#This Row],[Score2 ]])-1)),"")</f>
        <v>120</v>
      </c>
      <c r="P1639" t="s">
        <v>149</v>
      </c>
      <c r="Q1639" s="1" t="s">
        <v>185</v>
      </c>
      <c r="R1639" t="str">
        <f>Table11[[#This Row],[Match]]&amp;" "&amp;Table11[[#This Row],[Over]]</f>
        <v>26 28</v>
      </c>
    </row>
    <row r="1640" spans="1:18" x14ac:dyDescent="0.3">
      <c r="A1640">
        <v>26</v>
      </c>
      <c r="B1640" s="1">
        <v>29</v>
      </c>
      <c r="C1640" s="1" t="s">
        <v>3785</v>
      </c>
      <c r="D1640" s="1" t="s">
        <v>916</v>
      </c>
      <c r="E1640" s="1" t="s">
        <v>970</v>
      </c>
      <c r="F1640" s="1" t="s">
        <v>1068</v>
      </c>
      <c r="G1640" s="1" t="s">
        <v>3786</v>
      </c>
      <c r="H1640" s="1" t="s">
        <v>968</v>
      </c>
      <c r="I1640" s="1" t="s">
        <v>2652</v>
      </c>
      <c r="J1640" s="1" t="s">
        <v>977</v>
      </c>
      <c r="K1640" s="1" t="s">
        <v>3787</v>
      </c>
      <c r="L1640" s="1" t="s">
        <v>908</v>
      </c>
      <c r="M1640" s="1" t="s">
        <v>1108</v>
      </c>
      <c r="N1640">
        <f>_xlfn.NUMBERVALUE(LEFT(Table11[[#This Row],[Score]],FIND("/",Table11[[#This Row],[Score]])-1))</f>
        <v>180</v>
      </c>
      <c r="O1640">
        <f>IFERROR(_xlfn.NUMBERVALUE(LEFT(Table11[[#This Row],[Score2 ]],FIND("/",Table11[[#This Row],[Score2 ]])-1)),"")</f>
        <v>121</v>
      </c>
      <c r="P1640" t="s">
        <v>149</v>
      </c>
      <c r="Q1640" s="1" t="s">
        <v>185</v>
      </c>
      <c r="R1640" t="str">
        <f>Table11[[#This Row],[Match]]&amp;" "&amp;Table11[[#This Row],[Over]]</f>
        <v>26 29</v>
      </c>
    </row>
    <row r="1641" spans="1:18" x14ac:dyDescent="0.3">
      <c r="A1641">
        <v>26</v>
      </c>
      <c r="B1641" s="1">
        <v>30</v>
      </c>
      <c r="C1641" s="1" t="s">
        <v>3040</v>
      </c>
      <c r="D1641" s="1" t="s">
        <v>1698</v>
      </c>
      <c r="E1641" s="1" t="s">
        <v>1808</v>
      </c>
      <c r="F1641" s="1" t="s">
        <v>1409</v>
      </c>
      <c r="G1641" s="1" t="s">
        <v>2589</v>
      </c>
      <c r="H1641" s="1" t="s">
        <v>968</v>
      </c>
      <c r="I1641" s="1" t="s">
        <v>1288</v>
      </c>
      <c r="J1641" s="1" t="s">
        <v>990</v>
      </c>
      <c r="K1641" s="1" t="s">
        <v>2523</v>
      </c>
      <c r="L1641" s="1" t="s">
        <v>1241</v>
      </c>
      <c r="M1641" s="1" t="s">
        <v>1113</v>
      </c>
      <c r="N1641">
        <f>_xlfn.NUMBERVALUE(LEFT(Table11[[#This Row],[Score]],FIND("/",Table11[[#This Row],[Score]])-1))</f>
        <v>203</v>
      </c>
      <c r="O1641">
        <f>IFERROR(_xlfn.NUMBERVALUE(LEFT(Table11[[#This Row],[Score2 ]],FIND("/",Table11[[#This Row],[Score2 ]])-1)),"")</f>
        <v>122</v>
      </c>
      <c r="P1641" t="s">
        <v>149</v>
      </c>
      <c r="Q1641" s="1" t="s">
        <v>185</v>
      </c>
      <c r="R1641" t="str">
        <f>Table11[[#This Row],[Match]]&amp;" "&amp;Table11[[#This Row],[Over]]</f>
        <v>26 30</v>
      </c>
    </row>
    <row r="1642" spans="1:18" x14ac:dyDescent="0.3">
      <c r="A1642">
        <v>26</v>
      </c>
      <c r="B1642" s="1">
        <v>31</v>
      </c>
      <c r="C1642" s="1" t="s">
        <v>3788</v>
      </c>
      <c r="D1642" s="1" t="s">
        <v>998</v>
      </c>
      <c r="E1642" s="1" t="s">
        <v>3311</v>
      </c>
      <c r="F1642" s="1" t="s">
        <v>1200</v>
      </c>
      <c r="G1642" s="1" t="s">
        <v>2270</v>
      </c>
      <c r="H1642" s="1" t="s">
        <v>947</v>
      </c>
      <c r="I1642" s="1" t="s">
        <v>1535</v>
      </c>
      <c r="J1642" s="1" t="s">
        <v>1029</v>
      </c>
      <c r="K1642" s="1" t="s">
        <v>3789</v>
      </c>
      <c r="L1642" s="1" t="s">
        <v>927</v>
      </c>
      <c r="M1642" s="1" t="s">
        <v>1121</v>
      </c>
      <c r="N1642">
        <f>_xlfn.NUMBERVALUE(LEFT(Table11[[#This Row],[Score]],FIND("/",Table11[[#This Row],[Score]])-1))</f>
        <v>207</v>
      </c>
      <c r="O1642">
        <f>IFERROR(_xlfn.NUMBERVALUE(LEFT(Table11[[#This Row],[Score2 ]],FIND("/",Table11[[#This Row],[Score2 ]])-1)),"")</f>
        <v>131</v>
      </c>
      <c r="P1642" t="s">
        <v>149</v>
      </c>
      <c r="Q1642" s="1" t="s">
        <v>185</v>
      </c>
      <c r="R1642" t="str">
        <f>Table11[[#This Row],[Match]]&amp;" "&amp;Table11[[#This Row],[Over]]</f>
        <v>26 31</v>
      </c>
    </row>
    <row r="1643" spans="1:18" x14ac:dyDescent="0.3">
      <c r="A1643">
        <v>26</v>
      </c>
      <c r="B1643" s="1">
        <v>32</v>
      </c>
      <c r="C1643" s="1" t="s">
        <v>3790</v>
      </c>
      <c r="D1643" s="1" t="s">
        <v>1147</v>
      </c>
      <c r="E1643" s="1" t="s">
        <v>1036</v>
      </c>
      <c r="F1643" s="1" t="s">
        <v>1213</v>
      </c>
      <c r="G1643" s="1" t="s">
        <v>3357</v>
      </c>
      <c r="H1643" s="1" t="s">
        <v>968</v>
      </c>
      <c r="I1643" s="1" t="s">
        <v>2897</v>
      </c>
      <c r="J1643" s="1" t="s">
        <v>1259</v>
      </c>
      <c r="K1643" s="1" t="s">
        <v>3791</v>
      </c>
      <c r="L1643" s="1" t="s">
        <v>2107</v>
      </c>
      <c r="M1643" s="1" t="s">
        <v>1127</v>
      </c>
      <c r="N1643">
        <f>_xlfn.NUMBERVALUE(LEFT(Table11[[#This Row],[Score]],FIND("/",Table11[[#This Row],[Score]])-1))</f>
        <v>222</v>
      </c>
      <c r="O1643">
        <f>IFERROR(_xlfn.NUMBERVALUE(LEFT(Table11[[#This Row],[Score2 ]],FIND("/",Table11[[#This Row],[Score2 ]])-1)),"")</f>
        <v>132</v>
      </c>
      <c r="P1643" t="s">
        <v>149</v>
      </c>
      <c r="Q1643" s="1" t="s">
        <v>185</v>
      </c>
      <c r="R1643" t="str">
        <f>Table11[[#This Row],[Match]]&amp;" "&amp;Table11[[#This Row],[Over]]</f>
        <v>26 32</v>
      </c>
    </row>
    <row r="1644" spans="1:18" x14ac:dyDescent="0.3">
      <c r="A1644">
        <v>26</v>
      </c>
      <c r="B1644" s="1">
        <v>33</v>
      </c>
      <c r="C1644" s="1" t="s">
        <v>3044</v>
      </c>
      <c r="D1644" s="1" t="s">
        <v>1051</v>
      </c>
      <c r="E1644" s="1" t="s">
        <v>2625</v>
      </c>
      <c r="F1644" s="1" t="s">
        <v>2320</v>
      </c>
      <c r="G1644" s="1" t="s">
        <v>3792</v>
      </c>
      <c r="H1644" s="1" t="s">
        <v>904</v>
      </c>
      <c r="I1644" s="1" t="s">
        <v>981</v>
      </c>
      <c r="J1644" s="1" t="s">
        <v>1238</v>
      </c>
      <c r="K1644" s="1" t="s">
        <v>3793</v>
      </c>
      <c r="L1644" s="1" t="s">
        <v>1972</v>
      </c>
      <c r="M1644" s="1" t="s">
        <v>1132</v>
      </c>
      <c r="N1644">
        <f>_xlfn.NUMBERVALUE(LEFT(Table11[[#This Row],[Score]],FIND("/",Table11[[#This Row],[Score]])-1))</f>
        <v>233</v>
      </c>
      <c r="O1644">
        <f>IFERROR(_xlfn.NUMBERVALUE(LEFT(Table11[[#This Row],[Score2 ]],FIND("/",Table11[[#This Row],[Score2 ]])-1)),"")</f>
        <v>135</v>
      </c>
      <c r="P1644" t="s">
        <v>149</v>
      </c>
      <c r="Q1644" s="1" t="s">
        <v>185</v>
      </c>
      <c r="R1644" t="str">
        <f>Table11[[#This Row],[Match]]&amp;" "&amp;Table11[[#This Row],[Over]]</f>
        <v>26 33</v>
      </c>
    </row>
    <row r="1645" spans="1:18" x14ac:dyDescent="0.3">
      <c r="A1645">
        <v>26</v>
      </c>
      <c r="B1645" s="1">
        <v>34</v>
      </c>
      <c r="C1645" s="1" t="s">
        <v>3794</v>
      </c>
      <c r="D1645" s="1" t="s">
        <v>1390</v>
      </c>
      <c r="E1645" s="1" t="s">
        <v>1776</v>
      </c>
      <c r="F1645" s="1" t="s">
        <v>3795</v>
      </c>
      <c r="G1645" s="1" t="s">
        <v>3362</v>
      </c>
      <c r="H1645" s="1" t="s">
        <v>898</v>
      </c>
      <c r="I1645" s="1" t="s">
        <v>3322</v>
      </c>
      <c r="J1645" s="1" t="s">
        <v>1259</v>
      </c>
      <c r="K1645" s="1" t="s">
        <v>3796</v>
      </c>
      <c r="L1645" s="1" t="s">
        <v>3797</v>
      </c>
      <c r="M1645" s="1" t="s">
        <v>1138</v>
      </c>
      <c r="N1645">
        <f>_xlfn.NUMBERVALUE(LEFT(Table11[[#This Row],[Score]],FIND("/",Table11[[#This Row],[Score]])-1))</f>
        <v>246</v>
      </c>
      <c r="O1645">
        <f>IFERROR(_xlfn.NUMBERVALUE(LEFT(Table11[[#This Row],[Score2 ]],FIND("/",Table11[[#This Row],[Score2 ]])-1)),"")</f>
        <v>137</v>
      </c>
      <c r="P1645" t="s">
        <v>149</v>
      </c>
      <c r="Q1645" s="1" t="s">
        <v>185</v>
      </c>
      <c r="R1645" t="str">
        <f>Table11[[#This Row],[Match]]&amp;" "&amp;Table11[[#This Row],[Over]]</f>
        <v>26 34</v>
      </c>
    </row>
    <row r="1646" spans="1:18" x14ac:dyDescent="0.3">
      <c r="A1646">
        <v>26</v>
      </c>
      <c r="B1646" s="1">
        <v>35</v>
      </c>
      <c r="C1646" s="1" t="s">
        <v>3798</v>
      </c>
      <c r="D1646" s="1" t="s">
        <v>898</v>
      </c>
      <c r="E1646" s="1" t="s">
        <v>2210</v>
      </c>
      <c r="F1646" s="1" t="s">
        <v>1161</v>
      </c>
      <c r="G1646" s="1" t="s">
        <v>3799</v>
      </c>
      <c r="H1646" s="1" t="s">
        <v>968</v>
      </c>
      <c r="I1646" s="1" t="s">
        <v>2349</v>
      </c>
      <c r="J1646" s="1" t="s">
        <v>1259</v>
      </c>
      <c r="K1646" s="1" t="s">
        <v>3800</v>
      </c>
      <c r="L1646" s="1" t="s">
        <v>1261</v>
      </c>
      <c r="M1646" s="1" t="s">
        <v>1143</v>
      </c>
      <c r="N1646">
        <f>_xlfn.NUMBERVALUE(LEFT(Table11[[#This Row],[Score]],FIND("/",Table11[[#This Row],[Score]])-1))</f>
        <v>248</v>
      </c>
      <c r="O1646">
        <f>IFERROR(_xlfn.NUMBERVALUE(LEFT(Table11[[#This Row],[Score2 ]],FIND("/",Table11[[#This Row],[Score2 ]])-1)),"")</f>
        <v>138</v>
      </c>
      <c r="P1646" t="s">
        <v>149</v>
      </c>
      <c r="Q1646" s="1" t="s">
        <v>185</v>
      </c>
      <c r="R1646" t="str">
        <f>Table11[[#This Row],[Match]]&amp;" "&amp;Table11[[#This Row],[Over]]</f>
        <v>26 35</v>
      </c>
    </row>
    <row r="1647" spans="1:18" x14ac:dyDescent="0.3">
      <c r="A1647">
        <v>26</v>
      </c>
      <c r="B1647" s="1">
        <v>36</v>
      </c>
      <c r="C1647" s="1" t="s">
        <v>3801</v>
      </c>
      <c r="D1647" s="1" t="s">
        <v>1223</v>
      </c>
      <c r="E1647" s="1" t="s">
        <v>2127</v>
      </c>
      <c r="F1647" s="1" t="s">
        <v>2205</v>
      </c>
      <c r="G1647" s="1" t="s">
        <v>3802</v>
      </c>
      <c r="H1647" s="1" t="s">
        <v>898</v>
      </c>
      <c r="I1647" s="1" t="s">
        <v>1860</v>
      </c>
      <c r="J1647" s="1" t="s">
        <v>1636</v>
      </c>
      <c r="K1647" s="1" t="s">
        <v>3803</v>
      </c>
      <c r="L1647" s="1" t="s">
        <v>1267</v>
      </c>
      <c r="M1647" s="1" t="s">
        <v>1150</v>
      </c>
      <c r="N1647">
        <f>_xlfn.NUMBERVALUE(LEFT(Table11[[#This Row],[Score]],FIND("/",Table11[[#This Row],[Score]])-1))</f>
        <v>266</v>
      </c>
      <c r="O1647">
        <f>IFERROR(_xlfn.NUMBERVALUE(LEFT(Table11[[#This Row],[Score2 ]],FIND("/",Table11[[#This Row],[Score2 ]])-1)),"")</f>
        <v>140</v>
      </c>
      <c r="P1647" t="s">
        <v>149</v>
      </c>
      <c r="Q1647" s="1" t="s">
        <v>185</v>
      </c>
      <c r="R1647" t="str">
        <f>Table11[[#This Row],[Match]]&amp;" "&amp;Table11[[#This Row],[Over]]</f>
        <v>26 36</v>
      </c>
    </row>
    <row r="1648" spans="1:18" x14ac:dyDescent="0.3">
      <c r="A1648">
        <v>26</v>
      </c>
      <c r="B1648" s="1">
        <v>37</v>
      </c>
      <c r="C1648" s="1" t="s">
        <v>3561</v>
      </c>
      <c r="D1648" s="1" t="s">
        <v>916</v>
      </c>
      <c r="E1648" s="1" t="s">
        <v>2119</v>
      </c>
      <c r="F1648" s="1" t="s">
        <v>1746</v>
      </c>
      <c r="G1648" s="1" t="s">
        <v>3540</v>
      </c>
      <c r="H1648" s="1" t="s">
        <v>1007</v>
      </c>
      <c r="I1648" s="1" t="s">
        <v>2782</v>
      </c>
      <c r="J1648" s="1" t="s">
        <v>1770</v>
      </c>
      <c r="K1648" s="1" t="s">
        <v>3804</v>
      </c>
      <c r="L1648" s="1" t="s">
        <v>1267</v>
      </c>
      <c r="M1648" s="1" t="s">
        <v>1156</v>
      </c>
      <c r="N1648">
        <f>_xlfn.NUMBERVALUE(LEFT(Table11[[#This Row],[Score]],FIND("/",Table11[[#This Row],[Score]])-1))</f>
        <v>273</v>
      </c>
      <c r="O1648">
        <f>IFERROR(_xlfn.NUMBERVALUE(LEFT(Table11[[#This Row],[Score2 ]],FIND("/",Table11[[#This Row],[Score2 ]])-1)),"")</f>
        <v>140</v>
      </c>
      <c r="P1648" t="s">
        <v>149</v>
      </c>
      <c r="Q1648" s="1" t="s">
        <v>185</v>
      </c>
      <c r="R1648" t="str">
        <f>Table11[[#This Row],[Match]]&amp;" "&amp;Table11[[#This Row],[Over]]</f>
        <v>26 37</v>
      </c>
    </row>
    <row r="1649" spans="1:18" x14ac:dyDescent="0.3">
      <c r="A1649">
        <v>26</v>
      </c>
      <c r="B1649" s="1">
        <v>38</v>
      </c>
      <c r="C1649" s="1" t="s">
        <v>3805</v>
      </c>
      <c r="D1649" s="1" t="s">
        <v>950</v>
      </c>
      <c r="E1649" s="1" t="s">
        <v>3806</v>
      </c>
      <c r="F1649" s="1" t="s">
        <v>1161</v>
      </c>
      <c r="G1649" s="1" t="s">
        <v>2594</v>
      </c>
      <c r="H1649" s="1" t="s">
        <v>1398</v>
      </c>
      <c r="I1649" s="1" t="s">
        <v>2675</v>
      </c>
      <c r="J1649" s="1" t="s">
        <v>3807</v>
      </c>
      <c r="K1649" s="1" t="s">
        <v>3808</v>
      </c>
      <c r="L1649" s="1" t="s">
        <v>928</v>
      </c>
      <c r="M1649" s="1" t="s">
        <v>3160</v>
      </c>
      <c r="N1649">
        <f>_xlfn.NUMBERVALUE(LEFT(Table11[[#This Row],[Score]],FIND("/",Table11[[#This Row],[Score]])-1))</f>
        <v>278</v>
      </c>
      <c r="O1649">
        <f>IFERROR(_xlfn.NUMBERVALUE(LEFT(Table11[[#This Row],[Score2 ]],FIND("/",Table11[[#This Row],[Score2 ]])-1)),"")</f>
        <v>142</v>
      </c>
      <c r="P1649" t="s">
        <v>149</v>
      </c>
      <c r="Q1649" s="1" t="s">
        <v>185</v>
      </c>
      <c r="R1649" t="str">
        <f>Table11[[#This Row],[Match]]&amp;" "&amp;Table11[[#This Row],[Over]]</f>
        <v>26 38</v>
      </c>
    </row>
    <row r="1650" spans="1:18" x14ac:dyDescent="0.3">
      <c r="A1650">
        <v>26</v>
      </c>
      <c r="B1650" s="1">
        <v>39</v>
      </c>
      <c r="C1650" s="1" t="s">
        <v>3809</v>
      </c>
      <c r="D1650" s="1" t="s">
        <v>930</v>
      </c>
      <c r="E1650" s="1" t="s">
        <v>2092</v>
      </c>
      <c r="F1650" s="1" t="s">
        <v>1089</v>
      </c>
      <c r="N1650">
        <f>_xlfn.NUMBERVALUE(LEFT(Table11[[#This Row],[Score]],FIND("/",Table11[[#This Row],[Score]])-1))</f>
        <v>286</v>
      </c>
      <c r="O1650" t="str">
        <f>IFERROR(_xlfn.NUMBERVALUE(LEFT(Table11[[#This Row],[Score2 ]],FIND("/",Table11[[#This Row],[Score2 ]])-1)),"")</f>
        <v/>
      </c>
      <c r="P1650" t="s">
        <v>149</v>
      </c>
      <c r="Q1650" s="1" t="s">
        <v>185</v>
      </c>
      <c r="R1650" t="str">
        <f>Table11[[#This Row],[Match]]&amp;" "&amp;Table11[[#This Row],[Over]]</f>
        <v>26 39</v>
      </c>
    </row>
    <row r="1651" spans="1:18" x14ac:dyDescent="0.3">
      <c r="A1651">
        <v>26</v>
      </c>
      <c r="B1651" s="1">
        <v>40</v>
      </c>
      <c r="C1651" s="1" t="s">
        <v>3673</v>
      </c>
      <c r="D1651" s="1" t="s">
        <v>1390</v>
      </c>
      <c r="E1651" s="1" t="s">
        <v>1783</v>
      </c>
      <c r="F1651" s="1" t="s">
        <v>1746</v>
      </c>
      <c r="N1651">
        <f>_xlfn.NUMBERVALUE(LEFT(Table11[[#This Row],[Score]],FIND("/",Table11[[#This Row],[Score]])-1))</f>
        <v>299</v>
      </c>
      <c r="O1651" t="str">
        <f>IFERROR(_xlfn.NUMBERVALUE(LEFT(Table11[[#This Row],[Score2 ]],FIND("/",Table11[[#This Row],[Score2 ]])-1)),"")</f>
        <v/>
      </c>
      <c r="P1651" t="s">
        <v>149</v>
      </c>
      <c r="Q1651" s="1" t="s">
        <v>185</v>
      </c>
      <c r="R1651" t="str">
        <f>Table11[[#This Row],[Match]]&amp;" "&amp;Table11[[#This Row],[Over]]</f>
        <v>26 40</v>
      </c>
    </row>
    <row r="1652" spans="1:18" x14ac:dyDescent="0.3">
      <c r="A1652">
        <v>26</v>
      </c>
      <c r="B1652" s="1">
        <v>41</v>
      </c>
      <c r="C1652" s="1" t="s">
        <v>3810</v>
      </c>
      <c r="D1652" s="1" t="s">
        <v>1566</v>
      </c>
      <c r="E1652" s="1" t="s">
        <v>1514</v>
      </c>
      <c r="F1652" s="1" t="s">
        <v>2055</v>
      </c>
      <c r="N1652">
        <f>_xlfn.NUMBERVALUE(LEFT(Table11[[#This Row],[Score]],FIND("/",Table11[[#This Row],[Score]])-1))</f>
        <v>316</v>
      </c>
      <c r="O1652" t="str">
        <f>IFERROR(_xlfn.NUMBERVALUE(LEFT(Table11[[#This Row],[Score2 ]],FIND("/",Table11[[#This Row],[Score2 ]])-1)),"")</f>
        <v/>
      </c>
      <c r="P1652" t="s">
        <v>149</v>
      </c>
      <c r="Q1652" s="1" t="s">
        <v>185</v>
      </c>
      <c r="R1652" t="str">
        <f>Table11[[#This Row],[Match]]&amp;" "&amp;Table11[[#This Row],[Over]]</f>
        <v>26 41</v>
      </c>
    </row>
    <row r="1653" spans="1:18" x14ac:dyDescent="0.3">
      <c r="A1653">
        <v>26</v>
      </c>
      <c r="B1653" s="1">
        <v>42</v>
      </c>
      <c r="C1653" s="1" t="s">
        <v>3811</v>
      </c>
      <c r="D1653" s="1" t="s">
        <v>947</v>
      </c>
      <c r="E1653" s="1" t="s">
        <v>3692</v>
      </c>
      <c r="F1653" s="1" t="s">
        <v>1409</v>
      </c>
      <c r="N1653">
        <f>_xlfn.NUMBERVALUE(LEFT(Table11[[#This Row],[Score]],FIND("/",Table11[[#This Row],[Score]])-1))</f>
        <v>325</v>
      </c>
      <c r="O1653" t="str">
        <f>IFERROR(_xlfn.NUMBERVALUE(LEFT(Table11[[#This Row],[Score2 ]],FIND("/",Table11[[#This Row],[Score2 ]])-1)),"")</f>
        <v/>
      </c>
      <c r="P1653" t="s">
        <v>149</v>
      </c>
      <c r="Q1653" s="1" t="s">
        <v>185</v>
      </c>
      <c r="R1653" t="str">
        <f>Table11[[#This Row],[Match]]&amp;" "&amp;Table11[[#This Row],[Over]]</f>
        <v>26 42</v>
      </c>
    </row>
    <row r="1654" spans="1:18" x14ac:dyDescent="0.3">
      <c r="A1654">
        <v>26</v>
      </c>
      <c r="B1654" s="1">
        <v>43</v>
      </c>
      <c r="C1654" s="1" t="s">
        <v>3812</v>
      </c>
      <c r="D1654" s="1" t="s">
        <v>1147</v>
      </c>
      <c r="E1654" s="1" t="s">
        <v>2372</v>
      </c>
      <c r="F1654" s="1" t="s">
        <v>3197</v>
      </c>
      <c r="N1654">
        <f>_xlfn.NUMBERVALUE(LEFT(Table11[[#This Row],[Score]],FIND("/",Table11[[#This Row],[Score]])-1))</f>
        <v>340</v>
      </c>
      <c r="O1654" t="str">
        <f>IFERROR(_xlfn.NUMBERVALUE(LEFT(Table11[[#This Row],[Score2 ]],FIND("/",Table11[[#This Row],[Score2 ]])-1)),"")</f>
        <v/>
      </c>
      <c r="P1654" t="s">
        <v>149</v>
      </c>
      <c r="Q1654" s="1" t="s">
        <v>185</v>
      </c>
      <c r="R1654" t="str">
        <f>Table11[[#This Row],[Match]]&amp;" "&amp;Table11[[#This Row],[Over]]</f>
        <v>26 43</v>
      </c>
    </row>
    <row r="1655" spans="1:18" x14ac:dyDescent="0.3">
      <c r="A1655">
        <v>26</v>
      </c>
      <c r="B1655" s="1">
        <v>44</v>
      </c>
      <c r="C1655" s="1" t="s">
        <v>3813</v>
      </c>
      <c r="D1655" s="1" t="s">
        <v>1095</v>
      </c>
      <c r="E1655" s="1" t="s">
        <v>1340</v>
      </c>
      <c r="F1655" s="1" t="s">
        <v>2417</v>
      </c>
      <c r="N1655">
        <f>_xlfn.NUMBERVALUE(LEFT(Table11[[#This Row],[Score]],FIND("/",Table11[[#This Row],[Score]])-1))</f>
        <v>350</v>
      </c>
      <c r="O1655" t="str">
        <f>IFERROR(_xlfn.NUMBERVALUE(LEFT(Table11[[#This Row],[Score2 ]],FIND("/",Table11[[#This Row],[Score2 ]])-1)),"")</f>
        <v/>
      </c>
      <c r="P1655" t="s">
        <v>149</v>
      </c>
      <c r="Q1655" s="1" t="s">
        <v>185</v>
      </c>
      <c r="R1655" t="str">
        <f>Table11[[#This Row],[Match]]&amp;" "&amp;Table11[[#This Row],[Over]]</f>
        <v>26 44</v>
      </c>
    </row>
    <row r="1656" spans="1:18" x14ac:dyDescent="0.3">
      <c r="A1656">
        <v>26</v>
      </c>
      <c r="B1656" s="1">
        <v>45</v>
      </c>
      <c r="C1656" s="1" t="s">
        <v>3814</v>
      </c>
      <c r="D1656" s="1" t="s">
        <v>1511</v>
      </c>
      <c r="E1656" s="1" t="s">
        <v>2639</v>
      </c>
      <c r="F1656" s="1" t="s">
        <v>2057</v>
      </c>
      <c r="N1656">
        <f>_xlfn.NUMBERVALUE(LEFT(Table11[[#This Row],[Score]],FIND("/",Table11[[#This Row],[Score]])-1))</f>
        <v>366</v>
      </c>
      <c r="O1656" t="str">
        <f>IFERROR(_xlfn.NUMBERVALUE(LEFT(Table11[[#This Row],[Score2 ]],FIND("/",Table11[[#This Row],[Score2 ]])-1)),"")</f>
        <v/>
      </c>
      <c r="P1656" t="s">
        <v>149</v>
      </c>
      <c r="Q1656" s="1" t="s">
        <v>185</v>
      </c>
      <c r="R1656" t="str">
        <f>Table11[[#This Row],[Match]]&amp;" "&amp;Table11[[#This Row],[Over]]</f>
        <v>26 45</v>
      </c>
    </row>
    <row r="1657" spans="1:18" x14ac:dyDescent="0.3">
      <c r="A1657">
        <v>26</v>
      </c>
      <c r="B1657" s="1">
        <v>46</v>
      </c>
      <c r="C1657" s="1" t="s">
        <v>3815</v>
      </c>
      <c r="D1657" s="1" t="s">
        <v>1511</v>
      </c>
      <c r="E1657" s="1" t="s">
        <v>1348</v>
      </c>
      <c r="F1657" s="1" t="s">
        <v>3795</v>
      </c>
      <c r="N1657">
        <f>_xlfn.NUMBERVALUE(LEFT(Table11[[#This Row],[Score]],FIND("/",Table11[[#This Row],[Score]])-1))</f>
        <v>382</v>
      </c>
      <c r="O1657" t="str">
        <f>IFERROR(_xlfn.NUMBERVALUE(LEFT(Table11[[#This Row],[Score2 ]],FIND("/",Table11[[#This Row],[Score2 ]])-1)),"")</f>
        <v/>
      </c>
      <c r="P1657" t="s">
        <v>149</v>
      </c>
      <c r="Q1657" s="1" t="s">
        <v>185</v>
      </c>
      <c r="R1657" t="str">
        <f>Table11[[#This Row],[Match]]&amp;" "&amp;Table11[[#This Row],[Over]]</f>
        <v>26 46</v>
      </c>
    </row>
    <row r="1658" spans="1:18" x14ac:dyDescent="0.3">
      <c r="A1658">
        <v>26</v>
      </c>
      <c r="B1658" s="1">
        <v>47</v>
      </c>
      <c r="C1658" s="1" t="s">
        <v>3816</v>
      </c>
      <c r="D1658" s="1" t="s">
        <v>998</v>
      </c>
      <c r="E1658" s="1" t="s">
        <v>2244</v>
      </c>
      <c r="F1658" s="1" t="s">
        <v>2207</v>
      </c>
      <c r="N1658">
        <f>_xlfn.NUMBERVALUE(LEFT(Table11[[#This Row],[Score]],FIND("/",Table11[[#This Row],[Score]])-1))</f>
        <v>386</v>
      </c>
      <c r="O1658" t="str">
        <f>IFERROR(_xlfn.NUMBERVALUE(LEFT(Table11[[#This Row],[Score2 ]],FIND("/",Table11[[#This Row],[Score2 ]])-1)),"")</f>
        <v/>
      </c>
      <c r="P1658" t="s">
        <v>149</v>
      </c>
      <c r="Q1658" s="1" t="s">
        <v>185</v>
      </c>
      <c r="R1658" t="str">
        <f>Table11[[#This Row],[Match]]&amp;" "&amp;Table11[[#This Row],[Over]]</f>
        <v>26 47</v>
      </c>
    </row>
    <row r="1659" spans="1:18" x14ac:dyDescent="0.3">
      <c r="A1659">
        <v>26</v>
      </c>
      <c r="B1659" s="1">
        <v>48</v>
      </c>
      <c r="C1659" s="1" t="s">
        <v>3817</v>
      </c>
      <c r="D1659" s="1" t="s">
        <v>1051</v>
      </c>
      <c r="E1659" s="1" t="s">
        <v>1100</v>
      </c>
      <c r="F1659" s="1" t="s">
        <v>2084</v>
      </c>
      <c r="N1659">
        <f>_xlfn.NUMBERVALUE(LEFT(Table11[[#This Row],[Score]],FIND("/",Table11[[#This Row],[Score]])-1))</f>
        <v>397</v>
      </c>
      <c r="O1659" t="str">
        <f>IFERROR(_xlfn.NUMBERVALUE(LEFT(Table11[[#This Row],[Score2 ]],FIND("/",Table11[[#This Row],[Score2 ]])-1)),"")</f>
        <v/>
      </c>
      <c r="P1659" t="s">
        <v>149</v>
      </c>
      <c r="Q1659" s="1" t="s">
        <v>185</v>
      </c>
      <c r="R1659" t="str">
        <f>Table11[[#This Row],[Match]]&amp;" "&amp;Table11[[#This Row],[Over]]</f>
        <v>26 48</v>
      </c>
    </row>
    <row r="1660" spans="1:18" x14ac:dyDescent="0.3">
      <c r="A1660">
        <v>26</v>
      </c>
      <c r="B1660" s="1">
        <v>49</v>
      </c>
      <c r="C1660" s="1" t="s">
        <v>3818</v>
      </c>
      <c r="D1660" s="1" t="s">
        <v>922</v>
      </c>
      <c r="E1660" s="1" t="s">
        <v>1523</v>
      </c>
      <c r="F1660" s="1" t="s">
        <v>1568</v>
      </c>
      <c r="N1660">
        <f>_xlfn.NUMBERVALUE(LEFT(Table11[[#This Row],[Score]],FIND("/",Table11[[#This Row],[Score]])-1))</f>
        <v>403</v>
      </c>
      <c r="O1660" t="str">
        <f>IFERROR(_xlfn.NUMBERVALUE(LEFT(Table11[[#This Row],[Score2 ]],FIND("/",Table11[[#This Row],[Score2 ]])-1)),"")</f>
        <v/>
      </c>
      <c r="P1660" t="s">
        <v>149</v>
      </c>
      <c r="Q1660" s="1" t="s">
        <v>185</v>
      </c>
      <c r="R1660" t="str">
        <f>Table11[[#This Row],[Match]]&amp;" "&amp;Table11[[#This Row],[Over]]</f>
        <v>26 49</v>
      </c>
    </row>
    <row r="1661" spans="1:18" x14ac:dyDescent="0.3">
      <c r="A1661">
        <v>26</v>
      </c>
      <c r="B1661" s="1">
        <v>50</v>
      </c>
      <c r="C1661" s="1" t="s">
        <v>3819</v>
      </c>
      <c r="D1661" s="1" t="s">
        <v>933</v>
      </c>
      <c r="E1661" s="1" t="s">
        <v>3216</v>
      </c>
      <c r="F1661" s="1" t="s">
        <v>1746</v>
      </c>
      <c r="N1661">
        <f>_xlfn.NUMBERVALUE(LEFT(Table11[[#This Row],[Score]],FIND("/",Table11[[#This Row],[Score]])-1))</f>
        <v>417</v>
      </c>
      <c r="O1661" t="str">
        <f>IFERROR(_xlfn.NUMBERVALUE(LEFT(Table11[[#This Row],[Score2 ]],FIND("/",Table11[[#This Row],[Score2 ]])-1)),"")</f>
        <v/>
      </c>
      <c r="P1661" t="s">
        <v>149</v>
      </c>
      <c r="Q1661" s="1" t="s">
        <v>185</v>
      </c>
      <c r="R1661" t="str">
        <f>Table11[[#This Row],[Match]]&amp;" "&amp;Table11[[#This Row],[Over]]</f>
        <v>26 50</v>
      </c>
    </row>
    <row r="1662" spans="1:18" x14ac:dyDescent="0.3">
      <c r="A1662">
        <v>27</v>
      </c>
      <c r="B1662" s="1">
        <v>1</v>
      </c>
      <c r="C1662" s="1" t="s">
        <v>1235</v>
      </c>
      <c r="D1662" s="1" t="s">
        <v>947</v>
      </c>
      <c r="E1662" s="1" t="s">
        <v>1161</v>
      </c>
      <c r="F1662" s="1" t="s">
        <v>348</v>
      </c>
      <c r="G1662" s="1" t="s">
        <v>1418</v>
      </c>
      <c r="H1662" s="1" t="s">
        <v>904</v>
      </c>
      <c r="I1662" s="1" t="s">
        <v>1238</v>
      </c>
      <c r="J1662" s="1" t="s">
        <v>348</v>
      </c>
      <c r="K1662" s="1" t="s">
        <v>1469</v>
      </c>
      <c r="L1662" s="1" t="s">
        <v>3381</v>
      </c>
      <c r="M1662" s="1" t="s">
        <v>902</v>
      </c>
      <c r="N1662">
        <f>_xlfn.NUMBERVALUE(LEFT(Table11[[#This Row],[Score]],FIND("/",Table11[[#This Row],[Score]])-1))</f>
        <v>9</v>
      </c>
      <c r="O1662">
        <f>IFERROR(_xlfn.NUMBERVALUE(LEFT(Table11[[#This Row],[Score2 ]],FIND("/",Table11[[#This Row],[Score2 ]])-1)),"")</f>
        <v>3</v>
      </c>
      <c r="P1662" t="s">
        <v>176</v>
      </c>
      <c r="Q1662" s="1" t="s">
        <v>181</v>
      </c>
      <c r="R1662" t="str">
        <f>Table11[[#This Row],[Match]]&amp;" "&amp;Table11[[#This Row],[Over]]</f>
        <v>27 1</v>
      </c>
    </row>
    <row r="1663" spans="1:18" x14ac:dyDescent="0.3">
      <c r="A1663">
        <v>27</v>
      </c>
      <c r="B1663" s="1">
        <v>2</v>
      </c>
      <c r="C1663" s="1" t="s">
        <v>915</v>
      </c>
      <c r="D1663" s="1" t="s">
        <v>898</v>
      </c>
      <c r="E1663" s="1" t="s">
        <v>959</v>
      </c>
      <c r="F1663" s="1" t="s">
        <v>348</v>
      </c>
      <c r="G1663" s="1" t="s">
        <v>2988</v>
      </c>
      <c r="H1663" s="1" t="s">
        <v>904</v>
      </c>
      <c r="I1663" s="1" t="s">
        <v>1238</v>
      </c>
      <c r="J1663" s="1" t="s">
        <v>348</v>
      </c>
      <c r="K1663" s="1" t="s">
        <v>994</v>
      </c>
      <c r="L1663" s="1" t="s">
        <v>2329</v>
      </c>
      <c r="M1663" s="1" t="s">
        <v>909</v>
      </c>
      <c r="N1663">
        <f>_xlfn.NUMBERVALUE(LEFT(Table11[[#This Row],[Score]],FIND("/",Table11[[#This Row],[Score]])-1))</f>
        <v>11</v>
      </c>
      <c r="O1663">
        <f>IFERROR(_xlfn.NUMBERVALUE(LEFT(Table11[[#This Row],[Score2 ]],FIND("/",Table11[[#This Row],[Score2 ]])-1)),"")</f>
        <v>6</v>
      </c>
      <c r="P1663" t="s">
        <v>176</v>
      </c>
      <c r="Q1663" s="1" t="s">
        <v>181</v>
      </c>
      <c r="R1663" t="str">
        <f>Table11[[#This Row],[Match]]&amp;" "&amp;Table11[[#This Row],[Over]]</f>
        <v>27 2</v>
      </c>
    </row>
    <row r="1664" spans="1:18" x14ac:dyDescent="0.3">
      <c r="A1664">
        <v>27</v>
      </c>
      <c r="B1664" s="1">
        <v>3</v>
      </c>
      <c r="C1664" s="1" t="s">
        <v>924</v>
      </c>
      <c r="D1664" s="1" t="s">
        <v>904</v>
      </c>
      <c r="E1664" s="1" t="s">
        <v>1975</v>
      </c>
      <c r="F1664" s="1" t="s">
        <v>348</v>
      </c>
      <c r="G1664" s="1" t="s">
        <v>924</v>
      </c>
      <c r="H1664" s="1" t="s">
        <v>930</v>
      </c>
      <c r="I1664" s="1" t="s">
        <v>1975</v>
      </c>
      <c r="J1664" s="1" t="s">
        <v>348</v>
      </c>
      <c r="K1664" s="1" t="s">
        <v>2468</v>
      </c>
      <c r="L1664" s="1" t="s">
        <v>2215</v>
      </c>
      <c r="M1664" s="1" t="s">
        <v>920</v>
      </c>
      <c r="N1664">
        <f>_xlfn.NUMBERVALUE(LEFT(Table11[[#This Row],[Score]],FIND("/",Table11[[#This Row],[Score]])-1))</f>
        <v>14</v>
      </c>
      <c r="O1664">
        <f>IFERROR(_xlfn.NUMBERVALUE(LEFT(Table11[[#This Row],[Score2 ]],FIND("/",Table11[[#This Row],[Score2 ]])-1)),"")</f>
        <v>14</v>
      </c>
      <c r="P1664" t="s">
        <v>176</v>
      </c>
      <c r="Q1664" s="1" t="s">
        <v>181</v>
      </c>
      <c r="R1664" t="str">
        <f>Table11[[#This Row],[Match]]&amp;" "&amp;Table11[[#This Row],[Over]]</f>
        <v>27 3</v>
      </c>
    </row>
    <row r="1665" spans="1:18" x14ac:dyDescent="0.3">
      <c r="A1665">
        <v>27</v>
      </c>
      <c r="B1665" s="1">
        <v>4</v>
      </c>
      <c r="C1665" s="1" t="s">
        <v>1246</v>
      </c>
      <c r="D1665" s="1" t="s">
        <v>904</v>
      </c>
      <c r="E1665" s="1" t="s">
        <v>1074</v>
      </c>
      <c r="F1665" s="1" t="s">
        <v>348</v>
      </c>
      <c r="G1665" s="1" t="s">
        <v>3149</v>
      </c>
      <c r="H1665" s="1" t="s">
        <v>1095</v>
      </c>
      <c r="I1665" s="1" t="s">
        <v>1019</v>
      </c>
      <c r="J1665" s="1" t="s">
        <v>348</v>
      </c>
      <c r="K1665" s="1" t="s">
        <v>2231</v>
      </c>
      <c r="L1665" s="1" t="s">
        <v>2103</v>
      </c>
      <c r="M1665" s="1" t="s">
        <v>928</v>
      </c>
      <c r="N1665">
        <f>_xlfn.NUMBERVALUE(LEFT(Table11[[#This Row],[Score]],FIND("/",Table11[[#This Row],[Score]])-1))</f>
        <v>17</v>
      </c>
      <c r="O1665">
        <f>IFERROR(_xlfn.NUMBERVALUE(LEFT(Table11[[#This Row],[Score2 ]],FIND("/",Table11[[#This Row],[Score2 ]])-1)),"")</f>
        <v>24</v>
      </c>
      <c r="P1665" t="s">
        <v>176</v>
      </c>
      <c r="Q1665" s="1" t="s">
        <v>181</v>
      </c>
      <c r="R1665" t="str">
        <f>Table11[[#This Row],[Match]]&amp;" "&amp;Table11[[#This Row],[Over]]</f>
        <v>27 4</v>
      </c>
    </row>
    <row r="1666" spans="1:18" x14ac:dyDescent="0.3">
      <c r="A1666">
        <v>27</v>
      </c>
      <c r="B1666" s="1">
        <v>5</v>
      </c>
      <c r="C1666" s="1" t="s">
        <v>2331</v>
      </c>
      <c r="D1666" s="1" t="s">
        <v>904</v>
      </c>
      <c r="E1666" s="1" t="s">
        <v>939</v>
      </c>
      <c r="F1666" s="1" t="s">
        <v>939</v>
      </c>
      <c r="G1666" s="1" t="s">
        <v>1257</v>
      </c>
      <c r="H1666" s="1" t="s">
        <v>950</v>
      </c>
      <c r="I1666" s="1" t="s">
        <v>1013</v>
      </c>
      <c r="J1666" s="1" t="s">
        <v>1013</v>
      </c>
      <c r="K1666" s="1" t="s">
        <v>1469</v>
      </c>
      <c r="L1666" s="1" t="s">
        <v>919</v>
      </c>
      <c r="M1666" s="1" t="s">
        <v>937</v>
      </c>
      <c r="N1666">
        <f>_xlfn.NUMBERVALUE(LEFT(Table11[[#This Row],[Score]],FIND("/",Table11[[#This Row],[Score]])-1))</f>
        <v>20</v>
      </c>
      <c r="O1666">
        <f>IFERROR(_xlfn.NUMBERVALUE(LEFT(Table11[[#This Row],[Score2 ]],FIND("/",Table11[[#This Row],[Score2 ]])-1)),"")</f>
        <v>29</v>
      </c>
      <c r="P1666" t="s">
        <v>176</v>
      </c>
      <c r="Q1666" s="1" t="s">
        <v>181</v>
      </c>
      <c r="R1666" t="str">
        <f>Table11[[#This Row],[Match]]&amp;" "&amp;Table11[[#This Row],[Over]]</f>
        <v>27 5</v>
      </c>
    </row>
    <row r="1667" spans="1:18" x14ac:dyDescent="0.3">
      <c r="A1667">
        <v>27</v>
      </c>
      <c r="B1667" s="1">
        <v>6</v>
      </c>
      <c r="C1667" s="1" t="s">
        <v>2332</v>
      </c>
      <c r="D1667" s="1" t="s">
        <v>968</v>
      </c>
      <c r="E1667" s="1" t="s">
        <v>925</v>
      </c>
      <c r="F1667" s="1" t="s">
        <v>1088</v>
      </c>
      <c r="G1667" s="1" t="s">
        <v>964</v>
      </c>
      <c r="H1667" s="1" t="s">
        <v>1051</v>
      </c>
      <c r="I1667" s="1" t="s">
        <v>1260</v>
      </c>
      <c r="J1667" s="1" t="s">
        <v>1068</v>
      </c>
      <c r="K1667" s="1" t="s">
        <v>2706</v>
      </c>
      <c r="L1667" s="1" t="s">
        <v>1419</v>
      </c>
      <c r="M1667" s="1" t="s">
        <v>945</v>
      </c>
      <c r="N1667">
        <f>_xlfn.NUMBERVALUE(LEFT(Table11[[#This Row],[Score]],FIND("/",Table11[[#This Row],[Score]])-1))</f>
        <v>21</v>
      </c>
      <c r="O1667">
        <f>IFERROR(_xlfn.NUMBERVALUE(LEFT(Table11[[#This Row],[Score2 ]],FIND("/",Table11[[#This Row],[Score2 ]])-1)),"")</f>
        <v>40</v>
      </c>
      <c r="P1667" t="s">
        <v>176</v>
      </c>
      <c r="Q1667" s="1" t="s">
        <v>181</v>
      </c>
      <c r="R1667" t="str">
        <f>Table11[[#This Row],[Match]]&amp;" "&amp;Table11[[#This Row],[Over]]</f>
        <v>27 6</v>
      </c>
    </row>
    <row r="1668" spans="1:18" x14ac:dyDescent="0.3">
      <c r="A1668">
        <v>27</v>
      </c>
      <c r="B1668" s="1">
        <v>7</v>
      </c>
      <c r="C1668" s="1" t="s">
        <v>3247</v>
      </c>
      <c r="D1668" s="1" t="s">
        <v>998</v>
      </c>
      <c r="E1668" s="1" t="s">
        <v>1887</v>
      </c>
      <c r="F1668" s="1" t="s">
        <v>993</v>
      </c>
      <c r="G1668" s="1" t="s">
        <v>1281</v>
      </c>
      <c r="H1668" s="1" t="s">
        <v>947</v>
      </c>
      <c r="I1668" s="1" t="s">
        <v>952</v>
      </c>
      <c r="J1668" s="1" t="s">
        <v>1414</v>
      </c>
      <c r="K1668" s="1" t="s">
        <v>1979</v>
      </c>
      <c r="L1668" s="1" t="s">
        <v>937</v>
      </c>
      <c r="M1668" s="1" t="s">
        <v>955</v>
      </c>
      <c r="N1668">
        <f>_xlfn.NUMBERVALUE(LEFT(Table11[[#This Row],[Score]],FIND("/",Table11[[#This Row],[Score]])-1))</f>
        <v>25</v>
      </c>
      <c r="O1668">
        <f>IFERROR(_xlfn.NUMBERVALUE(LEFT(Table11[[#This Row],[Score2 ]],FIND("/",Table11[[#This Row],[Score2 ]])-1)),"")</f>
        <v>49</v>
      </c>
      <c r="P1668" t="s">
        <v>176</v>
      </c>
      <c r="Q1668" s="1" t="s">
        <v>181</v>
      </c>
      <c r="R1668" t="str">
        <f>Table11[[#This Row],[Match]]&amp;" "&amp;Table11[[#This Row],[Over]]</f>
        <v>27 7</v>
      </c>
    </row>
    <row r="1669" spans="1:18" x14ac:dyDescent="0.3">
      <c r="A1669">
        <v>27</v>
      </c>
      <c r="B1669" s="1">
        <v>8</v>
      </c>
      <c r="C1669" s="1" t="s">
        <v>1257</v>
      </c>
      <c r="D1669" s="1" t="s">
        <v>998</v>
      </c>
      <c r="E1669" s="1" t="s">
        <v>1258</v>
      </c>
      <c r="F1669" s="1" t="s">
        <v>1238</v>
      </c>
      <c r="G1669" s="1" t="s">
        <v>1281</v>
      </c>
      <c r="H1669" s="1" t="s">
        <v>1007</v>
      </c>
      <c r="I1669" s="1" t="s">
        <v>1968</v>
      </c>
      <c r="J1669" s="1" t="s">
        <v>952</v>
      </c>
      <c r="K1669" s="1" t="s">
        <v>2095</v>
      </c>
      <c r="L1669" s="1" t="s">
        <v>937</v>
      </c>
      <c r="M1669" s="1" t="s">
        <v>963</v>
      </c>
      <c r="N1669">
        <f>_xlfn.NUMBERVALUE(LEFT(Table11[[#This Row],[Score]],FIND("/",Table11[[#This Row],[Score]])-1))</f>
        <v>29</v>
      </c>
      <c r="O1669">
        <f>IFERROR(_xlfn.NUMBERVALUE(LEFT(Table11[[#This Row],[Score2 ]],FIND("/",Table11[[#This Row],[Score2 ]])-1)),"")</f>
        <v>49</v>
      </c>
      <c r="P1669" t="s">
        <v>176</v>
      </c>
      <c r="Q1669" s="1" t="s">
        <v>181</v>
      </c>
      <c r="R1669" t="str">
        <f>Table11[[#This Row],[Match]]&amp;" "&amp;Table11[[#This Row],[Over]]</f>
        <v>27 8</v>
      </c>
    </row>
    <row r="1670" spans="1:18" x14ac:dyDescent="0.3">
      <c r="A1670">
        <v>27</v>
      </c>
      <c r="B1670" s="1">
        <v>9</v>
      </c>
      <c r="C1670" s="1" t="s">
        <v>1270</v>
      </c>
      <c r="D1670" s="1" t="s">
        <v>930</v>
      </c>
      <c r="E1670" s="1" t="s">
        <v>1297</v>
      </c>
      <c r="F1670" s="1" t="s">
        <v>939</v>
      </c>
      <c r="G1670" s="1" t="s">
        <v>3002</v>
      </c>
      <c r="H1670" s="1" t="s">
        <v>930</v>
      </c>
      <c r="I1670" s="1" t="s">
        <v>1723</v>
      </c>
      <c r="J1670" s="1" t="s">
        <v>960</v>
      </c>
      <c r="K1670" s="1" t="s">
        <v>1452</v>
      </c>
      <c r="L1670" s="1" t="s">
        <v>954</v>
      </c>
      <c r="M1670" s="1" t="s">
        <v>973</v>
      </c>
      <c r="N1670">
        <f>_xlfn.NUMBERVALUE(LEFT(Table11[[#This Row],[Score]],FIND("/",Table11[[#This Row],[Score]])-1))</f>
        <v>37</v>
      </c>
      <c r="O1670">
        <f>IFERROR(_xlfn.NUMBERVALUE(LEFT(Table11[[#This Row],[Score2 ]],FIND("/",Table11[[#This Row],[Score2 ]])-1)),"")</f>
        <v>57</v>
      </c>
      <c r="P1670" t="s">
        <v>176</v>
      </c>
      <c r="Q1670" s="1" t="s">
        <v>181</v>
      </c>
      <c r="R1670" t="str">
        <f>Table11[[#This Row],[Match]]&amp;" "&amp;Table11[[#This Row],[Over]]</f>
        <v>27 9</v>
      </c>
    </row>
    <row r="1671" spans="1:18" x14ac:dyDescent="0.3">
      <c r="A1671">
        <v>27</v>
      </c>
      <c r="B1671" s="1">
        <v>10</v>
      </c>
      <c r="C1671" s="1" t="s">
        <v>1983</v>
      </c>
      <c r="D1671" s="1" t="s">
        <v>898</v>
      </c>
      <c r="E1671" s="1" t="s">
        <v>1273</v>
      </c>
      <c r="F1671" s="1" t="s">
        <v>990</v>
      </c>
      <c r="G1671" s="1" t="s">
        <v>1005</v>
      </c>
      <c r="H1671" s="1" t="s">
        <v>950</v>
      </c>
      <c r="I1671" s="1" t="s">
        <v>970</v>
      </c>
      <c r="J1671" s="1" t="s">
        <v>960</v>
      </c>
      <c r="K1671" s="1" t="s">
        <v>2095</v>
      </c>
      <c r="L1671" s="1" t="s">
        <v>962</v>
      </c>
      <c r="M1671" s="1" t="s">
        <v>980</v>
      </c>
      <c r="N1671">
        <f>_xlfn.NUMBERVALUE(LEFT(Table11[[#This Row],[Score]],FIND("/",Table11[[#This Row],[Score]])-1))</f>
        <v>39</v>
      </c>
      <c r="O1671">
        <f>IFERROR(_xlfn.NUMBERVALUE(LEFT(Table11[[#This Row],[Score2 ]],FIND("/",Table11[[#This Row],[Score2 ]])-1)),"")</f>
        <v>62</v>
      </c>
      <c r="P1671" t="s">
        <v>176</v>
      </c>
      <c r="Q1671" s="1" t="s">
        <v>181</v>
      </c>
      <c r="R1671" t="str">
        <f>Table11[[#This Row],[Match]]&amp;" "&amp;Table11[[#This Row],[Over]]</f>
        <v>27 10</v>
      </c>
    </row>
    <row r="1672" spans="1:18" x14ac:dyDescent="0.3">
      <c r="A1672">
        <v>27</v>
      </c>
      <c r="B1672" s="1">
        <v>11</v>
      </c>
      <c r="C1672" s="1" t="s">
        <v>1451</v>
      </c>
      <c r="D1672" s="1" t="s">
        <v>922</v>
      </c>
      <c r="E1672" s="1" t="s">
        <v>981</v>
      </c>
      <c r="F1672" s="1" t="s">
        <v>1093</v>
      </c>
      <c r="G1672" s="1" t="s">
        <v>2340</v>
      </c>
      <c r="H1672" s="1" t="s">
        <v>904</v>
      </c>
      <c r="I1672" s="1" t="s">
        <v>1407</v>
      </c>
      <c r="J1672" s="1" t="s">
        <v>969</v>
      </c>
      <c r="K1672" s="1" t="s">
        <v>985</v>
      </c>
      <c r="L1672" s="1" t="s">
        <v>986</v>
      </c>
      <c r="M1672" s="1" t="s">
        <v>987</v>
      </c>
      <c r="N1672">
        <f>_xlfn.NUMBERVALUE(LEFT(Table11[[#This Row],[Score]],FIND("/",Table11[[#This Row],[Score]])-1))</f>
        <v>45</v>
      </c>
      <c r="O1672">
        <f>IFERROR(_xlfn.NUMBERVALUE(LEFT(Table11[[#This Row],[Score2 ]],FIND("/",Table11[[#This Row],[Score2 ]])-1)),"")</f>
        <v>65</v>
      </c>
      <c r="P1672" t="s">
        <v>176</v>
      </c>
      <c r="Q1672" s="1" t="s">
        <v>181</v>
      </c>
      <c r="R1672" t="str">
        <f>Table11[[#This Row],[Match]]&amp;" "&amp;Table11[[#This Row],[Over]]</f>
        <v>27 11</v>
      </c>
    </row>
    <row r="1673" spans="1:18" x14ac:dyDescent="0.3">
      <c r="A1673">
        <v>27</v>
      </c>
      <c r="B1673" s="1">
        <v>12</v>
      </c>
      <c r="C1673" s="1" t="s">
        <v>1987</v>
      </c>
      <c r="D1673" s="1" t="s">
        <v>968</v>
      </c>
      <c r="E1673" s="1" t="s">
        <v>1731</v>
      </c>
      <c r="F1673" s="1" t="s">
        <v>931</v>
      </c>
      <c r="G1673" s="1" t="s">
        <v>2001</v>
      </c>
      <c r="H1673" s="1" t="s">
        <v>1390</v>
      </c>
      <c r="I1673" s="1" t="s">
        <v>1729</v>
      </c>
      <c r="J1673" s="1" t="s">
        <v>1013</v>
      </c>
      <c r="K1673" s="1" t="s">
        <v>2706</v>
      </c>
      <c r="L1673" s="1" t="s">
        <v>2124</v>
      </c>
      <c r="M1673" s="1" t="s">
        <v>996</v>
      </c>
      <c r="N1673">
        <f>_xlfn.NUMBERVALUE(LEFT(Table11[[#This Row],[Score]],FIND("/",Table11[[#This Row],[Score]])-1))</f>
        <v>46</v>
      </c>
      <c r="O1673">
        <f>IFERROR(_xlfn.NUMBERVALUE(LEFT(Table11[[#This Row],[Score2 ]],FIND("/",Table11[[#This Row],[Score2 ]])-1)),"")</f>
        <v>78</v>
      </c>
      <c r="P1673" t="s">
        <v>176</v>
      </c>
      <c r="Q1673" s="1" t="s">
        <v>181</v>
      </c>
      <c r="R1673" t="str">
        <f>Table11[[#This Row],[Match]]&amp;" "&amp;Table11[[#This Row],[Over]]</f>
        <v>27 12</v>
      </c>
    </row>
    <row r="1674" spans="1:18" x14ac:dyDescent="0.3">
      <c r="A1674">
        <v>27</v>
      </c>
      <c r="B1674" s="1">
        <v>13</v>
      </c>
      <c r="C1674" s="1" t="s">
        <v>2878</v>
      </c>
      <c r="D1674" s="1" t="s">
        <v>916</v>
      </c>
      <c r="E1674" s="1" t="s">
        <v>2632</v>
      </c>
      <c r="F1674" s="1" t="s">
        <v>1093</v>
      </c>
      <c r="G1674" s="1" t="s">
        <v>3700</v>
      </c>
      <c r="H1674" s="1" t="s">
        <v>916</v>
      </c>
      <c r="I1674" s="1" t="s">
        <v>2428</v>
      </c>
      <c r="J1674" s="1" t="s">
        <v>1116</v>
      </c>
      <c r="K1674" s="1" t="s">
        <v>1444</v>
      </c>
      <c r="L1674" s="1" t="s">
        <v>987</v>
      </c>
      <c r="M1674" s="1" t="s">
        <v>1004</v>
      </c>
      <c r="N1674">
        <f>_xlfn.NUMBERVALUE(LEFT(Table11[[#This Row],[Score]],FIND("/",Table11[[#This Row],[Score]])-1))</f>
        <v>53</v>
      </c>
      <c r="O1674">
        <f>IFERROR(_xlfn.NUMBERVALUE(LEFT(Table11[[#This Row],[Score2 ]],FIND("/",Table11[[#This Row],[Score2 ]])-1)),"")</f>
        <v>85</v>
      </c>
      <c r="P1674" t="s">
        <v>176</v>
      </c>
      <c r="Q1674" s="1" t="s">
        <v>181</v>
      </c>
      <c r="R1674" t="str">
        <f>Table11[[#This Row],[Match]]&amp;" "&amp;Table11[[#This Row],[Over]]</f>
        <v>27 13</v>
      </c>
    </row>
    <row r="1675" spans="1:18" x14ac:dyDescent="0.3">
      <c r="A1675">
        <v>27</v>
      </c>
      <c r="B1675" s="1">
        <v>14</v>
      </c>
      <c r="C1675" s="1" t="s">
        <v>3082</v>
      </c>
      <c r="D1675" s="1" t="s">
        <v>1051</v>
      </c>
      <c r="E1675" s="1" t="s">
        <v>1362</v>
      </c>
      <c r="F1675" s="1" t="s">
        <v>966</v>
      </c>
      <c r="G1675" s="1" t="s">
        <v>1673</v>
      </c>
      <c r="H1675" s="1" t="s">
        <v>904</v>
      </c>
      <c r="I1675" s="1" t="s">
        <v>2440</v>
      </c>
      <c r="J1675" s="1" t="s">
        <v>970</v>
      </c>
      <c r="K1675" s="1" t="s">
        <v>2231</v>
      </c>
      <c r="L1675" s="1" t="s">
        <v>2692</v>
      </c>
      <c r="M1675" s="1" t="s">
        <v>1010</v>
      </c>
      <c r="N1675">
        <f>_xlfn.NUMBERVALUE(LEFT(Table11[[#This Row],[Score]],FIND("/",Table11[[#This Row],[Score]])-1))</f>
        <v>64</v>
      </c>
      <c r="O1675">
        <f>IFERROR(_xlfn.NUMBERVALUE(LEFT(Table11[[#This Row],[Score2 ]],FIND("/",Table11[[#This Row],[Score2 ]])-1)),"")</f>
        <v>88</v>
      </c>
      <c r="P1675" t="s">
        <v>176</v>
      </c>
      <c r="Q1675" s="1" t="s">
        <v>181</v>
      </c>
      <c r="R1675" t="str">
        <f>Table11[[#This Row],[Match]]&amp;" "&amp;Table11[[#This Row],[Over]]</f>
        <v>27 14</v>
      </c>
    </row>
    <row r="1676" spans="1:18" x14ac:dyDescent="0.3">
      <c r="A1676">
        <v>27</v>
      </c>
      <c r="B1676" s="1">
        <v>15</v>
      </c>
      <c r="C1676" s="1" t="s">
        <v>2882</v>
      </c>
      <c r="D1676" s="1" t="s">
        <v>998</v>
      </c>
      <c r="E1676" s="1" t="s">
        <v>1793</v>
      </c>
      <c r="F1676" s="1" t="s">
        <v>1013</v>
      </c>
      <c r="G1676" s="1" t="s">
        <v>1760</v>
      </c>
      <c r="H1676" s="1" t="s">
        <v>904</v>
      </c>
      <c r="I1676" s="1" t="s">
        <v>935</v>
      </c>
      <c r="J1676" s="1" t="s">
        <v>1013</v>
      </c>
      <c r="K1676" s="1" t="s">
        <v>985</v>
      </c>
      <c r="L1676" s="1" t="s">
        <v>996</v>
      </c>
      <c r="M1676" s="1" t="s">
        <v>1016</v>
      </c>
      <c r="N1676">
        <f>_xlfn.NUMBERVALUE(LEFT(Table11[[#This Row],[Score]],FIND("/",Table11[[#This Row],[Score]])-1))</f>
        <v>68</v>
      </c>
      <c r="O1676">
        <f>IFERROR(_xlfn.NUMBERVALUE(LEFT(Table11[[#This Row],[Score2 ]],FIND("/",Table11[[#This Row],[Score2 ]])-1)),"")</f>
        <v>91</v>
      </c>
      <c r="P1676" t="s">
        <v>176</v>
      </c>
      <c r="Q1676" s="1" t="s">
        <v>181</v>
      </c>
      <c r="R1676" t="str">
        <f>Table11[[#This Row],[Match]]&amp;" "&amp;Table11[[#This Row],[Over]]</f>
        <v>27 15</v>
      </c>
    </row>
    <row r="1677" spans="1:18" x14ac:dyDescent="0.3">
      <c r="A1677">
        <v>27</v>
      </c>
      <c r="B1677" s="1">
        <v>16</v>
      </c>
      <c r="C1677" s="1" t="s">
        <v>3820</v>
      </c>
      <c r="D1677" s="1" t="s">
        <v>916</v>
      </c>
      <c r="E1677" s="1" t="s">
        <v>1018</v>
      </c>
      <c r="F1677" s="1" t="s">
        <v>1019</v>
      </c>
      <c r="G1677" s="1" t="s">
        <v>2125</v>
      </c>
      <c r="H1677" s="1" t="s">
        <v>922</v>
      </c>
      <c r="I1677" s="1" t="s">
        <v>935</v>
      </c>
      <c r="J1677" s="1" t="s">
        <v>943</v>
      </c>
      <c r="K1677" s="1" t="s">
        <v>994</v>
      </c>
      <c r="L1677" s="1" t="s">
        <v>1004</v>
      </c>
      <c r="M1677" s="1" t="s">
        <v>1024</v>
      </c>
      <c r="N1677">
        <f>_xlfn.NUMBERVALUE(LEFT(Table11[[#This Row],[Score]],FIND("/",Table11[[#This Row],[Score]])-1))</f>
        <v>75</v>
      </c>
      <c r="O1677">
        <f>IFERROR(_xlfn.NUMBERVALUE(LEFT(Table11[[#This Row],[Score2 ]],FIND("/",Table11[[#This Row],[Score2 ]])-1)),"")</f>
        <v>97</v>
      </c>
      <c r="P1677" t="s">
        <v>176</v>
      </c>
      <c r="Q1677" s="1" t="s">
        <v>181</v>
      </c>
      <c r="R1677" t="str">
        <f>Table11[[#This Row],[Match]]&amp;" "&amp;Table11[[#This Row],[Over]]</f>
        <v>27 16</v>
      </c>
    </row>
    <row r="1678" spans="1:18" x14ac:dyDescent="0.3">
      <c r="A1678">
        <v>27</v>
      </c>
      <c r="B1678" s="1">
        <v>17</v>
      </c>
      <c r="C1678" s="1" t="s">
        <v>2626</v>
      </c>
      <c r="D1678" s="1" t="s">
        <v>968</v>
      </c>
      <c r="E1678" s="1" t="s">
        <v>1316</v>
      </c>
      <c r="F1678" s="1" t="s">
        <v>1019</v>
      </c>
      <c r="G1678" s="1" t="s">
        <v>1681</v>
      </c>
      <c r="H1678" s="1" t="s">
        <v>904</v>
      </c>
      <c r="I1678" s="1" t="s">
        <v>1199</v>
      </c>
      <c r="J1678" s="1" t="s">
        <v>940</v>
      </c>
      <c r="K1678" s="1" t="s">
        <v>2461</v>
      </c>
      <c r="L1678" s="1" t="s">
        <v>1470</v>
      </c>
      <c r="M1678" s="1" t="s">
        <v>1031</v>
      </c>
      <c r="N1678">
        <f>_xlfn.NUMBERVALUE(LEFT(Table11[[#This Row],[Score]],FIND("/",Table11[[#This Row],[Score]])-1))</f>
        <v>76</v>
      </c>
      <c r="O1678">
        <f>IFERROR(_xlfn.NUMBERVALUE(LEFT(Table11[[#This Row],[Score2 ]],FIND("/",Table11[[#This Row],[Score2 ]])-1)),"")</f>
        <v>100</v>
      </c>
      <c r="P1678" t="s">
        <v>176</v>
      </c>
      <c r="Q1678" s="1" t="s">
        <v>181</v>
      </c>
      <c r="R1678" t="str">
        <f>Table11[[#This Row],[Match]]&amp;" "&amp;Table11[[#This Row],[Over]]</f>
        <v>27 17</v>
      </c>
    </row>
    <row r="1679" spans="1:18" x14ac:dyDescent="0.3">
      <c r="A1679">
        <v>27</v>
      </c>
      <c r="B1679" s="1">
        <v>18</v>
      </c>
      <c r="C1679" s="1" t="s">
        <v>3154</v>
      </c>
      <c r="D1679" s="1" t="s">
        <v>968</v>
      </c>
      <c r="E1679" s="1" t="s">
        <v>983</v>
      </c>
      <c r="F1679" s="1" t="s">
        <v>1093</v>
      </c>
      <c r="G1679" s="1" t="s">
        <v>3015</v>
      </c>
      <c r="H1679" s="1" t="s">
        <v>916</v>
      </c>
      <c r="I1679" s="1" t="s">
        <v>2389</v>
      </c>
      <c r="J1679" s="1" t="s">
        <v>940</v>
      </c>
      <c r="K1679" s="1" t="s">
        <v>1738</v>
      </c>
      <c r="L1679" s="1" t="s">
        <v>2016</v>
      </c>
      <c r="M1679" s="1" t="s">
        <v>1037</v>
      </c>
      <c r="N1679">
        <f>_xlfn.NUMBERVALUE(LEFT(Table11[[#This Row],[Score]],FIND("/",Table11[[#This Row],[Score]])-1))</f>
        <v>77</v>
      </c>
      <c r="O1679">
        <f>IFERROR(_xlfn.NUMBERVALUE(LEFT(Table11[[#This Row],[Score2 ]],FIND("/",Table11[[#This Row],[Score2 ]])-1)),"")</f>
        <v>107</v>
      </c>
      <c r="P1679" t="s">
        <v>176</v>
      </c>
      <c r="Q1679" s="1" t="s">
        <v>181</v>
      </c>
      <c r="R1679" t="str">
        <f>Table11[[#This Row],[Match]]&amp;" "&amp;Table11[[#This Row],[Over]]</f>
        <v>27 18</v>
      </c>
    </row>
    <row r="1680" spans="1:18" x14ac:dyDescent="0.3">
      <c r="A1680">
        <v>27</v>
      </c>
      <c r="B1680" s="1">
        <v>19</v>
      </c>
      <c r="C1680" s="1" t="s">
        <v>1039</v>
      </c>
      <c r="D1680" s="1" t="s">
        <v>922</v>
      </c>
      <c r="E1680" s="1" t="s">
        <v>1040</v>
      </c>
      <c r="F1680" s="1" t="s">
        <v>990</v>
      </c>
      <c r="G1680" s="1" t="s">
        <v>2122</v>
      </c>
      <c r="H1680" s="1" t="s">
        <v>950</v>
      </c>
      <c r="I1680" s="1" t="s">
        <v>2081</v>
      </c>
      <c r="J1680" s="1" t="s">
        <v>1093</v>
      </c>
      <c r="K1680" s="1" t="s">
        <v>3311</v>
      </c>
      <c r="L1680" s="1" t="s">
        <v>2137</v>
      </c>
      <c r="M1680" s="1" t="s">
        <v>1043</v>
      </c>
      <c r="N1680">
        <f>_xlfn.NUMBERVALUE(LEFT(Table11[[#This Row],[Score]],FIND("/",Table11[[#This Row],[Score]])-1))</f>
        <v>83</v>
      </c>
      <c r="O1680">
        <f>IFERROR(_xlfn.NUMBERVALUE(LEFT(Table11[[#This Row],[Score2 ]],FIND("/",Table11[[#This Row],[Score2 ]])-1)),"")</f>
        <v>112</v>
      </c>
      <c r="P1680" t="s">
        <v>176</v>
      </c>
      <c r="Q1680" s="1" t="s">
        <v>181</v>
      </c>
      <c r="R1680" t="str">
        <f>Table11[[#This Row],[Match]]&amp;" "&amp;Table11[[#This Row],[Over]]</f>
        <v>27 19</v>
      </c>
    </row>
    <row r="1681" spans="1:18" x14ac:dyDescent="0.3">
      <c r="A1681">
        <v>27</v>
      </c>
      <c r="B1681" s="1">
        <v>20</v>
      </c>
      <c r="C1681" s="1" t="s">
        <v>2699</v>
      </c>
      <c r="D1681" s="1" t="s">
        <v>1051</v>
      </c>
      <c r="E1681" s="1" t="s">
        <v>1321</v>
      </c>
      <c r="F1681" s="1" t="s">
        <v>1029</v>
      </c>
      <c r="G1681" s="1" t="s">
        <v>1324</v>
      </c>
      <c r="H1681" s="1" t="s">
        <v>1051</v>
      </c>
      <c r="I1681" s="1" t="s">
        <v>1971</v>
      </c>
      <c r="J1681" s="1" t="s">
        <v>943</v>
      </c>
      <c r="K1681" s="1" t="s">
        <v>2428</v>
      </c>
      <c r="L1681" s="1" t="s">
        <v>1082</v>
      </c>
      <c r="M1681" s="1" t="s">
        <v>1049</v>
      </c>
      <c r="N1681">
        <f>_xlfn.NUMBERVALUE(LEFT(Table11[[#This Row],[Score]],FIND("/",Table11[[#This Row],[Score]])-1))</f>
        <v>94</v>
      </c>
      <c r="O1681">
        <f>IFERROR(_xlfn.NUMBERVALUE(LEFT(Table11[[#This Row],[Score2 ]],FIND("/",Table11[[#This Row],[Score2 ]])-1)),"")</f>
        <v>123</v>
      </c>
      <c r="P1681" t="s">
        <v>176</v>
      </c>
      <c r="Q1681" s="1" t="s">
        <v>181</v>
      </c>
      <c r="R1681" t="str">
        <f>Table11[[#This Row],[Match]]&amp;" "&amp;Table11[[#This Row],[Over]]</f>
        <v>27 20</v>
      </c>
    </row>
    <row r="1682" spans="1:18" x14ac:dyDescent="0.3">
      <c r="A1682">
        <v>27</v>
      </c>
      <c r="B1682" s="1">
        <v>21</v>
      </c>
      <c r="C1682" s="1" t="s">
        <v>2017</v>
      </c>
      <c r="D1682" s="1" t="s">
        <v>950</v>
      </c>
      <c r="E1682" s="1" t="s">
        <v>948</v>
      </c>
      <c r="F1682" s="1" t="s">
        <v>1093</v>
      </c>
      <c r="G1682" s="1" t="s">
        <v>3709</v>
      </c>
      <c r="H1682" s="1" t="s">
        <v>904</v>
      </c>
      <c r="I1682" s="1" t="s">
        <v>1019</v>
      </c>
      <c r="J1682" s="1" t="s">
        <v>1013</v>
      </c>
      <c r="K1682" s="1" t="s">
        <v>2492</v>
      </c>
      <c r="L1682" s="1" t="s">
        <v>1328</v>
      </c>
      <c r="M1682" s="1" t="s">
        <v>1056</v>
      </c>
      <c r="N1682">
        <f>_xlfn.NUMBERVALUE(LEFT(Table11[[#This Row],[Score]],FIND("/",Table11[[#This Row],[Score]])-1))</f>
        <v>99</v>
      </c>
      <c r="O1682">
        <f>IFERROR(_xlfn.NUMBERVALUE(LEFT(Table11[[#This Row],[Score2 ]],FIND("/",Table11[[#This Row],[Score2 ]])-1)),"")</f>
        <v>126</v>
      </c>
      <c r="P1682" t="s">
        <v>176</v>
      </c>
      <c r="Q1682" s="1" t="s">
        <v>181</v>
      </c>
      <c r="R1682" t="str">
        <f>Table11[[#This Row],[Match]]&amp;" "&amp;Table11[[#This Row],[Over]]</f>
        <v>27 21</v>
      </c>
    </row>
    <row r="1683" spans="1:18" x14ac:dyDescent="0.3">
      <c r="A1683">
        <v>27</v>
      </c>
      <c r="B1683" s="1">
        <v>22</v>
      </c>
      <c r="C1683" s="1" t="s">
        <v>1777</v>
      </c>
      <c r="D1683" s="1" t="s">
        <v>998</v>
      </c>
      <c r="E1683" s="1" t="s">
        <v>1018</v>
      </c>
      <c r="F1683" s="1" t="s">
        <v>966</v>
      </c>
      <c r="G1683" s="1" t="s">
        <v>3395</v>
      </c>
      <c r="H1683" s="1" t="s">
        <v>916</v>
      </c>
      <c r="I1683" s="1" t="s">
        <v>1228</v>
      </c>
      <c r="J1683" s="1" t="s">
        <v>960</v>
      </c>
      <c r="K1683" s="1" t="s">
        <v>2086</v>
      </c>
      <c r="L1683" s="1" t="s">
        <v>1043</v>
      </c>
      <c r="M1683" s="1" t="s">
        <v>1063</v>
      </c>
      <c r="N1683">
        <f>_xlfn.NUMBERVALUE(LEFT(Table11[[#This Row],[Score]],FIND("/",Table11[[#This Row],[Score]])-1))</f>
        <v>103</v>
      </c>
      <c r="O1683">
        <f>IFERROR(_xlfn.NUMBERVALUE(LEFT(Table11[[#This Row],[Score2 ]],FIND("/",Table11[[#This Row],[Score2 ]])-1)),"")</f>
        <v>133</v>
      </c>
      <c r="P1683" t="s">
        <v>176</v>
      </c>
      <c r="Q1683" s="1" t="s">
        <v>181</v>
      </c>
      <c r="R1683" t="str">
        <f>Table11[[#This Row],[Match]]&amp;" "&amp;Table11[[#This Row],[Over]]</f>
        <v>27 22</v>
      </c>
    </row>
    <row r="1684" spans="1:18" x14ac:dyDescent="0.3">
      <c r="A1684">
        <v>27</v>
      </c>
      <c r="B1684" s="1">
        <v>23</v>
      </c>
      <c r="C1684" s="1" t="s">
        <v>1785</v>
      </c>
      <c r="D1684" s="1" t="s">
        <v>916</v>
      </c>
      <c r="E1684" s="1" t="s">
        <v>1180</v>
      </c>
      <c r="F1684" s="1" t="s">
        <v>960</v>
      </c>
      <c r="G1684" s="1" t="s">
        <v>3398</v>
      </c>
      <c r="H1684" s="1" t="s">
        <v>916</v>
      </c>
      <c r="I1684" s="1" t="s">
        <v>1225</v>
      </c>
      <c r="J1684" s="1" t="s">
        <v>960</v>
      </c>
      <c r="K1684" s="1" t="s">
        <v>1738</v>
      </c>
      <c r="L1684" s="1" t="s">
        <v>2370</v>
      </c>
      <c r="M1684" s="1" t="s">
        <v>1070</v>
      </c>
      <c r="N1684">
        <f>_xlfn.NUMBERVALUE(LEFT(Table11[[#This Row],[Score]],FIND("/",Table11[[#This Row],[Score]])-1))</f>
        <v>110</v>
      </c>
      <c r="O1684">
        <f>IFERROR(_xlfn.NUMBERVALUE(LEFT(Table11[[#This Row],[Score2 ]],FIND("/",Table11[[#This Row],[Score2 ]])-1)),"")</f>
        <v>140</v>
      </c>
      <c r="P1684" t="s">
        <v>176</v>
      </c>
      <c r="Q1684" s="1" t="s">
        <v>181</v>
      </c>
      <c r="R1684" t="str">
        <f>Table11[[#This Row],[Match]]&amp;" "&amp;Table11[[#This Row],[Over]]</f>
        <v>27 23</v>
      </c>
    </row>
    <row r="1685" spans="1:18" x14ac:dyDescent="0.3">
      <c r="A1685">
        <v>27</v>
      </c>
      <c r="B1685" s="1">
        <v>24</v>
      </c>
      <c r="C1685" s="1" t="s">
        <v>3259</v>
      </c>
      <c r="D1685" s="1" t="s">
        <v>922</v>
      </c>
      <c r="E1685" s="1" t="s">
        <v>2438</v>
      </c>
      <c r="F1685" s="1" t="s">
        <v>960</v>
      </c>
      <c r="G1685" s="1" t="s">
        <v>3821</v>
      </c>
      <c r="H1685" s="1" t="s">
        <v>1095</v>
      </c>
      <c r="I1685" s="1" t="s">
        <v>1448</v>
      </c>
      <c r="J1685" s="1" t="s">
        <v>1508</v>
      </c>
      <c r="K1685" s="1" t="s">
        <v>1729</v>
      </c>
      <c r="L1685" s="1" t="s">
        <v>1112</v>
      </c>
      <c r="M1685" s="1" t="s">
        <v>1077</v>
      </c>
      <c r="N1685">
        <f>_xlfn.NUMBERVALUE(LEFT(Table11[[#This Row],[Score]],FIND("/",Table11[[#This Row],[Score]])-1))</f>
        <v>116</v>
      </c>
      <c r="O1685">
        <f>IFERROR(_xlfn.NUMBERVALUE(LEFT(Table11[[#This Row],[Score2 ]],FIND("/",Table11[[#This Row],[Score2 ]])-1)),"")</f>
        <v>150</v>
      </c>
      <c r="P1685" t="s">
        <v>176</v>
      </c>
      <c r="Q1685" s="1" t="s">
        <v>181</v>
      </c>
      <c r="R1685" t="str">
        <f>Table11[[#This Row],[Match]]&amp;" "&amp;Table11[[#This Row],[Over]]</f>
        <v>27 24</v>
      </c>
    </row>
    <row r="1686" spans="1:18" x14ac:dyDescent="0.3">
      <c r="A1686">
        <v>27</v>
      </c>
      <c r="B1686" s="1">
        <v>25</v>
      </c>
      <c r="C1686" s="1" t="s">
        <v>3007</v>
      </c>
      <c r="D1686" s="1" t="s">
        <v>922</v>
      </c>
      <c r="E1686" s="1" t="s">
        <v>1202</v>
      </c>
      <c r="F1686" s="1" t="s">
        <v>934</v>
      </c>
      <c r="G1686" s="1" t="s">
        <v>3218</v>
      </c>
      <c r="H1686" s="1" t="s">
        <v>950</v>
      </c>
      <c r="I1686" s="1" t="s">
        <v>970</v>
      </c>
      <c r="J1686" s="1" t="s">
        <v>943</v>
      </c>
      <c r="K1686" s="1" t="s">
        <v>1002</v>
      </c>
      <c r="L1686" s="1" t="s">
        <v>1126</v>
      </c>
      <c r="M1686" s="1" t="s">
        <v>1083</v>
      </c>
      <c r="N1686">
        <f>_xlfn.NUMBERVALUE(LEFT(Table11[[#This Row],[Score]],FIND("/",Table11[[#This Row],[Score]])-1))</f>
        <v>122</v>
      </c>
      <c r="O1686">
        <f>IFERROR(_xlfn.NUMBERVALUE(LEFT(Table11[[#This Row],[Score2 ]],FIND("/",Table11[[#This Row],[Score2 ]])-1)),"")</f>
        <v>155</v>
      </c>
      <c r="P1686" t="s">
        <v>176</v>
      </c>
      <c r="Q1686" s="1" t="s">
        <v>181</v>
      </c>
      <c r="R1686" t="str">
        <f>Table11[[#This Row],[Match]]&amp;" "&amp;Table11[[#This Row],[Over]]</f>
        <v>27 25</v>
      </c>
    </row>
    <row r="1687" spans="1:18" x14ac:dyDescent="0.3">
      <c r="A1687">
        <v>27</v>
      </c>
      <c r="B1687" s="1">
        <v>26</v>
      </c>
      <c r="C1687" s="1" t="s">
        <v>1520</v>
      </c>
      <c r="D1687" s="1" t="s">
        <v>904</v>
      </c>
      <c r="E1687" s="1" t="s">
        <v>1093</v>
      </c>
      <c r="F1687" s="1" t="s">
        <v>1029</v>
      </c>
      <c r="G1687" s="1" t="s">
        <v>3822</v>
      </c>
      <c r="H1687" s="1" t="s">
        <v>947</v>
      </c>
      <c r="I1687" s="1" t="s">
        <v>1982</v>
      </c>
      <c r="J1687" s="1" t="s">
        <v>1508</v>
      </c>
      <c r="K1687" s="1" t="s">
        <v>2454</v>
      </c>
      <c r="L1687" s="1" t="s">
        <v>1368</v>
      </c>
      <c r="M1687" s="1" t="s">
        <v>1090</v>
      </c>
      <c r="N1687">
        <f>_xlfn.NUMBERVALUE(LEFT(Table11[[#This Row],[Score]],FIND("/",Table11[[#This Row],[Score]])-1))</f>
        <v>125</v>
      </c>
      <c r="O1687">
        <f>IFERROR(_xlfn.NUMBERVALUE(LEFT(Table11[[#This Row],[Score2 ]],FIND("/",Table11[[#This Row],[Score2 ]])-1)),"")</f>
        <v>164</v>
      </c>
      <c r="P1687" t="s">
        <v>176</v>
      </c>
      <c r="Q1687" s="1" t="s">
        <v>181</v>
      </c>
      <c r="R1687" t="str">
        <f>Table11[[#This Row],[Match]]&amp;" "&amp;Table11[[#This Row],[Over]]</f>
        <v>27 26</v>
      </c>
    </row>
    <row r="1688" spans="1:18" x14ac:dyDescent="0.3">
      <c r="A1688">
        <v>27</v>
      </c>
      <c r="B1688" s="1">
        <v>27</v>
      </c>
      <c r="C1688" s="1" t="s">
        <v>3823</v>
      </c>
      <c r="D1688" s="1" t="s">
        <v>898</v>
      </c>
      <c r="E1688" s="1" t="s">
        <v>1321</v>
      </c>
      <c r="F1688" s="1" t="s">
        <v>1093</v>
      </c>
      <c r="G1688" s="1" t="s">
        <v>3824</v>
      </c>
      <c r="H1688" s="1" t="s">
        <v>998</v>
      </c>
      <c r="I1688" s="1" t="s">
        <v>1236</v>
      </c>
      <c r="J1688" s="1" t="s">
        <v>952</v>
      </c>
      <c r="K1688" s="1" t="s">
        <v>1002</v>
      </c>
      <c r="L1688" s="1" t="s">
        <v>1376</v>
      </c>
      <c r="M1688" s="1" t="s">
        <v>1098</v>
      </c>
      <c r="N1688">
        <f>_xlfn.NUMBERVALUE(LEFT(Table11[[#This Row],[Score]],FIND("/",Table11[[#This Row],[Score]])-1))</f>
        <v>127</v>
      </c>
      <c r="O1688">
        <f>IFERROR(_xlfn.NUMBERVALUE(LEFT(Table11[[#This Row],[Score2 ]],FIND("/",Table11[[#This Row],[Score2 ]])-1)),"")</f>
        <v>168</v>
      </c>
      <c r="P1688" t="s">
        <v>176</v>
      </c>
      <c r="Q1688" s="1" t="s">
        <v>181</v>
      </c>
      <c r="R1688" t="str">
        <f>Table11[[#This Row],[Match]]&amp;" "&amp;Table11[[#This Row],[Over]]</f>
        <v>27 27</v>
      </c>
    </row>
    <row r="1689" spans="1:18" x14ac:dyDescent="0.3">
      <c r="A1689">
        <v>27</v>
      </c>
      <c r="B1689" s="1">
        <v>28</v>
      </c>
      <c r="C1689" s="1" t="s">
        <v>3825</v>
      </c>
      <c r="D1689" s="1" t="s">
        <v>947</v>
      </c>
      <c r="E1689" s="1" t="s">
        <v>1174</v>
      </c>
      <c r="F1689" s="1" t="s">
        <v>1029</v>
      </c>
      <c r="G1689" s="1" t="s">
        <v>3826</v>
      </c>
      <c r="H1689" s="1" t="s">
        <v>930</v>
      </c>
      <c r="I1689" s="1" t="s">
        <v>2440</v>
      </c>
      <c r="J1689" s="1" t="s">
        <v>1116</v>
      </c>
      <c r="K1689" s="1" t="s">
        <v>1729</v>
      </c>
      <c r="L1689" s="1" t="s">
        <v>2469</v>
      </c>
      <c r="M1689" s="1" t="s">
        <v>1101</v>
      </c>
      <c r="N1689">
        <f>_xlfn.NUMBERVALUE(LEFT(Table11[[#This Row],[Score]],FIND("/",Table11[[#This Row],[Score]])-1))</f>
        <v>136</v>
      </c>
      <c r="O1689">
        <f>IFERROR(_xlfn.NUMBERVALUE(LEFT(Table11[[#This Row],[Score2 ]],FIND("/",Table11[[#This Row],[Score2 ]])-1)),"")</f>
        <v>176</v>
      </c>
      <c r="P1689" t="s">
        <v>176</v>
      </c>
      <c r="Q1689" s="1" t="s">
        <v>181</v>
      </c>
      <c r="R1689" t="str">
        <f>Table11[[#This Row],[Match]]&amp;" "&amp;Table11[[#This Row],[Over]]</f>
        <v>27 28</v>
      </c>
    </row>
    <row r="1690" spans="1:18" x14ac:dyDescent="0.3">
      <c r="A1690">
        <v>27</v>
      </c>
      <c r="B1690" s="1">
        <v>29</v>
      </c>
      <c r="C1690" s="1" t="s">
        <v>2894</v>
      </c>
      <c r="D1690" s="1" t="s">
        <v>950</v>
      </c>
      <c r="E1690" s="1" t="s">
        <v>1312</v>
      </c>
      <c r="F1690" s="1" t="s">
        <v>969</v>
      </c>
      <c r="G1690" s="1" t="s">
        <v>1128</v>
      </c>
      <c r="H1690" s="1" t="s">
        <v>950</v>
      </c>
      <c r="I1690" s="1" t="s">
        <v>971</v>
      </c>
      <c r="J1690" s="1" t="s">
        <v>970</v>
      </c>
      <c r="K1690" s="1" t="s">
        <v>2926</v>
      </c>
      <c r="L1690" s="1" t="s">
        <v>1098</v>
      </c>
      <c r="M1690" s="1" t="s">
        <v>1108</v>
      </c>
      <c r="N1690">
        <f>_xlfn.NUMBERVALUE(LEFT(Table11[[#This Row],[Score]],FIND("/",Table11[[#This Row],[Score]])-1))</f>
        <v>141</v>
      </c>
      <c r="O1690">
        <f>IFERROR(_xlfn.NUMBERVALUE(LEFT(Table11[[#This Row],[Score2 ]],FIND("/",Table11[[#This Row],[Score2 ]])-1)),"")</f>
        <v>181</v>
      </c>
      <c r="P1690" t="s">
        <v>176</v>
      </c>
      <c r="Q1690" s="1" t="s">
        <v>181</v>
      </c>
      <c r="R1690" t="str">
        <f>Table11[[#This Row],[Match]]&amp;" "&amp;Table11[[#This Row],[Over]]</f>
        <v>27 29</v>
      </c>
    </row>
    <row r="1691" spans="1:18" x14ac:dyDescent="0.3">
      <c r="A1691">
        <v>27</v>
      </c>
      <c r="B1691" s="1">
        <v>30</v>
      </c>
      <c r="C1691" s="1" t="s">
        <v>2038</v>
      </c>
      <c r="D1691" s="1" t="s">
        <v>1051</v>
      </c>
      <c r="E1691" s="1" t="s">
        <v>2279</v>
      </c>
      <c r="F1691" s="1" t="s">
        <v>1019</v>
      </c>
      <c r="G1691" s="1" t="s">
        <v>1802</v>
      </c>
      <c r="H1691" s="1" t="s">
        <v>1095</v>
      </c>
      <c r="I1691" s="1" t="s">
        <v>2720</v>
      </c>
      <c r="J1691" s="1" t="s">
        <v>1116</v>
      </c>
      <c r="K1691" s="1" t="s">
        <v>943</v>
      </c>
      <c r="L1691" s="1" t="s">
        <v>2478</v>
      </c>
      <c r="M1691" s="1" t="s">
        <v>1113</v>
      </c>
      <c r="N1691">
        <f>_xlfn.NUMBERVALUE(LEFT(Table11[[#This Row],[Score]],FIND("/",Table11[[#This Row],[Score]])-1))</f>
        <v>152</v>
      </c>
      <c r="O1691">
        <f>IFERROR(_xlfn.NUMBERVALUE(LEFT(Table11[[#This Row],[Score2 ]],FIND("/",Table11[[#This Row],[Score2 ]])-1)),"")</f>
        <v>191</v>
      </c>
      <c r="P1691" t="s">
        <v>176</v>
      </c>
      <c r="Q1691" s="1" t="s">
        <v>181</v>
      </c>
      <c r="R1691" t="str">
        <f>Table11[[#This Row],[Match]]&amp;" "&amp;Table11[[#This Row],[Over]]</f>
        <v>27 30</v>
      </c>
    </row>
    <row r="1692" spans="1:18" x14ac:dyDescent="0.3">
      <c r="A1692">
        <v>27</v>
      </c>
      <c r="B1692" s="1">
        <v>31</v>
      </c>
      <c r="C1692" s="1" t="s">
        <v>2844</v>
      </c>
      <c r="D1692" s="1" t="s">
        <v>1051</v>
      </c>
      <c r="E1692" s="1" t="s">
        <v>1722</v>
      </c>
      <c r="F1692" s="1" t="s">
        <v>1508</v>
      </c>
      <c r="G1692" s="1" t="s">
        <v>3827</v>
      </c>
      <c r="H1692" s="1" t="s">
        <v>930</v>
      </c>
      <c r="I1692" s="1" t="s">
        <v>2231</v>
      </c>
      <c r="J1692" s="1" t="s">
        <v>952</v>
      </c>
      <c r="K1692" s="1" t="s">
        <v>3251</v>
      </c>
      <c r="L1692" s="1" t="s">
        <v>1113</v>
      </c>
      <c r="M1692" s="1" t="s">
        <v>1121</v>
      </c>
      <c r="N1692">
        <f>_xlfn.NUMBERVALUE(LEFT(Table11[[#This Row],[Score]],FIND("/",Table11[[#This Row],[Score]])-1))</f>
        <v>163</v>
      </c>
      <c r="O1692">
        <f>IFERROR(_xlfn.NUMBERVALUE(LEFT(Table11[[#This Row],[Score2 ]],FIND("/",Table11[[#This Row],[Score2 ]])-1)),"")</f>
        <v>199</v>
      </c>
      <c r="P1692" t="s">
        <v>176</v>
      </c>
      <c r="Q1692" s="1" t="s">
        <v>181</v>
      </c>
      <c r="R1692" t="str">
        <f>Table11[[#This Row],[Match]]&amp;" "&amp;Table11[[#This Row],[Over]]</f>
        <v>27 31</v>
      </c>
    </row>
    <row r="1693" spans="1:18" x14ac:dyDescent="0.3">
      <c r="A1693">
        <v>27</v>
      </c>
      <c r="B1693" s="1">
        <v>32</v>
      </c>
      <c r="C1693" s="1" t="s">
        <v>1820</v>
      </c>
      <c r="D1693" s="1" t="s">
        <v>950</v>
      </c>
      <c r="E1693" s="1" t="s">
        <v>1722</v>
      </c>
      <c r="F1693" s="1" t="s">
        <v>1405</v>
      </c>
      <c r="G1693" s="1" t="s">
        <v>3266</v>
      </c>
      <c r="H1693" s="1" t="s">
        <v>950</v>
      </c>
      <c r="I1693" s="1" t="s">
        <v>978</v>
      </c>
      <c r="J1693" s="1" t="s">
        <v>1116</v>
      </c>
      <c r="K1693" s="1" t="s">
        <v>1459</v>
      </c>
      <c r="L1693" s="1" t="s">
        <v>1880</v>
      </c>
      <c r="M1693" s="1" t="s">
        <v>1127</v>
      </c>
      <c r="N1693">
        <f>_xlfn.NUMBERVALUE(LEFT(Table11[[#This Row],[Score]],FIND("/",Table11[[#This Row],[Score]])-1))</f>
        <v>168</v>
      </c>
      <c r="O1693">
        <f>IFERROR(_xlfn.NUMBERVALUE(LEFT(Table11[[#This Row],[Score2 ]],FIND("/",Table11[[#This Row],[Score2 ]])-1)),"")</f>
        <v>204</v>
      </c>
      <c r="P1693" t="s">
        <v>176</v>
      </c>
      <c r="Q1693" s="1" t="s">
        <v>181</v>
      </c>
      <c r="R1693" t="str">
        <f>Table11[[#This Row],[Match]]&amp;" "&amp;Table11[[#This Row],[Over]]</f>
        <v>27 32</v>
      </c>
    </row>
    <row r="1694" spans="1:18" x14ac:dyDescent="0.3">
      <c r="A1694">
        <v>27</v>
      </c>
      <c r="B1694" s="1">
        <v>33</v>
      </c>
      <c r="C1694" s="1" t="s">
        <v>2047</v>
      </c>
      <c r="D1694" s="1" t="s">
        <v>916</v>
      </c>
      <c r="E1694" s="1" t="s">
        <v>1065</v>
      </c>
      <c r="F1694" s="1" t="s">
        <v>1168</v>
      </c>
      <c r="G1694" s="1" t="s">
        <v>3828</v>
      </c>
      <c r="H1694" s="1" t="s">
        <v>998</v>
      </c>
      <c r="I1694" s="1" t="s">
        <v>1982</v>
      </c>
      <c r="J1694" s="1" t="s">
        <v>943</v>
      </c>
      <c r="K1694" s="1" t="s">
        <v>994</v>
      </c>
      <c r="L1694" s="1" t="s">
        <v>2073</v>
      </c>
      <c r="M1694" s="1" t="s">
        <v>1132</v>
      </c>
      <c r="N1694">
        <f>_xlfn.NUMBERVALUE(LEFT(Table11[[#This Row],[Score]],FIND("/",Table11[[#This Row],[Score]])-1))</f>
        <v>175</v>
      </c>
      <c r="O1694">
        <f>IFERROR(_xlfn.NUMBERVALUE(LEFT(Table11[[#This Row],[Score2 ]],FIND("/",Table11[[#This Row],[Score2 ]])-1)),"")</f>
        <v>208</v>
      </c>
      <c r="P1694" t="s">
        <v>176</v>
      </c>
      <c r="Q1694" s="1" t="s">
        <v>181</v>
      </c>
      <c r="R1694" t="str">
        <f>Table11[[#This Row],[Match]]&amp;" "&amp;Table11[[#This Row],[Over]]</f>
        <v>27 33</v>
      </c>
    </row>
    <row r="1695" spans="1:18" x14ac:dyDescent="0.3">
      <c r="A1695">
        <v>27</v>
      </c>
      <c r="B1695" s="1">
        <v>34</v>
      </c>
      <c r="C1695" s="1" t="s">
        <v>3829</v>
      </c>
      <c r="D1695" s="1" t="s">
        <v>904</v>
      </c>
      <c r="E1695" s="1" t="s">
        <v>2718</v>
      </c>
      <c r="F1695" s="1" t="s">
        <v>1068</v>
      </c>
      <c r="G1695" s="1" t="s">
        <v>2291</v>
      </c>
      <c r="H1695" s="1" t="s">
        <v>898</v>
      </c>
      <c r="I1695" s="1" t="s">
        <v>918</v>
      </c>
      <c r="J1695" s="1" t="s">
        <v>1013</v>
      </c>
      <c r="K1695" s="1" t="s">
        <v>1815</v>
      </c>
      <c r="L1695" s="1" t="s">
        <v>2727</v>
      </c>
      <c r="M1695" s="1" t="s">
        <v>1138</v>
      </c>
      <c r="N1695">
        <f>_xlfn.NUMBERVALUE(LEFT(Table11[[#This Row],[Score]],FIND("/",Table11[[#This Row],[Score]])-1))</f>
        <v>178</v>
      </c>
      <c r="O1695">
        <f>IFERROR(_xlfn.NUMBERVALUE(LEFT(Table11[[#This Row],[Score2 ]],FIND("/",Table11[[#This Row],[Score2 ]])-1)),"")</f>
        <v>210</v>
      </c>
      <c r="P1695" t="s">
        <v>176</v>
      </c>
      <c r="Q1695" s="1" t="s">
        <v>181</v>
      </c>
      <c r="R1695" t="str">
        <f>Table11[[#This Row],[Match]]&amp;" "&amp;Table11[[#This Row],[Over]]</f>
        <v>27 34</v>
      </c>
    </row>
    <row r="1696" spans="1:18" x14ac:dyDescent="0.3">
      <c r="A1696">
        <v>27</v>
      </c>
      <c r="B1696" s="1">
        <v>35</v>
      </c>
      <c r="C1696" s="1" t="s">
        <v>3294</v>
      </c>
      <c r="D1696" s="1" t="s">
        <v>898</v>
      </c>
      <c r="E1696" s="1" t="s">
        <v>1092</v>
      </c>
      <c r="F1696" s="1" t="s">
        <v>934</v>
      </c>
      <c r="G1696" s="1" t="s">
        <v>2058</v>
      </c>
      <c r="H1696" s="1" t="s">
        <v>916</v>
      </c>
      <c r="I1696" s="1" t="s">
        <v>970</v>
      </c>
      <c r="J1696" s="1" t="s">
        <v>1029</v>
      </c>
      <c r="K1696" s="1" t="s">
        <v>1053</v>
      </c>
      <c r="L1696" s="1" t="s">
        <v>1132</v>
      </c>
      <c r="M1696" s="1" t="s">
        <v>1143</v>
      </c>
      <c r="N1696">
        <f>_xlfn.NUMBERVALUE(LEFT(Table11[[#This Row],[Score]],FIND("/",Table11[[#This Row],[Score]])-1))</f>
        <v>180</v>
      </c>
      <c r="O1696">
        <f>IFERROR(_xlfn.NUMBERVALUE(LEFT(Table11[[#This Row],[Score2 ]],FIND("/",Table11[[#This Row],[Score2 ]])-1)),"")</f>
        <v>217</v>
      </c>
      <c r="P1696" t="s">
        <v>176</v>
      </c>
      <c r="Q1696" s="1" t="s">
        <v>181</v>
      </c>
      <c r="R1696" t="str">
        <f>Table11[[#This Row],[Match]]&amp;" "&amp;Table11[[#This Row],[Over]]</f>
        <v>27 35</v>
      </c>
    </row>
    <row r="1697" spans="1:18" x14ac:dyDescent="0.3">
      <c r="A1697">
        <v>27</v>
      </c>
      <c r="B1697" s="1">
        <v>36</v>
      </c>
      <c r="C1697" s="1" t="s">
        <v>1834</v>
      </c>
      <c r="D1697" s="1" t="s">
        <v>933</v>
      </c>
      <c r="E1697" s="1" t="s">
        <v>1732</v>
      </c>
      <c r="F1697" s="1" t="s">
        <v>970</v>
      </c>
      <c r="G1697" s="1" t="s">
        <v>3830</v>
      </c>
      <c r="H1697" s="1" t="s">
        <v>1095</v>
      </c>
      <c r="I1697" s="1" t="s">
        <v>1982</v>
      </c>
      <c r="J1697" s="1" t="s">
        <v>934</v>
      </c>
      <c r="K1697" s="1" t="s">
        <v>2926</v>
      </c>
      <c r="L1697" s="1" t="s">
        <v>2489</v>
      </c>
      <c r="M1697" s="1" t="s">
        <v>1150</v>
      </c>
      <c r="N1697">
        <f>_xlfn.NUMBERVALUE(LEFT(Table11[[#This Row],[Score]],FIND("/",Table11[[#This Row],[Score]])-1))</f>
        <v>194</v>
      </c>
      <c r="O1697">
        <f>IFERROR(_xlfn.NUMBERVALUE(LEFT(Table11[[#This Row],[Score2 ]],FIND("/",Table11[[#This Row],[Score2 ]])-1)),"")</f>
        <v>227</v>
      </c>
      <c r="P1697" t="s">
        <v>176</v>
      </c>
      <c r="Q1697" s="1" t="s">
        <v>181</v>
      </c>
      <c r="R1697" t="str">
        <f>Table11[[#This Row],[Match]]&amp;" "&amp;Table11[[#This Row],[Over]]</f>
        <v>27 36</v>
      </c>
    </row>
    <row r="1698" spans="1:18" x14ac:dyDescent="0.3">
      <c r="A1698">
        <v>27</v>
      </c>
      <c r="B1698" s="1">
        <v>37</v>
      </c>
      <c r="C1698" s="1" t="s">
        <v>3831</v>
      </c>
      <c r="D1698" s="1" t="s">
        <v>998</v>
      </c>
      <c r="E1698" s="1" t="s">
        <v>2123</v>
      </c>
      <c r="F1698" s="1" t="s">
        <v>1019</v>
      </c>
      <c r="G1698" s="1" t="s">
        <v>3832</v>
      </c>
      <c r="H1698" s="1" t="s">
        <v>1147</v>
      </c>
      <c r="I1698" s="1" t="s">
        <v>2228</v>
      </c>
      <c r="J1698" s="1" t="s">
        <v>1508</v>
      </c>
      <c r="K1698" s="1" t="s">
        <v>2235</v>
      </c>
      <c r="L1698" s="1" t="s">
        <v>1222</v>
      </c>
      <c r="M1698" s="1" t="s">
        <v>1156</v>
      </c>
      <c r="N1698">
        <f>_xlfn.NUMBERVALUE(LEFT(Table11[[#This Row],[Score]],FIND("/",Table11[[#This Row],[Score]])-1))</f>
        <v>198</v>
      </c>
      <c r="O1698">
        <f>IFERROR(_xlfn.NUMBERVALUE(LEFT(Table11[[#This Row],[Score2 ]],FIND("/",Table11[[#This Row],[Score2 ]])-1)),"")</f>
        <v>242</v>
      </c>
      <c r="P1698" t="s">
        <v>176</v>
      </c>
      <c r="Q1698" s="1" t="s">
        <v>181</v>
      </c>
      <c r="R1698" t="str">
        <f>Table11[[#This Row],[Match]]&amp;" "&amp;Table11[[#This Row],[Over]]</f>
        <v>27 37</v>
      </c>
    </row>
    <row r="1699" spans="1:18" x14ac:dyDescent="0.3">
      <c r="A1699">
        <v>27</v>
      </c>
      <c r="B1699" s="1">
        <v>38</v>
      </c>
      <c r="C1699" s="1" t="s">
        <v>3833</v>
      </c>
      <c r="D1699" s="1" t="s">
        <v>930</v>
      </c>
      <c r="E1699" s="1" t="s">
        <v>1158</v>
      </c>
      <c r="F1699" s="1" t="s">
        <v>970</v>
      </c>
      <c r="G1699" s="1" t="s">
        <v>3834</v>
      </c>
      <c r="H1699" s="1" t="s">
        <v>950</v>
      </c>
      <c r="I1699" s="1" t="s">
        <v>1729</v>
      </c>
      <c r="J1699" s="1" t="s">
        <v>1168</v>
      </c>
      <c r="K1699" s="1" t="s">
        <v>1019</v>
      </c>
      <c r="L1699" s="1" t="s">
        <v>1164</v>
      </c>
      <c r="M1699" s="1" t="s">
        <v>1164</v>
      </c>
      <c r="N1699">
        <f>_xlfn.NUMBERVALUE(LEFT(Table11[[#This Row],[Score]],FIND("/",Table11[[#This Row],[Score]])-1))</f>
        <v>206</v>
      </c>
      <c r="O1699">
        <f>IFERROR(_xlfn.NUMBERVALUE(LEFT(Table11[[#This Row],[Score2 ]],FIND("/",Table11[[#This Row],[Score2 ]])-1)),"")</f>
        <v>247</v>
      </c>
      <c r="P1699" t="s">
        <v>176</v>
      </c>
      <c r="Q1699" s="1" t="s">
        <v>181</v>
      </c>
      <c r="R1699" t="str">
        <f>Table11[[#This Row],[Match]]&amp;" "&amp;Table11[[#This Row],[Over]]</f>
        <v>27 38</v>
      </c>
    </row>
    <row r="1700" spans="1:18" x14ac:dyDescent="0.3">
      <c r="A1700">
        <v>27</v>
      </c>
      <c r="B1700" s="1">
        <v>39</v>
      </c>
      <c r="C1700" s="1" t="s">
        <v>3496</v>
      </c>
      <c r="D1700" s="1" t="s">
        <v>922</v>
      </c>
      <c r="E1700" s="1" t="s">
        <v>2135</v>
      </c>
      <c r="F1700" s="1" t="s">
        <v>1053</v>
      </c>
      <c r="G1700" s="1" t="s">
        <v>3130</v>
      </c>
      <c r="H1700" s="1" t="s">
        <v>968</v>
      </c>
      <c r="I1700" s="1" t="s">
        <v>2128</v>
      </c>
      <c r="J1700" s="1" t="s">
        <v>1508</v>
      </c>
      <c r="K1700" s="1" t="s">
        <v>2454</v>
      </c>
      <c r="L1700" s="1" t="s">
        <v>1589</v>
      </c>
      <c r="M1700" s="1" t="s">
        <v>1171</v>
      </c>
      <c r="N1700">
        <f>_xlfn.NUMBERVALUE(LEFT(Table11[[#This Row],[Score]],FIND("/",Table11[[#This Row],[Score]])-1))</f>
        <v>212</v>
      </c>
      <c r="O1700">
        <f>IFERROR(_xlfn.NUMBERVALUE(LEFT(Table11[[#This Row],[Score2 ]],FIND("/",Table11[[#This Row],[Score2 ]])-1)),"")</f>
        <v>248</v>
      </c>
      <c r="P1700" t="s">
        <v>176</v>
      </c>
      <c r="Q1700" s="1" t="s">
        <v>181</v>
      </c>
      <c r="R1700" t="str">
        <f>Table11[[#This Row],[Match]]&amp;" "&amp;Table11[[#This Row],[Over]]</f>
        <v>27 39</v>
      </c>
    </row>
    <row r="1701" spans="1:18" x14ac:dyDescent="0.3">
      <c r="A1701">
        <v>27</v>
      </c>
      <c r="B1701" s="1">
        <v>40</v>
      </c>
      <c r="C1701" s="1" t="s">
        <v>3835</v>
      </c>
      <c r="D1701" s="1" t="s">
        <v>1223</v>
      </c>
      <c r="E1701" s="1" t="s">
        <v>1601</v>
      </c>
      <c r="F1701" s="1" t="s">
        <v>2055</v>
      </c>
      <c r="G1701" s="1" t="s">
        <v>2183</v>
      </c>
      <c r="H1701" s="1" t="s">
        <v>998</v>
      </c>
      <c r="I1701" s="1" t="s">
        <v>1982</v>
      </c>
      <c r="J1701" s="1" t="s">
        <v>952</v>
      </c>
      <c r="K1701" s="1" t="s">
        <v>2327</v>
      </c>
      <c r="L1701" s="1" t="s">
        <v>2495</v>
      </c>
      <c r="M1701" s="1" t="s">
        <v>1177</v>
      </c>
      <c r="N1701">
        <f>_xlfn.NUMBERVALUE(LEFT(Table11[[#This Row],[Score]],FIND("/",Table11[[#This Row],[Score]])-1))</f>
        <v>230</v>
      </c>
      <c r="O1701">
        <f>IFERROR(_xlfn.NUMBERVALUE(LEFT(Table11[[#This Row],[Score2 ]],FIND("/",Table11[[#This Row],[Score2 ]])-1)),"")</f>
        <v>252</v>
      </c>
      <c r="P1701" t="s">
        <v>176</v>
      </c>
      <c r="Q1701" s="1" t="s">
        <v>181</v>
      </c>
      <c r="R1701" t="str">
        <f>Table11[[#This Row],[Match]]&amp;" "&amp;Table11[[#This Row],[Over]]</f>
        <v>27 40</v>
      </c>
    </row>
    <row r="1702" spans="1:18" x14ac:dyDescent="0.3">
      <c r="A1702">
        <v>27</v>
      </c>
      <c r="B1702" s="1">
        <v>41</v>
      </c>
      <c r="C1702" s="1" t="s">
        <v>3836</v>
      </c>
      <c r="D1702" s="1" t="s">
        <v>950</v>
      </c>
      <c r="E1702" s="1" t="s">
        <v>2143</v>
      </c>
      <c r="F1702" s="1" t="s">
        <v>1405</v>
      </c>
      <c r="G1702" s="1" t="s">
        <v>3562</v>
      </c>
      <c r="H1702" s="1" t="s">
        <v>950</v>
      </c>
      <c r="I1702" s="1" t="s">
        <v>2700</v>
      </c>
      <c r="J1702" s="1" t="s">
        <v>1019</v>
      </c>
      <c r="K1702" s="1" t="s">
        <v>1742</v>
      </c>
      <c r="L1702" s="1" t="s">
        <v>3518</v>
      </c>
      <c r="M1702" s="1" t="s">
        <v>1183</v>
      </c>
      <c r="N1702">
        <f>_xlfn.NUMBERVALUE(LEFT(Table11[[#This Row],[Score]],FIND("/",Table11[[#This Row],[Score]])-1))</f>
        <v>235</v>
      </c>
      <c r="O1702">
        <f>IFERROR(_xlfn.NUMBERVALUE(LEFT(Table11[[#This Row],[Score2 ]],FIND("/",Table11[[#This Row],[Score2 ]])-1)),"")</f>
        <v>257</v>
      </c>
      <c r="P1702" t="s">
        <v>176</v>
      </c>
      <c r="Q1702" s="1" t="s">
        <v>181</v>
      </c>
      <c r="R1702" t="str">
        <f>Table11[[#This Row],[Match]]&amp;" "&amp;Table11[[#This Row],[Over]]</f>
        <v>27 41</v>
      </c>
    </row>
    <row r="1703" spans="1:18" x14ac:dyDescent="0.3">
      <c r="A1703">
        <v>27</v>
      </c>
      <c r="B1703" s="1">
        <v>42</v>
      </c>
      <c r="C1703" s="1" t="s">
        <v>3837</v>
      </c>
      <c r="D1703" s="1" t="s">
        <v>1147</v>
      </c>
      <c r="E1703" s="1" t="s">
        <v>1428</v>
      </c>
      <c r="F1703" s="1" t="s">
        <v>1409</v>
      </c>
      <c r="G1703" s="1" t="s">
        <v>3740</v>
      </c>
      <c r="H1703" s="1" t="s">
        <v>1051</v>
      </c>
      <c r="I1703" s="1" t="s">
        <v>1459</v>
      </c>
      <c r="J1703" s="1" t="s">
        <v>1029</v>
      </c>
      <c r="K1703" s="1" t="s">
        <v>978</v>
      </c>
      <c r="L1703" s="1" t="s">
        <v>1648</v>
      </c>
      <c r="M1703" s="1" t="s">
        <v>1190</v>
      </c>
      <c r="N1703">
        <f>_xlfn.NUMBERVALUE(LEFT(Table11[[#This Row],[Score]],FIND("/",Table11[[#This Row],[Score]])-1))</f>
        <v>250</v>
      </c>
      <c r="O1703">
        <f>IFERROR(_xlfn.NUMBERVALUE(LEFT(Table11[[#This Row],[Score2 ]],FIND("/",Table11[[#This Row],[Score2 ]])-1)),"")</f>
        <v>268</v>
      </c>
      <c r="P1703" t="s">
        <v>176</v>
      </c>
      <c r="Q1703" s="1" t="s">
        <v>181</v>
      </c>
      <c r="R1703" t="str">
        <f>Table11[[#This Row],[Match]]&amp;" "&amp;Table11[[#This Row],[Over]]</f>
        <v>27 42</v>
      </c>
    </row>
    <row r="1704" spans="1:18" x14ac:dyDescent="0.3">
      <c r="A1704">
        <v>27</v>
      </c>
      <c r="B1704" s="1">
        <v>43</v>
      </c>
      <c r="C1704" s="1" t="s">
        <v>2862</v>
      </c>
      <c r="D1704" s="1" t="s">
        <v>930</v>
      </c>
      <c r="E1704" s="1" t="s">
        <v>1019</v>
      </c>
      <c r="F1704" s="1" t="s">
        <v>1409</v>
      </c>
      <c r="G1704" s="1" t="s">
        <v>3838</v>
      </c>
      <c r="H1704" s="1" t="s">
        <v>947</v>
      </c>
      <c r="I1704" s="1" t="s">
        <v>1469</v>
      </c>
      <c r="J1704" s="1" t="s">
        <v>1019</v>
      </c>
      <c r="K1704" s="1" t="s">
        <v>1019</v>
      </c>
      <c r="L1704" s="1" t="s">
        <v>1197</v>
      </c>
      <c r="M1704" s="1" t="s">
        <v>1197</v>
      </c>
      <c r="N1704">
        <f>_xlfn.NUMBERVALUE(LEFT(Table11[[#This Row],[Score]],FIND("/",Table11[[#This Row],[Score]])-1))</f>
        <v>258</v>
      </c>
      <c r="O1704">
        <f>IFERROR(_xlfn.NUMBERVALUE(LEFT(Table11[[#This Row],[Score2 ]],FIND("/",Table11[[#This Row],[Score2 ]])-1)),"")</f>
        <v>277</v>
      </c>
      <c r="P1704" t="s">
        <v>176</v>
      </c>
      <c r="Q1704" s="1" t="s">
        <v>181</v>
      </c>
      <c r="R1704" t="str">
        <f>Table11[[#This Row],[Match]]&amp;" "&amp;Table11[[#This Row],[Over]]</f>
        <v>27 43</v>
      </c>
    </row>
    <row r="1705" spans="1:18" x14ac:dyDescent="0.3">
      <c r="A1705">
        <v>27</v>
      </c>
      <c r="B1705" s="1">
        <v>44</v>
      </c>
      <c r="C1705" s="1" t="s">
        <v>3276</v>
      </c>
      <c r="D1705" s="1" t="s">
        <v>930</v>
      </c>
      <c r="E1705" s="1" t="s">
        <v>1228</v>
      </c>
      <c r="F1705" s="1" t="s">
        <v>1611</v>
      </c>
      <c r="G1705" s="1" t="s">
        <v>3839</v>
      </c>
      <c r="H1705" s="1" t="s">
        <v>930</v>
      </c>
      <c r="I1705" s="1" t="s">
        <v>1985</v>
      </c>
      <c r="J1705" s="1" t="s">
        <v>1068</v>
      </c>
      <c r="K1705" s="1" t="s">
        <v>942</v>
      </c>
      <c r="L1705" s="1" t="s">
        <v>2569</v>
      </c>
      <c r="M1705" s="1" t="s">
        <v>1205</v>
      </c>
      <c r="N1705">
        <f>_xlfn.NUMBERVALUE(LEFT(Table11[[#This Row],[Score]],FIND("/",Table11[[#This Row],[Score]])-1))</f>
        <v>266</v>
      </c>
      <c r="O1705">
        <f>IFERROR(_xlfn.NUMBERVALUE(LEFT(Table11[[#This Row],[Score2 ]],FIND("/",Table11[[#This Row],[Score2 ]])-1)),"")</f>
        <v>285</v>
      </c>
      <c r="P1705" t="s">
        <v>176</v>
      </c>
      <c r="Q1705" s="1" t="s">
        <v>181</v>
      </c>
      <c r="R1705" t="str">
        <f>Table11[[#This Row],[Match]]&amp;" "&amp;Table11[[#This Row],[Over]]</f>
        <v>27 44</v>
      </c>
    </row>
    <row r="1706" spans="1:18" x14ac:dyDescent="0.3">
      <c r="A1706">
        <v>27</v>
      </c>
      <c r="B1706" s="1">
        <v>45</v>
      </c>
      <c r="C1706" s="1" t="s">
        <v>2191</v>
      </c>
      <c r="D1706" s="1" t="s">
        <v>998</v>
      </c>
      <c r="E1706" s="1" t="s">
        <v>1019</v>
      </c>
      <c r="F1706" s="1" t="s">
        <v>1089</v>
      </c>
      <c r="G1706" s="1" t="s">
        <v>2512</v>
      </c>
      <c r="H1706" s="1" t="s">
        <v>998</v>
      </c>
      <c r="I1706" s="1" t="s">
        <v>2095</v>
      </c>
      <c r="J1706" s="1" t="s">
        <v>1068</v>
      </c>
      <c r="K1706" s="1" t="s">
        <v>1019</v>
      </c>
      <c r="L1706" s="1" t="s">
        <v>1211</v>
      </c>
      <c r="M1706" s="1" t="s">
        <v>1211</v>
      </c>
      <c r="N1706">
        <f>_xlfn.NUMBERVALUE(LEFT(Table11[[#This Row],[Score]],FIND("/",Table11[[#This Row],[Score]])-1))</f>
        <v>270</v>
      </c>
      <c r="O1706">
        <f>IFERROR(_xlfn.NUMBERVALUE(LEFT(Table11[[#This Row],[Score2 ]],FIND("/",Table11[[#This Row],[Score2 ]])-1)),"")</f>
        <v>289</v>
      </c>
      <c r="P1706" t="s">
        <v>176</v>
      </c>
      <c r="Q1706" s="1" t="s">
        <v>181</v>
      </c>
      <c r="R1706" t="str">
        <f>Table11[[#This Row],[Match]]&amp;" "&amp;Table11[[#This Row],[Over]]</f>
        <v>27 45</v>
      </c>
    </row>
    <row r="1707" spans="1:18" x14ac:dyDescent="0.3">
      <c r="A1707">
        <v>27</v>
      </c>
      <c r="B1707" s="1">
        <v>46</v>
      </c>
      <c r="C1707" s="1" t="s">
        <v>2080</v>
      </c>
      <c r="D1707" s="1" t="s">
        <v>1390</v>
      </c>
      <c r="E1707" s="1" t="s">
        <v>1971</v>
      </c>
      <c r="F1707" s="1" t="s">
        <v>1219</v>
      </c>
      <c r="G1707" s="1" t="s">
        <v>3840</v>
      </c>
      <c r="H1707" s="1" t="s">
        <v>1103</v>
      </c>
      <c r="I1707" s="1" t="s">
        <v>2228</v>
      </c>
      <c r="J1707" s="1" t="s">
        <v>1154</v>
      </c>
      <c r="K1707" s="1" t="s">
        <v>1021</v>
      </c>
      <c r="L1707" s="1" t="s">
        <v>1223</v>
      </c>
      <c r="M1707" s="1" t="s">
        <v>1216</v>
      </c>
      <c r="N1707">
        <f>_xlfn.NUMBERVALUE(LEFT(Table11[[#This Row],[Score]],FIND("/",Table11[[#This Row],[Score]])-1))</f>
        <v>283</v>
      </c>
      <c r="O1707">
        <f>IFERROR(_xlfn.NUMBERVALUE(LEFT(Table11[[#This Row],[Score2 ]],FIND("/",Table11[[#This Row],[Score2 ]])-1)),"")</f>
        <v>301</v>
      </c>
      <c r="P1707" t="s">
        <v>176</v>
      </c>
      <c r="Q1707" s="1" t="s">
        <v>181</v>
      </c>
      <c r="R1707" t="str">
        <f>Table11[[#This Row],[Match]]&amp;" "&amp;Table11[[#This Row],[Over]]</f>
        <v>27 46</v>
      </c>
    </row>
    <row r="1708" spans="1:18" x14ac:dyDescent="0.3">
      <c r="A1708">
        <v>27</v>
      </c>
      <c r="B1708" s="1">
        <v>47</v>
      </c>
      <c r="C1708" s="1" t="s">
        <v>1227</v>
      </c>
      <c r="D1708" s="1" t="s">
        <v>1390</v>
      </c>
      <c r="E1708" s="1" t="s">
        <v>1240</v>
      </c>
      <c r="F1708" s="1" t="s">
        <v>1200</v>
      </c>
      <c r="G1708" s="1" t="s">
        <v>3237</v>
      </c>
      <c r="H1708" s="1" t="s">
        <v>930</v>
      </c>
      <c r="I1708" s="1" t="s">
        <v>2926</v>
      </c>
      <c r="J1708" s="1" t="s">
        <v>1405</v>
      </c>
      <c r="K1708" s="1" t="s">
        <v>1265</v>
      </c>
      <c r="L1708" s="1" t="s">
        <v>1095</v>
      </c>
      <c r="M1708" s="1" t="s">
        <v>1223</v>
      </c>
      <c r="N1708">
        <f>_xlfn.NUMBERVALUE(LEFT(Table11[[#This Row],[Score]],FIND("/",Table11[[#This Row],[Score]])-1))</f>
        <v>296</v>
      </c>
      <c r="O1708">
        <f>IFERROR(_xlfn.NUMBERVALUE(LEFT(Table11[[#This Row],[Score2 ]],FIND("/",Table11[[#This Row],[Score2 ]])-1)),"")</f>
        <v>309</v>
      </c>
      <c r="P1708" t="s">
        <v>176</v>
      </c>
      <c r="Q1708" s="1" t="s">
        <v>181</v>
      </c>
      <c r="R1708" t="str">
        <f>Table11[[#This Row],[Match]]&amp;" "&amp;Table11[[#This Row],[Over]]</f>
        <v>27 47</v>
      </c>
    </row>
    <row r="1709" spans="1:18" x14ac:dyDescent="0.3">
      <c r="A1709">
        <v>27</v>
      </c>
      <c r="B1709" s="1">
        <v>48</v>
      </c>
      <c r="C1709" s="1" t="s">
        <v>3841</v>
      </c>
      <c r="D1709" s="1" t="s">
        <v>930</v>
      </c>
      <c r="E1709" s="1" t="s">
        <v>1723</v>
      </c>
      <c r="F1709" s="1" t="s">
        <v>1200</v>
      </c>
      <c r="G1709" s="1" t="s">
        <v>3842</v>
      </c>
      <c r="H1709" s="1" t="s">
        <v>947</v>
      </c>
      <c r="I1709" s="1" t="s">
        <v>1738</v>
      </c>
      <c r="J1709" s="1" t="s">
        <v>1405</v>
      </c>
      <c r="K1709" s="1" t="s">
        <v>2527</v>
      </c>
      <c r="L1709" s="1" t="s">
        <v>968</v>
      </c>
      <c r="M1709" s="1" t="s">
        <v>1103</v>
      </c>
      <c r="N1709">
        <f>_xlfn.NUMBERVALUE(LEFT(Table11[[#This Row],[Score]],FIND("/",Table11[[#This Row],[Score]])-1))</f>
        <v>304</v>
      </c>
      <c r="O1709">
        <f>IFERROR(_xlfn.NUMBERVALUE(LEFT(Table11[[#This Row],[Score2 ]],FIND("/",Table11[[#This Row],[Score2 ]])-1)),"")</f>
        <v>318</v>
      </c>
      <c r="P1709" t="s">
        <v>176</v>
      </c>
      <c r="Q1709" s="1" t="s">
        <v>181</v>
      </c>
      <c r="R1709" t="str">
        <f>Table11[[#This Row],[Match]]&amp;" "&amp;Table11[[#This Row],[Over]]</f>
        <v>27 48</v>
      </c>
    </row>
    <row r="1710" spans="1:18" x14ac:dyDescent="0.3">
      <c r="A1710">
        <v>27</v>
      </c>
      <c r="B1710" s="1">
        <v>49</v>
      </c>
      <c r="C1710" s="1" t="s">
        <v>3843</v>
      </c>
      <c r="D1710" s="1" t="s">
        <v>930</v>
      </c>
      <c r="E1710" s="1" t="s">
        <v>2720</v>
      </c>
      <c r="F1710" s="1" t="s">
        <v>1200</v>
      </c>
      <c r="G1710" s="1" t="s">
        <v>3844</v>
      </c>
      <c r="H1710" s="1" t="s">
        <v>1688</v>
      </c>
      <c r="I1710" s="1" t="s">
        <v>3845</v>
      </c>
      <c r="J1710" s="1" t="s">
        <v>3846</v>
      </c>
      <c r="K1710" s="1" t="s">
        <v>1622</v>
      </c>
      <c r="L1710" s="1" t="s">
        <v>1007</v>
      </c>
      <c r="M1710" s="1" t="s">
        <v>1051</v>
      </c>
      <c r="N1710">
        <f>_xlfn.NUMBERVALUE(LEFT(Table11[[#This Row],[Score]],FIND("/",Table11[[#This Row],[Score]])-1))</f>
        <v>312</v>
      </c>
      <c r="O1710">
        <f>IFERROR(_xlfn.NUMBERVALUE(LEFT(Table11[[#This Row],[Score2 ]],FIND("/",Table11[[#This Row],[Score2 ]])-1)),"")</f>
        <v>322</v>
      </c>
      <c r="P1710" t="s">
        <v>176</v>
      </c>
      <c r="Q1710" s="1" t="s">
        <v>181</v>
      </c>
      <c r="R1710" t="str">
        <f>Table11[[#This Row],[Match]]&amp;" "&amp;Table11[[#This Row],[Over]]</f>
        <v>27 49</v>
      </c>
    </row>
    <row r="1711" spans="1:18" x14ac:dyDescent="0.3">
      <c r="A1711">
        <v>27</v>
      </c>
      <c r="B1711" s="1">
        <v>50</v>
      </c>
      <c r="C1711" s="1" t="s">
        <v>3847</v>
      </c>
      <c r="D1711" s="1" t="s">
        <v>922</v>
      </c>
      <c r="E1711" s="1" t="s">
        <v>2720</v>
      </c>
      <c r="F1711" s="1" t="s">
        <v>1219</v>
      </c>
      <c r="N1711">
        <f>_xlfn.NUMBERVALUE(LEFT(Table11[[#This Row],[Score]],FIND("/",Table11[[#This Row],[Score]])-1))</f>
        <v>318</v>
      </c>
      <c r="O1711" t="str">
        <f>IFERROR(_xlfn.NUMBERVALUE(LEFT(Table11[[#This Row],[Score2 ]],FIND("/",Table11[[#This Row],[Score2 ]])-1)),"")</f>
        <v/>
      </c>
      <c r="P1711" t="s">
        <v>176</v>
      </c>
      <c r="Q1711" s="1" t="s">
        <v>181</v>
      </c>
      <c r="R1711" t="str">
        <f>Table11[[#This Row],[Match]]&amp;" "&amp;Table11[[#This Row],[Over]]</f>
        <v>27 50</v>
      </c>
    </row>
    <row r="1712" spans="1:18" x14ac:dyDescent="0.3">
      <c r="A1712">
        <v>29</v>
      </c>
      <c r="B1712" s="1">
        <v>1</v>
      </c>
      <c r="C1712" s="1" t="s">
        <v>2686</v>
      </c>
      <c r="D1712" s="1" t="s">
        <v>968</v>
      </c>
      <c r="E1712" s="1" t="s">
        <v>1662</v>
      </c>
      <c r="F1712" s="1" t="s">
        <v>348</v>
      </c>
      <c r="G1712" s="1" t="s">
        <v>3188</v>
      </c>
      <c r="H1712" s="1" t="s">
        <v>950</v>
      </c>
      <c r="I1712" s="1" t="s">
        <v>969</v>
      </c>
      <c r="J1712" s="1" t="s">
        <v>348</v>
      </c>
      <c r="K1712" s="1" t="s">
        <v>2672</v>
      </c>
      <c r="L1712" s="1" t="s">
        <v>996</v>
      </c>
      <c r="M1712" s="1" t="s">
        <v>928</v>
      </c>
      <c r="N1712">
        <f>_xlfn.NUMBERVALUE(LEFT(Table11[[#This Row],[Score]],FIND("/",Table11[[#This Row],[Score]])-1))</f>
        <v>1</v>
      </c>
      <c r="O1712">
        <f>IFERROR(_xlfn.NUMBERVALUE(LEFT(Table11[[#This Row],[Score2 ]],FIND("/",Table11[[#This Row],[Score2 ]])-1)),"")</f>
        <v>5</v>
      </c>
      <c r="P1712" t="s">
        <v>153</v>
      </c>
      <c r="Q1712" s="1" t="s">
        <v>141</v>
      </c>
      <c r="R1712" t="str">
        <f>Table11[[#This Row],[Match]]&amp;" "&amp;Table11[[#This Row],[Over]]</f>
        <v>29 1</v>
      </c>
    </row>
    <row r="1713" spans="1:18" x14ac:dyDescent="0.3">
      <c r="A1713">
        <v>29</v>
      </c>
      <c r="B1713" s="1">
        <v>2</v>
      </c>
      <c r="C1713" s="1" t="s">
        <v>913</v>
      </c>
      <c r="D1713" s="1" t="s">
        <v>922</v>
      </c>
      <c r="E1713" s="1" t="s">
        <v>925</v>
      </c>
      <c r="F1713" s="1" t="s">
        <v>348</v>
      </c>
      <c r="G1713" s="1" t="s">
        <v>1850</v>
      </c>
      <c r="H1713" s="1" t="s">
        <v>904</v>
      </c>
      <c r="I1713" s="1" t="s">
        <v>939</v>
      </c>
      <c r="J1713" s="1" t="s">
        <v>348</v>
      </c>
      <c r="K1713" s="1" t="s">
        <v>1582</v>
      </c>
      <c r="L1713" s="1" t="s">
        <v>1306</v>
      </c>
      <c r="M1713" s="1" t="s">
        <v>937</v>
      </c>
      <c r="N1713">
        <f>_xlfn.NUMBERVALUE(LEFT(Table11[[#This Row],[Score]],FIND("/",Table11[[#This Row],[Score]])-1))</f>
        <v>7</v>
      </c>
      <c r="O1713">
        <f>IFERROR(_xlfn.NUMBERVALUE(LEFT(Table11[[#This Row],[Score2 ]],FIND("/",Table11[[#This Row],[Score2 ]])-1)),"")</f>
        <v>8</v>
      </c>
      <c r="P1713" t="s">
        <v>153</v>
      </c>
      <c r="Q1713" s="1" t="s">
        <v>141</v>
      </c>
      <c r="R1713" t="str">
        <f>Table11[[#This Row],[Match]]&amp;" "&amp;Table11[[#This Row],[Over]]</f>
        <v>29 2</v>
      </c>
    </row>
    <row r="1714" spans="1:18" x14ac:dyDescent="0.3">
      <c r="A1714">
        <v>29</v>
      </c>
      <c r="B1714" s="1">
        <v>3</v>
      </c>
      <c r="C1714" s="1" t="s">
        <v>913</v>
      </c>
      <c r="D1714" s="1" t="s">
        <v>1007</v>
      </c>
      <c r="E1714" s="1" t="s">
        <v>914</v>
      </c>
      <c r="F1714" s="1" t="s">
        <v>348</v>
      </c>
      <c r="G1714" s="1" t="s">
        <v>1423</v>
      </c>
      <c r="H1714" s="1" t="s">
        <v>950</v>
      </c>
      <c r="I1714" s="1" t="s">
        <v>989</v>
      </c>
      <c r="J1714" s="1" t="s">
        <v>348</v>
      </c>
      <c r="K1714" s="1" t="s">
        <v>1582</v>
      </c>
      <c r="L1714" s="1" t="s">
        <v>1470</v>
      </c>
      <c r="M1714" s="1" t="s">
        <v>945</v>
      </c>
      <c r="N1714">
        <f>_xlfn.NUMBERVALUE(LEFT(Table11[[#This Row],[Score]],FIND("/",Table11[[#This Row],[Score]])-1))</f>
        <v>7</v>
      </c>
      <c r="O1714">
        <f>IFERROR(_xlfn.NUMBERVALUE(LEFT(Table11[[#This Row],[Score2 ]],FIND("/",Table11[[#This Row],[Score2 ]])-1)),"")</f>
        <v>13</v>
      </c>
      <c r="P1714" t="s">
        <v>153</v>
      </c>
      <c r="Q1714" s="1" t="s">
        <v>141</v>
      </c>
      <c r="R1714" t="str">
        <f>Table11[[#This Row],[Match]]&amp;" "&amp;Table11[[#This Row],[Over]]</f>
        <v>29 3</v>
      </c>
    </row>
    <row r="1715" spans="1:18" x14ac:dyDescent="0.3">
      <c r="A1715">
        <v>29</v>
      </c>
      <c r="B1715" s="1">
        <v>4</v>
      </c>
      <c r="C1715" s="1" t="s">
        <v>1239</v>
      </c>
      <c r="D1715" s="1" t="s">
        <v>950</v>
      </c>
      <c r="E1715" s="1" t="s">
        <v>1238</v>
      </c>
      <c r="F1715" s="1" t="s">
        <v>348</v>
      </c>
      <c r="G1715" s="1" t="s">
        <v>2530</v>
      </c>
      <c r="H1715" s="1" t="s">
        <v>950</v>
      </c>
      <c r="I1715" s="1" t="s">
        <v>1021</v>
      </c>
      <c r="J1715" s="1" t="s">
        <v>348</v>
      </c>
      <c r="K1715" s="1" t="s">
        <v>1582</v>
      </c>
      <c r="L1715" s="1" t="s">
        <v>1479</v>
      </c>
      <c r="M1715" s="1" t="s">
        <v>955</v>
      </c>
      <c r="N1715">
        <f>_xlfn.NUMBERVALUE(LEFT(Table11[[#This Row],[Score]],FIND("/",Table11[[#This Row],[Score]])-1))</f>
        <v>12</v>
      </c>
      <c r="O1715">
        <f>IFERROR(_xlfn.NUMBERVALUE(LEFT(Table11[[#This Row],[Score2 ]],FIND("/",Table11[[#This Row],[Score2 ]])-1)),"")</f>
        <v>18</v>
      </c>
      <c r="P1715" t="s">
        <v>153</v>
      </c>
      <c r="Q1715" s="1" t="s">
        <v>141</v>
      </c>
      <c r="R1715" t="str">
        <f>Table11[[#This Row],[Match]]&amp;" "&amp;Table11[[#This Row],[Over]]</f>
        <v>29 4</v>
      </c>
    </row>
    <row r="1716" spans="1:18" x14ac:dyDescent="0.3">
      <c r="A1716">
        <v>29</v>
      </c>
      <c r="B1716" s="1">
        <v>5</v>
      </c>
      <c r="C1716" s="1" t="s">
        <v>1970</v>
      </c>
      <c r="D1716" s="1" t="s">
        <v>950</v>
      </c>
      <c r="E1716" s="1" t="s">
        <v>1247</v>
      </c>
      <c r="F1716" s="1" t="s">
        <v>1247</v>
      </c>
      <c r="G1716" s="1" t="s">
        <v>3150</v>
      </c>
      <c r="H1716" s="1" t="s">
        <v>950</v>
      </c>
      <c r="I1716" s="1" t="s">
        <v>976</v>
      </c>
      <c r="J1716" s="1" t="s">
        <v>976</v>
      </c>
      <c r="K1716" s="1" t="s">
        <v>1582</v>
      </c>
      <c r="L1716" s="1" t="s">
        <v>1048</v>
      </c>
      <c r="M1716" s="1" t="s">
        <v>963</v>
      </c>
      <c r="N1716">
        <f>_xlfn.NUMBERVALUE(LEFT(Table11[[#This Row],[Score]],FIND("/",Table11[[#This Row],[Score]])-1))</f>
        <v>17</v>
      </c>
      <c r="O1716">
        <f>IFERROR(_xlfn.NUMBERVALUE(LEFT(Table11[[#This Row],[Score2 ]],FIND("/",Table11[[#This Row],[Score2 ]])-1)),"")</f>
        <v>23</v>
      </c>
      <c r="P1716" t="s">
        <v>153</v>
      </c>
      <c r="Q1716" s="1" t="s">
        <v>141</v>
      </c>
      <c r="R1716" t="str">
        <f>Table11[[#This Row],[Match]]&amp;" "&amp;Table11[[#This Row],[Over]]</f>
        <v>29 5</v>
      </c>
    </row>
    <row r="1717" spans="1:18" x14ac:dyDescent="0.3">
      <c r="A1717">
        <v>29</v>
      </c>
      <c r="B1717" s="1">
        <v>6</v>
      </c>
      <c r="C1717" s="1" t="s">
        <v>2326</v>
      </c>
      <c r="D1717" s="1" t="s">
        <v>968</v>
      </c>
      <c r="E1717" s="1" t="s">
        <v>1238</v>
      </c>
      <c r="F1717" s="1" t="s">
        <v>1247</v>
      </c>
      <c r="G1717" s="1" t="s">
        <v>1269</v>
      </c>
      <c r="H1717" s="1" t="s">
        <v>1147</v>
      </c>
      <c r="I1717" s="1" t="s">
        <v>1723</v>
      </c>
      <c r="J1717" s="1" t="s">
        <v>960</v>
      </c>
      <c r="K1717" s="1" t="s">
        <v>1012</v>
      </c>
      <c r="L1717" s="1" t="s">
        <v>1503</v>
      </c>
      <c r="M1717" s="1" t="s">
        <v>973</v>
      </c>
      <c r="N1717">
        <f>_xlfn.NUMBERVALUE(LEFT(Table11[[#This Row],[Score]],FIND("/",Table11[[#This Row],[Score]])-1))</f>
        <v>18</v>
      </c>
      <c r="O1717">
        <f>IFERROR(_xlfn.NUMBERVALUE(LEFT(Table11[[#This Row],[Score2 ]],FIND("/",Table11[[#This Row],[Score2 ]])-1)),"")</f>
        <v>38</v>
      </c>
      <c r="P1717" t="s">
        <v>153</v>
      </c>
      <c r="Q1717" s="1" t="s">
        <v>141</v>
      </c>
      <c r="R1717" t="str">
        <f>Table11[[#This Row],[Match]]&amp;" "&amp;Table11[[#This Row],[Over]]</f>
        <v>29 6</v>
      </c>
    </row>
    <row r="1718" spans="1:18" x14ac:dyDescent="0.3">
      <c r="A1718">
        <v>29</v>
      </c>
      <c r="B1718" s="1">
        <v>7</v>
      </c>
      <c r="C1718" s="1" t="s">
        <v>1631</v>
      </c>
      <c r="D1718" s="1" t="s">
        <v>916</v>
      </c>
      <c r="E1718" s="1" t="s">
        <v>1887</v>
      </c>
      <c r="F1718" s="1" t="s">
        <v>977</v>
      </c>
      <c r="G1718" s="1" t="s">
        <v>3000</v>
      </c>
      <c r="H1718" s="1" t="s">
        <v>1390</v>
      </c>
      <c r="I1718" s="1" t="s">
        <v>2627</v>
      </c>
      <c r="J1718" s="1" t="s">
        <v>1414</v>
      </c>
      <c r="K1718" s="1" t="s">
        <v>1552</v>
      </c>
      <c r="L1718" s="1" t="s">
        <v>1524</v>
      </c>
      <c r="M1718" s="1" t="s">
        <v>980</v>
      </c>
      <c r="N1718">
        <f>_xlfn.NUMBERVALUE(LEFT(Table11[[#This Row],[Score]],FIND("/",Table11[[#This Row],[Score]])-1))</f>
        <v>25</v>
      </c>
      <c r="O1718">
        <f>IFERROR(_xlfn.NUMBERVALUE(LEFT(Table11[[#This Row],[Score2 ]],FIND("/",Table11[[#This Row],[Score2 ]])-1)),"")</f>
        <v>51</v>
      </c>
      <c r="P1718" t="s">
        <v>153</v>
      </c>
      <c r="Q1718" s="1" t="s">
        <v>141</v>
      </c>
      <c r="R1718" t="str">
        <f>Table11[[#This Row],[Match]]&amp;" "&amp;Table11[[#This Row],[Over]]</f>
        <v>29 7</v>
      </c>
    </row>
    <row r="1719" spans="1:18" x14ac:dyDescent="0.3">
      <c r="A1719">
        <v>29</v>
      </c>
      <c r="B1719" s="1">
        <v>8</v>
      </c>
      <c r="C1719" s="1" t="s">
        <v>1973</v>
      </c>
      <c r="D1719" s="1" t="s">
        <v>968</v>
      </c>
      <c r="E1719" s="1" t="s">
        <v>923</v>
      </c>
      <c r="F1719" s="1" t="s">
        <v>990</v>
      </c>
      <c r="G1719" s="1" t="s">
        <v>1287</v>
      </c>
      <c r="H1719" s="1" t="s">
        <v>1095</v>
      </c>
      <c r="I1719" s="1" t="s">
        <v>3544</v>
      </c>
      <c r="J1719" s="1" t="s">
        <v>1219</v>
      </c>
      <c r="K1719" s="1" t="s">
        <v>1035</v>
      </c>
      <c r="L1719" s="1" t="s">
        <v>1851</v>
      </c>
      <c r="M1719" s="1" t="s">
        <v>987</v>
      </c>
      <c r="N1719">
        <f>_xlfn.NUMBERVALUE(LEFT(Table11[[#This Row],[Score]],FIND("/",Table11[[#This Row],[Score]])-1))</f>
        <v>26</v>
      </c>
      <c r="O1719">
        <f>IFERROR(_xlfn.NUMBERVALUE(LEFT(Table11[[#This Row],[Score2 ]],FIND("/",Table11[[#This Row],[Score2 ]])-1)),"")</f>
        <v>61</v>
      </c>
      <c r="P1719" t="s">
        <v>153</v>
      </c>
      <c r="Q1719" s="1" t="s">
        <v>141</v>
      </c>
      <c r="R1719" t="str">
        <f>Table11[[#This Row],[Match]]&amp;" "&amp;Table11[[#This Row],[Over]]</f>
        <v>29 8</v>
      </c>
    </row>
    <row r="1720" spans="1:18" x14ac:dyDescent="0.3">
      <c r="A1720">
        <v>29</v>
      </c>
      <c r="B1720" s="1">
        <v>9</v>
      </c>
      <c r="C1720" s="1" t="s">
        <v>1264</v>
      </c>
      <c r="D1720" s="1" t="s">
        <v>998</v>
      </c>
      <c r="E1720" s="1" t="s">
        <v>1265</v>
      </c>
      <c r="F1720" s="1" t="s">
        <v>977</v>
      </c>
      <c r="G1720" s="1" t="s">
        <v>1014</v>
      </c>
      <c r="H1720" s="1" t="s">
        <v>922</v>
      </c>
      <c r="I1720" s="1" t="s">
        <v>2232</v>
      </c>
      <c r="J1720" s="1" t="s">
        <v>1141</v>
      </c>
      <c r="K1720" s="1" t="s">
        <v>1526</v>
      </c>
      <c r="L1720" s="1" t="s">
        <v>2707</v>
      </c>
      <c r="M1720" s="1" t="s">
        <v>996</v>
      </c>
      <c r="N1720">
        <f>_xlfn.NUMBERVALUE(LEFT(Table11[[#This Row],[Score]],FIND("/",Table11[[#This Row],[Score]])-1))</f>
        <v>30</v>
      </c>
      <c r="O1720">
        <f>IFERROR(_xlfn.NUMBERVALUE(LEFT(Table11[[#This Row],[Score2 ]],FIND("/",Table11[[#This Row],[Score2 ]])-1)),"")</f>
        <v>67</v>
      </c>
      <c r="P1720" t="s">
        <v>153</v>
      </c>
      <c r="Q1720" s="1" t="s">
        <v>141</v>
      </c>
      <c r="R1720" t="str">
        <f>Table11[[#This Row],[Match]]&amp;" "&amp;Table11[[#This Row],[Over]]</f>
        <v>29 9</v>
      </c>
    </row>
    <row r="1721" spans="1:18" x14ac:dyDescent="0.3">
      <c r="A1721">
        <v>29</v>
      </c>
      <c r="B1721" s="1">
        <v>10</v>
      </c>
      <c r="C1721" s="1" t="s">
        <v>956</v>
      </c>
      <c r="D1721" s="1" t="s">
        <v>950</v>
      </c>
      <c r="E1721" s="1" t="s">
        <v>925</v>
      </c>
      <c r="F1721" s="1" t="s">
        <v>977</v>
      </c>
      <c r="G1721" s="1" t="s">
        <v>2459</v>
      </c>
      <c r="H1721" s="1" t="s">
        <v>1007</v>
      </c>
      <c r="I1721" s="1" t="s">
        <v>2327</v>
      </c>
      <c r="J1721" s="1" t="s">
        <v>1154</v>
      </c>
      <c r="K1721" s="1" t="s">
        <v>1060</v>
      </c>
      <c r="L1721" s="1" t="s">
        <v>2707</v>
      </c>
      <c r="M1721" s="1" t="s">
        <v>1004</v>
      </c>
      <c r="N1721">
        <f>_xlfn.NUMBERVALUE(LEFT(Table11[[#This Row],[Score]],FIND("/",Table11[[#This Row],[Score]])-1))</f>
        <v>35</v>
      </c>
      <c r="O1721">
        <f>IFERROR(_xlfn.NUMBERVALUE(LEFT(Table11[[#This Row],[Score2 ]],FIND("/",Table11[[#This Row],[Score2 ]])-1)),"")</f>
        <v>67</v>
      </c>
      <c r="P1721" t="s">
        <v>153</v>
      </c>
      <c r="Q1721" s="1" t="s">
        <v>141</v>
      </c>
      <c r="R1721" t="str">
        <f>Table11[[#This Row],[Match]]&amp;" "&amp;Table11[[#This Row],[Over]]</f>
        <v>29 10</v>
      </c>
    </row>
    <row r="1722" spans="1:18" x14ac:dyDescent="0.3">
      <c r="A1722">
        <v>29</v>
      </c>
      <c r="B1722" s="1">
        <v>11</v>
      </c>
      <c r="C1722" s="1" t="s">
        <v>967</v>
      </c>
      <c r="D1722" s="1" t="s">
        <v>1095</v>
      </c>
      <c r="E1722" s="1" t="s">
        <v>981</v>
      </c>
      <c r="F1722" s="1" t="s">
        <v>966</v>
      </c>
      <c r="G1722" s="1" t="s">
        <v>2348</v>
      </c>
      <c r="H1722" s="1" t="s">
        <v>1007</v>
      </c>
      <c r="I1722" s="1" t="s">
        <v>953</v>
      </c>
      <c r="J1722" s="1" t="s">
        <v>1013</v>
      </c>
      <c r="K1722" s="1" t="s">
        <v>1786</v>
      </c>
      <c r="L1722" s="1" t="s">
        <v>2707</v>
      </c>
      <c r="M1722" s="1" t="s">
        <v>1010</v>
      </c>
      <c r="N1722">
        <f>_xlfn.NUMBERVALUE(LEFT(Table11[[#This Row],[Score]],FIND("/",Table11[[#This Row],[Score]])-1))</f>
        <v>45</v>
      </c>
      <c r="O1722">
        <f>IFERROR(_xlfn.NUMBERVALUE(LEFT(Table11[[#This Row],[Score2 ]],FIND("/",Table11[[#This Row],[Score2 ]])-1)),"")</f>
        <v>67</v>
      </c>
      <c r="P1722" t="s">
        <v>153</v>
      </c>
      <c r="Q1722" s="1" t="s">
        <v>141</v>
      </c>
      <c r="R1722" t="str">
        <f>Table11[[#This Row],[Match]]&amp;" "&amp;Table11[[#This Row],[Over]]</f>
        <v>29 11</v>
      </c>
    </row>
    <row r="1723" spans="1:18" x14ac:dyDescent="0.3">
      <c r="A1723">
        <v>29</v>
      </c>
      <c r="B1723" s="1">
        <v>12</v>
      </c>
      <c r="C1723" s="1" t="s">
        <v>3759</v>
      </c>
      <c r="D1723" s="1" t="s">
        <v>947</v>
      </c>
      <c r="E1723" s="1" t="s">
        <v>1021</v>
      </c>
      <c r="F1723" s="1" t="s">
        <v>1013</v>
      </c>
      <c r="G1723" s="1" t="s">
        <v>1478</v>
      </c>
      <c r="H1723" s="1" t="s">
        <v>916</v>
      </c>
      <c r="I1723" s="1" t="s">
        <v>1233</v>
      </c>
      <c r="J1723" s="1" t="s">
        <v>976</v>
      </c>
      <c r="K1723" s="1" t="s">
        <v>1542</v>
      </c>
      <c r="L1723" s="1" t="s">
        <v>1538</v>
      </c>
      <c r="M1723" s="1" t="s">
        <v>1016</v>
      </c>
      <c r="N1723">
        <f>_xlfn.NUMBERVALUE(LEFT(Table11[[#This Row],[Score]],FIND("/",Table11[[#This Row],[Score]])-1))</f>
        <v>54</v>
      </c>
      <c r="O1723">
        <f>IFERROR(_xlfn.NUMBERVALUE(LEFT(Table11[[#This Row],[Score2 ]],FIND("/",Table11[[#This Row],[Score2 ]])-1)),"")</f>
        <v>74</v>
      </c>
      <c r="P1723" t="s">
        <v>153</v>
      </c>
      <c r="Q1723" s="1" t="s">
        <v>141</v>
      </c>
      <c r="R1723" t="str">
        <f>Table11[[#This Row],[Match]]&amp;" "&amp;Table11[[#This Row],[Over]]</f>
        <v>29 12</v>
      </c>
    </row>
    <row r="1724" spans="1:18" x14ac:dyDescent="0.3">
      <c r="A1724">
        <v>29</v>
      </c>
      <c r="B1724" s="1">
        <v>13</v>
      </c>
      <c r="C1724" s="1" t="s">
        <v>1651</v>
      </c>
      <c r="D1724" s="1" t="s">
        <v>950</v>
      </c>
      <c r="E1724" s="1" t="s">
        <v>1793</v>
      </c>
      <c r="F1724" s="1" t="s">
        <v>960</v>
      </c>
      <c r="G1724" s="1" t="s">
        <v>3848</v>
      </c>
      <c r="H1724" s="1" t="s">
        <v>1007</v>
      </c>
      <c r="I1724" s="1" t="s">
        <v>1192</v>
      </c>
      <c r="J1724" s="1" t="s">
        <v>984</v>
      </c>
      <c r="K1724" s="1" t="s">
        <v>1028</v>
      </c>
      <c r="L1724" s="1" t="s">
        <v>1538</v>
      </c>
      <c r="M1724" s="1" t="s">
        <v>1024</v>
      </c>
      <c r="N1724">
        <f>_xlfn.NUMBERVALUE(LEFT(Table11[[#This Row],[Score]],FIND("/",Table11[[#This Row],[Score]])-1))</f>
        <v>59</v>
      </c>
      <c r="O1724">
        <f>IFERROR(_xlfn.NUMBERVALUE(LEFT(Table11[[#This Row],[Score2 ]],FIND("/",Table11[[#This Row],[Score2 ]])-1)),"")</f>
        <v>74</v>
      </c>
      <c r="P1724" t="s">
        <v>153</v>
      </c>
      <c r="Q1724" s="1" t="s">
        <v>141</v>
      </c>
      <c r="R1724" t="str">
        <f>Table11[[#This Row],[Match]]&amp;" "&amp;Table11[[#This Row],[Over]]</f>
        <v>29 13</v>
      </c>
    </row>
    <row r="1725" spans="1:18" x14ac:dyDescent="0.3">
      <c r="A1725">
        <v>29</v>
      </c>
      <c r="B1725" s="1">
        <v>14</v>
      </c>
      <c r="C1725" s="1" t="s">
        <v>3194</v>
      </c>
      <c r="D1725" s="1" t="s">
        <v>998</v>
      </c>
      <c r="E1725" s="1" t="s">
        <v>1021</v>
      </c>
      <c r="F1725" s="1" t="s">
        <v>960</v>
      </c>
      <c r="G1725" s="1" t="s">
        <v>3849</v>
      </c>
      <c r="H1725" s="1" t="s">
        <v>968</v>
      </c>
      <c r="I1725" s="1" t="s">
        <v>2123</v>
      </c>
      <c r="J1725" s="1" t="s">
        <v>1770</v>
      </c>
      <c r="K1725" s="1" t="s">
        <v>1319</v>
      </c>
      <c r="L1725" s="1" t="s">
        <v>1363</v>
      </c>
      <c r="M1725" s="1" t="s">
        <v>1031</v>
      </c>
      <c r="N1725">
        <f>_xlfn.NUMBERVALUE(LEFT(Table11[[#This Row],[Score]],FIND("/",Table11[[#This Row],[Score]])-1))</f>
        <v>63</v>
      </c>
      <c r="O1725">
        <f>IFERROR(_xlfn.NUMBERVALUE(LEFT(Table11[[#This Row],[Score2 ]],FIND("/",Table11[[#This Row],[Score2 ]])-1)),"")</f>
        <v>75</v>
      </c>
      <c r="P1725" t="s">
        <v>153</v>
      </c>
      <c r="Q1725" s="1" t="s">
        <v>141</v>
      </c>
      <c r="R1725" t="str">
        <f>Table11[[#This Row],[Match]]&amp;" "&amp;Table11[[#This Row],[Over]]</f>
        <v>29 14</v>
      </c>
    </row>
    <row r="1726" spans="1:18" x14ac:dyDescent="0.3">
      <c r="A1726">
        <v>29</v>
      </c>
      <c r="B1726" s="1">
        <v>15</v>
      </c>
      <c r="C1726" s="1" t="s">
        <v>2115</v>
      </c>
      <c r="D1726" s="1" t="s">
        <v>922</v>
      </c>
      <c r="E1726" s="1" t="s">
        <v>976</v>
      </c>
      <c r="F1726" s="1" t="s">
        <v>1053</v>
      </c>
      <c r="G1726" s="1" t="s">
        <v>2885</v>
      </c>
      <c r="H1726" s="1" t="s">
        <v>968</v>
      </c>
      <c r="I1726" s="1" t="s">
        <v>2279</v>
      </c>
      <c r="J1726" s="1" t="s">
        <v>1636</v>
      </c>
      <c r="K1726" s="1" t="s">
        <v>1357</v>
      </c>
      <c r="L1726" s="1" t="s">
        <v>1077</v>
      </c>
      <c r="M1726" s="1" t="s">
        <v>1037</v>
      </c>
      <c r="N1726">
        <f>_xlfn.NUMBERVALUE(LEFT(Table11[[#This Row],[Score]],FIND("/",Table11[[#This Row],[Score]])-1))</f>
        <v>69</v>
      </c>
      <c r="O1726">
        <f>IFERROR(_xlfn.NUMBERVALUE(LEFT(Table11[[#This Row],[Score2 ]],FIND("/",Table11[[#This Row],[Score2 ]])-1)),"")</f>
        <v>76</v>
      </c>
      <c r="P1726" t="s">
        <v>153</v>
      </c>
      <c r="Q1726" s="1" t="s">
        <v>141</v>
      </c>
      <c r="R1726" t="str">
        <f>Table11[[#This Row],[Match]]&amp;" "&amp;Table11[[#This Row],[Over]]</f>
        <v>29 15</v>
      </c>
    </row>
    <row r="1727" spans="1:18" x14ac:dyDescent="0.3">
      <c r="A1727">
        <v>29</v>
      </c>
      <c r="B1727" s="1">
        <v>16</v>
      </c>
      <c r="C1727" s="1" t="s">
        <v>3469</v>
      </c>
      <c r="D1727" s="1" t="s">
        <v>1692</v>
      </c>
      <c r="E1727" s="1" t="s">
        <v>2268</v>
      </c>
      <c r="F1727" s="1" t="s">
        <v>1161</v>
      </c>
      <c r="G1727" s="1" t="s">
        <v>2253</v>
      </c>
      <c r="H1727" s="1" t="s">
        <v>950</v>
      </c>
      <c r="I1727" s="1" t="s">
        <v>2279</v>
      </c>
      <c r="J1727" s="1" t="s">
        <v>993</v>
      </c>
      <c r="K1727" s="1" t="s">
        <v>1357</v>
      </c>
      <c r="L1727" s="1" t="s">
        <v>1376</v>
      </c>
      <c r="M1727" s="1" t="s">
        <v>1043</v>
      </c>
      <c r="N1727">
        <f>_xlfn.NUMBERVALUE(LEFT(Table11[[#This Row],[Score]],FIND("/",Table11[[#This Row],[Score]])-1))</f>
        <v>90</v>
      </c>
      <c r="O1727">
        <f>IFERROR(_xlfn.NUMBERVALUE(LEFT(Table11[[#This Row],[Score2 ]],FIND("/",Table11[[#This Row],[Score2 ]])-1)),"")</f>
        <v>81</v>
      </c>
      <c r="P1727" t="s">
        <v>153</v>
      </c>
      <c r="Q1727" s="1" t="s">
        <v>141</v>
      </c>
      <c r="R1727" t="str">
        <f>Table11[[#This Row],[Match]]&amp;" "&amp;Table11[[#This Row],[Over]]</f>
        <v>29 16</v>
      </c>
    </row>
    <row r="1728" spans="1:18" x14ac:dyDescent="0.3">
      <c r="A1728">
        <v>29</v>
      </c>
      <c r="B1728" s="1">
        <v>17</v>
      </c>
      <c r="C1728" s="1" t="s">
        <v>1766</v>
      </c>
      <c r="D1728" s="1" t="s">
        <v>904</v>
      </c>
      <c r="E1728" s="1" t="s">
        <v>2070</v>
      </c>
      <c r="F1728" s="1" t="s">
        <v>1168</v>
      </c>
      <c r="G1728" s="1" t="s">
        <v>2825</v>
      </c>
      <c r="H1728" s="1" t="s">
        <v>1051</v>
      </c>
      <c r="I1728" s="1" t="s">
        <v>1373</v>
      </c>
      <c r="J1728" s="1" t="s">
        <v>977</v>
      </c>
      <c r="K1728" s="1" t="s">
        <v>1975</v>
      </c>
      <c r="L1728" s="1" t="s">
        <v>3152</v>
      </c>
      <c r="M1728" s="1" t="s">
        <v>1049</v>
      </c>
      <c r="N1728">
        <f>_xlfn.NUMBERVALUE(LEFT(Table11[[#This Row],[Score]],FIND("/",Table11[[#This Row],[Score]])-1))</f>
        <v>93</v>
      </c>
      <c r="O1728">
        <f>IFERROR(_xlfn.NUMBERVALUE(LEFT(Table11[[#This Row],[Score2 ]],FIND("/",Table11[[#This Row],[Score2 ]])-1)),"")</f>
        <v>92</v>
      </c>
      <c r="P1728" t="s">
        <v>153</v>
      </c>
      <c r="Q1728" s="1" t="s">
        <v>141</v>
      </c>
      <c r="R1728" t="str">
        <f>Table11[[#This Row],[Match]]&amp;" "&amp;Table11[[#This Row],[Over]]</f>
        <v>29 17</v>
      </c>
    </row>
    <row r="1729" spans="1:18" x14ac:dyDescent="0.3">
      <c r="A1729">
        <v>29</v>
      </c>
      <c r="B1729" s="1">
        <v>18</v>
      </c>
      <c r="C1729" s="1" t="s">
        <v>2012</v>
      </c>
      <c r="D1729" s="1" t="s">
        <v>898</v>
      </c>
      <c r="E1729" s="1" t="s">
        <v>1593</v>
      </c>
      <c r="F1729" s="1" t="s">
        <v>1116</v>
      </c>
      <c r="G1729" s="1" t="s">
        <v>3850</v>
      </c>
      <c r="H1729" s="1" t="s">
        <v>898</v>
      </c>
      <c r="I1729" s="1" t="s">
        <v>1058</v>
      </c>
      <c r="J1729" s="1" t="s">
        <v>939</v>
      </c>
      <c r="K1729" s="1" t="s">
        <v>1319</v>
      </c>
      <c r="L1729" s="1" t="s">
        <v>1098</v>
      </c>
      <c r="M1729" s="1" t="s">
        <v>1056</v>
      </c>
      <c r="N1729">
        <f>_xlfn.NUMBERVALUE(LEFT(Table11[[#This Row],[Score]],FIND("/",Table11[[#This Row],[Score]])-1))</f>
        <v>95</v>
      </c>
      <c r="O1729">
        <f>IFERROR(_xlfn.NUMBERVALUE(LEFT(Table11[[#This Row],[Score2 ]],FIND("/",Table11[[#This Row],[Score2 ]])-1)),"")</f>
        <v>94</v>
      </c>
      <c r="P1729" t="s">
        <v>153</v>
      </c>
      <c r="Q1729" s="1" t="s">
        <v>141</v>
      </c>
      <c r="R1729" t="str">
        <f>Table11[[#This Row],[Match]]&amp;" "&amp;Table11[[#This Row],[Over]]</f>
        <v>29 18</v>
      </c>
    </row>
    <row r="1730" spans="1:18" x14ac:dyDescent="0.3">
      <c r="A1730">
        <v>29</v>
      </c>
      <c r="B1730" s="1">
        <v>19</v>
      </c>
      <c r="C1730" s="1" t="s">
        <v>2702</v>
      </c>
      <c r="D1730" s="1" t="s">
        <v>947</v>
      </c>
      <c r="E1730" s="1" t="s">
        <v>2070</v>
      </c>
      <c r="F1730" s="1" t="s">
        <v>1405</v>
      </c>
      <c r="G1730" s="1" t="s">
        <v>3851</v>
      </c>
      <c r="H1730" s="1" t="s">
        <v>998</v>
      </c>
      <c r="I1730" s="1" t="s">
        <v>1085</v>
      </c>
      <c r="J1730" s="1" t="s">
        <v>976</v>
      </c>
      <c r="K1730" s="1" t="s">
        <v>1180</v>
      </c>
      <c r="L1730" s="1" t="s">
        <v>1868</v>
      </c>
      <c r="M1730" s="1" t="s">
        <v>1063</v>
      </c>
      <c r="N1730">
        <f>_xlfn.NUMBERVALUE(LEFT(Table11[[#This Row],[Score]],FIND("/",Table11[[#This Row],[Score]])-1))</f>
        <v>104</v>
      </c>
      <c r="O1730">
        <f>IFERROR(_xlfn.NUMBERVALUE(LEFT(Table11[[#This Row],[Score2 ]],FIND("/",Table11[[#This Row],[Score2 ]])-1)),"")</f>
        <v>98</v>
      </c>
      <c r="P1730" t="s">
        <v>153</v>
      </c>
      <c r="Q1730" s="1" t="s">
        <v>141</v>
      </c>
      <c r="R1730" t="str">
        <f>Table11[[#This Row],[Match]]&amp;" "&amp;Table11[[#This Row],[Over]]</f>
        <v>29 19</v>
      </c>
    </row>
    <row r="1731" spans="1:18" x14ac:dyDescent="0.3">
      <c r="A1731">
        <v>29</v>
      </c>
      <c r="B1731" s="1">
        <v>20</v>
      </c>
      <c r="C1731" s="1" t="s">
        <v>1311</v>
      </c>
      <c r="D1731" s="1" t="s">
        <v>904</v>
      </c>
      <c r="E1731" s="1" t="s">
        <v>2123</v>
      </c>
      <c r="F1731" s="1" t="s">
        <v>1508</v>
      </c>
      <c r="G1731" s="1" t="s">
        <v>3524</v>
      </c>
      <c r="H1731" s="1" t="s">
        <v>950</v>
      </c>
      <c r="I1731" s="1" t="s">
        <v>1085</v>
      </c>
      <c r="J1731" s="1" t="s">
        <v>966</v>
      </c>
      <c r="K1731" s="1" t="s">
        <v>2695</v>
      </c>
      <c r="L1731" s="1" t="s">
        <v>2061</v>
      </c>
      <c r="M1731" s="1" t="s">
        <v>1070</v>
      </c>
      <c r="N1731">
        <f>_xlfn.NUMBERVALUE(LEFT(Table11[[#This Row],[Score]],FIND("/",Table11[[#This Row],[Score]])-1))</f>
        <v>107</v>
      </c>
      <c r="O1731">
        <f>IFERROR(_xlfn.NUMBERVALUE(LEFT(Table11[[#This Row],[Score2 ]],FIND("/",Table11[[#This Row],[Score2 ]])-1)),"")</f>
        <v>103</v>
      </c>
      <c r="P1731" t="s">
        <v>153</v>
      </c>
      <c r="Q1731" s="1" t="s">
        <v>141</v>
      </c>
      <c r="R1731" t="str">
        <f>Table11[[#This Row],[Match]]&amp;" "&amp;Table11[[#This Row],[Over]]</f>
        <v>29 20</v>
      </c>
    </row>
    <row r="1732" spans="1:18" x14ac:dyDescent="0.3">
      <c r="A1732">
        <v>29</v>
      </c>
      <c r="B1732" s="1">
        <v>21</v>
      </c>
      <c r="C1732" s="1" t="s">
        <v>1785</v>
      </c>
      <c r="D1732" s="1" t="s">
        <v>904</v>
      </c>
      <c r="E1732" s="1" t="s">
        <v>2718</v>
      </c>
      <c r="F1732" s="1" t="s">
        <v>939</v>
      </c>
      <c r="G1732" s="1" t="s">
        <v>3783</v>
      </c>
      <c r="H1732" s="1" t="s">
        <v>1566</v>
      </c>
      <c r="I1732" s="1" t="s">
        <v>2153</v>
      </c>
      <c r="J1732" s="1" t="s">
        <v>1168</v>
      </c>
      <c r="K1732" s="1" t="s">
        <v>999</v>
      </c>
      <c r="L1732" s="1" t="s">
        <v>2312</v>
      </c>
      <c r="M1732" s="1" t="s">
        <v>1077</v>
      </c>
      <c r="N1732">
        <f>_xlfn.NUMBERVALUE(LEFT(Table11[[#This Row],[Score]],FIND("/",Table11[[#This Row],[Score]])-1))</f>
        <v>110</v>
      </c>
      <c r="O1732">
        <f>IFERROR(_xlfn.NUMBERVALUE(LEFT(Table11[[#This Row],[Score2 ]],FIND("/",Table11[[#This Row],[Score2 ]])-1)),"")</f>
        <v>120</v>
      </c>
      <c r="P1732" t="s">
        <v>153</v>
      </c>
      <c r="Q1732" s="1" t="s">
        <v>141</v>
      </c>
      <c r="R1732" t="str">
        <f>Table11[[#This Row],[Match]]&amp;" "&amp;Table11[[#This Row],[Over]]</f>
        <v>29 21</v>
      </c>
    </row>
    <row r="1733" spans="1:18" x14ac:dyDescent="0.3">
      <c r="A1733">
        <v>29</v>
      </c>
      <c r="B1733" s="1">
        <v>22</v>
      </c>
      <c r="C1733" s="1" t="s">
        <v>3852</v>
      </c>
      <c r="D1733" s="1" t="s">
        <v>968</v>
      </c>
      <c r="E1733" s="1" t="s">
        <v>2193</v>
      </c>
      <c r="F1733" s="1" t="s">
        <v>977</v>
      </c>
      <c r="G1733" s="1" t="s">
        <v>3853</v>
      </c>
      <c r="H1733" s="1" t="s">
        <v>930</v>
      </c>
      <c r="I1733" s="1" t="s">
        <v>1420</v>
      </c>
      <c r="J1733" s="1" t="s">
        <v>1116</v>
      </c>
      <c r="K1733" s="1" t="s">
        <v>1632</v>
      </c>
      <c r="L1733" s="1" t="s">
        <v>1571</v>
      </c>
      <c r="M1733" s="1" t="s">
        <v>1083</v>
      </c>
      <c r="N1733">
        <f>_xlfn.NUMBERVALUE(LEFT(Table11[[#This Row],[Score]],FIND("/",Table11[[#This Row],[Score]])-1))</f>
        <v>111</v>
      </c>
      <c r="O1733">
        <f>IFERROR(_xlfn.NUMBERVALUE(LEFT(Table11[[#This Row],[Score2 ]],FIND("/",Table11[[#This Row],[Score2 ]])-1)),"")</f>
        <v>128</v>
      </c>
      <c r="P1733" t="s">
        <v>153</v>
      </c>
      <c r="Q1733" s="1" t="s">
        <v>141</v>
      </c>
      <c r="R1733" t="str">
        <f>Table11[[#This Row],[Match]]&amp;" "&amp;Table11[[#This Row],[Over]]</f>
        <v>29 22</v>
      </c>
    </row>
    <row r="1734" spans="1:18" x14ac:dyDescent="0.3">
      <c r="A1734">
        <v>29</v>
      </c>
      <c r="B1734" s="1">
        <v>23</v>
      </c>
      <c r="C1734" s="1" t="s">
        <v>3852</v>
      </c>
      <c r="D1734" s="1" t="s">
        <v>1007</v>
      </c>
      <c r="E1734" s="1" t="s">
        <v>1026</v>
      </c>
      <c r="F1734" s="1" t="s">
        <v>1259</v>
      </c>
      <c r="G1734" s="1" t="s">
        <v>2833</v>
      </c>
      <c r="H1734" s="1" t="s">
        <v>898</v>
      </c>
      <c r="I1734" s="1" t="s">
        <v>1579</v>
      </c>
      <c r="J1734" s="1" t="s">
        <v>1116</v>
      </c>
      <c r="K1734" s="1" t="s">
        <v>1074</v>
      </c>
      <c r="L1734" s="1" t="s">
        <v>1132</v>
      </c>
      <c r="M1734" s="1" t="s">
        <v>1090</v>
      </c>
      <c r="N1734">
        <f>_xlfn.NUMBERVALUE(LEFT(Table11[[#This Row],[Score]],FIND("/",Table11[[#This Row],[Score]])-1))</f>
        <v>111</v>
      </c>
      <c r="O1734">
        <f>IFERROR(_xlfn.NUMBERVALUE(LEFT(Table11[[#This Row],[Score2 ]],FIND("/",Table11[[#This Row],[Score2 ]])-1)),"")</f>
        <v>130</v>
      </c>
      <c r="P1734" t="s">
        <v>153</v>
      </c>
      <c r="Q1734" s="1" t="s">
        <v>141</v>
      </c>
      <c r="R1734" t="str">
        <f>Table11[[#This Row],[Match]]&amp;" "&amp;Table11[[#This Row],[Over]]</f>
        <v>29 23</v>
      </c>
    </row>
    <row r="1735" spans="1:18" x14ac:dyDescent="0.3">
      <c r="A1735">
        <v>29</v>
      </c>
      <c r="B1735" s="1">
        <v>24</v>
      </c>
      <c r="C1735" s="1" t="s">
        <v>2709</v>
      </c>
      <c r="D1735" s="1" t="s">
        <v>998</v>
      </c>
      <c r="E1735" s="1" t="s">
        <v>2511</v>
      </c>
      <c r="F1735" s="1" t="s">
        <v>1383</v>
      </c>
      <c r="G1735" s="1" t="s">
        <v>2581</v>
      </c>
      <c r="H1735" s="1" t="s">
        <v>930</v>
      </c>
      <c r="I1735" s="1" t="s">
        <v>1601</v>
      </c>
      <c r="J1735" s="1" t="s">
        <v>1089</v>
      </c>
      <c r="K1735" s="1" t="s">
        <v>1500</v>
      </c>
      <c r="L1735" s="1" t="s">
        <v>2409</v>
      </c>
      <c r="M1735" s="1" t="s">
        <v>1098</v>
      </c>
      <c r="N1735">
        <f>_xlfn.NUMBERVALUE(LEFT(Table11[[#This Row],[Score]],FIND("/",Table11[[#This Row],[Score]])-1))</f>
        <v>115</v>
      </c>
      <c r="O1735">
        <f>IFERROR(_xlfn.NUMBERVALUE(LEFT(Table11[[#This Row],[Score2 ]],FIND("/",Table11[[#This Row],[Score2 ]])-1)),"")</f>
        <v>138</v>
      </c>
      <c r="P1735" t="s">
        <v>153</v>
      </c>
      <c r="Q1735" s="1" t="s">
        <v>141</v>
      </c>
      <c r="R1735" t="str">
        <f>Table11[[#This Row],[Match]]&amp;" "&amp;Table11[[#This Row],[Over]]</f>
        <v>29 24</v>
      </c>
    </row>
    <row r="1736" spans="1:18" x14ac:dyDescent="0.3">
      <c r="A1736">
        <v>29</v>
      </c>
      <c r="B1736" s="1">
        <v>25</v>
      </c>
      <c r="C1736" s="1" t="s">
        <v>1801</v>
      </c>
      <c r="D1736" s="1" t="s">
        <v>1051</v>
      </c>
      <c r="E1736" s="1" t="s">
        <v>2193</v>
      </c>
      <c r="F1736" s="1" t="s">
        <v>990</v>
      </c>
      <c r="G1736" s="1" t="s">
        <v>3854</v>
      </c>
      <c r="H1736" s="1" t="s">
        <v>968</v>
      </c>
      <c r="I1736" s="1" t="s">
        <v>1607</v>
      </c>
      <c r="J1736" s="1" t="s">
        <v>1116</v>
      </c>
      <c r="K1736" s="1" t="s">
        <v>1535</v>
      </c>
      <c r="L1736" s="1" t="s">
        <v>1628</v>
      </c>
      <c r="M1736" s="1" t="s">
        <v>1101</v>
      </c>
      <c r="N1736">
        <f>_xlfn.NUMBERVALUE(LEFT(Table11[[#This Row],[Score]],FIND("/",Table11[[#This Row],[Score]])-1))</f>
        <v>126</v>
      </c>
      <c r="O1736">
        <f>IFERROR(_xlfn.NUMBERVALUE(LEFT(Table11[[#This Row],[Score2 ]],FIND("/",Table11[[#This Row],[Score2 ]])-1)),"")</f>
        <v>139</v>
      </c>
      <c r="P1736" t="s">
        <v>153</v>
      </c>
      <c r="Q1736" s="1" t="s">
        <v>141</v>
      </c>
      <c r="R1736" t="str">
        <f>Table11[[#This Row],[Match]]&amp;" "&amp;Table11[[#This Row],[Over]]</f>
        <v>29 25</v>
      </c>
    </row>
    <row r="1737" spans="1:18" x14ac:dyDescent="0.3">
      <c r="A1737">
        <v>29</v>
      </c>
      <c r="B1737" s="1">
        <v>26</v>
      </c>
      <c r="C1737" s="1" t="s">
        <v>3855</v>
      </c>
      <c r="D1737" s="1" t="s">
        <v>904</v>
      </c>
      <c r="E1737" s="1" t="s">
        <v>2282</v>
      </c>
      <c r="F1737" s="1" t="s">
        <v>990</v>
      </c>
      <c r="G1737" s="1" t="s">
        <v>3356</v>
      </c>
      <c r="H1737" s="1" t="s">
        <v>904</v>
      </c>
      <c r="I1737" s="1" t="s">
        <v>1166</v>
      </c>
      <c r="J1737" s="1" t="s">
        <v>940</v>
      </c>
      <c r="K1737" s="1" t="s">
        <v>1124</v>
      </c>
      <c r="L1737" s="1" t="s">
        <v>1143</v>
      </c>
      <c r="M1737" s="1" t="s">
        <v>1108</v>
      </c>
      <c r="N1737">
        <f>_xlfn.NUMBERVALUE(LEFT(Table11[[#This Row],[Score]],FIND("/",Table11[[#This Row],[Score]])-1))</f>
        <v>129</v>
      </c>
      <c r="O1737">
        <f>IFERROR(_xlfn.NUMBERVALUE(LEFT(Table11[[#This Row],[Score2 ]],FIND("/",Table11[[#This Row],[Score2 ]])-1)),"")</f>
        <v>142</v>
      </c>
      <c r="P1737" t="s">
        <v>153</v>
      </c>
      <c r="Q1737" s="1" t="s">
        <v>141</v>
      </c>
      <c r="R1737" t="str">
        <f>Table11[[#This Row],[Match]]&amp;" "&amp;Table11[[#This Row],[Over]]</f>
        <v>29 26</v>
      </c>
    </row>
    <row r="1738" spans="1:18" x14ac:dyDescent="0.3">
      <c r="A1738">
        <v>29</v>
      </c>
      <c r="B1738" s="1">
        <v>27</v>
      </c>
      <c r="C1738" s="1" t="s">
        <v>2029</v>
      </c>
      <c r="D1738" s="1" t="s">
        <v>904</v>
      </c>
      <c r="E1738" s="1" t="s">
        <v>1202</v>
      </c>
      <c r="F1738" s="1" t="s">
        <v>931</v>
      </c>
      <c r="G1738" s="1" t="s">
        <v>3856</v>
      </c>
      <c r="H1738" s="1" t="s">
        <v>922</v>
      </c>
      <c r="I1738" s="1" t="s">
        <v>1115</v>
      </c>
      <c r="J1738" s="1" t="s">
        <v>939</v>
      </c>
      <c r="K1738" s="1" t="s">
        <v>931</v>
      </c>
      <c r="L1738" s="1" t="s">
        <v>1150</v>
      </c>
      <c r="M1738" s="1" t="s">
        <v>1113</v>
      </c>
      <c r="N1738">
        <f>_xlfn.NUMBERVALUE(LEFT(Table11[[#This Row],[Score]],FIND("/",Table11[[#This Row],[Score]])-1))</f>
        <v>132</v>
      </c>
      <c r="O1738">
        <f>IFERROR(_xlfn.NUMBERVALUE(LEFT(Table11[[#This Row],[Score2 ]],FIND("/",Table11[[#This Row],[Score2 ]])-1)),"")</f>
        <v>148</v>
      </c>
      <c r="P1738" t="s">
        <v>153</v>
      </c>
      <c r="Q1738" s="1" t="s">
        <v>141</v>
      </c>
      <c r="R1738" t="str">
        <f>Table11[[#This Row],[Match]]&amp;" "&amp;Table11[[#This Row],[Over]]</f>
        <v>29 27</v>
      </c>
    </row>
    <row r="1739" spans="1:18" x14ac:dyDescent="0.3">
      <c r="A1739">
        <v>29</v>
      </c>
      <c r="B1739" s="1">
        <v>28</v>
      </c>
      <c r="C1739" s="1" t="s">
        <v>3159</v>
      </c>
      <c r="D1739" s="1" t="s">
        <v>916</v>
      </c>
      <c r="E1739" s="1" t="s">
        <v>2282</v>
      </c>
      <c r="F1739" s="1" t="s">
        <v>934</v>
      </c>
      <c r="G1739" s="1" t="s">
        <v>1140</v>
      </c>
      <c r="H1739" s="1" t="s">
        <v>922</v>
      </c>
      <c r="I1739" s="1" t="s">
        <v>959</v>
      </c>
      <c r="J1739" s="1" t="s">
        <v>1093</v>
      </c>
      <c r="K1739" s="1" t="s">
        <v>1483</v>
      </c>
      <c r="L1739" s="1" t="s">
        <v>1156</v>
      </c>
      <c r="M1739" s="1" t="s">
        <v>1121</v>
      </c>
      <c r="N1739">
        <f>_xlfn.NUMBERVALUE(LEFT(Table11[[#This Row],[Score]],FIND("/",Table11[[#This Row],[Score]])-1))</f>
        <v>139</v>
      </c>
      <c r="O1739">
        <f>IFERROR(_xlfn.NUMBERVALUE(LEFT(Table11[[#This Row],[Score2 ]],FIND("/",Table11[[#This Row],[Score2 ]])-1)),"")</f>
        <v>154</v>
      </c>
      <c r="P1739" t="s">
        <v>153</v>
      </c>
      <c r="Q1739" s="1" t="s">
        <v>141</v>
      </c>
      <c r="R1739" t="str">
        <f>Table11[[#This Row],[Match]]&amp;" "&amp;Table11[[#This Row],[Over]]</f>
        <v>29 28</v>
      </c>
    </row>
    <row r="1740" spans="1:18" x14ac:dyDescent="0.3">
      <c r="A1740">
        <v>29</v>
      </c>
      <c r="B1740" s="1">
        <v>29</v>
      </c>
      <c r="C1740" s="1" t="s">
        <v>3550</v>
      </c>
      <c r="D1740" s="1" t="s">
        <v>922</v>
      </c>
      <c r="E1740" s="1" t="s">
        <v>969</v>
      </c>
      <c r="F1740" s="1" t="s">
        <v>1019</v>
      </c>
      <c r="G1740" s="1" t="s">
        <v>3857</v>
      </c>
      <c r="H1740" s="1" t="s">
        <v>933</v>
      </c>
      <c r="I1740" s="1" t="s">
        <v>2472</v>
      </c>
      <c r="J1740" s="1" t="s">
        <v>1019</v>
      </c>
      <c r="K1740" s="1" t="s">
        <v>1263</v>
      </c>
      <c r="L1740" s="1" t="s">
        <v>1805</v>
      </c>
      <c r="M1740" s="1" t="s">
        <v>1127</v>
      </c>
      <c r="N1740">
        <f>_xlfn.NUMBERVALUE(LEFT(Table11[[#This Row],[Score]],FIND("/",Table11[[#This Row],[Score]])-1))</f>
        <v>145</v>
      </c>
      <c r="O1740">
        <f>IFERROR(_xlfn.NUMBERVALUE(LEFT(Table11[[#This Row],[Score2 ]],FIND("/",Table11[[#This Row],[Score2 ]])-1)),"")</f>
        <v>168</v>
      </c>
      <c r="P1740" t="s">
        <v>153</v>
      </c>
      <c r="Q1740" s="1" t="s">
        <v>141</v>
      </c>
      <c r="R1740" t="str">
        <f>Table11[[#This Row],[Match]]&amp;" "&amp;Table11[[#This Row],[Over]]</f>
        <v>29 29</v>
      </c>
    </row>
    <row r="1741" spans="1:18" x14ac:dyDescent="0.3">
      <c r="A1741">
        <v>29</v>
      </c>
      <c r="B1741" s="1">
        <v>30</v>
      </c>
      <c r="C1741" s="1" t="s">
        <v>2035</v>
      </c>
      <c r="D1741" s="1" t="s">
        <v>898</v>
      </c>
      <c r="E1741" s="1" t="s">
        <v>1045</v>
      </c>
      <c r="F1741" s="1" t="s">
        <v>931</v>
      </c>
      <c r="G1741" s="1" t="s">
        <v>3858</v>
      </c>
      <c r="H1741" s="1" t="s">
        <v>947</v>
      </c>
      <c r="I1741" s="1" t="s">
        <v>1407</v>
      </c>
      <c r="J1741" s="1" t="s">
        <v>1508</v>
      </c>
      <c r="K1741" s="1" t="s">
        <v>1454</v>
      </c>
      <c r="L1741" s="1" t="s">
        <v>1916</v>
      </c>
      <c r="M1741" s="1" t="s">
        <v>1132</v>
      </c>
      <c r="N1741">
        <f>_xlfn.NUMBERVALUE(LEFT(Table11[[#This Row],[Score]],FIND("/",Table11[[#This Row],[Score]])-1))</f>
        <v>147</v>
      </c>
      <c r="O1741">
        <f>IFERROR(_xlfn.NUMBERVALUE(LEFT(Table11[[#This Row],[Score2 ]],FIND("/",Table11[[#This Row],[Score2 ]])-1)),"")</f>
        <v>177</v>
      </c>
      <c r="P1741" t="s">
        <v>153</v>
      </c>
      <c r="Q1741" s="1" t="s">
        <v>141</v>
      </c>
      <c r="R1741" t="str">
        <f>Table11[[#This Row],[Match]]&amp;" "&amp;Table11[[#This Row],[Over]]</f>
        <v>29 30</v>
      </c>
    </row>
    <row r="1742" spans="1:18" x14ac:dyDescent="0.3">
      <c r="A1742">
        <v>29</v>
      </c>
      <c r="B1742" s="1">
        <v>31</v>
      </c>
      <c r="C1742" s="1" t="s">
        <v>3488</v>
      </c>
      <c r="D1742" s="1" t="s">
        <v>922</v>
      </c>
      <c r="E1742" s="1" t="s">
        <v>1351</v>
      </c>
      <c r="F1742" s="1" t="s">
        <v>1093</v>
      </c>
      <c r="G1742" s="1" t="s">
        <v>3859</v>
      </c>
      <c r="H1742" s="1" t="s">
        <v>930</v>
      </c>
      <c r="I1742" s="1" t="s">
        <v>2368</v>
      </c>
      <c r="J1742" s="1" t="s">
        <v>1414</v>
      </c>
      <c r="K1742" s="1" t="s">
        <v>2559</v>
      </c>
      <c r="L1742" s="1" t="s">
        <v>2733</v>
      </c>
      <c r="M1742" s="1" t="s">
        <v>1138</v>
      </c>
      <c r="N1742">
        <f>_xlfn.NUMBERVALUE(LEFT(Table11[[#This Row],[Score]],FIND("/",Table11[[#This Row],[Score]])-1))</f>
        <v>153</v>
      </c>
      <c r="O1742">
        <f>IFERROR(_xlfn.NUMBERVALUE(LEFT(Table11[[#This Row],[Score2 ]],FIND("/",Table11[[#This Row],[Score2 ]])-1)),"")</f>
        <v>185</v>
      </c>
      <c r="P1742" t="s">
        <v>153</v>
      </c>
      <c r="Q1742" s="1" t="s">
        <v>141</v>
      </c>
      <c r="R1742" t="str">
        <f>Table11[[#This Row],[Match]]&amp;" "&amp;Table11[[#This Row],[Over]]</f>
        <v>29 31</v>
      </c>
    </row>
    <row r="1743" spans="1:18" x14ac:dyDescent="0.3">
      <c r="A1743">
        <v>29</v>
      </c>
      <c r="B1743" s="1">
        <v>32</v>
      </c>
      <c r="C1743" s="1" t="s">
        <v>2654</v>
      </c>
      <c r="D1743" s="1" t="s">
        <v>904</v>
      </c>
      <c r="E1743" s="1" t="s">
        <v>1357</v>
      </c>
      <c r="F1743" s="1" t="s">
        <v>1093</v>
      </c>
      <c r="G1743" s="1" t="s">
        <v>3374</v>
      </c>
      <c r="H1743" s="1" t="s">
        <v>1051</v>
      </c>
      <c r="I1743" s="1" t="s">
        <v>1968</v>
      </c>
      <c r="J1743" s="1" t="s">
        <v>1219</v>
      </c>
      <c r="K1743" s="1" t="s">
        <v>1088</v>
      </c>
      <c r="L1743" s="1" t="s">
        <v>1205</v>
      </c>
      <c r="M1743" s="1" t="s">
        <v>1143</v>
      </c>
      <c r="N1743">
        <f>_xlfn.NUMBERVALUE(LEFT(Table11[[#This Row],[Score]],FIND("/",Table11[[#This Row],[Score]])-1))</f>
        <v>156</v>
      </c>
      <c r="O1743">
        <f>IFERROR(_xlfn.NUMBERVALUE(LEFT(Table11[[#This Row],[Score2 ]],FIND("/",Table11[[#This Row],[Score2 ]])-1)),"")</f>
        <v>196</v>
      </c>
      <c r="P1743" t="s">
        <v>153</v>
      </c>
      <c r="Q1743" s="1" t="s">
        <v>141</v>
      </c>
      <c r="R1743" t="str">
        <f>Table11[[#This Row],[Match]]&amp;" "&amp;Table11[[#This Row],[Over]]</f>
        <v>29 32</v>
      </c>
    </row>
    <row r="1744" spans="1:18" x14ac:dyDescent="0.3">
      <c r="A1744">
        <v>29</v>
      </c>
      <c r="B1744" s="1">
        <v>33</v>
      </c>
      <c r="C1744" s="1" t="s">
        <v>3017</v>
      </c>
      <c r="D1744" s="1" t="s">
        <v>930</v>
      </c>
      <c r="E1744" s="1" t="s">
        <v>2282</v>
      </c>
      <c r="F1744" s="1" t="s">
        <v>969</v>
      </c>
      <c r="G1744" s="1" t="s">
        <v>3860</v>
      </c>
      <c r="H1744" s="1" t="s">
        <v>950</v>
      </c>
      <c r="I1744" s="1" t="s">
        <v>953</v>
      </c>
      <c r="J1744" s="1" t="s">
        <v>1226</v>
      </c>
      <c r="K1744" s="1" t="s">
        <v>3861</v>
      </c>
      <c r="L1744" s="1" t="s">
        <v>1666</v>
      </c>
      <c r="M1744" s="1" t="s">
        <v>1150</v>
      </c>
      <c r="N1744">
        <f>_xlfn.NUMBERVALUE(LEFT(Table11[[#This Row],[Score]],FIND("/",Table11[[#This Row],[Score]])-1))</f>
        <v>164</v>
      </c>
      <c r="O1744">
        <f>IFERROR(_xlfn.NUMBERVALUE(LEFT(Table11[[#This Row],[Score2 ]],FIND("/",Table11[[#This Row],[Score2 ]])-1)),"")</f>
        <v>201</v>
      </c>
      <c r="P1744" t="s">
        <v>153</v>
      </c>
      <c r="Q1744" s="1" t="s">
        <v>141</v>
      </c>
      <c r="R1744" t="str">
        <f>Table11[[#This Row],[Match]]&amp;" "&amp;Table11[[#This Row],[Over]]</f>
        <v>29 33</v>
      </c>
    </row>
    <row r="1745" spans="1:18" x14ac:dyDescent="0.3">
      <c r="A1745">
        <v>29</v>
      </c>
      <c r="B1745" s="1">
        <v>34</v>
      </c>
      <c r="C1745" s="1" t="s">
        <v>2390</v>
      </c>
      <c r="D1745" s="1" t="s">
        <v>968</v>
      </c>
      <c r="E1745" s="1" t="s">
        <v>1174</v>
      </c>
      <c r="F1745" s="1" t="s">
        <v>939</v>
      </c>
      <c r="G1745" s="1" t="s">
        <v>3862</v>
      </c>
      <c r="H1745" s="1" t="s">
        <v>1615</v>
      </c>
      <c r="I1745" s="1" t="s">
        <v>3863</v>
      </c>
      <c r="J1745" s="1" t="s">
        <v>3864</v>
      </c>
      <c r="K1745" s="1" t="s">
        <v>3865</v>
      </c>
      <c r="L1745" s="1" t="s">
        <v>1211</v>
      </c>
      <c r="M1745" s="1" t="s">
        <v>1210</v>
      </c>
      <c r="N1745">
        <f>_xlfn.NUMBERVALUE(LEFT(Table11[[#This Row],[Score]],FIND("/",Table11[[#This Row],[Score]])-1))</f>
        <v>165</v>
      </c>
      <c r="O1745">
        <f>IFERROR(_xlfn.NUMBERVALUE(LEFT(Table11[[#This Row],[Score2 ]],FIND("/",Table11[[#This Row],[Score2 ]])-1)),"")</f>
        <v>202</v>
      </c>
      <c r="P1745" t="s">
        <v>153</v>
      </c>
      <c r="Q1745" s="1" t="s">
        <v>141</v>
      </c>
      <c r="R1745" t="str">
        <f>Table11[[#This Row],[Match]]&amp;" "&amp;Table11[[#This Row],[Over]]</f>
        <v>29 34</v>
      </c>
    </row>
    <row r="1746" spans="1:18" x14ac:dyDescent="0.3">
      <c r="A1746">
        <v>29</v>
      </c>
      <c r="B1746" s="1">
        <v>35</v>
      </c>
      <c r="C1746" s="1" t="s">
        <v>2722</v>
      </c>
      <c r="D1746" s="1" t="s">
        <v>898</v>
      </c>
      <c r="E1746" s="1" t="s">
        <v>2695</v>
      </c>
      <c r="F1746" s="1" t="s">
        <v>939</v>
      </c>
      <c r="N1746">
        <f>_xlfn.NUMBERVALUE(LEFT(Table11[[#This Row],[Score]],FIND("/",Table11[[#This Row],[Score]])-1))</f>
        <v>167</v>
      </c>
      <c r="O1746" t="str">
        <f>IFERROR(_xlfn.NUMBERVALUE(LEFT(Table11[[#This Row],[Score2 ]],FIND("/",Table11[[#This Row],[Score2 ]])-1)),"")</f>
        <v/>
      </c>
      <c r="P1746" t="s">
        <v>153</v>
      </c>
      <c r="Q1746" s="1" t="s">
        <v>141</v>
      </c>
      <c r="R1746" t="str">
        <f>Table11[[#This Row],[Match]]&amp;" "&amp;Table11[[#This Row],[Over]]</f>
        <v>29 35</v>
      </c>
    </row>
    <row r="1747" spans="1:18" x14ac:dyDescent="0.3">
      <c r="A1747">
        <v>29</v>
      </c>
      <c r="B1747" s="1">
        <v>36</v>
      </c>
      <c r="C1747" s="1" t="s">
        <v>2392</v>
      </c>
      <c r="D1747" s="1" t="s">
        <v>916</v>
      </c>
      <c r="E1747" s="1" t="s">
        <v>2438</v>
      </c>
      <c r="F1747" s="1" t="s">
        <v>931</v>
      </c>
      <c r="N1747">
        <f>_xlfn.NUMBERVALUE(LEFT(Table11[[#This Row],[Score]],FIND("/",Table11[[#This Row],[Score]])-1))</f>
        <v>174</v>
      </c>
      <c r="O1747" t="str">
        <f>IFERROR(_xlfn.NUMBERVALUE(LEFT(Table11[[#This Row],[Score2 ]],FIND("/",Table11[[#This Row],[Score2 ]])-1)),"")</f>
        <v/>
      </c>
      <c r="P1747" t="s">
        <v>153</v>
      </c>
      <c r="Q1747" s="1" t="s">
        <v>141</v>
      </c>
      <c r="R1747" t="str">
        <f>Table11[[#This Row],[Match]]&amp;" "&amp;Table11[[#This Row],[Over]]</f>
        <v>29 36</v>
      </c>
    </row>
    <row r="1748" spans="1:18" x14ac:dyDescent="0.3">
      <c r="A1748">
        <v>29</v>
      </c>
      <c r="B1748" s="1">
        <v>37</v>
      </c>
      <c r="C1748" s="1" t="s">
        <v>2724</v>
      </c>
      <c r="D1748" s="1" t="s">
        <v>968</v>
      </c>
      <c r="E1748" s="1" t="s">
        <v>1194</v>
      </c>
      <c r="F1748" s="1" t="s">
        <v>990</v>
      </c>
      <c r="N1748">
        <f>_xlfn.NUMBERVALUE(LEFT(Table11[[#This Row],[Score]],FIND("/",Table11[[#This Row],[Score]])-1))</f>
        <v>175</v>
      </c>
      <c r="O1748" t="str">
        <f>IFERROR(_xlfn.NUMBERVALUE(LEFT(Table11[[#This Row],[Score2 ]],FIND("/",Table11[[#This Row],[Score2 ]])-1)),"")</f>
        <v/>
      </c>
      <c r="P1748" t="s">
        <v>153</v>
      </c>
      <c r="Q1748" s="1" t="s">
        <v>141</v>
      </c>
      <c r="R1748" t="str">
        <f>Table11[[#This Row],[Match]]&amp;" "&amp;Table11[[#This Row],[Over]]</f>
        <v>29 37</v>
      </c>
    </row>
    <row r="1749" spans="1:18" x14ac:dyDescent="0.3">
      <c r="A1749">
        <v>29</v>
      </c>
      <c r="B1749" s="1">
        <v>38</v>
      </c>
      <c r="C1749" s="1" t="s">
        <v>3324</v>
      </c>
      <c r="D1749" s="1" t="s">
        <v>947</v>
      </c>
      <c r="E1749" s="1" t="s">
        <v>1160</v>
      </c>
      <c r="F1749" s="1" t="s">
        <v>939</v>
      </c>
      <c r="N1749">
        <f>_xlfn.NUMBERVALUE(LEFT(Table11[[#This Row],[Score]],FIND("/",Table11[[#This Row],[Score]])-1))</f>
        <v>184</v>
      </c>
      <c r="O1749" t="str">
        <f>IFERROR(_xlfn.NUMBERVALUE(LEFT(Table11[[#This Row],[Score2 ]],FIND("/",Table11[[#This Row],[Score2 ]])-1)),"")</f>
        <v/>
      </c>
      <c r="P1749" t="s">
        <v>153</v>
      </c>
      <c r="Q1749" s="1" t="s">
        <v>141</v>
      </c>
      <c r="R1749" t="str">
        <f>Table11[[#This Row],[Match]]&amp;" "&amp;Table11[[#This Row],[Over]]</f>
        <v>29 38</v>
      </c>
    </row>
    <row r="1750" spans="1:18" x14ac:dyDescent="0.3">
      <c r="A1750">
        <v>29</v>
      </c>
      <c r="B1750" s="1">
        <v>39</v>
      </c>
      <c r="C1750" s="1" t="s">
        <v>3866</v>
      </c>
      <c r="D1750" s="1" t="s">
        <v>947</v>
      </c>
      <c r="E1750" s="1" t="s">
        <v>1033</v>
      </c>
      <c r="F1750" s="1" t="s">
        <v>934</v>
      </c>
      <c r="N1750">
        <f>_xlfn.NUMBERVALUE(LEFT(Table11[[#This Row],[Score]],FIND("/",Table11[[#This Row],[Score]])-1))</f>
        <v>193</v>
      </c>
      <c r="O1750" t="str">
        <f>IFERROR(_xlfn.NUMBERVALUE(LEFT(Table11[[#This Row],[Score2 ]],FIND("/",Table11[[#This Row],[Score2 ]])-1)),"")</f>
        <v/>
      </c>
      <c r="P1750" t="s">
        <v>153</v>
      </c>
      <c r="Q1750" s="1" t="s">
        <v>141</v>
      </c>
      <c r="R1750" t="str">
        <f>Table11[[#This Row],[Match]]&amp;" "&amp;Table11[[#This Row],[Over]]</f>
        <v>29 39</v>
      </c>
    </row>
    <row r="1751" spans="1:18" x14ac:dyDescent="0.3">
      <c r="A1751">
        <v>29</v>
      </c>
      <c r="B1751" s="1">
        <v>40</v>
      </c>
      <c r="C1751" s="1" t="s">
        <v>3127</v>
      </c>
      <c r="D1751" s="1" t="s">
        <v>904</v>
      </c>
      <c r="E1751" s="1" t="s">
        <v>1045</v>
      </c>
      <c r="F1751" s="1" t="s">
        <v>1013</v>
      </c>
      <c r="N1751">
        <f>_xlfn.NUMBERVALUE(LEFT(Table11[[#This Row],[Score]],FIND("/",Table11[[#This Row],[Score]])-1))</f>
        <v>196</v>
      </c>
      <c r="O1751" t="str">
        <f>IFERROR(_xlfn.NUMBERVALUE(LEFT(Table11[[#This Row],[Score2 ]],FIND("/",Table11[[#This Row],[Score2 ]])-1)),"")</f>
        <v/>
      </c>
      <c r="P1751" t="s">
        <v>153</v>
      </c>
      <c r="Q1751" s="1" t="s">
        <v>141</v>
      </c>
      <c r="R1751" t="str">
        <f>Table11[[#This Row],[Match]]&amp;" "&amp;Table11[[#This Row],[Over]]</f>
        <v>29 40</v>
      </c>
    </row>
    <row r="1752" spans="1:18" x14ac:dyDescent="0.3">
      <c r="A1752">
        <v>29</v>
      </c>
      <c r="B1752" s="1">
        <v>41</v>
      </c>
      <c r="C1752" s="1" t="s">
        <v>3867</v>
      </c>
      <c r="D1752" s="1" t="s">
        <v>916</v>
      </c>
      <c r="E1752" s="1" t="s">
        <v>2672</v>
      </c>
      <c r="F1752" s="1" t="s">
        <v>1013</v>
      </c>
      <c r="N1752">
        <f>_xlfn.NUMBERVALUE(LEFT(Table11[[#This Row],[Score]],FIND("/",Table11[[#This Row],[Score]])-1))</f>
        <v>203</v>
      </c>
      <c r="O1752" t="str">
        <f>IFERROR(_xlfn.NUMBERVALUE(LEFT(Table11[[#This Row],[Score2 ]],FIND("/",Table11[[#This Row],[Score2 ]])-1)),"")</f>
        <v/>
      </c>
      <c r="P1752" t="s">
        <v>153</v>
      </c>
      <c r="Q1752" s="1" t="s">
        <v>141</v>
      </c>
      <c r="R1752" t="str">
        <f>Table11[[#This Row],[Match]]&amp;" "&amp;Table11[[#This Row],[Over]]</f>
        <v>29 41</v>
      </c>
    </row>
    <row r="1753" spans="1:18" x14ac:dyDescent="0.3">
      <c r="A1753">
        <v>29</v>
      </c>
      <c r="B1753" s="1">
        <v>42</v>
      </c>
      <c r="C1753" s="1" t="s">
        <v>3868</v>
      </c>
      <c r="D1753" s="1" t="s">
        <v>947</v>
      </c>
      <c r="E1753" s="1" t="s">
        <v>2193</v>
      </c>
      <c r="F1753" s="1" t="s">
        <v>1068</v>
      </c>
      <c r="N1753">
        <f>_xlfn.NUMBERVALUE(LEFT(Table11[[#This Row],[Score]],FIND("/",Table11[[#This Row],[Score]])-1))</f>
        <v>212</v>
      </c>
      <c r="O1753" t="str">
        <f>IFERROR(_xlfn.NUMBERVALUE(LEFT(Table11[[#This Row],[Score2 ]],FIND("/",Table11[[#This Row],[Score2 ]])-1)),"")</f>
        <v/>
      </c>
      <c r="P1753" t="s">
        <v>153</v>
      </c>
      <c r="Q1753" s="1" t="s">
        <v>141</v>
      </c>
      <c r="R1753" t="str">
        <f>Table11[[#This Row],[Match]]&amp;" "&amp;Table11[[#This Row],[Over]]</f>
        <v>29 42</v>
      </c>
    </row>
    <row r="1754" spans="1:18" x14ac:dyDescent="0.3">
      <c r="A1754">
        <v>29</v>
      </c>
      <c r="B1754" s="1">
        <v>43</v>
      </c>
      <c r="C1754" s="1" t="s">
        <v>3869</v>
      </c>
      <c r="D1754" s="1" t="s">
        <v>898</v>
      </c>
      <c r="E1754" s="1" t="s">
        <v>1582</v>
      </c>
      <c r="F1754" s="1" t="s">
        <v>1019</v>
      </c>
      <c r="N1754">
        <f>_xlfn.NUMBERVALUE(LEFT(Table11[[#This Row],[Score]],FIND("/",Table11[[#This Row],[Score]])-1))</f>
        <v>214</v>
      </c>
      <c r="O1754" t="str">
        <f>IFERROR(_xlfn.NUMBERVALUE(LEFT(Table11[[#This Row],[Score2 ]],FIND("/",Table11[[#This Row],[Score2 ]])-1)),"")</f>
        <v/>
      </c>
      <c r="P1754" t="s">
        <v>153</v>
      </c>
      <c r="Q1754" s="1" t="s">
        <v>141</v>
      </c>
      <c r="R1754" t="str">
        <f>Table11[[#This Row],[Match]]&amp;" "&amp;Table11[[#This Row],[Over]]</f>
        <v>29 43</v>
      </c>
    </row>
    <row r="1755" spans="1:18" x14ac:dyDescent="0.3">
      <c r="A1755">
        <v>29</v>
      </c>
      <c r="B1755" s="1">
        <v>44</v>
      </c>
      <c r="C1755" s="1" t="s">
        <v>3870</v>
      </c>
      <c r="D1755" s="1" t="s">
        <v>998</v>
      </c>
      <c r="E1755" s="1" t="s">
        <v>2672</v>
      </c>
      <c r="F1755" s="1" t="s">
        <v>969</v>
      </c>
      <c r="N1755">
        <f>_xlfn.NUMBERVALUE(LEFT(Table11[[#This Row],[Score]],FIND("/",Table11[[#This Row],[Score]])-1))</f>
        <v>218</v>
      </c>
      <c r="O1755" t="str">
        <f>IFERROR(_xlfn.NUMBERVALUE(LEFT(Table11[[#This Row],[Score2 ]],FIND("/",Table11[[#This Row],[Score2 ]])-1)),"")</f>
        <v/>
      </c>
      <c r="P1755" t="s">
        <v>153</v>
      </c>
      <c r="Q1755" s="1" t="s">
        <v>141</v>
      </c>
      <c r="R1755" t="str">
        <f>Table11[[#This Row],[Match]]&amp;" "&amp;Table11[[#This Row],[Over]]</f>
        <v>29 44</v>
      </c>
    </row>
    <row r="1756" spans="1:18" x14ac:dyDescent="0.3">
      <c r="A1756">
        <v>29</v>
      </c>
      <c r="B1756" s="1">
        <v>45</v>
      </c>
      <c r="C1756" s="1" t="s">
        <v>1208</v>
      </c>
      <c r="D1756" s="1" t="s">
        <v>898</v>
      </c>
      <c r="E1756" s="1" t="s">
        <v>1202</v>
      </c>
      <c r="F1756" s="1" t="s">
        <v>1093</v>
      </c>
      <c r="N1756">
        <f>_xlfn.NUMBERVALUE(LEFT(Table11[[#This Row],[Score]],FIND("/",Table11[[#This Row],[Score]])-1))</f>
        <v>220</v>
      </c>
      <c r="O1756" t="str">
        <f>IFERROR(_xlfn.NUMBERVALUE(LEFT(Table11[[#This Row],[Score2 ]],FIND("/",Table11[[#This Row],[Score2 ]])-1)),"")</f>
        <v/>
      </c>
      <c r="P1756" t="s">
        <v>153</v>
      </c>
      <c r="Q1756" s="1" t="s">
        <v>141</v>
      </c>
      <c r="R1756" t="str">
        <f>Table11[[#This Row],[Match]]&amp;" "&amp;Table11[[#This Row],[Over]]</f>
        <v>29 45</v>
      </c>
    </row>
    <row r="1757" spans="1:18" x14ac:dyDescent="0.3">
      <c r="A1757">
        <v>29</v>
      </c>
      <c r="B1757" s="1">
        <v>46</v>
      </c>
      <c r="C1757" s="1" t="s">
        <v>2303</v>
      </c>
      <c r="D1757" s="1" t="s">
        <v>968</v>
      </c>
      <c r="E1757" s="1" t="s">
        <v>1093</v>
      </c>
      <c r="F1757" s="1" t="s">
        <v>977</v>
      </c>
      <c r="N1757">
        <f>_xlfn.NUMBERVALUE(LEFT(Table11[[#This Row],[Score]],FIND("/",Table11[[#This Row],[Score]])-1))</f>
        <v>221</v>
      </c>
      <c r="O1757" t="str">
        <f>IFERROR(_xlfn.NUMBERVALUE(LEFT(Table11[[#This Row],[Score2 ]],FIND("/",Table11[[#This Row],[Score2 ]])-1)),"")</f>
        <v/>
      </c>
      <c r="P1757" t="s">
        <v>153</v>
      </c>
      <c r="Q1757" s="1" t="s">
        <v>141</v>
      </c>
      <c r="R1757" t="str">
        <f>Table11[[#This Row],[Match]]&amp;" "&amp;Table11[[#This Row],[Over]]</f>
        <v>29 46</v>
      </c>
    </row>
    <row r="1758" spans="1:18" x14ac:dyDescent="0.3">
      <c r="A1758">
        <v>29</v>
      </c>
      <c r="B1758" s="1">
        <v>47</v>
      </c>
      <c r="C1758" s="1" t="s">
        <v>3871</v>
      </c>
      <c r="D1758" s="1" t="s">
        <v>1615</v>
      </c>
      <c r="E1758" s="1" t="s">
        <v>3872</v>
      </c>
      <c r="F1758" s="1" t="s">
        <v>3873</v>
      </c>
      <c r="N1758">
        <f>_xlfn.NUMBERVALUE(LEFT(Table11[[#This Row],[Score]],FIND("/",Table11[[#This Row],[Score]])-1))</f>
        <v>222</v>
      </c>
      <c r="O1758" t="str">
        <f>IFERROR(_xlfn.NUMBERVALUE(LEFT(Table11[[#This Row],[Score2 ]],FIND("/",Table11[[#This Row],[Score2 ]])-1)),"")</f>
        <v/>
      </c>
      <c r="P1758" t="s">
        <v>153</v>
      </c>
      <c r="Q1758" s="1" t="s">
        <v>141</v>
      </c>
      <c r="R1758" t="str">
        <f>Table11[[#This Row],[Match]]&amp;" "&amp;Table11[[#This Row],[Over]]</f>
        <v>29 47</v>
      </c>
    </row>
    <row r="1759" spans="1:18" x14ac:dyDescent="0.3">
      <c r="A1759">
        <v>30</v>
      </c>
      <c r="B1759" s="1">
        <v>1</v>
      </c>
      <c r="C1759" s="1" t="s">
        <v>1235</v>
      </c>
      <c r="D1759" s="1" t="s">
        <v>947</v>
      </c>
      <c r="E1759" s="1" t="s">
        <v>1161</v>
      </c>
      <c r="F1759" s="1" t="s">
        <v>348</v>
      </c>
      <c r="G1759" s="1" t="s">
        <v>897</v>
      </c>
      <c r="H1759" s="1" t="s">
        <v>898</v>
      </c>
      <c r="I1759" s="1" t="s">
        <v>899</v>
      </c>
      <c r="J1759" s="1" t="s">
        <v>348</v>
      </c>
      <c r="K1759" s="1" t="s">
        <v>1022</v>
      </c>
      <c r="L1759" s="1" t="s">
        <v>3631</v>
      </c>
      <c r="M1759" s="1" t="s">
        <v>902</v>
      </c>
      <c r="N1759">
        <f>_xlfn.NUMBERVALUE(LEFT(Table11[[#This Row],[Score]],FIND("/",Table11[[#This Row],[Score]])-1))</f>
        <v>9</v>
      </c>
      <c r="O1759">
        <f>IFERROR(_xlfn.NUMBERVALUE(LEFT(Table11[[#This Row],[Score2 ]],FIND("/",Table11[[#This Row],[Score2 ]])-1)),"")</f>
        <v>2</v>
      </c>
      <c r="P1759" t="s">
        <v>169</v>
      </c>
      <c r="Q1759" s="1" t="s">
        <v>158</v>
      </c>
      <c r="R1759" t="str">
        <f>Table11[[#This Row],[Match]]&amp;" "&amp;Table11[[#This Row],[Over]]</f>
        <v>30 1</v>
      </c>
    </row>
    <row r="1760" spans="1:18" x14ac:dyDescent="0.3">
      <c r="A1760">
        <v>30</v>
      </c>
      <c r="B1760" s="1">
        <v>2</v>
      </c>
      <c r="C1760" s="1" t="s">
        <v>915</v>
      </c>
      <c r="D1760" s="1" t="s">
        <v>898</v>
      </c>
      <c r="E1760" s="1" t="s">
        <v>959</v>
      </c>
      <c r="F1760" s="1" t="s">
        <v>348</v>
      </c>
      <c r="G1760" s="1" t="s">
        <v>1418</v>
      </c>
      <c r="H1760" s="1" t="s">
        <v>968</v>
      </c>
      <c r="I1760" s="1" t="s">
        <v>1822</v>
      </c>
      <c r="J1760" s="1" t="s">
        <v>348</v>
      </c>
      <c r="K1760" s="1" t="s">
        <v>1996</v>
      </c>
      <c r="L1760" s="1" t="s">
        <v>2085</v>
      </c>
      <c r="M1760" s="1" t="s">
        <v>909</v>
      </c>
      <c r="N1760">
        <f>_xlfn.NUMBERVALUE(LEFT(Table11[[#This Row],[Score]],FIND("/",Table11[[#This Row],[Score]])-1))</f>
        <v>11</v>
      </c>
      <c r="O1760">
        <f>IFERROR(_xlfn.NUMBERVALUE(LEFT(Table11[[#This Row],[Score2 ]],FIND("/",Table11[[#This Row],[Score2 ]])-1)),"")</f>
        <v>3</v>
      </c>
      <c r="P1760" t="s">
        <v>169</v>
      </c>
      <c r="Q1760" s="1" t="s">
        <v>158</v>
      </c>
      <c r="R1760" t="str">
        <f>Table11[[#This Row],[Match]]&amp;" "&amp;Table11[[#This Row],[Over]]</f>
        <v>30 2</v>
      </c>
    </row>
    <row r="1761" spans="1:18" x14ac:dyDescent="0.3">
      <c r="A1761">
        <v>30</v>
      </c>
      <c r="B1761" s="1">
        <v>3</v>
      </c>
      <c r="C1761" s="1" t="s">
        <v>2989</v>
      </c>
      <c r="D1761" s="1" t="s">
        <v>950</v>
      </c>
      <c r="E1761" s="1" t="s">
        <v>2110</v>
      </c>
      <c r="F1761" s="1" t="s">
        <v>348</v>
      </c>
      <c r="G1761" s="1" t="s">
        <v>1418</v>
      </c>
      <c r="H1761" s="1" t="s">
        <v>1007</v>
      </c>
      <c r="I1761" s="1" t="s">
        <v>1662</v>
      </c>
      <c r="J1761" s="1" t="s">
        <v>348</v>
      </c>
      <c r="K1761" s="1" t="s">
        <v>952</v>
      </c>
      <c r="L1761" s="1" t="s">
        <v>2085</v>
      </c>
      <c r="M1761" s="1" t="s">
        <v>920</v>
      </c>
      <c r="N1761">
        <f>_xlfn.NUMBERVALUE(LEFT(Table11[[#This Row],[Score]],FIND("/",Table11[[#This Row],[Score]])-1))</f>
        <v>16</v>
      </c>
      <c r="O1761">
        <f>IFERROR(_xlfn.NUMBERVALUE(LEFT(Table11[[#This Row],[Score2 ]],FIND("/",Table11[[#This Row],[Score2 ]])-1)),"")</f>
        <v>3</v>
      </c>
      <c r="P1761" t="s">
        <v>169</v>
      </c>
      <c r="Q1761" s="1" t="s">
        <v>158</v>
      </c>
      <c r="R1761" t="str">
        <f>Table11[[#This Row],[Match]]&amp;" "&amp;Table11[[#This Row],[Over]]</f>
        <v>30 3</v>
      </c>
    </row>
    <row r="1762" spans="1:18" x14ac:dyDescent="0.3">
      <c r="A1762">
        <v>30</v>
      </c>
      <c r="B1762" s="1">
        <v>4</v>
      </c>
      <c r="C1762" s="1" t="s">
        <v>2530</v>
      </c>
      <c r="D1762" s="1" t="s">
        <v>898</v>
      </c>
      <c r="E1762" s="1" t="s">
        <v>1021</v>
      </c>
      <c r="F1762" s="1" t="s">
        <v>348</v>
      </c>
      <c r="G1762" s="1" t="s">
        <v>1239</v>
      </c>
      <c r="H1762" s="1" t="s">
        <v>947</v>
      </c>
      <c r="I1762" s="1" t="s">
        <v>1238</v>
      </c>
      <c r="J1762" s="1" t="s">
        <v>348</v>
      </c>
      <c r="K1762" s="1" t="s">
        <v>2505</v>
      </c>
      <c r="L1762" s="1" t="s">
        <v>3092</v>
      </c>
      <c r="M1762" s="1" t="s">
        <v>928</v>
      </c>
      <c r="N1762">
        <f>_xlfn.NUMBERVALUE(LEFT(Table11[[#This Row],[Score]],FIND("/",Table11[[#This Row],[Score]])-1))</f>
        <v>18</v>
      </c>
      <c r="O1762">
        <f>IFERROR(_xlfn.NUMBERVALUE(LEFT(Table11[[#This Row],[Score2 ]],FIND("/",Table11[[#This Row],[Score2 ]])-1)),"")</f>
        <v>12</v>
      </c>
      <c r="P1762" t="s">
        <v>169</v>
      </c>
      <c r="Q1762" s="1" t="s">
        <v>158</v>
      </c>
      <c r="R1762" t="str">
        <f>Table11[[#This Row],[Match]]&amp;" "&amp;Table11[[#This Row],[Over]]</f>
        <v>30 4</v>
      </c>
    </row>
    <row r="1763" spans="1:18" x14ac:dyDescent="0.3">
      <c r="A1763">
        <v>30</v>
      </c>
      <c r="B1763" s="1">
        <v>5</v>
      </c>
      <c r="C1763" s="1" t="s">
        <v>2332</v>
      </c>
      <c r="D1763" s="1" t="s">
        <v>904</v>
      </c>
      <c r="E1763" s="1" t="s">
        <v>931</v>
      </c>
      <c r="F1763" s="1" t="s">
        <v>931</v>
      </c>
      <c r="G1763" s="1" t="s">
        <v>2326</v>
      </c>
      <c r="H1763" s="1" t="s">
        <v>922</v>
      </c>
      <c r="I1763" s="1" t="s">
        <v>977</v>
      </c>
      <c r="J1763" s="1" t="s">
        <v>977</v>
      </c>
      <c r="K1763" s="1" t="s">
        <v>2212</v>
      </c>
      <c r="L1763" s="1" t="s">
        <v>2213</v>
      </c>
      <c r="M1763" s="1" t="s">
        <v>937</v>
      </c>
      <c r="N1763">
        <f>_xlfn.NUMBERVALUE(LEFT(Table11[[#This Row],[Score]],FIND("/",Table11[[#This Row],[Score]])-1))</f>
        <v>21</v>
      </c>
      <c r="O1763">
        <f>IFERROR(_xlfn.NUMBERVALUE(LEFT(Table11[[#This Row],[Score2 ]],FIND("/",Table11[[#This Row],[Score2 ]])-1)),"")</f>
        <v>18</v>
      </c>
      <c r="P1763" t="s">
        <v>169</v>
      </c>
      <c r="Q1763" s="1" t="s">
        <v>158</v>
      </c>
      <c r="R1763" t="str">
        <f>Table11[[#This Row],[Match]]&amp;" "&amp;Table11[[#This Row],[Over]]</f>
        <v>30 5</v>
      </c>
    </row>
    <row r="1764" spans="1:18" x14ac:dyDescent="0.3">
      <c r="A1764">
        <v>30</v>
      </c>
      <c r="B1764" s="1">
        <v>6</v>
      </c>
      <c r="C1764" s="1" t="s">
        <v>3150</v>
      </c>
      <c r="D1764" s="1" t="s">
        <v>898</v>
      </c>
      <c r="E1764" s="1" t="s">
        <v>1731</v>
      </c>
      <c r="F1764" s="1" t="s">
        <v>993</v>
      </c>
      <c r="G1764" s="1" t="s">
        <v>1724</v>
      </c>
      <c r="H1764" s="1" t="s">
        <v>947</v>
      </c>
      <c r="I1764" s="1" t="s">
        <v>1021</v>
      </c>
      <c r="J1764" s="1" t="s">
        <v>969</v>
      </c>
      <c r="K1764" s="1" t="s">
        <v>1036</v>
      </c>
      <c r="L1764" s="1" t="s">
        <v>2215</v>
      </c>
      <c r="M1764" s="1" t="s">
        <v>945</v>
      </c>
      <c r="N1764">
        <f>_xlfn.NUMBERVALUE(LEFT(Table11[[#This Row],[Score]],FIND("/",Table11[[#This Row],[Score]])-1))</f>
        <v>23</v>
      </c>
      <c r="O1764">
        <f>IFERROR(_xlfn.NUMBERVALUE(LEFT(Table11[[#This Row],[Score2 ]],FIND("/",Table11[[#This Row],[Score2 ]])-1)),"")</f>
        <v>27</v>
      </c>
      <c r="P1764" t="s">
        <v>169</v>
      </c>
      <c r="Q1764" s="1" t="s">
        <v>158</v>
      </c>
      <c r="R1764" t="str">
        <f>Table11[[#This Row],[Match]]&amp;" "&amp;Table11[[#This Row],[Over]]</f>
        <v>30 6</v>
      </c>
    </row>
    <row r="1765" spans="1:18" x14ac:dyDescent="0.3">
      <c r="A1765">
        <v>30</v>
      </c>
      <c r="B1765" s="1">
        <v>7</v>
      </c>
      <c r="C1765" s="1" t="s">
        <v>2690</v>
      </c>
      <c r="D1765" s="1" t="s">
        <v>998</v>
      </c>
      <c r="E1765" s="1" t="s">
        <v>1518</v>
      </c>
      <c r="F1765" s="1" t="s">
        <v>1259</v>
      </c>
      <c r="G1765" s="1" t="s">
        <v>3093</v>
      </c>
      <c r="H1765" s="1" t="s">
        <v>904</v>
      </c>
      <c r="I1765" s="1" t="s">
        <v>1124</v>
      </c>
      <c r="J1765" s="1" t="s">
        <v>966</v>
      </c>
      <c r="K1765" s="1" t="s">
        <v>2102</v>
      </c>
      <c r="L1765" s="1" t="s">
        <v>1234</v>
      </c>
      <c r="M1765" s="1" t="s">
        <v>955</v>
      </c>
      <c r="N1765">
        <f>_xlfn.NUMBERVALUE(LEFT(Table11[[#This Row],[Score]],FIND("/",Table11[[#This Row],[Score]])-1))</f>
        <v>27</v>
      </c>
      <c r="O1765">
        <f>IFERROR(_xlfn.NUMBERVALUE(LEFT(Table11[[#This Row],[Score2 ]],FIND("/",Table11[[#This Row],[Score2 ]])-1)),"")</f>
        <v>30</v>
      </c>
      <c r="P1765" t="s">
        <v>169</v>
      </c>
      <c r="Q1765" s="1" t="s">
        <v>158</v>
      </c>
      <c r="R1765" t="str">
        <f>Table11[[#This Row],[Match]]&amp;" "&amp;Table11[[#This Row],[Over]]</f>
        <v>30 7</v>
      </c>
    </row>
    <row r="1766" spans="1:18" x14ac:dyDescent="0.3">
      <c r="A1766">
        <v>30</v>
      </c>
      <c r="B1766" s="1">
        <v>8</v>
      </c>
      <c r="C1766" s="1" t="s">
        <v>941</v>
      </c>
      <c r="D1766" s="1" t="s">
        <v>916</v>
      </c>
      <c r="E1766" s="1" t="s">
        <v>1074</v>
      </c>
      <c r="F1766" s="1" t="s">
        <v>977</v>
      </c>
      <c r="G1766" s="1" t="s">
        <v>1262</v>
      </c>
      <c r="H1766" s="1" t="s">
        <v>898</v>
      </c>
      <c r="I1766" s="1" t="s">
        <v>939</v>
      </c>
      <c r="J1766" s="1" t="s">
        <v>1013</v>
      </c>
      <c r="K1766" s="1" t="s">
        <v>2221</v>
      </c>
      <c r="L1766" s="1" t="s">
        <v>1969</v>
      </c>
      <c r="M1766" s="1" t="s">
        <v>963</v>
      </c>
      <c r="N1766">
        <f>_xlfn.NUMBERVALUE(LEFT(Table11[[#This Row],[Score]],FIND("/",Table11[[#This Row],[Score]])-1))</f>
        <v>34</v>
      </c>
      <c r="O1766">
        <f>IFERROR(_xlfn.NUMBERVALUE(LEFT(Table11[[#This Row],[Score2 ]],FIND("/",Table11[[#This Row],[Score2 ]])-1)),"")</f>
        <v>32</v>
      </c>
      <c r="P1766" t="s">
        <v>169</v>
      </c>
      <c r="Q1766" s="1" t="s">
        <v>158</v>
      </c>
      <c r="R1766" t="str">
        <f>Table11[[#This Row],[Match]]&amp;" "&amp;Table11[[#This Row],[Over]]</f>
        <v>30 8</v>
      </c>
    </row>
    <row r="1767" spans="1:18" x14ac:dyDescent="0.3">
      <c r="A1767">
        <v>30</v>
      </c>
      <c r="B1767" s="1">
        <v>9</v>
      </c>
      <c r="C1767" s="1" t="s">
        <v>1268</v>
      </c>
      <c r="D1767" s="1" t="s">
        <v>898</v>
      </c>
      <c r="E1767" s="1" t="s">
        <v>939</v>
      </c>
      <c r="F1767" s="1" t="s">
        <v>977</v>
      </c>
      <c r="G1767" s="1" t="s">
        <v>1440</v>
      </c>
      <c r="H1767" s="1" t="s">
        <v>1007</v>
      </c>
      <c r="I1767" s="1" t="s">
        <v>1263</v>
      </c>
      <c r="J1767" s="1" t="s">
        <v>939</v>
      </c>
      <c r="K1767" s="1" t="s">
        <v>3806</v>
      </c>
      <c r="L1767" s="1" t="s">
        <v>1969</v>
      </c>
      <c r="M1767" s="1" t="s">
        <v>973</v>
      </c>
      <c r="N1767">
        <f>_xlfn.NUMBERVALUE(LEFT(Table11[[#This Row],[Score]],FIND("/",Table11[[#This Row],[Score]])-1))</f>
        <v>36</v>
      </c>
      <c r="O1767">
        <f>IFERROR(_xlfn.NUMBERVALUE(LEFT(Table11[[#This Row],[Score2 ]],FIND("/",Table11[[#This Row],[Score2 ]])-1)),"")</f>
        <v>32</v>
      </c>
      <c r="P1767" t="s">
        <v>169</v>
      </c>
      <c r="Q1767" s="1" t="s">
        <v>158</v>
      </c>
      <c r="R1767" t="str">
        <f>Table11[[#This Row],[Match]]&amp;" "&amp;Table11[[#This Row],[Over]]</f>
        <v>30 9</v>
      </c>
    </row>
    <row r="1768" spans="1:18" x14ac:dyDescent="0.3">
      <c r="A1768">
        <v>30</v>
      </c>
      <c r="B1768" s="1">
        <v>10</v>
      </c>
      <c r="C1768" s="1" t="s">
        <v>2216</v>
      </c>
      <c r="D1768" s="1" t="s">
        <v>950</v>
      </c>
      <c r="E1768" s="1" t="s">
        <v>1483</v>
      </c>
      <c r="F1768" s="1" t="s">
        <v>939</v>
      </c>
      <c r="G1768" s="1" t="s">
        <v>1863</v>
      </c>
      <c r="H1768" s="1" t="s">
        <v>947</v>
      </c>
      <c r="I1768" s="1" t="s">
        <v>1483</v>
      </c>
      <c r="J1768" s="1" t="s">
        <v>976</v>
      </c>
      <c r="K1768" s="1" t="s">
        <v>1309</v>
      </c>
      <c r="L1768" s="1" t="s">
        <v>1249</v>
      </c>
      <c r="M1768" s="1" t="s">
        <v>980</v>
      </c>
      <c r="N1768">
        <f>_xlfn.NUMBERVALUE(LEFT(Table11[[#This Row],[Score]],FIND("/",Table11[[#This Row],[Score]])-1))</f>
        <v>41</v>
      </c>
      <c r="O1768">
        <f>IFERROR(_xlfn.NUMBERVALUE(LEFT(Table11[[#This Row],[Score2 ]],FIND("/",Table11[[#This Row],[Score2 ]])-1)),"")</f>
        <v>41</v>
      </c>
      <c r="P1768" t="s">
        <v>169</v>
      </c>
      <c r="Q1768" s="1" t="s">
        <v>158</v>
      </c>
      <c r="R1768" t="str">
        <f>Table11[[#This Row],[Match]]&amp;" "&amp;Table11[[#This Row],[Over]]</f>
        <v>30 10</v>
      </c>
    </row>
    <row r="1769" spans="1:18" x14ac:dyDescent="0.3">
      <c r="A1769">
        <v>30</v>
      </c>
      <c r="B1769" s="1">
        <v>11</v>
      </c>
      <c r="C1769" s="1" t="s">
        <v>958</v>
      </c>
      <c r="D1769" s="1" t="s">
        <v>904</v>
      </c>
      <c r="E1769" s="1" t="s">
        <v>939</v>
      </c>
      <c r="F1769" s="1" t="s">
        <v>931</v>
      </c>
      <c r="G1769" s="1" t="s">
        <v>2617</v>
      </c>
      <c r="H1769" s="1" t="s">
        <v>904</v>
      </c>
      <c r="I1769" s="1" t="s">
        <v>939</v>
      </c>
      <c r="J1769" s="1" t="s">
        <v>1247</v>
      </c>
      <c r="K1769" s="1" t="s">
        <v>2127</v>
      </c>
      <c r="L1769" s="1" t="s">
        <v>909</v>
      </c>
      <c r="M1769" s="1" t="s">
        <v>987</v>
      </c>
      <c r="N1769">
        <f>_xlfn.NUMBERVALUE(LEFT(Table11[[#This Row],[Score]],FIND("/",Table11[[#This Row],[Score]])-1))</f>
        <v>44</v>
      </c>
      <c r="O1769">
        <f>IFERROR(_xlfn.NUMBERVALUE(LEFT(Table11[[#This Row],[Score2 ]],FIND("/",Table11[[#This Row],[Score2 ]])-1)),"")</f>
        <v>44</v>
      </c>
      <c r="P1769" t="s">
        <v>169</v>
      </c>
      <c r="Q1769" s="1" t="s">
        <v>158</v>
      </c>
      <c r="R1769" t="str">
        <f>Table11[[#This Row],[Match]]&amp;" "&amp;Table11[[#This Row],[Over]]</f>
        <v>30 11</v>
      </c>
    </row>
    <row r="1770" spans="1:18" x14ac:dyDescent="0.3">
      <c r="A1770">
        <v>30</v>
      </c>
      <c r="B1770" s="1">
        <v>12</v>
      </c>
      <c r="C1770" s="1" t="s">
        <v>967</v>
      </c>
      <c r="D1770" s="1" t="s">
        <v>968</v>
      </c>
      <c r="E1770" s="1" t="s">
        <v>1276</v>
      </c>
      <c r="F1770" s="1" t="s">
        <v>977</v>
      </c>
      <c r="G1770" s="1" t="s">
        <v>3282</v>
      </c>
      <c r="H1770" s="1" t="s">
        <v>904</v>
      </c>
      <c r="I1770" s="1" t="s">
        <v>1278</v>
      </c>
      <c r="J1770" s="1" t="s">
        <v>1247</v>
      </c>
      <c r="K1770" s="1" t="s">
        <v>1322</v>
      </c>
      <c r="L1770" s="1" t="s">
        <v>2687</v>
      </c>
      <c r="M1770" s="1" t="s">
        <v>996</v>
      </c>
      <c r="N1770">
        <f>_xlfn.NUMBERVALUE(LEFT(Table11[[#This Row],[Score]],FIND("/",Table11[[#This Row],[Score]])-1))</f>
        <v>45</v>
      </c>
      <c r="O1770">
        <f>IFERROR(_xlfn.NUMBERVALUE(LEFT(Table11[[#This Row],[Score2 ]],FIND("/",Table11[[#This Row],[Score2 ]])-1)),"")</f>
        <v>47</v>
      </c>
      <c r="P1770" t="s">
        <v>169</v>
      </c>
      <c r="Q1770" s="1" t="s">
        <v>158</v>
      </c>
      <c r="R1770" t="str">
        <f>Table11[[#This Row],[Match]]&amp;" "&amp;Table11[[#This Row],[Over]]</f>
        <v>30 12</v>
      </c>
    </row>
    <row r="1771" spans="1:18" x14ac:dyDescent="0.3">
      <c r="A1771">
        <v>30</v>
      </c>
      <c r="B1771" s="1">
        <v>13</v>
      </c>
      <c r="C1771" s="1" t="s">
        <v>2335</v>
      </c>
      <c r="D1771" s="1" t="s">
        <v>950</v>
      </c>
      <c r="E1771" s="1" t="s">
        <v>1456</v>
      </c>
      <c r="F1771" s="1" t="s">
        <v>1259</v>
      </c>
      <c r="G1771" s="1" t="s">
        <v>3344</v>
      </c>
      <c r="H1771" s="1" t="s">
        <v>930</v>
      </c>
      <c r="I1771" s="1" t="s">
        <v>1532</v>
      </c>
      <c r="J1771" s="1" t="s">
        <v>976</v>
      </c>
      <c r="K1771" s="1" t="s">
        <v>2810</v>
      </c>
      <c r="L1771" s="1" t="s">
        <v>2237</v>
      </c>
      <c r="M1771" s="1" t="s">
        <v>1004</v>
      </c>
      <c r="N1771">
        <f>_xlfn.NUMBERVALUE(LEFT(Table11[[#This Row],[Score]],FIND("/",Table11[[#This Row],[Score]])-1))</f>
        <v>50</v>
      </c>
      <c r="O1771">
        <f>IFERROR(_xlfn.NUMBERVALUE(LEFT(Table11[[#This Row],[Score2 ]],FIND("/",Table11[[#This Row],[Score2 ]])-1)),"")</f>
        <v>55</v>
      </c>
      <c r="P1771" t="s">
        <v>169</v>
      </c>
      <c r="Q1771" s="1" t="s">
        <v>158</v>
      </c>
      <c r="R1771" t="str">
        <f>Table11[[#This Row],[Match]]&amp;" "&amp;Table11[[#This Row],[Over]]</f>
        <v>30 13</v>
      </c>
    </row>
    <row r="1772" spans="1:18" x14ac:dyDescent="0.3">
      <c r="A1772">
        <v>30</v>
      </c>
      <c r="B1772" s="1">
        <v>14</v>
      </c>
      <c r="C1772" s="1" t="s">
        <v>3759</v>
      </c>
      <c r="D1772" s="1" t="s">
        <v>998</v>
      </c>
      <c r="E1772" s="1" t="s">
        <v>1518</v>
      </c>
      <c r="F1772" s="1" t="s">
        <v>977</v>
      </c>
      <c r="G1772" s="1" t="s">
        <v>1476</v>
      </c>
      <c r="H1772" s="1" t="s">
        <v>998</v>
      </c>
      <c r="I1772" s="1" t="s">
        <v>1130</v>
      </c>
      <c r="J1772" s="1" t="s">
        <v>966</v>
      </c>
      <c r="K1772" s="1" t="s">
        <v>3097</v>
      </c>
      <c r="L1772" s="1" t="s">
        <v>936</v>
      </c>
      <c r="M1772" s="1" t="s">
        <v>1010</v>
      </c>
      <c r="N1772">
        <f>_xlfn.NUMBERVALUE(LEFT(Table11[[#This Row],[Score]],FIND("/",Table11[[#This Row],[Score]])-1))</f>
        <v>54</v>
      </c>
      <c r="O1772">
        <f>IFERROR(_xlfn.NUMBERVALUE(LEFT(Table11[[#This Row],[Score2 ]],FIND("/",Table11[[#This Row],[Score2 ]])-1)),"")</f>
        <v>59</v>
      </c>
      <c r="P1772" t="s">
        <v>169</v>
      </c>
      <c r="Q1772" s="1" t="s">
        <v>158</v>
      </c>
      <c r="R1772" t="str">
        <f>Table11[[#This Row],[Match]]&amp;" "&amp;Table11[[#This Row],[Over]]</f>
        <v>30 14</v>
      </c>
    </row>
    <row r="1773" spans="1:18" x14ac:dyDescent="0.3">
      <c r="A1773">
        <v>30</v>
      </c>
      <c r="B1773" s="1">
        <v>15</v>
      </c>
      <c r="C1773" s="1" t="s">
        <v>997</v>
      </c>
      <c r="D1773" s="1" t="s">
        <v>898</v>
      </c>
      <c r="E1773" s="1" t="s">
        <v>1848</v>
      </c>
      <c r="F1773" s="1" t="s">
        <v>1238</v>
      </c>
      <c r="G1773" s="1" t="s">
        <v>1878</v>
      </c>
      <c r="H1773" s="1" t="s">
        <v>947</v>
      </c>
      <c r="I1773" s="1" t="s">
        <v>1793</v>
      </c>
      <c r="J1773" s="1" t="s">
        <v>966</v>
      </c>
      <c r="K1773" s="1" t="s">
        <v>3312</v>
      </c>
      <c r="L1773" s="1" t="s">
        <v>945</v>
      </c>
      <c r="M1773" s="1" t="s">
        <v>1016</v>
      </c>
      <c r="N1773">
        <f>_xlfn.NUMBERVALUE(LEFT(Table11[[#This Row],[Score]],FIND("/",Table11[[#This Row],[Score]])-1))</f>
        <v>56</v>
      </c>
      <c r="O1773">
        <f>IFERROR(_xlfn.NUMBERVALUE(LEFT(Table11[[#This Row],[Score2 ]],FIND("/",Table11[[#This Row],[Score2 ]])-1)),"")</f>
        <v>68</v>
      </c>
      <c r="P1773" t="s">
        <v>169</v>
      </c>
      <c r="Q1773" s="1" t="s">
        <v>158</v>
      </c>
      <c r="R1773" t="str">
        <f>Table11[[#This Row],[Match]]&amp;" "&amp;Table11[[#This Row],[Over]]</f>
        <v>30 15</v>
      </c>
    </row>
    <row r="1774" spans="1:18" x14ac:dyDescent="0.3">
      <c r="A1774">
        <v>30</v>
      </c>
      <c r="B1774" s="1">
        <v>16</v>
      </c>
      <c r="C1774" s="1" t="s">
        <v>1651</v>
      </c>
      <c r="D1774" s="1" t="s">
        <v>904</v>
      </c>
      <c r="E1774" s="1" t="s">
        <v>1861</v>
      </c>
      <c r="F1774" s="1" t="s">
        <v>1238</v>
      </c>
      <c r="G1774" s="1" t="s">
        <v>1478</v>
      </c>
      <c r="H1774" s="1" t="s">
        <v>922</v>
      </c>
      <c r="I1774" s="1" t="s">
        <v>1344</v>
      </c>
      <c r="J1774" s="1" t="s">
        <v>1019</v>
      </c>
      <c r="K1774" s="1" t="s">
        <v>3097</v>
      </c>
      <c r="L1774" s="1" t="s">
        <v>955</v>
      </c>
      <c r="M1774" s="1" t="s">
        <v>1024</v>
      </c>
      <c r="N1774">
        <f>_xlfn.NUMBERVALUE(LEFT(Table11[[#This Row],[Score]],FIND("/",Table11[[#This Row],[Score]])-1))</f>
        <v>59</v>
      </c>
      <c r="O1774">
        <f>IFERROR(_xlfn.NUMBERVALUE(LEFT(Table11[[#This Row],[Score2 ]],FIND("/",Table11[[#This Row],[Score2 ]])-1)),"")</f>
        <v>74</v>
      </c>
      <c r="P1774" t="s">
        <v>169</v>
      </c>
      <c r="Q1774" s="1" t="s">
        <v>158</v>
      </c>
      <c r="R1774" t="str">
        <f>Table11[[#This Row],[Match]]&amp;" "&amp;Table11[[#This Row],[Over]]</f>
        <v>30 16</v>
      </c>
    </row>
    <row r="1775" spans="1:18" x14ac:dyDescent="0.3">
      <c r="A1775">
        <v>30</v>
      </c>
      <c r="B1775" s="1">
        <v>17</v>
      </c>
      <c r="C1775" s="1" t="s">
        <v>2694</v>
      </c>
      <c r="D1775" s="1" t="s">
        <v>950</v>
      </c>
      <c r="E1775" s="1" t="s">
        <v>1282</v>
      </c>
      <c r="F1775" s="1" t="s">
        <v>990</v>
      </c>
      <c r="G1775" s="1" t="s">
        <v>2885</v>
      </c>
      <c r="H1775" s="1" t="s">
        <v>898</v>
      </c>
      <c r="I1775" s="1" t="s">
        <v>1316</v>
      </c>
      <c r="J1775" s="1" t="s">
        <v>1013</v>
      </c>
      <c r="K1775" s="1" t="s">
        <v>2436</v>
      </c>
      <c r="L1775" s="1" t="s">
        <v>972</v>
      </c>
      <c r="M1775" s="1" t="s">
        <v>1031</v>
      </c>
      <c r="N1775">
        <f>_xlfn.NUMBERVALUE(LEFT(Table11[[#This Row],[Score]],FIND("/",Table11[[#This Row],[Score]])-1))</f>
        <v>64</v>
      </c>
      <c r="O1775">
        <f>IFERROR(_xlfn.NUMBERVALUE(LEFT(Table11[[#This Row],[Score2 ]],FIND("/",Table11[[#This Row],[Score2 ]])-1)),"")</f>
        <v>76</v>
      </c>
      <c r="P1775" t="s">
        <v>169</v>
      </c>
      <c r="Q1775" s="1" t="s">
        <v>158</v>
      </c>
      <c r="R1775" t="str">
        <f>Table11[[#This Row],[Match]]&amp;" "&amp;Table11[[#This Row],[Over]]</f>
        <v>30 17</v>
      </c>
    </row>
    <row r="1776" spans="1:18" x14ac:dyDescent="0.3">
      <c r="A1776">
        <v>30</v>
      </c>
      <c r="B1776" s="1">
        <v>18</v>
      </c>
      <c r="C1776" s="1" t="s">
        <v>1296</v>
      </c>
      <c r="D1776" s="1" t="s">
        <v>922</v>
      </c>
      <c r="E1776" s="1" t="s">
        <v>1860</v>
      </c>
      <c r="F1776" s="1" t="s">
        <v>939</v>
      </c>
      <c r="G1776" s="1" t="s">
        <v>3874</v>
      </c>
      <c r="H1776" s="1" t="s">
        <v>904</v>
      </c>
      <c r="I1776" s="1" t="s">
        <v>1035</v>
      </c>
      <c r="J1776" s="1" t="s">
        <v>1093</v>
      </c>
      <c r="K1776" s="1" t="s">
        <v>2372</v>
      </c>
      <c r="L1776" s="1" t="s">
        <v>1445</v>
      </c>
      <c r="M1776" s="1" t="s">
        <v>1037</v>
      </c>
      <c r="N1776">
        <f>_xlfn.NUMBERVALUE(LEFT(Table11[[#This Row],[Score]],FIND("/",Table11[[#This Row],[Score]])-1))</f>
        <v>70</v>
      </c>
      <c r="O1776">
        <f>IFERROR(_xlfn.NUMBERVALUE(LEFT(Table11[[#This Row],[Score2 ]],FIND("/",Table11[[#This Row],[Score2 ]])-1)),"")</f>
        <v>79</v>
      </c>
      <c r="P1776" t="s">
        <v>169</v>
      </c>
      <c r="Q1776" s="1" t="s">
        <v>158</v>
      </c>
      <c r="R1776" t="str">
        <f>Table11[[#This Row],[Match]]&amp;" "&amp;Table11[[#This Row],[Over]]</f>
        <v>30 18</v>
      </c>
    </row>
    <row r="1777" spans="1:18" x14ac:dyDescent="0.3">
      <c r="A1777">
        <v>30</v>
      </c>
      <c r="B1777" s="1">
        <v>19</v>
      </c>
      <c r="C1777" s="1" t="s">
        <v>2118</v>
      </c>
      <c r="D1777" s="1" t="s">
        <v>998</v>
      </c>
      <c r="E1777" s="1" t="s">
        <v>2936</v>
      </c>
      <c r="F1777" s="1" t="s">
        <v>939</v>
      </c>
      <c r="G1777" s="1" t="s">
        <v>2579</v>
      </c>
      <c r="H1777" s="1" t="s">
        <v>998</v>
      </c>
      <c r="I1777" s="1" t="s">
        <v>1040</v>
      </c>
      <c r="J1777" s="1" t="s">
        <v>1093</v>
      </c>
      <c r="K1777" s="1" t="s">
        <v>3389</v>
      </c>
      <c r="L1777" s="1" t="s">
        <v>1992</v>
      </c>
      <c r="M1777" s="1" t="s">
        <v>1043</v>
      </c>
      <c r="N1777">
        <f>_xlfn.NUMBERVALUE(LEFT(Table11[[#This Row],[Score]],FIND("/",Table11[[#This Row],[Score]])-1))</f>
        <v>74</v>
      </c>
      <c r="O1777">
        <f>IFERROR(_xlfn.NUMBERVALUE(LEFT(Table11[[#This Row],[Score2 ]],FIND("/",Table11[[#This Row],[Score2 ]])-1)),"")</f>
        <v>83</v>
      </c>
      <c r="P1777" t="s">
        <v>169</v>
      </c>
      <c r="Q1777" s="1" t="s">
        <v>158</v>
      </c>
      <c r="R1777" t="str">
        <f>Table11[[#This Row],[Match]]&amp;" "&amp;Table11[[#This Row],[Over]]</f>
        <v>30 19</v>
      </c>
    </row>
    <row r="1778" spans="1:18" x14ac:dyDescent="0.3">
      <c r="A1778">
        <v>30</v>
      </c>
      <c r="B1778" s="1">
        <v>20</v>
      </c>
      <c r="C1778" s="1" t="s">
        <v>1027</v>
      </c>
      <c r="D1778" s="1" t="s">
        <v>950</v>
      </c>
      <c r="E1778" s="1" t="s">
        <v>2784</v>
      </c>
      <c r="F1778" s="1" t="s">
        <v>976</v>
      </c>
      <c r="G1778" s="1" t="s">
        <v>1501</v>
      </c>
      <c r="H1778" s="1" t="s">
        <v>1051</v>
      </c>
      <c r="I1778" s="1" t="s">
        <v>1321</v>
      </c>
      <c r="J1778" s="1" t="s">
        <v>1029</v>
      </c>
      <c r="K1778" s="1" t="s">
        <v>2355</v>
      </c>
      <c r="L1778" s="1" t="s">
        <v>1457</v>
      </c>
      <c r="M1778" s="1" t="s">
        <v>1049</v>
      </c>
      <c r="N1778">
        <f>_xlfn.NUMBERVALUE(LEFT(Table11[[#This Row],[Score]],FIND("/",Table11[[#This Row],[Score]])-1))</f>
        <v>79</v>
      </c>
      <c r="O1778">
        <f>IFERROR(_xlfn.NUMBERVALUE(LEFT(Table11[[#This Row],[Score2 ]],FIND("/",Table11[[#This Row],[Score2 ]])-1)),"")</f>
        <v>94</v>
      </c>
      <c r="P1778" t="s">
        <v>169</v>
      </c>
      <c r="Q1778" s="1" t="s">
        <v>158</v>
      </c>
      <c r="R1778" t="str">
        <f>Table11[[#This Row],[Match]]&amp;" "&amp;Table11[[#This Row],[Over]]</f>
        <v>30 20</v>
      </c>
    </row>
    <row r="1779" spans="1:18" x14ac:dyDescent="0.3">
      <c r="A1779">
        <v>30</v>
      </c>
      <c r="B1779" s="1">
        <v>21</v>
      </c>
      <c r="C1779" s="1" t="s">
        <v>1304</v>
      </c>
      <c r="D1779" s="1" t="s">
        <v>950</v>
      </c>
      <c r="E1779" s="1" t="s">
        <v>939</v>
      </c>
      <c r="F1779" s="1" t="s">
        <v>969</v>
      </c>
      <c r="G1779" s="1" t="s">
        <v>2022</v>
      </c>
      <c r="H1779" s="1" t="s">
        <v>922</v>
      </c>
      <c r="I1779" s="1" t="s">
        <v>1187</v>
      </c>
      <c r="J1779" s="1" t="s">
        <v>1029</v>
      </c>
      <c r="K1779" s="1" t="s">
        <v>1089</v>
      </c>
      <c r="L1779" s="1" t="s">
        <v>2000</v>
      </c>
      <c r="M1779" s="1" t="s">
        <v>1056</v>
      </c>
      <c r="N1779">
        <f>_xlfn.NUMBERVALUE(LEFT(Table11[[#This Row],[Score]],FIND("/",Table11[[#This Row],[Score]])-1))</f>
        <v>84</v>
      </c>
      <c r="O1779">
        <f>IFERROR(_xlfn.NUMBERVALUE(LEFT(Table11[[#This Row],[Score2 ]],FIND("/",Table11[[#This Row],[Score2 ]])-1)),"")</f>
        <v>100</v>
      </c>
      <c r="P1779" t="s">
        <v>169</v>
      </c>
      <c r="Q1779" s="1" t="s">
        <v>158</v>
      </c>
      <c r="R1779" t="str">
        <f>Table11[[#This Row],[Match]]&amp;" "&amp;Table11[[#This Row],[Over]]</f>
        <v>30 21</v>
      </c>
    </row>
    <row r="1780" spans="1:18" x14ac:dyDescent="0.3">
      <c r="A1780">
        <v>30</v>
      </c>
      <c r="B1780" s="1">
        <v>22</v>
      </c>
      <c r="C1780" s="1" t="s">
        <v>2696</v>
      </c>
      <c r="D1780" s="1" t="s">
        <v>904</v>
      </c>
      <c r="E1780" s="1" t="s">
        <v>2784</v>
      </c>
      <c r="F1780" s="1" t="s">
        <v>976</v>
      </c>
      <c r="G1780" s="1" t="s">
        <v>3313</v>
      </c>
      <c r="H1780" s="1" t="s">
        <v>922</v>
      </c>
      <c r="I1780" s="1" t="s">
        <v>1561</v>
      </c>
      <c r="J1780" s="1" t="s">
        <v>1019</v>
      </c>
      <c r="K1780" s="1" t="s">
        <v>3875</v>
      </c>
      <c r="L1780" s="1" t="s">
        <v>2356</v>
      </c>
      <c r="M1780" s="1" t="s">
        <v>1063</v>
      </c>
      <c r="N1780">
        <f>_xlfn.NUMBERVALUE(LEFT(Table11[[#This Row],[Score]],FIND("/",Table11[[#This Row],[Score]])-1))</f>
        <v>87</v>
      </c>
      <c r="O1780">
        <f>IFERROR(_xlfn.NUMBERVALUE(LEFT(Table11[[#This Row],[Score2 ]],FIND("/",Table11[[#This Row],[Score2 ]])-1)),"")</f>
        <v>106</v>
      </c>
      <c r="P1780" t="s">
        <v>169</v>
      </c>
      <c r="Q1780" s="1" t="s">
        <v>158</v>
      </c>
      <c r="R1780" t="str">
        <f>Table11[[#This Row],[Match]]&amp;" "&amp;Table11[[#This Row],[Over]]</f>
        <v>30 22</v>
      </c>
    </row>
    <row r="1781" spans="1:18" x14ac:dyDescent="0.3">
      <c r="A1781">
        <v>30</v>
      </c>
      <c r="B1781" s="1">
        <v>23</v>
      </c>
      <c r="C1781" s="1" t="s">
        <v>2699</v>
      </c>
      <c r="D1781" s="1" t="s">
        <v>916</v>
      </c>
      <c r="E1781" s="1" t="s">
        <v>1500</v>
      </c>
      <c r="F1781" s="1" t="s">
        <v>1093</v>
      </c>
      <c r="G1781" s="1" t="s">
        <v>3876</v>
      </c>
      <c r="H1781" s="1" t="s">
        <v>916</v>
      </c>
      <c r="I1781" s="1" t="s">
        <v>2880</v>
      </c>
      <c r="J1781" s="1" t="s">
        <v>1053</v>
      </c>
      <c r="K1781" s="1" t="s">
        <v>2826</v>
      </c>
      <c r="L1781" s="1" t="s">
        <v>1470</v>
      </c>
      <c r="M1781" s="1" t="s">
        <v>1070</v>
      </c>
      <c r="N1781">
        <f>_xlfn.NUMBERVALUE(LEFT(Table11[[#This Row],[Score]],FIND("/",Table11[[#This Row],[Score]])-1))</f>
        <v>94</v>
      </c>
      <c r="O1781">
        <f>IFERROR(_xlfn.NUMBERVALUE(LEFT(Table11[[#This Row],[Score2 ]],FIND("/",Table11[[#This Row],[Score2 ]])-1)),"")</f>
        <v>113</v>
      </c>
      <c r="P1781" t="s">
        <v>169</v>
      </c>
      <c r="Q1781" s="1" t="s">
        <v>158</v>
      </c>
      <c r="R1781" t="str">
        <f>Table11[[#This Row],[Match]]&amp;" "&amp;Table11[[#This Row],[Over]]</f>
        <v>30 23</v>
      </c>
    </row>
    <row r="1782" spans="1:18" x14ac:dyDescent="0.3">
      <c r="A1782">
        <v>30</v>
      </c>
      <c r="B1782" s="1">
        <v>24</v>
      </c>
      <c r="C1782" s="1" t="s">
        <v>1066</v>
      </c>
      <c r="D1782" s="1" t="s">
        <v>916</v>
      </c>
      <c r="E1782" s="1" t="s">
        <v>931</v>
      </c>
      <c r="F1782" s="1" t="s">
        <v>966</v>
      </c>
      <c r="G1782" s="1" t="s">
        <v>2373</v>
      </c>
      <c r="H1782" s="1" t="s">
        <v>1103</v>
      </c>
      <c r="I1782" s="1" t="s">
        <v>1029</v>
      </c>
      <c r="J1782" s="1" t="s">
        <v>1335</v>
      </c>
      <c r="K1782" s="1" t="s">
        <v>3100</v>
      </c>
      <c r="L1782" s="1" t="s">
        <v>2137</v>
      </c>
      <c r="M1782" s="1" t="s">
        <v>1077</v>
      </c>
      <c r="N1782">
        <f>_xlfn.NUMBERVALUE(LEFT(Table11[[#This Row],[Score]],FIND("/",Table11[[#This Row],[Score]])-1))</f>
        <v>101</v>
      </c>
      <c r="O1782">
        <f>IFERROR(_xlfn.NUMBERVALUE(LEFT(Table11[[#This Row],[Score2 ]],FIND("/",Table11[[#This Row],[Score2 ]])-1)),"")</f>
        <v>125</v>
      </c>
      <c r="P1782" t="s">
        <v>169</v>
      </c>
      <c r="Q1782" s="1" t="s">
        <v>158</v>
      </c>
      <c r="R1782" t="str">
        <f>Table11[[#This Row],[Match]]&amp;" "&amp;Table11[[#This Row],[Over]]</f>
        <v>30 24</v>
      </c>
    </row>
    <row r="1783" spans="1:18" x14ac:dyDescent="0.3">
      <c r="A1783">
        <v>30</v>
      </c>
      <c r="B1783" s="1">
        <v>25</v>
      </c>
      <c r="C1783" s="1" t="s">
        <v>2708</v>
      </c>
      <c r="D1783" s="1" t="s">
        <v>930</v>
      </c>
      <c r="E1783" s="1" t="s">
        <v>1040</v>
      </c>
      <c r="F1783" s="1" t="s">
        <v>1019</v>
      </c>
      <c r="G1783" s="1" t="s">
        <v>1534</v>
      </c>
      <c r="H1783" s="1" t="s">
        <v>922</v>
      </c>
      <c r="I1783" s="1" t="s">
        <v>1079</v>
      </c>
      <c r="J1783" s="1" t="s">
        <v>1068</v>
      </c>
      <c r="K1783" s="1" t="s">
        <v>2145</v>
      </c>
      <c r="L1783" s="1" t="s">
        <v>1314</v>
      </c>
      <c r="M1783" s="1" t="s">
        <v>1083</v>
      </c>
      <c r="N1783">
        <f>_xlfn.NUMBERVALUE(LEFT(Table11[[#This Row],[Score]],FIND("/",Table11[[#This Row],[Score]])-1))</f>
        <v>109</v>
      </c>
      <c r="O1783">
        <f>IFERROR(_xlfn.NUMBERVALUE(LEFT(Table11[[#This Row],[Score2 ]],FIND("/",Table11[[#This Row],[Score2 ]])-1)),"")</f>
        <v>131</v>
      </c>
      <c r="P1783" t="s">
        <v>169</v>
      </c>
      <c r="Q1783" s="1" t="s">
        <v>158</v>
      </c>
      <c r="R1783" t="str">
        <f>Table11[[#This Row],[Match]]&amp;" "&amp;Table11[[#This Row],[Over]]</f>
        <v>30 25</v>
      </c>
    </row>
    <row r="1784" spans="1:18" x14ac:dyDescent="0.3">
      <c r="A1784">
        <v>30</v>
      </c>
      <c r="B1784" s="1">
        <v>26</v>
      </c>
      <c r="C1784" s="1" t="s">
        <v>2889</v>
      </c>
      <c r="D1784" s="1" t="s">
        <v>930</v>
      </c>
      <c r="E1784" s="1" t="s">
        <v>1021</v>
      </c>
      <c r="F1784" s="1" t="s">
        <v>960</v>
      </c>
      <c r="G1784" s="1" t="s">
        <v>2138</v>
      </c>
      <c r="H1784" s="1" t="s">
        <v>898</v>
      </c>
      <c r="I1784" s="1" t="s">
        <v>1643</v>
      </c>
      <c r="J1784" s="1" t="s">
        <v>960</v>
      </c>
      <c r="K1784" s="1" t="s">
        <v>3003</v>
      </c>
      <c r="L1784" s="1" t="s">
        <v>1076</v>
      </c>
      <c r="M1784" s="1" t="s">
        <v>1090</v>
      </c>
      <c r="N1784">
        <f>_xlfn.NUMBERVALUE(LEFT(Table11[[#This Row],[Score]],FIND("/",Table11[[#This Row],[Score]])-1))</f>
        <v>117</v>
      </c>
      <c r="O1784">
        <f>IFERROR(_xlfn.NUMBERVALUE(LEFT(Table11[[#This Row],[Score2 ]],FIND("/",Table11[[#This Row],[Score2 ]])-1)),"")</f>
        <v>133</v>
      </c>
      <c r="P1784" t="s">
        <v>169</v>
      </c>
      <c r="Q1784" s="1" t="s">
        <v>158</v>
      </c>
      <c r="R1784" t="str">
        <f>Table11[[#This Row],[Match]]&amp;" "&amp;Table11[[#This Row],[Over]]</f>
        <v>30 26</v>
      </c>
    </row>
    <row r="1785" spans="1:18" x14ac:dyDescent="0.3">
      <c r="A1785">
        <v>30</v>
      </c>
      <c r="B1785" s="1">
        <v>27</v>
      </c>
      <c r="C1785" s="1" t="s">
        <v>2776</v>
      </c>
      <c r="D1785" s="1" t="s">
        <v>930</v>
      </c>
      <c r="E1785" s="1" t="s">
        <v>1344</v>
      </c>
      <c r="F1785" s="1" t="s">
        <v>1508</v>
      </c>
      <c r="G1785" s="1" t="s">
        <v>3013</v>
      </c>
      <c r="H1785" s="1" t="s">
        <v>1051</v>
      </c>
      <c r="I1785" s="1" t="s">
        <v>2110</v>
      </c>
      <c r="J1785" s="1" t="s">
        <v>1508</v>
      </c>
      <c r="K1785" s="1" t="s">
        <v>1543</v>
      </c>
      <c r="L1785" s="1" t="s">
        <v>2701</v>
      </c>
      <c r="M1785" s="1" t="s">
        <v>1098</v>
      </c>
      <c r="N1785">
        <f>_xlfn.NUMBERVALUE(LEFT(Table11[[#This Row],[Score]],FIND("/",Table11[[#This Row],[Score]])-1))</f>
        <v>125</v>
      </c>
      <c r="O1785">
        <f>IFERROR(_xlfn.NUMBERVALUE(LEFT(Table11[[#This Row],[Score2 ]],FIND("/",Table11[[#This Row],[Score2 ]])-1)),"")</f>
        <v>144</v>
      </c>
      <c r="P1785" t="s">
        <v>169</v>
      </c>
      <c r="Q1785" s="1" t="s">
        <v>158</v>
      </c>
      <c r="R1785" t="str">
        <f>Table11[[#This Row],[Match]]&amp;" "&amp;Table11[[#This Row],[Over]]</f>
        <v>30 27</v>
      </c>
    </row>
    <row r="1786" spans="1:18" x14ac:dyDescent="0.3">
      <c r="A1786">
        <v>30</v>
      </c>
      <c r="B1786" s="1">
        <v>28</v>
      </c>
      <c r="C1786" s="1" t="s">
        <v>3877</v>
      </c>
      <c r="D1786" s="1" t="s">
        <v>898</v>
      </c>
      <c r="E1786" s="1" t="s">
        <v>1793</v>
      </c>
      <c r="F1786" s="1" t="s">
        <v>960</v>
      </c>
      <c r="G1786" s="1" t="s">
        <v>2900</v>
      </c>
      <c r="H1786" s="1" t="s">
        <v>930</v>
      </c>
      <c r="I1786" s="1" t="s">
        <v>1158</v>
      </c>
      <c r="J1786" s="1" t="s">
        <v>1168</v>
      </c>
      <c r="K1786" s="1" t="s">
        <v>3102</v>
      </c>
      <c r="L1786" s="1" t="s">
        <v>1049</v>
      </c>
      <c r="M1786" s="1" t="s">
        <v>1101</v>
      </c>
      <c r="N1786">
        <f>_xlfn.NUMBERVALUE(LEFT(Table11[[#This Row],[Score]],FIND("/",Table11[[#This Row],[Score]])-1))</f>
        <v>127</v>
      </c>
      <c r="O1786">
        <f>IFERROR(_xlfn.NUMBERVALUE(LEFT(Table11[[#This Row],[Score2 ]],FIND("/",Table11[[#This Row],[Score2 ]])-1)),"")</f>
        <v>152</v>
      </c>
      <c r="P1786" t="s">
        <v>169</v>
      </c>
      <c r="Q1786" s="1" t="s">
        <v>158</v>
      </c>
      <c r="R1786" t="str">
        <f>Table11[[#This Row],[Match]]&amp;" "&amp;Table11[[#This Row],[Over]]</f>
        <v>30 28</v>
      </c>
    </row>
    <row r="1787" spans="1:18" x14ac:dyDescent="0.3">
      <c r="A1787">
        <v>30</v>
      </c>
      <c r="B1787" s="1">
        <v>29</v>
      </c>
      <c r="C1787" s="1" t="s">
        <v>2134</v>
      </c>
      <c r="D1787" s="1" t="s">
        <v>1095</v>
      </c>
      <c r="E1787" s="1" t="s">
        <v>1194</v>
      </c>
      <c r="F1787" s="1" t="s">
        <v>1116</v>
      </c>
      <c r="G1787" s="1" t="s">
        <v>3163</v>
      </c>
      <c r="H1787" s="1" t="s">
        <v>930</v>
      </c>
      <c r="I1787" s="1" t="s">
        <v>1378</v>
      </c>
      <c r="J1787" s="1" t="s">
        <v>952</v>
      </c>
      <c r="K1787" s="1" t="s">
        <v>3001</v>
      </c>
      <c r="L1787" s="1" t="s">
        <v>1849</v>
      </c>
      <c r="M1787" s="1" t="s">
        <v>1108</v>
      </c>
      <c r="N1787">
        <f>_xlfn.NUMBERVALUE(LEFT(Table11[[#This Row],[Score]],FIND("/",Table11[[#This Row],[Score]])-1))</f>
        <v>137</v>
      </c>
      <c r="O1787">
        <f>IFERROR(_xlfn.NUMBERVALUE(LEFT(Table11[[#This Row],[Score2 ]],FIND("/",Table11[[#This Row],[Score2 ]])-1)),"")</f>
        <v>160</v>
      </c>
      <c r="P1787" t="s">
        <v>169</v>
      </c>
      <c r="Q1787" s="1" t="s">
        <v>158</v>
      </c>
      <c r="R1787" t="str">
        <f>Table11[[#This Row],[Match]]&amp;" "&amp;Table11[[#This Row],[Over]]</f>
        <v>30 29</v>
      </c>
    </row>
    <row r="1788" spans="1:18" x14ac:dyDescent="0.3">
      <c r="A1788">
        <v>30</v>
      </c>
      <c r="B1788" s="1">
        <v>30</v>
      </c>
      <c r="C1788" s="1" t="s">
        <v>1346</v>
      </c>
      <c r="D1788" s="1" t="s">
        <v>947</v>
      </c>
      <c r="E1788" s="1" t="s">
        <v>1312</v>
      </c>
      <c r="F1788" s="1" t="s">
        <v>1068</v>
      </c>
      <c r="G1788" s="1" t="s">
        <v>3017</v>
      </c>
      <c r="H1788" s="1" t="s">
        <v>998</v>
      </c>
      <c r="I1788" s="1" t="s">
        <v>1166</v>
      </c>
      <c r="J1788" s="1" t="s">
        <v>960</v>
      </c>
      <c r="K1788" s="1" t="s">
        <v>1335</v>
      </c>
      <c r="L1788" s="1" t="s">
        <v>1063</v>
      </c>
      <c r="M1788" s="1" t="s">
        <v>1113</v>
      </c>
      <c r="N1788">
        <f>_xlfn.NUMBERVALUE(LEFT(Table11[[#This Row],[Score]],FIND("/",Table11[[#This Row],[Score]])-1))</f>
        <v>146</v>
      </c>
      <c r="O1788">
        <f>IFERROR(_xlfn.NUMBERVALUE(LEFT(Table11[[#This Row],[Score2 ]],FIND("/",Table11[[#This Row],[Score2 ]])-1)),"")</f>
        <v>164</v>
      </c>
      <c r="P1788" t="s">
        <v>169</v>
      </c>
      <c r="Q1788" s="1" t="s">
        <v>158</v>
      </c>
      <c r="R1788" t="str">
        <f>Table11[[#This Row],[Match]]&amp;" "&amp;Table11[[#This Row],[Over]]</f>
        <v>30 30</v>
      </c>
    </row>
    <row r="1789" spans="1:18" x14ac:dyDescent="0.3">
      <c r="A1789">
        <v>30</v>
      </c>
      <c r="B1789" s="1">
        <v>31</v>
      </c>
      <c r="C1789" s="1" t="s">
        <v>3821</v>
      </c>
      <c r="D1789" s="1" t="s">
        <v>998</v>
      </c>
      <c r="E1789" s="1" t="s">
        <v>2438</v>
      </c>
      <c r="F1789" s="1" t="s">
        <v>960</v>
      </c>
      <c r="G1789" s="1" t="s">
        <v>2898</v>
      </c>
      <c r="H1789" s="1" t="s">
        <v>950</v>
      </c>
      <c r="I1789" s="1" t="s">
        <v>1599</v>
      </c>
      <c r="J1789" s="1" t="s">
        <v>1116</v>
      </c>
      <c r="K1789" s="1" t="s">
        <v>3330</v>
      </c>
      <c r="L1789" s="1" t="s">
        <v>1856</v>
      </c>
      <c r="M1789" s="1" t="s">
        <v>1121</v>
      </c>
      <c r="N1789">
        <f>_xlfn.NUMBERVALUE(LEFT(Table11[[#This Row],[Score]],FIND("/",Table11[[#This Row],[Score]])-1))</f>
        <v>150</v>
      </c>
      <c r="O1789">
        <f>IFERROR(_xlfn.NUMBERVALUE(LEFT(Table11[[#This Row],[Score2 ]],FIND("/",Table11[[#This Row],[Score2 ]])-1)),"")</f>
        <v>169</v>
      </c>
      <c r="P1789" t="s">
        <v>169</v>
      </c>
      <c r="Q1789" s="1" t="s">
        <v>158</v>
      </c>
      <c r="R1789" t="str">
        <f>Table11[[#This Row],[Match]]&amp;" "&amp;Table11[[#This Row],[Over]]</f>
        <v>30 31</v>
      </c>
    </row>
    <row r="1790" spans="1:18" x14ac:dyDescent="0.3">
      <c r="A1790">
        <v>30</v>
      </c>
      <c r="B1790" s="1">
        <v>32</v>
      </c>
      <c r="C1790" s="1" t="s">
        <v>3878</v>
      </c>
      <c r="D1790" s="1" t="s">
        <v>947</v>
      </c>
      <c r="E1790" s="1" t="s">
        <v>2282</v>
      </c>
      <c r="F1790" s="1" t="s">
        <v>1053</v>
      </c>
      <c r="G1790" s="1" t="s">
        <v>3879</v>
      </c>
      <c r="H1790" s="1" t="s">
        <v>1051</v>
      </c>
      <c r="I1790" s="1" t="s">
        <v>2268</v>
      </c>
      <c r="J1790" s="1" t="s">
        <v>1116</v>
      </c>
      <c r="K1790" s="1" t="s">
        <v>3880</v>
      </c>
      <c r="L1790" s="1" t="s">
        <v>1137</v>
      </c>
      <c r="M1790" s="1" t="s">
        <v>1127</v>
      </c>
      <c r="N1790">
        <f>_xlfn.NUMBERVALUE(LEFT(Table11[[#This Row],[Score]],FIND("/",Table11[[#This Row],[Score]])-1))</f>
        <v>159</v>
      </c>
      <c r="O1790">
        <f>IFERROR(_xlfn.NUMBERVALUE(LEFT(Table11[[#This Row],[Score2 ]],FIND("/",Table11[[#This Row],[Score2 ]])-1)),"")</f>
        <v>180</v>
      </c>
      <c r="P1790" t="s">
        <v>169</v>
      </c>
      <c r="Q1790" s="1" t="s">
        <v>158</v>
      </c>
      <c r="R1790" t="str">
        <f>Table11[[#This Row],[Match]]&amp;" "&amp;Table11[[#This Row],[Over]]</f>
        <v>30 32</v>
      </c>
    </row>
    <row r="1791" spans="1:18" x14ac:dyDescent="0.3">
      <c r="A1791">
        <v>30</v>
      </c>
      <c r="B1791" s="1">
        <v>33</v>
      </c>
      <c r="C1791" s="1" t="s">
        <v>3822</v>
      </c>
      <c r="D1791" s="1" t="s">
        <v>950</v>
      </c>
      <c r="E1791" s="1" t="s">
        <v>2282</v>
      </c>
      <c r="F1791" s="1" t="s">
        <v>1068</v>
      </c>
      <c r="G1791" s="1" t="s">
        <v>1569</v>
      </c>
      <c r="H1791" s="1" t="s">
        <v>998</v>
      </c>
      <c r="I1791" s="1" t="s">
        <v>951</v>
      </c>
      <c r="J1791" s="1" t="s">
        <v>943</v>
      </c>
      <c r="K1791" s="1" t="s">
        <v>3754</v>
      </c>
      <c r="L1791" s="1" t="s">
        <v>2295</v>
      </c>
      <c r="M1791" s="1" t="s">
        <v>1132</v>
      </c>
      <c r="N1791">
        <f>_xlfn.NUMBERVALUE(LEFT(Table11[[#This Row],[Score]],FIND("/",Table11[[#This Row],[Score]])-1))</f>
        <v>164</v>
      </c>
      <c r="O1791">
        <f>IFERROR(_xlfn.NUMBERVALUE(LEFT(Table11[[#This Row],[Score2 ]],FIND("/",Table11[[#This Row],[Score2 ]])-1)),"")</f>
        <v>184</v>
      </c>
      <c r="P1791" t="s">
        <v>169</v>
      </c>
      <c r="Q1791" s="1" t="s">
        <v>158</v>
      </c>
      <c r="R1791" t="str">
        <f>Table11[[#This Row],[Match]]&amp;" "&amp;Table11[[#This Row],[Over]]</f>
        <v>30 33</v>
      </c>
    </row>
    <row r="1792" spans="1:18" x14ac:dyDescent="0.3">
      <c r="A1792">
        <v>30</v>
      </c>
      <c r="B1792" s="1">
        <v>34</v>
      </c>
      <c r="C1792" s="1" t="s">
        <v>1114</v>
      </c>
      <c r="D1792" s="1" t="s">
        <v>922</v>
      </c>
      <c r="E1792" s="1" t="s">
        <v>969</v>
      </c>
      <c r="F1792" s="1" t="s">
        <v>960</v>
      </c>
      <c r="G1792" s="1" t="s">
        <v>3881</v>
      </c>
      <c r="H1792" s="1" t="s">
        <v>933</v>
      </c>
      <c r="I1792" s="1" t="s">
        <v>2375</v>
      </c>
      <c r="J1792" s="1" t="s">
        <v>1508</v>
      </c>
      <c r="K1792" s="1" t="s">
        <v>3264</v>
      </c>
      <c r="L1792" s="1" t="s">
        <v>1868</v>
      </c>
      <c r="M1792" s="1" t="s">
        <v>1138</v>
      </c>
      <c r="N1792">
        <f>_xlfn.NUMBERVALUE(LEFT(Table11[[#This Row],[Score]],FIND("/",Table11[[#This Row],[Score]])-1))</f>
        <v>170</v>
      </c>
      <c r="O1792">
        <f>IFERROR(_xlfn.NUMBERVALUE(LEFT(Table11[[#This Row],[Score2 ]],FIND("/",Table11[[#This Row],[Score2 ]])-1)),"")</f>
        <v>198</v>
      </c>
      <c r="P1792" t="s">
        <v>169</v>
      </c>
      <c r="Q1792" s="1" t="s">
        <v>158</v>
      </c>
      <c r="R1792" t="str">
        <f>Table11[[#This Row],[Match]]&amp;" "&amp;Table11[[#This Row],[Over]]</f>
        <v>30 34</v>
      </c>
    </row>
    <row r="1793" spans="1:18" x14ac:dyDescent="0.3">
      <c r="A1793">
        <v>30</v>
      </c>
      <c r="B1793" s="1">
        <v>35</v>
      </c>
      <c r="C1793" s="1" t="s">
        <v>3228</v>
      </c>
      <c r="D1793" s="1" t="s">
        <v>947</v>
      </c>
      <c r="E1793" s="1" t="s">
        <v>1643</v>
      </c>
      <c r="F1793" s="1" t="s">
        <v>960</v>
      </c>
      <c r="G1793" s="1" t="s">
        <v>1565</v>
      </c>
      <c r="H1793" s="1" t="s">
        <v>898</v>
      </c>
      <c r="I1793" s="1" t="s">
        <v>2153</v>
      </c>
      <c r="J1793" s="1" t="s">
        <v>1116</v>
      </c>
      <c r="K1793" s="1" t="s">
        <v>1154</v>
      </c>
      <c r="L1793" s="1" t="s">
        <v>1101</v>
      </c>
      <c r="M1793" s="1" t="s">
        <v>1143</v>
      </c>
      <c r="N1793">
        <f>_xlfn.NUMBERVALUE(LEFT(Table11[[#This Row],[Score]],FIND("/",Table11[[#This Row],[Score]])-1))</f>
        <v>179</v>
      </c>
      <c r="O1793">
        <f>IFERROR(_xlfn.NUMBERVALUE(LEFT(Table11[[#This Row],[Score2 ]],FIND("/",Table11[[#This Row],[Score2 ]])-1)),"")</f>
        <v>200</v>
      </c>
      <c r="P1793" t="s">
        <v>169</v>
      </c>
      <c r="Q1793" s="1" t="s">
        <v>158</v>
      </c>
      <c r="R1793" t="str">
        <f>Table11[[#This Row],[Match]]&amp;" "&amp;Table11[[#This Row],[Over]]</f>
        <v>30 35</v>
      </c>
    </row>
    <row r="1794" spans="1:18" x14ac:dyDescent="0.3">
      <c r="A1794">
        <v>30</v>
      </c>
      <c r="B1794" s="1">
        <v>36</v>
      </c>
      <c r="C1794" s="1" t="s">
        <v>2483</v>
      </c>
      <c r="D1794" s="1" t="s">
        <v>916</v>
      </c>
      <c r="E1794" s="1" t="s">
        <v>1587</v>
      </c>
      <c r="F1794" s="1" t="s">
        <v>1116</v>
      </c>
      <c r="G1794" s="1" t="s">
        <v>1581</v>
      </c>
      <c r="H1794" s="1" t="s">
        <v>998</v>
      </c>
      <c r="I1794" s="1" t="s">
        <v>942</v>
      </c>
      <c r="J1794" s="1" t="s">
        <v>952</v>
      </c>
      <c r="K1794" s="1" t="s">
        <v>3882</v>
      </c>
      <c r="L1794" s="1" t="s">
        <v>2478</v>
      </c>
      <c r="M1794" s="1" t="s">
        <v>1150</v>
      </c>
      <c r="N1794">
        <f>_xlfn.NUMBERVALUE(LEFT(Table11[[#This Row],[Score]],FIND("/",Table11[[#This Row],[Score]])-1))</f>
        <v>186</v>
      </c>
      <c r="O1794">
        <f>IFERROR(_xlfn.NUMBERVALUE(LEFT(Table11[[#This Row],[Score2 ]],FIND("/",Table11[[#This Row],[Score2 ]])-1)),"")</f>
        <v>204</v>
      </c>
      <c r="P1794" t="s">
        <v>169</v>
      </c>
      <c r="Q1794" s="1" t="s">
        <v>158</v>
      </c>
      <c r="R1794" t="str">
        <f>Table11[[#This Row],[Match]]&amp;" "&amp;Table11[[#This Row],[Over]]</f>
        <v>30 36</v>
      </c>
    </row>
    <row r="1795" spans="1:18" x14ac:dyDescent="0.3">
      <c r="A1795">
        <v>30</v>
      </c>
      <c r="B1795" s="1">
        <v>37</v>
      </c>
      <c r="C1795" s="1" t="s">
        <v>3883</v>
      </c>
      <c r="D1795" s="1" t="s">
        <v>1103</v>
      </c>
      <c r="E1795" s="1" t="s">
        <v>2123</v>
      </c>
      <c r="F1795" s="1" t="s">
        <v>1168</v>
      </c>
      <c r="G1795" s="1" t="s">
        <v>3270</v>
      </c>
      <c r="H1795" s="1" t="s">
        <v>1223</v>
      </c>
      <c r="I1795" s="1" t="s">
        <v>1019</v>
      </c>
      <c r="J1795" s="1" t="s">
        <v>1335</v>
      </c>
      <c r="K1795" s="1" t="s">
        <v>3008</v>
      </c>
      <c r="L1795" s="1" t="s">
        <v>2077</v>
      </c>
      <c r="M1795" s="1" t="s">
        <v>1156</v>
      </c>
      <c r="N1795">
        <f>_xlfn.NUMBERVALUE(LEFT(Table11[[#This Row],[Score]],FIND("/",Table11[[#This Row],[Score]])-1))</f>
        <v>198</v>
      </c>
      <c r="O1795">
        <f>IFERROR(_xlfn.NUMBERVALUE(LEFT(Table11[[#This Row],[Score2 ]],FIND("/",Table11[[#This Row],[Score2 ]])-1)),"")</f>
        <v>222</v>
      </c>
      <c r="P1795" t="s">
        <v>169</v>
      </c>
      <c r="Q1795" s="1" t="s">
        <v>158</v>
      </c>
      <c r="R1795" t="str">
        <f>Table11[[#This Row],[Match]]&amp;" "&amp;Table11[[#This Row],[Over]]</f>
        <v>30 37</v>
      </c>
    </row>
    <row r="1796" spans="1:18" x14ac:dyDescent="0.3">
      <c r="A1796">
        <v>30</v>
      </c>
      <c r="B1796" s="1">
        <v>38</v>
      </c>
      <c r="C1796" s="1" t="s">
        <v>3884</v>
      </c>
      <c r="D1796" s="1" t="s">
        <v>933</v>
      </c>
      <c r="E1796" s="1" t="s">
        <v>951</v>
      </c>
      <c r="F1796" s="1" t="s">
        <v>1219</v>
      </c>
      <c r="G1796" s="1" t="s">
        <v>3030</v>
      </c>
      <c r="H1796" s="1" t="s">
        <v>898</v>
      </c>
      <c r="I1796" s="1" t="s">
        <v>2081</v>
      </c>
      <c r="J1796" s="1" t="s">
        <v>1089</v>
      </c>
      <c r="K1796" s="1" t="s">
        <v>1161</v>
      </c>
      <c r="L1796" s="1" t="s">
        <v>1127</v>
      </c>
      <c r="M1796" s="1" t="s">
        <v>1164</v>
      </c>
      <c r="N1796">
        <f>_xlfn.NUMBERVALUE(LEFT(Table11[[#This Row],[Score]],FIND("/",Table11[[#This Row],[Score]])-1))</f>
        <v>212</v>
      </c>
      <c r="O1796">
        <f>IFERROR(_xlfn.NUMBERVALUE(LEFT(Table11[[#This Row],[Score2 ]],FIND("/",Table11[[#This Row],[Score2 ]])-1)),"")</f>
        <v>224</v>
      </c>
      <c r="P1796" t="s">
        <v>169</v>
      </c>
      <c r="Q1796" s="1" t="s">
        <v>158</v>
      </c>
      <c r="R1796" t="str">
        <f>Table11[[#This Row],[Match]]&amp;" "&amp;Table11[[#This Row],[Over]]</f>
        <v>30 38</v>
      </c>
    </row>
    <row r="1797" spans="1:18" x14ac:dyDescent="0.3">
      <c r="A1797">
        <v>30</v>
      </c>
      <c r="B1797" s="1">
        <v>39</v>
      </c>
      <c r="C1797" s="1" t="s">
        <v>3885</v>
      </c>
      <c r="D1797" s="1" t="s">
        <v>922</v>
      </c>
      <c r="E1797" s="1" t="s">
        <v>1134</v>
      </c>
      <c r="F1797" s="1" t="s">
        <v>1219</v>
      </c>
      <c r="G1797" s="1" t="s">
        <v>2396</v>
      </c>
      <c r="H1797" s="1" t="s">
        <v>1095</v>
      </c>
      <c r="I1797" s="1" t="s">
        <v>1019</v>
      </c>
      <c r="J1797" s="1" t="s">
        <v>1116</v>
      </c>
      <c r="K1797" s="1" t="s">
        <v>3886</v>
      </c>
      <c r="L1797" s="1" t="s">
        <v>1196</v>
      </c>
      <c r="M1797" s="1" t="s">
        <v>1171</v>
      </c>
      <c r="N1797">
        <f>_xlfn.NUMBERVALUE(LEFT(Table11[[#This Row],[Score]],FIND("/",Table11[[#This Row],[Score]])-1))</f>
        <v>218</v>
      </c>
      <c r="O1797">
        <f>IFERROR(_xlfn.NUMBERVALUE(LEFT(Table11[[#This Row],[Score2 ]],FIND("/",Table11[[#This Row],[Score2 ]])-1)),"")</f>
        <v>234</v>
      </c>
      <c r="P1797" t="s">
        <v>169</v>
      </c>
      <c r="Q1797" s="1" t="s">
        <v>158</v>
      </c>
      <c r="R1797" t="str">
        <f>Table11[[#This Row],[Match]]&amp;" "&amp;Table11[[#This Row],[Over]]</f>
        <v>30 39</v>
      </c>
    </row>
    <row r="1798" spans="1:18" x14ac:dyDescent="0.3">
      <c r="A1798">
        <v>30</v>
      </c>
      <c r="B1798" s="1">
        <v>40</v>
      </c>
      <c r="C1798" s="1" t="s">
        <v>3887</v>
      </c>
      <c r="D1798" s="1" t="s">
        <v>950</v>
      </c>
      <c r="E1798" s="1" t="s">
        <v>951</v>
      </c>
      <c r="F1798" s="1" t="s">
        <v>1154</v>
      </c>
      <c r="G1798" s="1" t="s">
        <v>1590</v>
      </c>
      <c r="H1798" s="1" t="s">
        <v>916</v>
      </c>
      <c r="I1798" s="1" t="s">
        <v>1218</v>
      </c>
      <c r="J1798" s="1" t="s">
        <v>1405</v>
      </c>
      <c r="K1798" s="1" t="s">
        <v>1575</v>
      </c>
      <c r="L1798" s="1" t="s">
        <v>1576</v>
      </c>
      <c r="M1798" s="1" t="s">
        <v>1177</v>
      </c>
      <c r="N1798">
        <f>_xlfn.NUMBERVALUE(LEFT(Table11[[#This Row],[Score]],FIND("/",Table11[[#This Row],[Score]])-1))</f>
        <v>223</v>
      </c>
      <c r="O1798">
        <f>IFERROR(_xlfn.NUMBERVALUE(LEFT(Table11[[#This Row],[Score2 ]],FIND("/",Table11[[#This Row],[Score2 ]])-1)),"")</f>
        <v>241</v>
      </c>
      <c r="P1798" t="s">
        <v>169</v>
      </c>
      <c r="Q1798" s="1" t="s">
        <v>158</v>
      </c>
      <c r="R1798" t="str">
        <f>Table11[[#This Row],[Match]]&amp;" "&amp;Table11[[#This Row],[Over]]</f>
        <v>30 40</v>
      </c>
    </row>
    <row r="1799" spans="1:18" x14ac:dyDescent="0.3">
      <c r="A1799">
        <v>30</v>
      </c>
      <c r="B1799" s="1">
        <v>41</v>
      </c>
      <c r="C1799" s="1" t="s">
        <v>2066</v>
      </c>
      <c r="D1799" s="1" t="s">
        <v>1095</v>
      </c>
      <c r="E1799" s="1" t="s">
        <v>1761</v>
      </c>
      <c r="F1799" s="1" t="s">
        <v>1226</v>
      </c>
      <c r="G1799" s="1" t="s">
        <v>3888</v>
      </c>
      <c r="H1799" s="1" t="s">
        <v>1390</v>
      </c>
      <c r="I1799" s="1" t="s">
        <v>2465</v>
      </c>
      <c r="J1799" s="1" t="s">
        <v>2055</v>
      </c>
      <c r="K1799" s="1" t="s">
        <v>1549</v>
      </c>
      <c r="L1799" s="1" t="s">
        <v>1156</v>
      </c>
      <c r="M1799" s="1" t="s">
        <v>1183</v>
      </c>
      <c r="N1799">
        <f>_xlfn.NUMBERVALUE(LEFT(Table11[[#This Row],[Score]],FIND("/",Table11[[#This Row],[Score]])-1))</f>
        <v>233</v>
      </c>
      <c r="O1799">
        <f>IFERROR(_xlfn.NUMBERVALUE(LEFT(Table11[[#This Row],[Score2 ]],FIND("/",Table11[[#This Row],[Score2 ]])-1)),"")</f>
        <v>254</v>
      </c>
      <c r="P1799" t="s">
        <v>169</v>
      </c>
      <c r="Q1799" s="1" t="s">
        <v>158</v>
      </c>
      <c r="R1799" t="str">
        <f>Table11[[#This Row],[Match]]&amp;" "&amp;Table11[[#This Row],[Over]]</f>
        <v>30 41</v>
      </c>
    </row>
    <row r="1800" spans="1:18" x14ac:dyDescent="0.3">
      <c r="A1800">
        <v>30</v>
      </c>
      <c r="B1800" s="1">
        <v>42</v>
      </c>
      <c r="C1800" s="1" t="s">
        <v>3889</v>
      </c>
      <c r="D1800" s="1" t="s">
        <v>922</v>
      </c>
      <c r="E1800" s="1" t="s">
        <v>1192</v>
      </c>
      <c r="F1800" s="1" t="s">
        <v>1405</v>
      </c>
      <c r="G1800" s="1" t="s">
        <v>3890</v>
      </c>
      <c r="H1800" s="1" t="s">
        <v>904</v>
      </c>
      <c r="I1800" s="1" t="s">
        <v>961</v>
      </c>
      <c r="J1800" s="1" t="s">
        <v>952</v>
      </c>
      <c r="K1800" s="1" t="s">
        <v>3029</v>
      </c>
      <c r="L1800" s="1" t="s">
        <v>3160</v>
      </c>
      <c r="M1800" s="1" t="s">
        <v>1190</v>
      </c>
      <c r="N1800">
        <f>_xlfn.NUMBERVALUE(LEFT(Table11[[#This Row],[Score]],FIND("/",Table11[[#This Row],[Score]])-1))</f>
        <v>239</v>
      </c>
      <c r="O1800">
        <f>IFERROR(_xlfn.NUMBERVALUE(LEFT(Table11[[#This Row],[Score2 ]],FIND("/",Table11[[#This Row],[Score2 ]])-1)),"")</f>
        <v>257</v>
      </c>
      <c r="P1800" t="s">
        <v>169</v>
      </c>
      <c r="Q1800" s="1" t="s">
        <v>158</v>
      </c>
      <c r="R1800" t="str">
        <f>Table11[[#This Row],[Match]]&amp;" "&amp;Table11[[#This Row],[Over]]</f>
        <v>30 42</v>
      </c>
    </row>
    <row r="1801" spans="1:18" x14ac:dyDescent="0.3">
      <c r="A1801">
        <v>30</v>
      </c>
      <c r="B1801" s="1">
        <v>43</v>
      </c>
      <c r="C1801" s="1" t="s">
        <v>3891</v>
      </c>
      <c r="D1801" s="1" t="s">
        <v>1692</v>
      </c>
      <c r="E1801" s="1" t="s">
        <v>1228</v>
      </c>
      <c r="F1801" s="1" t="s">
        <v>1219</v>
      </c>
      <c r="G1801" s="1" t="s">
        <v>3892</v>
      </c>
      <c r="H1801" s="1" t="s">
        <v>950</v>
      </c>
      <c r="I1801" s="1" t="s">
        <v>953</v>
      </c>
      <c r="J1801" s="1" t="s">
        <v>1508</v>
      </c>
      <c r="K1801" s="1" t="s">
        <v>2055</v>
      </c>
      <c r="L1801" s="1" t="s">
        <v>1905</v>
      </c>
      <c r="M1801" s="1" t="s">
        <v>1197</v>
      </c>
      <c r="N1801">
        <f>_xlfn.NUMBERVALUE(LEFT(Table11[[#This Row],[Score]],FIND("/",Table11[[#This Row],[Score]])-1))</f>
        <v>260</v>
      </c>
      <c r="O1801">
        <f>IFERROR(_xlfn.NUMBERVALUE(LEFT(Table11[[#This Row],[Score2 ]],FIND("/",Table11[[#This Row],[Score2 ]])-1)),"")</f>
        <v>262</v>
      </c>
      <c r="P1801" t="s">
        <v>169</v>
      </c>
      <c r="Q1801" s="1" t="s">
        <v>158</v>
      </c>
      <c r="R1801" t="str">
        <f>Table11[[#This Row],[Match]]&amp;" "&amp;Table11[[#This Row],[Over]]</f>
        <v>30 43</v>
      </c>
    </row>
    <row r="1802" spans="1:18" x14ac:dyDescent="0.3">
      <c r="A1802">
        <v>30</v>
      </c>
      <c r="B1802" s="1">
        <v>44</v>
      </c>
      <c r="C1802" s="1" t="s">
        <v>3893</v>
      </c>
      <c r="D1802" s="1" t="s">
        <v>1051</v>
      </c>
      <c r="E1802" s="1" t="s">
        <v>1971</v>
      </c>
      <c r="F1802" s="1" t="s">
        <v>1568</v>
      </c>
      <c r="G1802" s="1" t="s">
        <v>3894</v>
      </c>
      <c r="H1802" s="1" t="s">
        <v>1051</v>
      </c>
      <c r="I1802" s="1" t="s">
        <v>970</v>
      </c>
      <c r="J1802" s="1" t="s">
        <v>1168</v>
      </c>
      <c r="K1802" s="1" t="s">
        <v>3895</v>
      </c>
      <c r="L1802" s="1" t="s">
        <v>2554</v>
      </c>
      <c r="M1802" s="1" t="s">
        <v>1205</v>
      </c>
      <c r="N1802">
        <f>_xlfn.NUMBERVALUE(LEFT(Table11[[#This Row],[Score]],FIND("/",Table11[[#This Row],[Score]])-1))</f>
        <v>271</v>
      </c>
      <c r="O1802">
        <f>IFERROR(_xlfn.NUMBERVALUE(LEFT(Table11[[#This Row],[Score2 ]],FIND("/",Table11[[#This Row],[Score2 ]])-1)),"")</f>
        <v>273</v>
      </c>
      <c r="P1802" t="s">
        <v>169</v>
      </c>
      <c r="Q1802" s="1" t="s">
        <v>158</v>
      </c>
      <c r="R1802" t="str">
        <f>Table11[[#This Row],[Match]]&amp;" "&amp;Table11[[#This Row],[Over]]</f>
        <v>30 44</v>
      </c>
    </row>
    <row r="1803" spans="1:18" x14ac:dyDescent="0.3">
      <c r="A1803">
        <v>30</v>
      </c>
      <c r="B1803" s="1">
        <v>45</v>
      </c>
      <c r="C1803" s="1" t="s">
        <v>3896</v>
      </c>
      <c r="D1803" s="1" t="s">
        <v>1095</v>
      </c>
      <c r="E1803" s="1" t="s">
        <v>971</v>
      </c>
      <c r="F1803" s="1" t="s">
        <v>1591</v>
      </c>
      <c r="G1803" s="1" t="s">
        <v>3897</v>
      </c>
      <c r="H1803" s="1" t="s">
        <v>1095</v>
      </c>
      <c r="I1803" s="1" t="s">
        <v>2440</v>
      </c>
      <c r="J1803" s="1" t="s">
        <v>1335</v>
      </c>
      <c r="K1803" s="1" t="s">
        <v>1141</v>
      </c>
      <c r="L1803" s="1" t="s">
        <v>2313</v>
      </c>
      <c r="M1803" s="1" t="s">
        <v>1211</v>
      </c>
      <c r="N1803">
        <f>_xlfn.NUMBERVALUE(LEFT(Table11[[#This Row],[Score]],FIND("/",Table11[[#This Row],[Score]])-1))</f>
        <v>281</v>
      </c>
      <c r="O1803">
        <f>IFERROR(_xlfn.NUMBERVALUE(LEFT(Table11[[#This Row],[Score2 ]],FIND("/",Table11[[#This Row],[Score2 ]])-1)),"")</f>
        <v>283</v>
      </c>
      <c r="P1803" t="s">
        <v>169</v>
      </c>
      <c r="Q1803" s="1" t="s">
        <v>158</v>
      </c>
      <c r="R1803" t="str">
        <f>Table11[[#This Row],[Match]]&amp;" "&amp;Table11[[#This Row],[Over]]</f>
        <v>30 45</v>
      </c>
    </row>
    <row r="1804" spans="1:18" x14ac:dyDescent="0.3">
      <c r="A1804">
        <v>30</v>
      </c>
      <c r="B1804" s="1">
        <v>46</v>
      </c>
      <c r="C1804" s="1" t="s">
        <v>2512</v>
      </c>
      <c r="D1804" s="1" t="s">
        <v>930</v>
      </c>
      <c r="E1804" s="1" t="s">
        <v>2440</v>
      </c>
      <c r="F1804" s="1" t="s">
        <v>1207</v>
      </c>
      <c r="G1804" s="1" t="s">
        <v>3898</v>
      </c>
      <c r="H1804" s="1" t="s">
        <v>1095</v>
      </c>
      <c r="I1804" s="1" t="s">
        <v>2720</v>
      </c>
      <c r="J1804" s="1" t="s">
        <v>1168</v>
      </c>
      <c r="K1804" s="1" t="s">
        <v>1162</v>
      </c>
      <c r="L1804" s="1" t="s">
        <v>1604</v>
      </c>
      <c r="M1804" s="1" t="s">
        <v>1216</v>
      </c>
      <c r="N1804">
        <f>_xlfn.NUMBERVALUE(LEFT(Table11[[#This Row],[Score]],FIND("/",Table11[[#This Row],[Score]])-1))</f>
        <v>289</v>
      </c>
      <c r="O1804">
        <f>IFERROR(_xlfn.NUMBERVALUE(LEFT(Table11[[#This Row],[Score2 ]],FIND("/",Table11[[#This Row],[Score2 ]])-1)),"")</f>
        <v>293</v>
      </c>
      <c r="P1804" t="s">
        <v>169</v>
      </c>
      <c r="Q1804" s="1" t="s">
        <v>158</v>
      </c>
      <c r="R1804" t="str">
        <f>Table11[[#This Row],[Match]]&amp;" "&amp;Table11[[#This Row],[Over]]</f>
        <v>30 46</v>
      </c>
    </row>
    <row r="1805" spans="1:18" x14ac:dyDescent="0.3">
      <c r="A1805">
        <v>30</v>
      </c>
      <c r="B1805" s="1">
        <v>47</v>
      </c>
      <c r="C1805" s="1" t="s">
        <v>3899</v>
      </c>
      <c r="D1805" s="1" t="s">
        <v>1147</v>
      </c>
      <c r="E1805" s="1" t="s">
        <v>1248</v>
      </c>
      <c r="F1805" s="1" t="s">
        <v>3246</v>
      </c>
      <c r="G1805" s="1" t="s">
        <v>3900</v>
      </c>
      <c r="H1805" s="1" t="s">
        <v>930</v>
      </c>
      <c r="I1805" s="1" t="s">
        <v>943</v>
      </c>
      <c r="J1805" s="1" t="s">
        <v>1154</v>
      </c>
      <c r="K1805" s="1" t="s">
        <v>3710</v>
      </c>
      <c r="L1805" s="1" t="s">
        <v>1666</v>
      </c>
      <c r="M1805" s="1" t="s">
        <v>1223</v>
      </c>
      <c r="N1805">
        <f>_xlfn.NUMBERVALUE(LEFT(Table11[[#This Row],[Score]],FIND("/",Table11[[#This Row],[Score]])-1))</f>
        <v>304</v>
      </c>
      <c r="O1805">
        <f>IFERROR(_xlfn.NUMBERVALUE(LEFT(Table11[[#This Row],[Score2 ]],FIND("/",Table11[[#This Row],[Score2 ]])-1)),"")</f>
        <v>301</v>
      </c>
      <c r="P1805" t="s">
        <v>169</v>
      </c>
      <c r="Q1805" s="1" t="s">
        <v>158</v>
      </c>
      <c r="R1805" t="str">
        <f>Table11[[#This Row],[Match]]&amp;" "&amp;Table11[[#This Row],[Over]]</f>
        <v>30 47</v>
      </c>
    </row>
    <row r="1806" spans="1:18" x14ac:dyDescent="0.3">
      <c r="A1806">
        <v>30</v>
      </c>
      <c r="B1806" s="1">
        <v>48</v>
      </c>
      <c r="C1806" s="1" t="s">
        <v>3901</v>
      </c>
      <c r="D1806" s="1" t="s">
        <v>1511</v>
      </c>
      <c r="E1806" s="1" t="s">
        <v>1260</v>
      </c>
      <c r="F1806" s="1" t="s">
        <v>2320</v>
      </c>
      <c r="G1806" s="1" t="s">
        <v>3902</v>
      </c>
      <c r="H1806" s="1" t="s">
        <v>950</v>
      </c>
      <c r="I1806" s="1" t="s">
        <v>978</v>
      </c>
      <c r="J1806" s="1" t="s">
        <v>1154</v>
      </c>
      <c r="K1806" s="1" t="s">
        <v>3246</v>
      </c>
      <c r="L1806" s="1" t="s">
        <v>1704</v>
      </c>
      <c r="M1806" s="1" t="s">
        <v>1103</v>
      </c>
      <c r="N1806">
        <f>_xlfn.NUMBERVALUE(LEFT(Table11[[#This Row],[Score]],FIND("/",Table11[[#This Row],[Score]])-1))</f>
        <v>320</v>
      </c>
      <c r="O1806">
        <f>IFERROR(_xlfn.NUMBERVALUE(LEFT(Table11[[#This Row],[Score2 ]],FIND("/",Table11[[#This Row],[Score2 ]])-1)),"")</f>
        <v>306</v>
      </c>
      <c r="P1806" t="s">
        <v>169</v>
      </c>
      <c r="Q1806" s="1" t="s">
        <v>158</v>
      </c>
      <c r="R1806" t="str">
        <f>Table11[[#This Row],[Match]]&amp;" "&amp;Table11[[#This Row],[Over]]</f>
        <v>30 48</v>
      </c>
    </row>
    <row r="1807" spans="1:18" x14ac:dyDescent="0.3">
      <c r="A1807">
        <v>30</v>
      </c>
      <c r="B1807" s="1">
        <v>49</v>
      </c>
      <c r="C1807" s="1" t="s">
        <v>3903</v>
      </c>
      <c r="D1807" s="1" t="s">
        <v>950</v>
      </c>
      <c r="E1807" s="1" t="s">
        <v>2461</v>
      </c>
      <c r="F1807" s="1" t="s">
        <v>1611</v>
      </c>
      <c r="G1807" s="1" t="s">
        <v>3904</v>
      </c>
      <c r="H1807" s="1" t="s">
        <v>1684</v>
      </c>
      <c r="I1807" s="1" t="s">
        <v>2461</v>
      </c>
      <c r="J1807" s="1" t="s">
        <v>1409</v>
      </c>
      <c r="K1807" s="1" t="s">
        <v>952</v>
      </c>
      <c r="L1807" s="1" t="s">
        <v>916</v>
      </c>
      <c r="M1807" s="1" t="s">
        <v>922</v>
      </c>
      <c r="N1807">
        <f>_xlfn.NUMBERVALUE(LEFT(Table11[[#This Row],[Score]],FIND("/",Table11[[#This Row],[Score]])-1))</f>
        <v>325</v>
      </c>
      <c r="O1807">
        <f>IFERROR(_xlfn.NUMBERVALUE(LEFT(Table11[[#This Row],[Score2 ]],FIND("/",Table11[[#This Row],[Score2 ]])-1)),"")</f>
        <v>325</v>
      </c>
      <c r="P1807" t="s">
        <v>169</v>
      </c>
      <c r="Q1807" s="1" t="s">
        <v>158</v>
      </c>
      <c r="R1807" t="str">
        <f>Table11[[#This Row],[Match]]&amp;" "&amp;Table11[[#This Row],[Over]]</f>
        <v>30 49</v>
      </c>
    </row>
    <row r="1808" spans="1:18" x14ac:dyDescent="0.3">
      <c r="A1808">
        <v>30</v>
      </c>
      <c r="B1808" s="1">
        <v>50</v>
      </c>
      <c r="C1808" s="1" t="s">
        <v>3905</v>
      </c>
      <c r="D1808" s="1" t="s">
        <v>922</v>
      </c>
      <c r="E1808" s="1" t="s">
        <v>1738</v>
      </c>
      <c r="F1808" s="1" t="s">
        <v>2055</v>
      </c>
      <c r="G1808" s="1" t="s">
        <v>3906</v>
      </c>
      <c r="H1808" s="1" t="s">
        <v>1615</v>
      </c>
      <c r="I1808" s="1" t="s">
        <v>3907</v>
      </c>
      <c r="J1808" s="1" t="s">
        <v>3908</v>
      </c>
      <c r="K1808" s="1" t="s">
        <v>1622</v>
      </c>
      <c r="L1808" s="1" t="s">
        <v>922</v>
      </c>
      <c r="M1808" s="1" t="s">
        <v>1007</v>
      </c>
      <c r="N1808">
        <f>_xlfn.NUMBERVALUE(LEFT(Table11[[#This Row],[Score]],FIND("/",Table11[[#This Row],[Score]])-1))</f>
        <v>331</v>
      </c>
      <c r="O1808">
        <f>IFERROR(_xlfn.NUMBERVALUE(LEFT(Table11[[#This Row],[Score2 ]],FIND("/",Table11[[#This Row],[Score2 ]])-1)),"")</f>
        <v>326</v>
      </c>
      <c r="P1808" t="s">
        <v>169</v>
      </c>
      <c r="Q1808" s="1" t="s">
        <v>158</v>
      </c>
      <c r="R1808" t="str">
        <f>Table11[[#This Row],[Match]]&amp;" "&amp;Table11[[#This Row],[Over]]</f>
        <v>30 50</v>
      </c>
    </row>
    <row r="1809" spans="1:18" x14ac:dyDescent="0.3">
      <c r="A1809">
        <v>31</v>
      </c>
      <c r="B1809" s="1">
        <v>1</v>
      </c>
      <c r="C1809" s="1" t="s">
        <v>903</v>
      </c>
      <c r="D1809" s="1" t="s">
        <v>950</v>
      </c>
      <c r="E1809" s="1" t="s">
        <v>969</v>
      </c>
      <c r="F1809" s="1" t="s">
        <v>348</v>
      </c>
      <c r="G1809" s="1" t="s">
        <v>1239</v>
      </c>
      <c r="H1809" s="1" t="s">
        <v>1103</v>
      </c>
      <c r="I1809" s="1" t="s">
        <v>2320</v>
      </c>
      <c r="J1809" s="1" t="s">
        <v>348</v>
      </c>
      <c r="K1809" s="1" t="s">
        <v>1887</v>
      </c>
      <c r="L1809" s="1" t="s">
        <v>1341</v>
      </c>
      <c r="M1809" s="1" t="s">
        <v>902</v>
      </c>
      <c r="N1809">
        <f>_xlfn.NUMBERVALUE(LEFT(Table11[[#This Row],[Score]],FIND("/",Table11[[#This Row],[Score]])-1))</f>
        <v>5</v>
      </c>
      <c r="O1809">
        <f>IFERROR(_xlfn.NUMBERVALUE(LEFT(Table11[[#This Row],[Score2 ]],FIND("/",Table11[[#This Row],[Score2 ]])-1)),"")</f>
        <v>12</v>
      </c>
      <c r="P1809" t="s">
        <v>185</v>
      </c>
      <c r="Q1809" s="1" t="s">
        <v>140</v>
      </c>
      <c r="R1809" t="str">
        <f>Table11[[#This Row],[Match]]&amp;" "&amp;Table11[[#This Row],[Over]]</f>
        <v>31 1</v>
      </c>
    </row>
    <row r="1810" spans="1:18" x14ac:dyDescent="0.3">
      <c r="A1810">
        <v>31</v>
      </c>
      <c r="B1810" s="1">
        <v>2</v>
      </c>
      <c r="C1810" s="1" t="s">
        <v>2988</v>
      </c>
      <c r="D1810" s="1" t="s">
        <v>968</v>
      </c>
      <c r="E1810" s="1" t="s">
        <v>1238</v>
      </c>
      <c r="F1810" s="1" t="s">
        <v>348</v>
      </c>
      <c r="G1810" s="1" t="s">
        <v>1239</v>
      </c>
      <c r="H1810" s="1" t="s">
        <v>1007</v>
      </c>
      <c r="I1810" s="1" t="s">
        <v>1019</v>
      </c>
      <c r="J1810" s="1" t="s">
        <v>348</v>
      </c>
      <c r="K1810" s="1" t="s">
        <v>1873</v>
      </c>
      <c r="L1810" s="1" t="s">
        <v>1341</v>
      </c>
      <c r="M1810" s="1" t="s">
        <v>909</v>
      </c>
      <c r="N1810">
        <f>_xlfn.NUMBERVALUE(LEFT(Table11[[#This Row],[Score]],FIND("/",Table11[[#This Row],[Score]])-1))</f>
        <v>6</v>
      </c>
      <c r="O1810">
        <f>IFERROR(_xlfn.NUMBERVALUE(LEFT(Table11[[#This Row],[Score2 ]],FIND("/",Table11[[#This Row],[Score2 ]])-1)),"")</f>
        <v>12</v>
      </c>
      <c r="P1810" t="s">
        <v>185</v>
      </c>
      <c r="Q1810" s="1" t="s">
        <v>140</v>
      </c>
      <c r="R1810" t="str">
        <f>Table11[[#This Row],[Match]]&amp;" "&amp;Table11[[#This Row],[Over]]</f>
        <v>31 2</v>
      </c>
    </row>
    <row r="1811" spans="1:18" x14ac:dyDescent="0.3">
      <c r="A1811">
        <v>31</v>
      </c>
      <c r="B1811" s="1">
        <v>3</v>
      </c>
      <c r="C1811" s="1" t="s">
        <v>2869</v>
      </c>
      <c r="D1811" s="1" t="s">
        <v>1007</v>
      </c>
      <c r="E1811" s="1" t="s">
        <v>899</v>
      </c>
      <c r="F1811" s="1" t="s">
        <v>348</v>
      </c>
      <c r="G1811" s="1" t="s">
        <v>1427</v>
      </c>
      <c r="H1811" s="1" t="s">
        <v>930</v>
      </c>
      <c r="I1811" s="1" t="s">
        <v>1260</v>
      </c>
      <c r="J1811" s="1" t="s">
        <v>348</v>
      </c>
      <c r="K1811" s="1" t="s">
        <v>1263</v>
      </c>
      <c r="L1811" s="1" t="s">
        <v>1120</v>
      </c>
      <c r="M1811" s="1" t="s">
        <v>920</v>
      </c>
      <c r="N1811">
        <f>_xlfn.NUMBERVALUE(LEFT(Table11[[#This Row],[Score]],FIND("/",Table11[[#This Row],[Score]])-1))</f>
        <v>6</v>
      </c>
      <c r="O1811">
        <f>IFERROR(_xlfn.NUMBERVALUE(LEFT(Table11[[#This Row],[Score2 ]],FIND("/",Table11[[#This Row],[Score2 ]])-1)),"")</f>
        <v>20</v>
      </c>
      <c r="P1811" t="s">
        <v>185</v>
      </c>
      <c r="Q1811" s="1" t="s">
        <v>140</v>
      </c>
      <c r="R1811" t="str">
        <f>Table11[[#This Row],[Match]]&amp;" "&amp;Table11[[#This Row],[Over]]</f>
        <v>31 3</v>
      </c>
    </row>
    <row r="1812" spans="1:18" x14ac:dyDescent="0.3">
      <c r="A1812">
        <v>31</v>
      </c>
      <c r="B1812" s="1">
        <v>4</v>
      </c>
      <c r="C1812" s="1" t="s">
        <v>2529</v>
      </c>
      <c r="D1812" s="1" t="s">
        <v>968</v>
      </c>
      <c r="E1812" s="1" t="s">
        <v>1939</v>
      </c>
      <c r="F1812" s="1" t="s">
        <v>348</v>
      </c>
      <c r="G1812" s="1" t="s">
        <v>3909</v>
      </c>
      <c r="H1812" s="1" t="s">
        <v>1147</v>
      </c>
      <c r="I1812" s="1" t="s">
        <v>3699</v>
      </c>
      <c r="J1812" s="1" t="s">
        <v>348</v>
      </c>
      <c r="K1812" s="1" t="s">
        <v>1788</v>
      </c>
      <c r="L1812" s="1" t="s">
        <v>1137</v>
      </c>
      <c r="M1812" s="1" t="s">
        <v>928</v>
      </c>
      <c r="N1812">
        <f>_xlfn.NUMBERVALUE(LEFT(Table11[[#This Row],[Score]],FIND("/",Table11[[#This Row],[Score]])-1))</f>
        <v>7</v>
      </c>
      <c r="O1812">
        <f>IFERROR(_xlfn.NUMBERVALUE(LEFT(Table11[[#This Row],[Score2 ]],FIND("/",Table11[[#This Row],[Score2 ]])-1)),"")</f>
        <v>35</v>
      </c>
      <c r="P1812" t="s">
        <v>185</v>
      </c>
      <c r="Q1812" s="1" t="s">
        <v>140</v>
      </c>
      <c r="R1812" t="str">
        <f>Table11[[#This Row],[Match]]&amp;" "&amp;Table11[[#This Row],[Over]]</f>
        <v>31 4</v>
      </c>
    </row>
    <row r="1813" spans="1:18" x14ac:dyDescent="0.3">
      <c r="A1813">
        <v>31</v>
      </c>
      <c r="B1813" s="1">
        <v>5</v>
      </c>
      <c r="C1813" s="1" t="s">
        <v>2529</v>
      </c>
      <c r="D1813" s="1" t="s">
        <v>1007</v>
      </c>
      <c r="E1813" s="1" t="s">
        <v>1432</v>
      </c>
      <c r="F1813" s="1" t="s">
        <v>1432</v>
      </c>
      <c r="G1813" s="1" t="s">
        <v>1980</v>
      </c>
      <c r="H1813" s="1" t="s">
        <v>922</v>
      </c>
      <c r="I1813" s="1" t="s">
        <v>1405</v>
      </c>
      <c r="J1813" s="1" t="s">
        <v>1405</v>
      </c>
      <c r="K1813" s="1" t="s">
        <v>3910</v>
      </c>
      <c r="L1813" s="1" t="s">
        <v>1385</v>
      </c>
      <c r="M1813" s="1" t="s">
        <v>937</v>
      </c>
      <c r="N1813">
        <f>_xlfn.NUMBERVALUE(LEFT(Table11[[#This Row],[Score]],FIND("/",Table11[[#This Row],[Score]])-1))</f>
        <v>7</v>
      </c>
      <c r="O1813">
        <f>IFERROR(_xlfn.NUMBERVALUE(LEFT(Table11[[#This Row],[Score2 ]],FIND("/",Table11[[#This Row],[Score2 ]])-1)),"")</f>
        <v>41</v>
      </c>
      <c r="P1813" t="s">
        <v>185</v>
      </c>
      <c r="Q1813" s="1" t="s">
        <v>140</v>
      </c>
      <c r="R1813" t="str">
        <f>Table11[[#This Row],[Match]]&amp;" "&amp;Table11[[#This Row],[Over]]</f>
        <v>31 5</v>
      </c>
    </row>
    <row r="1814" spans="1:18" x14ac:dyDescent="0.3">
      <c r="A1814">
        <v>31</v>
      </c>
      <c r="B1814" s="1">
        <v>6</v>
      </c>
      <c r="C1814" s="1" t="s">
        <v>2871</v>
      </c>
      <c r="D1814" s="1" t="s">
        <v>1095</v>
      </c>
      <c r="E1814" s="1" t="s">
        <v>1656</v>
      </c>
      <c r="F1814" s="1" t="s">
        <v>1088</v>
      </c>
      <c r="G1814" s="1" t="s">
        <v>3759</v>
      </c>
      <c r="H1814" s="1" t="s">
        <v>1390</v>
      </c>
      <c r="I1814" s="1" t="s">
        <v>1161</v>
      </c>
      <c r="J1814" s="1" t="s">
        <v>1335</v>
      </c>
      <c r="K1814" s="1" t="s">
        <v>3911</v>
      </c>
      <c r="L1814" s="1" t="s">
        <v>1394</v>
      </c>
      <c r="M1814" s="1" t="s">
        <v>945</v>
      </c>
      <c r="N1814">
        <f>_xlfn.NUMBERVALUE(LEFT(Table11[[#This Row],[Score]],FIND("/",Table11[[#This Row],[Score]])-1))</f>
        <v>17</v>
      </c>
      <c r="O1814">
        <f>IFERROR(_xlfn.NUMBERVALUE(LEFT(Table11[[#This Row],[Score2 ]],FIND("/",Table11[[#This Row],[Score2 ]])-1)),"")</f>
        <v>54</v>
      </c>
      <c r="P1814" t="s">
        <v>185</v>
      </c>
      <c r="Q1814" s="1" t="s">
        <v>140</v>
      </c>
      <c r="R1814" t="str">
        <f>Table11[[#This Row],[Match]]&amp;" "&amp;Table11[[#This Row],[Over]]</f>
        <v>31 6</v>
      </c>
    </row>
    <row r="1815" spans="1:18" x14ac:dyDescent="0.3">
      <c r="A1815">
        <v>31</v>
      </c>
      <c r="B1815" s="1">
        <v>7</v>
      </c>
      <c r="C1815" s="1" t="s">
        <v>3576</v>
      </c>
      <c r="D1815" s="1" t="s">
        <v>950</v>
      </c>
      <c r="E1815" s="1" t="s">
        <v>1711</v>
      </c>
      <c r="F1815" s="1" t="s">
        <v>1259</v>
      </c>
      <c r="G1815" s="1" t="s">
        <v>3759</v>
      </c>
      <c r="H1815" s="1" t="s">
        <v>1007</v>
      </c>
      <c r="I1815" s="1" t="s">
        <v>3201</v>
      </c>
      <c r="J1815" s="1" t="s">
        <v>1335</v>
      </c>
      <c r="K1815" s="1" t="s">
        <v>3449</v>
      </c>
      <c r="L1815" s="1" t="s">
        <v>1394</v>
      </c>
      <c r="M1815" s="1" t="s">
        <v>955</v>
      </c>
      <c r="N1815">
        <f>_xlfn.NUMBERVALUE(LEFT(Table11[[#This Row],[Score]],FIND("/",Table11[[#This Row],[Score]])-1))</f>
        <v>22</v>
      </c>
      <c r="O1815">
        <f>IFERROR(_xlfn.NUMBERVALUE(LEFT(Table11[[#This Row],[Score2 ]],FIND("/",Table11[[#This Row],[Score2 ]])-1)),"")</f>
        <v>54</v>
      </c>
      <c r="P1815" t="s">
        <v>185</v>
      </c>
      <c r="Q1815" s="1" t="s">
        <v>140</v>
      </c>
      <c r="R1815" t="str">
        <f>Table11[[#This Row],[Match]]&amp;" "&amp;Table11[[#This Row],[Over]]</f>
        <v>31 7</v>
      </c>
    </row>
    <row r="1816" spans="1:18" x14ac:dyDescent="0.3">
      <c r="A1816">
        <v>31</v>
      </c>
      <c r="B1816" s="1">
        <v>8</v>
      </c>
      <c r="C1816" s="1" t="s">
        <v>1641</v>
      </c>
      <c r="D1816" s="1" t="s">
        <v>898</v>
      </c>
      <c r="E1816" s="1" t="s">
        <v>1238</v>
      </c>
      <c r="F1816" s="1" t="s">
        <v>977</v>
      </c>
      <c r="G1816" s="1" t="s">
        <v>3759</v>
      </c>
      <c r="H1816" s="1" t="s">
        <v>1007</v>
      </c>
      <c r="I1816" s="1" t="s">
        <v>1009</v>
      </c>
      <c r="J1816" s="1" t="s">
        <v>1053</v>
      </c>
      <c r="K1816" s="1" t="s">
        <v>1251</v>
      </c>
      <c r="L1816" s="1" t="s">
        <v>1394</v>
      </c>
      <c r="M1816" s="1" t="s">
        <v>963</v>
      </c>
      <c r="N1816">
        <f>_xlfn.NUMBERVALUE(LEFT(Table11[[#This Row],[Score]],FIND("/",Table11[[#This Row],[Score]])-1))</f>
        <v>24</v>
      </c>
      <c r="O1816">
        <f>IFERROR(_xlfn.NUMBERVALUE(LEFT(Table11[[#This Row],[Score2 ]],FIND("/",Table11[[#This Row],[Score2 ]])-1)),"")</f>
        <v>54</v>
      </c>
      <c r="P1816" t="s">
        <v>185</v>
      </c>
      <c r="Q1816" s="1" t="s">
        <v>140</v>
      </c>
      <c r="R1816" t="str">
        <f>Table11[[#This Row],[Match]]&amp;" "&amp;Table11[[#This Row],[Over]]</f>
        <v>31 8</v>
      </c>
    </row>
    <row r="1817" spans="1:18" x14ac:dyDescent="0.3">
      <c r="A1817">
        <v>31</v>
      </c>
      <c r="B1817" s="1">
        <v>9</v>
      </c>
      <c r="C1817" s="1" t="s">
        <v>3912</v>
      </c>
      <c r="D1817" s="1" t="s">
        <v>998</v>
      </c>
      <c r="E1817" s="1" t="s">
        <v>1708</v>
      </c>
      <c r="F1817" s="1" t="s">
        <v>931</v>
      </c>
      <c r="G1817" s="1" t="s">
        <v>997</v>
      </c>
      <c r="H1817" s="1" t="s">
        <v>898</v>
      </c>
      <c r="I1817" s="1" t="s">
        <v>1236</v>
      </c>
      <c r="J1817" s="1" t="s">
        <v>931</v>
      </c>
      <c r="K1817" s="1" t="s">
        <v>1889</v>
      </c>
      <c r="L1817" s="1" t="s">
        <v>1402</v>
      </c>
      <c r="M1817" s="1" t="s">
        <v>973</v>
      </c>
      <c r="N1817">
        <f>_xlfn.NUMBERVALUE(LEFT(Table11[[#This Row],[Score]],FIND("/",Table11[[#This Row],[Score]])-1))</f>
        <v>28</v>
      </c>
      <c r="O1817">
        <f>IFERROR(_xlfn.NUMBERVALUE(LEFT(Table11[[#This Row],[Score2 ]],FIND("/",Table11[[#This Row],[Score2 ]])-1)),"")</f>
        <v>56</v>
      </c>
      <c r="P1817" t="s">
        <v>185</v>
      </c>
      <c r="Q1817" s="1" t="s">
        <v>140</v>
      </c>
      <c r="R1817" t="str">
        <f>Table11[[#This Row],[Match]]&amp;" "&amp;Table11[[#This Row],[Over]]</f>
        <v>31 9</v>
      </c>
    </row>
    <row r="1818" spans="1:18" x14ac:dyDescent="0.3">
      <c r="A1818">
        <v>31</v>
      </c>
      <c r="B1818" s="1">
        <v>10</v>
      </c>
      <c r="C1818" s="1" t="s">
        <v>1446</v>
      </c>
      <c r="D1818" s="1" t="s">
        <v>950</v>
      </c>
      <c r="E1818" s="1" t="s">
        <v>1788</v>
      </c>
      <c r="F1818" s="1" t="s">
        <v>1029</v>
      </c>
      <c r="G1818" s="1" t="s">
        <v>3310</v>
      </c>
      <c r="H1818" s="1" t="s">
        <v>1103</v>
      </c>
      <c r="I1818" s="1" t="s">
        <v>1053</v>
      </c>
      <c r="J1818" s="1" t="s">
        <v>966</v>
      </c>
      <c r="K1818" s="1" t="s">
        <v>3913</v>
      </c>
      <c r="L1818" s="1" t="s">
        <v>2484</v>
      </c>
      <c r="M1818" s="1" t="s">
        <v>980</v>
      </c>
      <c r="N1818">
        <f>_xlfn.NUMBERVALUE(LEFT(Table11[[#This Row],[Score]],FIND("/",Table11[[#This Row],[Score]])-1))</f>
        <v>33</v>
      </c>
      <c r="O1818">
        <f>IFERROR(_xlfn.NUMBERVALUE(LEFT(Table11[[#This Row],[Score2 ]],FIND("/",Table11[[#This Row],[Score2 ]])-1)),"")</f>
        <v>68</v>
      </c>
      <c r="P1818" t="s">
        <v>185</v>
      </c>
      <c r="Q1818" s="1" t="s">
        <v>140</v>
      </c>
      <c r="R1818" t="str">
        <f>Table11[[#This Row],[Match]]&amp;" "&amp;Table11[[#This Row],[Over]]</f>
        <v>31 10</v>
      </c>
    </row>
    <row r="1819" spans="1:18" x14ac:dyDescent="0.3">
      <c r="A1819">
        <v>31</v>
      </c>
      <c r="B1819" s="1">
        <v>11</v>
      </c>
      <c r="C1819" s="1" t="s">
        <v>1859</v>
      </c>
      <c r="D1819" s="1" t="s">
        <v>898</v>
      </c>
      <c r="E1819" s="1" t="s">
        <v>2452</v>
      </c>
      <c r="F1819" s="1" t="s">
        <v>977</v>
      </c>
      <c r="G1819" s="1" t="s">
        <v>2001</v>
      </c>
      <c r="H1819" s="1" t="s">
        <v>1095</v>
      </c>
      <c r="I1819" s="1" t="s">
        <v>1300</v>
      </c>
      <c r="J1819" s="1" t="s">
        <v>1093</v>
      </c>
      <c r="K1819" s="1" t="s">
        <v>3914</v>
      </c>
      <c r="L1819" s="1" t="s">
        <v>2727</v>
      </c>
      <c r="M1819" s="1" t="s">
        <v>987</v>
      </c>
      <c r="N1819">
        <f>_xlfn.NUMBERVALUE(LEFT(Table11[[#This Row],[Score]],FIND("/",Table11[[#This Row],[Score]])-1))</f>
        <v>35</v>
      </c>
      <c r="O1819">
        <f>IFERROR(_xlfn.NUMBERVALUE(LEFT(Table11[[#This Row],[Score2 ]],FIND("/",Table11[[#This Row],[Score2 ]])-1)),"")</f>
        <v>78</v>
      </c>
      <c r="P1819" t="s">
        <v>185</v>
      </c>
      <c r="Q1819" s="1" t="s">
        <v>140</v>
      </c>
      <c r="R1819" t="str">
        <f>Table11[[#This Row],[Match]]&amp;" "&amp;Table11[[#This Row],[Over]]</f>
        <v>31 11</v>
      </c>
    </row>
    <row r="1820" spans="1:18" x14ac:dyDescent="0.3">
      <c r="A1820">
        <v>31</v>
      </c>
      <c r="B1820" s="1">
        <v>12</v>
      </c>
      <c r="C1820" s="1" t="s">
        <v>3915</v>
      </c>
      <c r="D1820" s="1" t="s">
        <v>904</v>
      </c>
      <c r="E1820" s="1" t="s">
        <v>1251</v>
      </c>
      <c r="F1820" s="1" t="s">
        <v>1259</v>
      </c>
      <c r="G1820" s="1" t="s">
        <v>2346</v>
      </c>
      <c r="H1820" s="1" t="s">
        <v>904</v>
      </c>
      <c r="I1820" s="1" t="s">
        <v>1009</v>
      </c>
      <c r="J1820" s="1" t="s">
        <v>966</v>
      </c>
      <c r="K1820" s="1" t="s">
        <v>2622</v>
      </c>
      <c r="L1820" s="1" t="s">
        <v>1564</v>
      </c>
      <c r="M1820" s="1" t="s">
        <v>996</v>
      </c>
      <c r="N1820">
        <f>_xlfn.NUMBERVALUE(LEFT(Table11[[#This Row],[Score]],FIND("/",Table11[[#This Row],[Score]])-1))</f>
        <v>38</v>
      </c>
      <c r="O1820">
        <f>IFERROR(_xlfn.NUMBERVALUE(LEFT(Table11[[#This Row],[Score2 ]],FIND("/",Table11[[#This Row],[Score2 ]])-1)),"")</f>
        <v>81</v>
      </c>
      <c r="P1820" t="s">
        <v>185</v>
      </c>
      <c r="Q1820" s="1" t="s">
        <v>140</v>
      </c>
      <c r="R1820" t="str">
        <f>Table11[[#This Row],[Match]]&amp;" "&amp;Table11[[#This Row],[Over]]</f>
        <v>31 12</v>
      </c>
    </row>
    <row r="1821" spans="1:18" x14ac:dyDescent="0.3">
      <c r="A1821">
        <v>31</v>
      </c>
      <c r="B1821" s="1">
        <v>13</v>
      </c>
      <c r="C1821" s="1" t="s">
        <v>1465</v>
      </c>
      <c r="D1821" s="1" t="s">
        <v>930</v>
      </c>
      <c r="E1821" s="1" t="s">
        <v>2482</v>
      </c>
      <c r="F1821" s="1" t="s">
        <v>940</v>
      </c>
      <c r="G1821" s="1" t="s">
        <v>3700</v>
      </c>
      <c r="H1821" s="1" t="s">
        <v>998</v>
      </c>
      <c r="I1821" s="1" t="s">
        <v>2428</v>
      </c>
      <c r="J1821" s="1" t="s">
        <v>970</v>
      </c>
      <c r="K1821" s="1" t="s">
        <v>1672</v>
      </c>
      <c r="L1821" s="1" t="s">
        <v>1132</v>
      </c>
      <c r="M1821" s="1" t="s">
        <v>1004</v>
      </c>
      <c r="N1821">
        <f>_xlfn.NUMBERVALUE(LEFT(Table11[[#This Row],[Score]],FIND("/",Table11[[#This Row],[Score]])-1))</f>
        <v>46</v>
      </c>
      <c r="O1821">
        <f>IFERROR(_xlfn.NUMBERVALUE(LEFT(Table11[[#This Row],[Score2 ]],FIND("/",Table11[[#This Row],[Score2 ]])-1)),"")</f>
        <v>85</v>
      </c>
      <c r="P1821" t="s">
        <v>185</v>
      </c>
      <c r="Q1821" s="1" t="s">
        <v>140</v>
      </c>
      <c r="R1821" t="str">
        <f>Table11[[#This Row],[Match]]&amp;" "&amp;Table11[[#This Row],[Over]]</f>
        <v>31 13</v>
      </c>
    </row>
    <row r="1822" spans="1:18" x14ac:dyDescent="0.3">
      <c r="A1822">
        <v>31</v>
      </c>
      <c r="B1822" s="1">
        <v>14</v>
      </c>
      <c r="C1822" s="1" t="s">
        <v>1465</v>
      </c>
      <c r="D1822" s="1" t="s">
        <v>1007</v>
      </c>
      <c r="E1822" s="1" t="s">
        <v>1885</v>
      </c>
      <c r="F1822" s="1" t="s">
        <v>977</v>
      </c>
      <c r="G1822" s="1" t="s">
        <v>2121</v>
      </c>
      <c r="H1822" s="1" t="s">
        <v>968</v>
      </c>
      <c r="I1822" s="1" t="s">
        <v>1417</v>
      </c>
      <c r="J1822" s="1" t="s">
        <v>1019</v>
      </c>
      <c r="K1822" s="1" t="s">
        <v>993</v>
      </c>
      <c r="L1822" s="1" t="s">
        <v>1189</v>
      </c>
      <c r="M1822" s="1" t="s">
        <v>1010</v>
      </c>
      <c r="N1822">
        <f>_xlfn.NUMBERVALUE(LEFT(Table11[[#This Row],[Score]],FIND("/",Table11[[#This Row],[Score]])-1))</f>
        <v>46</v>
      </c>
      <c r="O1822">
        <f>IFERROR(_xlfn.NUMBERVALUE(LEFT(Table11[[#This Row],[Score2 ]],FIND("/",Table11[[#This Row],[Score2 ]])-1)),"")</f>
        <v>86</v>
      </c>
      <c r="P1822" t="s">
        <v>185</v>
      </c>
      <c r="Q1822" s="1" t="s">
        <v>140</v>
      </c>
      <c r="R1822" t="str">
        <f>Table11[[#This Row],[Match]]&amp;" "&amp;Table11[[#This Row],[Over]]</f>
        <v>31 14</v>
      </c>
    </row>
    <row r="1823" spans="1:18" x14ac:dyDescent="0.3">
      <c r="A1823">
        <v>31</v>
      </c>
      <c r="B1823" s="1">
        <v>15</v>
      </c>
      <c r="C1823" s="1" t="s">
        <v>3383</v>
      </c>
      <c r="D1823" s="1" t="s">
        <v>904</v>
      </c>
      <c r="E1823" s="1" t="s">
        <v>3284</v>
      </c>
      <c r="F1823" s="1" t="s">
        <v>1259</v>
      </c>
      <c r="G1823" s="1" t="s">
        <v>1032</v>
      </c>
      <c r="H1823" s="1" t="s">
        <v>904</v>
      </c>
      <c r="I1823" s="1" t="s">
        <v>1425</v>
      </c>
      <c r="J1823" s="1" t="s">
        <v>931</v>
      </c>
      <c r="K1823" s="1" t="s">
        <v>993</v>
      </c>
      <c r="L1823" s="1" t="s">
        <v>1196</v>
      </c>
      <c r="M1823" s="1" t="s">
        <v>1016</v>
      </c>
      <c r="N1823">
        <f>_xlfn.NUMBERVALUE(LEFT(Table11[[#This Row],[Score]],FIND("/",Table11[[#This Row],[Score]])-1))</f>
        <v>49</v>
      </c>
      <c r="O1823">
        <f>IFERROR(_xlfn.NUMBERVALUE(LEFT(Table11[[#This Row],[Score2 ]],FIND("/",Table11[[#This Row],[Score2 ]])-1)),"")</f>
        <v>89</v>
      </c>
      <c r="P1823" t="s">
        <v>185</v>
      </c>
      <c r="Q1823" s="1" t="s">
        <v>140</v>
      </c>
      <c r="R1823" t="str">
        <f>Table11[[#This Row],[Match]]&amp;" "&amp;Table11[[#This Row],[Over]]</f>
        <v>31 15</v>
      </c>
    </row>
    <row r="1824" spans="1:18" x14ac:dyDescent="0.3">
      <c r="A1824">
        <v>31</v>
      </c>
      <c r="B1824" s="1">
        <v>16</v>
      </c>
      <c r="C1824" s="1" t="s">
        <v>1872</v>
      </c>
      <c r="D1824" s="1" t="s">
        <v>898</v>
      </c>
      <c r="E1824" s="1" t="s">
        <v>2452</v>
      </c>
      <c r="F1824" s="1" t="s">
        <v>1259</v>
      </c>
      <c r="G1824" s="1" t="s">
        <v>1038</v>
      </c>
      <c r="H1824" s="1" t="s">
        <v>950</v>
      </c>
      <c r="I1824" s="1" t="s">
        <v>2334</v>
      </c>
      <c r="J1824" s="1" t="s">
        <v>1259</v>
      </c>
      <c r="K1824" s="1" t="s">
        <v>1668</v>
      </c>
      <c r="L1824" s="1" t="s">
        <v>1628</v>
      </c>
      <c r="M1824" s="1" t="s">
        <v>1024</v>
      </c>
      <c r="N1824">
        <f>_xlfn.NUMBERVALUE(LEFT(Table11[[#This Row],[Score]],FIND("/",Table11[[#This Row],[Score]])-1))</f>
        <v>51</v>
      </c>
      <c r="O1824">
        <f>IFERROR(_xlfn.NUMBERVALUE(LEFT(Table11[[#This Row],[Score2 ]],FIND("/",Table11[[#This Row],[Score2 ]])-1)),"")</f>
        <v>94</v>
      </c>
      <c r="P1824" t="s">
        <v>185</v>
      </c>
      <c r="Q1824" s="1" t="s">
        <v>140</v>
      </c>
      <c r="R1824" t="str">
        <f>Table11[[#This Row],[Match]]&amp;" "&amp;Table11[[#This Row],[Over]]</f>
        <v>31 16</v>
      </c>
    </row>
    <row r="1825" spans="1:18" x14ac:dyDescent="0.3">
      <c r="A1825">
        <v>31</v>
      </c>
      <c r="B1825" s="1">
        <v>17</v>
      </c>
      <c r="C1825" s="1" t="s">
        <v>3916</v>
      </c>
      <c r="D1825" s="1" t="s">
        <v>898</v>
      </c>
      <c r="E1825" s="1" t="s">
        <v>1708</v>
      </c>
      <c r="F1825" s="1" t="s">
        <v>1238</v>
      </c>
      <c r="G1825" s="1" t="s">
        <v>2354</v>
      </c>
      <c r="H1825" s="1" t="s">
        <v>930</v>
      </c>
      <c r="I1825" s="1" t="s">
        <v>1019</v>
      </c>
      <c r="J1825" s="1" t="s">
        <v>931</v>
      </c>
      <c r="K1825" s="1" t="s">
        <v>1664</v>
      </c>
      <c r="L1825" s="1" t="s">
        <v>1791</v>
      </c>
      <c r="M1825" s="1" t="s">
        <v>1031</v>
      </c>
      <c r="N1825">
        <f>_xlfn.NUMBERVALUE(LEFT(Table11[[#This Row],[Score]],FIND("/",Table11[[#This Row],[Score]])-1))</f>
        <v>53</v>
      </c>
      <c r="O1825">
        <f>IFERROR(_xlfn.NUMBERVALUE(LEFT(Table11[[#This Row],[Score2 ]],FIND("/",Table11[[#This Row],[Score2 ]])-1)),"")</f>
        <v>102</v>
      </c>
      <c r="P1825" t="s">
        <v>185</v>
      </c>
      <c r="Q1825" s="1" t="s">
        <v>140</v>
      </c>
      <c r="R1825" t="str">
        <f>Table11[[#This Row],[Match]]&amp;" "&amp;Table11[[#This Row],[Over]]</f>
        <v>31 17</v>
      </c>
    </row>
    <row r="1826" spans="1:18" x14ac:dyDescent="0.3">
      <c r="A1826">
        <v>31</v>
      </c>
      <c r="B1826" s="1">
        <v>18</v>
      </c>
      <c r="C1826" s="1" t="s">
        <v>3917</v>
      </c>
      <c r="D1826" s="1" t="s">
        <v>998</v>
      </c>
      <c r="E1826" s="1" t="s">
        <v>1251</v>
      </c>
      <c r="F1826" s="1" t="s">
        <v>1383</v>
      </c>
      <c r="G1826" s="1" t="s">
        <v>3705</v>
      </c>
      <c r="H1826" s="1" t="s">
        <v>922</v>
      </c>
      <c r="I1826" s="1" t="s">
        <v>1019</v>
      </c>
      <c r="J1826" s="1" t="s">
        <v>976</v>
      </c>
      <c r="K1826" s="1" t="s">
        <v>3918</v>
      </c>
      <c r="L1826" s="1" t="s">
        <v>1833</v>
      </c>
      <c r="M1826" s="1" t="s">
        <v>1037</v>
      </c>
      <c r="N1826">
        <f>_xlfn.NUMBERVALUE(LEFT(Table11[[#This Row],[Score]],FIND("/",Table11[[#This Row],[Score]])-1))</f>
        <v>57</v>
      </c>
      <c r="O1826">
        <f>IFERROR(_xlfn.NUMBERVALUE(LEFT(Table11[[#This Row],[Score2 ]],FIND("/",Table11[[#This Row],[Score2 ]])-1)),"")</f>
        <v>108</v>
      </c>
      <c r="P1826" t="s">
        <v>185</v>
      </c>
      <c r="Q1826" s="1" t="s">
        <v>140</v>
      </c>
      <c r="R1826" t="str">
        <f>Table11[[#This Row],[Match]]&amp;" "&amp;Table11[[#This Row],[Over]]</f>
        <v>31 18</v>
      </c>
    </row>
    <row r="1827" spans="1:18" x14ac:dyDescent="0.3">
      <c r="A1827">
        <v>31</v>
      </c>
      <c r="B1827" s="1">
        <v>19</v>
      </c>
      <c r="C1827" s="1" t="s">
        <v>2881</v>
      </c>
      <c r="D1827" s="1" t="s">
        <v>898</v>
      </c>
      <c r="E1827" s="1" t="s">
        <v>1714</v>
      </c>
      <c r="F1827" s="1" t="s">
        <v>984</v>
      </c>
      <c r="G1827" s="1" t="s">
        <v>3852</v>
      </c>
      <c r="H1827" s="1" t="s">
        <v>904</v>
      </c>
      <c r="I1827" s="1" t="s">
        <v>2363</v>
      </c>
      <c r="J1827" s="1" t="s">
        <v>969</v>
      </c>
      <c r="K1827" s="1" t="s">
        <v>2545</v>
      </c>
      <c r="L1827" s="1" t="s">
        <v>1900</v>
      </c>
      <c r="M1827" s="1" t="s">
        <v>1043</v>
      </c>
      <c r="N1827">
        <f>_xlfn.NUMBERVALUE(LEFT(Table11[[#This Row],[Score]],FIND("/",Table11[[#This Row],[Score]])-1))</f>
        <v>59</v>
      </c>
      <c r="O1827">
        <f>IFERROR(_xlfn.NUMBERVALUE(LEFT(Table11[[#This Row],[Score2 ]],FIND("/",Table11[[#This Row],[Score2 ]])-1)),"")</f>
        <v>111</v>
      </c>
      <c r="P1827" t="s">
        <v>185</v>
      </c>
      <c r="Q1827" s="1" t="s">
        <v>140</v>
      </c>
      <c r="R1827" t="str">
        <f>Table11[[#This Row],[Match]]&amp;" "&amp;Table11[[#This Row],[Over]]</f>
        <v>31 19</v>
      </c>
    </row>
    <row r="1828" spans="1:18" x14ac:dyDescent="0.3">
      <c r="A1828">
        <v>31</v>
      </c>
      <c r="B1828" s="1">
        <v>20</v>
      </c>
      <c r="C1828" s="1" t="s">
        <v>3919</v>
      </c>
      <c r="D1828" s="1" t="s">
        <v>1007</v>
      </c>
      <c r="E1828" s="1" t="s">
        <v>1700</v>
      </c>
      <c r="F1828" s="1" t="s">
        <v>899</v>
      </c>
      <c r="G1828" s="1" t="s">
        <v>2769</v>
      </c>
      <c r="H1828" s="1" t="s">
        <v>950</v>
      </c>
      <c r="I1828" s="1" t="s">
        <v>1013</v>
      </c>
      <c r="J1828" s="1" t="s">
        <v>966</v>
      </c>
      <c r="K1828" s="1" t="s">
        <v>1926</v>
      </c>
      <c r="L1828" s="1" t="s">
        <v>1589</v>
      </c>
      <c r="M1828" s="1" t="s">
        <v>1049</v>
      </c>
      <c r="N1828">
        <f>_xlfn.NUMBERVALUE(LEFT(Table11[[#This Row],[Score]],FIND("/",Table11[[#This Row],[Score]])-1))</f>
        <v>59</v>
      </c>
      <c r="O1828">
        <f>IFERROR(_xlfn.NUMBERVALUE(LEFT(Table11[[#This Row],[Score2 ]],FIND("/",Table11[[#This Row],[Score2 ]])-1)),"")</f>
        <v>116</v>
      </c>
      <c r="P1828" t="s">
        <v>185</v>
      </c>
      <c r="Q1828" s="1" t="s">
        <v>140</v>
      </c>
      <c r="R1828" t="str">
        <f>Table11[[#This Row],[Match]]&amp;" "&amp;Table11[[#This Row],[Over]]</f>
        <v>31 20</v>
      </c>
    </row>
    <row r="1829" spans="1:18" x14ac:dyDescent="0.3">
      <c r="A1829">
        <v>31</v>
      </c>
      <c r="B1829" s="1">
        <v>21</v>
      </c>
      <c r="C1829" s="1" t="s">
        <v>3920</v>
      </c>
      <c r="D1829" s="1" t="s">
        <v>1095</v>
      </c>
      <c r="E1829" s="1" t="s">
        <v>1885</v>
      </c>
      <c r="F1829" s="1" t="s">
        <v>977</v>
      </c>
      <c r="G1829" s="1" t="s">
        <v>3207</v>
      </c>
      <c r="H1829" s="1" t="s">
        <v>950</v>
      </c>
      <c r="I1829" s="1" t="s">
        <v>1610</v>
      </c>
      <c r="J1829" s="1" t="s">
        <v>966</v>
      </c>
      <c r="K1829" s="1" t="s">
        <v>2611</v>
      </c>
      <c r="L1829" s="1" t="s">
        <v>1171</v>
      </c>
      <c r="M1829" s="1" t="s">
        <v>1056</v>
      </c>
      <c r="N1829">
        <f>_xlfn.NUMBERVALUE(LEFT(Table11[[#This Row],[Score]],FIND("/",Table11[[#This Row],[Score]])-1))</f>
        <v>69</v>
      </c>
      <c r="O1829">
        <f>IFERROR(_xlfn.NUMBERVALUE(LEFT(Table11[[#This Row],[Score2 ]],FIND("/",Table11[[#This Row],[Score2 ]])-1)),"")</f>
        <v>121</v>
      </c>
      <c r="P1829" t="s">
        <v>185</v>
      </c>
      <c r="Q1829" s="1" t="s">
        <v>140</v>
      </c>
      <c r="R1829" t="str">
        <f>Table11[[#This Row],[Match]]&amp;" "&amp;Table11[[#This Row],[Over]]</f>
        <v>31 21</v>
      </c>
    </row>
    <row r="1830" spans="1:18" x14ac:dyDescent="0.3">
      <c r="A1830">
        <v>31</v>
      </c>
      <c r="B1830" s="1">
        <v>22</v>
      </c>
      <c r="C1830" s="1" t="s">
        <v>3921</v>
      </c>
      <c r="D1830" s="1" t="s">
        <v>998</v>
      </c>
      <c r="E1830" s="1" t="s">
        <v>3086</v>
      </c>
      <c r="F1830" s="1" t="s">
        <v>939</v>
      </c>
      <c r="G1830" s="1" t="s">
        <v>2132</v>
      </c>
      <c r="H1830" s="1" t="s">
        <v>904</v>
      </c>
      <c r="I1830" s="1" t="s">
        <v>2133</v>
      </c>
      <c r="J1830" s="1" t="s">
        <v>940</v>
      </c>
      <c r="K1830" s="1" t="s">
        <v>1242</v>
      </c>
      <c r="L1830" s="1" t="s">
        <v>2426</v>
      </c>
      <c r="M1830" s="1" t="s">
        <v>1063</v>
      </c>
      <c r="N1830">
        <f>_xlfn.NUMBERVALUE(LEFT(Table11[[#This Row],[Score]],FIND("/",Table11[[#This Row],[Score]])-1))</f>
        <v>73</v>
      </c>
      <c r="O1830">
        <f>IFERROR(_xlfn.NUMBERVALUE(LEFT(Table11[[#This Row],[Score2 ]],FIND("/",Table11[[#This Row],[Score2 ]])-1)),"")</f>
        <v>124</v>
      </c>
      <c r="P1830" t="s">
        <v>185</v>
      </c>
      <c r="Q1830" s="1" t="s">
        <v>140</v>
      </c>
      <c r="R1830" t="str">
        <f>Table11[[#This Row],[Match]]&amp;" "&amp;Table11[[#This Row],[Over]]</f>
        <v>31 22</v>
      </c>
    </row>
    <row r="1831" spans="1:18" x14ac:dyDescent="0.3">
      <c r="A1831">
        <v>31</v>
      </c>
      <c r="B1831" s="1">
        <v>23</v>
      </c>
      <c r="C1831" s="1" t="s">
        <v>3922</v>
      </c>
      <c r="D1831" s="1" t="s">
        <v>950</v>
      </c>
      <c r="E1831" s="1" t="s">
        <v>3923</v>
      </c>
      <c r="F1831" s="1" t="s">
        <v>931</v>
      </c>
      <c r="G1831" s="1" t="s">
        <v>3877</v>
      </c>
      <c r="H1831" s="1" t="s">
        <v>904</v>
      </c>
      <c r="I1831" s="1" t="s">
        <v>1677</v>
      </c>
      <c r="J1831" s="1" t="s">
        <v>990</v>
      </c>
      <c r="K1831" s="1" t="s">
        <v>2506</v>
      </c>
      <c r="L1831" s="1" t="s">
        <v>1177</v>
      </c>
      <c r="M1831" s="1" t="s">
        <v>1070</v>
      </c>
      <c r="N1831">
        <f>_xlfn.NUMBERVALUE(LEFT(Table11[[#This Row],[Score]],FIND("/",Table11[[#This Row],[Score]])-1))</f>
        <v>78</v>
      </c>
      <c r="O1831">
        <f>IFERROR(_xlfn.NUMBERVALUE(LEFT(Table11[[#This Row],[Score2 ]],FIND("/",Table11[[#This Row],[Score2 ]])-1)),"")</f>
        <v>127</v>
      </c>
      <c r="P1831" t="s">
        <v>185</v>
      </c>
      <c r="Q1831" s="1" t="s">
        <v>140</v>
      </c>
      <c r="R1831" t="str">
        <f>Table11[[#This Row],[Match]]&amp;" "&amp;Table11[[#This Row],[Over]]</f>
        <v>31 23</v>
      </c>
    </row>
    <row r="1832" spans="1:18" x14ac:dyDescent="0.3">
      <c r="A1832">
        <v>31</v>
      </c>
      <c r="B1832" s="1">
        <v>24</v>
      </c>
      <c r="C1832" s="1" t="s">
        <v>3924</v>
      </c>
      <c r="D1832" s="1" t="s">
        <v>950</v>
      </c>
      <c r="E1832" s="1" t="s">
        <v>2609</v>
      </c>
      <c r="F1832" s="1" t="s">
        <v>1093</v>
      </c>
      <c r="G1832" s="1" t="s">
        <v>2891</v>
      </c>
      <c r="H1832" s="1" t="s">
        <v>968</v>
      </c>
      <c r="I1832" s="1" t="s">
        <v>2110</v>
      </c>
      <c r="J1832" s="1" t="s">
        <v>1247</v>
      </c>
      <c r="K1832" s="1" t="s">
        <v>3070</v>
      </c>
      <c r="L1832" s="1" t="s">
        <v>2554</v>
      </c>
      <c r="M1832" s="1" t="s">
        <v>1077</v>
      </c>
      <c r="N1832">
        <f>_xlfn.NUMBERVALUE(LEFT(Table11[[#This Row],[Score]],FIND("/",Table11[[#This Row],[Score]])-1))</f>
        <v>83</v>
      </c>
      <c r="O1832">
        <f>IFERROR(_xlfn.NUMBERVALUE(LEFT(Table11[[#This Row],[Score2 ]],FIND("/",Table11[[#This Row],[Score2 ]])-1)),"")</f>
        <v>128</v>
      </c>
      <c r="P1832" t="s">
        <v>185</v>
      </c>
      <c r="Q1832" s="1" t="s">
        <v>140</v>
      </c>
      <c r="R1832" t="str">
        <f>Table11[[#This Row],[Match]]&amp;" "&amp;Table11[[#This Row],[Over]]</f>
        <v>31 24</v>
      </c>
    </row>
    <row r="1833" spans="1:18" x14ac:dyDescent="0.3">
      <c r="A1833">
        <v>31</v>
      </c>
      <c r="B1833" s="1">
        <v>25</v>
      </c>
      <c r="C1833" s="1" t="s">
        <v>3925</v>
      </c>
      <c r="D1833" s="1" t="s">
        <v>1103</v>
      </c>
      <c r="E1833" s="1" t="s">
        <v>990</v>
      </c>
      <c r="F1833" s="1" t="s">
        <v>1116</v>
      </c>
      <c r="G1833" s="1" t="s">
        <v>3287</v>
      </c>
      <c r="H1833" s="1" t="s">
        <v>922</v>
      </c>
      <c r="I1833" s="1" t="s">
        <v>1652</v>
      </c>
      <c r="J1833" s="1" t="s">
        <v>977</v>
      </c>
      <c r="K1833" s="1" t="s">
        <v>3583</v>
      </c>
      <c r="L1833" s="1" t="s">
        <v>3926</v>
      </c>
      <c r="M1833" s="1" t="s">
        <v>1083</v>
      </c>
      <c r="N1833">
        <f>_xlfn.NUMBERVALUE(LEFT(Table11[[#This Row],[Score]],FIND("/",Table11[[#This Row],[Score]])-1))</f>
        <v>95</v>
      </c>
      <c r="O1833">
        <f>IFERROR(_xlfn.NUMBERVALUE(LEFT(Table11[[#This Row],[Score2 ]],FIND("/",Table11[[#This Row],[Score2 ]])-1)),"")</f>
        <v>134</v>
      </c>
      <c r="P1833" t="s">
        <v>185</v>
      </c>
      <c r="Q1833" s="1" t="s">
        <v>140</v>
      </c>
      <c r="R1833" t="str">
        <f>Table11[[#This Row],[Match]]&amp;" "&amp;Table11[[#This Row],[Over]]</f>
        <v>31 25</v>
      </c>
    </row>
    <row r="1834" spans="1:18" x14ac:dyDescent="0.3">
      <c r="A1834">
        <v>31</v>
      </c>
      <c r="B1834" s="1">
        <v>26</v>
      </c>
      <c r="C1834" s="1" t="s">
        <v>3925</v>
      </c>
      <c r="D1834" s="1" t="s">
        <v>1007</v>
      </c>
      <c r="E1834" s="1" t="s">
        <v>1897</v>
      </c>
      <c r="F1834" s="1" t="s">
        <v>1029</v>
      </c>
      <c r="G1834" s="1" t="s">
        <v>1338</v>
      </c>
      <c r="H1834" s="1" t="s">
        <v>998</v>
      </c>
      <c r="I1834" s="1" t="s">
        <v>1065</v>
      </c>
      <c r="J1834" s="1" t="s">
        <v>1247</v>
      </c>
      <c r="K1834" s="1" t="s">
        <v>1626</v>
      </c>
      <c r="L1834" s="1" t="s">
        <v>2313</v>
      </c>
      <c r="M1834" s="1" t="s">
        <v>1090</v>
      </c>
      <c r="N1834">
        <f>_xlfn.NUMBERVALUE(LEFT(Table11[[#This Row],[Score]],FIND("/",Table11[[#This Row],[Score]])-1))</f>
        <v>95</v>
      </c>
      <c r="O1834">
        <f>IFERROR(_xlfn.NUMBERVALUE(LEFT(Table11[[#This Row],[Score2 ]],FIND("/",Table11[[#This Row],[Score2 ]])-1)),"")</f>
        <v>138</v>
      </c>
      <c r="P1834" t="s">
        <v>185</v>
      </c>
      <c r="Q1834" s="1" t="s">
        <v>140</v>
      </c>
      <c r="R1834" t="str">
        <f>Table11[[#This Row],[Match]]&amp;" "&amp;Table11[[#This Row],[Over]]</f>
        <v>31 26</v>
      </c>
    </row>
    <row r="1835" spans="1:18" x14ac:dyDescent="0.3">
      <c r="A1835">
        <v>31</v>
      </c>
      <c r="B1835" s="1">
        <v>27</v>
      </c>
      <c r="C1835" s="1" t="s">
        <v>3522</v>
      </c>
      <c r="D1835" s="1" t="s">
        <v>898</v>
      </c>
      <c r="E1835" s="1" t="s">
        <v>1929</v>
      </c>
      <c r="F1835" s="1" t="s">
        <v>1093</v>
      </c>
      <c r="G1835" s="1" t="s">
        <v>3550</v>
      </c>
      <c r="H1835" s="1" t="s">
        <v>916</v>
      </c>
      <c r="I1835" s="1" t="s">
        <v>1104</v>
      </c>
      <c r="J1835" s="1" t="s">
        <v>931</v>
      </c>
      <c r="K1835" s="1" t="s">
        <v>3073</v>
      </c>
      <c r="L1835" s="1" t="s">
        <v>1197</v>
      </c>
      <c r="M1835" s="1" t="s">
        <v>1098</v>
      </c>
      <c r="N1835">
        <f>_xlfn.NUMBERVALUE(LEFT(Table11[[#This Row],[Score]],FIND("/",Table11[[#This Row],[Score]])-1))</f>
        <v>97</v>
      </c>
      <c r="O1835">
        <f>IFERROR(_xlfn.NUMBERVALUE(LEFT(Table11[[#This Row],[Score2 ]],FIND("/",Table11[[#This Row],[Score2 ]])-1)),"")</f>
        <v>145</v>
      </c>
      <c r="P1835" t="s">
        <v>185</v>
      </c>
      <c r="Q1835" s="1" t="s">
        <v>140</v>
      </c>
      <c r="R1835" t="str">
        <f>Table11[[#This Row],[Match]]&amp;" "&amp;Table11[[#This Row],[Over]]</f>
        <v>31 27</v>
      </c>
    </row>
    <row r="1836" spans="1:18" x14ac:dyDescent="0.3">
      <c r="A1836">
        <v>31</v>
      </c>
      <c r="B1836" s="1">
        <v>28</v>
      </c>
      <c r="C1836" s="1" t="s">
        <v>3927</v>
      </c>
      <c r="D1836" s="1" t="s">
        <v>968</v>
      </c>
      <c r="E1836" s="1" t="s">
        <v>925</v>
      </c>
      <c r="F1836" s="1" t="s">
        <v>939</v>
      </c>
      <c r="G1836" s="1" t="s">
        <v>2035</v>
      </c>
      <c r="H1836" s="1" t="s">
        <v>898</v>
      </c>
      <c r="I1836" s="1" t="s">
        <v>1722</v>
      </c>
      <c r="J1836" s="1" t="s">
        <v>939</v>
      </c>
      <c r="K1836" s="1" t="s">
        <v>3928</v>
      </c>
      <c r="L1836" s="1" t="s">
        <v>3929</v>
      </c>
      <c r="M1836" s="1" t="s">
        <v>1101</v>
      </c>
      <c r="N1836">
        <f>_xlfn.NUMBERVALUE(LEFT(Table11[[#This Row],[Score]],FIND("/",Table11[[#This Row],[Score]])-1))</f>
        <v>98</v>
      </c>
      <c r="O1836">
        <f>IFERROR(_xlfn.NUMBERVALUE(LEFT(Table11[[#This Row],[Score2 ]],FIND("/",Table11[[#This Row],[Score2 ]])-1)),"")</f>
        <v>147</v>
      </c>
      <c r="P1836" t="s">
        <v>185</v>
      </c>
      <c r="Q1836" s="1" t="s">
        <v>140</v>
      </c>
      <c r="R1836" t="str">
        <f>Table11[[#This Row],[Match]]&amp;" "&amp;Table11[[#This Row],[Over]]</f>
        <v>31 28</v>
      </c>
    </row>
    <row r="1837" spans="1:18" x14ac:dyDescent="0.3">
      <c r="A1837">
        <v>31</v>
      </c>
      <c r="B1837" s="1">
        <v>29</v>
      </c>
      <c r="C1837" s="1" t="s">
        <v>2828</v>
      </c>
      <c r="D1837" s="1" t="s">
        <v>916</v>
      </c>
      <c r="E1837" s="1" t="s">
        <v>1258</v>
      </c>
      <c r="F1837" s="1" t="s">
        <v>940</v>
      </c>
      <c r="G1837" s="1" t="s">
        <v>2042</v>
      </c>
      <c r="H1837" s="1" t="s">
        <v>930</v>
      </c>
      <c r="I1837" s="1" t="s">
        <v>2685</v>
      </c>
      <c r="J1837" s="1" t="s">
        <v>966</v>
      </c>
      <c r="K1837" s="1" t="s">
        <v>3930</v>
      </c>
      <c r="L1837" s="1" t="s">
        <v>1608</v>
      </c>
      <c r="M1837" s="1" t="s">
        <v>1108</v>
      </c>
      <c r="N1837">
        <f>_xlfn.NUMBERVALUE(LEFT(Table11[[#This Row],[Score]],FIND("/",Table11[[#This Row],[Score]])-1))</f>
        <v>105</v>
      </c>
      <c r="O1837">
        <f>IFERROR(_xlfn.NUMBERVALUE(LEFT(Table11[[#This Row],[Score2 ]],FIND("/",Table11[[#This Row],[Score2 ]])-1)),"")</f>
        <v>155</v>
      </c>
      <c r="P1837" t="s">
        <v>185</v>
      </c>
      <c r="Q1837" s="1" t="s">
        <v>140</v>
      </c>
      <c r="R1837" t="str">
        <f>Table11[[#This Row],[Match]]&amp;" "&amp;Table11[[#This Row],[Over]]</f>
        <v>31 29</v>
      </c>
    </row>
    <row r="1838" spans="1:18" x14ac:dyDescent="0.3">
      <c r="A1838">
        <v>31</v>
      </c>
      <c r="B1838" s="1">
        <v>30</v>
      </c>
      <c r="C1838" s="1" t="s">
        <v>3931</v>
      </c>
      <c r="D1838" s="1" t="s">
        <v>904</v>
      </c>
      <c r="E1838" s="1" t="s">
        <v>977</v>
      </c>
      <c r="F1838" s="1" t="s">
        <v>984</v>
      </c>
      <c r="G1838" s="1" t="s">
        <v>3490</v>
      </c>
      <c r="H1838" s="1" t="s">
        <v>998</v>
      </c>
      <c r="I1838" s="1" t="s">
        <v>1065</v>
      </c>
      <c r="J1838" s="1" t="s">
        <v>969</v>
      </c>
      <c r="K1838" s="1" t="s">
        <v>1432</v>
      </c>
      <c r="L1838" s="1" t="s">
        <v>1709</v>
      </c>
      <c r="M1838" s="1" t="s">
        <v>1113</v>
      </c>
      <c r="N1838">
        <f>_xlfn.NUMBERVALUE(LEFT(Table11[[#This Row],[Score]],FIND("/",Table11[[#This Row],[Score]])-1))</f>
        <v>108</v>
      </c>
      <c r="O1838">
        <f>IFERROR(_xlfn.NUMBERVALUE(LEFT(Table11[[#This Row],[Score2 ]],FIND("/",Table11[[#This Row],[Score2 ]])-1)),"")</f>
        <v>159</v>
      </c>
      <c r="P1838" t="s">
        <v>185</v>
      </c>
      <c r="Q1838" s="1" t="s">
        <v>140</v>
      </c>
      <c r="R1838" t="str">
        <f>Table11[[#This Row],[Match]]&amp;" "&amp;Table11[[#This Row],[Over]]</f>
        <v>31 30</v>
      </c>
    </row>
    <row r="1839" spans="1:18" x14ac:dyDescent="0.3">
      <c r="A1839">
        <v>31</v>
      </c>
      <c r="B1839" s="1">
        <v>31</v>
      </c>
      <c r="C1839" s="1" t="s">
        <v>3932</v>
      </c>
      <c r="D1839" s="1" t="s">
        <v>998</v>
      </c>
      <c r="E1839" s="1" t="s">
        <v>3084</v>
      </c>
      <c r="F1839" s="1" t="s">
        <v>1247</v>
      </c>
      <c r="G1839" s="1" t="s">
        <v>2844</v>
      </c>
      <c r="H1839" s="1" t="s">
        <v>998</v>
      </c>
      <c r="I1839" s="1" t="s">
        <v>1722</v>
      </c>
      <c r="J1839" s="1" t="s">
        <v>969</v>
      </c>
      <c r="K1839" s="1" t="s">
        <v>1942</v>
      </c>
      <c r="L1839" s="1" t="s">
        <v>1216</v>
      </c>
      <c r="M1839" s="1" t="s">
        <v>1121</v>
      </c>
      <c r="N1839">
        <f>_xlfn.NUMBERVALUE(LEFT(Table11[[#This Row],[Score]],FIND("/",Table11[[#This Row],[Score]])-1))</f>
        <v>112</v>
      </c>
      <c r="O1839">
        <f>IFERROR(_xlfn.NUMBERVALUE(LEFT(Table11[[#This Row],[Score2 ]],FIND("/",Table11[[#This Row],[Score2 ]])-1)),"")</f>
        <v>163</v>
      </c>
      <c r="P1839" t="s">
        <v>185</v>
      </c>
      <c r="Q1839" s="1" t="s">
        <v>140</v>
      </c>
      <c r="R1839" t="str">
        <f>Table11[[#This Row],[Match]]&amp;" "&amp;Table11[[#This Row],[Over]]</f>
        <v>31 31</v>
      </c>
    </row>
    <row r="1840" spans="1:18" x14ac:dyDescent="0.3">
      <c r="A1840">
        <v>31</v>
      </c>
      <c r="B1840" s="1">
        <v>32</v>
      </c>
      <c r="C1840" s="1" t="s">
        <v>2266</v>
      </c>
      <c r="D1840" s="1" t="s">
        <v>968</v>
      </c>
      <c r="E1840" s="1" t="s">
        <v>2482</v>
      </c>
      <c r="F1840" s="1" t="s">
        <v>1259</v>
      </c>
      <c r="G1840" s="1" t="s">
        <v>1820</v>
      </c>
      <c r="H1840" s="1" t="s">
        <v>950</v>
      </c>
      <c r="I1840" s="1" t="s">
        <v>1722</v>
      </c>
      <c r="J1840" s="1" t="s">
        <v>976</v>
      </c>
      <c r="K1840" s="1" t="s">
        <v>3933</v>
      </c>
      <c r="L1840" s="1" t="s">
        <v>1684</v>
      </c>
      <c r="M1840" s="1" t="s">
        <v>1127</v>
      </c>
      <c r="N1840">
        <f>_xlfn.NUMBERVALUE(LEFT(Table11[[#This Row],[Score]],FIND("/",Table11[[#This Row],[Score]])-1))</f>
        <v>113</v>
      </c>
      <c r="O1840">
        <f>IFERROR(_xlfn.NUMBERVALUE(LEFT(Table11[[#This Row],[Score2 ]],FIND("/",Table11[[#This Row],[Score2 ]])-1)),"")</f>
        <v>168</v>
      </c>
      <c r="P1840" t="s">
        <v>185</v>
      </c>
      <c r="Q1840" s="1" t="s">
        <v>140</v>
      </c>
      <c r="R1840" t="str">
        <f>Table11[[#This Row],[Match]]&amp;" "&amp;Table11[[#This Row],[Over]]</f>
        <v>31 32</v>
      </c>
    </row>
    <row r="1841" spans="1:18" x14ac:dyDescent="0.3">
      <c r="A1841">
        <v>31</v>
      </c>
      <c r="B1841" s="1">
        <v>33</v>
      </c>
      <c r="C1841" s="1" t="s">
        <v>2588</v>
      </c>
      <c r="D1841" s="1" t="s">
        <v>950</v>
      </c>
      <c r="E1841" s="1" t="s">
        <v>1887</v>
      </c>
      <c r="F1841" s="1" t="s">
        <v>939</v>
      </c>
      <c r="G1841" s="1" t="s">
        <v>3934</v>
      </c>
      <c r="H1841" s="1" t="s">
        <v>922</v>
      </c>
      <c r="I1841" s="1" t="s">
        <v>1593</v>
      </c>
      <c r="J1841" s="1" t="s">
        <v>966</v>
      </c>
      <c r="K1841" s="1" t="s">
        <v>3935</v>
      </c>
      <c r="L1841" s="1" t="s">
        <v>1390</v>
      </c>
      <c r="M1841" s="1" t="s">
        <v>1132</v>
      </c>
      <c r="N1841">
        <f>_xlfn.NUMBERVALUE(LEFT(Table11[[#This Row],[Score]],FIND("/",Table11[[#This Row],[Score]])-1))</f>
        <v>118</v>
      </c>
      <c r="O1841">
        <f>IFERROR(_xlfn.NUMBERVALUE(LEFT(Table11[[#This Row],[Score2 ]],FIND("/",Table11[[#This Row],[Score2 ]])-1)),"")</f>
        <v>174</v>
      </c>
      <c r="P1841" t="s">
        <v>185</v>
      </c>
      <c r="Q1841" s="1" t="s">
        <v>140</v>
      </c>
      <c r="R1841" t="str">
        <f>Table11[[#This Row],[Match]]&amp;" "&amp;Table11[[#This Row],[Over]]</f>
        <v>31 33</v>
      </c>
    </row>
    <row r="1842" spans="1:18" x14ac:dyDescent="0.3">
      <c r="A1842">
        <v>31</v>
      </c>
      <c r="B1842" s="1">
        <v>34</v>
      </c>
      <c r="C1842" s="1" t="s">
        <v>3783</v>
      </c>
      <c r="D1842" s="1" t="s">
        <v>898</v>
      </c>
      <c r="E1842" s="1" t="s">
        <v>1874</v>
      </c>
      <c r="F1842" s="1" t="s">
        <v>1238</v>
      </c>
      <c r="G1842" s="1" t="s">
        <v>2659</v>
      </c>
      <c r="H1842" s="1" t="s">
        <v>968</v>
      </c>
      <c r="I1842" s="1" t="s">
        <v>1092</v>
      </c>
      <c r="J1842" s="1" t="s">
        <v>939</v>
      </c>
      <c r="K1842" s="1" t="s">
        <v>2578</v>
      </c>
      <c r="L1842" s="1" t="s">
        <v>1103</v>
      </c>
      <c r="M1842" s="1" t="s">
        <v>1138</v>
      </c>
      <c r="N1842">
        <f>_xlfn.NUMBERVALUE(LEFT(Table11[[#This Row],[Score]],FIND("/",Table11[[#This Row],[Score]])-1))</f>
        <v>120</v>
      </c>
      <c r="O1842">
        <f>IFERROR(_xlfn.NUMBERVALUE(LEFT(Table11[[#This Row],[Score2 ]],FIND("/",Table11[[#This Row],[Score2 ]])-1)),"")</f>
        <v>175</v>
      </c>
      <c r="P1842" t="s">
        <v>185</v>
      </c>
      <c r="Q1842" s="1" t="s">
        <v>140</v>
      </c>
      <c r="R1842" t="str">
        <f>Table11[[#This Row],[Match]]&amp;" "&amp;Table11[[#This Row],[Over]]</f>
        <v>31 34</v>
      </c>
    </row>
    <row r="1843" spans="1:18" x14ac:dyDescent="0.3">
      <c r="A1843">
        <v>31</v>
      </c>
      <c r="B1843" s="1">
        <v>35</v>
      </c>
      <c r="C1843" s="1" t="s">
        <v>3786</v>
      </c>
      <c r="D1843" s="1" t="s">
        <v>968</v>
      </c>
      <c r="E1843" s="1" t="s">
        <v>2609</v>
      </c>
      <c r="F1843" s="1" t="s">
        <v>984</v>
      </c>
      <c r="G1843" s="1" t="s">
        <v>3260</v>
      </c>
      <c r="H1843" s="1" t="s">
        <v>998</v>
      </c>
      <c r="I1843" s="1" t="s">
        <v>1643</v>
      </c>
      <c r="J1843" s="1" t="s">
        <v>939</v>
      </c>
      <c r="K1843" s="1" t="s">
        <v>3936</v>
      </c>
      <c r="L1843" s="1" t="s">
        <v>930</v>
      </c>
      <c r="M1843" s="1" t="s">
        <v>1143</v>
      </c>
      <c r="N1843">
        <f>_xlfn.NUMBERVALUE(LEFT(Table11[[#This Row],[Score]],FIND("/",Table11[[#This Row],[Score]])-1))</f>
        <v>121</v>
      </c>
      <c r="O1843">
        <f>IFERROR(_xlfn.NUMBERVALUE(LEFT(Table11[[#This Row],[Score2 ]],FIND("/",Table11[[#This Row],[Score2 ]])-1)),"")</f>
        <v>179</v>
      </c>
      <c r="P1843" t="s">
        <v>185</v>
      </c>
      <c r="Q1843" s="1" t="s">
        <v>140</v>
      </c>
      <c r="R1843" t="str">
        <f>Table11[[#This Row],[Match]]&amp;" "&amp;Table11[[#This Row],[Over]]</f>
        <v>31 35</v>
      </c>
    </row>
    <row r="1844" spans="1:18" x14ac:dyDescent="0.3">
      <c r="A1844">
        <v>31</v>
      </c>
      <c r="B1844" s="1">
        <v>36</v>
      </c>
      <c r="C1844" s="1" t="s">
        <v>3853</v>
      </c>
      <c r="D1844" s="1" t="s">
        <v>916</v>
      </c>
      <c r="E1844" s="1" t="s">
        <v>1263</v>
      </c>
      <c r="F1844" s="1" t="s">
        <v>1259</v>
      </c>
      <c r="G1844" s="1" t="s">
        <v>1569</v>
      </c>
      <c r="H1844" s="1" t="s">
        <v>950</v>
      </c>
      <c r="I1844" s="1" t="s">
        <v>1643</v>
      </c>
      <c r="J1844" s="1" t="s">
        <v>931</v>
      </c>
      <c r="K1844" s="1" t="s">
        <v>3937</v>
      </c>
      <c r="L1844" s="1" t="s">
        <v>904</v>
      </c>
      <c r="M1844" s="1" t="s">
        <v>1150</v>
      </c>
      <c r="N1844">
        <f>_xlfn.NUMBERVALUE(LEFT(Table11[[#This Row],[Score]],FIND("/",Table11[[#This Row],[Score]])-1))</f>
        <v>128</v>
      </c>
      <c r="O1844">
        <f>IFERROR(_xlfn.NUMBERVALUE(LEFT(Table11[[#This Row],[Score2 ]],FIND("/",Table11[[#This Row],[Score2 ]])-1)),"")</f>
        <v>184</v>
      </c>
      <c r="P1844" t="s">
        <v>185</v>
      </c>
      <c r="Q1844" s="1" t="s">
        <v>140</v>
      </c>
      <c r="R1844" t="str">
        <f>Table11[[#This Row],[Match]]&amp;" "&amp;Table11[[#This Row],[Over]]</f>
        <v>31 36</v>
      </c>
    </row>
    <row r="1845" spans="1:18" x14ac:dyDescent="0.3">
      <c r="A1845">
        <v>31</v>
      </c>
      <c r="B1845" s="1">
        <v>37</v>
      </c>
      <c r="C1845" s="1" t="s">
        <v>3352</v>
      </c>
      <c r="D1845" s="1" t="s">
        <v>922</v>
      </c>
      <c r="E1845" s="1" t="s">
        <v>1258</v>
      </c>
      <c r="F1845" s="1" t="s">
        <v>931</v>
      </c>
      <c r="G1845" s="1" t="s">
        <v>3555</v>
      </c>
      <c r="H1845" s="1" t="s">
        <v>1688</v>
      </c>
      <c r="I1845" s="1" t="s">
        <v>3938</v>
      </c>
      <c r="J1845" s="1" t="s">
        <v>3939</v>
      </c>
      <c r="K1845" s="1" t="s">
        <v>1622</v>
      </c>
      <c r="L1845" s="1" t="s">
        <v>1007</v>
      </c>
      <c r="M1845" s="1" t="s">
        <v>3557</v>
      </c>
      <c r="N1845">
        <f>_xlfn.NUMBERVALUE(LEFT(Table11[[#This Row],[Score]],FIND("/",Table11[[#This Row],[Score]])-1))</f>
        <v>134</v>
      </c>
      <c r="O1845">
        <f>IFERROR(_xlfn.NUMBERVALUE(LEFT(Table11[[#This Row],[Score2 ]],FIND("/",Table11[[#This Row],[Score2 ]])-1)),"")</f>
        <v>188</v>
      </c>
      <c r="P1845" t="s">
        <v>185</v>
      </c>
      <c r="Q1845" s="1" t="s">
        <v>140</v>
      </c>
      <c r="R1845" t="str">
        <f>Table11[[#This Row],[Match]]&amp;" "&amp;Table11[[#This Row],[Over]]</f>
        <v>31 37</v>
      </c>
    </row>
    <row r="1846" spans="1:18" x14ac:dyDescent="0.3">
      <c r="A1846">
        <v>31</v>
      </c>
      <c r="B1846" s="1">
        <v>38</v>
      </c>
      <c r="C1846" s="1" t="s">
        <v>2956</v>
      </c>
      <c r="D1846" s="1" t="s">
        <v>1095</v>
      </c>
      <c r="E1846" s="1" t="s">
        <v>2782</v>
      </c>
      <c r="F1846" s="1" t="s">
        <v>1029</v>
      </c>
      <c r="N1846">
        <f>_xlfn.NUMBERVALUE(LEFT(Table11[[#This Row],[Score]],FIND("/",Table11[[#This Row],[Score]])-1))</f>
        <v>144</v>
      </c>
      <c r="O1846" t="str">
        <f>IFERROR(_xlfn.NUMBERVALUE(LEFT(Table11[[#This Row],[Score2 ]],FIND("/",Table11[[#This Row],[Score2 ]])-1)),"")</f>
        <v/>
      </c>
      <c r="P1846" t="s">
        <v>185</v>
      </c>
      <c r="Q1846" s="1" t="s">
        <v>140</v>
      </c>
      <c r="R1846" t="str">
        <f>Table11[[#This Row],[Match]]&amp;" "&amp;Table11[[#This Row],[Over]]</f>
        <v>31 38</v>
      </c>
    </row>
    <row r="1847" spans="1:18" x14ac:dyDescent="0.3">
      <c r="A1847">
        <v>31</v>
      </c>
      <c r="B1847" s="1">
        <v>39</v>
      </c>
      <c r="C1847" s="1" t="s">
        <v>3940</v>
      </c>
      <c r="D1847" s="1" t="s">
        <v>904</v>
      </c>
      <c r="E1847" s="1" t="s">
        <v>1282</v>
      </c>
      <c r="F1847" s="1" t="s">
        <v>966</v>
      </c>
      <c r="N1847">
        <f>_xlfn.NUMBERVALUE(LEFT(Table11[[#This Row],[Score]],FIND("/",Table11[[#This Row],[Score]])-1))</f>
        <v>147</v>
      </c>
      <c r="O1847" t="str">
        <f>IFERROR(_xlfn.NUMBERVALUE(LEFT(Table11[[#This Row],[Score2 ]],FIND("/",Table11[[#This Row],[Score2 ]])-1)),"")</f>
        <v/>
      </c>
      <c r="P1847" t="s">
        <v>185</v>
      </c>
      <c r="Q1847" s="1" t="s">
        <v>140</v>
      </c>
      <c r="R1847" t="str">
        <f>Table11[[#This Row],[Match]]&amp;" "&amp;Table11[[#This Row],[Over]]</f>
        <v>31 39</v>
      </c>
    </row>
    <row r="1848" spans="1:18" x14ac:dyDescent="0.3">
      <c r="A1848">
        <v>31</v>
      </c>
      <c r="B1848" s="1">
        <v>40</v>
      </c>
      <c r="C1848" s="1" t="s">
        <v>2960</v>
      </c>
      <c r="D1848" s="1" t="s">
        <v>904</v>
      </c>
      <c r="E1848" s="1" t="s">
        <v>1276</v>
      </c>
      <c r="F1848" s="1" t="s">
        <v>1013</v>
      </c>
      <c r="N1848">
        <f>_xlfn.NUMBERVALUE(LEFT(Table11[[#This Row],[Score]],FIND("/",Table11[[#This Row],[Score]])-1))</f>
        <v>150</v>
      </c>
      <c r="O1848" t="str">
        <f>IFERROR(_xlfn.NUMBERVALUE(LEFT(Table11[[#This Row],[Score2 ]],FIND("/",Table11[[#This Row],[Score2 ]])-1)),"")</f>
        <v/>
      </c>
      <c r="P1848" t="s">
        <v>185</v>
      </c>
      <c r="Q1848" s="1" t="s">
        <v>140</v>
      </c>
      <c r="R1848" t="str">
        <f>Table11[[#This Row],[Match]]&amp;" "&amp;Table11[[#This Row],[Over]]</f>
        <v>31 40</v>
      </c>
    </row>
    <row r="1849" spans="1:18" x14ac:dyDescent="0.3">
      <c r="A1849">
        <v>31</v>
      </c>
      <c r="B1849" s="1">
        <v>41</v>
      </c>
      <c r="C1849" s="1" t="s">
        <v>3941</v>
      </c>
      <c r="D1849" s="1" t="s">
        <v>968</v>
      </c>
      <c r="E1849" s="1" t="s">
        <v>1861</v>
      </c>
      <c r="F1849" s="1" t="s">
        <v>976</v>
      </c>
      <c r="N1849">
        <f>_xlfn.NUMBERVALUE(LEFT(Table11[[#This Row],[Score]],FIND("/",Table11[[#This Row],[Score]])-1))</f>
        <v>151</v>
      </c>
      <c r="O1849" t="str">
        <f>IFERROR(_xlfn.NUMBERVALUE(LEFT(Table11[[#This Row],[Score2 ]],FIND("/",Table11[[#This Row],[Score2 ]])-1)),"")</f>
        <v/>
      </c>
      <c r="P1849" t="s">
        <v>185</v>
      </c>
      <c r="Q1849" s="1" t="s">
        <v>140</v>
      </c>
      <c r="R1849" t="str">
        <f>Table11[[#This Row],[Match]]&amp;" "&amp;Table11[[#This Row],[Over]]</f>
        <v>31 41</v>
      </c>
    </row>
    <row r="1850" spans="1:18" x14ac:dyDescent="0.3">
      <c r="A1850">
        <v>31</v>
      </c>
      <c r="B1850" s="1">
        <v>42</v>
      </c>
      <c r="C1850" s="1" t="s">
        <v>1953</v>
      </c>
      <c r="D1850" s="1" t="s">
        <v>1007</v>
      </c>
      <c r="E1850" s="1" t="s">
        <v>1929</v>
      </c>
      <c r="F1850" s="1" t="s">
        <v>1247</v>
      </c>
      <c r="N1850">
        <f>_xlfn.NUMBERVALUE(LEFT(Table11[[#This Row],[Score]],FIND("/",Table11[[#This Row],[Score]])-1))</f>
        <v>151</v>
      </c>
      <c r="O1850" t="str">
        <f>IFERROR(_xlfn.NUMBERVALUE(LEFT(Table11[[#This Row],[Score2 ]],FIND("/",Table11[[#This Row],[Score2 ]])-1)),"")</f>
        <v/>
      </c>
      <c r="P1850" t="s">
        <v>185</v>
      </c>
      <c r="Q1850" s="1" t="s">
        <v>140</v>
      </c>
      <c r="R1850" t="str">
        <f>Table11[[#This Row],[Match]]&amp;" "&amp;Table11[[#This Row],[Over]]</f>
        <v>31 42</v>
      </c>
    </row>
    <row r="1851" spans="1:18" x14ac:dyDescent="0.3">
      <c r="A1851">
        <v>31</v>
      </c>
      <c r="B1851" s="1">
        <v>43</v>
      </c>
      <c r="C1851" s="1" t="s">
        <v>3942</v>
      </c>
      <c r="D1851" s="1" t="s">
        <v>968</v>
      </c>
      <c r="E1851" s="1" t="s">
        <v>2482</v>
      </c>
      <c r="F1851" s="1" t="s">
        <v>1770</v>
      </c>
      <c r="N1851">
        <f>_xlfn.NUMBERVALUE(LEFT(Table11[[#This Row],[Score]],FIND("/",Table11[[#This Row],[Score]])-1))</f>
        <v>152</v>
      </c>
      <c r="O1851" t="str">
        <f>IFERROR(_xlfn.NUMBERVALUE(LEFT(Table11[[#This Row],[Score2 ]],FIND("/",Table11[[#This Row],[Score2 ]])-1)),"")</f>
        <v/>
      </c>
      <c r="P1851" t="s">
        <v>185</v>
      </c>
      <c r="Q1851" s="1" t="s">
        <v>140</v>
      </c>
      <c r="R1851" t="str">
        <f>Table11[[#This Row],[Match]]&amp;" "&amp;Table11[[#This Row],[Over]]</f>
        <v>31 43</v>
      </c>
    </row>
    <row r="1852" spans="1:18" x14ac:dyDescent="0.3">
      <c r="A1852">
        <v>31</v>
      </c>
      <c r="B1852" s="1">
        <v>44</v>
      </c>
      <c r="C1852" s="1" t="s">
        <v>3943</v>
      </c>
      <c r="D1852" s="1" t="s">
        <v>916</v>
      </c>
      <c r="E1852" s="1" t="s">
        <v>3084</v>
      </c>
      <c r="F1852" s="1" t="s">
        <v>1088</v>
      </c>
      <c r="N1852">
        <f>_xlfn.NUMBERVALUE(LEFT(Table11[[#This Row],[Score]],FIND("/",Table11[[#This Row],[Score]])-1))</f>
        <v>159</v>
      </c>
      <c r="O1852" t="str">
        <f>IFERROR(_xlfn.NUMBERVALUE(LEFT(Table11[[#This Row],[Score2 ]],FIND("/",Table11[[#This Row],[Score2 ]])-1)),"")</f>
        <v/>
      </c>
      <c r="P1852" t="s">
        <v>185</v>
      </c>
      <c r="Q1852" s="1" t="s">
        <v>140</v>
      </c>
      <c r="R1852" t="str">
        <f>Table11[[#This Row],[Match]]&amp;" "&amp;Table11[[#This Row],[Over]]</f>
        <v>31 44</v>
      </c>
    </row>
    <row r="1853" spans="1:18" x14ac:dyDescent="0.3">
      <c r="A1853">
        <v>31</v>
      </c>
      <c r="B1853" s="1">
        <v>45</v>
      </c>
      <c r="C1853" s="1" t="s">
        <v>3944</v>
      </c>
      <c r="D1853" s="1" t="s">
        <v>916</v>
      </c>
      <c r="E1853" s="1" t="s">
        <v>1861</v>
      </c>
      <c r="F1853" s="1" t="s">
        <v>1259</v>
      </c>
      <c r="N1853">
        <f>_xlfn.NUMBERVALUE(LEFT(Table11[[#This Row],[Score]],FIND("/",Table11[[#This Row],[Score]])-1))</f>
        <v>166</v>
      </c>
      <c r="O1853" t="str">
        <f>IFERROR(_xlfn.NUMBERVALUE(LEFT(Table11[[#This Row],[Score2 ]],FIND("/",Table11[[#This Row],[Score2 ]])-1)),"")</f>
        <v/>
      </c>
      <c r="P1853" t="s">
        <v>185</v>
      </c>
      <c r="Q1853" s="1" t="s">
        <v>140</v>
      </c>
      <c r="R1853" t="str">
        <f>Table11[[#This Row],[Match]]&amp;" "&amp;Table11[[#This Row],[Over]]</f>
        <v>31 45</v>
      </c>
    </row>
    <row r="1854" spans="1:18" x14ac:dyDescent="0.3">
      <c r="A1854">
        <v>31</v>
      </c>
      <c r="B1854" s="1">
        <v>46</v>
      </c>
      <c r="C1854" s="1" t="s">
        <v>1392</v>
      </c>
      <c r="D1854" s="1" t="s">
        <v>947</v>
      </c>
      <c r="E1854" s="1" t="s">
        <v>990</v>
      </c>
      <c r="F1854" s="1" t="s">
        <v>1093</v>
      </c>
      <c r="N1854">
        <f>_xlfn.NUMBERVALUE(LEFT(Table11[[#This Row],[Score]],FIND("/",Table11[[#This Row],[Score]])-1))</f>
        <v>175</v>
      </c>
      <c r="O1854" t="str">
        <f>IFERROR(_xlfn.NUMBERVALUE(LEFT(Table11[[#This Row],[Score2 ]],FIND("/",Table11[[#This Row],[Score2 ]])-1)),"")</f>
        <v/>
      </c>
      <c r="P1854" t="s">
        <v>185</v>
      </c>
      <c r="Q1854" s="1" t="s">
        <v>140</v>
      </c>
      <c r="R1854" t="str">
        <f>Table11[[#This Row],[Match]]&amp;" "&amp;Table11[[#This Row],[Over]]</f>
        <v>31 46</v>
      </c>
    </row>
    <row r="1855" spans="1:18" x14ac:dyDescent="0.3">
      <c r="A1855">
        <v>31</v>
      </c>
      <c r="B1855" s="1">
        <v>47</v>
      </c>
      <c r="C1855" s="1" t="s">
        <v>3945</v>
      </c>
      <c r="D1855" s="1" t="s">
        <v>922</v>
      </c>
      <c r="E1855" s="1" t="s">
        <v>1518</v>
      </c>
      <c r="F1855" s="1" t="s">
        <v>1019</v>
      </c>
      <c r="N1855">
        <f>_xlfn.NUMBERVALUE(LEFT(Table11[[#This Row],[Score]],FIND("/",Table11[[#This Row],[Score]])-1))</f>
        <v>181</v>
      </c>
      <c r="O1855" t="str">
        <f>IFERROR(_xlfn.NUMBERVALUE(LEFT(Table11[[#This Row],[Score2 ]],FIND("/",Table11[[#This Row],[Score2 ]])-1)),"")</f>
        <v/>
      </c>
      <c r="P1855" t="s">
        <v>185</v>
      </c>
      <c r="Q1855" s="1" t="s">
        <v>140</v>
      </c>
      <c r="R1855" t="str">
        <f>Table11[[#This Row],[Match]]&amp;" "&amp;Table11[[#This Row],[Over]]</f>
        <v>31 47</v>
      </c>
    </row>
    <row r="1856" spans="1:18" x14ac:dyDescent="0.3">
      <c r="A1856">
        <v>31</v>
      </c>
      <c r="B1856" s="1">
        <v>48</v>
      </c>
      <c r="C1856" s="1" t="s">
        <v>3946</v>
      </c>
      <c r="D1856" s="1" t="s">
        <v>2920</v>
      </c>
      <c r="E1856" s="1" t="s">
        <v>2595</v>
      </c>
      <c r="F1856" s="1" t="s">
        <v>3947</v>
      </c>
      <c r="N1856">
        <f>_xlfn.NUMBERVALUE(LEFT(Table11[[#This Row],[Score]],FIND("/",Table11[[#This Row],[Score]])-1))</f>
        <v>186</v>
      </c>
      <c r="O1856" t="str">
        <f>IFERROR(_xlfn.NUMBERVALUE(LEFT(Table11[[#This Row],[Score2 ]],FIND("/",Table11[[#This Row],[Score2 ]])-1)),"")</f>
        <v/>
      </c>
      <c r="P1856" t="s">
        <v>185</v>
      </c>
      <c r="Q1856" s="1" t="s">
        <v>140</v>
      </c>
      <c r="R1856" t="str">
        <f>Table11[[#This Row],[Match]]&amp;" "&amp;Table11[[#This Row],[Over]]</f>
        <v>31 48</v>
      </c>
    </row>
    <row r="1857" spans="1:18" x14ac:dyDescent="0.3">
      <c r="A1857">
        <v>32</v>
      </c>
      <c r="B1857" s="1">
        <v>1</v>
      </c>
      <c r="C1857" s="1" t="s">
        <v>906</v>
      </c>
      <c r="D1857" s="1" t="s">
        <v>998</v>
      </c>
      <c r="E1857" s="1" t="s">
        <v>939</v>
      </c>
      <c r="F1857" s="1" t="s">
        <v>348</v>
      </c>
      <c r="G1857" s="1" t="s">
        <v>897</v>
      </c>
      <c r="H1857" s="1" t="s">
        <v>898</v>
      </c>
      <c r="I1857" s="1" t="s">
        <v>899</v>
      </c>
      <c r="J1857" s="1" t="s">
        <v>348</v>
      </c>
      <c r="K1857" s="1" t="s">
        <v>1075</v>
      </c>
      <c r="L1857" s="1" t="s">
        <v>3612</v>
      </c>
      <c r="M1857" s="1" t="s">
        <v>902</v>
      </c>
      <c r="N1857">
        <f>_xlfn.NUMBERVALUE(LEFT(Table11[[#This Row],[Score]],FIND("/",Table11[[#This Row],[Score]])-1))</f>
        <v>4</v>
      </c>
      <c r="O1857">
        <f>IFERROR(_xlfn.NUMBERVALUE(LEFT(Table11[[#This Row],[Score2 ]],FIND("/",Table11[[#This Row],[Score2 ]])-1)),"")</f>
        <v>2</v>
      </c>
      <c r="P1857" t="s">
        <v>149</v>
      </c>
      <c r="Q1857" s="1" t="s">
        <v>145</v>
      </c>
      <c r="R1857" t="str">
        <f>Table11[[#This Row],[Match]]&amp;" "&amp;Table11[[#This Row],[Over]]</f>
        <v>32 1</v>
      </c>
    </row>
    <row r="1858" spans="1:18" x14ac:dyDescent="0.3">
      <c r="A1858">
        <v>32</v>
      </c>
      <c r="B1858" s="1">
        <v>2</v>
      </c>
      <c r="C1858" s="1" t="s">
        <v>1721</v>
      </c>
      <c r="D1858" s="1" t="s">
        <v>998</v>
      </c>
      <c r="E1858" s="1" t="s">
        <v>939</v>
      </c>
      <c r="F1858" s="1" t="s">
        <v>348</v>
      </c>
      <c r="G1858" s="1" t="s">
        <v>3188</v>
      </c>
      <c r="H1858" s="1" t="s">
        <v>904</v>
      </c>
      <c r="I1858" s="1" t="s">
        <v>905</v>
      </c>
      <c r="J1858" s="1" t="s">
        <v>348</v>
      </c>
      <c r="K1858" s="1" t="s">
        <v>2436</v>
      </c>
      <c r="L1858" s="1" t="s">
        <v>3447</v>
      </c>
      <c r="M1858" s="1" t="s">
        <v>909</v>
      </c>
      <c r="N1858">
        <f>_xlfn.NUMBERVALUE(LEFT(Table11[[#This Row],[Score]],FIND("/",Table11[[#This Row],[Score]])-1))</f>
        <v>8</v>
      </c>
      <c r="O1858">
        <f>IFERROR(_xlfn.NUMBERVALUE(LEFT(Table11[[#This Row],[Score2 ]],FIND("/",Table11[[#This Row],[Score2 ]])-1)),"")</f>
        <v>5</v>
      </c>
      <c r="P1858" t="s">
        <v>149</v>
      </c>
      <c r="Q1858" s="1" t="s">
        <v>145</v>
      </c>
      <c r="R1858" t="str">
        <f>Table11[[#This Row],[Match]]&amp;" "&amp;Table11[[#This Row],[Over]]</f>
        <v>32 2</v>
      </c>
    </row>
    <row r="1859" spans="1:18" x14ac:dyDescent="0.3">
      <c r="A1859">
        <v>32</v>
      </c>
      <c r="B1859" s="1">
        <v>3</v>
      </c>
      <c r="C1859" s="1" t="s">
        <v>921</v>
      </c>
      <c r="D1859" s="1" t="s">
        <v>950</v>
      </c>
      <c r="E1859" s="1" t="s">
        <v>989</v>
      </c>
      <c r="F1859" s="1" t="s">
        <v>348</v>
      </c>
      <c r="G1859" s="1" t="s">
        <v>2988</v>
      </c>
      <c r="H1859" s="1" t="s">
        <v>968</v>
      </c>
      <c r="I1859" s="1" t="s">
        <v>899</v>
      </c>
      <c r="J1859" s="1" t="s">
        <v>348</v>
      </c>
      <c r="K1859" s="1" t="s">
        <v>3206</v>
      </c>
      <c r="L1859" s="1" t="s">
        <v>3948</v>
      </c>
      <c r="M1859" s="1" t="s">
        <v>920</v>
      </c>
      <c r="N1859">
        <f>_xlfn.NUMBERVALUE(LEFT(Table11[[#This Row],[Score]],FIND("/",Table11[[#This Row],[Score]])-1))</f>
        <v>13</v>
      </c>
      <c r="O1859">
        <f>IFERROR(_xlfn.NUMBERVALUE(LEFT(Table11[[#This Row],[Score2 ]],FIND("/",Table11[[#This Row],[Score2 ]])-1)),"")</f>
        <v>6</v>
      </c>
      <c r="P1859" t="s">
        <v>149</v>
      </c>
      <c r="Q1859" s="1" t="s">
        <v>145</v>
      </c>
      <c r="R1859" t="str">
        <f>Table11[[#This Row],[Match]]&amp;" "&amp;Table11[[#This Row],[Over]]</f>
        <v>32 3</v>
      </c>
    </row>
    <row r="1860" spans="1:18" x14ac:dyDescent="0.3">
      <c r="A1860">
        <v>32</v>
      </c>
      <c r="B1860" s="1">
        <v>4</v>
      </c>
      <c r="C1860" s="1" t="s">
        <v>1629</v>
      </c>
      <c r="D1860" s="1" t="s">
        <v>922</v>
      </c>
      <c r="E1860" s="1" t="s">
        <v>1319</v>
      </c>
      <c r="F1860" s="1" t="s">
        <v>348</v>
      </c>
      <c r="G1860" s="1" t="s">
        <v>1423</v>
      </c>
      <c r="H1860" s="1" t="s">
        <v>916</v>
      </c>
      <c r="I1860" s="1" t="s">
        <v>923</v>
      </c>
      <c r="J1860" s="1" t="s">
        <v>348</v>
      </c>
      <c r="K1860" s="1" t="s">
        <v>1096</v>
      </c>
      <c r="L1860" s="1" t="s">
        <v>3192</v>
      </c>
      <c r="M1860" s="1" t="s">
        <v>928</v>
      </c>
      <c r="N1860">
        <f>_xlfn.NUMBERVALUE(LEFT(Table11[[#This Row],[Score]],FIND("/",Table11[[#This Row],[Score]])-1))</f>
        <v>19</v>
      </c>
      <c r="O1860">
        <f>IFERROR(_xlfn.NUMBERVALUE(LEFT(Table11[[#This Row],[Score2 ]],FIND("/",Table11[[#This Row],[Score2 ]])-1)),"")</f>
        <v>13</v>
      </c>
      <c r="P1860" t="s">
        <v>149</v>
      </c>
      <c r="Q1860" s="1" t="s">
        <v>145</v>
      </c>
      <c r="R1860" t="str">
        <f>Table11[[#This Row],[Match]]&amp;" "&amp;Table11[[#This Row],[Over]]</f>
        <v>32 4</v>
      </c>
    </row>
    <row r="1861" spans="1:18" x14ac:dyDescent="0.3">
      <c r="A1861">
        <v>32</v>
      </c>
      <c r="B1861" s="1">
        <v>5</v>
      </c>
      <c r="C1861" s="1" t="s">
        <v>3149</v>
      </c>
      <c r="D1861" s="1" t="s">
        <v>950</v>
      </c>
      <c r="E1861" s="1" t="s">
        <v>1093</v>
      </c>
      <c r="F1861" s="1" t="s">
        <v>1093</v>
      </c>
      <c r="G1861" s="1" t="s">
        <v>2530</v>
      </c>
      <c r="H1861" s="1" t="s">
        <v>950</v>
      </c>
      <c r="I1861" s="1" t="s">
        <v>977</v>
      </c>
      <c r="J1861" s="1" t="s">
        <v>977</v>
      </c>
      <c r="K1861" s="1" t="s">
        <v>2996</v>
      </c>
      <c r="L1861" s="1" t="s">
        <v>3618</v>
      </c>
      <c r="M1861" s="1" t="s">
        <v>937</v>
      </c>
      <c r="N1861">
        <f>_xlfn.NUMBERVALUE(LEFT(Table11[[#This Row],[Score]],FIND("/",Table11[[#This Row],[Score]])-1))</f>
        <v>24</v>
      </c>
      <c r="O1861">
        <f>IFERROR(_xlfn.NUMBERVALUE(LEFT(Table11[[#This Row],[Score2 ]],FIND("/",Table11[[#This Row],[Score2 ]])-1)),"")</f>
        <v>18</v>
      </c>
      <c r="P1861" t="s">
        <v>149</v>
      </c>
      <c r="Q1861" s="1" t="s">
        <v>145</v>
      </c>
      <c r="R1861" t="str">
        <f>Table11[[#This Row],[Match]]&amp;" "&amp;Table11[[#This Row],[Over]]</f>
        <v>32 5</v>
      </c>
    </row>
    <row r="1862" spans="1:18" x14ac:dyDescent="0.3">
      <c r="A1862">
        <v>32</v>
      </c>
      <c r="B1862" s="1">
        <v>6</v>
      </c>
      <c r="C1862" s="1" t="s">
        <v>1262</v>
      </c>
      <c r="D1862" s="1" t="s">
        <v>930</v>
      </c>
      <c r="E1862" s="1" t="s">
        <v>2110</v>
      </c>
      <c r="F1862" s="1" t="s">
        <v>934</v>
      </c>
      <c r="G1862" s="1" t="s">
        <v>974</v>
      </c>
      <c r="H1862" s="1" t="s">
        <v>1216</v>
      </c>
      <c r="I1862" s="1" t="s">
        <v>952</v>
      </c>
      <c r="J1862" s="1" t="s">
        <v>1089</v>
      </c>
      <c r="K1862" s="1" t="s">
        <v>2820</v>
      </c>
      <c r="L1862" s="1" t="s">
        <v>3193</v>
      </c>
      <c r="M1862" s="1" t="s">
        <v>945</v>
      </c>
      <c r="N1862">
        <f>_xlfn.NUMBERVALUE(LEFT(Table11[[#This Row],[Score]],FIND("/",Table11[[#This Row],[Score]])-1))</f>
        <v>32</v>
      </c>
      <c r="O1862">
        <f>IFERROR(_xlfn.NUMBERVALUE(LEFT(Table11[[#This Row],[Score2 ]],FIND("/",Table11[[#This Row],[Score2 ]])-1)),"")</f>
        <v>42</v>
      </c>
      <c r="P1862" t="s">
        <v>149</v>
      </c>
      <c r="Q1862" s="1" t="s">
        <v>145</v>
      </c>
      <c r="R1862" t="str">
        <f>Table11[[#This Row],[Match]]&amp;" "&amp;Table11[[#This Row],[Over]]</f>
        <v>32 6</v>
      </c>
    </row>
    <row r="1863" spans="1:18" x14ac:dyDescent="0.3">
      <c r="A1863">
        <v>32</v>
      </c>
      <c r="B1863" s="1">
        <v>7</v>
      </c>
      <c r="C1863" s="1" t="s">
        <v>941</v>
      </c>
      <c r="D1863" s="1" t="s">
        <v>898</v>
      </c>
      <c r="E1863" s="1" t="s">
        <v>1174</v>
      </c>
      <c r="F1863" s="1" t="s">
        <v>1029</v>
      </c>
      <c r="G1863" s="1" t="s">
        <v>3511</v>
      </c>
      <c r="H1863" s="1" t="s">
        <v>1390</v>
      </c>
      <c r="I1863" s="1" t="s">
        <v>3196</v>
      </c>
      <c r="J1863" s="1" t="s">
        <v>2055</v>
      </c>
      <c r="K1863" s="1" t="s">
        <v>2810</v>
      </c>
      <c r="L1863" s="1" t="s">
        <v>2328</v>
      </c>
      <c r="M1863" s="1" t="s">
        <v>955</v>
      </c>
      <c r="N1863">
        <f>_xlfn.NUMBERVALUE(LEFT(Table11[[#This Row],[Score]],FIND("/",Table11[[#This Row],[Score]])-1))</f>
        <v>34</v>
      </c>
      <c r="O1863">
        <f>IFERROR(_xlfn.NUMBERVALUE(LEFT(Table11[[#This Row],[Score2 ]],FIND("/",Table11[[#This Row],[Score2 ]])-1)),"")</f>
        <v>55</v>
      </c>
      <c r="P1863" t="s">
        <v>149</v>
      </c>
      <c r="Q1863" s="1" t="s">
        <v>145</v>
      </c>
      <c r="R1863" t="str">
        <f>Table11[[#This Row],[Match]]&amp;" "&amp;Table11[[#This Row],[Over]]</f>
        <v>32 7</v>
      </c>
    </row>
    <row r="1864" spans="1:18" x14ac:dyDescent="0.3">
      <c r="A1864">
        <v>32</v>
      </c>
      <c r="B1864" s="1">
        <v>8</v>
      </c>
      <c r="C1864" s="1" t="s">
        <v>1270</v>
      </c>
      <c r="D1864" s="1" t="s">
        <v>904</v>
      </c>
      <c r="E1864" s="1" t="s">
        <v>1344</v>
      </c>
      <c r="F1864" s="1" t="s">
        <v>1093</v>
      </c>
      <c r="G1864" s="1" t="s">
        <v>1651</v>
      </c>
      <c r="H1864" s="1" t="s">
        <v>998</v>
      </c>
      <c r="I1864" s="1" t="s">
        <v>2119</v>
      </c>
      <c r="J1864" s="1" t="s">
        <v>1568</v>
      </c>
      <c r="K1864" s="1" t="s">
        <v>3513</v>
      </c>
      <c r="L1864" s="1" t="s">
        <v>3477</v>
      </c>
      <c r="M1864" s="1" t="s">
        <v>963</v>
      </c>
      <c r="N1864">
        <f>_xlfn.NUMBERVALUE(LEFT(Table11[[#This Row],[Score]],FIND("/",Table11[[#This Row],[Score]])-1))</f>
        <v>37</v>
      </c>
      <c r="O1864">
        <f>IFERROR(_xlfn.NUMBERVALUE(LEFT(Table11[[#This Row],[Score2 ]],FIND("/",Table11[[#This Row],[Score2 ]])-1)),"")</f>
        <v>59</v>
      </c>
      <c r="P1864" t="s">
        <v>149</v>
      </c>
      <c r="Q1864" s="1" t="s">
        <v>145</v>
      </c>
      <c r="R1864" t="str">
        <f>Table11[[#This Row],[Match]]&amp;" "&amp;Table11[[#This Row],[Over]]</f>
        <v>32 8</v>
      </c>
    </row>
    <row r="1865" spans="1:18" x14ac:dyDescent="0.3">
      <c r="A1865">
        <v>32</v>
      </c>
      <c r="B1865" s="1">
        <v>9</v>
      </c>
      <c r="C1865" s="1" t="s">
        <v>1863</v>
      </c>
      <c r="D1865" s="1" t="s">
        <v>998</v>
      </c>
      <c r="E1865" s="1" t="s">
        <v>1919</v>
      </c>
      <c r="F1865" s="1" t="s">
        <v>940</v>
      </c>
      <c r="G1865" s="1" t="s">
        <v>2340</v>
      </c>
      <c r="H1865" s="1" t="s">
        <v>922</v>
      </c>
      <c r="I1865" s="1" t="s">
        <v>1305</v>
      </c>
      <c r="J1865" s="1" t="s">
        <v>1409</v>
      </c>
      <c r="K1865" s="1" t="s">
        <v>1508</v>
      </c>
      <c r="L1865" s="1" t="s">
        <v>3949</v>
      </c>
      <c r="M1865" s="1" t="s">
        <v>973</v>
      </c>
      <c r="N1865">
        <f>_xlfn.NUMBERVALUE(LEFT(Table11[[#This Row],[Score]],FIND("/",Table11[[#This Row],[Score]])-1))</f>
        <v>41</v>
      </c>
      <c r="O1865">
        <f>IFERROR(_xlfn.NUMBERVALUE(LEFT(Table11[[#This Row],[Score2 ]],FIND("/",Table11[[#This Row],[Score2 ]])-1)),"")</f>
        <v>65</v>
      </c>
      <c r="P1865" t="s">
        <v>149</v>
      </c>
      <c r="Q1865" s="1" t="s">
        <v>145</v>
      </c>
      <c r="R1865" t="str">
        <f>Table11[[#This Row],[Match]]&amp;" "&amp;Table11[[#This Row],[Over]]</f>
        <v>32 9</v>
      </c>
    </row>
    <row r="1866" spans="1:18" x14ac:dyDescent="0.3">
      <c r="A1866">
        <v>32</v>
      </c>
      <c r="B1866" s="1">
        <v>10</v>
      </c>
      <c r="C1866" s="1" t="s">
        <v>1283</v>
      </c>
      <c r="D1866" s="1" t="s">
        <v>930</v>
      </c>
      <c r="E1866" s="1" t="s">
        <v>1045</v>
      </c>
      <c r="F1866" s="1" t="s">
        <v>969</v>
      </c>
      <c r="G1866" s="1" t="s">
        <v>2115</v>
      </c>
      <c r="H1866" s="1" t="s">
        <v>998</v>
      </c>
      <c r="I1866" s="1" t="s">
        <v>1818</v>
      </c>
      <c r="J1866" s="1" t="s">
        <v>1746</v>
      </c>
      <c r="K1866" s="1" t="s">
        <v>1514</v>
      </c>
      <c r="L1866" s="1" t="s">
        <v>2093</v>
      </c>
      <c r="M1866" s="1" t="s">
        <v>980</v>
      </c>
      <c r="N1866">
        <f>_xlfn.NUMBERVALUE(LEFT(Table11[[#This Row],[Score]],FIND("/",Table11[[#This Row],[Score]])-1))</f>
        <v>49</v>
      </c>
      <c r="O1866">
        <f>IFERROR(_xlfn.NUMBERVALUE(LEFT(Table11[[#This Row],[Score2 ]],FIND("/",Table11[[#This Row],[Score2 ]])-1)),"")</f>
        <v>69</v>
      </c>
      <c r="P1866" t="s">
        <v>149</v>
      </c>
      <c r="Q1866" s="1" t="s">
        <v>145</v>
      </c>
      <c r="R1866" t="str">
        <f>Table11[[#This Row],[Match]]&amp;" "&amp;Table11[[#This Row],[Over]]</f>
        <v>32 10</v>
      </c>
    </row>
    <row r="1867" spans="1:18" x14ac:dyDescent="0.3">
      <c r="A1867">
        <v>32</v>
      </c>
      <c r="B1867" s="1">
        <v>11</v>
      </c>
      <c r="C1867" s="1" t="s">
        <v>1285</v>
      </c>
      <c r="D1867" s="1" t="s">
        <v>904</v>
      </c>
      <c r="E1867" s="1" t="s">
        <v>1194</v>
      </c>
      <c r="F1867" s="1" t="s">
        <v>939</v>
      </c>
      <c r="G1867" s="1" t="s">
        <v>2450</v>
      </c>
      <c r="H1867" s="1" t="s">
        <v>916</v>
      </c>
      <c r="I1867" s="1" t="s">
        <v>1818</v>
      </c>
      <c r="J1867" s="1" t="s">
        <v>1053</v>
      </c>
      <c r="K1867" s="1" t="s">
        <v>3201</v>
      </c>
      <c r="L1867" s="1" t="s">
        <v>3483</v>
      </c>
      <c r="M1867" s="1" t="s">
        <v>987</v>
      </c>
      <c r="N1867">
        <f>_xlfn.NUMBERVALUE(LEFT(Table11[[#This Row],[Score]],FIND("/",Table11[[#This Row],[Score]])-1))</f>
        <v>52</v>
      </c>
      <c r="O1867">
        <f>IFERROR(_xlfn.NUMBERVALUE(LEFT(Table11[[#This Row],[Score2 ]],FIND("/",Table11[[#This Row],[Score2 ]])-1)),"")</f>
        <v>76</v>
      </c>
      <c r="P1867" t="s">
        <v>149</v>
      </c>
      <c r="Q1867" s="1" t="s">
        <v>145</v>
      </c>
      <c r="R1867" t="str">
        <f>Table11[[#This Row],[Match]]&amp;" "&amp;Table11[[#This Row],[Over]]</f>
        <v>32 11</v>
      </c>
    </row>
    <row r="1868" spans="1:18" x14ac:dyDescent="0.3">
      <c r="A1868">
        <v>32</v>
      </c>
      <c r="B1868" s="1">
        <v>12</v>
      </c>
      <c r="C1868" s="1" t="s">
        <v>1870</v>
      </c>
      <c r="D1868" s="1" t="s">
        <v>998</v>
      </c>
      <c r="E1868" s="1" t="s">
        <v>1975</v>
      </c>
      <c r="F1868" s="1" t="s">
        <v>940</v>
      </c>
      <c r="G1868" s="1" t="s">
        <v>2346</v>
      </c>
      <c r="H1868" s="1" t="s">
        <v>950</v>
      </c>
      <c r="I1868" s="1" t="s">
        <v>1009</v>
      </c>
      <c r="J1868" s="1" t="s">
        <v>1029</v>
      </c>
      <c r="K1868" s="1" t="s">
        <v>2369</v>
      </c>
      <c r="L1868" s="1" t="s">
        <v>1241</v>
      </c>
      <c r="M1868" s="1" t="s">
        <v>996</v>
      </c>
      <c r="N1868">
        <f>_xlfn.NUMBERVALUE(LEFT(Table11[[#This Row],[Score]],FIND("/",Table11[[#This Row],[Score]])-1))</f>
        <v>56</v>
      </c>
      <c r="O1868">
        <f>IFERROR(_xlfn.NUMBERVALUE(LEFT(Table11[[#This Row],[Score2 ]],FIND("/",Table11[[#This Row],[Score2 ]])-1)),"")</f>
        <v>81</v>
      </c>
      <c r="P1868" t="s">
        <v>149</v>
      </c>
      <c r="Q1868" s="1" t="s">
        <v>145</v>
      </c>
      <c r="R1868" t="str">
        <f>Table11[[#This Row],[Match]]&amp;" "&amp;Table11[[#This Row],[Over]]</f>
        <v>32 12</v>
      </c>
    </row>
    <row r="1869" spans="1:18" x14ac:dyDescent="0.3">
      <c r="A1869">
        <v>32</v>
      </c>
      <c r="B1869" s="1">
        <v>13</v>
      </c>
      <c r="C1869" s="1" t="s">
        <v>1293</v>
      </c>
      <c r="D1869" s="1" t="s">
        <v>916</v>
      </c>
      <c r="E1869" s="1" t="s">
        <v>1160</v>
      </c>
      <c r="F1869" s="1" t="s">
        <v>1029</v>
      </c>
      <c r="G1869" s="1" t="s">
        <v>2121</v>
      </c>
      <c r="H1869" s="1" t="s">
        <v>950</v>
      </c>
      <c r="I1869" s="1" t="s">
        <v>1754</v>
      </c>
      <c r="J1869" s="1" t="s">
        <v>966</v>
      </c>
      <c r="K1869" s="1" t="s">
        <v>2949</v>
      </c>
      <c r="L1869" s="1" t="s">
        <v>1249</v>
      </c>
      <c r="M1869" s="1" t="s">
        <v>1004</v>
      </c>
      <c r="N1869">
        <f>_xlfn.NUMBERVALUE(LEFT(Table11[[#This Row],[Score]],FIND("/",Table11[[#This Row],[Score]])-1))</f>
        <v>63</v>
      </c>
      <c r="O1869">
        <f>IFERROR(_xlfn.NUMBERVALUE(LEFT(Table11[[#This Row],[Score2 ]],FIND("/",Table11[[#This Row],[Score2 ]])-1)),"")</f>
        <v>86</v>
      </c>
      <c r="P1869" t="s">
        <v>149</v>
      </c>
      <c r="Q1869" s="1" t="s">
        <v>145</v>
      </c>
      <c r="R1869" t="str">
        <f>Table11[[#This Row],[Match]]&amp;" "&amp;Table11[[#This Row],[Over]]</f>
        <v>32 13</v>
      </c>
    </row>
    <row r="1870" spans="1:18" x14ac:dyDescent="0.3">
      <c r="A1870">
        <v>32</v>
      </c>
      <c r="B1870" s="1">
        <v>14</v>
      </c>
      <c r="C1870" s="1" t="s">
        <v>1463</v>
      </c>
      <c r="D1870" s="1" t="s">
        <v>898</v>
      </c>
      <c r="E1870" s="1" t="s">
        <v>1028</v>
      </c>
      <c r="F1870" s="1" t="s">
        <v>1093</v>
      </c>
      <c r="G1870" s="1" t="s">
        <v>3011</v>
      </c>
      <c r="H1870" s="1" t="s">
        <v>1095</v>
      </c>
      <c r="I1870" s="1" t="s">
        <v>1996</v>
      </c>
      <c r="J1870" s="1" t="s">
        <v>970</v>
      </c>
      <c r="K1870" s="1" t="s">
        <v>1168</v>
      </c>
      <c r="L1870" s="1" t="s">
        <v>3797</v>
      </c>
      <c r="M1870" s="1" t="s">
        <v>1010</v>
      </c>
      <c r="N1870">
        <f>_xlfn.NUMBERVALUE(LEFT(Table11[[#This Row],[Score]],FIND("/",Table11[[#This Row],[Score]])-1))</f>
        <v>65</v>
      </c>
      <c r="O1870">
        <f>IFERROR(_xlfn.NUMBERVALUE(LEFT(Table11[[#This Row],[Score2 ]],FIND("/",Table11[[#This Row],[Score2 ]])-1)),"")</f>
        <v>96</v>
      </c>
      <c r="P1870" t="s">
        <v>149</v>
      </c>
      <c r="Q1870" s="1" t="s">
        <v>145</v>
      </c>
      <c r="R1870" t="str">
        <f>Table11[[#This Row],[Match]]&amp;" "&amp;Table11[[#This Row],[Over]]</f>
        <v>32 14</v>
      </c>
    </row>
    <row r="1871" spans="1:18" x14ac:dyDescent="0.3">
      <c r="A1871">
        <v>32</v>
      </c>
      <c r="B1871" s="1">
        <v>15</v>
      </c>
      <c r="C1871" s="1" t="s">
        <v>2624</v>
      </c>
      <c r="D1871" s="1" t="s">
        <v>916</v>
      </c>
      <c r="E1871" s="1" t="s">
        <v>1093</v>
      </c>
      <c r="F1871" s="1" t="s">
        <v>976</v>
      </c>
      <c r="G1871" s="1" t="s">
        <v>2352</v>
      </c>
      <c r="H1871" s="1" t="s">
        <v>950</v>
      </c>
      <c r="I1871" s="1" t="s">
        <v>1022</v>
      </c>
      <c r="J1871" s="1" t="s">
        <v>943</v>
      </c>
      <c r="K1871" s="1" t="s">
        <v>2013</v>
      </c>
      <c r="L1871" s="1" t="s">
        <v>928</v>
      </c>
      <c r="M1871" s="1" t="s">
        <v>1016</v>
      </c>
      <c r="N1871">
        <f>_xlfn.NUMBERVALUE(LEFT(Table11[[#This Row],[Score]],FIND("/",Table11[[#This Row],[Score]])-1))</f>
        <v>72</v>
      </c>
      <c r="O1871">
        <f>IFERROR(_xlfn.NUMBERVALUE(LEFT(Table11[[#This Row],[Score2 ]],FIND("/",Table11[[#This Row],[Score2 ]])-1)),"")</f>
        <v>101</v>
      </c>
      <c r="P1871" t="s">
        <v>149</v>
      </c>
      <c r="Q1871" s="1" t="s">
        <v>145</v>
      </c>
      <c r="R1871" t="str">
        <f>Table11[[#This Row],[Match]]&amp;" "&amp;Table11[[#This Row],[Over]]</f>
        <v>32 15</v>
      </c>
    </row>
    <row r="1872" spans="1:18" x14ac:dyDescent="0.3">
      <c r="A1872">
        <v>32</v>
      </c>
      <c r="B1872" s="1">
        <v>16</v>
      </c>
      <c r="C1872" s="1" t="s">
        <v>2626</v>
      </c>
      <c r="D1872" s="1" t="s">
        <v>998</v>
      </c>
      <c r="E1872" s="1" t="s">
        <v>1319</v>
      </c>
      <c r="F1872" s="1" t="s">
        <v>1093</v>
      </c>
      <c r="G1872" s="1" t="s">
        <v>2460</v>
      </c>
      <c r="H1872" s="1" t="s">
        <v>950</v>
      </c>
      <c r="I1872" s="1" t="s">
        <v>1738</v>
      </c>
      <c r="J1872" s="1" t="s">
        <v>1019</v>
      </c>
      <c r="K1872" s="1" t="s">
        <v>2996</v>
      </c>
      <c r="L1872" s="1" t="s">
        <v>2245</v>
      </c>
      <c r="M1872" s="1" t="s">
        <v>1024</v>
      </c>
      <c r="N1872">
        <f>_xlfn.NUMBERVALUE(LEFT(Table11[[#This Row],[Score]],FIND("/",Table11[[#This Row],[Score]])-1))</f>
        <v>76</v>
      </c>
      <c r="O1872">
        <f>IFERROR(_xlfn.NUMBERVALUE(LEFT(Table11[[#This Row],[Score2 ]],FIND("/",Table11[[#This Row],[Score2 ]])-1)),"")</f>
        <v>106</v>
      </c>
      <c r="P1872" t="s">
        <v>149</v>
      </c>
      <c r="Q1872" s="1" t="s">
        <v>145</v>
      </c>
      <c r="R1872" t="str">
        <f>Table11[[#This Row],[Match]]&amp;" "&amp;Table11[[#This Row],[Over]]</f>
        <v>32 16</v>
      </c>
    </row>
    <row r="1873" spans="1:18" x14ac:dyDescent="0.3">
      <c r="A1873">
        <v>32</v>
      </c>
      <c r="B1873" s="1">
        <v>17</v>
      </c>
      <c r="C1873" s="1" t="s">
        <v>1034</v>
      </c>
      <c r="D1873" s="1" t="s">
        <v>904</v>
      </c>
      <c r="E1873" s="1" t="s">
        <v>1028</v>
      </c>
      <c r="F1873" s="1" t="s">
        <v>976</v>
      </c>
      <c r="G1873" s="1" t="s">
        <v>2130</v>
      </c>
      <c r="H1873" s="1" t="s">
        <v>1390</v>
      </c>
      <c r="I1873" s="1" t="s">
        <v>952</v>
      </c>
      <c r="J1873" s="1" t="s">
        <v>1508</v>
      </c>
      <c r="K1873" s="1" t="s">
        <v>3209</v>
      </c>
      <c r="L1873" s="1" t="s">
        <v>955</v>
      </c>
      <c r="M1873" s="1" t="s">
        <v>1031</v>
      </c>
      <c r="N1873">
        <f>_xlfn.NUMBERVALUE(LEFT(Table11[[#This Row],[Score]],FIND("/",Table11[[#This Row],[Score]])-1))</f>
        <v>79</v>
      </c>
      <c r="O1873">
        <f>IFERROR(_xlfn.NUMBERVALUE(LEFT(Table11[[#This Row],[Score2 ]],FIND("/",Table11[[#This Row],[Score2 ]])-1)),"")</f>
        <v>119</v>
      </c>
      <c r="P1873" t="s">
        <v>149</v>
      </c>
      <c r="Q1873" s="1" t="s">
        <v>145</v>
      </c>
      <c r="R1873" t="str">
        <f>Table11[[#This Row],[Match]]&amp;" "&amp;Table11[[#This Row],[Over]]</f>
        <v>32 17</v>
      </c>
    </row>
    <row r="1874" spans="1:18" x14ac:dyDescent="0.3">
      <c r="A1874">
        <v>32</v>
      </c>
      <c r="B1874" s="1">
        <v>18</v>
      </c>
      <c r="C1874" s="1" t="s">
        <v>3095</v>
      </c>
      <c r="D1874" s="1" t="s">
        <v>904</v>
      </c>
      <c r="E1874" s="1" t="s">
        <v>1919</v>
      </c>
      <c r="F1874" s="1" t="s">
        <v>990</v>
      </c>
      <c r="G1874" s="1" t="s">
        <v>1324</v>
      </c>
      <c r="H1874" s="1" t="s">
        <v>998</v>
      </c>
      <c r="I1874" s="1" t="s">
        <v>1487</v>
      </c>
      <c r="J1874" s="1" t="s">
        <v>1068</v>
      </c>
      <c r="K1874" s="1" t="s">
        <v>2355</v>
      </c>
      <c r="L1874" s="1" t="s">
        <v>986</v>
      </c>
      <c r="M1874" s="1" t="s">
        <v>1037</v>
      </c>
      <c r="N1874">
        <f>_xlfn.NUMBERVALUE(LEFT(Table11[[#This Row],[Score]],FIND("/",Table11[[#This Row],[Score]])-1))</f>
        <v>82</v>
      </c>
      <c r="O1874">
        <f>IFERROR(_xlfn.NUMBERVALUE(LEFT(Table11[[#This Row],[Score2 ]],FIND("/",Table11[[#This Row],[Score2 ]])-1)),"")</f>
        <v>123</v>
      </c>
      <c r="P1874" t="s">
        <v>149</v>
      </c>
      <c r="Q1874" s="1" t="s">
        <v>145</v>
      </c>
      <c r="R1874" t="str">
        <f>Table11[[#This Row],[Match]]&amp;" "&amp;Table11[[#This Row],[Over]]</f>
        <v>32 18</v>
      </c>
    </row>
    <row r="1875" spans="1:18" x14ac:dyDescent="0.3">
      <c r="A1875">
        <v>32</v>
      </c>
      <c r="B1875" s="1">
        <v>19</v>
      </c>
      <c r="C1875" s="1" t="s">
        <v>3254</v>
      </c>
      <c r="D1875" s="1" t="s">
        <v>904</v>
      </c>
      <c r="E1875" s="1" t="s">
        <v>1316</v>
      </c>
      <c r="F1875" s="1" t="s">
        <v>939</v>
      </c>
      <c r="G1875" s="1" t="s">
        <v>1078</v>
      </c>
      <c r="H1875" s="1" t="s">
        <v>930</v>
      </c>
      <c r="I1875" s="1" t="s">
        <v>2088</v>
      </c>
      <c r="J1875" s="1" t="s">
        <v>952</v>
      </c>
      <c r="K1875" s="1" t="s">
        <v>2355</v>
      </c>
      <c r="L1875" s="1" t="s">
        <v>973</v>
      </c>
      <c r="M1875" s="1" t="s">
        <v>1043</v>
      </c>
      <c r="N1875">
        <f>_xlfn.NUMBERVALUE(LEFT(Table11[[#This Row],[Score]],FIND("/",Table11[[#This Row],[Score]])-1))</f>
        <v>85</v>
      </c>
      <c r="O1875">
        <f>IFERROR(_xlfn.NUMBERVALUE(LEFT(Table11[[#This Row],[Score2 ]],FIND("/",Table11[[#This Row],[Score2 ]])-1)),"")</f>
        <v>131</v>
      </c>
      <c r="P1875" t="s">
        <v>149</v>
      </c>
      <c r="Q1875" s="1" t="s">
        <v>145</v>
      </c>
      <c r="R1875" t="str">
        <f>Table11[[#This Row],[Match]]&amp;" "&amp;Table11[[#This Row],[Over]]</f>
        <v>32 19</v>
      </c>
    </row>
    <row r="1876" spans="1:18" x14ac:dyDescent="0.3">
      <c r="A1876">
        <v>32</v>
      </c>
      <c r="B1876" s="1">
        <v>20</v>
      </c>
      <c r="C1876" s="1" t="s">
        <v>2007</v>
      </c>
      <c r="D1876" s="1" t="s">
        <v>968</v>
      </c>
      <c r="E1876" s="1" t="s">
        <v>999</v>
      </c>
      <c r="F1876" s="1" t="s">
        <v>993</v>
      </c>
      <c r="G1876" s="1" t="s">
        <v>3395</v>
      </c>
      <c r="H1876" s="1" t="s">
        <v>898</v>
      </c>
      <c r="I1876" s="1" t="s">
        <v>2492</v>
      </c>
      <c r="J1876" s="1" t="s">
        <v>943</v>
      </c>
      <c r="K1876" s="1" t="s">
        <v>2639</v>
      </c>
      <c r="L1876" s="1" t="s">
        <v>1449</v>
      </c>
      <c r="M1876" s="1" t="s">
        <v>1049</v>
      </c>
      <c r="N1876">
        <f>_xlfn.NUMBERVALUE(LEFT(Table11[[#This Row],[Score]],FIND("/",Table11[[#This Row],[Score]])-1))</f>
        <v>86</v>
      </c>
      <c r="O1876">
        <f>IFERROR(_xlfn.NUMBERVALUE(LEFT(Table11[[#This Row],[Score2 ]],FIND("/",Table11[[#This Row],[Score2 ]])-1)),"")</f>
        <v>133</v>
      </c>
      <c r="P1876" t="s">
        <v>149</v>
      </c>
      <c r="Q1876" s="1" t="s">
        <v>145</v>
      </c>
      <c r="R1876" t="str">
        <f>Table11[[#This Row],[Match]]&amp;" "&amp;Table11[[#This Row],[Over]]</f>
        <v>32 20</v>
      </c>
    </row>
    <row r="1877" spans="1:18" x14ac:dyDescent="0.3">
      <c r="A1877">
        <v>32</v>
      </c>
      <c r="B1877" s="1">
        <v>21</v>
      </c>
      <c r="C1877" s="1" t="s">
        <v>1766</v>
      </c>
      <c r="D1877" s="1" t="s">
        <v>916</v>
      </c>
      <c r="E1877" s="1" t="s">
        <v>1006</v>
      </c>
      <c r="F1877" s="1" t="s">
        <v>1247</v>
      </c>
      <c r="G1877" s="1" t="s">
        <v>3105</v>
      </c>
      <c r="H1877" s="1" t="s">
        <v>898</v>
      </c>
      <c r="I1877" s="1" t="s">
        <v>2095</v>
      </c>
      <c r="J1877" s="1" t="s">
        <v>1013</v>
      </c>
      <c r="K1877" s="1" t="s">
        <v>3216</v>
      </c>
      <c r="L1877" s="1" t="s">
        <v>1994</v>
      </c>
      <c r="M1877" s="1" t="s">
        <v>1056</v>
      </c>
      <c r="N1877">
        <f>_xlfn.NUMBERVALUE(LEFT(Table11[[#This Row],[Score]],FIND("/",Table11[[#This Row],[Score]])-1))</f>
        <v>93</v>
      </c>
      <c r="O1877">
        <f>IFERROR(_xlfn.NUMBERVALUE(LEFT(Table11[[#This Row],[Score2 ]],FIND("/",Table11[[#This Row],[Score2 ]])-1)),"")</f>
        <v>135</v>
      </c>
      <c r="P1877" t="s">
        <v>149</v>
      </c>
      <c r="Q1877" s="1" t="s">
        <v>145</v>
      </c>
      <c r="R1877" t="str">
        <f>Table11[[#This Row],[Match]]&amp;" "&amp;Table11[[#This Row],[Over]]</f>
        <v>32 21</v>
      </c>
    </row>
    <row r="1878" spans="1:18" x14ac:dyDescent="0.3">
      <c r="A1878">
        <v>32</v>
      </c>
      <c r="B1878" s="1">
        <v>22</v>
      </c>
      <c r="C1878" s="1" t="s">
        <v>2012</v>
      </c>
      <c r="D1878" s="1" t="s">
        <v>898</v>
      </c>
      <c r="E1878" s="1" t="s">
        <v>1468</v>
      </c>
      <c r="F1878" s="1" t="s">
        <v>1259</v>
      </c>
      <c r="G1878" s="1" t="s">
        <v>2134</v>
      </c>
      <c r="H1878" s="1" t="s">
        <v>898</v>
      </c>
      <c r="I1878" s="1" t="s">
        <v>1236</v>
      </c>
      <c r="J1878" s="1" t="s">
        <v>977</v>
      </c>
      <c r="K1878" s="1" t="s">
        <v>3330</v>
      </c>
      <c r="L1878" s="1" t="s">
        <v>980</v>
      </c>
      <c r="M1878" s="1" t="s">
        <v>1063</v>
      </c>
      <c r="N1878">
        <f>_xlfn.NUMBERVALUE(LEFT(Table11[[#This Row],[Score]],FIND("/",Table11[[#This Row],[Score]])-1))</f>
        <v>95</v>
      </c>
      <c r="O1878">
        <f>IFERROR(_xlfn.NUMBERVALUE(LEFT(Table11[[#This Row],[Score2 ]],FIND("/",Table11[[#This Row],[Score2 ]])-1)),"")</f>
        <v>137</v>
      </c>
      <c r="P1878" t="s">
        <v>149</v>
      </c>
      <c r="Q1878" s="1" t="s">
        <v>145</v>
      </c>
      <c r="R1878" t="str">
        <f>Table11[[#This Row],[Match]]&amp;" "&amp;Table11[[#This Row],[Over]]</f>
        <v>32 22</v>
      </c>
    </row>
    <row r="1879" spans="1:18" x14ac:dyDescent="0.3">
      <c r="A1879">
        <v>32</v>
      </c>
      <c r="B1879" s="1">
        <v>23</v>
      </c>
      <c r="C1879" s="1" t="s">
        <v>2704</v>
      </c>
      <c r="D1879" s="1" t="s">
        <v>950</v>
      </c>
      <c r="E1879" s="1" t="s">
        <v>1526</v>
      </c>
      <c r="F1879" s="1" t="s">
        <v>977</v>
      </c>
      <c r="G1879" s="1" t="s">
        <v>1806</v>
      </c>
      <c r="H1879" s="1" t="s">
        <v>950</v>
      </c>
      <c r="I1879" s="1" t="s">
        <v>918</v>
      </c>
      <c r="J1879" s="1" t="s">
        <v>990</v>
      </c>
      <c r="K1879" s="1" t="s">
        <v>3754</v>
      </c>
      <c r="L1879" s="1" t="s">
        <v>2126</v>
      </c>
      <c r="M1879" s="1" t="s">
        <v>1070</v>
      </c>
      <c r="N1879">
        <f>_xlfn.NUMBERVALUE(LEFT(Table11[[#This Row],[Score]],FIND("/",Table11[[#This Row],[Score]])-1))</f>
        <v>100</v>
      </c>
      <c r="O1879">
        <f>IFERROR(_xlfn.NUMBERVALUE(LEFT(Table11[[#This Row],[Score2 ]],FIND("/",Table11[[#This Row],[Score2 ]])-1)),"")</f>
        <v>142</v>
      </c>
      <c r="P1879" t="s">
        <v>149</v>
      </c>
      <c r="Q1879" s="1" t="s">
        <v>145</v>
      </c>
      <c r="R1879" t="str">
        <f>Table11[[#This Row],[Match]]&amp;" "&amp;Table11[[#This Row],[Over]]</f>
        <v>32 23</v>
      </c>
    </row>
    <row r="1880" spans="1:18" x14ac:dyDescent="0.3">
      <c r="A1880">
        <v>32</v>
      </c>
      <c r="B1880" s="1">
        <v>24</v>
      </c>
      <c r="C1880" s="1" t="s">
        <v>1311</v>
      </c>
      <c r="D1880" s="1" t="s">
        <v>916</v>
      </c>
      <c r="E1880" s="1" t="s">
        <v>1060</v>
      </c>
      <c r="F1880" s="1" t="s">
        <v>940</v>
      </c>
      <c r="G1880" s="1" t="s">
        <v>2142</v>
      </c>
      <c r="H1880" s="1" t="s">
        <v>916</v>
      </c>
      <c r="I1880" s="1" t="s">
        <v>970</v>
      </c>
      <c r="J1880" s="1" t="s">
        <v>977</v>
      </c>
      <c r="K1880" s="1" t="s">
        <v>2383</v>
      </c>
      <c r="L1880" s="1" t="s">
        <v>996</v>
      </c>
      <c r="M1880" s="1" t="s">
        <v>1077</v>
      </c>
      <c r="N1880">
        <f>_xlfn.NUMBERVALUE(LEFT(Table11[[#This Row],[Score]],FIND("/",Table11[[#This Row],[Score]])-1))</f>
        <v>107</v>
      </c>
      <c r="O1880">
        <f>IFERROR(_xlfn.NUMBERVALUE(LEFT(Table11[[#This Row],[Score2 ]],FIND("/",Table11[[#This Row],[Score2 ]])-1)),"")</f>
        <v>149</v>
      </c>
      <c r="P1880" t="s">
        <v>149</v>
      </c>
      <c r="Q1880" s="1" t="s">
        <v>145</v>
      </c>
      <c r="R1880" t="str">
        <f>Table11[[#This Row],[Match]]&amp;" "&amp;Table11[[#This Row],[Over]]</f>
        <v>32 24</v>
      </c>
    </row>
    <row r="1881" spans="1:18" x14ac:dyDescent="0.3">
      <c r="A1881">
        <v>32</v>
      </c>
      <c r="B1881" s="1">
        <v>25</v>
      </c>
      <c r="C1881" s="1" t="s">
        <v>3950</v>
      </c>
      <c r="D1881" s="1" t="s">
        <v>916</v>
      </c>
      <c r="E1881" s="1" t="s">
        <v>1781</v>
      </c>
      <c r="F1881" s="1" t="s">
        <v>934</v>
      </c>
      <c r="G1881" s="1" t="s">
        <v>3821</v>
      </c>
      <c r="H1881" s="1" t="s">
        <v>968</v>
      </c>
      <c r="I1881" s="1" t="s">
        <v>1019</v>
      </c>
      <c r="J1881" s="1" t="s">
        <v>1247</v>
      </c>
      <c r="K1881" s="1" t="s">
        <v>3951</v>
      </c>
      <c r="L1881" s="1" t="s">
        <v>2870</v>
      </c>
      <c r="M1881" s="1" t="s">
        <v>1083</v>
      </c>
      <c r="N1881">
        <f>_xlfn.NUMBERVALUE(LEFT(Table11[[#This Row],[Score]],FIND("/",Table11[[#This Row],[Score]])-1))</f>
        <v>114</v>
      </c>
      <c r="O1881">
        <f>IFERROR(_xlfn.NUMBERVALUE(LEFT(Table11[[#This Row],[Score2 ]],FIND("/",Table11[[#This Row],[Score2 ]])-1)),"")</f>
        <v>150</v>
      </c>
      <c r="P1881" t="s">
        <v>149</v>
      </c>
      <c r="Q1881" s="1" t="s">
        <v>145</v>
      </c>
      <c r="R1881" t="str">
        <f>Table11[[#This Row],[Match]]&amp;" "&amp;Table11[[#This Row],[Over]]</f>
        <v>32 25</v>
      </c>
    </row>
    <row r="1882" spans="1:18" x14ac:dyDescent="0.3">
      <c r="A1882">
        <v>32</v>
      </c>
      <c r="B1882" s="1">
        <v>26</v>
      </c>
      <c r="C1882" s="1" t="s">
        <v>3207</v>
      </c>
      <c r="D1882" s="1" t="s">
        <v>916</v>
      </c>
      <c r="E1882" s="1" t="s">
        <v>1330</v>
      </c>
      <c r="F1882" s="1" t="s">
        <v>934</v>
      </c>
      <c r="G1882" s="1" t="s">
        <v>3952</v>
      </c>
      <c r="H1882" s="1" t="s">
        <v>998</v>
      </c>
      <c r="I1882" s="1" t="s">
        <v>2235</v>
      </c>
      <c r="J1882" s="1" t="s">
        <v>990</v>
      </c>
      <c r="K1882" s="1" t="s">
        <v>2648</v>
      </c>
      <c r="L1882" s="1" t="s">
        <v>1464</v>
      </c>
      <c r="M1882" s="1" t="s">
        <v>1090</v>
      </c>
      <c r="N1882">
        <f>_xlfn.NUMBERVALUE(LEFT(Table11[[#This Row],[Score]],FIND("/",Table11[[#This Row],[Score]])-1))</f>
        <v>121</v>
      </c>
      <c r="O1882">
        <f>IFERROR(_xlfn.NUMBERVALUE(LEFT(Table11[[#This Row],[Score2 ]],FIND("/",Table11[[#This Row],[Score2 ]])-1)),"")</f>
        <v>154</v>
      </c>
      <c r="P1882" t="s">
        <v>149</v>
      </c>
      <c r="Q1882" s="1" t="s">
        <v>145</v>
      </c>
      <c r="R1882" t="str">
        <f>Table11[[#This Row],[Match]]&amp;" "&amp;Table11[[#This Row],[Over]]</f>
        <v>32 26</v>
      </c>
    </row>
    <row r="1883" spans="1:18" x14ac:dyDescent="0.3">
      <c r="A1883">
        <v>32</v>
      </c>
      <c r="B1883" s="1">
        <v>27</v>
      </c>
      <c r="C1883" s="1" t="s">
        <v>1801</v>
      </c>
      <c r="D1883" s="1" t="s">
        <v>950</v>
      </c>
      <c r="E1883" s="1" t="s">
        <v>1975</v>
      </c>
      <c r="F1883" s="1" t="s">
        <v>970</v>
      </c>
      <c r="G1883" s="1" t="s">
        <v>3878</v>
      </c>
      <c r="H1883" s="1" t="s">
        <v>950</v>
      </c>
      <c r="I1883" s="1" t="s">
        <v>1199</v>
      </c>
      <c r="J1883" s="1" t="s">
        <v>940</v>
      </c>
      <c r="K1883" s="1" t="s">
        <v>3953</v>
      </c>
      <c r="L1883" s="1" t="s">
        <v>1042</v>
      </c>
      <c r="M1883" s="1" t="s">
        <v>1098</v>
      </c>
      <c r="N1883">
        <f>_xlfn.NUMBERVALUE(LEFT(Table11[[#This Row],[Score]],FIND("/",Table11[[#This Row],[Score]])-1))</f>
        <v>126</v>
      </c>
      <c r="O1883">
        <f>IFERROR(_xlfn.NUMBERVALUE(LEFT(Table11[[#This Row],[Score2 ]],FIND("/",Table11[[#This Row],[Score2 ]])-1)),"")</f>
        <v>159</v>
      </c>
      <c r="P1883" t="s">
        <v>149</v>
      </c>
      <c r="Q1883" s="1" t="s">
        <v>145</v>
      </c>
      <c r="R1883" t="str">
        <f>Table11[[#This Row],[Match]]&amp;" "&amp;Table11[[#This Row],[Over]]</f>
        <v>32 27</v>
      </c>
    </row>
    <row r="1884" spans="1:18" x14ac:dyDescent="0.3">
      <c r="A1884">
        <v>32</v>
      </c>
      <c r="B1884" s="1">
        <v>28</v>
      </c>
      <c r="C1884" s="1" t="s">
        <v>3212</v>
      </c>
      <c r="D1884" s="1" t="s">
        <v>947</v>
      </c>
      <c r="E1884" s="1" t="s">
        <v>1026</v>
      </c>
      <c r="F1884" s="1" t="s">
        <v>952</v>
      </c>
      <c r="G1884" s="1" t="s">
        <v>3822</v>
      </c>
      <c r="H1884" s="1" t="s">
        <v>950</v>
      </c>
      <c r="I1884" s="1" t="s">
        <v>2217</v>
      </c>
      <c r="J1884" s="1" t="s">
        <v>940</v>
      </c>
      <c r="K1884" s="1" t="s">
        <v>1367</v>
      </c>
      <c r="L1884" s="1" t="s">
        <v>2010</v>
      </c>
      <c r="M1884" s="1" t="s">
        <v>1101</v>
      </c>
      <c r="N1884">
        <f>_xlfn.NUMBERVALUE(LEFT(Table11[[#This Row],[Score]],FIND("/",Table11[[#This Row],[Score]])-1))</f>
        <v>135</v>
      </c>
      <c r="O1884">
        <f>IFERROR(_xlfn.NUMBERVALUE(LEFT(Table11[[#This Row],[Score2 ]],FIND("/",Table11[[#This Row],[Score2 ]])-1)),"")</f>
        <v>164</v>
      </c>
      <c r="P1884" t="s">
        <v>149</v>
      </c>
      <c r="Q1884" s="1" t="s">
        <v>145</v>
      </c>
      <c r="R1884" t="str">
        <f>Table11[[#This Row],[Match]]&amp;" "&amp;Table11[[#This Row],[Over]]</f>
        <v>32 28</v>
      </c>
    </row>
    <row r="1885" spans="1:18" x14ac:dyDescent="0.3">
      <c r="A1885">
        <v>32</v>
      </c>
      <c r="B1885" s="1">
        <v>29</v>
      </c>
      <c r="C1885" s="1" t="s">
        <v>2142</v>
      </c>
      <c r="D1885" s="1" t="s">
        <v>933</v>
      </c>
      <c r="E1885" s="1" t="s">
        <v>2167</v>
      </c>
      <c r="F1885" s="1" t="s">
        <v>1335</v>
      </c>
      <c r="G1885" s="1" t="s">
        <v>2374</v>
      </c>
      <c r="H1885" s="1" t="s">
        <v>950</v>
      </c>
      <c r="I1885" s="1" t="s">
        <v>2375</v>
      </c>
      <c r="J1885" s="1" t="s">
        <v>939</v>
      </c>
      <c r="K1885" s="1" t="s">
        <v>3954</v>
      </c>
      <c r="L1885" s="1" t="s">
        <v>2020</v>
      </c>
      <c r="M1885" s="1" t="s">
        <v>1108</v>
      </c>
      <c r="N1885">
        <f>_xlfn.NUMBERVALUE(LEFT(Table11[[#This Row],[Score]],FIND("/",Table11[[#This Row],[Score]])-1))</f>
        <v>149</v>
      </c>
      <c r="O1885">
        <f>IFERROR(_xlfn.NUMBERVALUE(LEFT(Table11[[#This Row],[Score2 ]],FIND("/",Table11[[#This Row],[Score2 ]])-1)),"")</f>
        <v>169</v>
      </c>
      <c r="P1885" t="s">
        <v>149</v>
      </c>
      <c r="Q1885" s="1" t="s">
        <v>145</v>
      </c>
      <c r="R1885" t="str">
        <f>Table11[[#This Row],[Match]]&amp;" "&amp;Table11[[#This Row],[Over]]</f>
        <v>32 29</v>
      </c>
    </row>
    <row r="1886" spans="1:18" x14ac:dyDescent="0.3">
      <c r="A1886">
        <v>32</v>
      </c>
      <c r="B1886" s="1">
        <v>30</v>
      </c>
      <c r="C1886" s="1" t="s">
        <v>3878</v>
      </c>
      <c r="D1886" s="1" t="s">
        <v>1095</v>
      </c>
      <c r="E1886" s="1" t="s">
        <v>1065</v>
      </c>
      <c r="F1886" s="1" t="s">
        <v>1161</v>
      </c>
      <c r="G1886" s="1" t="s">
        <v>2483</v>
      </c>
      <c r="H1886" s="1" t="s">
        <v>1566</v>
      </c>
      <c r="I1886" s="1" t="s">
        <v>970</v>
      </c>
      <c r="J1886" s="1" t="s">
        <v>1116</v>
      </c>
      <c r="K1886" s="1" t="s">
        <v>3110</v>
      </c>
      <c r="L1886" s="1" t="s">
        <v>2877</v>
      </c>
      <c r="M1886" s="1" t="s">
        <v>1113</v>
      </c>
      <c r="N1886">
        <f>_xlfn.NUMBERVALUE(LEFT(Table11[[#This Row],[Score]],FIND("/",Table11[[#This Row],[Score]])-1))</f>
        <v>159</v>
      </c>
      <c r="O1886">
        <f>IFERROR(_xlfn.NUMBERVALUE(LEFT(Table11[[#This Row],[Score2 ]],FIND("/",Table11[[#This Row],[Score2 ]])-1)),"")</f>
        <v>186</v>
      </c>
      <c r="P1886" t="s">
        <v>149</v>
      </c>
      <c r="Q1886" s="1" t="s">
        <v>145</v>
      </c>
      <c r="R1886" t="str">
        <f>Table11[[#This Row],[Match]]&amp;" "&amp;Table11[[#This Row],[Over]]</f>
        <v>32 30</v>
      </c>
    </row>
    <row r="1887" spans="1:18" x14ac:dyDescent="0.3">
      <c r="A1887">
        <v>32</v>
      </c>
      <c r="B1887" s="1">
        <v>31</v>
      </c>
      <c r="C1887" s="1" t="s">
        <v>2374</v>
      </c>
      <c r="D1887" s="1" t="s">
        <v>1095</v>
      </c>
      <c r="E1887" s="1" t="s">
        <v>1599</v>
      </c>
      <c r="F1887" s="1" t="s">
        <v>1219</v>
      </c>
      <c r="G1887" s="1" t="s">
        <v>2286</v>
      </c>
      <c r="H1887" s="1" t="s">
        <v>898</v>
      </c>
      <c r="I1887" s="1" t="s">
        <v>935</v>
      </c>
      <c r="J1887" s="1" t="s">
        <v>1053</v>
      </c>
      <c r="K1887" s="1" t="s">
        <v>2031</v>
      </c>
      <c r="L1887" s="1" t="s">
        <v>2032</v>
      </c>
      <c r="M1887" s="1" t="s">
        <v>1121</v>
      </c>
      <c r="N1887">
        <f>_xlfn.NUMBERVALUE(LEFT(Table11[[#This Row],[Score]],FIND("/",Table11[[#This Row],[Score]])-1))</f>
        <v>169</v>
      </c>
      <c r="O1887">
        <f>IFERROR(_xlfn.NUMBERVALUE(LEFT(Table11[[#This Row],[Score2 ]],FIND("/",Table11[[#This Row],[Score2 ]])-1)),"")</f>
        <v>188</v>
      </c>
      <c r="P1887" t="s">
        <v>149</v>
      </c>
      <c r="Q1887" s="1" t="s">
        <v>145</v>
      </c>
      <c r="R1887" t="str">
        <f>Table11[[#This Row],[Match]]&amp;" "&amp;Table11[[#This Row],[Over]]</f>
        <v>32 31</v>
      </c>
    </row>
    <row r="1888" spans="1:18" x14ac:dyDescent="0.3">
      <c r="A1888">
        <v>32</v>
      </c>
      <c r="B1888" s="1">
        <v>32</v>
      </c>
      <c r="C1888" s="1" t="s">
        <v>2281</v>
      </c>
      <c r="D1888" s="1" t="s">
        <v>916</v>
      </c>
      <c r="E1888" s="1" t="s">
        <v>959</v>
      </c>
      <c r="F1888" s="1" t="s">
        <v>2055</v>
      </c>
      <c r="G1888" s="1" t="s">
        <v>3955</v>
      </c>
      <c r="H1888" s="1" t="s">
        <v>916</v>
      </c>
      <c r="I1888" s="1" t="s">
        <v>953</v>
      </c>
      <c r="J1888" s="1" t="s">
        <v>1116</v>
      </c>
      <c r="K1888" s="1" t="s">
        <v>3115</v>
      </c>
      <c r="L1888" s="1" t="s">
        <v>1097</v>
      </c>
      <c r="M1888" s="1" t="s">
        <v>1127</v>
      </c>
      <c r="N1888">
        <f>_xlfn.NUMBERVALUE(LEFT(Table11[[#This Row],[Score]],FIND("/",Table11[[#This Row],[Score]])-1))</f>
        <v>176</v>
      </c>
      <c r="O1888">
        <f>IFERROR(_xlfn.NUMBERVALUE(LEFT(Table11[[#This Row],[Score2 ]],FIND("/",Table11[[#This Row],[Score2 ]])-1)),"")</f>
        <v>195</v>
      </c>
      <c r="P1888" t="s">
        <v>149</v>
      </c>
      <c r="Q1888" s="1" t="s">
        <v>145</v>
      </c>
      <c r="R1888" t="str">
        <f>Table11[[#This Row],[Match]]&amp;" "&amp;Table11[[#This Row],[Over]]</f>
        <v>32 32</v>
      </c>
    </row>
    <row r="1889" spans="1:18" x14ac:dyDescent="0.3">
      <c r="A1889">
        <v>32</v>
      </c>
      <c r="B1889" s="1">
        <v>33</v>
      </c>
      <c r="C1889" s="1" t="s">
        <v>3956</v>
      </c>
      <c r="D1889" s="1" t="s">
        <v>898</v>
      </c>
      <c r="E1889" s="1" t="s">
        <v>2298</v>
      </c>
      <c r="F1889" s="1" t="s">
        <v>1414</v>
      </c>
      <c r="G1889" s="1" t="s">
        <v>3957</v>
      </c>
      <c r="H1889" s="1" t="s">
        <v>950</v>
      </c>
      <c r="I1889" s="1" t="s">
        <v>935</v>
      </c>
      <c r="J1889" s="1" t="s">
        <v>1116</v>
      </c>
      <c r="K1889" s="1" t="s">
        <v>3958</v>
      </c>
      <c r="L1889" s="1" t="s">
        <v>1107</v>
      </c>
      <c r="M1889" s="1" t="s">
        <v>1132</v>
      </c>
      <c r="N1889">
        <f>_xlfn.NUMBERVALUE(LEFT(Table11[[#This Row],[Score]],FIND("/",Table11[[#This Row],[Score]])-1))</f>
        <v>178</v>
      </c>
      <c r="O1889">
        <f>IFERROR(_xlfn.NUMBERVALUE(LEFT(Table11[[#This Row],[Score2 ]],FIND("/",Table11[[#This Row],[Score2 ]])-1)),"")</f>
        <v>200</v>
      </c>
      <c r="P1889" t="s">
        <v>149</v>
      </c>
      <c r="Q1889" s="1" t="s">
        <v>145</v>
      </c>
      <c r="R1889" t="str">
        <f>Table11[[#This Row],[Match]]&amp;" "&amp;Table11[[#This Row],[Over]]</f>
        <v>32 33</v>
      </c>
    </row>
    <row r="1890" spans="1:18" x14ac:dyDescent="0.3">
      <c r="A1890">
        <v>32</v>
      </c>
      <c r="B1890" s="1">
        <v>34</v>
      </c>
      <c r="C1890" s="1" t="s">
        <v>3959</v>
      </c>
      <c r="D1890" s="1" t="s">
        <v>916</v>
      </c>
      <c r="E1890" s="1" t="s">
        <v>1145</v>
      </c>
      <c r="F1890" s="1" t="s">
        <v>1116</v>
      </c>
      <c r="G1890" s="1" t="s">
        <v>3960</v>
      </c>
      <c r="H1890" s="1" t="s">
        <v>898</v>
      </c>
      <c r="I1890" s="1" t="s">
        <v>2389</v>
      </c>
      <c r="J1890" s="1" t="s">
        <v>960</v>
      </c>
      <c r="K1890" s="1" t="s">
        <v>2044</v>
      </c>
      <c r="L1890" s="1" t="s">
        <v>1341</v>
      </c>
      <c r="M1890" s="1" t="s">
        <v>1138</v>
      </c>
      <c r="N1890">
        <f>_xlfn.NUMBERVALUE(LEFT(Table11[[#This Row],[Score]],FIND("/",Table11[[#This Row],[Score]])-1))</f>
        <v>185</v>
      </c>
      <c r="O1890">
        <f>IFERROR(_xlfn.NUMBERVALUE(LEFT(Table11[[#This Row],[Score2 ]],FIND("/",Table11[[#This Row],[Score2 ]])-1)),"")</f>
        <v>202</v>
      </c>
      <c r="P1890" t="s">
        <v>149</v>
      </c>
      <c r="Q1890" s="1" t="s">
        <v>145</v>
      </c>
      <c r="R1890" t="str">
        <f>Table11[[#This Row],[Match]]&amp;" "&amp;Table11[[#This Row],[Over]]</f>
        <v>32 34</v>
      </c>
    </row>
    <row r="1891" spans="1:18" x14ac:dyDescent="0.3">
      <c r="A1891">
        <v>32</v>
      </c>
      <c r="B1891" s="1">
        <v>35</v>
      </c>
      <c r="C1891" s="1" t="s">
        <v>3261</v>
      </c>
      <c r="D1891" s="1" t="s">
        <v>933</v>
      </c>
      <c r="E1891" s="1" t="s">
        <v>1761</v>
      </c>
      <c r="F1891" s="1" t="s">
        <v>1089</v>
      </c>
      <c r="G1891" s="1" t="s">
        <v>2966</v>
      </c>
      <c r="H1891" s="1" t="s">
        <v>922</v>
      </c>
      <c r="I1891" s="1" t="s">
        <v>2389</v>
      </c>
      <c r="J1891" s="1" t="s">
        <v>940</v>
      </c>
      <c r="K1891" s="1" t="s">
        <v>3961</v>
      </c>
      <c r="L1891" s="1" t="s">
        <v>1112</v>
      </c>
      <c r="M1891" s="1" t="s">
        <v>1143</v>
      </c>
      <c r="N1891">
        <f>_xlfn.NUMBERVALUE(LEFT(Table11[[#This Row],[Score]],FIND("/",Table11[[#This Row],[Score]])-1))</f>
        <v>199</v>
      </c>
      <c r="O1891">
        <f>IFERROR(_xlfn.NUMBERVALUE(LEFT(Table11[[#This Row],[Score2 ]],FIND("/",Table11[[#This Row],[Score2 ]])-1)),"")</f>
        <v>208</v>
      </c>
      <c r="P1891" t="s">
        <v>149</v>
      </c>
      <c r="Q1891" s="1" t="s">
        <v>145</v>
      </c>
      <c r="R1891" t="str">
        <f>Table11[[#This Row],[Match]]&amp;" "&amp;Table11[[#This Row],[Over]]</f>
        <v>32 35</v>
      </c>
    </row>
    <row r="1892" spans="1:18" x14ac:dyDescent="0.3">
      <c r="A1892">
        <v>32</v>
      </c>
      <c r="B1892" s="1">
        <v>36</v>
      </c>
      <c r="C1892" s="1" t="s">
        <v>3960</v>
      </c>
      <c r="D1892" s="1" t="s">
        <v>904</v>
      </c>
      <c r="E1892" s="1" t="s">
        <v>1752</v>
      </c>
      <c r="F1892" s="1" t="s">
        <v>960</v>
      </c>
      <c r="G1892" s="1" t="s">
        <v>3962</v>
      </c>
      <c r="H1892" s="1" t="s">
        <v>1511</v>
      </c>
      <c r="I1892" s="1" t="s">
        <v>1236</v>
      </c>
      <c r="J1892" s="1" t="s">
        <v>1116</v>
      </c>
      <c r="K1892" s="1" t="s">
        <v>3963</v>
      </c>
      <c r="L1892" s="1" t="s">
        <v>1763</v>
      </c>
      <c r="M1892" s="1" t="s">
        <v>1150</v>
      </c>
      <c r="N1892">
        <f>_xlfn.NUMBERVALUE(LEFT(Table11[[#This Row],[Score]],FIND("/",Table11[[#This Row],[Score]])-1))</f>
        <v>202</v>
      </c>
      <c r="O1892">
        <f>IFERROR(_xlfn.NUMBERVALUE(LEFT(Table11[[#This Row],[Score2 ]],FIND("/",Table11[[#This Row],[Score2 ]])-1)),"")</f>
        <v>224</v>
      </c>
      <c r="P1892" t="s">
        <v>149</v>
      </c>
      <c r="Q1892" s="1" t="s">
        <v>145</v>
      </c>
      <c r="R1892" t="str">
        <f>Table11[[#This Row],[Match]]&amp;" "&amp;Table11[[#This Row],[Over]]</f>
        <v>32 36</v>
      </c>
    </row>
    <row r="1893" spans="1:18" x14ac:dyDescent="0.3">
      <c r="A1893">
        <v>32</v>
      </c>
      <c r="B1893" s="1">
        <v>37</v>
      </c>
      <c r="C1893" s="1" t="s">
        <v>2292</v>
      </c>
      <c r="D1893" s="1" t="s">
        <v>1566</v>
      </c>
      <c r="E1893" s="1" t="s">
        <v>1422</v>
      </c>
      <c r="F1893" s="1" t="s">
        <v>1414</v>
      </c>
      <c r="G1893" s="1" t="s">
        <v>2410</v>
      </c>
      <c r="H1893" s="1" t="s">
        <v>1684</v>
      </c>
      <c r="I1893" s="1" t="s">
        <v>1002</v>
      </c>
      <c r="J1893" s="1" t="s">
        <v>1219</v>
      </c>
      <c r="K1893" s="1" t="s">
        <v>3626</v>
      </c>
      <c r="L1893" s="1" t="s">
        <v>1868</v>
      </c>
      <c r="M1893" s="1" t="s">
        <v>1156</v>
      </c>
      <c r="N1893">
        <f>_xlfn.NUMBERVALUE(LEFT(Table11[[#This Row],[Score]],FIND("/",Table11[[#This Row],[Score]])-1))</f>
        <v>219</v>
      </c>
      <c r="O1893">
        <f>IFERROR(_xlfn.NUMBERVALUE(LEFT(Table11[[#This Row],[Score2 ]],FIND("/",Table11[[#This Row],[Score2 ]])-1)),"")</f>
        <v>243</v>
      </c>
      <c r="P1893" t="s">
        <v>149</v>
      </c>
      <c r="Q1893" s="1" t="s">
        <v>145</v>
      </c>
      <c r="R1893" t="str">
        <f>Table11[[#This Row],[Match]]&amp;" "&amp;Table11[[#This Row],[Over]]</f>
        <v>32 37</v>
      </c>
    </row>
    <row r="1894" spans="1:18" x14ac:dyDescent="0.3">
      <c r="A1894">
        <v>32</v>
      </c>
      <c r="B1894" s="1">
        <v>38</v>
      </c>
      <c r="C1894" s="1" t="s">
        <v>3123</v>
      </c>
      <c r="D1894" s="1" t="s">
        <v>1511</v>
      </c>
      <c r="E1894" s="1" t="s">
        <v>907</v>
      </c>
      <c r="F1894" s="1" t="s">
        <v>2084</v>
      </c>
      <c r="G1894" s="1" t="s">
        <v>1602</v>
      </c>
      <c r="H1894" s="1" t="s">
        <v>922</v>
      </c>
      <c r="I1894" s="1" t="s">
        <v>1256</v>
      </c>
      <c r="J1894" s="1" t="s">
        <v>1141</v>
      </c>
      <c r="K1894" s="1" t="s">
        <v>2661</v>
      </c>
      <c r="L1894" s="1" t="s">
        <v>2478</v>
      </c>
      <c r="M1894" s="1" t="s">
        <v>1164</v>
      </c>
      <c r="N1894">
        <f>_xlfn.NUMBERVALUE(LEFT(Table11[[#This Row],[Score]],FIND("/",Table11[[#This Row],[Score]])-1))</f>
        <v>235</v>
      </c>
      <c r="O1894">
        <f>IFERROR(_xlfn.NUMBERVALUE(LEFT(Table11[[#This Row],[Score2 ]],FIND("/",Table11[[#This Row],[Score2 ]])-1)),"")</f>
        <v>249</v>
      </c>
      <c r="P1894" t="s">
        <v>149</v>
      </c>
      <c r="Q1894" s="1" t="s">
        <v>145</v>
      </c>
      <c r="R1894" t="str">
        <f>Table11[[#This Row],[Match]]&amp;" "&amp;Table11[[#This Row],[Over]]</f>
        <v>32 38</v>
      </c>
    </row>
    <row r="1895" spans="1:18" x14ac:dyDescent="0.3">
      <c r="A1895">
        <v>32</v>
      </c>
      <c r="B1895" s="1">
        <v>39</v>
      </c>
      <c r="C1895" s="1" t="s">
        <v>2074</v>
      </c>
      <c r="D1895" s="1" t="s">
        <v>1095</v>
      </c>
      <c r="E1895" s="1" t="s">
        <v>2440</v>
      </c>
      <c r="F1895" s="1" t="s">
        <v>2320</v>
      </c>
      <c r="G1895" s="1" t="s">
        <v>2078</v>
      </c>
      <c r="H1895" s="1" t="s">
        <v>1103</v>
      </c>
      <c r="I1895" s="1" t="s">
        <v>3257</v>
      </c>
      <c r="J1895" s="1" t="s">
        <v>2205</v>
      </c>
      <c r="K1895" s="1" t="s">
        <v>3964</v>
      </c>
      <c r="L1895" s="1" t="s">
        <v>1774</v>
      </c>
      <c r="M1895" s="1" t="s">
        <v>1171</v>
      </c>
      <c r="N1895">
        <f>_xlfn.NUMBERVALUE(LEFT(Table11[[#This Row],[Score]],FIND("/",Table11[[#This Row],[Score]])-1))</f>
        <v>245</v>
      </c>
      <c r="O1895">
        <f>IFERROR(_xlfn.NUMBERVALUE(LEFT(Table11[[#This Row],[Score2 ]],FIND("/",Table11[[#This Row],[Score2 ]])-1)),"")</f>
        <v>261</v>
      </c>
      <c r="P1895" t="s">
        <v>149</v>
      </c>
      <c r="Q1895" s="1" t="s">
        <v>145</v>
      </c>
      <c r="R1895" t="str">
        <f>Table11[[#This Row],[Match]]&amp;" "&amp;Table11[[#This Row],[Over]]</f>
        <v>32 39</v>
      </c>
    </row>
    <row r="1896" spans="1:18" x14ac:dyDescent="0.3">
      <c r="A1896">
        <v>32</v>
      </c>
      <c r="B1896" s="1">
        <v>40</v>
      </c>
      <c r="C1896" s="1" t="s">
        <v>3965</v>
      </c>
      <c r="D1896" s="1" t="s">
        <v>930</v>
      </c>
      <c r="E1896" s="1" t="s">
        <v>1444</v>
      </c>
      <c r="F1896" s="1" t="s">
        <v>1611</v>
      </c>
      <c r="G1896" s="1" t="s">
        <v>3966</v>
      </c>
      <c r="H1896" s="1" t="s">
        <v>1051</v>
      </c>
      <c r="I1896" s="1" t="s">
        <v>1053</v>
      </c>
      <c r="J1896" s="1" t="s">
        <v>2417</v>
      </c>
      <c r="K1896" s="1" t="s">
        <v>3409</v>
      </c>
      <c r="L1896" s="1" t="s">
        <v>1182</v>
      </c>
      <c r="M1896" s="1" t="s">
        <v>1177</v>
      </c>
      <c r="N1896">
        <f>_xlfn.NUMBERVALUE(LEFT(Table11[[#This Row],[Score]],FIND("/",Table11[[#This Row],[Score]])-1))</f>
        <v>253</v>
      </c>
      <c r="O1896">
        <f>IFERROR(_xlfn.NUMBERVALUE(LEFT(Table11[[#This Row],[Score2 ]],FIND("/",Table11[[#This Row],[Score2 ]])-1)),"")</f>
        <v>272</v>
      </c>
      <c r="P1896" t="s">
        <v>149</v>
      </c>
      <c r="Q1896" s="1" t="s">
        <v>145</v>
      </c>
      <c r="R1896" t="str">
        <f>Table11[[#This Row],[Match]]&amp;" "&amp;Table11[[#This Row],[Over]]</f>
        <v>32 40</v>
      </c>
    </row>
    <row r="1897" spans="1:18" x14ac:dyDescent="0.3">
      <c r="A1897">
        <v>32</v>
      </c>
      <c r="B1897" s="1">
        <v>41</v>
      </c>
      <c r="C1897" s="1" t="s">
        <v>3967</v>
      </c>
      <c r="D1897" s="1" t="s">
        <v>1566</v>
      </c>
      <c r="E1897" s="1" t="s">
        <v>1988</v>
      </c>
      <c r="F1897" s="1" t="s">
        <v>1585</v>
      </c>
      <c r="G1897" s="1" t="s">
        <v>3968</v>
      </c>
      <c r="H1897" s="1" t="s">
        <v>930</v>
      </c>
      <c r="I1897" s="1" t="s">
        <v>1803</v>
      </c>
      <c r="J1897" s="1" t="s">
        <v>1207</v>
      </c>
      <c r="K1897" s="1" t="s">
        <v>3712</v>
      </c>
      <c r="L1897" s="1" t="s">
        <v>2752</v>
      </c>
      <c r="M1897" s="1" t="s">
        <v>1183</v>
      </c>
      <c r="N1897">
        <f>_xlfn.NUMBERVALUE(LEFT(Table11[[#This Row],[Score]],FIND("/",Table11[[#This Row],[Score]])-1))</f>
        <v>270</v>
      </c>
      <c r="O1897">
        <f>IFERROR(_xlfn.NUMBERVALUE(LEFT(Table11[[#This Row],[Score2 ]],FIND("/",Table11[[#This Row],[Score2 ]])-1)),"")</f>
        <v>280</v>
      </c>
      <c r="P1897" t="s">
        <v>149</v>
      </c>
      <c r="Q1897" s="1" t="s">
        <v>145</v>
      </c>
      <c r="R1897" t="str">
        <f>Table11[[#This Row],[Match]]&amp;" "&amp;Table11[[#This Row],[Over]]</f>
        <v>32 41</v>
      </c>
    </row>
    <row r="1898" spans="1:18" x14ac:dyDescent="0.3">
      <c r="A1898">
        <v>32</v>
      </c>
      <c r="B1898" s="1">
        <v>42</v>
      </c>
      <c r="C1898" s="1" t="s">
        <v>3968</v>
      </c>
      <c r="D1898" s="1" t="s">
        <v>1095</v>
      </c>
      <c r="E1898" s="1" t="s">
        <v>1260</v>
      </c>
      <c r="F1898" s="1" t="s">
        <v>2207</v>
      </c>
      <c r="G1898" s="1" t="s">
        <v>3969</v>
      </c>
      <c r="H1898" s="1" t="s">
        <v>1103</v>
      </c>
      <c r="I1898" s="1" t="s">
        <v>2505</v>
      </c>
      <c r="J1898" s="1" t="s">
        <v>1141</v>
      </c>
      <c r="K1898" s="1" t="s">
        <v>2040</v>
      </c>
      <c r="L1898" s="1" t="s">
        <v>1791</v>
      </c>
      <c r="M1898" s="1" t="s">
        <v>1190</v>
      </c>
      <c r="N1898">
        <f>_xlfn.NUMBERVALUE(LEFT(Table11[[#This Row],[Score]],FIND("/",Table11[[#This Row],[Score]])-1))</f>
        <v>280</v>
      </c>
      <c r="O1898">
        <f>IFERROR(_xlfn.NUMBERVALUE(LEFT(Table11[[#This Row],[Score2 ]],FIND("/",Table11[[#This Row],[Score2 ]])-1)),"")</f>
        <v>292</v>
      </c>
      <c r="P1898" t="s">
        <v>149</v>
      </c>
      <c r="Q1898" s="1" t="s">
        <v>145</v>
      </c>
      <c r="R1898" t="str">
        <f>Table11[[#This Row],[Match]]&amp;" "&amp;Table11[[#This Row],[Over]]</f>
        <v>32 42</v>
      </c>
    </row>
    <row r="1899" spans="1:18" x14ac:dyDescent="0.3">
      <c r="A1899">
        <v>32</v>
      </c>
      <c r="B1899" s="1">
        <v>43</v>
      </c>
      <c r="C1899" s="1" t="s">
        <v>3970</v>
      </c>
      <c r="D1899" s="1" t="s">
        <v>1670</v>
      </c>
      <c r="E1899" s="1" t="s">
        <v>2212</v>
      </c>
      <c r="F1899" s="1" t="s">
        <v>3246</v>
      </c>
      <c r="G1899" s="1" t="s">
        <v>2082</v>
      </c>
      <c r="H1899" s="1" t="s">
        <v>998</v>
      </c>
      <c r="I1899" s="1" t="s">
        <v>1742</v>
      </c>
      <c r="J1899" s="1" t="s">
        <v>1226</v>
      </c>
      <c r="K1899" s="1" t="s">
        <v>3473</v>
      </c>
      <c r="L1899" s="1" t="s">
        <v>1210</v>
      </c>
      <c r="M1899" s="1" t="s">
        <v>1197</v>
      </c>
      <c r="N1899">
        <f>_xlfn.NUMBERVALUE(LEFT(Table11[[#This Row],[Score]],FIND("/",Table11[[#This Row],[Score]])-1))</f>
        <v>300</v>
      </c>
      <c r="O1899">
        <f>IFERROR(_xlfn.NUMBERVALUE(LEFT(Table11[[#This Row],[Score2 ]],FIND("/",Table11[[#This Row],[Score2 ]])-1)),"")</f>
        <v>296</v>
      </c>
      <c r="P1899" t="s">
        <v>149</v>
      </c>
      <c r="Q1899" s="1" t="s">
        <v>145</v>
      </c>
      <c r="R1899" t="str">
        <f>Table11[[#This Row],[Match]]&amp;" "&amp;Table11[[#This Row],[Over]]</f>
        <v>32 43</v>
      </c>
    </row>
    <row r="1900" spans="1:18" x14ac:dyDescent="0.3">
      <c r="A1900">
        <v>32</v>
      </c>
      <c r="B1900" s="1">
        <v>44</v>
      </c>
      <c r="C1900" s="1" t="s">
        <v>3971</v>
      </c>
      <c r="D1900" s="1" t="s">
        <v>1147</v>
      </c>
      <c r="E1900" s="1" t="s">
        <v>1302</v>
      </c>
      <c r="F1900" s="1" t="s">
        <v>1195</v>
      </c>
      <c r="G1900" s="1" t="s">
        <v>3972</v>
      </c>
      <c r="H1900" s="1" t="s">
        <v>930</v>
      </c>
      <c r="I1900" s="1" t="s">
        <v>1818</v>
      </c>
      <c r="J1900" s="1" t="s">
        <v>1414</v>
      </c>
      <c r="K1900" s="1" t="s">
        <v>1384</v>
      </c>
      <c r="L1900" s="1" t="s">
        <v>1638</v>
      </c>
      <c r="M1900" s="1" t="s">
        <v>1205</v>
      </c>
      <c r="N1900">
        <f>_xlfn.NUMBERVALUE(LEFT(Table11[[#This Row],[Score]],FIND("/",Table11[[#This Row],[Score]])-1))</f>
        <v>315</v>
      </c>
      <c r="O1900">
        <f>IFERROR(_xlfn.NUMBERVALUE(LEFT(Table11[[#This Row],[Score2 ]],FIND("/",Table11[[#This Row],[Score2 ]])-1)),"")</f>
        <v>304</v>
      </c>
      <c r="P1900" t="s">
        <v>149</v>
      </c>
      <c r="Q1900" s="1" t="s">
        <v>145</v>
      </c>
      <c r="R1900" t="str">
        <f>Table11[[#This Row],[Match]]&amp;" "&amp;Table11[[#This Row],[Over]]</f>
        <v>32 44</v>
      </c>
    </row>
    <row r="1901" spans="1:18" x14ac:dyDescent="0.3">
      <c r="A1901">
        <v>32</v>
      </c>
      <c r="B1901" s="1">
        <v>45</v>
      </c>
      <c r="C1901" s="1" t="s">
        <v>3973</v>
      </c>
      <c r="D1901" s="1" t="s">
        <v>922</v>
      </c>
      <c r="E1901" s="1" t="s">
        <v>3239</v>
      </c>
      <c r="F1901" s="1" t="s">
        <v>1585</v>
      </c>
      <c r="G1901" s="1" t="s">
        <v>3974</v>
      </c>
      <c r="H1901" s="1" t="s">
        <v>898</v>
      </c>
      <c r="I1901" s="1" t="s">
        <v>1053</v>
      </c>
      <c r="J1901" s="1" t="s">
        <v>1053</v>
      </c>
      <c r="K1901" s="1" t="s">
        <v>3249</v>
      </c>
      <c r="L1901" s="1" t="s">
        <v>1589</v>
      </c>
      <c r="M1901" s="1" t="s">
        <v>1211</v>
      </c>
      <c r="N1901">
        <f>_xlfn.NUMBERVALUE(LEFT(Table11[[#This Row],[Score]],FIND("/",Table11[[#This Row],[Score]])-1))</f>
        <v>321</v>
      </c>
      <c r="O1901">
        <f>IFERROR(_xlfn.NUMBERVALUE(LEFT(Table11[[#This Row],[Score2 ]],FIND("/",Table11[[#This Row],[Score2 ]])-1)),"")</f>
        <v>306</v>
      </c>
      <c r="P1901" t="s">
        <v>149</v>
      </c>
      <c r="Q1901" s="1" t="s">
        <v>145</v>
      </c>
      <c r="R1901" t="str">
        <f>Table11[[#This Row],[Match]]&amp;" "&amp;Table11[[#This Row],[Over]]</f>
        <v>32 45</v>
      </c>
    </row>
    <row r="1902" spans="1:18" x14ac:dyDescent="0.3">
      <c r="A1902">
        <v>32</v>
      </c>
      <c r="B1902" s="1">
        <v>46</v>
      </c>
      <c r="C1902" s="1" t="s">
        <v>3975</v>
      </c>
      <c r="D1902" s="1" t="s">
        <v>1511</v>
      </c>
      <c r="E1902" s="1" t="s">
        <v>2226</v>
      </c>
      <c r="F1902" s="1" t="s">
        <v>2057</v>
      </c>
      <c r="G1902" s="1" t="s">
        <v>3976</v>
      </c>
      <c r="H1902" s="1" t="s">
        <v>898</v>
      </c>
      <c r="I1902" s="1" t="s">
        <v>3257</v>
      </c>
      <c r="J1902" s="1" t="s">
        <v>934</v>
      </c>
      <c r="K1902" s="1" t="s">
        <v>3977</v>
      </c>
      <c r="L1902" s="1" t="s">
        <v>1640</v>
      </c>
      <c r="M1902" s="1" t="s">
        <v>1216</v>
      </c>
      <c r="N1902">
        <f>_xlfn.NUMBERVALUE(LEFT(Table11[[#This Row],[Score]],FIND("/",Table11[[#This Row],[Score]])-1))</f>
        <v>337</v>
      </c>
      <c r="O1902">
        <f>IFERROR(_xlfn.NUMBERVALUE(LEFT(Table11[[#This Row],[Score2 ]],FIND("/",Table11[[#This Row],[Score2 ]])-1)),"")</f>
        <v>308</v>
      </c>
      <c r="P1902" t="s">
        <v>149</v>
      </c>
      <c r="Q1902" s="1" t="s">
        <v>145</v>
      </c>
      <c r="R1902" t="str">
        <f>Table11[[#This Row],[Match]]&amp;" "&amp;Table11[[#This Row],[Over]]</f>
        <v>32 46</v>
      </c>
    </row>
    <row r="1903" spans="1:18" x14ac:dyDescent="0.3">
      <c r="A1903">
        <v>32</v>
      </c>
      <c r="B1903" s="1">
        <v>47</v>
      </c>
      <c r="C1903" s="1" t="s">
        <v>3978</v>
      </c>
      <c r="D1903" s="1" t="s">
        <v>930</v>
      </c>
      <c r="E1903" s="1" t="s">
        <v>2009</v>
      </c>
      <c r="F1903" s="1" t="s">
        <v>3246</v>
      </c>
      <c r="G1903" s="1" t="s">
        <v>3979</v>
      </c>
      <c r="H1903" s="1" t="s">
        <v>1688</v>
      </c>
      <c r="I1903" s="1" t="s">
        <v>3980</v>
      </c>
      <c r="J1903" s="1" t="s">
        <v>1400</v>
      </c>
      <c r="K1903" s="1" t="s">
        <v>3981</v>
      </c>
      <c r="L1903" s="1" t="s">
        <v>1910</v>
      </c>
      <c r="M1903" s="1" t="s">
        <v>1695</v>
      </c>
      <c r="N1903">
        <f>_xlfn.NUMBERVALUE(LEFT(Table11[[#This Row],[Score]],FIND("/",Table11[[#This Row],[Score]])-1))</f>
        <v>345</v>
      </c>
      <c r="O1903">
        <f>IFERROR(_xlfn.NUMBERVALUE(LEFT(Table11[[#This Row],[Score2 ]],FIND("/",Table11[[#This Row],[Score2 ]])-1)),"")</f>
        <v>312</v>
      </c>
      <c r="P1903" t="s">
        <v>149</v>
      </c>
      <c r="Q1903" s="1" t="s">
        <v>145</v>
      </c>
      <c r="R1903" t="str">
        <f>Table11[[#This Row],[Match]]&amp;" "&amp;Table11[[#This Row],[Over]]</f>
        <v>32 47</v>
      </c>
    </row>
    <row r="1904" spans="1:18" x14ac:dyDescent="0.3">
      <c r="A1904">
        <v>32</v>
      </c>
      <c r="B1904" s="1">
        <v>48</v>
      </c>
      <c r="C1904" s="1" t="s">
        <v>3982</v>
      </c>
      <c r="D1904" s="1" t="s">
        <v>998</v>
      </c>
      <c r="E1904" s="1" t="s">
        <v>1309</v>
      </c>
      <c r="F1904" s="1" t="s">
        <v>1141</v>
      </c>
      <c r="N1904">
        <f>_xlfn.NUMBERVALUE(LEFT(Table11[[#This Row],[Score]],FIND("/",Table11[[#This Row],[Score]])-1))</f>
        <v>349</v>
      </c>
      <c r="O1904" t="str">
        <f>IFERROR(_xlfn.NUMBERVALUE(LEFT(Table11[[#This Row],[Score2 ]],FIND("/",Table11[[#This Row],[Score2 ]])-1)),"")</f>
        <v/>
      </c>
      <c r="P1904" t="s">
        <v>149</v>
      </c>
      <c r="Q1904" s="1" t="s">
        <v>145</v>
      </c>
      <c r="R1904" t="str">
        <f>Table11[[#This Row],[Match]]&amp;" "&amp;Table11[[#This Row],[Over]]</f>
        <v>32 48</v>
      </c>
    </row>
    <row r="1905" spans="1:18" x14ac:dyDescent="0.3">
      <c r="A1905">
        <v>32</v>
      </c>
      <c r="B1905" s="1">
        <v>49</v>
      </c>
      <c r="C1905" s="1" t="s">
        <v>3983</v>
      </c>
      <c r="D1905" s="1" t="s">
        <v>1684</v>
      </c>
      <c r="E1905" s="1" t="s">
        <v>2234</v>
      </c>
      <c r="F1905" s="1" t="s">
        <v>1568</v>
      </c>
      <c r="N1905">
        <f>_xlfn.NUMBERVALUE(LEFT(Table11[[#This Row],[Score]],FIND("/",Table11[[#This Row],[Score]])-1))</f>
        <v>368</v>
      </c>
      <c r="O1905" t="str">
        <f>IFERROR(_xlfn.NUMBERVALUE(LEFT(Table11[[#This Row],[Score2 ]],FIND("/",Table11[[#This Row],[Score2 ]])-1)),"")</f>
        <v/>
      </c>
      <c r="P1905" t="s">
        <v>149</v>
      </c>
      <c r="Q1905" s="1" t="s">
        <v>145</v>
      </c>
      <c r="R1905" t="str">
        <f>Table11[[#This Row],[Match]]&amp;" "&amp;Table11[[#This Row],[Over]]</f>
        <v>32 49</v>
      </c>
    </row>
    <row r="1906" spans="1:18" x14ac:dyDescent="0.3">
      <c r="A1906">
        <v>32</v>
      </c>
      <c r="B1906" s="1">
        <v>50</v>
      </c>
      <c r="C1906" s="1" t="s">
        <v>3984</v>
      </c>
      <c r="D1906" s="1" t="s">
        <v>930</v>
      </c>
      <c r="E1906" s="1" t="s">
        <v>2812</v>
      </c>
      <c r="F1906" s="1" t="s">
        <v>1213</v>
      </c>
      <c r="N1906">
        <f>_xlfn.NUMBERVALUE(LEFT(Table11[[#This Row],[Score]],FIND("/",Table11[[#This Row],[Score]])-1))</f>
        <v>376</v>
      </c>
      <c r="O1906" t="str">
        <f>IFERROR(_xlfn.NUMBERVALUE(LEFT(Table11[[#This Row],[Score2 ]],FIND("/",Table11[[#This Row],[Score2 ]])-1)),"")</f>
        <v/>
      </c>
      <c r="P1906" t="s">
        <v>149</v>
      </c>
      <c r="Q1906" s="1" t="s">
        <v>145</v>
      </c>
      <c r="R1906" t="str">
        <f>Table11[[#This Row],[Match]]&amp;" "&amp;Table11[[#This Row],[Over]]</f>
        <v>32 50</v>
      </c>
    </row>
    <row r="1907" spans="1:18" x14ac:dyDescent="0.3">
      <c r="A1907">
        <v>33</v>
      </c>
      <c r="B1907" s="1">
        <v>1</v>
      </c>
      <c r="C1907" s="1" t="s">
        <v>2986</v>
      </c>
      <c r="D1907" s="1" t="s">
        <v>904</v>
      </c>
      <c r="E1907" s="1" t="s">
        <v>1238</v>
      </c>
      <c r="F1907" s="1" t="s">
        <v>348</v>
      </c>
      <c r="G1907" s="1" t="s">
        <v>1418</v>
      </c>
      <c r="H1907" s="1" t="s">
        <v>904</v>
      </c>
      <c r="I1907" s="1" t="s">
        <v>1238</v>
      </c>
      <c r="J1907" s="1" t="s">
        <v>348</v>
      </c>
      <c r="K1907" s="1" t="s">
        <v>951</v>
      </c>
      <c r="L1907" s="1" t="s">
        <v>936</v>
      </c>
      <c r="M1907" s="1" t="s">
        <v>902</v>
      </c>
      <c r="N1907">
        <f>_xlfn.NUMBERVALUE(LEFT(Table11[[#This Row],[Score]],FIND("/",Table11[[#This Row],[Score]])-1))</f>
        <v>3</v>
      </c>
      <c r="O1907">
        <f>IFERROR(_xlfn.NUMBERVALUE(LEFT(Table11[[#This Row],[Score2 ]],FIND("/",Table11[[#This Row],[Score2 ]])-1)),"")</f>
        <v>3</v>
      </c>
      <c r="P1907" t="s">
        <v>181</v>
      </c>
      <c r="Q1907" s="1" t="s">
        <v>154</v>
      </c>
      <c r="R1907" t="str">
        <f>Table11[[#This Row],[Match]]&amp;" "&amp;Table11[[#This Row],[Over]]</f>
        <v>33 1</v>
      </c>
    </row>
    <row r="1908" spans="1:18" x14ac:dyDescent="0.3">
      <c r="A1908">
        <v>33</v>
      </c>
      <c r="B1908" s="1">
        <v>2</v>
      </c>
      <c r="C1908" s="1" t="s">
        <v>1850</v>
      </c>
      <c r="D1908" s="1" t="s">
        <v>950</v>
      </c>
      <c r="E1908" s="1" t="s">
        <v>939</v>
      </c>
      <c r="F1908" s="1" t="s">
        <v>348</v>
      </c>
      <c r="G1908" s="1" t="s">
        <v>921</v>
      </c>
      <c r="H1908" s="1" t="s">
        <v>1095</v>
      </c>
      <c r="I1908" s="1" t="s">
        <v>1729</v>
      </c>
      <c r="J1908" s="1" t="s">
        <v>348</v>
      </c>
      <c r="K1908" s="1" t="s">
        <v>2070</v>
      </c>
      <c r="L1908" s="1" t="s">
        <v>2116</v>
      </c>
      <c r="M1908" s="1" t="s">
        <v>909</v>
      </c>
      <c r="N1908">
        <f>_xlfn.NUMBERVALUE(LEFT(Table11[[#This Row],[Score]],FIND("/",Table11[[#This Row],[Score]])-1))</f>
        <v>8</v>
      </c>
      <c r="O1908">
        <f>IFERROR(_xlfn.NUMBERVALUE(LEFT(Table11[[#This Row],[Score2 ]],FIND("/",Table11[[#This Row],[Score2 ]])-1)),"")</f>
        <v>13</v>
      </c>
      <c r="P1908" t="s">
        <v>181</v>
      </c>
      <c r="Q1908" s="1" t="s">
        <v>154</v>
      </c>
      <c r="R1908" t="str">
        <f>Table11[[#This Row],[Match]]&amp;" "&amp;Table11[[#This Row],[Over]]</f>
        <v>33 2</v>
      </c>
    </row>
    <row r="1909" spans="1:18" x14ac:dyDescent="0.3">
      <c r="A1909">
        <v>33</v>
      </c>
      <c r="B1909" s="1">
        <v>3</v>
      </c>
      <c r="C1909" s="1" t="s">
        <v>3574</v>
      </c>
      <c r="D1909" s="1" t="s">
        <v>898</v>
      </c>
      <c r="E1909" s="1" t="s">
        <v>1265</v>
      </c>
      <c r="F1909" s="1" t="s">
        <v>348</v>
      </c>
      <c r="G1909" s="1" t="s">
        <v>2689</v>
      </c>
      <c r="H1909" s="1" t="s">
        <v>968</v>
      </c>
      <c r="I1909" s="1" t="s">
        <v>1975</v>
      </c>
      <c r="J1909" s="1" t="s">
        <v>348</v>
      </c>
      <c r="K1909" s="1" t="s">
        <v>951</v>
      </c>
      <c r="L1909" s="1" t="s">
        <v>954</v>
      </c>
      <c r="M1909" s="1" t="s">
        <v>920</v>
      </c>
      <c r="N1909">
        <f>_xlfn.NUMBERVALUE(LEFT(Table11[[#This Row],[Score]],FIND("/",Table11[[#This Row],[Score]])-1))</f>
        <v>10</v>
      </c>
      <c r="O1909">
        <f>IFERROR(_xlfn.NUMBERVALUE(LEFT(Table11[[#This Row],[Score2 ]],FIND("/",Table11[[#This Row],[Score2 ]])-1)),"")</f>
        <v>14</v>
      </c>
      <c r="P1909" t="s">
        <v>181</v>
      </c>
      <c r="Q1909" s="1" t="s">
        <v>154</v>
      </c>
      <c r="R1909" t="str">
        <f>Table11[[#This Row],[Match]]&amp;" "&amp;Table11[[#This Row],[Over]]</f>
        <v>33 3</v>
      </c>
    </row>
    <row r="1910" spans="1:18" x14ac:dyDescent="0.3">
      <c r="A1910">
        <v>33</v>
      </c>
      <c r="B1910" s="1">
        <v>4</v>
      </c>
      <c r="C1910" s="1" t="s">
        <v>2531</v>
      </c>
      <c r="D1910" s="1" t="s">
        <v>898</v>
      </c>
      <c r="E1910" s="1" t="s">
        <v>1238</v>
      </c>
      <c r="F1910" s="1" t="s">
        <v>348</v>
      </c>
      <c r="G1910" s="1" t="s">
        <v>929</v>
      </c>
      <c r="H1910" s="1" t="s">
        <v>916</v>
      </c>
      <c r="I1910" s="1" t="s">
        <v>1722</v>
      </c>
      <c r="J1910" s="1" t="s">
        <v>348</v>
      </c>
      <c r="K1910" s="1" t="s">
        <v>2139</v>
      </c>
      <c r="L1910" s="1" t="s">
        <v>979</v>
      </c>
      <c r="M1910" s="1" t="s">
        <v>928</v>
      </c>
      <c r="N1910">
        <f>_xlfn.NUMBERVALUE(LEFT(Table11[[#This Row],[Score]],FIND("/",Table11[[#This Row],[Score]])-1))</f>
        <v>12</v>
      </c>
      <c r="O1910">
        <f>IFERROR(_xlfn.NUMBERVALUE(LEFT(Table11[[#This Row],[Score2 ]],FIND("/",Table11[[#This Row],[Score2 ]])-1)),"")</f>
        <v>21</v>
      </c>
      <c r="P1910" t="s">
        <v>181</v>
      </c>
      <c r="Q1910" s="1" t="s">
        <v>154</v>
      </c>
      <c r="R1910" t="str">
        <f>Table11[[#This Row],[Match]]&amp;" "&amp;Table11[[#This Row],[Over]]</f>
        <v>33 4</v>
      </c>
    </row>
    <row r="1911" spans="1:18" x14ac:dyDescent="0.3">
      <c r="A1911">
        <v>33</v>
      </c>
      <c r="B1911" s="1">
        <v>5</v>
      </c>
      <c r="C1911" s="1" t="s">
        <v>2531</v>
      </c>
      <c r="D1911" s="1" t="s">
        <v>1007</v>
      </c>
      <c r="E1911" s="1" t="s">
        <v>1088</v>
      </c>
      <c r="F1911" s="1" t="s">
        <v>1088</v>
      </c>
      <c r="G1911" s="1" t="s">
        <v>1631</v>
      </c>
      <c r="H1911" s="1" t="s">
        <v>998</v>
      </c>
      <c r="I1911" s="1" t="s">
        <v>969</v>
      </c>
      <c r="J1911" s="1" t="s">
        <v>969</v>
      </c>
      <c r="K1911" s="1" t="s">
        <v>951</v>
      </c>
      <c r="L1911" s="1" t="s">
        <v>2443</v>
      </c>
      <c r="M1911" s="1" t="s">
        <v>937</v>
      </c>
      <c r="N1911">
        <f>_xlfn.NUMBERVALUE(LEFT(Table11[[#This Row],[Score]],FIND("/",Table11[[#This Row],[Score]])-1))</f>
        <v>12</v>
      </c>
      <c r="O1911">
        <f>IFERROR(_xlfn.NUMBERVALUE(LEFT(Table11[[#This Row],[Score2 ]],FIND("/",Table11[[#This Row],[Score2 ]])-1)),"")</f>
        <v>25</v>
      </c>
      <c r="P1911" t="s">
        <v>181</v>
      </c>
      <c r="Q1911" s="1" t="s">
        <v>154</v>
      </c>
      <c r="R1911" t="str">
        <f>Table11[[#This Row],[Match]]&amp;" "&amp;Table11[[#This Row],[Over]]</f>
        <v>33 5</v>
      </c>
    </row>
    <row r="1912" spans="1:18" x14ac:dyDescent="0.3">
      <c r="A1912">
        <v>33</v>
      </c>
      <c r="B1912" s="1">
        <v>6</v>
      </c>
      <c r="C1912" s="1" t="s">
        <v>2871</v>
      </c>
      <c r="D1912" s="1" t="s">
        <v>950</v>
      </c>
      <c r="E1912" s="1" t="s">
        <v>1656</v>
      </c>
      <c r="F1912" s="1" t="s">
        <v>993</v>
      </c>
      <c r="G1912" s="1" t="s">
        <v>3093</v>
      </c>
      <c r="H1912" s="1" t="s">
        <v>950</v>
      </c>
      <c r="I1912" s="1" t="s">
        <v>969</v>
      </c>
      <c r="J1912" s="1" t="s">
        <v>966</v>
      </c>
      <c r="K1912" s="1" t="s">
        <v>1185</v>
      </c>
      <c r="L1912" s="1" t="s">
        <v>973</v>
      </c>
      <c r="M1912" s="1" t="s">
        <v>945</v>
      </c>
      <c r="N1912">
        <f>_xlfn.NUMBERVALUE(LEFT(Table11[[#This Row],[Score]],FIND("/",Table11[[#This Row],[Score]])-1))</f>
        <v>17</v>
      </c>
      <c r="O1912">
        <f>IFERROR(_xlfn.NUMBERVALUE(LEFT(Table11[[#This Row],[Score2 ]],FIND("/",Table11[[#This Row],[Score2 ]])-1)),"")</f>
        <v>30</v>
      </c>
      <c r="P1912" t="s">
        <v>181</v>
      </c>
      <c r="Q1912" s="1" t="s">
        <v>154</v>
      </c>
      <c r="R1912" t="str">
        <f>Table11[[#This Row],[Match]]&amp;" "&amp;Table11[[#This Row],[Over]]</f>
        <v>33 6</v>
      </c>
    </row>
    <row r="1913" spans="1:18" x14ac:dyDescent="0.3">
      <c r="A1913">
        <v>33</v>
      </c>
      <c r="B1913" s="1">
        <v>7</v>
      </c>
      <c r="C1913" s="1" t="s">
        <v>3577</v>
      </c>
      <c r="D1913" s="1" t="s">
        <v>922</v>
      </c>
      <c r="E1913" s="1" t="s">
        <v>1885</v>
      </c>
      <c r="F1913" s="1" t="s">
        <v>1238</v>
      </c>
      <c r="G1913" s="1" t="s">
        <v>2613</v>
      </c>
      <c r="H1913" s="1" t="s">
        <v>1390</v>
      </c>
      <c r="I1913" s="1" t="s">
        <v>1417</v>
      </c>
      <c r="J1913" s="1" t="s">
        <v>1019</v>
      </c>
      <c r="K1913" s="1" t="s">
        <v>1373</v>
      </c>
      <c r="L1913" s="1" t="s">
        <v>2616</v>
      </c>
      <c r="M1913" s="1" t="s">
        <v>955</v>
      </c>
      <c r="N1913">
        <f>_xlfn.NUMBERVALUE(LEFT(Table11[[#This Row],[Score]],FIND("/",Table11[[#This Row],[Score]])-1))</f>
        <v>23</v>
      </c>
      <c r="O1913">
        <f>IFERROR(_xlfn.NUMBERVALUE(LEFT(Table11[[#This Row],[Score2 ]],FIND("/",Table11[[#This Row],[Score2 ]])-1)),"")</f>
        <v>43</v>
      </c>
      <c r="P1913" t="s">
        <v>181</v>
      </c>
      <c r="Q1913" s="1" t="s">
        <v>154</v>
      </c>
      <c r="R1913" t="str">
        <f>Table11[[#This Row],[Match]]&amp;" "&amp;Table11[[#This Row],[Over]]</f>
        <v>33 7</v>
      </c>
    </row>
    <row r="1914" spans="1:18" x14ac:dyDescent="0.3">
      <c r="A1914">
        <v>33</v>
      </c>
      <c r="B1914" s="1">
        <v>8</v>
      </c>
      <c r="C1914" s="1" t="s">
        <v>2993</v>
      </c>
      <c r="D1914" s="1" t="s">
        <v>904</v>
      </c>
      <c r="E1914" s="1" t="s">
        <v>923</v>
      </c>
      <c r="F1914" s="1" t="s">
        <v>1259</v>
      </c>
      <c r="G1914" s="1" t="s">
        <v>982</v>
      </c>
      <c r="H1914" s="1" t="s">
        <v>998</v>
      </c>
      <c r="I1914" s="1" t="s">
        <v>2334</v>
      </c>
      <c r="J1914" s="1" t="s">
        <v>960</v>
      </c>
      <c r="K1914" s="1" t="s">
        <v>1599</v>
      </c>
      <c r="L1914" s="1" t="s">
        <v>1023</v>
      </c>
      <c r="M1914" s="1" t="s">
        <v>963</v>
      </c>
      <c r="N1914">
        <f>_xlfn.NUMBERVALUE(LEFT(Table11[[#This Row],[Score]],FIND("/",Table11[[#This Row],[Score]])-1))</f>
        <v>26</v>
      </c>
      <c r="O1914">
        <f>IFERROR(_xlfn.NUMBERVALUE(LEFT(Table11[[#This Row],[Score2 ]],FIND("/",Table11[[#This Row],[Score2 ]])-1)),"")</f>
        <v>47</v>
      </c>
      <c r="P1914" t="s">
        <v>181</v>
      </c>
      <c r="Q1914" s="1" t="s">
        <v>154</v>
      </c>
      <c r="R1914" t="str">
        <f>Table11[[#This Row],[Match]]&amp;" "&amp;Table11[[#This Row],[Over]]</f>
        <v>33 8</v>
      </c>
    </row>
    <row r="1915" spans="1:18" x14ac:dyDescent="0.3">
      <c r="A1915">
        <v>33</v>
      </c>
      <c r="B1915" s="1">
        <v>9</v>
      </c>
      <c r="C1915" s="1" t="s">
        <v>2338</v>
      </c>
      <c r="D1915" s="1" t="s">
        <v>998</v>
      </c>
      <c r="E1915" s="1" t="s">
        <v>1265</v>
      </c>
      <c r="F1915" s="1" t="s">
        <v>977</v>
      </c>
      <c r="G1915" s="1" t="s">
        <v>2223</v>
      </c>
      <c r="H1915" s="1" t="s">
        <v>968</v>
      </c>
      <c r="I1915" s="1" t="s">
        <v>2110</v>
      </c>
      <c r="J1915" s="1" t="s">
        <v>966</v>
      </c>
      <c r="K1915" s="1" t="s">
        <v>1607</v>
      </c>
      <c r="L1915" s="1" t="s">
        <v>996</v>
      </c>
      <c r="M1915" s="1" t="s">
        <v>973</v>
      </c>
      <c r="N1915">
        <f>_xlfn.NUMBERVALUE(LEFT(Table11[[#This Row],[Score]],FIND("/",Table11[[#This Row],[Score]])-1))</f>
        <v>30</v>
      </c>
      <c r="O1915">
        <f>IFERROR(_xlfn.NUMBERVALUE(LEFT(Table11[[#This Row],[Score2 ]],FIND("/",Table11[[#This Row],[Score2 ]])-1)),"")</f>
        <v>48</v>
      </c>
      <c r="P1915" t="s">
        <v>181</v>
      </c>
      <c r="Q1915" s="1" t="s">
        <v>154</v>
      </c>
      <c r="R1915" t="str">
        <f>Table11[[#This Row],[Match]]&amp;" "&amp;Table11[[#This Row],[Over]]</f>
        <v>33 9</v>
      </c>
    </row>
    <row r="1916" spans="1:18" x14ac:dyDescent="0.3">
      <c r="A1916">
        <v>33</v>
      </c>
      <c r="B1916" s="1">
        <v>10</v>
      </c>
      <c r="C1916" s="1" t="s">
        <v>1440</v>
      </c>
      <c r="D1916" s="1" t="s">
        <v>898</v>
      </c>
      <c r="E1916" s="1" t="s">
        <v>1259</v>
      </c>
      <c r="F1916" s="1" t="s">
        <v>939</v>
      </c>
      <c r="G1916" s="1" t="s">
        <v>2335</v>
      </c>
      <c r="H1916" s="1" t="s">
        <v>898</v>
      </c>
      <c r="I1916" s="1" t="s">
        <v>969</v>
      </c>
      <c r="J1916" s="1" t="s">
        <v>969</v>
      </c>
      <c r="K1916" s="1" t="s">
        <v>1579</v>
      </c>
      <c r="L1916" s="1" t="s">
        <v>2356</v>
      </c>
      <c r="M1916" s="1" t="s">
        <v>980</v>
      </c>
      <c r="N1916">
        <f>_xlfn.NUMBERVALUE(LEFT(Table11[[#This Row],[Score]],FIND("/",Table11[[#This Row],[Score]])-1))</f>
        <v>32</v>
      </c>
      <c r="O1916">
        <f>IFERROR(_xlfn.NUMBERVALUE(LEFT(Table11[[#This Row],[Score2 ]],FIND("/",Table11[[#This Row],[Score2 ]])-1)),"")</f>
        <v>50</v>
      </c>
      <c r="P1916" t="s">
        <v>181</v>
      </c>
      <c r="Q1916" s="1" t="s">
        <v>154</v>
      </c>
      <c r="R1916" t="str">
        <f>Table11[[#This Row],[Match]]&amp;" "&amp;Table11[[#This Row],[Over]]</f>
        <v>33 10</v>
      </c>
    </row>
    <row r="1917" spans="1:18" x14ac:dyDescent="0.3">
      <c r="A1917">
        <v>33</v>
      </c>
      <c r="B1917" s="1">
        <v>11</v>
      </c>
      <c r="C1917" s="1" t="s">
        <v>3151</v>
      </c>
      <c r="D1917" s="1" t="s">
        <v>950</v>
      </c>
      <c r="E1917" s="1" t="s">
        <v>1271</v>
      </c>
      <c r="F1917" s="1" t="s">
        <v>939</v>
      </c>
      <c r="G1917" s="1" t="s">
        <v>991</v>
      </c>
      <c r="H1917" s="1" t="s">
        <v>904</v>
      </c>
      <c r="I1917" s="1" t="s">
        <v>1561</v>
      </c>
      <c r="J1917" s="1" t="s">
        <v>976</v>
      </c>
      <c r="K1917" s="1" t="s">
        <v>2153</v>
      </c>
      <c r="L1917" s="1" t="s">
        <v>1464</v>
      </c>
      <c r="M1917" s="1" t="s">
        <v>987</v>
      </c>
      <c r="N1917">
        <f>_xlfn.NUMBERVALUE(LEFT(Table11[[#This Row],[Score]],FIND("/",Table11[[#This Row],[Score]])-1))</f>
        <v>37</v>
      </c>
      <c r="O1917">
        <f>IFERROR(_xlfn.NUMBERVALUE(LEFT(Table11[[#This Row],[Score2 ]],FIND("/",Table11[[#This Row],[Score2 ]])-1)),"")</f>
        <v>53</v>
      </c>
      <c r="P1917" t="s">
        <v>181</v>
      </c>
      <c r="Q1917" s="1" t="s">
        <v>154</v>
      </c>
      <c r="R1917" t="str">
        <f>Table11[[#This Row],[Match]]&amp;" "&amp;Table11[[#This Row],[Over]]</f>
        <v>33 11</v>
      </c>
    </row>
    <row r="1918" spans="1:18" x14ac:dyDescent="0.3">
      <c r="A1918">
        <v>33</v>
      </c>
      <c r="B1918" s="1">
        <v>12</v>
      </c>
      <c r="C1918" s="1" t="s">
        <v>1285</v>
      </c>
      <c r="D1918" s="1" t="s">
        <v>1147</v>
      </c>
      <c r="E1918" s="1" t="s">
        <v>989</v>
      </c>
      <c r="F1918" s="1" t="s">
        <v>1013</v>
      </c>
      <c r="G1918" s="1" t="s">
        <v>1000</v>
      </c>
      <c r="H1918" s="1" t="s">
        <v>950</v>
      </c>
      <c r="I1918" s="1" t="s">
        <v>2438</v>
      </c>
      <c r="J1918" s="1" t="s">
        <v>1238</v>
      </c>
      <c r="K1918" s="1" t="s">
        <v>2143</v>
      </c>
      <c r="L1918" s="1" t="s">
        <v>1042</v>
      </c>
      <c r="M1918" s="1" t="s">
        <v>996</v>
      </c>
      <c r="N1918">
        <f>_xlfn.NUMBERVALUE(LEFT(Table11[[#This Row],[Score]],FIND("/",Table11[[#This Row],[Score]])-1))</f>
        <v>52</v>
      </c>
      <c r="O1918">
        <f>IFERROR(_xlfn.NUMBERVALUE(LEFT(Table11[[#This Row],[Score2 ]],FIND("/",Table11[[#This Row],[Score2 ]])-1)),"")</f>
        <v>58</v>
      </c>
      <c r="P1918" t="s">
        <v>181</v>
      </c>
      <c r="Q1918" s="1" t="s">
        <v>154</v>
      </c>
      <c r="R1918" t="str">
        <f>Table11[[#This Row],[Match]]&amp;" "&amp;Table11[[#This Row],[Over]]</f>
        <v>33 12</v>
      </c>
    </row>
    <row r="1919" spans="1:18" x14ac:dyDescent="0.3">
      <c r="A1919">
        <v>33</v>
      </c>
      <c r="B1919" s="1">
        <v>13</v>
      </c>
      <c r="C1919" s="1" t="s">
        <v>1458</v>
      </c>
      <c r="D1919" s="1" t="s">
        <v>922</v>
      </c>
      <c r="E1919" s="1" t="s">
        <v>1001</v>
      </c>
      <c r="F1919" s="1" t="s">
        <v>943</v>
      </c>
      <c r="G1919" s="1" t="s">
        <v>2694</v>
      </c>
      <c r="H1919" s="1" t="s">
        <v>922</v>
      </c>
      <c r="I1919" s="1" t="s">
        <v>1325</v>
      </c>
      <c r="J1919" s="1" t="s">
        <v>1247</v>
      </c>
      <c r="K1919" s="1" t="s">
        <v>1597</v>
      </c>
      <c r="L1919" s="1" t="s">
        <v>2016</v>
      </c>
      <c r="M1919" s="1" t="s">
        <v>1004</v>
      </c>
      <c r="N1919">
        <f>_xlfn.NUMBERVALUE(LEFT(Table11[[#This Row],[Score]],FIND("/",Table11[[#This Row],[Score]])-1))</f>
        <v>58</v>
      </c>
      <c r="O1919">
        <f>IFERROR(_xlfn.NUMBERVALUE(LEFT(Table11[[#This Row],[Score2 ]],FIND("/",Table11[[#This Row],[Score2 ]])-1)),"")</f>
        <v>64</v>
      </c>
      <c r="P1919" t="s">
        <v>181</v>
      </c>
      <c r="Q1919" s="1" t="s">
        <v>154</v>
      </c>
      <c r="R1919" t="str">
        <f>Table11[[#This Row],[Match]]&amp;" "&amp;Table11[[#This Row],[Over]]</f>
        <v>33 13</v>
      </c>
    </row>
    <row r="1920" spans="1:18" x14ac:dyDescent="0.3">
      <c r="A1920">
        <v>33</v>
      </c>
      <c r="B1920" s="1">
        <v>14</v>
      </c>
      <c r="C1920" s="1" t="s">
        <v>2455</v>
      </c>
      <c r="D1920" s="1" t="s">
        <v>998</v>
      </c>
      <c r="E1920" s="1" t="s">
        <v>1006</v>
      </c>
      <c r="F1920" s="1" t="s">
        <v>943</v>
      </c>
      <c r="G1920" s="1" t="s">
        <v>1014</v>
      </c>
      <c r="H1920" s="1" t="s">
        <v>904</v>
      </c>
      <c r="I1920" s="1" t="s">
        <v>1180</v>
      </c>
      <c r="J1920" s="1" t="s">
        <v>990</v>
      </c>
      <c r="K1920" s="1" t="s">
        <v>1013</v>
      </c>
      <c r="L1920" s="1" t="s">
        <v>1048</v>
      </c>
      <c r="M1920" s="1" t="s">
        <v>1010</v>
      </c>
      <c r="N1920">
        <f>_xlfn.NUMBERVALUE(LEFT(Table11[[#This Row],[Score]],FIND("/",Table11[[#This Row],[Score]])-1))</f>
        <v>62</v>
      </c>
      <c r="O1920">
        <f>IFERROR(_xlfn.NUMBERVALUE(LEFT(Table11[[#This Row],[Score2 ]],FIND("/",Table11[[#This Row],[Score2 ]])-1)),"")</f>
        <v>67</v>
      </c>
      <c r="P1920" t="s">
        <v>181</v>
      </c>
      <c r="Q1920" s="1" t="s">
        <v>154</v>
      </c>
      <c r="R1920" t="str">
        <f>Table11[[#This Row],[Match]]&amp;" "&amp;Table11[[#This Row],[Over]]</f>
        <v>33 14</v>
      </c>
    </row>
    <row r="1921" spans="1:18" x14ac:dyDescent="0.3">
      <c r="A1921">
        <v>33</v>
      </c>
      <c r="B1921" s="1">
        <v>15</v>
      </c>
      <c r="C1921" s="1" t="s">
        <v>1998</v>
      </c>
      <c r="D1921" s="1" t="s">
        <v>947</v>
      </c>
      <c r="E1921" s="1" t="s">
        <v>1012</v>
      </c>
      <c r="F1921" s="1" t="s">
        <v>1168</v>
      </c>
      <c r="G1921" s="1" t="s">
        <v>1020</v>
      </c>
      <c r="H1921" s="1" t="s">
        <v>950</v>
      </c>
      <c r="I1921" s="1" t="s">
        <v>1093</v>
      </c>
      <c r="J1921" s="1" t="s">
        <v>940</v>
      </c>
      <c r="K1921" s="1" t="s">
        <v>2375</v>
      </c>
      <c r="L1921" s="1" t="s">
        <v>1024</v>
      </c>
      <c r="M1921" s="1" t="s">
        <v>1016</v>
      </c>
      <c r="N1921">
        <f>_xlfn.NUMBERVALUE(LEFT(Table11[[#This Row],[Score]],FIND("/",Table11[[#This Row],[Score]])-1))</f>
        <v>71</v>
      </c>
      <c r="O1921">
        <f>IFERROR(_xlfn.NUMBERVALUE(LEFT(Table11[[#This Row],[Score2 ]],FIND("/",Table11[[#This Row],[Score2 ]])-1)),"")</f>
        <v>72</v>
      </c>
      <c r="P1921" t="s">
        <v>181</v>
      </c>
      <c r="Q1921" s="1" t="s">
        <v>154</v>
      </c>
      <c r="R1921" t="str">
        <f>Table11[[#This Row],[Match]]&amp;" "&amp;Table11[[#This Row],[Over]]</f>
        <v>33 15</v>
      </c>
    </row>
    <row r="1922" spans="1:18" x14ac:dyDescent="0.3">
      <c r="A1922">
        <v>33</v>
      </c>
      <c r="B1922" s="1">
        <v>16</v>
      </c>
      <c r="C1922" s="1" t="s">
        <v>2624</v>
      </c>
      <c r="D1922" s="1" t="s">
        <v>968</v>
      </c>
      <c r="E1922" s="1" t="s">
        <v>1021</v>
      </c>
      <c r="F1922" s="1" t="s">
        <v>952</v>
      </c>
      <c r="G1922" s="1" t="s">
        <v>1017</v>
      </c>
      <c r="H1922" s="1" t="s">
        <v>904</v>
      </c>
      <c r="I1922" s="1" t="s">
        <v>1018</v>
      </c>
      <c r="J1922" s="1" t="s">
        <v>940</v>
      </c>
      <c r="K1922" s="1" t="s">
        <v>1422</v>
      </c>
      <c r="L1922" s="1" t="s">
        <v>1314</v>
      </c>
      <c r="M1922" s="1" t="s">
        <v>1024</v>
      </c>
      <c r="N1922">
        <f>_xlfn.NUMBERVALUE(LEFT(Table11[[#This Row],[Score]],FIND("/",Table11[[#This Row],[Score]])-1))</f>
        <v>72</v>
      </c>
      <c r="O1922">
        <f>IFERROR(_xlfn.NUMBERVALUE(LEFT(Table11[[#This Row],[Score2 ]],FIND("/",Table11[[#This Row],[Score2 ]])-1)),"")</f>
        <v>75</v>
      </c>
      <c r="P1922" t="s">
        <v>181</v>
      </c>
      <c r="Q1922" s="1" t="s">
        <v>154</v>
      </c>
      <c r="R1922" t="str">
        <f>Table11[[#This Row],[Match]]&amp;" "&amp;Table11[[#This Row],[Over]]</f>
        <v>33 16</v>
      </c>
    </row>
    <row r="1923" spans="1:18" x14ac:dyDescent="0.3">
      <c r="A1923">
        <v>33</v>
      </c>
      <c r="B1923" s="1">
        <v>17</v>
      </c>
      <c r="C1923" s="1" t="s">
        <v>2462</v>
      </c>
      <c r="D1923" s="1" t="s">
        <v>922</v>
      </c>
      <c r="E1923" s="1" t="s">
        <v>1786</v>
      </c>
      <c r="F1923" s="1" t="s">
        <v>1029</v>
      </c>
      <c r="G1923" s="1" t="s">
        <v>3621</v>
      </c>
      <c r="H1923" s="1" t="s">
        <v>950</v>
      </c>
      <c r="I1923" s="1" t="s">
        <v>1321</v>
      </c>
      <c r="J1923" s="1" t="s">
        <v>940</v>
      </c>
      <c r="K1923" s="1" t="s">
        <v>1425</v>
      </c>
      <c r="L1923" s="1" t="s">
        <v>1082</v>
      </c>
      <c r="M1923" s="1" t="s">
        <v>1031</v>
      </c>
      <c r="N1923">
        <f>_xlfn.NUMBERVALUE(LEFT(Table11[[#This Row],[Score]],FIND("/",Table11[[#This Row],[Score]])-1))</f>
        <v>78</v>
      </c>
      <c r="O1923">
        <f>IFERROR(_xlfn.NUMBERVALUE(LEFT(Table11[[#This Row],[Score2 ]],FIND("/",Table11[[#This Row],[Score2 ]])-1)),"")</f>
        <v>80</v>
      </c>
      <c r="P1923" t="s">
        <v>181</v>
      </c>
      <c r="Q1923" s="1" t="s">
        <v>154</v>
      </c>
      <c r="R1923" t="str">
        <f>Table11[[#This Row],[Match]]&amp;" "&amp;Table11[[#This Row],[Over]]</f>
        <v>33 17</v>
      </c>
    </row>
    <row r="1924" spans="1:18" x14ac:dyDescent="0.3">
      <c r="A1924">
        <v>33</v>
      </c>
      <c r="B1924" s="1">
        <v>18</v>
      </c>
      <c r="C1924" s="1" t="s">
        <v>2007</v>
      </c>
      <c r="D1924" s="1" t="s">
        <v>930</v>
      </c>
      <c r="E1924" s="1" t="s">
        <v>2695</v>
      </c>
      <c r="F1924" s="1" t="s">
        <v>934</v>
      </c>
      <c r="G1924" s="1" t="s">
        <v>1307</v>
      </c>
      <c r="H1924" s="1" t="s">
        <v>904</v>
      </c>
      <c r="I1924" s="1" t="s">
        <v>1055</v>
      </c>
      <c r="J1924" s="1" t="s">
        <v>990</v>
      </c>
      <c r="K1924" s="1" t="s">
        <v>3167</v>
      </c>
      <c r="L1924" s="1" t="s">
        <v>1328</v>
      </c>
      <c r="M1924" s="1" t="s">
        <v>1037</v>
      </c>
      <c r="N1924">
        <f>_xlfn.NUMBERVALUE(LEFT(Table11[[#This Row],[Score]],FIND("/",Table11[[#This Row],[Score]])-1))</f>
        <v>86</v>
      </c>
      <c r="O1924">
        <f>IFERROR(_xlfn.NUMBERVALUE(LEFT(Table11[[#This Row],[Score2 ]],FIND("/",Table11[[#This Row],[Score2 ]])-1)),"")</f>
        <v>83</v>
      </c>
      <c r="P1924" t="s">
        <v>181</v>
      </c>
      <c r="Q1924" s="1" t="s">
        <v>154</v>
      </c>
      <c r="R1924" t="str">
        <f>Table11[[#This Row],[Match]]&amp;" "&amp;Table11[[#This Row],[Over]]</f>
        <v>33 18</v>
      </c>
    </row>
    <row r="1925" spans="1:18" x14ac:dyDescent="0.3">
      <c r="A1925">
        <v>33</v>
      </c>
      <c r="B1925" s="1">
        <v>19</v>
      </c>
      <c r="C1925" s="1" t="s">
        <v>2011</v>
      </c>
      <c r="D1925" s="1" t="s">
        <v>904</v>
      </c>
      <c r="E1925" s="1" t="s">
        <v>1018</v>
      </c>
      <c r="F1925" s="1" t="s">
        <v>966</v>
      </c>
      <c r="G1925" s="1" t="s">
        <v>1673</v>
      </c>
      <c r="H1925" s="1" t="s">
        <v>950</v>
      </c>
      <c r="I1925" s="1" t="s">
        <v>1935</v>
      </c>
      <c r="J1925" s="1" t="s">
        <v>931</v>
      </c>
      <c r="K1925" s="1" t="s">
        <v>935</v>
      </c>
      <c r="L1925" s="1" t="s">
        <v>2701</v>
      </c>
      <c r="M1925" s="1" t="s">
        <v>1043</v>
      </c>
      <c r="N1925">
        <f>_xlfn.NUMBERVALUE(LEFT(Table11[[#This Row],[Score]],FIND("/",Table11[[#This Row],[Score]])-1))</f>
        <v>89</v>
      </c>
      <c r="O1925">
        <f>IFERROR(_xlfn.NUMBERVALUE(LEFT(Table11[[#This Row],[Score2 ]],FIND("/",Table11[[#This Row],[Score2 ]])-1)),"")</f>
        <v>88</v>
      </c>
      <c r="P1925" t="s">
        <v>181</v>
      </c>
      <c r="Q1925" s="1" t="s">
        <v>154</v>
      </c>
      <c r="R1925" t="str">
        <f>Table11[[#This Row],[Match]]&amp;" "&amp;Table11[[#This Row],[Over]]</f>
        <v>33 19</v>
      </c>
    </row>
    <row r="1926" spans="1:18" x14ac:dyDescent="0.3">
      <c r="A1926">
        <v>33</v>
      </c>
      <c r="B1926" s="1">
        <v>20</v>
      </c>
      <c r="C1926" s="1" t="s">
        <v>1766</v>
      </c>
      <c r="D1926" s="1" t="s">
        <v>998</v>
      </c>
      <c r="E1926" s="1" t="s">
        <v>1330</v>
      </c>
      <c r="F1926" s="1" t="s">
        <v>940</v>
      </c>
      <c r="G1926" s="1" t="s">
        <v>1054</v>
      </c>
      <c r="H1926" s="1" t="s">
        <v>947</v>
      </c>
      <c r="I1926" s="1" t="s">
        <v>1174</v>
      </c>
      <c r="J1926" s="1" t="s">
        <v>969</v>
      </c>
      <c r="K1926" s="1" t="s">
        <v>2368</v>
      </c>
      <c r="L1926" s="1" t="s">
        <v>2370</v>
      </c>
      <c r="M1926" s="1" t="s">
        <v>1049</v>
      </c>
      <c r="N1926">
        <f>_xlfn.NUMBERVALUE(LEFT(Table11[[#This Row],[Score]],FIND("/",Table11[[#This Row],[Score]])-1))</f>
        <v>93</v>
      </c>
      <c r="O1926">
        <f>IFERROR(_xlfn.NUMBERVALUE(LEFT(Table11[[#This Row],[Score2 ]],FIND("/",Table11[[#This Row],[Score2 ]])-1)),"")</f>
        <v>97</v>
      </c>
      <c r="P1926" t="s">
        <v>181</v>
      </c>
      <c r="Q1926" s="1" t="s">
        <v>154</v>
      </c>
      <c r="R1926" t="str">
        <f>Table11[[#This Row],[Match]]&amp;" "&amp;Table11[[#This Row],[Over]]</f>
        <v>33 20</v>
      </c>
    </row>
    <row r="1927" spans="1:18" x14ac:dyDescent="0.3">
      <c r="A1927">
        <v>33</v>
      </c>
      <c r="B1927" s="1">
        <v>21</v>
      </c>
      <c r="C1927" s="1" t="s">
        <v>2241</v>
      </c>
      <c r="D1927" s="1" t="s">
        <v>904</v>
      </c>
      <c r="E1927" s="1" t="s">
        <v>1362</v>
      </c>
      <c r="F1927" s="1" t="s">
        <v>1093</v>
      </c>
      <c r="G1927" s="1" t="s">
        <v>1066</v>
      </c>
      <c r="H1927" s="1" t="s">
        <v>998</v>
      </c>
      <c r="I1927" s="1" t="s">
        <v>1093</v>
      </c>
      <c r="J1927" s="1" t="s">
        <v>1029</v>
      </c>
      <c r="K1927" s="1" t="s">
        <v>3167</v>
      </c>
      <c r="L1927" s="1" t="s">
        <v>1341</v>
      </c>
      <c r="M1927" s="1" t="s">
        <v>1056</v>
      </c>
      <c r="N1927">
        <f>_xlfn.NUMBERVALUE(LEFT(Table11[[#This Row],[Score]],FIND("/",Table11[[#This Row],[Score]])-1))</f>
        <v>96</v>
      </c>
      <c r="O1927">
        <f>IFERROR(_xlfn.NUMBERVALUE(LEFT(Table11[[#This Row],[Score2 ]],FIND("/",Table11[[#This Row],[Score2 ]])-1)),"")</f>
        <v>101</v>
      </c>
      <c r="P1927" t="s">
        <v>181</v>
      </c>
      <c r="Q1927" s="1" t="s">
        <v>154</v>
      </c>
      <c r="R1927" t="str">
        <f>Table11[[#This Row],[Match]]&amp;" "&amp;Table11[[#This Row],[Over]]</f>
        <v>33 21</v>
      </c>
    </row>
    <row r="1928" spans="1:18" x14ac:dyDescent="0.3">
      <c r="A1928">
        <v>33</v>
      </c>
      <c r="B1928" s="1">
        <v>22</v>
      </c>
      <c r="C1928" s="1" t="s">
        <v>2890</v>
      </c>
      <c r="D1928" s="1" t="s">
        <v>904</v>
      </c>
      <c r="E1928" s="1" t="s">
        <v>1021</v>
      </c>
      <c r="F1928" s="1" t="s">
        <v>931</v>
      </c>
      <c r="G1928" s="1" t="s">
        <v>1777</v>
      </c>
      <c r="H1928" s="1" t="s">
        <v>898</v>
      </c>
      <c r="I1928" s="1" t="s">
        <v>1018</v>
      </c>
      <c r="J1928" s="1" t="s">
        <v>976</v>
      </c>
      <c r="K1928" s="1" t="s">
        <v>918</v>
      </c>
      <c r="L1928" s="1" t="s">
        <v>2642</v>
      </c>
      <c r="M1928" s="1" t="s">
        <v>1063</v>
      </c>
      <c r="N1928">
        <f>_xlfn.NUMBERVALUE(LEFT(Table11[[#This Row],[Score]],FIND("/",Table11[[#This Row],[Score]])-1))</f>
        <v>99</v>
      </c>
      <c r="O1928">
        <f>IFERROR(_xlfn.NUMBERVALUE(LEFT(Table11[[#This Row],[Score2 ]],FIND("/",Table11[[#This Row],[Score2 ]])-1)),"")</f>
        <v>103</v>
      </c>
      <c r="P1928" t="s">
        <v>181</v>
      </c>
      <c r="Q1928" s="1" t="s">
        <v>154</v>
      </c>
      <c r="R1928" t="str">
        <f>Table11[[#This Row],[Match]]&amp;" "&amp;Table11[[#This Row],[Over]]</f>
        <v>33 22</v>
      </c>
    </row>
    <row r="1929" spans="1:18" x14ac:dyDescent="0.3">
      <c r="A1929">
        <v>33</v>
      </c>
      <c r="B1929" s="1">
        <v>23</v>
      </c>
      <c r="C1929" s="1" t="s">
        <v>1073</v>
      </c>
      <c r="D1929" s="1" t="s">
        <v>904</v>
      </c>
      <c r="E1929" s="1" t="s">
        <v>1999</v>
      </c>
      <c r="F1929" s="1" t="s">
        <v>1259</v>
      </c>
      <c r="G1929" s="1" t="s">
        <v>1780</v>
      </c>
      <c r="H1929" s="1" t="s">
        <v>898</v>
      </c>
      <c r="I1929" s="1" t="s">
        <v>1781</v>
      </c>
      <c r="J1929" s="1" t="s">
        <v>940</v>
      </c>
      <c r="K1929" s="1" t="s">
        <v>1723</v>
      </c>
      <c r="L1929" s="1" t="s">
        <v>1851</v>
      </c>
      <c r="M1929" s="1" t="s">
        <v>1070</v>
      </c>
      <c r="N1929">
        <f>_xlfn.NUMBERVALUE(LEFT(Table11[[#This Row],[Score]],FIND("/",Table11[[#This Row],[Score]])-1))</f>
        <v>102</v>
      </c>
      <c r="O1929">
        <f>IFERROR(_xlfn.NUMBERVALUE(LEFT(Table11[[#This Row],[Score2 ]],FIND("/",Table11[[#This Row],[Score2 ]])-1)),"")</f>
        <v>105</v>
      </c>
      <c r="P1929" t="s">
        <v>181</v>
      </c>
      <c r="Q1929" s="1" t="s">
        <v>154</v>
      </c>
      <c r="R1929" t="str">
        <f>Table11[[#This Row],[Match]]&amp;" "&amp;Table11[[#This Row],[Over]]</f>
        <v>33 23</v>
      </c>
    </row>
    <row r="1930" spans="1:18" x14ac:dyDescent="0.3">
      <c r="A1930">
        <v>33</v>
      </c>
      <c r="B1930" s="1">
        <v>24</v>
      </c>
      <c r="C1930" s="1" t="s">
        <v>1517</v>
      </c>
      <c r="D1930" s="1" t="s">
        <v>898</v>
      </c>
      <c r="E1930" s="1" t="s">
        <v>989</v>
      </c>
      <c r="F1930" s="1" t="s">
        <v>1238</v>
      </c>
      <c r="G1930" s="1" t="s">
        <v>3852</v>
      </c>
      <c r="H1930" s="1" t="s">
        <v>922</v>
      </c>
      <c r="I1930" s="1" t="s">
        <v>1344</v>
      </c>
      <c r="J1930" s="1" t="s">
        <v>976</v>
      </c>
      <c r="K1930" s="1" t="s">
        <v>2706</v>
      </c>
      <c r="L1930" s="1" t="s">
        <v>2707</v>
      </c>
      <c r="M1930" s="1" t="s">
        <v>1077</v>
      </c>
      <c r="N1930">
        <f>_xlfn.NUMBERVALUE(LEFT(Table11[[#This Row],[Score]],FIND("/",Table11[[#This Row],[Score]])-1))</f>
        <v>104</v>
      </c>
      <c r="O1930">
        <f>IFERROR(_xlfn.NUMBERVALUE(LEFT(Table11[[#This Row],[Score2 ]],FIND("/",Table11[[#This Row],[Score2 ]])-1)),"")</f>
        <v>111</v>
      </c>
      <c r="P1930" t="s">
        <v>181</v>
      </c>
      <c r="Q1930" s="1" t="s">
        <v>154</v>
      </c>
      <c r="R1930" t="str">
        <f>Table11[[#This Row],[Match]]&amp;" "&amp;Table11[[#This Row],[Over]]</f>
        <v>33 24</v>
      </c>
    </row>
    <row r="1931" spans="1:18" x14ac:dyDescent="0.3">
      <c r="A1931">
        <v>33</v>
      </c>
      <c r="B1931" s="1">
        <v>25</v>
      </c>
      <c r="C1931" s="1" t="s">
        <v>3985</v>
      </c>
      <c r="D1931" s="1" t="s">
        <v>916</v>
      </c>
      <c r="E1931" s="1" t="s">
        <v>965</v>
      </c>
      <c r="F1931" s="1" t="s">
        <v>977</v>
      </c>
      <c r="G1931" s="1" t="s">
        <v>1792</v>
      </c>
      <c r="H1931" s="1" t="s">
        <v>916</v>
      </c>
      <c r="I1931" s="1" t="s">
        <v>1194</v>
      </c>
      <c r="J1931" s="1" t="s">
        <v>931</v>
      </c>
      <c r="K1931" s="1" t="s">
        <v>1444</v>
      </c>
      <c r="L1931" s="1" t="s">
        <v>1538</v>
      </c>
      <c r="M1931" s="1" t="s">
        <v>1083</v>
      </c>
      <c r="N1931">
        <f>_xlfn.NUMBERVALUE(LEFT(Table11[[#This Row],[Score]],FIND("/",Table11[[#This Row],[Score]])-1))</f>
        <v>111</v>
      </c>
      <c r="O1931">
        <f>IFERROR(_xlfn.NUMBERVALUE(LEFT(Table11[[#This Row],[Score2 ]],FIND("/",Table11[[#This Row],[Score2 ]])-1)),"")</f>
        <v>118</v>
      </c>
      <c r="P1931" t="s">
        <v>181</v>
      </c>
      <c r="Q1931" s="1" t="s">
        <v>154</v>
      </c>
      <c r="R1931" t="str">
        <f>Table11[[#This Row],[Match]]&amp;" "&amp;Table11[[#This Row],[Over]]</f>
        <v>33 25</v>
      </c>
    </row>
    <row r="1932" spans="1:18" x14ac:dyDescent="0.3">
      <c r="A1932">
        <v>33</v>
      </c>
      <c r="B1932" s="1">
        <v>26</v>
      </c>
      <c r="C1932" s="1" t="s">
        <v>2893</v>
      </c>
      <c r="D1932" s="1" t="s">
        <v>922</v>
      </c>
      <c r="E1932" s="1" t="s">
        <v>1021</v>
      </c>
      <c r="F1932" s="1" t="s">
        <v>931</v>
      </c>
      <c r="G1932" s="1" t="s">
        <v>3207</v>
      </c>
      <c r="H1932" s="1" t="s">
        <v>904</v>
      </c>
      <c r="I1932" s="1" t="s">
        <v>1330</v>
      </c>
      <c r="J1932" s="1" t="s">
        <v>939</v>
      </c>
      <c r="K1932" s="1" t="s">
        <v>2454</v>
      </c>
      <c r="L1932" s="1" t="s">
        <v>1368</v>
      </c>
      <c r="M1932" s="1" t="s">
        <v>1090</v>
      </c>
      <c r="N1932">
        <f>_xlfn.NUMBERVALUE(LEFT(Table11[[#This Row],[Score]],FIND("/",Table11[[#This Row],[Score]])-1))</f>
        <v>117</v>
      </c>
      <c r="O1932">
        <f>IFERROR(_xlfn.NUMBERVALUE(LEFT(Table11[[#This Row],[Score2 ]],FIND("/",Table11[[#This Row],[Score2 ]])-1)),"")</f>
        <v>121</v>
      </c>
      <c r="P1932" t="s">
        <v>181</v>
      </c>
      <c r="Q1932" s="1" t="s">
        <v>154</v>
      </c>
      <c r="R1932" t="str">
        <f>Table11[[#This Row],[Match]]&amp;" "&amp;Table11[[#This Row],[Over]]</f>
        <v>33 26</v>
      </c>
    </row>
    <row r="1933" spans="1:18" x14ac:dyDescent="0.3">
      <c r="A1933">
        <v>33</v>
      </c>
      <c r="B1933" s="1">
        <v>27</v>
      </c>
      <c r="C1933" s="1" t="s">
        <v>3162</v>
      </c>
      <c r="D1933" s="1" t="s">
        <v>916</v>
      </c>
      <c r="E1933" s="1" t="s">
        <v>1557</v>
      </c>
      <c r="F1933" s="1" t="s">
        <v>969</v>
      </c>
      <c r="G1933" s="1" t="s">
        <v>2645</v>
      </c>
      <c r="H1933" s="1" t="s">
        <v>898</v>
      </c>
      <c r="I1933" s="1" t="s">
        <v>1919</v>
      </c>
      <c r="J1933" s="1" t="s">
        <v>939</v>
      </c>
      <c r="K1933" s="1" t="s">
        <v>2492</v>
      </c>
      <c r="L1933" s="1" t="s">
        <v>1763</v>
      </c>
      <c r="M1933" s="1" t="s">
        <v>1098</v>
      </c>
      <c r="N1933">
        <f>_xlfn.NUMBERVALUE(LEFT(Table11[[#This Row],[Score]],FIND("/",Table11[[#This Row],[Score]])-1))</f>
        <v>124</v>
      </c>
      <c r="O1933">
        <f>IFERROR(_xlfn.NUMBERVALUE(LEFT(Table11[[#This Row],[Score2 ]],FIND("/",Table11[[#This Row],[Score2 ]])-1)),"")</f>
        <v>123</v>
      </c>
      <c r="P1933" t="s">
        <v>181</v>
      </c>
      <c r="Q1933" s="1" t="s">
        <v>154</v>
      </c>
      <c r="R1933" t="str">
        <f>Table11[[#This Row],[Match]]&amp;" "&amp;Table11[[#This Row],[Over]]</f>
        <v>33 27</v>
      </c>
    </row>
    <row r="1934" spans="1:18" x14ac:dyDescent="0.3">
      <c r="A1934">
        <v>33</v>
      </c>
      <c r="B1934" s="1">
        <v>28</v>
      </c>
      <c r="C1934" s="1" t="s">
        <v>1536</v>
      </c>
      <c r="D1934" s="1" t="s">
        <v>922</v>
      </c>
      <c r="E1934" s="1" t="s">
        <v>1028</v>
      </c>
      <c r="F1934" s="1" t="s">
        <v>934</v>
      </c>
      <c r="G1934" s="1" t="s">
        <v>1525</v>
      </c>
      <c r="H1934" s="1" t="s">
        <v>904</v>
      </c>
      <c r="I1934" s="1" t="s">
        <v>1021</v>
      </c>
      <c r="J1934" s="1" t="s">
        <v>931</v>
      </c>
      <c r="K1934" s="1" t="s">
        <v>1815</v>
      </c>
      <c r="L1934" s="1" t="s">
        <v>1083</v>
      </c>
      <c r="M1934" s="1" t="s">
        <v>1101</v>
      </c>
      <c r="N1934">
        <f>_xlfn.NUMBERVALUE(LEFT(Table11[[#This Row],[Score]],FIND("/",Table11[[#This Row],[Score]])-1))</f>
        <v>130</v>
      </c>
      <c r="O1934">
        <f>IFERROR(_xlfn.NUMBERVALUE(LEFT(Table11[[#This Row],[Score2 ]],FIND("/",Table11[[#This Row],[Score2 ]])-1)),"")</f>
        <v>126</v>
      </c>
      <c r="P1934" t="s">
        <v>181</v>
      </c>
      <c r="Q1934" s="1" t="s">
        <v>154</v>
      </c>
      <c r="R1934" t="str">
        <f>Table11[[#This Row],[Match]]&amp;" "&amp;Table11[[#This Row],[Over]]</f>
        <v>33 28</v>
      </c>
    </row>
    <row r="1935" spans="1:18" x14ac:dyDescent="0.3">
      <c r="A1935">
        <v>33</v>
      </c>
      <c r="B1935" s="1">
        <v>29</v>
      </c>
      <c r="C1935" s="1" t="s">
        <v>2138</v>
      </c>
      <c r="D1935" s="1" t="s">
        <v>904</v>
      </c>
      <c r="E1935" s="1" t="s">
        <v>1786</v>
      </c>
      <c r="F1935" s="1" t="s">
        <v>1013</v>
      </c>
      <c r="G1935" s="1" t="s">
        <v>1534</v>
      </c>
      <c r="H1935" s="1" t="s">
        <v>950</v>
      </c>
      <c r="I1935" s="1" t="s">
        <v>1542</v>
      </c>
      <c r="J1935" s="1" t="s">
        <v>939</v>
      </c>
      <c r="K1935" s="1" t="s">
        <v>1818</v>
      </c>
      <c r="L1935" s="1" t="s">
        <v>2165</v>
      </c>
      <c r="M1935" s="1" t="s">
        <v>1108</v>
      </c>
      <c r="N1935">
        <f>_xlfn.NUMBERVALUE(LEFT(Table11[[#This Row],[Score]],FIND("/",Table11[[#This Row],[Score]])-1))</f>
        <v>133</v>
      </c>
      <c r="O1935">
        <f>IFERROR(_xlfn.NUMBERVALUE(LEFT(Table11[[#This Row],[Score2 ]],FIND("/",Table11[[#This Row],[Score2 ]])-1)),"")</f>
        <v>131</v>
      </c>
      <c r="P1935" t="s">
        <v>181</v>
      </c>
      <c r="Q1935" s="1" t="s">
        <v>154</v>
      </c>
      <c r="R1935" t="str">
        <f>Table11[[#This Row],[Match]]&amp;" "&amp;Table11[[#This Row],[Over]]</f>
        <v>33 29</v>
      </c>
    </row>
    <row r="1936" spans="1:18" x14ac:dyDescent="0.3">
      <c r="A1936">
        <v>33</v>
      </c>
      <c r="B1936" s="1">
        <v>30</v>
      </c>
      <c r="C1936" s="1" t="s">
        <v>3986</v>
      </c>
      <c r="D1936" s="1" t="s">
        <v>922</v>
      </c>
      <c r="E1936" s="1" t="s">
        <v>1935</v>
      </c>
      <c r="F1936" s="1" t="s">
        <v>934</v>
      </c>
      <c r="G1936" s="1" t="s">
        <v>2039</v>
      </c>
      <c r="H1936" s="1" t="s">
        <v>898</v>
      </c>
      <c r="I1936" s="1" t="s">
        <v>1999</v>
      </c>
      <c r="J1936" s="1" t="s">
        <v>1238</v>
      </c>
      <c r="K1936" s="1" t="s">
        <v>1302</v>
      </c>
      <c r="L1936" s="1" t="s">
        <v>2469</v>
      </c>
      <c r="M1936" s="1" t="s">
        <v>1113</v>
      </c>
      <c r="N1936">
        <f>_xlfn.NUMBERVALUE(LEFT(Table11[[#This Row],[Score]],FIND("/",Table11[[#This Row],[Score]])-1))</f>
        <v>139</v>
      </c>
      <c r="O1936">
        <f>IFERROR(_xlfn.NUMBERVALUE(LEFT(Table11[[#This Row],[Score2 ]],FIND("/",Table11[[#This Row],[Score2 ]])-1)),"")</f>
        <v>133</v>
      </c>
      <c r="P1936" t="s">
        <v>181</v>
      </c>
      <c r="Q1936" s="1" t="s">
        <v>154</v>
      </c>
      <c r="R1936" t="str">
        <f>Table11[[#This Row],[Match]]&amp;" "&amp;Table11[[#This Row],[Over]]</f>
        <v>33 30</v>
      </c>
    </row>
    <row r="1937" spans="1:18" x14ac:dyDescent="0.3">
      <c r="A1937">
        <v>33</v>
      </c>
      <c r="B1937" s="1">
        <v>31</v>
      </c>
      <c r="C1937" s="1" t="s">
        <v>1347</v>
      </c>
      <c r="D1937" s="1" t="s">
        <v>904</v>
      </c>
      <c r="E1937" s="1" t="s">
        <v>1786</v>
      </c>
      <c r="F1937" s="1" t="s">
        <v>969</v>
      </c>
      <c r="G1937" s="1" t="s">
        <v>1123</v>
      </c>
      <c r="H1937" s="1" t="s">
        <v>998</v>
      </c>
      <c r="I1937" s="1" t="s">
        <v>992</v>
      </c>
      <c r="J1937" s="1" t="s">
        <v>1259</v>
      </c>
      <c r="K1937" s="1" t="s">
        <v>3806</v>
      </c>
      <c r="L1937" s="1" t="s">
        <v>1544</v>
      </c>
      <c r="M1937" s="1" t="s">
        <v>1121</v>
      </c>
      <c r="N1937">
        <f>_xlfn.NUMBERVALUE(LEFT(Table11[[#This Row],[Score]],FIND("/",Table11[[#This Row],[Score]])-1))</f>
        <v>142</v>
      </c>
      <c r="O1937">
        <f>IFERROR(_xlfn.NUMBERVALUE(LEFT(Table11[[#This Row],[Score2 ]],FIND("/",Table11[[#This Row],[Score2 ]])-1)),"")</f>
        <v>137</v>
      </c>
      <c r="P1937" t="s">
        <v>181</v>
      </c>
      <c r="Q1937" s="1" t="s">
        <v>154</v>
      </c>
      <c r="R1937" t="str">
        <f>Table11[[#This Row],[Match]]&amp;" "&amp;Table11[[#This Row],[Over]]</f>
        <v>33 31</v>
      </c>
    </row>
    <row r="1938" spans="1:18" x14ac:dyDescent="0.3">
      <c r="A1938">
        <v>33</v>
      </c>
      <c r="B1938" s="1">
        <v>32</v>
      </c>
      <c r="C1938" s="1" t="s">
        <v>1541</v>
      </c>
      <c r="D1938" s="1" t="s">
        <v>916</v>
      </c>
      <c r="E1938" s="1" t="s">
        <v>1330</v>
      </c>
      <c r="F1938" s="1" t="s">
        <v>969</v>
      </c>
      <c r="G1938" s="1" t="s">
        <v>3987</v>
      </c>
      <c r="H1938" s="1" t="s">
        <v>1095</v>
      </c>
      <c r="I1938" s="1" t="s">
        <v>1557</v>
      </c>
      <c r="J1938" s="1" t="s">
        <v>1093</v>
      </c>
      <c r="K1938" s="1" t="s">
        <v>2112</v>
      </c>
      <c r="L1938" s="1" t="s">
        <v>2061</v>
      </c>
      <c r="M1938" s="1" t="s">
        <v>1127</v>
      </c>
      <c r="N1938">
        <f>_xlfn.NUMBERVALUE(LEFT(Table11[[#This Row],[Score]],FIND("/",Table11[[#This Row],[Score]])-1))</f>
        <v>149</v>
      </c>
      <c r="O1938">
        <f>IFERROR(_xlfn.NUMBERVALUE(LEFT(Table11[[#This Row],[Score2 ]],FIND("/",Table11[[#This Row],[Score2 ]])-1)),"")</f>
        <v>147</v>
      </c>
      <c r="P1938" t="s">
        <v>181</v>
      </c>
      <c r="Q1938" s="1" t="s">
        <v>154</v>
      </c>
      <c r="R1938" t="str">
        <f>Table11[[#This Row],[Match]]&amp;" "&amp;Table11[[#This Row],[Over]]</f>
        <v>33 32</v>
      </c>
    </row>
    <row r="1939" spans="1:18" x14ac:dyDescent="0.3">
      <c r="A1939">
        <v>33</v>
      </c>
      <c r="B1939" s="1">
        <v>33</v>
      </c>
      <c r="C1939" s="1" t="s">
        <v>1545</v>
      </c>
      <c r="D1939" s="1" t="s">
        <v>898</v>
      </c>
      <c r="E1939" s="1" t="s">
        <v>1362</v>
      </c>
      <c r="F1939" s="1" t="s">
        <v>931</v>
      </c>
      <c r="G1939" s="1" t="s">
        <v>3301</v>
      </c>
      <c r="H1939" s="1" t="s">
        <v>904</v>
      </c>
      <c r="I1939" s="1" t="s">
        <v>2895</v>
      </c>
      <c r="J1939" s="1" t="s">
        <v>1093</v>
      </c>
      <c r="K1939" s="1" t="s">
        <v>2229</v>
      </c>
      <c r="L1939" s="1" t="s">
        <v>1108</v>
      </c>
      <c r="M1939" s="1" t="s">
        <v>1132</v>
      </c>
      <c r="N1939">
        <f>_xlfn.NUMBERVALUE(LEFT(Table11[[#This Row],[Score]],FIND("/",Table11[[#This Row],[Score]])-1))</f>
        <v>151</v>
      </c>
      <c r="O1939">
        <f>IFERROR(_xlfn.NUMBERVALUE(LEFT(Table11[[#This Row],[Score2 ]],FIND("/",Table11[[#This Row],[Score2 ]])-1)),"")</f>
        <v>150</v>
      </c>
      <c r="P1939" t="s">
        <v>181</v>
      </c>
      <c r="Q1939" s="1" t="s">
        <v>154</v>
      </c>
      <c r="R1939" t="str">
        <f>Table11[[#This Row],[Match]]&amp;" "&amp;Table11[[#This Row],[Over]]</f>
        <v>33 33</v>
      </c>
    </row>
    <row r="1940" spans="1:18" x14ac:dyDescent="0.3">
      <c r="A1940">
        <v>33</v>
      </c>
      <c r="B1940" s="1">
        <v>34</v>
      </c>
      <c r="C1940" s="1" t="s">
        <v>2654</v>
      </c>
      <c r="D1940" s="1" t="s">
        <v>950</v>
      </c>
      <c r="E1940" s="1" t="s">
        <v>1786</v>
      </c>
      <c r="F1940" s="1" t="s">
        <v>976</v>
      </c>
      <c r="G1940" s="1" t="s">
        <v>3988</v>
      </c>
      <c r="H1940" s="1" t="s">
        <v>950</v>
      </c>
      <c r="I1940" s="1" t="s">
        <v>1919</v>
      </c>
      <c r="J1940" s="1" t="s">
        <v>1093</v>
      </c>
      <c r="K1940" s="1" t="s">
        <v>3211</v>
      </c>
      <c r="L1940" s="1" t="s">
        <v>2721</v>
      </c>
      <c r="M1940" s="1" t="s">
        <v>1138</v>
      </c>
      <c r="N1940">
        <f>_xlfn.NUMBERVALUE(LEFT(Table11[[#This Row],[Score]],FIND("/",Table11[[#This Row],[Score]])-1))</f>
        <v>156</v>
      </c>
      <c r="O1940">
        <f>IFERROR(_xlfn.NUMBERVALUE(LEFT(Table11[[#This Row],[Score2 ]],FIND("/",Table11[[#This Row],[Score2 ]])-1)),"")</f>
        <v>155</v>
      </c>
      <c r="P1940" t="s">
        <v>181</v>
      </c>
      <c r="Q1940" s="1" t="s">
        <v>154</v>
      </c>
      <c r="R1940" t="str">
        <f>Table11[[#This Row],[Match]]&amp;" "&amp;Table11[[#This Row],[Over]]</f>
        <v>33 34</v>
      </c>
    </row>
    <row r="1941" spans="1:18" x14ac:dyDescent="0.3">
      <c r="A1941">
        <v>33</v>
      </c>
      <c r="B1941" s="1">
        <v>35</v>
      </c>
      <c r="C1941" s="1" t="s">
        <v>3163</v>
      </c>
      <c r="D1941" s="1" t="s">
        <v>998</v>
      </c>
      <c r="E1941" s="1" t="s">
        <v>1362</v>
      </c>
      <c r="F1941" s="1" t="s">
        <v>931</v>
      </c>
      <c r="G1941" s="1" t="s">
        <v>3204</v>
      </c>
      <c r="H1941" s="1" t="s">
        <v>922</v>
      </c>
      <c r="I1941" s="1" t="s">
        <v>976</v>
      </c>
      <c r="J1941" s="1" t="s">
        <v>934</v>
      </c>
      <c r="K1941" s="1" t="s">
        <v>2136</v>
      </c>
      <c r="L1941" s="1" t="s">
        <v>1880</v>
      </c>
      <c r="M1941" s="1" t="s">
        <v>1143</v>
      </c>
      <c r="N1941">
        <f>_xlfn.NUMBERVALUE(LEFT(Table11[[#This Row],[Score]],FIND("/",Table11[[#This Row],[Score]])-1))</f>
        <v>160</v>
      </c>
      <c r="O1941">
        <f>IFERROR(_xlfn.NUMBERVALUE(LEFT(Table11[[#This Row],[Score2 ]],FIND("/",Table11[[#This Row],[Score2 ]])-1)),"")</f>
        <v>161</v>
      </c>
      <c r="P1941" t="s">
        <v>181</v>
      </c>
      <c r="Q1941" s="1" t="s">
        <v>154</v>
      </c>
      <c r="R1941" t="str">
        <f>Table11[[#This Row],[Match]]&amp;" "&amp;Table11[[#This Row],[Over]]</f>
        <v>33 35</v>
      </c>
    </row>
    <row r="1942" spans="1:18" x14ac:dyDescent="0.3">
      <c r="A1942">
        <v>33</v>
      </c>
      <c r="B1942" s="1">
        <v>36</v>
      </c>
      <c r="C1942" s="1" t="s">
        <v>2722</v>
      </c>
      <c r="D1942" s="1" t="s">
        <v>916</v>
      </c>
      <c r="E1942" s="1" t="s">
        <v>1935</v>
      </c>
      <c r="F1942" s="1" t="s">
        <v>969</v>
      </c>
      <c r="G1942" s="1" t="s">
        <v>1941</v>
      </c>
      <c r="H1942" s="1" t="s">
        <v>904</v>
      </c>
      <c r="I1942" s="1" t="s">
        <v>1919</v>
      </c>
      <c r="J1942" s="1" t="s">
        <v>966</v>
      </c>
      <c r="K1942" s="1" t="s">
        <v>1089</v>
      </c>
      <c r="L1942" s="1" t="s">
        <v>2312</v>
      </c>
      <c r="M1942" s="1" t="s">
        <v>1150</v>
      </c>
      <c r="N1942">
        <f>_xlfn.NUMBERVALUE(LEFT(Table11[[#This Row],[Score]],FIND("/",Table11[[#This Row],[Score]])-1))</f>
        <v>167</v>
      </c>
      <c r="O1942">
        <f>IFERROR(_xlfn.NUMBERVALUE(LEFT(Table11[[#This Row],[Score2 ]],FIND("/",Table11[[#This Row],[Score2 ]])-1)),"")</f>
        <v>164</v>
      </c>
      <c r="P1942" t="s">
        <v>181</v>
      </c>
      <c r="Q1942" s="1" t="s">
        <v>154</v>
      </c>
      <c r="R1942" t="str">
        <f>Table11[[#This Row],[Match]]&amp;" "&amp;Table11[[#This Row],[Over]]</f>
        <v>33 36</v>
      </c>
    </row>
    <row r="1943" spans="1:18" x14ac:dyDescent="0.3">
      <c r="A1943">
        <v>33</v>
      </c>
      <c r="B1943" s="1">
        <v>37</v>
      </c>
      <c r="C1943" s="1" t="s">
        <v>3989</v>
      </c>
      <c r="D1943" s="1" t="s">
        <v>947</v>
      </c>
      <c r="E1943" s="1" t="s">
        <v>1319</v>
      </c>
      <c r="F1943" s="1" t="s">
        <v>966</v>
      </c>
      <c r="G1943" s="1" t="s">
        <v>2056</v>
      </c>
      <c r="H1943" s="1" t="s">
        <v>950</v>
      </c>
      <c r="I1943" s="1" t="s">
        <v>1781</v>
      </c>
      <c r="J1943" s="1" t="s">
        <v>940</v>
      </c>
      <c r="K1943" s="1" t="s">
        <v>2641</v>
      </c>
      <c r="L1943" s="1" t="s">
        <v>1176</v>
      </c>
      <c r="M1943" s="1" t="s">
        <v>1156</v>
      </c>
      <c r="N1943">
        <f>_xlfn.NUMBERVALUE(LEFT(Table11[[#This Row],[Score]],FIND("/",Table11[[#This Row],[Score]])-1))</f>
        <v>176</v>
      </c>
      <c r="O1943">
        <f>IFERROR(_xlfn.NUMBERVALUE(LEFT(Table11[[#This Row],[Score2 ]],FIND("/",Table11[[#This Row],[Score2 ]])-1)),"")</f>
        <v>169</v>
      </c>
      <c r="P1943" t="s">
        <v>181</v>
      </c>
      <c r="Q1943" s="1" t="s">
        <v>154</v>
      </c>
      <c r="R1943" t="str">
        <f>Table11[[#This Row],[Match]]&amp;" "&amp;Table11[[#This Row],[Over]]</f>
        <v>33 37</v>
      </c>
    </row>
    <row r="1944" spans="1:18" x14ac:dyDescent="0.3">
      <c r="A1944">
        <v>33</v>
      </c>
      <c r="B1944" s="1">
        <v>38</v>
      </c>
      <c r="C1944" s="1" t="s">
        <v>3990</v>
      </c>
      <c r="D1944" s="1" t="s">
        <v>950</v>
      </c>
      <c r="E1944" s="1" t="s">
        <v>1187</v>
      </c>
      <c r="F1944" s="1" t="s">
        <v>1019</v>
      </c>
      <c r="G1944" s="1" t="s">
        <v>1951</v>
      </c>
      <c r="H1944" s="1" t="s">
        <v>998</v>
      </c>
      <c r="I1944" s="1" t="s">
        <v>1919</v>
      </c>
      <c r="J1944" s="1" t="s">
        <v>976</v>
      </c>
      <c r="K1944" s="1" t="s">
        <v>2829</v>
      </c>
      <c r="L1944" s="1" t="s">
        <v>2399</v>
      </c>
      <c r="M1944" s="1" t="s">
        <v>1164</v>
      </c>
      <c r="N1944">
        <f>_xlfn.NUMBERVALUE(LEFT(Table11[[#This Row],[Score]],FIND("/",Table11[[#This Row],[Score]])-1))</f>
        <v>181</v>
      </c>
      <c r="O1944">
        <f>IFERROR(_xlfn.NUMBERVALUE(LEFT(Table11[[#This Row],[Score2 ]],FIND("/",Table11[[#This Row],[Score2 ]])-1)),"")</f>
        <v>173</v>
      </c>
      <c r="P1944" t="s">
        <v>181</v>
      </c>
      <c r="Q1944" s="1" t="s">
        <v>154</v>
      </c>
      <c r="R1944" t="str">
        <f>Table11[[#This Row],[Match]]&amp;" "&amp;Table11[[#This Row],[Over]]</f>
        <v>33 38</v>
      </c>
    </row>
    <row r="1945" spans="1:18" x14ac:dyDescent="0.3">
      <c r="A1945">
        <v>33</v>
      </c>
      <c r="B1945" s="1">
        <v>39</v>
      </c>
      <c r="C1945" s="1" t="s">
        <v>3959</v>
      </c>
      <c r="D1945" s="1" t="s">
        <v>998</v>
      </c>
      <c r="E1945" s="1" t="s">
        <v>1353</v>
      </c>
      <c r="F1945" s="1" t="s">
        <v>1013</v>
      </c>
      <c r="G1945" s="1" t="s">
        <v>2902</v>
      </c>
      <c r="H1945" s="1" t="s">
        <v>950</v>
      </c>
      <c r="I1945" s="1" t="s">
        <v>1781</v>
      </c>
      <c r="J1945" s="1" t="s">
        <v>976</v>
      </c>
      <c r="K1945" s="1" t="s">
        <v>3886</v>
      </c>
      <c r="L1945" s="1" t="s">
        <v>1196</v>
      </c>
      <c r="M1945" s="1" t="s">
        <v>1171</v>
      </c>
      <c r="N1945">
        <f>_xlfn.NUMBERVALUE(LEFT(Table11[[#This Row],[Score]],FIND("/",Table11[[#This Row],[Score]])-1))</f>
        <v>185</v>
      </c>
      <c r="O1945">
        <f>IFERROR(_xlfn.NUMBERVALUE(LEFT(Table11[[#This Row],[Score2 ]],FIND("/",Table11[[#This Row],[Score2 ]])-1)),"")</f>
        <v>178</v>
      </c>
      <c r="P1945" t="s">
        <v>181</v>
      </c>
      <c r="Q1945" s="1" t="s">
        <v>154</v>
      </c>
      <c r="R1945" t="str">
        <f>Table11[[#This Row],[Match]]&amp;" "&amp;Table11[[#This Row],[Over]]</f>
        <v>33 39</v>
      </c>
    </row>
    <row r="1946" spans="1:18" x14ac:dyDescent="0.3">
      <c r="A1946">
        <v>33</v>
      </c>
      <c r="B1946" s="1">
        <v>40</v>
      </c>
      <c r="C1946" s="1" t="s">
        <v>1574</v>
      </c>
      <c r="D1946" s="1" t="s">
        <v>1103</v>
      </c>
      <c r="E1946" s="1" t="s">
        <v>1325</v>
      </c>
      <c r="F1946" s="1" t="s">
        <v>1068</v>
      </c>
      <c r="G1946" s="1" t="s">
        <v>1954</v>
      </c>
      <c r="H1946" s="1" t="s">
        <v>904</v>
      </c>
      <c r="I1946" s="1" t="s">
        <v>1552</v>
      </c>
      <c r="J1946" s="1" t="s">
        <v>939</v>
      </c>
      <c r="K1946" s="1" t="s">
        <v>1136</v>
      </c>
      <c r="L1946" s="1" t="s">
        <v>2537</v>
      </c>
      <c r="M1946" s="1" t="s">
        <v>1177</v>
      </c>
      <c r="N1946">
        <f>_xlfn.NUMBERVALUE(LEFT(Table11[[#This Row],[Score]],FIND("/",Table11[[#This Row],[Score]])-1))</f>
        <v>197</v>
      </c>
      <c r="O1946">
        <f>IFERROR(_xlfn.NUMBERVALUE(LEFT(Table11[[#This Row],[Score2 ]],FIND("/",Table11[[#This Row],[Score2 ]])-1)),"")</f>
        <v>181</v>
      </c>
      <c r="P1946" t="s">
        <v>181</v>
      </c>
      <c r="Q1946" s="1" t="s">
        <v>154</v>
      </c>
      <c r="R1946" t="str">
        <f>Table11[[#This Row],[Match]]&amp;" "&amp;Table11[[#This Row],[Over]]</f>
        <v>33 40</v>
      </c>
    </row>
    <row r="1947" spans="1:18" x14ac:dyDescent="0.3">
      <c r="A1947">
        <v>33</v>
      </c>
      <c r="B1947" s="1">
        <v>41</v>
      </c>
      <c r="C1947" s="1" t="s">
        <v>1581</v>
      </c>
      <c r="D1947" s="1" t="s">
        <v>916</v>
      </c>
      <c r="E1947" s="1" t="s">
        <v>1582</v>
      </c>
      <c r="F1947" s="1" t="s">
        <v>1068</v>
      </c>
      <c r="G1947" s="1" t="s">
        <v>2907</v>
      </c>
      <c r="H1947" s="1" t="s">
        <v>1051</v>
      </c>
      <c r="I1947" s="1" t="s">
        <v>1018</v>
      </c>
      <c r="J1947" s="1" t="s">
        <v>934</v>
      </c>
      <c r="K1947" s="1" t="s">
        <v>1583</v>
      </c>
      <c r="L1947" s="1" t="s">
        <v>1150</v>
      </c>
      <c r="M1947" s="1" t="s">
        <v>1183</v>
      </c>
      <c r="N1947">
        <f>_xlfn.NUMBERVALUE(LEFT(Table11[[#This Row],[Score]],FIND("/",Table11[[#This Row],[Score]])-1))</f>
        <v>204</v>
      </c>
      <c r="O1947">
        <f>IFERROR(_xlfn.NUMBERVALUE(LEFT(Table11[[#This Row],[Score2 ]],FIND("/",Table11[[#This Row],[Score2 ]])-1)),"")</f>
        <v>192</v>
      </c>
      <c r="P1947" t="s">
        <v>181</v>
      </c>
      <c r="Q1947" s="1" t="s">
        <v>154</v>
      </c>
      <c r="R1947" t="str">
        <f>Table11[[#This Row],[Match]]&amp;" "&amp;Table11[[#This Row],[Over]]</f>
        <v>33 41</v>
      </c>
    </row>
    <row r="1948" spans="1:18" x14ac:dyDescent="0.3">
      <c r="A1948">
        <v>33</v>
      </c>
      <c r="B1948" s="1">
        <v>42</v>
      </c>
      <c r="C1948" s="1" t="s">
        <v>2400</v>
      </c>
      <c r="D1948" s="1" t="s">
        <v>1095</v>
      </c>
      <c r="E1948" s="1" t="s">
        <v>2186</v>
      </c>
      <c r="F1948" s="1" t="s">
        <v>1508</v>
      </c>
      <c r="G1948" s="1" t="s">
        <v>3991</v>
      </c>
      <c r="H1948" s="1" t="s">
        <v>1051</v>
      </c>
      <c r="I1948" s="1" t="s">
        <v>2438</v>
      </c>
      <c r="J1948" s="1" t="s">
        <v>1053</v>
      </c>
      <c r="K1948" s="1" t="s">
        <v>2385</v>
      </c>
      <c r="L1948" s="1" t="s">
        <v>1638</v>
      </c>
      <c r="M1948" s="1" t="s">
        <v>1190</v>
      </c>
      <c r="N1948">
        <f>_xlfn.NUMBERVALUE(LEFT(Table11[[#This Row],[Score]],FIND("/",Table11[[#This Row],[Score]])-1))</f>
        <v>214</v>
      </c>
      <c r="O1948">
        <f>IFERROR(_xlfn.NUMBERVALUE(LEFT(Table11[[#This Row],[Score2 ]],FIND("/",Table11[[#This Row],[Score2 ]])-1)),"")</f>
        <v>203</v>
      </c>
      <c r="P1948" t="s">
        <v>181</v>
      </c>
      <c r="Q1948" s="1" t="s">
        <v>154</v>
      </c>
      <c r="R1948" t="str">
        <f>Table11[[#This Row],[Match]]&amp;" "&amp;Table11[[#This Row],[Over]]</f>
        <v>33 42</v>
      </c>
    </row>
    <row r="1949" spans="1:18" x14ac:dyDescent="0.3">
      <c r="A1949">
        <v>33</v>
      </c>
      <c r="B1949" s="1">
        <v>43</v>
      </c>
      <c r="C1949" s="1" t="s">
        <v>3962</v>
      </c>
      <c r="D1949" s="1" t="s">
        <v>1095</v>
      </c>
      <c r="E1949" s="1" t="s">
        <v>1029</v>
      </c>
      <c r="F1949" s="1" t="s">
        <v>1414</v>
      </c>
      <c r="G1949" s="1" t="s">
        <v>3992</v>
      </c>
      <c r="H1949" s="1" t="s">
        <v>930</v>
      </c>
      <c r="I1949" s="1" t="s">
        <v>1045</v>
      </c>
      <c r="J1949" s="1" t="s">
        <v>1508</v>
      </c>
      <c r="K1949" s="1" t="s">
        <v>3400</v>
      </c>
      <c r="L1949" s="1" t="s">
        <v>1910</v>
      </c>
      <c r="M1949" s="1" t="s">
        <v>1197</v>
      </c>
      <c r="N1949">
        <f>_xlfn.NUMBERVALUE(LEFT(Table11[[#This Row],[Score]],FIND("/",Table11[[#This Row],[Score]])-1))</f>
        <v>224</v>
      </c>
      <c r="O1949">
        <f>IFERROR(_xlfn.NUMBERVALUE(LEFT(Table11[[#This Row],[Score2 ]],FIND("/",Table11[[#This Row],[Score2 ]])-1)),"")</f>
        <v>211</v>
      </c>
      <c r="P1949" t="s">
        <v>181</v>
      </c>
      <c r="Q1949" s="1" t="s">
        <v>154</v>
      </c>
      <c r="R1949" t="str">
        <f>Table11[[#This Row],[Match]]&amp;" "&amp;Table11[[#This Row],[Over]]</f>
        <v>33 43</v>
      </c>
    </row>
    <row r="1950" spans="1:18" x14ac:dyDescent="0.3">
      <c r="A1950">
        <v>33</v>
      </c>
      <c r="B1950" s="1">
        <v>44</v>
      </c>
      <c r="C1950" s="1" t="s">
        <v>2972</v>
      </c>
      <c r="D1950" s="1" t="s">
        <v>898</v>
      </c>
      <c r="E1950" s="1" t="s">
        <v>2167</v>
      </c>
      <c r="F1950" s="1" t="s">
        <v>1405</v>
      </c>
      <c r="G1950" s="1" t="s">
        <v>3993</v>
      </c>
      <c r="H1950" s="1" t="s">
        <v>1390</v>
      </c>
      <c r="I1950" s="1" t="s">
        <v>2186</v>
      </c>
      <c r="J1950" s="1" t="s">
        <v>1200</v>
      </c>
      <c r="K1950" s="1" t="s">
        <v>1549</v>
      </c>
      <c r="L1950" s="1" t="s">
        <v>2558</v>
      </c>
      <c r="M1950" s="1" t="s">
        <v>1205</v>
      </c>
      <c r="N1950">
        <f>_xlfn.NUMBERVALUE(LEFT(Table11[[#This Row],[Score]],FIND("/",Table11[[#This Row],[Score]])-1))</f>
        <v>226</v>
      </c>
      <c r="O1950">
        <f>IFERROR(_xlfn.NUMBERVALUE(LEFT(Table11[[#This Row],[Score2 ]],FIND("/",Table11[[#This Row],[Score2 ]])-1)),"")</f>
        <v>224</v>
      </c>
      <c r="P1950" t="s">
        <v>181</v>
      </c>
      <c r="Q1950" s="1" t="s">
        <v>154</v>
      </c>
      <c r="R1950" t="str">
        <f>Table11[[#This Row],[Match]]&amp;" "&amp;Table11[[#This Row],[Over]]</f>
        <v>33 44</v>
      </c>
    </row>
    <row r="1951" spans="1:18" x14ac:dyDescent="0.3">
      <c r="A1951">
        <v>33</v>
      </c>
      <c r="B1951" s="1">
        <v>45</v>
      </c>
      <c r="C1951" s="1" t="s">
        <v>3994</v>
      </c>
      <c r="D1951" s="1" t="s">
        <v>1051</v>
      </c>
      <c r="E1951" s="1" t="s">
        <v>2178</v>
      </c>
      <c r="F1951" s="1" t="s">
        <v>1089</v>
      </c>
      <c r="G1951" s="1" t="s">
        <v>3995</v>
      </c>
      <c r="H1951" s="1" t="s">
        <v>950</v>
      </c>
      <c r="I1951" s="1" t="s">
        <v>1657</v>
      </c>
      <c r="J1951" s="1" t="s">
        <v>1219</v>
      </c>
      <c r="K1951" s="1" t="s">
        <v>1226</v>
      </c>
      <c r="L1951" s="1" t="s">
        <v>2733</v>
      </c>
      <c r="M1951" s="1" t="s">
        <v>1211</v>
      </c>
      <c r="N1951">
        <f>_xlfn.NUMBERVALUE(LEFT(Table11[[#This Row],[Score]],FIND("/",Table11[[#This Row],[Score]])-1))</f>
        <v>237</v>
      </c>
      <c r="O1951">
        <f>IFERROR(_xlfn.NUMBERVALUE(LEFT(Table11[[#This Row],[Score2 ]],FIND("/",Table11[[#This Row],[Score2 ]])-1)),"")</f>
        <v>229</v>
      </c>
      <c r="P1951" t="s">
        <v>181</v>
      </c>
      <c r="Q1951" s="1" t="s">
        <v>154</v>
      </c>
      <c r="R1951" t="str">
        <f>Table11[[#This Row],[Match]]&amp;" "&amp;Table11[[#This Row],[Over]]</f>
        <v>33 45</v>
      </c>
    </row>
    <row r="1952" spans="1:18" x14ac:dyDescent="0.3">
      <c r="A1952">
        <v>33</v>
      </c>
      <c r="B1952" s="1">
        <v>46</v>
      </c>
      <c r="C1952" s="1" t="s">
        <v>3996</v>
      </c>
      <c r="D1952" s="1" t="s">
        <v>922</v>
      </c>
      <c r="E1952" s="1" t="s">
        <v>1727</v>
      </c>
      <c r="F1952" s="1" t="s">
        <v>1168</v>
      </c>
      <c r="G1952" s="1" t="s">
        <v>3997</v>
      </c>
      <c r="H1952" s="1" t="s">
        <v>947</v>
      </c>
      <c r="I1952" s="1" t="s">
        <v>1573</v>
      </c>
      <c r="J1952" s="1" t="s">
        <v>1200</v>
      </c>
      <c r="K1952" s="1" t="s">
        <v>1136</v>
      </c>
      <c r="L1952" s="1" t="s">
        <v>3077</v>
      </c>
      <c r="M1952" s="1" t="s">
        <v>1216</v>
      </c>
      <c r="N1952">
        <f>_xlfn.NUMBERVALUE(LEFT(Table11[[#This Row],[Score]],FIND("/",Table11[[#This Row],[Score]])-1))</f>
        <v>243</v>
      </c>
      <c r="O1952">
        <f>IFERROR(_xlfn.NUMBERVALUE(LEFT(Table11[[#This Row],[Score2 ]],FIND("/",Table11[[#This Row],[Score2 ]])-1)),"")</f>
        <v>238</v>
      </c>
      <c r="P1952" t="s">
        <v>181</v>
      </c>
      <c r="Q1952" s="1" t="s">
        <v>154</v>
      </c>
      <c r="R1952" t="str">
        <f>Table11[[#This Row],[Match]]&amp;" "&amp;Table11[[#This Row],[Over]]</f>
        <v>33 46</v>
      </c>
    </row>
    <row r="1953" spans="1:18" x14ac:dyDescent="0.3">
      <c r="A1953">
        <v>33</v>
      </c>
      <c r="B1953" s="1">
        <v>47</v>
      </c>
      <c r="C1953" s="1" t="s">
        <v>3998</v>
      </c>
      <c r="D1953" s="1" t="s">
        <v>930</v>
      </c>
      <c r="E1953" s="1" t="s">
        <v>2685</v>
      </c>
      <c r="F1953" s="1" t="s">
        <v>1068</v>
      </c>
      <c r="G1953" s="1" t="s">
        <v>3999</v>
      </c>
      <c r="H1953" s="1" t="s">
        <v>916</v>
      </c>
      <c r="I1953" s="1" t="s">
        <v>2449</v>
      </c>
      <c r="J1953" s="1" t="s">
        <v>1335</v>
      </c>
      <c r="K1953" s="1" t="s">
        <v>3710</v>
      </c>
      <c r="L1953" s="1" t="s">
        <v>1666</v>
      </c>
      <c r="M1953" s="1" t="s">
        <v>1223</v>
      </c>
      <c r="N1953">
        <f>_xlfn.NUMBERVALUE(LEFT(Table11[[#This Row],[Score]],FIND("/",Table11[[#This Row],[Score]])-1))</f>
        <v>251</v>
      </c>
      <c r="O1953">
        <f>IFERROR(_xlfn.NUMBERVALUE(LEFT(Table11[[#This Row],[Score2 ]],FIND("/",Table11[[#This Row],[Score2 ]])-1)),"")</f>
        <v>245</v>
      </c>
      <c r="P1953" t="s">
        <v>181</v>
      </c>
      <c r="Q1953" s="1" t="s">
        <v>154</v>
      </c>
      <c r="R1953" t="str">
        <f>Table11[[#This Row],[Match]]&amp;" "&amp;Table11[[#This Row],[Over]]</f>
        <v>33 47</v>
      </c>
    </row>
    <row r="1954" spans="1:18" x14ac:dyDescent="0.3">
      <c r="A1954">
        <v>33</v>
      </c>
      <c r="B1954" s="1">
        <v>48</v>
      </c>
      <c r="C1954" s="1" t="s">
        <v>3892</v>
      </c>
      <c r="D1954" s="1" t="s">
        <v>1051</v>
      </c>
      <c r="E1954" s="1" t="s">
        <v>1599</v>
      </c>
      <c r="F1954" s="1" t="s">
        <v>1508</v>
      </c>
      <c r="G1954" s="1" t="s">
        <v>4000</v>
      </c>
      <c r="H1954" s="1" t="s">
        <v>1147</v>
      </c>
      <c r="I1954" s="1" t="s">
        <v>1373</v>
      </c>
      <c r="J1954" s="1" t="s">
        <v>1141</v>
      </c>
      <c r="K1954" s="1" t="s">
        <v>1089</v>
      </c>
      <c r="L1954" s="1" t="s">
        <v>1511</v>
      </c>
      <c r="M1954" s="1" t="s">
        <v>1103</v>
      </c>
      <c r="N1954">
        <f>_xlfn.NUMBERVALUE(LEFT(Table11[[#This Row],[Score]],FIND("/",Table11[[#This Row],[Score]])-1))</f>
        <v>262</v>
      </c>
      <c r="O1954">
        <f>IFERROR(_xlfn.NUMBERVALUE(LEFT(Table11[[#This Row],[Score2 ]],FIND("/",Table11[[#This Row],[Score2 ]])-1)),"")</f>
        <v>260</v>
      </c>
      <c r="P1954" t="s">
        <v>181</v>
      </c>
      <c r="Q1954" s="1" t="s">
        <v>154</v>
      </c>
      <c r="R1954" t="str">
        <f>Table11[[#This Row],[Match]]&amp;" "&amp;Table11[[#This Row],[Over]]</f>
        <v>33 48</v>
      </c>
    </row>
    <row r="1955" spans="1:18" x14ac:dyDescent="0.3">
      <c r="A1955">
        <v>33</v>
      </c>
      <c r="B1955" s="1">
        <v>49</v>
      </c>
      <c r="C1955" s="1" t="s">
        <v>3335</v>
      </c>
      <c r="D1955" s="1" t="s">
        <v>904</v>
      </c>
      <c r="E1955" s="1" t="s">
        <v>966</v>
      </c>
      <c r="F1955" s="1" t="s">
        <v>1168</v>
      </c>
      <c r="G1955" s="1" t="s">
        <v>4001</v>
      </c>
      <c r="H1955" s="1" t="s">
        <v>1966</v>
      </c>
      <c r="I1955" s="1" t="s">
        <v>4002</v>
      </c>
      <c r="J1955" s="1" t="s">
        <v>4003</v>
      </c>
      <c r="K1955" s="1" t="s">
        <v>4004</v>
      </c>
      <c r="L1955" s="1" t="s">
        <v>1511</v>
      </c>
      <c r="M1955" s="1" t="s">
        <v>947</v>
      </c>
      <c r="N1955">
        <f>_xlfn.NUMBERVALUE(LEFT(Table11[[#This Row],[Score]],FIND("/",Table11[[#This Row],[Score]])-1))</f>
        <v>265</v>
      </c>
      <c r="O1955">
        <f>IFERROR(_xlfn.NUMBERVALUE(LEFT(Table11[[#This Row],[Score2 ]],FIND("/",Table11[[#This Row],[Score2 ]])-1)),"")</f>
        <v>260</v>
      </c>
      <c r="P1955" t="s">
        <v>181</v>
      </c>
      <c r="Q1955" s="1" t="s">
        <v>154</v>
      </c>
      <c r="R1955" t="str">
        <f>Table11[[#This Row],[Match]]&amp;" "&amp;Table11[[#This Row],[Over]]</f>
        <v>33 49</v>
      </c>
    </row>
    <row r="1956" spans="1:18" x14ac:dyDescent="0.3">
      <c r="A1956">
        <v>33</v>
      </c>
      <c r="B1956" s="1">
        <v>50</v>
      </c>
      <c r="C1956" s="1" t="s">
        <v>4005</v>
      </c>
      <c r="D1956" s="1" t="s">
        <v>1095</v>
      </c>
      <c r="E1956" s="1" t="s">
        <v>959</v>
      </c>
      <c r="F1956" s="1" t="s">
        <v>1508</v>
      </c>
      <c r="N1956">
        <f>_xlfn.NUMBERVALUE(LEFT(Table11[[#This Row],[Score]],FIND("/",Table11[[#This Row],[Score]])-1))</f>
        <v>275</v>
      </c>
      <c r="O1956" t="str">
        <f>IFERROR(_xlfn.NUMBERVALUE(LEFT(Table11[[#This Row],[Score2 ]],FIND("/",Table11[[#This Row],[Score2 ]])-1)),"")</f>
        <v/>
      </c>
      <c r="P1956" t="s">
        <v>181</v>
      </c>
      <c r="Q1956" s="1" t="s">
        <v>154</v>
      </c>
      <c r="R1956" t="str">
        <f>Table11[[#This Row],[Match]]&amp;" "&amp;Table11[[#This Row],[Over]]</f>
        <v>33 50</v>
      </c>
    </row>
    <row r="1957" spans="1:18" x14ac:dyDescent="0.3">
      <c r="A1957">
        <v>35</v>
      </c>
      <c r="B1957" s="1">
        <v>1</v>
      </c>
      <c r="C1957" s="1" t="s">
        <v>906</v>
      </c>
      <c r="D1957" s="1" t="s">
        <v>998</v>
      </c>
      <c r="E1957" s="1" t="s">
        <v>939</v>
      </c>
      <c r="F1957" s="1" t="s">
        <v>348</v>
      </c>
      <c r="G1957" s="1" t="s">
        <v>2986</v>
      </c>
      <c r="H1957" s="1" t="s">
        <v>904</v>
      </c>
      <c r="I1957" s="1" t="s">
        <v>1238</v>
      </c>
      <c r="J1957" s="1" t="s">
        <v>348</v>
      </c>
      <c r="K1957" s="1" t="s">
        <v>1779</v>
      </c>
      <c r="L1957" s="1" t="s">
        <v>3617</v>
      </c>
      <c r="M1957" s="1" t="s">
        <v>902</v>
      </c>
      <c r="N1957">
        <f>_xlfn.NUMBERVALUE(LEFT(Table11[[#This Row],[Score]],FIND("/",Table11[[#This Row],[Score]])-1))</f>
        <v>4</v>
      </c>
      <c r="O1957">
        <f>IFERROR(_xlfn.NUMBERVALUE(LEFT(Table11[[#This Row],[Score2 ]],FIND("/",Table11[[#This Row],[Score2 ]])-1)),"")</f>
        <v>3</v>
      </c>
      <c r="P1957" t="s">
        <v>145</v>
      </c>
      <c r="Q1957" s="1" t="s">
        <v>176</v>
      </c>
      <c r="R1957" t="str">
        <f>Table11[[#This Row],[Match]]&amp;" "&amp;Table11[[#This Row],[Over]]</f>
        <v>35 1</v>
      </c>
    </row>
    <row r="1958" spans="1:18" x14ac:dyDescent="0.3">
      <c r="A1958">
        <v>35</v>
      </c>
      <c r="B1958" s="1">
        <v>2</v>
      </c>
      <c r="C1958" s="1" t="s">
        <v>1235</v>
      </c>
      <c r="D1958" s="1" t="s">
        <v>950</v>
      </c>
      <c r="E1958" s="1" t="s">
        <v>1021</v>
      </c>
      <c r="F1958" s="1" t="s">
        <v>348</v>
      </c>
      <c r="G1958" s="1" t="s">
        <v>3188</v>
      </c>
      <c r="H1958" s="1" t="s">
        <v>898</v>
      </c>
      <c r="I1958" s="1" t="s">
        <v>905</v>
      </c>
      <c r="J1958" s="1" t="s">
        <v>348</v>
      </c>
      <c r="K1958" s="1" t="s">
        <v>1783</v>
      </c>
      <c r="L1958" s="1" t="s">
        <v>3618</v>
      </c>
      <c r="M1958" s="1" t="s">
        <v>909</v>
      </c>
      <c r="N1958">
        <f>_xlfn.NUMBERVALUE(LEFT(Table11[[#This Row],[Score]],FIND("/",Table11[[#This Row],[Score]])-1))</f>
        <v>9</v>
      </c>
      <c r="O1958">
        <f>IFERROR(_xlfn.NUMBERVALUE(LEFT(Table11[[#This Row],[Score2 ]],FIND("/",Table11[[#This Row],[Score2 ]])-1)),"")</f>
        <v>5</v>
      </c>
      <c r="P1958" t="s">
        <v>145</v>
      </c>
      <c r="Q1958" s="1" t="s">
        <v>176</v>
      </c>
      <c r="R1958" t="str">
        <f>Table11[[#This Row],[Match]]&amp;" "&amp;Table11[[#This Row],[Over]]</f>
        <v>35 2</v>
      </c>
    </row>
    <row r="1959" spans="1:18" x14ac:dyDescent="0.3">
      <c r="A1959">
        <v>35</v>
      </c>
      <c r="B1959" s="1">
        <v>3</v>
      </c>
      <c r="C1959" s="1" t="s">
        <v>1239</v>
      </c>
      <c r="D1959" s="1" t="s">
        <v>904</v>
      </c>
      <c r="E1959" s="1" t="s">
        <v>939</v>
      </c>
      <c r="F1959" s="1" t="s">
        <v>348</v>
      </c>
      <c r="G1959" s="1" t="s">
        <v>1243</v>
      </c>
      <c r="H1959" s="1" t="s">
        <v>916</v>
      </c>
      <c r="I1959" s="1" t="s">
        <v>939</v>
      </c>
      <c r="J1959" s="1" t="s">
        <v>348</v>
      </c>
      <c r="K1959" s="1" t="s">
        <v>2810</v>
      </c>
      <c r="L1959" s="1" t="s">
        <v>3456</v>
      </c>
      <c r="M1959" s="1" t="s">
        <v>920</v>
      </c>
      <c r="N1959">
        <f>_xlfn.NUMBERVALUE(LEFT(Table11[[#This Row],[Score]],FIND("/",Table11[[#This Row],[Score]])-1))</f>
        <v>12</v>
      </c>
      <c r="O1959">
        <f>IFERROR(_xlfn.NUMBERVALUE(LEFT(Table11[[#This Row],[Score2 ]],FIND("/",Table11[[#This Row],[Score2 ]])-1)),"")</f>
        <v>12</v>
      </c>
      <c r="P1959" t="s">
        <v>145</v>
      </c>
      <c r="Q1959" s="1" t="s">
        <v>176</v>
      </c>
      <c r="R1959" t="str">
        <f>Table11[[#This Row],[Match]]&amp;" "&amp;Table11[[#This Row],[Over]]</f>
        <v>35 3</v>
      </c>
    </row>
    <row r="1960" spans="1:18" x14ac:dyDescent="0.3">
      <c r="A1960">
        <v>35</v>
      </c>
      <c r="B1960" s="1">
        <v>4</v>
      </c>
      <c r="C1960" s="1" t="s">
        <v>1424</v>
      </c>
      <c r="D1960" s="1" t="s">
        <v>904</v>
      </c>
      <c r="E1960" s="1" t="s">
        <v>1276</v>
      </c>
      <c r="F1960" s="1" t="s">
        <v>348</v>
      </c>
      <c r="G1960" s="1" t="s">
        <v>3147</v>
      </c>
      <c r="H1960" s="1" t="s">
        <v>904</v>
      </c>
      <c r="I1960" s="1" t="s">
        <v>1276</v>
      </c>
      <c r="J1960" s="1" t="s">
        <v>348</v>
      </c>
      <c r="K1960" s="1" t="s">
        <v>3097</v>
      </c>
      <c r="L1960" s="1" t="s">
        <v>3458</v>
      </c>
      <c r="M1960" s="1" t="s">
        <v>928</v>
      </c>
      <c r="N1960">
        <f>_xlfn.NUMBERVALUE(LEFT(Table11[[#This Row],[Score]],FIND("/",Table11[[#This Row],[Score]])-1))</f>
        <v>15</v>
      </c>
      <c r="O1960">
        <f>IFERROR(_xlfn.NUMBERVALUE(LEFT(Table11[[#This Row],[Score2 ]],FIND("/",Table11[[#This Row],[Score2 ]])-1)),"")</f>
        <v>15</v>
      </c>
      <c r="P1960" t="s">
        <v>145</v>
      </c>
      <c r="Q1960" s="1" t="s">
        <v>176</v>
      </c>
      <c r="R1960" t="str">
        <f>Table11[[#This Row],[Match]]&amp;" "&amp;Table11[[#This Row],[Over]]</f>
        <v>35 4</v>
      </c>
    </row>
    <row r="1961" spans="1:18" x14ac:dyDescent="0.3">
      <c r="A1961">
        <v>35</v>
      </c>
      <c r="B1961" s="1">
        <v>5</v>
      </c>
      <c r="C1961" s="1" t="s">
        <v>1725</v>
      </c>
      <c r="D1961" s="1" t="s">
        <v>968</v>
      </c>
      <c r="E1961" s="1" t="s">
        <v>1259</v>
      </c>
      <c r="F1961" s="1" t="s">
        <v>1259</v>
      </c>
      <c r="G1961" s="1" t="s">
        <v>2530</v>
      </c>
      <c r="H1961" s="1" t="s">
        <v>904</v>
      </c>
      <c r="I1961" s="1" t="s">
        <v>977</v>
      </c>
      <c r="J1961" s="1" t="s">
        <v>977</v>
      </c>
      <c r="K1961" s="1" t="s">
        <v>3314</v>
      </c>
      <c r="L1961" s="1" t="s">
        <v>3463</v>
      </c>
      <c r="M1961" s="1" t="s">
        <v>937</v>
      </c>
      <c r="N1961">
        <f>_xlfn.NUMBERVALUE(LEFT(Table11[[#This Row],[Score]],FIND("/",Table11[[#This Row],[Score]])-1))</f>
        <v>16</v>
      </c>
      <c r="O1961">
        <f>IFERROR(_xlfn.NUMBERVALUE(LEFT(Table11[[#This Row],[Score2 ]],FIND("/",Table11[[#This Row],[Score2 ]])-1)),"")</f>
        <v>18</v>
      </c>
      <c r="P1961" t="s">
        <v>145</v>
      </c>
      <c r="Q1961" s="1" t="s">
        <v>176</v>
      </c>
      <c r="R1961" t="str">
        <f>Table11[[#This Row],[Match]]&amp;" "&amp;Table11[[#This Row],[Over]]</f>
        <v>35 5</v>
      </c>
    </row>
    <row r="1962" spans="1:18" x14ac:dyDescent="0.3">
      <c r="A1962">
        <v>35</v>
      </c>
      <c r="B1962" s="1">
        <v>6</v>
      </c>
      <c r="C1962" s="1" t="s">
        <v>1254</v>
      </c>
      <c r="D1962" s="1" t="s">
        <v>1095</v>
      </c>
      <c r="E1962" s="1" t="s">
        <v>989</v>
      </c>
      <c r="F1962" s="1" t="s">
        <v>940</v>
      </c>
      <c r="G1962" s="1" t="s">
        <v>3149</v>
      </c>
      <c r="H1962" s="1" t="s">
        <v>922</v>
      </c>
      <c r="I1962" s="1" t="s">
        <v>939</v>
      </c>
      <c r="J1962" s="1" t="s">
        <v>931</v>
      </c>
      <c r="K1962" s="1" t="s">
        <v>1327</v>
      </c>
      <c r="L1962" s="1" t="s">
        <v>3627</v>
      </c>
      <c r="M1962" s="1" t="s">
        <v>945</v>
      </c>
      <c r="N1962">
        <f>_xlfn.NUMBERVALUE(LEFT(Table11[[#This Row],[Score]],FIND("/",Table11[[#This Row],[Score]])-1))</f>
        <v>26</v>
      </c>
      <c r="O1962">
        <f>IFERROR(_xlfn.NUMBERVALUE(LEFT(Table11[[#This Row],[Score2 ]],FIND("/",Table11[[#This Row],[Score2 ]])-1)),"")</f>
        <v>24</v>
      </c>
      <c r="P1962" t="s">
        <v>145</v>
      </c>
      <c r="Q1962" s="1" t="s">
        <v>176</v>
      </c>
      <c r="R1962" t="str">
        <f>Table11[[#This Row],[Match]]&amp;" "&amp;Table11[[#This Row],[Over]]</f>
        <v>35 6</v>
      </c>
    </row>
    <row r="1963" spans="1:18" x14ac:dyDescent="0.3">
      <c r="A1963">
        <v>35</v>
      </c>
      <c r="B1963" s="1">
        <v>7</v>
      </c>
      <c r="C1963" s="1" t="s">
        <v>2690</v>
      </c>
      <c r="D1963" s="1" t="s">
        <v>968</v>
      </c>
      <c r="E1963" s="1" t="s">
        <v>1518</v>
      </c>
      <c r="F1963" s="1" t="s">
        <v>977</v>
      </c>
      <c r="G1963" s="1" t="s">
        <v>1254</v>
      </c>
      <c r="H1963" s="1" t="s">
        <v>898</v>
      </c>
      <c r="I1963" s="1" t="s">
        <v>1255</v>
      </c>
      <c r="J1963" s="1" t="s">
        <v>931</v>
      </c>
      <c r="K1963" s="1" t="s">
        <v>2949</v>
      </c>
      <c r="L1963" s="1" t="s">
        <v>2209</v>
      </c>
      <c r="M1963" s="1" t="s">
        <v>955</v>
      </c>
      <c r="N1963">
        <f>_xlfn.NUMBERVALUE(LEFT(Table11[[#This Row],[Score]],FIND("/",Table11[[#This Row],[Score]])-1))</f>
        <v>27</v>
      </c>
      <c r="O1963">
        <f>IFERROR(_xlfn.NUMBERVALUE(LEFT(Table11[[#This Row],[Score2 ]],FIND("/",Table11[[#This Row],[Score2 ]])-1)),"")</f>
        <v>26</v>
      </c>
      <c r="P1963" t="s">
        <v>145</v>
      </c>
      <c r="Q1963" s="1" t="s">
        <v>176</v>
      </c>
      <c r="R1963" t="str">
        <f>Table11[[#This Row],[Match]]&amp;" "&amp;Table11[[#This Row],[Over]]</f>
        <v>35 7</v>
      </c>
    </row>
    <row r="1964" spans="1:18" x14ac:dyDescent="0.3">
      <c r="A1964">
        <v>35</v>
      </c>
      <c r="B1964" s="1">
        <v>8</v>
      </c>
      <c r="C1964" s="1" t="s">
        <v>1262</v>
      </c>
      <c r="D1964" s="1" t="s">
        <v>950</v>
      </c>
      <c r="E1964" s="1" t="s">
        <v>939</v>
      </c>
      <c r="F1964" s="1" t="s">
        <v>939</v>
      </c>
      <c r="G1964" s="1" t="s">
        <v>2803</v>
      </c>
      <c r="H1964" s="1" t="s">
        <v>904</v>
      </c>
      <c r="I1964" s="1" t="s">
        <v>1258</v>
      </c>
      <c r="J1964" s="1" t="s">
        <v>1247</v>
      </c>
      <c r="K1964" s="1" t="s">
        <v>2996</v>
      </c>
      <c r="L1964" s="1" t="s">
        <v>3193</v>
      </c>
      <c r="M1964" s="1" t="s">
        <v>963</v>
      </c>
      <c r="N1964">
        <f>_xlfn.NUMBERVALUE(LEFT(Table11[[#This Row],[Score]],FIND("/",Table11[[#This Row],[Score]])-1))</f>
        <v>32</v>
      </c>
      <c r="O1964">
        <f>IFERROR(_xlfn.NUMBERVALUE(LEFT(Table11[[#This Row],[Score2 ]],FIND("/",Table11[[#This Row],[Score2 ]])-1)),"")</f>
        <v>29</v>
      </c>
      <c r="P1964" t="s">
        <v>145</v>
      </c>
      <c r="Q1964" s="1" t="s">
        <v>176</v>
      </c>
      <c r="R1964" t="str">
        <f>Table11[[#This Row],[Match]]&amp;" "&amp;Table11[[#This Row],[Over]]</f>
        <v>35 8</v>
      </c>
    </row>
    <row r="1965" spans="1:18" x14ac:dyDescent="0.3">
      <c r="A1965">
        <v>35</v>
      </c>
      <c r="B1965" s="1">
        <v>9</v>
      </c>
      <c r="C1965" s="1" t="s">
        <v>1268</v>
      </c>
      <c r="D1965" s="1" t="s">
        <v>998</v>
      </c>
      <c r="E1965" s="1" t="s">
        <v>939</v>
      </c>
      <c r="F1965" s="1" t="s">
        <v>931</v>
      </c>
      <c r="G1965" s="1" t="s">
        <v>1978</v>
      </c>
      <c r="H1965" s="1" t="s">
        <v>998</v>
      </c>
      <c r="I1965" s="1" t="s">
        <v>917</v>
      </c>
      <c r="J1965" s="1" t="s">
        <v>977</v>
      </c>
      <c r="K1965" s="1" t="s">
        <v>3875</v>
      </c>
      <c r="L1965" s="1" t="s">
        <v>3629</v>
      </c>
      <c r="M1965" s="1" t="s">
        <v>973</v>
      </c>
      <c r="N1965">
        <f>_xlfn.NUMBERVALUE(LEFT(Table11[[#This Row],[Score]],FIND("/",Table11[[#This Row],[Score]])-1))</f>
        <v>36</v>
      </c>
      <c r="O1965">
        <f>IFERROR(_xlfn.NUMBERVALUE(LEFT(Table11[[#This Row],[Score2 ]],FIND("/",Table11[[#This Row],[Score2 ]])-1)),"")</f>
        <v>33</v>
      </c>
      <c r="P1965" t="s">
        <v>145</v>
      </c>
      <c r="Q1965" s="1" t="s">
        <v>176</v>
      </c>
      <c r="R1965" t="str">
        <f>Table11[[#This Row],[Match]]&amp;" "&amp;Table11[[#This Row],[Over]]</f>
        <v>35 9</v>
      </c>
    </row>
    <row r="1966" spans="1:18" x14ac:dyDescent="0.3">
      <c r="A1966">
        <v>35</v>
      </c>
      <c r="B1966" s="1">
        <v>10</v>
      </c>
      <c r="C1966" s="1" t="s">
        <v>975</v>
      </c>
      <c r="D1966" s="1" t="s">
        <v>1095</v>
      </c>
      <c r="E1966" s="1" t="s">
        <v>976</v>
      </c>
      <c r="F1966" s="1" t="s">
        <v>1019</v>
      </c>
      <c r="G1966" s="1" t="s">
        <v>1443</v>
      </c>
      <c r="H1966" s="1" t="s">
        <v>898</v>
      </c>
      <c r="I1966" s="1" t="s">
        <v>925</v>
      </c>
      <c r="J1966" s="1" t="s">
        <v>1247</v>
      </c>
      <c r="K1966" s="1" t="s">
        <v>1523</v>
      </c>
      <c r="L1966" s="1" t="s">
        <v>2085</v>
      </c>
      <c r="M1966" s="1" t="s">
        <v>980</v>
      </c>
      <c r="N1966">
        <f>_xlfn.NUMBERVALUE(LEFT(Table11[[#This Row],[Score]],FIND("/",Table11[[#This Row],[Score]])-1))</f>
        <v>46</v>
      </c>
      <c r="O1966">
        <f>IFERROR(_xlfn.NUMBERVALUE(LEFT(Table11[[#This Row],[Score2 ]],FIND("/",Table11[[#This Row],[Score2 ]])-1)),"")</f>
        <v>35</v>
      </c>
      <c r="P1966" t="s">
        <v>145</v>
      </c>
      <c r="Q1966" s="1" t="s">
        <v>176</v>
      </c>
      <c r="R1966" t="str">
        <f>Table11[[#This Row],[Match]]&amp;" "&amp;Table11[[#This Row],[Over]]</f>
        <v>35 10</v>
      </c>
    </row>
    <row r="1967" spans="1:18" x14ac:dyDescent="0.3">
      <c r="A1967">
        <v>35</v>
      </c>
      <c r="B1967" s="1">
        <v>11</v>
      </c>
      <c r="C1967" s="1" t="s">
        <v>3759</v>
      </c>
      <c r="D1967" s="1" t="s">
        <v>930</v>
      </c>
      <c r="E1967" s="1" t="s">
        <v>1045</v>
      </c>
      <c r="F1967" s="1" t="s">
        <v>934</v>
      </c>
      <c r="G1967" s="1" t="s">
        <v>1447</v>
      </c>
      <c r="H1967" s="1" t="s">
        <v>947</v>
      </c>
      <c r="I1967" s="1" t="s">
        <v>939</v>
      </c>
      <c r="J1967" s="1" t="s">
        <v>939</v>
      </c>
      <c r="K1967" s="1" t="s">
        <v>1405</v>
      </c>
      <c r="L1967" s="1" t="s">
        <v>3092</v>
      </c>
      <c r="M1967" s="1" t="s">
        <v>987</v>
      </c>
      <c r="N1967">
        <f>_xlfn.NUMBERVALUE(LEFT(Table11[[#This Row],[Score]],FIND("/",Table11[[#This Row],[Score]])-1))</f>
        <v>54</v>
      </c>
      <c r="O1967">
        <f>IFERROR(_xlfn.NUMBERVALUE(LEFT(Table11[[#This Row],[Score2 ]],FIND("/",Table11[[#This Row],[Score2 ]])-1)),"")</f>
        <v>44</v>
      </c>
      <c r="P1967" t="s">
        <v>145</v>
      </c>
      <c r="Q1967" s="1" t="s">
        <v>176</v>
      </c>
      <c r="R1967" t="str">
        <f>Table11[[#This Row],[Match]]&amp;" "&amp;Table11[[#This Row],[Over]]</f>
        <v>35 11</v>
      </c>
    </row>
    <row r="1968" spans="1:18" x14ac:dyDescent="0.3">
      <c r="A1968">
        <v>35</v>
      </c>
      <c r="B1968" s="1">
        <v>12</v>
      </c>
      <c r="C1968" s="1" t="s">
        <v>1287</v>
      </c>
      <c r="D1968" s="1" t="s">
        <v>916</v>
      </c>
      <c r="E1968" s="1" t="s">
        <v>1657</v>
      </c>
      <c r="F1968" s="1" t="s">
        <v>1053</v>
      </c>
      <c r="G1968" s="1" t="s">
        <v>3282</v>
      </c>
      <c r="H1968" s="1" t="s">
        <v>904</v>
      </c>
      <c r="I1968" s="1" t="s">
        <v>1278</v>
      </c>
      <c r="J1968" s="1" t="s">
        <v>931</v>
      </c>
      <c r="K1968" s="1" t="s">
        <v>3216</v>
      </c>
      <c r="L1968" s="1" t="s">
        <v>2089</v>
      </c>
      <c r="M1968" s="1" t="s">
        <v>996</v>
      </c>
      <c r="N1968">
        <f>_xlfn.NUMBERVALUE(LEFT(Table11[[#This Row],[Score]],FIND("/",Table11[[#This Row],[Score]])-1))</f>
        <v>61</v>
      </c>
      <c r="O1968">
        <f>IFERROR(_xlfn.NUMBERVALUE(LEFT(Table11[[#This Row],[Score2 ]],FIND("/",Table11[[#This Row],[Score2 ]])-1)),"")</f>
        <v>47</v>
      </c>
      <c r="P1968" t="s">
        <v>145</v>
      </c>
      <c r="Q1968" s="1" t="s">
        <v>176</v>
      </c>
      <c r="R1968" t="str">
        <f>Table11[[#This Row],[Match]]&amp;" "&amp;Table11[[#This Row],[Over]]</f>
        <v>35 12</v>
      </c>
    </row>
    <row r="1969" spans="1:18" x14ac:dyDescent="0.3">
      <c r="A1969">
        <v>35</v>
      </c>
      <c r="B1969" s="1">
        <v>13</v>
      </c>
      <c r="C1969" s="1" t="s">
        <v>3194</v>
      </c>
      <c r="D1969" s="1" t="s">
        <v>898</v>
      </c>
      <c r="E1969" s="1" t="s">
        <v>1160</v>
      </c>
      <c r="F1969" s="1" t="s">
        <v>970</v>
      </c>
      <c r="G1969" s="1" t="s">
        <v>3344</v>
      </c>
      <c r="H1969" s="1" t="s">
        <v>930</v>
      </c>
      <c r="I1969" s="1" t="s">
        <v>1532</v>
      </c>
      <c r="J1969" s="1" t="s">
        <v>1029</v>
      </c>
      <c r="K1969" s="1" t="s">
        <v>3697</v>
      </c>
      <c r="L1969" s="1" t="s">
        <v>2998</v>
      </c>
      <c r="M1969" s="1" t="s">
        <v>1004</v>
      </c>
      <c r="N1969">
        <f>_xlfn.NUMBERVALUE(LEFT(Table11[[#This Row],[Score]],FIND("/",Table11[[#This Row],[Score]])-1))</f>
        <v>63</v>
      </c>
      <c r="O1969">
        <f>IFERROR(_xlfn.NUMBERVALUE(LEFT(Table11[[#This Row],[Score2 ]],FIND("/",Table11[[#This Row],[Score2 ]])-1)),"")</f>
        <v>55</v>
      </c>
      <c r="P1969" t="s">
        <v>145</v>
      </c>
      <c r="Q1969" s="1" t="s">
        <v>176</v>
      </c>
      <c r="R1969" t="str">
        <f>Table11[[#This Row],[Match]]&amp;" "&amp;Table11[[#This Row],[Over]]</f>
        <v>35 13</v>
      </c>
    </row>
    <row r="1970" spans="1:18" x14ac:dyDescent="0.3">
      <c r="A1970">
        <v>35</v>
      </c>
      <c r="B1970" s="1">
        <v>14</v>
      </c>
      <c r="C1970" s="1" t="s">
        <v>3310</v>
      </c>
      <c r="D1970" s="1" t="s">
        <v>950</v>
      </c>
      <c r="E1970" s="1" t="s">
        <v>1174</v>
      </c>
      <c r="F1970" s="1" t="s">
        <v>943</v>
      </c>
      <c r="G1970" s="1" t="s">
        <v>1471</v>
      </c>
      <c r="H1970" s="1" t="s">
        <v>968</v>
      </c>
      <c r="I1970" s="1" t="s">
        <v>939</v>
      </c>
      <c r="J1970" s="1" t="s">
        <v>976</v>
      </c>
      <c r="K1970" s="1" t="s">
        <v>4006</v>
      </c>
      <c r="L1970" s="1" t="s">
        <v>2093</v>
      </c>
      <c r="M1970" s="1" t="s">
        <v>1010</v>
      </c>
      <c r="N1970">
        <f>_xlfn.NUMBERVALUE(LEFT(Table11[[#This Row],[Score]],FIND("/",Table11[[#This Row],[Score]])-1))</f>
        <v>68</v>
      </c>
      <c r="O1970">
        <f>IFERROR(_xlfn.NUMBERVALUE(LEFT(Table11[[#This Row],[Score2 ]],FIND("/",Table11[[#This Row],[Score2 ]])-1)),"")</f>
        <v>56</v>
      </c>
      <c r="P1970" t="s">
        <v>145</v>
      </c>
      <c r="Q1970" s="1" t="s">
        <v>176</v>
      </c>
      <c r="R1970" t="str">
        <f>Table11[[#This Row],[Match]]&amp;" "&amp;Table11[[#This Row],[Over]]</f>
        <v>35 14</v>
      </c>
    </row>
    <row r="1971" spans="1:18" x14ac:dyDescent="0.3">
      <c r="A1971">
        <v>35</v>
      </c>
      <c r="B1971" s="1">
        <v>15</v>
      </c>
      <c r="C1971" s="1" t="s">
        <v>2448</v>
      </c>
      <c r="D1971" s="1" t="s">
        <v>950</v>
      </c>
      <c r="E1971" s="1" t="s">
        <v>1312</v>
      </c>
      <c r="F1971" s="1" t="s">
        <v>966</v>
      </c>
      <c r="G1971" s="1" t="s">
        <v>1485</v>
      </c>
      <c r="H1971" s="1" t="s">
        <v>930</v>
      </c>
      <c r="I1971" s="1" t="s">
        <v>1382</v>
      </c>
      <c r="J1971" s="1" t="s">
        <v>1013</v>
      </c>
      <c r="K1971" s="1" t="s">
        <v>3330</v>
      </c>
      <c r="L1971" s="1" t="s">
        <v>1969</v>
      </c>
      <c r="M1971" s="1" t="s">
        <v>1016</v>
      </c>
      <c r="N1971">
        <f>_xlfn.NUMBERVALUE(LEFT(Table11[[#This Row],[Score]],FIND("/",Table11[[#This Row],[Score]])-1))</f>
        <v>73</v>
      </c>
      <c r="O1971">
        <f>IFERROR(_xlfn.NUMBERVALUE(LEFT(Table11[[#This Row],[Score2 ]],FIND("/",Table11[[#This Row],[Score2 ]])-1)),"")</f>
        <v>64</v>
      </c>
      <c r="P1971" t="s">
        <v>145</v>
      </c>
      <c r="Q1971" s="1" t="s">
        <v>176</v>
      </c>
      <c r="R1971" t="str">
        <f>Table11[[#This Row],[Match]]&amp;" "&amp;Table11[[#This Row],[Over]]</f>
        <v>35 15</v>
      </c>
    </row>
    <row r="1972" spans="1:18" x14ac:dyDescent="0.3">
      <c r="A1972">
        <v>35</v>
      </c>
      <c r="B1972" s="1">
        <v>16</v>
      </c>
      <c r="C1972" s="1" t="s">
        <v>1301</v>
      </c>
      <c r="D1972" s="1" t="s">
        <v>998</v>
      </c>
      <c r="E1972" s="1" t="s">
        <v>1561</v>
      </c>
      <c r="F1972" s="1" t="s">
        <v>976</v>
      </c>
      <c r="G1972" s="1" t="s">
        <v>2348</v>
      </c>
      <c r="H1972" s="1" t="s">
        <v>904</v>
      </c>
      <c r="I1972" s="1" t="s">
        <v>1292</v>
      </c>
      <c r="J1972" s="1" t="s">
        <v>976</v>
      </c>
      <c r="K1972" s="1" t="s">
        <v>2024</v>
      </c>
      <c r="L1972" s="1" t="s">
        <v>908</v>
      </c>
      <c r="M1972" s="1" t="s">
        <v>1024</v>
      </c>
      <c r="N1972">
        <f>_xlfn.NUMBERVALUE(LEFT(Table11[[#This Row],[Score]],FIND("/",Table11[[#This Row],[Score]])-1))</f>
        <v>77</v>
      </c>
      <c r="O1972">
        <f>IFERROR(_xlfn.NUMBERVALUE(LEFT(Table11[[#This Row],[Score2 ]],FIND("/",Table11[[#This Row],[Score2 ]])-1)),"")</f>
        <v>67</v>
      </c>
      <c r="P1972" t="s">
        <v>145</v>
      </c>
      <c r="Q1972" s="1" t="s">
        <v>176</v>
      </c>
      <c r="R1972" t="str">
        <f>Table11[[#This Row],[Match]]&amp;" "&amp;Table11[[#This Row],[Over]]</f>
        <v>35 16</v>
      </c>
    </row>
    <row r="1973" spans="1:18" x14ac:dyDescent="0.3">
      <c r="A1973">
        <v>35</v>
      </c>
      <c r="B1973" s="1">
        <v>17</v>
      </c>
      <c r="C1973" s="1" t="s">
        <v>2001</v>
      </c>
      <c r="D1973" s="1" t="s">
        <v>968</v>
      </c>
      <c r="E1973" s="1" t="s">
        <v>1786</v>
      </c>
      <c r="F1973" s="1" t="s">
        <v>1247</v>
      </c>
      <c r="G1973" s="1" t="s">
        <v>2781</v>
      </c>
      <c r="H1973" s="1" t="s">
        <v>998</v>
      </c>
      <c r="I1973" s="1" t="s">
        <v>2652</v>
      </c>
      <c r="J1973" s="1" t="s">
        <v>1093</v>
      </c>
      <c r="K1973" s="1" t="s">
        <v>1588</v>
      </c>
      <c r="L1973" s="1" t="s">
        <v>2227</v>
      </c>
      <c r="M1973" s="1" t="s">
        <v>1031</v>
      </c>
      <c r="N1973">
        <f>_xlfn.NUMBERVALUE(LEFT(Table11[[#This Row],[Score]],FIND("/",Table11[[#This Row],[Score]])-1))</f>
        <v>78</v>
      </c>
      <c r="O1973">
        <f>IFERROR(_xlfn.NUMBERVALUE(LEFT(Table11[[#This Row],[Score2 ]],FIND("/",Table11[[#This Row],[Score2 ]])-1)),"")</f>
        <v>71</v>
      </c>
      <c r="P1973" t="s">
        <v>145</v>
      </c>
      <c r="Q1973" s="1" t="s">
        <v>176</v>
      </c>
      <c r="R1973" t="str">
        <f>Table11[[#This Row],[Match]]&amp;" "&amp;Table11[[#This Row],[Over]]</f>
        <v>35 17</v>
      </c>
    </row>
    <row r="1974" spans="1:18" x14ac:dyDescent="0.3">
      <c r="A1974">
        <v>35</v>
      </c>
      <c r="B1974" s="1">
        <v>18</v>
      </c>
      <c r="C1974" s="1" t="s">
        <v>2121</v>
      </c>
      <c r="D1974" s="1" t="s">
        <v>930</v>
      </c>
      <c r="E1974" s="1" t="s">
        <v>2695</v>
      </c>
      <c r="F1974" s="1" t="s">
        <v>976</v>
      </c>
      <c r="G1974" s="1" t="s">
        <v>1473</v>
      </c>
      <c r="H1974" s="1" t="s">
        <v>898</v>
      </c>
      <c r="I1974" s="1" t="s">
        <v>1957</v>
      </c>
      <c r="J1974" s="1" t="s">
        <v>977</v>
      </c>
      <c r="K1974" s="1" t="s">
        <v>4007</v>
      </c>
      <c r="L1974" s="1" t="s">
        <v>1249</v>
      </c>
      <c r="M1974" s="1" t="s">
        <v>1037</v>
      </c>
      <c r="N1974">
        <f>_xlfn.NUMBERVALUE(LEFT(Table11[[#This Row],[Score]],FIND("/",Table11[[#This Row],[Score]])-1))</f>
        <v>86</v>
      </c>
      <c r="O1974">
        <f>IFERROR(_xlfn.NUMBERVALUE(LEFT(Table11[[#This Row],[Score2 ]],FIND("/",Table11[[#This Row],[Score2 ]])-1)),"")</f>
        <v>73</v>
      </c>
      <c r="P1974" t="s">
        <v>145</v>
      </c>
      <c r="Q1974" s="1" t="s">
        <v>176</v>
      </c>
      <c r="R1974" t="str">
        <f>Table11[[#This Row],[Match]]&amp;" "&amp;Table11[[#This Row],[Over]]</f>
        <v>35 18</v>
      </c>
    </row>
    <row r="1975" spans="1:18" x14ac:dyDescent="0.3">
      <c r="A1975">
        <v>35</v>
      </c>
      <c r="B1975" s="1">
        <v>19</v>
      </c>
      <c r="C1975" s="1" t="s">
        <v>1032</v>
      </c>
      <c r="D1975" s="1" t="s">
        <v>904</v>
      </c>
      <c r="E1975" s="1" t="s">
        <v>1018</v>
      </c>
      <c r="F1975" s="1" t="s">
        <v>931</v>
      </c>
      <c r="G1975" s="1" t="s">
        <v>2233</v>
      </c>
      <c r="H1975" s="1" t="s">
        <v>930</v>
      </c>
      <c r="I1975" s="1" t="s">
        <v>1382</v>
      </c>
      <c r="J1975" s="1" t="s">
        <v>969</v>
      </c>
      <c r="K1975" s="1" t="s">
        <v>2385</v>
      </c>
      <c r="L1975" s="1" t="s">
        <v>1972</v>
      </c>
      <c r="M1975" s="1" t="s">
        <v>1043</v>
      </c>
      <c r="N1975">
        <f>_xlfn.NUMBERVALUE(LEFT(Table11[[#This Row],[Score]],FIND("/",Table11[[#This Row],[Score]])-1))</f>
        <v>89</v>
      </c>
      <c r="O1975">
        <f>IFERROR(_xlfn.NUMBERVALUE(LEFT(Table11[[#This Row],[Score2 ]],FIND("/",Table11[[#This Row],[Score2 ]])-1)),"")</f>
        <v>81</v>
      </c>
      <c r="P1975" t="s">
        <v>145</v>
      </c>
      <c r="Q1975" s="1" t="s">
        <v>176</v>
      </c>
      <c r="R1975" t="str">
        <f>Table11[[#This Row],[Match]]&amp;" "&amp;Table11[[#This Row],[Over]]</f>
        <v>35 19</v>
      </c>
    </row>
    <row r="1976" spans="1:18" x14ac:dyDescent="0.3">
      <c r="A1976">
        <v>35</v>
      </c>
      <c r="B1976" s="1">
        <v>20</v>
      </c>
      <c r="C1976" s="1" t="s">
        <v>2125</v>
      </c>
      <c r="D1976" s="1" t="s">
        <v>930</v>
      </c>
      <c r="E1976" s="1" t="s">
        <v>1174</v>
      </c>
      <c r="F1976" s="1" t="s">
        <v>1093</v>
      </c>
      <c r="G1976" s="1" t="s">
        <v>3346</v>
      </c>
      <c r="H1976" s="1" t="s">
        <v>922</v>
      </c>
      <c r="I1976" s="1" t="s">
        <v>1299</v>
      </c>
      <c r="J1976" s="1" t="s">
        <v>976</v>
      </c>
      <c r="K1976" s="1" t="s">
        <v>1155</v>
      </c>
      <c r="L1976" s="1" t="s">
        <v>2237</v>
      </c>
      <c r="M1976" s="1" t="s">
        <v>1049</v>
      </c>
      <c r="N1976">
        <f>_xlfn.NUMBERVALUE(LEFT(Table11[[#This Row],[Score]],FIND("/",Table11[[#This Row],[Score]])-1))</f>
        <v>97</v>
      </c>
      <c r="O1976">
        <f>IFERROR(_xlfn.NUMBERVALUE(LEFT(Table11[[#This Row],[Score2 ]],FIND("/",Table11[[#This Row],[Score2 ]])-1)),"")</f>
        <v>87</v>
      </c>
      <c r="P1976" t="s">
        <v>145</v>
      </c>
      <c r="Q1976" s="1" t="s">
        <v>176</v>
      </c>
      <c r="R1976" t="str">
        <f>Table11[[#This Row],[Match]]&amp;" "&amp;Table11[[#This Row],[Over]]</f>
        <v>35 20</v>
      </c>
    </row>
    <row r="1977" spans="1:18" x14ac:dyDescent="0.3">
      <c r="A1977">
        <v>35</v>
      </c>
      <c r="B1977" s="1">
        <v>21</v>
      </c>
      <c r="C1977" s="1" t="s">
        <v>1687</v>
      </c>
      <c r="D1977" s="1" t="s">
        <v>916</v>
      </c>
      <c r="E1977" s="1" t="s">
        <v>2672</v>
      </c>
      <c r="F1977" s="1" t="s">
        <v>966</v>
      </c>
      <c r="G1977" s="1" t="s">
        <v>2556</v>
      </c>
      <c r="H1977" s="1" t="s">
        <v>998</v>
      </c>
      <c r="I1977" s="1" t="s">
        <v>989</v>
      </c>
      <c r="J1977" s="1" t="s">
        <v>1093</v>
      </c>
      <c r="K1977" s="1" t="s">
        <v>4008</v>
      </c>
      <c r="L1977" s="1" t="s">
        <v>936</v>
      </c>
      <c r="M1977" s="1" t="s">
        <v>1056</v>
      </c>
      <c r="N1977">
        <f>_xlfn.NUMBERVALUE(LEFT(Table11[[#This Row],[Score]],FIND("/",Table11[[#This Row],[Score]])-1))</f>
        <v>104</v>
      </c>
      <c r="O1977">
        <f>IFERROR(_xlfn.NUMBERVALUE(LEFT(Table11[[#This Row],[Score2 ]],FIND("/",Table11[[#This Row],[Score2 ]])-1)),"")</f>
        <v>91</v>
      </c>
      <c r="P1977" t="s">
        <v>145</v>
      </c>
      <c r="Q1977" s="1" t="s">
        <v>176</v>
      </c>
      <c r="R1977" t="str">
        <f>Table11[[#This Row],[Match]]&amp;" "&amp;Table11[[#This Row],[Over]]</f>
        <v>35 21</v>
      </c>
    </row>
    <row r="1978" spans="1:18" x14ac:dyDescent="0.3">
      <c r="A1978">
        <v>35</v>
      </c>
      <c r="B1978" s="1">
        <v>22</v>
      </c>
      <c r="C1978" s="1" t="s">
        <v>2460</v>
      </c>
      <c r="D1978" s="1" t="s">
        <v>898</v>
      </c>
      <c r="E1978" s="1" t="s">
        <v>1561</v>
      </c>
      <c r="F1978" s="1" t="s">
        <v>934</v>
      </c>
      <c r="G1978" s="1" t="s">
        <v>2249</v>
      </c>
      <c r="H1978" s="1" t="s">
        <v>1390</v>
      </c>
      <c r="I1978" s="1" t="s">
        <v>1194</v>
      </c>
      <c r="J1978" s="1" t="s">
        <v>960</v>
      </c>
      <c r="K1978" s="1" t="s">
        <v>3400</v>
      </c>
      <c r="L1978" s="1" t="s">
        <v>2602</v>
      </c>
      <c r="M1978" s="1" t="s">
        <v>1063</v>
      </c>
      <c r="N1978">
        <f>_xlfn.NUMBERVALUE(LEFT(Table11[[#This Row],[Score]],FIND("/",Table11[[#This Row],[Score]])-1))</f>
        <v>106</v>
      </c>
      <c r="O1978">
        <f>IFERROR(_xlfn.NUMBERVALUE(LEFT(Table11[[#This Row],[Score2 ]],FIND("/",Table11[[#This Row],[Score2 ]])-1)),"")</f>
        <v>104</v>
      </c>
      <c r="P1978" t="s">
        <v>145</v>
      </c>
      <c r="Q1978" s="1" t="s">
        <v>176</v>
      </c>
      <c r="R1978" t="str">
        <f>Table11[[#This Row],[Match]]&amp;" "&amp;Table11[[#This Row],[Over]]</f>
        <v>35 22</v>
      </c>
    </row>
    <row r="1979" spans="1:18" x14ac:dyDescent="0.3">
      <c r="A1979">
        <v>35</v>
      </c>
      <c r="B1979" s="1">
        <v>23</v>
      </c>
      <c r="C1979" s="1" t="s">
        <v>1057</v>
      </c>
      <c r="D1979" s="1" t="s">
        <v>947</v>
      </c>
      <c r="E1979" s="1" t="s">
        <v>969</v>
      </c>
      <c r="F1979" s="1" t="s">
        <v>1013</v>
      </c>
      <c r="G1979" s="1" t="s">
        <v>2254</v>
      </c>
      <c r="H1979" s="1" t="s">
        <v>904</v>
      </c>
      <c r="I1979" s="1" t="s">
        <v>1330</v>
      </c>
      <c r="J1979" s="1" t="s">
        <v>1053</v>
      </c>
      <c r="K1979" s="1" t="s">
        <v>3455</v>
      </c>
      <c r="L1979" s="1" t="s">
        <v>962</v>
      </c>
      <c r="M1979" s="1" t="s">
        <v>1070</v>
      </c>
      <c r="N1979">
        <f>_xlfn.NUMBERVALUE(LEFT(Table11[[#This Row],[Score]],FIND("/",Table11[[#This Row],[Score]])-1))</f>
        <v>115</v>
      </c>
      <c r="O1979">
        <f>IFERROR(_xlfn.NUMBERVALUE(LEFT(Table11[[#This Row],[Score2 ]],FIND("/",Table11[[#This Row],[Score2 ]])-1)),"")</f>
        <v>107</v>
      </c>
      <c r="P1979" t="s">
        <v>145</v>
      </c>
      <c r="Q1979" s="1" t="s">
        <v>176</v>
      </c>
      <c r="R1979" t="str">
        <f>Table11[[#This Row],[Match]]&amp;" "&amp;Table11[[#This Row],[Over]]</f>
        <v>35 23</v>
      </c>
    </row>
    <row r="1980" spans="1:18" x14ac:dyDescent="0.3">
      <c r="A1980">
        <v>35</v>
      </c>
      <c r="B1980" s="1">
        <v>24</v>
      </c>
      <c r="C1980" s="1" t="s">
        <v>3771</v>
      </c>
      <c r="D1980" s="1" t="s">
        <v>898</v>
      </c>
      <c r="E1980" s="1" t="s">
        <v>1357</v>
      </c>
      <c r="F1980" s="1" t="s">
        <v>934</v>
      </c>
      <c r="G1980" s="1" t="s">
        <v>1516</v>
      </c>
      <c r="H1980" s="1" t="s">
        <v>1103</v>
      </c>
      <c r="I1980" s="1" t="s">
        <v>2672</v>
      </c>
      <c r="J1980" s="1" t="s">
        <v>1508</v>
      </c>
      <c r="K1980" s="1" t="s">
        <v>1149</v>
      </c>
      <c r="L1980" s="1" t="s">
        <v>1295</v>
      </c>
      <c r="M1980" s="1" t="s">
        <v>1077</v>
      </c>
      <c r="N1980">
        <f>_xlfn.NUMBERVALUE(LEFT(Table11[[#This Row],[Score]],FIND("/",Table11[[#This Row],[Score]])-1))</f>
        <v>117</v>
      </c>
      <c r="O1980">
        <f>IFERROR(_xlfn.NUMBERVALUE(LEFT(Table11[[#This Row],[Score2 ]],FIND("/",Table11[[#This Row],[Score2 ]])-1)),"")</f>
        <v>119</v>
      </c>
      <c r="P1980" t="s">
        <v>145</v>
      </c>
      <c r="Q1980" s="1" t="s">
        <v>176</v>
      </c>
      <c r="R1980" t="str">
        <f>Table11[[#This Row],[Match]]&amp;" "&amp;Table11[[#This Row],[Over]]</f>
        <v>35 24</v>
      </c>
    </row>
    <row r="1981" spans="1:18" x14ac:dyDescent="0.3">
      <c r="A1981">
        <v>35</v>
      </c>
      <c r="B1981" s="1">
        <v>25</v>
      </c>
      <c r="C1981" s="1" t="s">
        <v>1084</v>
      </c>
      <c r="D1981" s="1" t="s">
        <v>1566</v>
      </c>
      <c r="E1981" s="1" t="s">
        <v>1652</v>
      </c>
      <c r="F1981" s="1" t="s">
        <v>1068</v>
      </c>
      <c r="G1981" s="1" t="s">
        <v>2027</v>
      </c>
      <c r="H1981" s="1" t="s">
        <v>916</v>
      </c>
      <c r="I1981" s="1" t="s">
        <v>2193</v>
      </c>
      <c r="J1981" s="1" t="s">
        <v>1168</v>
      </c>
      <c r="K1981" s="1" t="s">
        <v>1131</v>
      </c>
      <c r="L1981" s="1" t="s">
        <v>1457</v>
      </c>
      <c r="M1981" s="1" t="s">
        <v>1083</v>
      </c>
      <c r="N1981">
        <f>_xlfn.NUMBERVALUE(LEFT(Table11[[#This Row],[Score]],FIND("/",Table11[[#This Row],[Score]])-1))</f>
        <v>134</v>
      </c>
      <c r="O1981">
        <f>IFERROR(_xlfn.NUMBERVALUE(LEFT(Table11[[#This Row],[Score2 ]],FIND("/",Table11[[#This Row],[Score2 ]])-1)),"")</f>
        <v>126</v>
      </c>
      <c r="P1981" t="s">
        <v>145</v>
      </c>
      <c r="Q1981" s="1" t="s">
        <v>176</v>
      </c>
      <c r="R1981" t="str">
        <f>Table11[[#This Row],[Match]]&amp;" "&amp;Table11[[#This Row],[Over]]</f>
        <v>35 25</v>
      </c>
    </row>
    <row r="1982" spans="1:18" x14ac:dyDescent="0.3">
      <c r="A1982">
        <v>35</v>
      </c>
      <c r="B1982" s="1">
        <v>26</v>
      </c>
      <c r="C1982" s="1" t="s">
        <v>4009</v>
      </c>
      <c r="D1982" s="1" t="s">
        <v>930</v>
      </c>
      <c r="E1982" s="1" t="s">
        <v>1166</v>
      </c>
      <c r="F1982" s="1" t="s">
        <v>1508</v>
      </c>
      <c r="G1982" s="1" t="s">
        <v>1339</v>
      </c>
      <c r="H1982" s="1" t="s">
        <v>916</v>
      </c>
      <c r="I1982" s="1" t="s">
        <v>1643</v>
      </c>
      <c r="J1982" s="1" t="s">
        <v>1335</v>
      </c>
      <c r="K1982" s="1" t="s">
        <v>2961</v>
      </c>
      <c r="L1982" s="1" t="s">
        <v>2692</v>
      </c>
      <c r="M1982" s="1" t="s">
        <v>1090</v>
      </c>
      <c r="N1982">
        <f>_xlfn.NUMBERVALUE(LEFT(Table11[[#This Row],[Score]],FIND("/",Table11[[#This Row],[Score]])-1))</f>
        <v>142</v>
      </c>
      <c r="O1982">
        <f>IFERROR(_xlfn.NUMBERVALUE(LEFT(Table11[[#This Row],[Score2 ]],FIND("/",Table11[[#This Row],[Score2 ]])-1)),"")</f>
        <v>133</v>
      </c>
      <c r="P1982" t="s">
        <v>145</v>
      </c>
      <c r="Q1982" s="1" t="s">
        <v>176</v>
      </c>
      <c r="R1982" t="str">
        <f>Table11[[#This Row],[Match]]&amp;" "&amp;Table11[[#This Row],[Over]]</f>
        <v>35 26</v>
      </c>
    </row>
    <row r="1983" spans="1:18" x14ac:dyDescent="0.3">
      <c r="A1983">
        <v>35</v>
      </c>
      <c r="B1983" s="1">
        <v>27</v>
      </c>
      <c r="C1983" s="1" t="s">
        <v>3716</v>
      </c>
      <c r="D1983" s="1" t="s">
        <v>1147</v>
      </c>
      <c r="E1983" s="1" t="s">
        <v>1420</v>
      </c>
      <c r="F1983" s="1" t="s">
        <v>1746</v>
      </c>
      <c r="G1983" s="1" t="s">
        <v>3825</v>
      </c>
      <c r="H1983" s="1" t="s">
        <v>904</v>
      </c>
      <c r="I1983" s="1" t="s">
        <v>1334</v>
      </c>
      <c r="J1983" s="1" t="s">
        <v>943</v>
      </c>
      <c r="K1983" s="1" t="s">
        <v>2774</v>
      </c>
      <c r="L1983" s="1" t="s">
        <v>996</v>
      </c>
      <c r="M1983" s="1" t="s">
        <v>1098</v>
      </c>
      <c r="N1983">
        <f>_xlfn.NUMBERVALUE(LEFT(Table11[[#This Row],[Score]],FIND("/",Table11[[#This Row],[Score]])-1))</f>
        <v>157</v>
      </c>
      <c r="O1983">
        <f>IFERROR(_xlfn.NUMBERVALUE(LEFT(Table11[[#This Row],[Score2 ]],FIND("/",Table11[[#This Row],[Score2 ]])-1)),"")</f>
        <v>136</v>
      </c>
      <c r="P1983" t="s">
        <v>145</v>
      </c>
      <c r="Q1983" s="1" t="s">
        <v>176</v>
      </c>
      <c r="R1983" t="str">
        <f>Table11[[#This Row],[Match]]&amp;" "&amp;Table11[[#This Row],[Over]]</f>
        <v>35 27</v>
      </c>
    </row>
    <row r="1984" spans="1:18" x14ac:dyDescent="0.3">
      <c r="A1984">
        <v>35</v>
      </c>
      <c r="B1984" s="1">
        <v>28</v>
      </c>
      <c r="C1984" s="1" t="s">
        <v>3403</v>
      </c>
      <c r="D1984" s="1" t="s">
        <v>1051</v>
      </c>
      <c r="E1984" s="1" t="s">
        <v>1019</v>
      </c>
      <c r="F1984" s="1" t="s">
        <v>1568</v>
      </c>
      <c r="G1984" s="1" t="s">
        <v>2711</v>
      </c>
      <c r="H1984" s="1" t="s">
        <v>922</v>
      </c>
      <c r="I1984" s="1" t="s">
        <v>1661</v>
      </c>
      <c r="J1984" s="1" t="s">
        <v>952</v>
      </c>
      <c r="K1984" s="1" t="s">
        <v>3769</v>
      </c>
      <c r="L1984" s="1" t="s">
        <v>1004</v>
      </c>
      <c r="M1984" s="1" t="s">
        <v>1101</v>
      </c>
      <c r="N1984">
        <f>_xlfn.NUMBERVALUE(LEFT(Table11[[#This Row],[Score]],FIND("/",Table11[[#This Row],[Score]])-1))</f>
        <v>168</v>
      </c>
      <c r="O1984">
        <f>IFERROR(_xlfn.NUMBERVALUE(LEFT(Table11[[#This Row],[Score2 ]],FIND("/",Table11[[#This Row],[Score2 ]])-1)),"")</f>
        <v>142</v>
      </c>
      <c r="P1984" t="s">
        <v>145</v>
      </c>
      <c r="Q1984" s="1" t="s">
        <v>176</v>
      </c>
      <c r="R1984" t="str">
        <f>Table11[[#This Row],[Match]]&amp;" "&amp;Table11[[#This Row],[Over]]</f>
        <v>35 28</v>
      </c>
    </row>
    <row r="1985" spans="1:18" x14ac:dyDescent="0.3">
      <c r="A1985">
        <v>35</v>
      </c>
      <c r="B1985" s="1">
        <v>29</v>
      </c>
      <c r="C1985" s="1" t="s">
        <v>2475</v>
      </c>
      <c r="D1985" s="1" t="s">
        <v>904</v>
      </c>
      <c r="E1985" s="1" t="s">
        <v>2081</v>
      </c>
      <c r="F1985" s="1" t="s">
        <v>1611</v>
      </c>
      <c r="G1985" s="1" t="s">
        <v>4010</v>
      </c>
      <c r="H1985" s="1" t="s">
        <v>898</v>
      </c>
      <c r="I1985" s="1" t="s">
        <v>2282</v>
      </c>
      <c r="J1985" s="1" t="s">
        <v>969</v>
      </c>
      <c r="K1985" s="1" t="s">
        <v>4011</v>
      </c>
      <c r="L1985" s="1" t="s">
        <v>2004</v>
      </c>
      <c r="M1985" s="1" t="s">
        <v>1108</v>
      </c>
      <c r="N1985">
        <f>_xlfn.NUMBERVALUE(LEFT(Table11[[#This Row],[Score]],FIND("/",Table11[[#This Row],[Score]])-1))</f>
        <v>171</v>
      </c>
      <c r="O1985">
        <f>IFERROR(_xlfn.NUMBERVALUE(LEFT(Table11[[#This Row],[Score2 ]],FIND("/",Table11[[#This Row],[Score2 ]])-1)),"")</f>
        <v>144</v>
      </c>
      <c r="P1985" t="s">
        <v>145</v>
      </c>
      <c r="Q1985" s="1" t="s">
        <v>176</v>
      </c>
      <c r="R1985" t="str">
        <f>Table11[[#This Row],[Match]]&amp;" "&amp;Table11[[#This Row],[Over]]</f>
        <v>35 29</v>
      </c>
    </row>
    <row r="1986" spans="1:18" x14ac:dyDescent="0.3">
      <c r="A1986">
        <v>35</v>
      </c>
      <c r="B1986" s="1">
        <v>30</v>
      </c>
      <c r="C1986" s="1" t="s">
        <v>1794</v>
      </c>
      <c r="D1986" s="1" t="s">
        <v>916</v>
      </c>
      <c r="E1986" s="1" t="s">
        <v>1425</v>
      </c>
      <c r="F1986" s="1" t="s">
        <v>1154</v>
      </c>
      <c r="G1986" s="1" t="s">
        <v>2035</v>
      </c>
      <c r="H1986" s="1" t="s">
        <v>904</v>
      </c>
      <c r="I1986" s="1" t="s">
        <v>1045</v>
      </c>
      <c r="J1986" s="1" t="s">
        <v>931</v>
      </c>
      <c r="K1986" s="1" t="s">
        <v>3119</v>
      </c>
      <c r="L1986" s="1" t="s">
        <v>2006</v>
      </c>
      <c r="M1986" s="1" t="s">
        <v>1113</v>
      </c>
      <c r="N1986">
        <f>_xlfn.NUMBERVALUE(LEFT(Table11[[#This Row],[Score]],FIND("/",Table11[[#This Row],[Score]])-1))</f>
        <v>178</v>
      </c>
      <c r="O1986">
        <f>IFERROR(_xlfn.NUMBERVALUE(LEFT(Table11[[#This Row],[Score2 ]],FIND("/",Table11[[#This Row],[Score2 ]])-1)),"")</f>
        <v>147</v>
      </c>
      <c r="P1986" t="s">
        <v>145</v>
      </c>
      <c r="Q1986" s="1" t="s">
        <v>176</v>
      </c>
      <c r="R1986" t="str">
        <f>Table11[[#This Row],[Match]]&amp;" "&amp;Table11[[#This Row],[Over]]</f>
        <v>35 30</v>
      </c>
    </row>
    <row r="1987" spans="1:18" x14ac:dyDescent="0.3">
      <c r="A1987">
        <v>35</v>
      </c>
      <c r="B1987" s="1">
        <v>31</v>
      </c>
      <c r="C1987" s="1" t="s">
        <v>4012</v>
      </c>
      <c r="D1987" s="1" t="s">
        <v>933</v>
      </c>
      <c r="E1987" s="1" t="s">
        <v>2465</v>
      </c>
      <c r="F1987" s="1" t="s">
        <v>2055</v>
      </c>
      <c r="G1987" s="1" t="s">
        <v>3488</v>
      </c>
      <c r="H1987" s="1" t="s">
        <v>922</v>
      </c>
      <c r="I1987" s="1" t="s">
        <v>1351</v>
      </c>
      <c r="J1987" s="1" t="s">
        <v>939</v>
      </c>
      <c r="K1987" s="1" t="s">
        <v>3773</v>
      </c>
      <c r="L1987" s="1" t="s">
        <v>1310</v>
      </c>
      <c r="M1987" s="1" t="s">
        <v>1121</v>
      </c>
      <c r="N1987">
        <f>_xlfn.NUMBERVALUE(LEFT(Table11[[#This Row],[Score]],FIND("/",Table11[[#This Row],[Score]])-1))</f>
        <v>192</v>
      </c>
      <c r="O1987">
        <f>IFERROR(_xlfn.NUMBERVALUE(LEFT(Table11[[#This Row],[Score2 ]],FIND("/",Table11[[#This Row],[Score2 ]])-1)),"")</f>
        <v>153</v>
      </c>
      <c r="P1987" t="s">
        <v>145</v>
      </c>
      <c r="Q1987" s="1" t="s">
        <v>176</v>
      </c>
      <c r="R1987" t="str">
        <f>Table11[[#This Row],[Match]]&amp;" "&amp;Table11[[#This Row],[Over]]</f>
        <v>35 31</v>
      </c>
    </row>
    <row r="1988" spans="1:18" x14ac:dyDescent="0.3">
      <c r="A1988">
        <v>35</v>
      </c>
      <c r="B1988" s="1">
        <v>32</v>
      </c>
      <c r="C1988" s="1" t="s">
        <v>4013</v>
      </c>
      <c r="D1988" s="1" t="s">
        <v>916</v>
      </c>
      <c r="E1988" s="1" t="s">
        <v>2697</v>
      </c>
      <c r="F1988" s="1" t="s">
        <v>1335</v>
      </c>
      <c r="G1988" s="1" t="s">
        <v>3323</v>
      </c>
      <c r="H1988" s="1" t="s">
        <v>947</v>
      </c>
      <c r="I1988" s="1" t="s">
        <v>2279</v>
      </c>
      <c r="J1988" s="1" t="s">
        <v>1029</v>
      </c>
      <c r="K1988" s="1" t="s">
        <v>4014</v>
      </c>
      <c r="L1988" s="1" t="s">
        <v>2275</v>
      </c>
      <c r="M1988" s="1" t="s">
        <v>1127</v>
      </c>
      <c r="N1988">
        <f>_xlfn.NUMBERVALUE(LEFT(Table11[[#This Row],[Score]],FIND("/",Table11[[#This Row],[Score]])-1))</f>
        <v>199</v>
      </c>
      <c r="O1988">
        <f>IFERROR(_xlfn.NUMBERVALUE(LEFT(Table11[[#This Row],[Score2 ]],FIND("/",Table11[[#This Row],[Score2 ]])-1)),"")</f>
        <v>162</v>
      </c>
      <c r="P1988" t="s">
        <v>145</v>
      </c>
      <c r="Q1988" s="1" t="s">
        <v>176</v>
      </c>
      <c r="R1988" t="str">
        <f>Table11[[#This Row],[Match]]&amp;" "&amp;Table11[[#This Row],[Over]]</f>
        <v>35 32</v>
      </c>
    </row>
    <row r="1989" spans="1:18" x14ac:dyDescent="0.3">
      <c r="A1989">
        <v>35</v>
      </c>
      <c r="B1989" s="1">
        <v>33</v>
      </c>
      <c r="C1989" s="1" t="s">
        <v>4015</v>
      </c>
      <c r="D1989" s="1" t="s">
        <v>898</v>
      </c>
      <c r="E1989" s="1" t="s">
        <v>953</v>
      </c>
      <c r="F1989" s="1" t="s">
        <v>960</v>
      </c>
      <c r="G1989" s="1" t="s">
        <v>2392</v>
      </c>
      <c r="H1989" s="1" t="s">
        <v>1103</v>
      </c>
      <c r="I1989" s="1" t="s">
        <v>1593</v>
      </c>
      <c r="J1989" s="1" t="s">
        <v>943</v>
      </c>
      <c r="K1989" s="1" t="s">
        <v>3635</v>
      </c>
      <c r="L1989" s="1" t="s">
        <v>1509</v>
      </c>
      <c r="M1989" s="1" t="s">
        <v>1132</v>
      </c>
      <c r="N1989">
        <f>_xlfn.NUMBERVALUE(LEFT(Table11[[#This Row],[Score]],FIND("/",Table11[[#This Row],[Score]])-1))</f>
        <v>201</v>
      </c>
      <c r="O1989">
        <f>IFERROR(_xlfn.NUMBERVALUE(LEFT(Table11[[#This Row],[Score2 ]],FIND("/",Table11[[#This Row],[Score2 ]])-1)),"")</f>
        <v>174</v>
      </c>
      <c r="P1989" t="s">
        <v>145</v>
      </c>
      <c r="Q1989" s="1" t="s">
        <v>176</v>
      </c>
      <c r="R1989" t="str">
        <f>Table11[[#This Row],[Match]]&amp;" "&amp;Table11[[#This Row],[Over]]</f>
        <v>35 33</v>
      </c>
    </row>
    <row r="1990" spans="1:18" x14ac:dyDescent="0.3">
      <c r="A1990">
        <v>35</v>
      </c>
      <c r="B1990" s="1">
        <v>34</v>
      </c>
      <c r="C1990" s="1" t="s">
        <v>3659</v>
      </c>
      <c r="D1990" s="1" t="s">
        <v>1095</v>
      </c>
      <c r="E1990" s="1" t="s">
        <v>970</v>
      </c>
      <c r="F1990" s="1" t="s">
        <v>1089</v>
      </c>
      <c r="G1990" s="1" t="s">
        <v>3260</v>
      </c>
      <c r="H1990" s="1" t="s">
        <v>950</v>
      </c>
      <c r="I1990" s="1" t="s">
        <v>2178</v>
      </c>
      <c r="J1990" s="1" t="s">
        <v>952</v>
      </c>
      <c r="K1990" s="1" t="s">
        <v>4016</v>
      </c>
      <c r="L1990" s="1" t="s">
        <v>1515</v>
      </c>
      <c r="M1990" s="1" t="s">
        <v>1138</v>
      </c>
      <c r="N1990">
        <f>_xlfn.NUMBERVALUE(LEFT(Table11[[#This Row],[Score]],FIND("/",Table11[[#This Row],[Score]])-1))</f>
        <v>211</v>
      </c>
      <c r="O1990">
        <f>IFERROR(_xlfn.NUMBERVALUE(LEFT(Table11[[#This Row],[Score2 ]],FIND("/",Table11[[#This Row],[Score2 ]])-1)),"")</f>
        <v>179</v>
      </c>
      <c r="P1990" t="s">
        <v>145</v>
      </c>
      <c r="Q1990" s="1" t="s">
        <v>176</v>
      </c>
      <c r="R1990" t="str">
        <f>Table11[[#This Row],[Match]]&amp;" "&amp;Table11[[#This Row],[Over]]</f>
        <v>35 34</v>
      </c>
    </row>
    <row r="1991" spans="1:18" x14ac:dyDescent="0.3">
      <c r="A1991">
        <v>35</v>
      </c>
      <c r="B1991" s="1">
        <v>35</v>
      </c>
      <c r="C1991" s="1" t="s">
        <v>1814</v>
      </c>
      <c r="D1991" s="1" t="s">
        <v>916</v>
      </c>
      <c r="E1991" s="1" t="s">
        <v>1236</v>
      </c>
      <c r="F1991" s="1" t="s">
        <v>1089</v>
      </c>
      <c r="G1991" s="1" t="s">
        <v>3555</v>
      </c>
      <c r="H1991" s="1" t="s">
        <v>947</v>
      </c>
      <c r="I1991" s="1" t="s">
        <v>1104</v>
      </c>
      <c r="J1991" s="1" t="s">
        <v>1405</v>
      </c>
      <c r="K1991" s="1" t="s">
        <v>4017</v>
      </c>
      <c r="L1991" s="1" t="s">
        <v>1529</v>
      </c>
      <c r="M1991" s="1" t="s">
        <v>1143</v>
      </c>
      <c r="N1991">
        <f>_xlfn.NUMBERVALUE(LEFT(Table11[[#This Row],[Score]],FIND("/",Table11[[#This Row],[Score]])-1))</f>
        <v>218</v>
      </c>
      <c r="O1991">
        <f>IFERROR(_xlfn.NUMBERVALUE(LEFT(Table11[[#This Row],[Score2 ]],FIND("/",Table11[[#This Row],[Score2 ]])-1)),"")</f>
        <v>188</v>
      </c>
      <c r="P1991" t="s">
        <v>145</v>
      </c>
      <c r="Q1991" s="1" t="s">
        <v>176</v>
      </c>
      <c r="R1991" t="str">
        <f>Table11[[#This Row],[Match]]&amp;" "&amp;Table11[[#This Row],[Over]]</f>
        <v>35 35</v>
      </c>
    </row>
    <row r="1992" spans="1:18" x14ac:dyDescent="0.3">
      <c r="A1992">
        <v>35</v>
      </c>
      <c r="B1992" s="1">
        <v>36</v>
      </c>
      <c r="C1992" s="1" t="s">
        <v>1824</v>
      </c>
      <c r="D1992" s="1" t="s">
        <v>1216</v>
      </c>
      <c r="E1992" s="1" t="s">
        <v>1030</v>
      </c>
      <c r="F1992" s="1" t="s">
        <v>2055</v>
      </c>
      <c r="G1992" s="1" t="s">
        <v>4018</v>
      </c>
      <c r="H1992" s="1" t="s">
        <v>968</v>
      </c>
      <c r="I1992" s="1" t="s">
        <v>1722</v>
      </c>
      <c r="J1992" s="1" t="s">
        <v>1116</v>
      </c>
      <c r="K1992" s="1" t="s">
        <v>3508</v>
      </c>
      <c r="L1992" s="1" t="s">
        <v>1341</v>
      </c>
      <c r="M1992" s="1" t="s">
        <v>1150</v>
      </c>
      <c r="N1992">
        <f>_xlfn.NUMBERVALUE(LEFT(Table11[[#This Row],[Score]],FIND("/",Table11[[#This Row],[Score]])-1))</f>
        <v>242</v>
      </c>
      <c r="O1992">
        <f>IFERROR(_xlfn.NUMBERVALUE(LEFT(Table11[[#This Row],[Score2 ]],FIND("/",Table11[[#This Row],[Score2 ]])-1)),"")</f>
        <v>189</v>
      </c>
      <c r="P1992" t="s">
        <v>145</v>
      </c>
      <c r="Q1992" s="1" t="s">
        <v>176</v>
      </c>
      <c r="R1992" t="str">
        <f>Table11[[#This Row],[Match]]&amp;" "&amp;Table11[[#This Row],[Over]]</f>
        <v>35 36</v>
      </c>
    </row>
    <row r="1993" spans="1:18" x14ac:dyDescent="0.3">
      <c r="A1993">
        <v>35</v>
      </c>
      <c r="B1993" s="1">
        <v>37</v>
      </c>
      <c r="C1993" s="1" t="s">
        <v>2074</v>
      </c>
      <c r="D1993" s="1" t="s">
        <v>904</v>
      </c>
      <c r="E1993" s="1" t="s">
        <v>1738</v>
      </c>
      <c r="F1993" s="1" t="s">
        <v>1200</v>
      </c>
      <c r="G1993" s="1" t="s">
        <v>2503</v>
      </c>
      <c r="H1993" s="1" t="s">
        <v>968</v>
      </c>
      <c r="I1993" s="1" t="s">
        <v>2167</v>
      </c>
      <c r="J1993" s="1" t="s">
        <v>934</v>
      </c>
      <c r="K1993" s="1" t="s">
        <v>4019</v>
      </c>
      <c r="L1993" s="1" t="s">
        <v>1056</v>
      </c>
      <c r="M1993" s="1" t="s">
        <v>1156</v>
      </c>
      <c r="N1993">
        <f>_xlfn.NUMBERVALUE(LEFT(Table11[[#This Row],[Score]],FIND("/",Table11[[#This Row],[Score]])-1))</f>
        <v>245</v>
      </c>
      <c r="O1993">
        <f>IFERROR(_xlfn.NUMBERVALUE(LEFT(Table11[[#This Row],[Score2 ]],FIND("/",Table11[[#This Row],[Score2 ]])-1)),"")</f>
        <v>190</v>
      </c>
      <c r="P1993" t="s">
        <v>145</v>
      </c>
      <c r="Q1993" s="1" t="s">
        <v>176</v>
      </c>
      <c r="R1993" t="str">
        <f>Table11[[#This Row],[Match]]&amp;" "&amp;Table11[[#This Row],[Over]]</f>
        <v>35 37</v>
      </c>
    </row>
    <row r="1994" spans="1:18" x14ac:dyDescent="0.3">
      <c r="A1994">
        <v>35</v>
      </c>
      <c r="B1994" s="1">
        <v>38</v>
      </c>
      <c r="C1994" s="1" t="s">
        <v>2413</v>
      </c>
      <c r="D1994" s="1" t="s">
        <v>1566</v>
      </c>
      <c r="E1994" s="1" t="s">
        <v>2088</v>
      </c>
      <c r="F1994" s="1" t="s">
        <v>2207</v>
      </c>
      <c r="G1994" s="1" t="s">
        <v>3411</v>
      </c>
      <c r="H1994" s="1" t="s">
        <v>904</v>
      </c>
      <c r="I1994" s="1" t="s">
        <v>1661</v>
      </c>
      <c r="J1994" s="1" t="s">
        <v>990</v>
      </c>
      <c r="K1994" s="1" t="s">
        <v>2182</v>
      </c>
      <c r="L1994" s="1" t="s">
        <v>1851</v>
      </c>
      <c r="M1994" s="1" t="s">
        <v>1164</v>
      </c>
      <c r="N1994">
        <f>_xlfn.NUMBERVALUE(LEFT(Table11[[#This Row],[Score]],FIND("/",Table11[[#This Row],[Score]])-1))</f>
        <v>262</v>
      </c>
      <c r="O1994">
        <f>IFERROR(_xlfn.NUMBERVALUE(LEFT(Table11[[#This Row],[Score2 ]],FIND("/",Table11[[#This Row],[Score2 ]])-1)),"")</f>
        <v>193</v>
      </c>
      <c r="P1994" t="s">
        <v>145</v>
      </c>
      <c r="Q1994" s="1" t="s">
        <v>176</v>
      </c>
      <c r="R1994" t="str">
        <f>Table11[[#This Row],[Match]]&amp;" "&amp;Table11[[#This Row],[Over]]</f>
        <v>35 38</v>
      </c>
    </row>
    <row r="1995" spans="1:18" x14ac:dyDescent="0.3">
      <c r="A1995">
        <v>35</v>
      </c>
      <c r="B1995" s="1">
        <v>39</v>
      </c>
      <c r="C1995" s="1" t="s">
        <v>3740</v>
      </c>
      <c r="D1995" s="1" t="s">
        <v>922</v>
      </c>
      <c r="E1995" s="1" t="s">
        <v>3256</v>
      </c>
      <c r="F1995" s="1" t="s">
        <v>2084</v>
      </c>
      <c r="G1995" s="1" t="s">
        <v>2909</v>
      </c>
      <c r="H1995" s="1" t="s">
        <v>998</v>
      </c>
      <c r="I1995" s="1" t="s">
        <v>1365</v>
      </c>
      <c r="J1995" s="1" t="s">
        <v>977</v>
      </c>
      <c r="K1995" s="1" t="s">
        <v>4020</v>
      </c>
      <c r="L1995" s="1" t="s">
        <v>1120</v>
      </c>
      <c r="M1995" s="1" t="s">
        <v>1171</v>
      </c>
      <c r="N1995">
        <f>_xlfn.NUMBERVALUE(LEFT(Table11[[#This Row],[Score]],FIND("/",Table11[[#This Row],[Score]])-1))</f>
        <v>268</v>
      </c>
      <c r="O1995">
        <f>IFERROR(_xlfn.NUMBERVALUE(LEFT(Table11[[#This Row],[Score2 ]],FIND("/",Table11[[#This Row],[Score2 ]])-1)),"")</f>
        <v>197</v>
      </c>
      <c r="P1995" t="s">
        <v>145</v>
      </c>
      <c r="Q1995" s="1" t="s">
        <v>176</v>
      </c>
      <c r="R1995" t="str">
        <f>Table11[[#This Row],[Match]]&amp;" "&amp;Table11[[#This Row],[Over]]</f>
        <v>35 39</v>
      </c>
    </row>
    <row r="1996" spans="1:18" x14ac:dyDescent="0.3">
      <c r="A1996">
        <v>35</v>
      </c>
      <c r="B1996" s="1">
        <v>40</v>
      </c>
      <c r="C1996" s="1" t="s">
        <v>3236</v>
      </c>
      <c r="D1996" s="1" t="s">
        <v>933</v>
      </c>
      <c r="E1996" s="1" t="s">
        <v>1290</v>
      </c>
      <c r="F1996" s="1" t="s">
        <v>2417</v>
      </c>
      <c r="G1996" s="1" t="s">
        <v>4021</v>
      </c>
      <c r="H1996" s="1" t="s">
        <v>1095</v>
      </c>
      <c r="I1996" s="1" t="s">
        <v>1573</v>
      </c>
      <c r="J1996" s="1" t="s">
        <v>990</v>
      </c>
      <c r="K1996" s="1" t="s">
        <v>4022</v>
      </c>
      <c r="L1996" s="1" t="s">
        <v>1363</v>
      </c>
      <c r="M1996" s="1" t="s">
        <v>1177</v>
      </c>
      <c r="N1996">
        <f>_xlfn.NUMBERVALUE(LEFT(Table11[[#This Row],[Score]],FIND("/",Table11[[#This Row],[Score]])-1))</f>
        <v>282</v>
      </c>
      <c r="O1996">
        <f>IFERROR(_xlfn.NUMBERVALUE(LEFT(Table11[[#This Row],[Score2 ]],FIND("/",Table11[[#This Row],[Score2 ]])-1)),"")</f>
        <v>207</v>
      </c>
      <c r="P1996" t="s">
        <v>145</v>
      </c>
      <c r="Q1996" s="1" t="s">
        <v>176</v>
      </c>
      <c r="R1996" t="str">
        <f>Table11[[#This Row],[Match]]&amp;" "&amp;Table11[[#This Row],[Over]]</f>
        <v>35 40</v>
      </c>
    </row>
    <row r="1997" spans="1:18" x14ac:dyDescent="0.3">
      <c r="A1997">
        <v>35</v>
      </c>
      <c r="B1997" s="1">
        <v>41</v>
      </c>
      <c r="C1997" s="1" t="s">
        <v>4023</v>
      </c>
      <c r="D1997" s="1" t="s">
        <v>947</v>
      </c>
      <c r="E1997" s="1" t="s">
        <v>1300</v>
      </c>
      <c r="F1997" s="1" t="s">
        <v>1141</v>
      </c>
      <c r="G1997" s="1" t="s">
        <v>3751</v>
      </c>
      <c r="H1997" s="1" t="s">
        <v>904</v>
      </c>
      <c r="I1997" s="1" t="s">
        <v>1567</v>
      </c>
      <c r="J1997" s="1" t="s">
        <v>931</v>
      </c>
      <c r="K1997" s="1" t="s">
        <v>4024</v>
      </c>
      <c r="L1997" s="1" t="s">
        <v>2710</v>
      </c>
      <c r="M1997" s="1" t="s">
        <v>1183</v>
      </c>
      <c r="N1997">
        <f>_xlfn.NUMBERVALUE(LEFT(Table11[[#This Row],[Score]],FIND("/",Table11[[#This Row],[Score]])-1))</f>
        <v>291</v>
      </c>
      <c r="O1997">
        <f>IFERROR(_xlfn.NUMBERVALUE(LEFT(Table11[[#This Row],[Score2 ]],FIND("/",Table11[[#This Row],[Score2 ]])-1)),"")</f>
        <v>210</v>
      </c>
      <c r="P1997" t="s">
        <v>145</v>
      </c>
      <c r="Q1997" s="1" t="s">
        <v>176</v>
      </c>
      <c r="R1997" t="str">
        <f>Table11[[#This Row],[Match]]&amp;" "&amp;Table11[[#This Row],[Over]]</f>
        <v>35 41</v>
      </c>
    </row>
    <row r="1998" spans="1:18" x14ac:dyDescent="0.3">
      <c r="A1998">
        <v>35</v>
      </c>
      <c r="B1998" s="1">
        <v>42</v>
      </c>
      <c r="C1998" s="1" t="s">
        <v>4025</v>
      </c>
      <c r="D1998" s="1" t="s">
        <v>998</v>
      </c>
      <c r="E1998" s="1" t="s">
        <v>2102</v>
      </c>
      <c r="F1998" s="1" t="s">
        <v>2055</v>
      </c>
      <c r="G1998" s="1" t="s">
        <v>4026</v>
      </c>
      <c r="H1998" s="1" t="s">
        <v>898</v>
      </c>
      <c r="I1998" s="1" t="s">
        <v>2193</v>
      </c>
      <c r="J1998" s="1" t="s">
        <v>940</v>
      </c>
      <c r="K1998" s="1" t="s">
        <v>2415</v>
      </c>
      <c r="L1998" s="1" t="s">
        <v>1137</v>
      </c>
      <c r="M1998" s="1" t="s">
        <v>1190</v>
      </c>
      <c r="N1998">
        <f>_xlfn.NUMBERVALUE(LEFT(Table11[[#This Row],[Score]],FIND("/",Table11[[#This Row],[Score]])-1))</f>
        <v>295</v>
      </c>
      <c r="O1998">
        <f>IFERROR(_xlfn.NUMBERVALUE(LEFT(Table11[[#This Row],[Score2 ]],FIND("/",Table11[[#This Row],[Score2 ]])-1)),"")</f>
        <v>212</v>
      </c>
      <c r="P1998" t="s">
        <v>145</v>
      </c>
      <c r="Q1998" s="1" t="s">
        <v>176</v>
      </c>
      <c r="R1998" t="str">
        <f>Table11[[#This Row],[Match]]&amp;" "&amp;Table11[[#This Row],[Over]]</f>
        <v>35 42</v>
      </c>
    </row>
    <row r="1999" spans="1:18" x14ac:dyDescent="0.3">
      <c r="A1999">
        <v>35</v>
      </c>
      <c r="B1999" s="1">
        <v>43</v>
      </c>
      <c r="C1999" s="1" t="s">
        <v>4027</v>
      </c>
      <c r="D1999" s="1" t="s">
        <v>922</v>
      </c>
      <c r="E1999" s="1" t="s">
        <v>952</v>
      </c>
      <c r="F1999" s="1" t="s">
        <v>1168</v>
      </c>
      <c r="G1999" s="1" t="s">
        <v>4028</v>
      </c>
      <c r="H1999" s="1" t="s">
        <v>904</v>
      </c>
      <c r="I1999" s="1" t="s">
        <v>969</v>
      </c>
      <c r="J1999" s="1" t="s">
        <v>940</v>
      </c>
      <c r="K1999" s="1" t="s">
        <v>4029</v>
      </c>
      <c r="L1999" s="1" t="s">
        <v>2161</v>
      </c>
      <c r="M1999" s="1" t="s">
        <v>1197</v>
      </c>
      <c r="N1999">
        <f>_xlfn.NUMBERVALUE(LEFT(Table11[[#This Row],[Score]],FIND("/",Table11[[#This Row],[Score]])-1))</f>
        <v>301</v>
      </c>
      <c r="O1999">
        <f>IFERROR(_xlfn.NUMBERVALUE(LEFT(Table11[[#This Row],[Score2 ]],FIND("/",Table11[[#This Row],[Score2 ]])-1)),"")</f>
        <v>215</v>
      </c>
      <c r="P1999" t="s">
        <v>145</v>
      </c>
      <c r="Q1999" s="1" t="s">
        <v>176</v>
      </c>
      <c r="R1999" t="str">
        <f>Table11[[#This Row],[Match]]&amp;" "&amp;Table11[[#This Row],[Over]]</f>
        <v>35 43</v>
      </c>
    </row>
    <row r="2000" spans="1:18" x14ac:dyDescent="0.3">
      <c r="A2000">
        <v>35</v>
      </c>
      <c r="B2000" s="1">
        <v>44</v>
      </c>
      <c r="C2000" s="1" t="s">
        <v>4030</v>
      </c>
      <c r="D2000" s="1" t="s">
        <v>1578</v>
      </c>
      <c r="E2000" s="1" t="s">
        <v>1068</v>
      </c>
      <c r="F2000" s="1" t="s">
        <v>1591</v>
      </c>
      <c r="G2000" s="1" t="s">
        <v>3599</v>
      </c>
      <c r="H2000" s="1" t="s">
        <v>1966</v>
      </c>
      <c r="I2000" s="1" t="s">
        <v>4031</v>
      </c>
      <c r="J2000" s="1" t="s">
        <v>3600</v>
      </c>
      <c r="K2000" s="1" t="s">
        <v>4032</v>
      </c>
      <c r="L2000" s="1" t="s">
        <v>2161</v>
      </c>
      <c r="M2000" s="1" t="s">
        <v>3370</v>
      </c>
      <c r="N2000">
        <f>_xlfn.NUMBERVALUE(LEFT(Table11[[#This Row],[Score]],FIND("/",Table11[[#This Row],[Score]])-1))</f>
        <v>326</v>
      </c>
      <c r="O2000">
        <f>IFERROR(_xlfn.NUMBERVALUE(LEFT(Table11[[#This Row],[Score2 ]],FIND("/",Table11[[#This Row],[Score2 ]])-1)),"")</f>
        <v>215</v>
      </c>
      <c r="P2000" t="s">
        <v>145</v>
      </c>
      <c r="Q2000" s="1" t="s">
        <v>176</v>
      </c>
      <c r="R2000" t="str">
        <f>Table11[[#This Row],[Match]]&amp;" "&amp;Table11[[#This Row],[Over]]</f>
        <v>35 44</v>
      </c>
    </row>
    <row r="2001" spans="1:18" x14ac:dyDescent="0.3">
      <c r="A2001">
        <v>35</v>
      </c>
      <c r="B2001" s="1">
        <v>45</v>
      </c>
      <c r="C2001" s="1" t="s">
        <v>4033</v>
      </c>
      <c r="D2001" s="1" t="s">
        <v>904</v>
      </c>
      <c r="E2001" s="1" t="s">
        <v>3806</v>
      </c>
      <c r="F2001" s="1" t="s">
        <v>1226</v>
      </c>
      <c r="N2001">
        <f>_xlfn.NUMBERVALUE(LEFT(Table11[[#This Row],[Score]],FIND("/",Table11[[#This Row],[Score]])-1))</f>
        <v>329</v>
      </c>
      <c r="O2001" t="str">
        <f>IFERROR(_xlfn.NUMBERVALUE(LEFT(Table11[[#This Row],[Score2 ]],FIND("/",Table11[[#This Row],[Score2 ]])-1)),"")</f>
        <v/>
      </c>
      <c r="P2001" t="s">
        <v>145</v>
      </c>
      <c r="Q2001" s="1" t="s">
        <v>176</v>
      </c>
      <c r="R2001" t="str">
        <f>Table11[[#This Row],[Match]]&amp;" "&amp;Table11[[#This Row],[Over]]</f>
        <v>35 45</v>
      </c>
    </row>
    <row r="2002" spans="1:18" x14ac:dyDescent="0.3">
      <c r="A2002">
        <v>35</v>
      </c>
      <c r="B2002" s="1">
        <v>46</v>
      </c>
      <c r="C2002" s="1" t="s">
        <v>4034</v>
      </c>
      <c r="D2002" s="1" t="s">
        <v>998</v>
      </c>
      <c r="E2002" s="1" t="s">
        <v>1776</v>
      </c>
      <c r="F2002" s="1" t="s">
        <v>1335</v>
      </c>
      <c r="N2002">
        <f>_xlfn.NUMBERVALUE(LEFT(Table11[[#This Row],[Score]],FIND("/",Table11[[#This Row],[Score]])-1))</f>
        <v>333</v>
      </c>
      <c r="O2002" t="str">
        <f>IFERROR(_xlfn.NUMBERVALUE(LEFT(Table11[[#This Row],[Score2 ]],FIND("/",Table11[[#This Row],[Score2 ]])-1)),"")</f>
        <v/>
      </c>
      <c r="P2002" t="s">
        <v>145</v>
      </c>
      <c r="Q2002" s="1" t="s">
        <v>176</v>
      </c>
      <c r="R2002" t="str">
        <f>Table11[[#This Row],[Match]]&amp;" "&amp;Table11[[#This Row],[Over]]</f>
        <v>35 46</v>
      </c>
    </row>
    <row r="2003" spans="1:18" x14ac:dyDescent="0.3">
      <c r="A2003">
        <v>35</v>
      </c>
      <c r="B2003" s="1">
        <v>47</v>
      </c>
      <c r="C2003" s="1" t="s">
        <v>4035</v>
      </c>
      <c r="D2003" s="1" t="s">
        <v>998</v>
      </c>
      <c r="E2003" s="1" t="s">
        <v>1313</v>
      </c>
      <c r="F2003" s="1" t="s">
        <v>1335</v>
      </c>
      <c r="N2003">
        <f>_xlfn.NUMBERVALUE(LEFT(Table11[[#This Row],[Score]],FIND("/",Table11[[#This Row],[Score]])-1))</f>
        <v>337</v>
      </c>
      <c r="O2003" t="str">
        <f>IFERROR(_xlfn.NUMBERVALUE(LEFT(Table11[[#This Row],[Score2 ]],FIND("/",Table11[[#This Row],[Score2 ]])-1)),"")</f>
        <v/>
      </c>
      <c r="P2003" t="s">
        <v>145</v>
      </c>
      <c r="Q2003" s="1" t="s">
        <v>176</v>
      </c>
      <c r="R2003" t="str">
        <f>Table11[[#This Row],[Match]]&amp;" "&amp;Table11[[#This Row],[Over]]</f>
        <v>35 47</v>
      </c>
    </row>
    <row r="2004" spans="1:18" x14ac:dyDescent="0.3">
      <c r="A2004">
        <v>35</v>
      </c>
      <c r="B2004" s="1">
        <v>48</v>
      </c>
      <c r="C2004" s="1" t="s">
        <v>2324</v>
      </c>
      <c r="D2004" s="1" t="s">
        <v>950</v>
      </c>
      <c r="E2004" s="1" t="s">
        <v>2219</v>
      </c>
      <c r="F2004" s="1" t="s">
        <v>1405</v>
      </c>
      <c r="N2004">
        <f>_xlfn.NUMBERVALUE(LEFT(Table11[[#This Row],[Score]],FIND("/",Table11[[#This Row],[Score]])-1))</f>
        <v>342</v>
      </c>
      <c r="O2004" t="str">
        <f>IFERROR(_xlfn.NUMBERVALUE(LEFT(Table11[[#This Row],[Score2 ]],FIND("/",Table11[[#This Row],[Score2 ]])-1)),"")</f>
        <v/>
      </c>
      <c r="P2004" t="s">
        <v>145</v>
      </c>
      <c r="Q2004" s="1" t="s">
        <v>176</v>
      </c>
      <c r="R2004" t="str">
        <f>Table11[[#This Row],[Match]]&amp;" "&amp;Table11[[#This Row],[Over]]</f>
        <v>35 48</v>
      </c>
    </row>
    <row r="2005" spans="1:18" x14ac:dyDescent="0.3">
      <c r="A2005">
        <v>35</v>
      </c>
      <c r="B2005" s="1">
        <v>49</v>
      </c>
      <c r="C2005" s="1" t="s">
        <v>4036</v>
      </c>
      <c r="D2005" s="1" t="s">
        <v>1390</v>
      </c>
      <c r="E2005" s="1" t="s">
        <v>4037</v>
      </c>
      <c r="F2005" s="1" t="s">
        <v>1013</v>
      </c>
      <c r="N2005">
        <f>_xlfn.NUMBERVALUE(LEFT(Table11[[#This Row],[Score]],FIND("/",Table11[[#This Row],[Score]])-1))</f>
        <v>355</v>
      </c>
      <c r="O2005" t="str">
        <f>IFERROR(_xlfn.NUMBERVALUE(LEFT(Table11[[#This Row],[Score2 ]],FIND("/",Table11[[#This Row],[Score2 ]])-1)),"")</f>
        <v/>
      </c>
      <c r="P2005" t="s">
        <v>145</v>
      </c>
      <c r="Q2005" s="1" t="s">
        <v>176</v>
      </c>
      <c r="R2005" t="str">
        <f>Table11[[#This Row],[Match]]&amp;" "&amp;Table11[[#This Row],[Over]]</f>
        <v>35 49</v>
      </c>
    </row>
    <row r="2006" spans="1:18" x14ac:dyDescent="0.3">
      <c r="A2006">
        <v>35</v>
      </c>
      <c r="B2006" s="1">
        <v>50</v>
      </c>
      <c r="C2006" s="1" t="s">
        <v>4038</v>
      </c>
      <c r="D2006" s="1" t="s">
        <v>930</v>
      </c>
      <c r="E2006" s="1" t="s">
        <v>2726</v>
      </c>
      <c r="F2006" s="1" t="s">
        <v>1053</v>
      </c>
      <c r="N2006">
        <f>_xlfn.NUMBERVALUE(LEFT(Table11[[#This Row],[Score]],FIND("/",Table11[[#This Row],[Score]])-1))</f>
        <v>363</v>
      </c>
      <c r="O2006" t="str">
        <f>IFERROR(_xlfn.NUMBERVALUE(LEFT(Table11[[#This Row],[Score2 ]],FIND("/",Table11[[#This Row],[Score2 ]])-1)),"")</f>
        <v/>
      </c>
      <c r="P2006" t="s">
        <v>145</v>
      </c>
      <c r="Q2006" s="1" t="s">
        <v>176</v>
      </c>
      <c r="R2006" t="str">
        <f>Table11[[#This Row],[Match]]&amp;" "&amp;Table11[[#This Row],[Over]]</f>
        <v>35 50</v>
      </c>
    </row>
    <row r="2007" spans="1:18" x14ac:dyDescent="0.3">
      <c r="A2007">
        <v>36</v>
      </c>
      <c r="B2007" s="1">
        <v>1</v>
      </c>
      <c r="C2007" s="1" t="s">
        <v>1421</v>
      </c>
      <c r="D2007" s="1" t="s">
        <v>1095</v>
      </c>
      <c r="E2007" s="1" t="s">
        <v>2055</v>
      </c>
      <c r="F2007" s="1" t="s">
        <v>348</v>
      </c>
      <c r="G2007" s="1" t="s">
        <v>906</v>
      </c>
      <c r="H2007" s="1" t="s">
        <v>998</v>
      </c>
      <c r="I2007" s="1" t="s">
        <v>939</v>
      </c>
      <c r="J2007" s="1" t="s">
        <v>348</v>
      </c>
      <c r="K2007" s="1" t="s">
        <v>2088</v>
      </c>
      <c r="L2007" s="1" t="s">
        <v>2209</v>
      </c>
      <c r="M2007" s="1" t="s">
        <v>902</v>
      </c>
      <c r="N2007">
        <f>_xlfn.NUMBERVALUE(LEFT(Table11[[#This Row],[Score]],FIND("/",Table11[[#This Row],[Score]])-1))</f>
        <v>10</v>
      </c>
      <c r="O2007">
        <f>IFERROR(_xlfn.NUMBERVALUE(LEFT(Table11[[#This Row],[Score2 ]],FIND("/",Table11[[#This Row],[Score2 ]])-1)),"")</f>
        <v>4</v>
      </c>
      <c r="P2007" t="s">
        <v>141</v>
      </c>
      <c r="Q2007" s="1" t="s">
        <v>164</v>
      </c>
      <c r="R2007" t="str">
        <f>Table11[[#This Row],[Match]]&amp;" "&amp;Table11[[#This Row],[Over]]</f>
        <v>36 1</v>
      </c>
    </row>
    <row r="2008" spans="1:18" x14ac:dyDescent="0.3">
      <c r="A2008">
        <v>36</v>
      </c>
      <c r="B2008" s="1">
        <v>2</v>
      </c>
      <c r="C2008" s="1" t="s">
        <v>1424</v>
      </c>
      <c r="D2008" s="1" t="s">
        <v>950</v>
      </c>
      <c r="E2008" s="1" t="s">
        <v>1322</v>
      </c>
      <c r="F2008" s="1" t="s">
        <v>348</v>
      </c>
      <c r="G2008" s="1" t="s">
        <v>913</v>
      </c>
      <c r="H2008" s="1" t="s">
        <v>904</v>
      </c>
      <c r="I2008" s="1" t="s">
        <v>925</v>
      </c>
      <c r="J2008" s="1" t="s">
        <v>348</v>
      </c>
      <c r="K2008" s="1" t="s">
        <v>2212</v>
      </c>
      <c r="L2008" s="1" t="s">
        <v>3193</v>
      </c>
      <c r="M2008" s="1" t="s">
        <v>909</v>
      </c>
      <c r="N2008">
        <f>_xlfn.NUMBERVALUE(LEFT(Table11[[#This Row],[Score]],FIND("/",Table11[[#This Row],[Score]])-1))</f>
        <v>15</v>
      </c>
      <c r="O2008">
        <f>IFERROR(_xlfn.NUMBERVALUE(LEFT(Table11[[#This Row],[Score2 ]],FIND("/",Table11[[#This Row],[Score2 ]])-1)),"")</f>
        <v>7</v>
      </c>
      <c r="P2008" t="s">
        <v>141</v>
      </c>
      <c r="Q2008" s="1" t="s">
        <v>164</v>
      </c>
      <c r="R2008" t="str">
        <f>Table11[[#This Row],[Match]]&amp;" "&amp;Table11[[#This Row],[Over]]</f>
        <v>36 2</v>
      </c>
    </row>
    <row r="2009" spans="1:18" x14ac:dyDescent="0.3">
      <c r="A2009">
        <v>36</v>
      </c>
      <c r="B2009" s="1">
        <v>3</v>
      </c>
      <c r="C2009" s="1" t="s">
        <v>1246</v>
      </c>
      <c r="D2009" s="1" t="s">
        <v>898</v>
      </c>
      <c r="E2009" s="1" t="s">
        <v>942</v>
      </c>
      <c r="F2009" s="1" t="s">
        <v>348</v>
      </c>
      <c r="G2009" s="1" t="s">
        <v>1239</v>
      </c>
      <c r="H2009" s="1" t="s">
        <v>950</v>
      </c>
      <c r="I2009" s="1" t="s">
        <v>939</v>
      </c>
      <c r="J2009" s="1" t="s">
        <v>348</v>
      </c>
      <c r="K2009" s="1" t="s">
        <v>2102</v>
      </c>
      <c r="L2009" s="1" t="s">
        <v>3631</v>
      </c>
      <c r="M2009" s="1" t="s">
        <v>920</v>
      </c>
      <c r="N2009">
        <f>_xlfn.NUMBERVALUE(LEFT(Table11[[#This Row],[Score]],FIND("/",Table11[[#This Row],[Score]])-1))</f>
        <v>17</v>
      </c>
      <c r="O2009">
        <f>IFERROR(_xlfn.NUMBERVALUE(LEFT(Table11[[#This Row],[Score2 ]],FIND("/",Table11[[#This Row],[Score2 ]])-1)),"")</f>
        <v>12</v>
      </c>
      <c r="P2009" t="s">
        <v>141</v>
      </c>
      <c r="Q2009" s="1" t="s">
        <v>164</v>
      </c>
      <c r="R2009" t="str">
        <f>Table11[[#This Row],[Match]]&amp;" "&amp;Table11[[#This Row],[Over]]</f>
        <v>36 3</v>
      </c>
    </row>
    <row r="2010" spans="1:18" x14ac:dyDescent="0.3">
      <c r="A2010">
        <v>36</v>
      </c>
      <c r="B2010" s="1">
        <v>4</v>
      </c>
      <c r="C2010" s="1" t="s">
        <v>3150</v>
      </c>
      <c r="D2010" s="1" t="s">
        <v>922</v>
      </c>
      <c r="E2010" s="1" t="s">
        <v>1601</v>
      </c>
      <c r="F2010" s="1" t="s">
        <v>348</v>
      </c>
      <c r="G2010" s="1" t="s">
        <v>2689</v>
      </c>
      <c r="H2010" s="1" t="s">
        <v>898</v>
      </c>
      <c r="I2010" s="1" t="s">
        <v>925</v>
      </c>
      <c r="J2010" s="1" t="s">
        <v>348</v>
      </c>
      <c r="K2010" s="1" t="s">
        <v>3239</v>
      </c>
      <c r="L2010" s="1" t="s">
        <v>4039</v>
      </c>
      <c r="M2010" s="1" t="s">
        <v>928</v>
      </c>
      <c r="N2010">
        <f>_xlfn.NUMBERVALUE(LEFT(Table11[[#This Row],[Score]],FIND("/",Table11[[#This Row],[Score]])-1))</f>
        <v>23</v>
      </c>
      <c r="O2010">
        <f>IFERROR(_xlfn.NUMBERVALUE(LEFT(Table11[[#This Row],[Score2 ]],FIND("/",Table11[[#This Row],[Score2 ]])-1)),"")</f>
        <v>14</v>
      </c>
      <c r="P2010" t="s">
        <v>141</v>
      </c>
      <c r="Q2010" s="1" t="s">
        <v>164</v>
      </c>
      <c r="R2010" t="str">
        <f>Table11[[#This Row],[Match]]&amp;" "&amp;Table11[[#This Row],[Over]]</f>
        <v>36 4</v>
      </c>
    </row>
    <row r="2011" spans="1:18" x14ac:dyDescent="0.3">
      <c r="A2011">
        <v>36</v>
      </c>
      <c r="B2011" s="1">
        <v>5</v>
      </c>
      <c r="C2011" s="1" t="s">
        <v>2691</v>
      </c>
      <c r="D2011" s="1" t="s">
        <v>930</v>
      </c>
      <c r="E2011" s="1" t="s">
        <v>970</v>
      </c>
      <c r="F2011" s="1" t="s">
        <v>970</v>
      </c>
      <c r="G2011" s="1" t="s">
        <v>1629</v>
      </c>
      <c r="H2011" s="1" t="s">
        <v>950</v>
      </c>
      <c r="I2011" s="1" t="s">
        <v>990</v>
      </c>
      <c r="J2011" s="1" t="s">
        <v>990</v>
      </c>
      <c r="K2011" s="1" t="s">
        <v>1313</v>
      </c>
      <c r="L2011" s="1" t="s">
        <v>4040</v>
      </c>
      <c r="M2011" s="1" t="s">
        <v>937</v>
      </c>
      <c r="N2011">
        <f>_xlfn.NUMBERVALUE(LEFT(Table11[[#This Row],[Score]],FIND("/",Table11[[#This Row],[Score]])-1))</f>
        <v>31</v>
      </c>
      <c r="O2011">
        <f>IFERROR(_xlfn.NUMBERVALUE(LEFT(Table11[[#This Row],[Score2 ]],FIND("/",Table11[[#This Row],[Score2 ]])-1)),"")</f>
        <v>19</v>
      </c>
      <c r="P2011" t="s">
        <v>141</v>
      </c>
      <c r="Q2011" s="1" t="s">
        <v>164</v>
      </c>
      <c r="R2011" t="str">
        <f>Table11[[#This Row],[Match]]&amp;" "&amp;Table11[[#This Row],[Over]]</f>
        <v>36 5</v>
      </c>
    </row>
    <row r="2012" spans="1:18" x14ac:dyDescent="0.3">
      <c r="A2012">
        <v>36</v>
      </c>
      <c r="B2012" s="1">
        <v>6</v>
      </c>
      <c r="C2012" s="1" t="s">
        <v>2216</v>
      </c>
      <c r="D2012" s="1" t="s">
        <v>1095</v>
      </c>
      <c r="E2012" s="1" t="s">
        <v>1487</v>
      </c>
      <c r="F2012" s="1" t="s">
        <v>970</v>
      </c>
      <c r="G2012" s="1" t="s">
        <v>1974</v>
      </c>
      <c r="H2012" s="1" t="s">
        <v>947</v>
      </c>
      <c r="I2012" s="1" t="s">
        <v>1975</v>
      </c>
      <c r="J2012" s="1" t="s">
        <v>1093</v>
      </c>
      <c r="K2012" s="1" t="s">
        <v>3239</v>
      </c>
      <c r="L2012" s="1" t="s">
        <v>2213</v>
      </c>
      <c r="M2012" s="1" t="s">
        <v>945</v>
      </c>
      <c r="N2012">
        <f>_xlfn.NUMBERVALUE(LEFT(Table11[[#This Row],[Score]],FIND("/",Table11[[#This Row],[Score]])-1))</f>
        <v>41</v>
      </c>
      <c r="O2012">
        <f>IFERROR(_xlfn.NUMBERVALUE(LEFT(Table11[[#This Row],[Score2 ]],FIND("/",Table11[[#This Row],[Score2 ]])-1)),"")</f>
        <v>28</v>
      </c>
      <c r="P2012" t="s">
        <v>141</v>
      </c>
      <c r="Q2012" s="1" t="s">
        <v>164</v>
      </c>
      <c r="R2012" t="str">
        <f>Table11[[#This Row],[Match]]&amp;" "&amp;Table11[[#This Row],[Over]]</f>
        <v>36 6</v>
      </c>
    </row>
    <row r="2013" spans="1:18" x14ac:dyDescent="0.3">
      <c r="A2013">
        <v>36</v>
      </c>
      <c r="B2013" s="1">
        <v>7</v>
      </c>
      <c r="C2013" s="1" t="s">
        <v>974</v>
      </c>
      <c r="D2013" s="1" t="s">
        <v>968</v>
      </c>
      <c r="E2013" s="1" t="s">
        <v>1019</v>
      </c>
      <c r="F2013" s="1" t="s">
        <v>966</v>
      </c>
      <c r="G2013" s="1" t="s">
        <v>1257</v>
      </c>
      <c r="H2013" s="1" t="s">
        <v>968</v>
      </c>
      <c r="I2013" s="1" t="s">
        <v>1008</v>
      </c>
      <c r="J2013" s="1" t="s">
        <v>940</v>
      </c>
      <c r="K2013" s="1" t="s">
        <v>1309</v>
      </c>
      <c r="L2013" s="1" t="s">
        <v>2329</v>
      </c>
      <c r="M2013" s="1" t="s">
        <v>955</v>
      </c>
      <c r="N2013">
        <f>_xlfn.NUMBERVALUE(LEFT(Table11[[#This Row],[Score]],FIND("/",Table11[[#This Row],[Score]])-1))</f>
        <v>42</v>
      </c>
      <c r="O2013">
        <f>IFERROR(_xlfn.NUMBERVALUE(LEFT(Table11[[#This Row],[Score2 ]],FIND("/",Table11[[#This Row],[Score2 ]])-1)),"")</f>
        <v>29</v>
      </c>
      <c r="P2013" t="s">
        <v>141</v>
      </c>
      <c r="Q2013" s="1" t="s">
        <v>164</v>
      </c>
      <c r="R2013" t="str">
        <f>Table11[[#This Row],[Match]]&amp;" "&amp;Table11[[#This Row],[Over]]</f>
        <v>36 7</v>
      </c>
    </row>
    <row r="2014" spans="1:18" x14ac:dyDescent="0.3">
      <c r="A2014">
        <v>36</v>
      </c>
      <c r="B2014" s="1">
        <v>8</v>
      </c>
      <c r="C2014" s="1" t="s">
        <v>3000</v>
      </c>
      <c r="D2014" s="1" t="s">
        <v>947</v>
      </c>
      <c r="E2014" s="1" t="s">
        <v>978</v>
      </c>
      <c r="F2014" s="1" t="s">
        <v>1053</v>
      </c>
      <c r="G2014" s="1" t="s">
        <v>1262</v>
      </c>
      <c r="H2014" s="1" t="s">
        <v>904</v>
      </c>
      <c r="I2014" s="1" t="s">
        <v>939</v>
      </c>
      <c r="J2014" s="1" t="s">
        <v>939</v>
      </c>
      <c r="K2014" s="1" t="s">
        <v>2127</v>
      </c>
      <c r="L2014" s="1" t="s">
        <v>2792</v>
      </c>
      <c r="M2014" s="1" t="s">
        <v>963</v>
      </c>
      <c r="N2014">
        <f>_xlfn.NUMBERVALUE(LEFT(Table11[[#This Row],[Score]],FIND("/",Table11[[#This Row],[Score]])-1))</f>
        <v>51</v>
      </c>
      <c r="O2014">
        <f>IFERROR(_xlfn.NUMBERVALUE(LEFT(Table11[[#This Row],[Score2 ]],FIND("/",Table11[[#This Row],[Score2 ]])-1)),"")</f>
        <v>32</v>
      </c>
      <c r="P2014" t="s">
        <v>141</v>
      </c>
      <c r="Q2014" s="1" t="s">
        <v>164</v>
      </c>
      <c r="R2014" t="str">
        <f>Table11[[#This Row],[Match]]&amp;" "&amp;Table11[[#This Row],[Over]]</f>
        <v>36 8</v>
      </c>
    </row>
    <row r="2015" spans="1:18" x14ac:dyDescent="0.3">
      <c r="A2015">
        <v>36</v>
      </c>
      <c r="B2015" s="1">
        <v>9</v>
      </c>
      <c r="C2015" s="1" t="s">
        <v>988</v>
      </c>
      <c r="D2015" s="1" t="s">
        <v>968</v>
      </c>
      <c r="E2015" s="1" t="s">
        <v>2424</v>
      </c>
      <c r="F2015" s="1" t="s">
        <v>1013</v>
      </c>
      <c r="G2015" s="1" t="s">
        <v>1262</v>
      </c>
      <c r="H2015" s="1" t="s">
        <v>1007</v>
      </c>
      <c r="I2015" s="1" t="s">
        <v>1263</v>
      </c>
      <c r="J2015" s="1" t="s">
        <v>977</v>
      </c>
      <c r="K2015" s="1" t="s">
        <v>3211</v>
      </c>
      <c r="L2015" s="1" t="s">
        <v>2792</v>
      </c>
      <c r="M2015" s="1" t="s">
        <v>973</v>
      </c>
      <c r="N2015">
        <f>_xlfn.NUMBERVALUE(LEFT(Table11[[#This Row],[Score]],FIND("/",Table11[[#This Row],[Score]])-1))</f>
        <v>52</v>
      </c>
      <c r="O2015">
        <f>IFERROR(_xlfn.NUMBERVALUE(LEFT(Table11[[#This Row],[Score2 ]],FIND("/",Table11[[#This Row],[Score2 ]])-1)),"")</f>
        <v>32</v>
      </c>
      <c r="P2015" t="s">
        <v>141</v>
      </c>
      <c r="Q2015" s="1" t="s">
        <v>164</v>
      </c>
      <c r="R2015" t="str">
        <f>Table11[[#This Row],[Match]]&amp;" "&amp;Table11[[#This Row],[Over]]</f>
        <v>36 9</v>
      </c>
    </row>
    <row r="2016" spans="1:18" x14ac:dyDescent="0.3">
      <c r="A2016">
        <v>36</v>
      </c>
      <c r="B2016" s="1">
        <v>10</v>
      </c>
      <c r="C2016" s="1" t="s">
        <v>1287</v>
      </c>
      <c r="D2016" s="1" t="s">
        <v>947</v>
      </c>
      <c r="E2016" s="1" t="s">
        <v>900</v>
      </c>
      <c r="F2016" s="1" t="s">
        <v>1019</v>
      </c>
      <c r="G2016" s="1" t="s">
        <v>974</v>
      </c>
      <c r="H2016" s="1" t="s">
        <v>1095</v>
      </c>
      <c r="I2016" s="1" t="s">
        <v>931</v>
      </c>
      <c r="J2016" s="1" t="s">
        <v>976</v>
      </c>
      <c r="K2016" s="1" t="s">
        <v>1322</v>
      </c>
      <c r="L2016" s="1" t="s">
        <v>1969</v>
      </c>
      <c r="M2016" s="1" t="s">
        <v>980</v>
      </c>
      <c r="N2016">
        <f>_xlfn.NUMBERVALUE(LEFT(Table11[[#This Row],[Score]],FIND("/",Table11[[#This Row],[Score]])-1))</f>
        <v>61</v>
      </c>
      <c r="O2016">
        <f>IFERROR(_xlfn.NUMBERVALUE(LEFT(Table11[[#This Row],[Score2 ]],FIND("/",Table11[[#This Row],[Score2 ]])-1)),"")</f>
        <v>42</v>
      </c>
      <c r="P2016" t="s">
        <v>141</v>
      </c>
      <c r="Q2016" s="1" t="s">
        <v>164</v>
      </c>
      <c r="R2016" t="str">
        <f>Table11[[#This Row],[Match]]&amp;" "&amp;Table11[[#This Row],[Over]]</f>
        <v>36 10</v>
      </c>
    </row>
    <row r="2017" spans="1:18" x14ac:dyDescent="0.3">
      <c r="A2017">
        <v>36</v>
      </c>
      <c r="B2017" s="1">
        <v>11</v>
      </c>
      <c r="C2017" s="1" t="s">
        <v>2340</v>
      </c>
      <c r="D2017" s="1" t="s">
        <v>998</v>
      </c>
      <c r="E2017" s="1" t="s">
        <v>1407</v>
      </c>
      <c r="F2017" s="1" t="s">
        <v>1093</v>
      </c>
      <c r="G2017" s="1" t="s">
        <v>967</v>
      </c>
      <c r="H2017" s="1" t="s">
        <v>904</v>
      </c>
      <c r="I2017" s="1" t="s">
        <v>981</v>
      </c>
      <c r="J2017" s="1" t="s">
        <v>1247</v>
      </c>
      <c r="K2017" s="1" t="s">
        <v>2820</v>
      </c>
      <c r="L2017" s="1" t="s">
        <v>908</v>
      </c>
      <c r="M2017" s="1" t="s">
        <v>987</v>
      </c>
      <c r="N2017">
        <f>_xlfn.NUMBERVALUE(LEFT(Table11[[#This Row],[Score]],FIND("/",Table11[[#This Row],[Score]])-1))</f>
        <v>65</v>
      </c>
      <c r="O2017">
        <f>IFERROR(_xlfn.NUMBERVALUE(LEFT(Table11[[#This Row],[Score2 ]],FIND("/",Table11[[#This Row],[Score2 ]])-1)),"")</f>
        <v>45</v>
      </c>
      <c r="P2017" t="s">
        <v>141</v>
      </c>
      <c r="Q2017" s="1" t="s">
        <v>164</v>
      </c>
      <c r="R2017" t="str">
        <f>Table11[[#This Row],[Match]]&amp;" "&amp;Table11[[#This Row],[Over]]</f>
        <v>36 11</v>
      </c>
    </row>
    <row r="2018" spans="1:18" x14ac:dyDescent="0.3">
      <c r="A2018">
        <v>36</v>
      </c>
      <c r="B2018" s="1">
        <v>12</v>
      </c>
      <c r="C2018" s="1" t="s">
        <v>3310</v>
      </c>
      <c r="D2018" s="1" t="s">
        <v>904</v>
      </c>
      <c r="E2018" s="1" t="s">
        <v>942</v>
      </c>
      <c r="F2018" s="1" t="s">
        <v>1029</v>
      </c>
      <c r="G2018" s="1" t="s">
        <v>1451</v>
      </c>
      <c r="H2018" s="1" t="s">
        <v>1007</v>
      </c>
      <c r="I2018" s="1" t="s">
        <v>1276</v>
      </c>
      <c r="J2018" s="1" t="s">
        <v>1259</v>
      </c>
      <c r="K2018" s="1" t="s">
        <v>3209</v>
      </c>
      <c r="L2018" s="1" t="s">
        <v>908</v>
      </c>
      <c r="M2018" s="1" t="s">
        <v>996</v>
      </c>
      <c r="N2018">
        <f>_xlfn.NUMBERVALUE(LEFT(Table11[[#This Row],[Score]],FIND("/",Table11[[#This Row],[Score]])-1))</f>
        <v>68</v>
      </c>
      <c r="O2018">
        <f>IFERROR(_xlfn.NUMBERVALUE(LEFT(Table11[[#This Row],[Score2 ]],FIND("/",Table11[[#This Row],[Score2 ]])-1)),"")</f>
        <v>45</v>
      </c>
      <c r="P2018" t="s">
        <v>141</v>
      </c>
      <c r="Q2018" s="1" t="s">
        <v>164</v>
      </c>
      <c r="R2018" t="str">
        <f>Table11[[#This Row],[Match]]&amp;" "&amp;Table11[[#This Row],[Over]]</f>
        <v>36 12</v>
      </c>
    </row>
    <row r="2019" spans="1:18" x14ac:dyDescent="0.3">
      <c r="A2019">
        <v>36</v>
      </c>
      <c r="B2019" s="1">
        <v>13</v>
      </c>
      <c r="C2019" s="1" t="s">
        <v>2115</v>
      </c>
      <c r="D2019" s="1" t="s">
        <v>968</v>
      </c>
      <c r="E2019" s="1" t="s">
        <v>1065</v>
      </c>
      <c r="F2019" s="1" t="s">
        <v>977</v>
      </c>
      <c r="G2019" s="1" t="s">
        <v>4041</v>
      </c>
      <c r="H2019" s="1" t="s">
        <v>1007</v>
      </c>
      <c r="I2019" s="1" t="s">
        <v>3582</v>
      </c>
      <c r="J2019" s="1" t="s">
        <v>984</v>
      </c>
      <c r="K2019" s="1" t="s">
        <v>2240</v>
      </c>
      <c r="L2019" s="1" t="s">
        <v>908</v>
      </c>
      <c r="M2019" s="1" t="s">
        <v>1004</v>
      </c>
      <c r="N2019">
        <f>_xlfn.NUMBERVALUE(LEFT(Table11[[#This Row],[Score]],FIND("/",Table11[[#This Row],[Score]])-1))</f>
        <v>69</v>
      </c>
      <c r="O2019">
        <f>IFERROR(_xlfn.NUMBERVALUE(LEFT(Table11[[#This Row],[Score2 ]],FIND("/",Table11[[#This Row],[Score2 ]])-1)),"")</f>
        <v>45</v>
      </c>
      <c r="P2019" t="s">
        <v>141</v>
      </c>
      <c r="Q2019" s="1" t="s">
        <v>164</v>
      </c>
      <c r="R2019" t="str">
        <f>Table11[[#This Row],[Match]]&amp;" "&amp;Table11[[#This Row],[Over]]</f>
        <v>36 13</v>
      </c>
    </row>
    <row r="2020" spans="1:18" x14ac:dyDescent="0.3">
      <c r="A2020">
        <v>36</v>
      </c>
      <c r="B2020" s="1">
        <v>14</v>
      </c>
      <c r="C2020" s="1" t="s">
        <v>2118</v>
      </c>
      <c r="D2020" s="1" t="s">
        <v>950</v>
      </c>
      <c r="E2020" s="1" t="s">
        <v>1727</v>
      </c>
      <c r="F2020" s="1" t="s">
        <v>940</v>
      </c>
      <c r="G2020" s="1" t="s">
        <v>3282</v>
      </c>
      <c r="H2020" s="1" t="s">
        <v>898</v>
      </c>
      <c r="I2020" s="1" t="s">
        <v>2615</v>
      </c>
      <c r="J2020" s="1" t="s">
        <v>1238</v>
      </c>
      <c r="K2020" s="1" t="s">
        <v>3001</v>
      </c>
      <c r="L2020" s="1" t="s">
        <v>2103</v>
      </c>
      <c r="M2020" s="1" t="s">
        <v>1010</v>
      </c>
      <c r="N2020">
        <f>_xlfn.NUMBERVALUE(LEFT(Table11[[#This Row],[Score]],FIND("/",Table11[[#This Row],[Score]])-1))</f>
        <v>74</v>
      </c>
      <c r="O2020">
        <f>IFERROR(_xlfn.NUMBERVALUE(LEFT(Table11[[#This Row],[Score2 ]],FIND("/",Table11[[#This Row],[Score2 ]])-1)),"")</f>
        <v>47</v>
      </c>
      <c r="P2020" t="s">
        <v>141</v>
      </c>
      <c r="Q2020" s="1" t="s">
        <v>164</v>
      </c>
      <c r="R2020" t="str">
        <f>Table11[[#This Row],[Match]]&amp;" "&amp;Table11[[#This Row],[Over]]</f>
        <v>36 14</v>
      </c>
    </row>
    <row r="2021" spans="1:18" x14ac:dyDescent="0.3">
      <c r="A2021">
        <v>36</v>
      </c>
      <c r="B2021" s="1">
        <v>15</v>
      </c>
      <c r="C2021" s="1" t="s">
        <v>1025</v>
      </c>
      <c r="D2021" s="1" t="s">
        <v>930</v>
      </c>
      <c r="E2021" s="1" t="s">
        <v>1166</v>
      </c>
      <c r="F2021" s="1" t="s">
        <v>931</v>
      </c>
      <c r="G2021" s="1" t="s">
        <v>2620</v>
      </c>
      <c r="H2021" s="1" t="s">
        <v>904</v>
      </c>
      <c r="I2021" s="1" t="s">
        <v>1265</v>
      </c>
      <c r="J2021" s="1" t="s">
        <v>1770</v>
      </c>
      <c r="K2021" s="1" t="s">
        <v>3216</v>
      </c>
      <c r="L2021" s="1" t="s">
        <v>3382</v>
      </c>
      <c r="M2021" s="1" t="s">
        <v>1016</v>
      </c>
      <c r="N2021">
        <f>_xlfn.NUMBERVALUE(LEFT(Table11[[#This Row],[Score]],FIND("/",Table11[[#This Row],[Score]])-1))</f>
        <v>82</v>
      </c>
      <c r="O2021">
        <f>IFERROR(_xlfn.NUMBERVALUE(LEFT(Table11[[#This Row],[Score2 ]],FIND("/",Table11[[#This Row],[Score2 ]])-1)),"")</f>
        <v>50</v>
      </c>
      <c r="P2021" t="s">
        <v>141</v>
      </c>
      <c r="Q2021" s="1" t="s">
        <v>164</v>
      </c>
      <c r="R2021" t="str">
        <f>Table11[[#This Row],[Match]]&amp;" "&amp;Table11[[#This Row],[Over]]</f>
        <v>36 15</v>
      </c>
    </row>
    <row r="2022" spans="1:18" x14ac:dyDescent="0.3">
      <c r="A2022">
        <v>36</v>
      </c>
      <c r="B2022" s="1">
        <v>16</v>
      </c>
      <c r="C2022" s="1" t="s">
        <v>3254</v>
      </c>
      <c r="D2022" s="1" t="s">
        <v>904</v>
      </c>
      <c r="E2022" s="1" t="s">
        <v>2257</v>
      </c>
      <c r="F2022" s="1" t="s">
        <v>939</v>
      </c>
      <c r="G2022" s="1" t="s">
        <v>2925</v>
      </c>
      <c r="H2022" s="1" t="s">
        <v>998</v>
      </c>
      <c r="I2022" s="1" t="s">
        <v>3446</v>
      </c>
      <c r="J2022" s="1" t="s">
        <v>1636</v>
      </c>
      <c r="K2022" s="1" t="s">
        <v>1354</v>
      </c>
      <c r="L2022" s="1" t="s">
        <v>909</v>
      </c>
      <c r="M2022" s="1" t="s">
        <v>1024</v>
      </c>
      <c r="N2022">
        <f>_xlfn.NUMBERVALUE(LEFT(Table11[[#This Row],[Score]],FIND("/",Table11[[#This Row],[Score]])-1))</f>
        <v>85</v>
      </c>
      <c r="O2022">
        <f>IFERROR(_xlfn.NUMBERVALUE(LEFT(Table11[[#This Row],[Score2 ]],FIND("/",Table11[[#This Row],[Score2 ]])-1)),"")</f>
        <v>54</v>
      </c>
      <c r="P2022" t="s">
        <v>141</v>
      </c>
      <c r="Q2022" s="1" t="s">
        <v>164</v>
      </c>
      <c r="R2022" t="str">
        <f>Table11[[#This Row],[Match]]&amp;" "&amp;Table11[[#This Row],[Over]]</f>
        <v>36 16</v>
      </c>
    </row>
    <row r="2023" spans="1:18" x14ac:dyDescent="0.3">
      <c r="A2023">
        <v>36</v>
      </c>
      <c r="B2023" s="1">
        <v>17</v>
      </c>
      <c r="C2023" s="1" t="s">
        <v>2821</v>
      </c>
      <c r="D2023" s="1" t="s">
        <v>904</v>
      </c>
      <c r="E2023" s="1" t="s">
        <v>1573</v>
      </c>
      <c r="F2023" s="1" t="s">
        <v>939</v>
      </c>
      <c r="G2023" s="1" t="s">
        <v>1471</v>
      </c>
      <c r="H2023" s="1" t="s">
        <v>898</v>
      </c>
      <c r="I2023" s="1" t="s">
        <v>1472</v>
      </c>
      <c r="J2023" s="1" t="s">
        <v>1383</v>
      </c>
      <c r="K2023" s="1" t="s">
        <v>1549</v>
      </c>
      <c r="L2023" s="1" t="s">
        <v>2107</v>
      </c>
      <c r="M2023" s="1" t="s">
        <v>1031</v>
      </c>
      <c r="N2023">
        <f>_xlfn.NUMBERVALUE(LEFT(Table11[[#This Row],[Score]],FIND("/",Table11[[#This Row],[Score]])-1))</f>
        <v>88</v>
      </c>
      <c r="O2023">
        <f>IFERROR(_xlfn.NUMBERVALUE(LEFT(Table11[[#This Row],[Score2 ]],FIND("/",Table11[[#This Row],[Score2 ]])-1)),"")</f>
        <v>56</v>
      </c>
      <c r="P2023" t="s">
        <v>141</v>
      </c>
      <c r="Q2023" s="1" t="s">
        <v>164</v>
      </c>
      <c r="R2023" t="str">
        <f>Table11[[#This Row],[Match]]&amp;" "&amp;Table11[[#This Row],[Over]]</f>
        <v>36 17</v>
      </c>
    </row>
    <row r="2024" spans="1:18" x14ac:dyDescent="0.3">
      <c r="A2024">
        <v>36</v>
      </c>
      <c r="B2024" s="1">
        <v>18</v>
      </c>
      <c r="C2024" s="1" t="s">
        <v>2012</v>
      </c>
      <c r="D2024" s="1" t="s">
        <v>916</v>
      </c>
      <c r="E2024" s="1" t="s">
        <v>1593</v>
      </c>
      <c r="F2024" s="1" t="s">
        <v>1029</v>
      </c>
      <c r="G2024" s="1" t="s">
        <v>1471</v>
      </c>
      <c r="H2024" s="1" t="s">
        <v>1007</v>
      </c>
      <c r="I2024" s="1" t="s">
        <v>1708</v>
      </c>
      <c r="J2024" s="1" t="s">
        <v>1383</v>
      </c>
      <c r="K2024" s="1" t="s">
        <v>3757</v>
      </c>
      <c r="L2024" s="1" t="s">
        <v>2107</v>
      </c>
      <c r="M2024" s="1" t="s">
        <v>1037</v>
      </c>
      <c r="N2024">
        <f>_xlfn.NUMBERVALUE(LEFT(Table11[[#This Row],[Score]],FIND("/",Table11[[#This Row],[Score]])-1))</f>
        <v>95</v>
      </c>
      <c r="O2024">
        <f>IFERROR(_xlfn.NUMBERVALUE(LEFT(Table11[[#This Row],[Score2 ]],FIND("/",Table11[[#This Row],[Score2 ]])-1)),"")</f>
        <v>56</v>
      </c>
      <c r="P2024" t="s">
        <v>141</v>
      </c>
      <c r="Q2024" s="1" t="s">
        <v>164</v>
      </c>
      <c r="R2024" t="str">
        <f>Table11[[#This Row],[Match]]&amp;" "&amp;Table11[[#This Row],[Over]]</f>
        <v>36 18</v>
      </c>
    </row>
    <row r="2025" spans="1:18" x14ac:dyDescent="0.3">
      <c r="A2025">
        <v>36</v>
      </c>
      <c r="B2025" s="1">
        <v>19</v>
      </c>
      <c r="C2025" s="1" t="s">
        <v>3286</v>
      </c>
      <c r="D2025" s="1" t="s">
        <v>998</v>
      </c>
      <c r="E2025" s="1" t="s">
        <v>2449</v>
      </c>
      <c r="F2025" s="1" t="s">
        <v>969</v>
      </c>
      <c r="G2025" s="1" t="s">
        <v>1476</v>
      </c>
      <c r="H2025" s="1" t="s">
        <v>904</v>
      </c>
      <c r="I2025" s="1" t="s">
        <v>1714</v>
      </c>
      <c r="J2025" s="1" t="s">
        <v>1088</v>
      </c>
      <c r="K2025" s="1" t="s">
        <v>2385</v>
      </c>
      <c r="L2025" s="1" t="s">
        <v>1972</v>
      </c>
      <c r="M2025" s="1" t="s">
        <v>1043</v>
      </c>
      <c r="N2025">
        <f>_xlfn.NUMBERVALUE(LEFT(Table11[[#This Row],[Score]],FIND("/",Table11[[#This Row],[Score]])-1))</f>
        <v>99</v>
      </c>
      <c r="O2025">
        <f>IFERROR(_xlfn.NUMBERVALUE(LEFT(Table11[[#This Row],[Score2 ]],FIND("/",Table11[[#This Row],[Score2 ]])-1)),"")</f>
        <v>59</v>
      </c>
      <c r="P2025" t="s">
        <v>141</v>
      </c>
      <c r="Q2025" s="1" t="s">
        <v>164</v>
      </c>
      <c r="R2025" t="str">
        <f>Table11[[#This Row],[Match]]&amp;" "&amp;Table11[[#This Row],[Over]]</f>
        <v>36 19</v>
      </c>
    </row>
    <row r="2026" spans="1:18" x14ac:dyDescent="0.3">
      <c r="A2026">
        <v>36</v>
      </c>
      <c r="B2026" s="1">
        <v>20</v>
      </c>
      <c r="C2026" s="1" t="s">
        <v>2249</v>
      </c>
      <c r="D2026" s="1" t="s">
        <v>950</v>
      </c>
      <c r="E2026" s="1" t="s">
        <v>1029</v>
      </c>
      <c r="F2026" s="1" t="s">
        <v>940</v>
      </c>
      <c r="G2026" s="1" t="s">
        <v>1480</v>
      </c>
      <c r="H2026" s="1" t="s">
        <v>898</v>
      </c>
      <c r="I2026" s="1" t="s">
        <v>2564</v>
      </c>
      <c r="J2026" s="1" t="s">
        <v>1383</v>
      </c>
      <c r="K2026" s="1" t="s">
        <v>2836</v>
      </c>
      <c r="L2026" s="1" t="s">
        <v>3797</v>
      </c>
      <c r="M2026" s="1" t="s">
        <v>1049</v>
      </c>
      <c r="N2026">
        <f>_xlfn.NUMBERVALUE(LEFT(Table11[[#This Row],[Score]],FIND("/",Table11[[#This Row],[Score]])-1))</f>
        <v>104</v>
      </c>
      <c r="O2026">
        <f>IFERROR(_xlfn.NUMBERVALUE(LEFT(Table11[[#This Row],[Score2 ]],FIND("/",Table11[[#This Row],[Score2 ]])-1)),"")</f>
        <v>61</v>
      </c>
      <c r="P2026" t="s">
        <v>141</v>
      </c>
      <c r="Q2026" s="1" t="s">
        <v>164</v>
      </c>
      <c r="R2026" t="str">
        <f>Table11[[#This Row],[Match]]&amp;" "&amp;Table11[[#This Row],[Over]]</f>
        <v>36 20</v>
      </c>
    </row>
    <row r="2027" spans="1:18" x14ac:dyDescent="0.3">
      <c r="A2027">
        <v>36</v>
      </c>
      <c r="B2027" s="1">
        <v>21</v>
      </c>
      <c r="C2027" s="1" t="s">
        <v>1317</v>
      </c>
      <c r="D2027" s="1" t="s">
        <v>998</v>
      </c>
      <c r="E2027" s="1" t="s">
        <v>1092</v>
      </c>
      <c r="F2027" s="1" t="s">
        <v>976</v>
      </c>
      <c r="G2027" s="1" t="s">
        <v>2348</v>
      </c>
      <c r="H2027" s="1" t="s">
        <v>922</v>
      </c>
      <c r="I2027" s="1" t="s">
        <v>1889</v>
      </c>
      <c r="J2027" s="1" t="s">
        <v>984</v>
      </c>
      <c r="K2027" s="1" t="s">
        <v>3704</v>
      </c>
      <c r="L2027" s="1" t="s">
        <v>2341</v>
      </c>
      <c r="M2027" s="1" t="s">
        <v>1056</v>
      </c>
      <c r="N2027">
        <f>_xlfn.NUMBERVALUE(LEFT(Table11[[#This Row],[Score]],FIND("/",Table11[[#This Row],[Score]])-1))</f>
        <v>108</v>
      </c>
      <c r="O2027">
        <f>IFERROR(_xlfn.NUMBERVALUE(LEFT(Table11[[#This Row],[Score2 ]],FIND("/",Table11[[#This Row],[Score2 ]])-1)),"")</f>
        <v>67</v>
      </c>
      <c r="P2027" t="s">
        <v>141</v>
      </c>
      <c r="Q2027" s="1" t="s">
        <v>164</v>
      </c>
      <c r="R2027" t="str">
        <f>Table11[[#This Row],[Match]]&amp;" "&amp;Table11[[#This Row],[Over]]</f>
        <v>36 21</v>
      </c>
    </row>
    <row r="2028" spans="1:18" x14ac:dyDescent="0.3">
      <c r="A2028">
        <v>36</v>
      </c>
      <c r="B2028" s="1">
        <v>22</v>
      </c>
      <c r="C2028" s="1" t="s">
        <v>1326</v>
      </c>
      <c r="D2028" s="1" t="s">
        <v>916</v>
      </c>
      <c r="E2028" s="1" t="s">
        <v>1058</v>
      </c>
      <c r="F2028" s="1" t="s">
        <v>966</v>
      </c>
      <c r="G2028" s="1" t="s">
        <v>1489</v>
      </c>
      <c r="H2028" s="1" t="s">
        <v>950</v>
      </c>
      <c r="I2028" s="1" t="s">
        <v>1477</v>
      </c>
      <c r="J2028" s="1" t="s">
        <v>1259</v>
      </c>
      <c r="K2028" s="1" t="s">
        <v>3033</v>
      </c>
      <c r="L2028" s="1" t="s">
        <v>937</v>
      </c>
      <c r="M2028" s="1" t="s">
        <v>1063</v>
      </c>
      <c r="N2028">
        <f>_xlfn.NUMBERVALUE(LEFT(Table11[[#This Row],[Score]],FIND("/",Table11[[#This Row],[Score]])-1))</f>
        <v>115</v>
      </c>
      <c r="O2028">
        <f>IFERROR(_xlfn.NUMBERVALUE(LEFT(Table11[[#This Row],[Score2 ]],FIND("/",Table11[[#This Row],[Score2 ]])-1)),"")</f>
        <v>72</v>
      </c>
      <c r="P2028" t="s">
        <v>141</v>
      </c>
      <c r="Q2028" s="1" t="s">
        <v>164</v>
      </c>
      <c r="R2028" t="str">
        <f>Table11[[#This Row],[Match]]&amp;" "&amp;Table11[[#This Row],[Over]]</f>
        <v>36 22</v>
      </c>
    </row>
    <row r="2029" spans="1:18" x14ac:dyDescent="0.3">
      <c r="A2029">
        <v>36</v>
      </c>
      <c r="B2029" s="1">
        <v>23</v>
      </c>
      <c r="C2029" s="1" t="s">
        <v>3156</v>
      </c>
      <c r="D2029" s="1" t="s">
        <v>930</v>
      </c>
      <c r="E2029" s="1" t="s">
        <v>2685</v>
      </c>
      <c r="F2029" s="1" t="s">
        <v>934</v>
      </c>
      <c r="G2029" s="1" t="s">
        <v>3083</v>
      </c>
      <c r="H2029" s="1" t="s">
        <v>998</v>
      </c>
      <c r="I2029" s="1" t="s">
        <v>1788</v>
      </c>
      <c r="J2029" s="1" t="s">
        <v>939</v>
      </c>
      <c r="K2029" s="1" t="s">
        <v>4042</v>
      </c>
      <c r="L2029" s="1" t="s">
        <v>2597</v>
      </c>
      <c r="M2029" s="1" t="s">
        <v>1070</v>
      </c>
      <c r="N2029">
        <f>_xlfn.NUMBERVALUE(LEFT(Table11[[#This Row],[Score]],FIND("/",Table11[[#This Row],[Score]])-1))</f>
        <v>123</v>
      </c>
      <c r="O2029">
        <f>IFERROR(_xlfn.NUMBERVALUE(LEFT(Table11[[#This Row],[Score2 ]],FIND("/",Table11[[#This Row],[Score2 ]])-1)),"")</f>
        <v>76</v>
      </c>
      <c r="P2029" t="s">
        <v>141</v>
      </c>
      <c r="Q2029" s="1" t="s">
        <v>164</v>
      </c>
      <c r="R2029" t="str">
        <f>Table11[[#This Row],[Match]]&amp;" "&amp;Table11[[#This Row],[Over]]</f>
        <v>36 23</v>
      </c>
    </row>
    <row r="2030" spans="1:18" x14ac:dyDescent="0.3">
      <c r="A2030">
        <v>36</v>
      </c>
      <c r="B2030" s="1">
        <v>24</v>
      </c>
      <c r="C2030" s="1" t="s">
        <v>2712</v>
      </c>
      <c r="D2030" s="1" t="s">
        <v>950</v>
      </c>
      <c r="E2030" s="1" t="s">
        <v>2110</v>
      </c>
      <c r="F2030" s="1" t="s">
        <v>1013</v>
      </c>
      <c r="G2030" s="1" t="s">
        <v>1492</v>
      </c>
      <c r="H2030" s="1" t="s">
        <v>922</v>
      </c>
      <c r="I2030" s="1" t="s">
        <v>1796</v>
      </c>
      <c r="J2030" s="1" t="s">
        <v>976</v>
      </c>
      <c r="K2030" s="1" t="s">
        <v>2055</v>
      </c>
      <c r="L2030" s="1" t="s">
        <v>2602</v>
      </c>
      <c r="M2030" s="1" t="s">
        <v>1077</v>
      </c>
      <c r="N2030">
        <f>_xlfn.NUMBERVALUE(LEFT(Table11[[#This Row],[Score]],FIND("/",Table11[[#This Row],[Score]])-1))</f>
        <v>128</v>
      </c>
      <c r="O2030">
        <f>IFERROR(_xlfn.NUMBERVALUE(LEFT(Table11[[#This Row],[Score2 ]],FIND("/",Table11[[#This Row],[Score2 ]])-1)),"")</f>
        <v>82</v>
      </c>
      <c r="P2030" t="s">
        <v>141</v>
      </c>
      <c r="Q2030" s="1" t="s">
        <v>164</v>
      </c>
      <c r="R2030" t="str">
        <f>Table11[[#This Row],[Match]]&amp;" "&amp;Table11[[#This Row],[Over]]</f>
        <v>36 24</v>
      </c>
    </row>
    <row r="2031" spans="1:18" x14ac:dyDescent="0.3">
      <c r="A2031">
        <v>36</v>
      </c>
      <c r="B2031" s="1">
        <v>25</v>
      </c>
      <c r="C2031" s="1" t="s">
        <v>2716</v>
      </c>
      <c r="D2031" s="1" t="s">
        <v>922</v>
      </c>
      <c r="E2031" s="1" t="s">
        <v>1652</v>
      </c>
      <c r="F2031" s="1" t="s">
        <v>1019</v>
      </c>
      <c r="G2031" s="1" t="s">
        <v>1486</v>
      </c>
      <c r="H2031" s="1" t="s">
        <v>968</v>
      </c>
      <c r="I2031" s="1" t="s">
        <v>3280</v>
      </c>
      <c r="J2031" s="1" t="s">
        <v>940</v>
      </c>
      <c r="K2031" s="1" t="s">
        <v>4043</v>
      </c>
      <c r="L2031" s="1" t="s">
        <v>1284</v>
      </c>
      <c r="M2031" s="1" t="s">
        <v>1083</v>
      </c>
      <c r="N2031">
        <f>_xlfn.NUMBERVALUE(LEFT(Table11[[#This Row],[Score]],FIND("/",Table11[[#This Row],[Score]])-1))</f>
        <v>134</v>
      </c>
      <c r="O2031">
        <f>IFERROR(_xlfn.NUMBERVALUE(LEFT(Table11[[#This Row],[Score2 ]],FIND("/",Table11[[#This Row],[Score2 ]])-1)),"")</f>
        <v>83</v>
      </c>
      <c r="P2031" t="s">
        <v>141</v>
      </c>
      <c r="Q2031" s="1" t="s">
        <v>164</v>
      </c>
      <c r="R2031" t="str">
        <f>Table11[[#This Row],[Match]]&amp;" "&amp;Table11[[#This Row],[Over]]</f>
        <v>36 25</v>
      </c>
    </row>
    <row r="2032" spans="1:18" x14ac:dyDescent="0.3">
      <c r="A2032">
        <v>36</v>
      </c>
      <c r="B2032" s="1">
        <v>26</v>
      </c>
      <c r="C2032" s="1" t="s">
        <v>4044</v>
      </c>
      <c r="D2032" s="1" t="s">
        <v>998</v>
      </c>
      <c r="E2032" s="1" t="s">
        <v>1065</v>
      </c>
      <c r="F2032" s="1" t="s">
        <v>1019</v>
      </c>
      <c r="G2032" s="1" t="s">
        <v>2556</v>
      </c>
      <c r="H2032" s="1" t="s">
        <v>930</v>
      </c>
      <c r="I2032" s="1" t="s">
        <v>925</v>
      </c>
      <c r="J2032" s="1" t="s">
        <v>1093</v>
      </c>
      <c r="K2032" s="1" t="s">
        <v>4045</v>
      </c>
      <c r="L2032" s="1" t="s">
        <v>2443</v>
      </c>
      <c r="M2032" s="1" t="s">
        <v>1090</v>
      </c>
      <c r="N2032">
        <f>_xlfn.NUMBERVALUE(LEFT(Table11[[#This Row],[Score]],FIND("/",Table11[[#This Row],[Score]])-1))</f>
        <v>138</v>
      </c>
      <c r="O2032">
        <f>IFERROR(_xlfn.NUMBERVALUE(LEFT(Table11[[#This Row],[Score2 ]],FIND("/",Table11[[#This Row],[Score2 ]])-1)),"")</f>
        <v>91</v>
      </c>
      <c r="P2032" t="s">
        <v>141</v>
      </c>
      <c r="Q2032" s="1" t="s">
        <v>164</v>
      </c>
      <c r="R2032" t="str">
        <f>Table11[[#This Row],[Match]]&amp;" "&amp;Table11[[#This Row],[Over]]</f>
        <v>36 26</v>
      </c>
    </row>
    <row r="2033" spans="1:18" x14ac:dyDescent="0.3">
      <c r="A2033">
        <v>36</v>
      </c>
      <c r="B2033" s="1">
        <v>27</v>
      </c>
      <c r="C2033" s="1" t="s">
        <v>2033</v>
      </c>
      <c r="D2033" s="1" t="s">
        <v>950</v>
      </c>
      <c r="E2033" s="1" t="s">
        <v>1072</v>
      </c>
      <c r="F2033" s="1" t="s">
        <v>934</v>
      </c>
      <c r="G2033" s="1" t="s">
        <v>2560</v>
      </c>
      <c r="H2033" s="1" t="s">
        <v>922</v>
      </c>
      <c r="I2033" s="1" t="s">
        <v>1929</v>
      </c>
      <c r="J2033" s="1" t="s">
        <v>969</v>
      </c>
      <c r="K2033" s="1" t="s">
        <v>4046</v>
      </c>
      <c r="L2033" s="1" t="s">
        <v>1295</v>
      </c>
      <c r="M2033" s="1" t="s">
        <v>1098</v>
      </c>
      <c r="N2033">
        <f>_xlfn.NUMBERVALUE(LEFT(Table11[[#This Row],[Score]],FIND("/",Table11[[#This Row],[Score]])-1))</f>
        <v>143</v>
      </c>
      <c r="O2033">
        <f>IFERROR(_xlfn.NUMBERVALUE(LEFT(Table11[[#This Row],[Score2 ]],FIND("/",Table11[[#This Row],[Score2 ]])-1)),"")</f>
        <v>97</v>
      </c>
      <c r="P2033" t="s">
        <v>141</v>
      </c>
      <c r="Q2033" s="1" t="s">
        <v>164</v>
      </c>
      <c r="R2033" t="str">
        <f>Table11[[#This Row],[Match]]&amp;" "&amp;Table11[[#This Row],[Over]]</f>
        <v>36 27</v>
      </c>
    </row>
    <row r="2034" spans="1:18" x14ac:dyDescent="0.3">
      <c r="A2034">
        <v>36</v>
      </c>
      <c r="B2034" s="1">
        <v>28</v>
      </c>
      <c r="C2034" s="1" t="s">
        <v>3300</v>
      </c>
      <c r="D2034" s="1" t="s">
        <v>916</v>
      </c>
      <c r="E2034" s="1" t="s">
        <v>2123</v>
      </c>
      <c r="F2034" s="1" t="s">
        <v>966</v>
      </c>
      <c r="G2034" s="1" t="s">
        <v>2246</v>
      </c>
      <c r="H2034" s="1" t="s">
        <v>950</v>
      </c>
      <c r="I2034" s="1" t="s">
        <v>1873</v>
      </c>
      <c r="J2034" s="1" t="s">
        <v>1029</v>
      </c>
      <c r="K2034" s="1" t="s">
        <v>3039</v>
      </c>
      <c r="L2034" s="1" t="s">
        <v>980</v>
      </c>
      <c r="M2034" s="1" t="s">
        <v>1101</v>
      </c>
      <c r="N2034">
        <f>_xlfn.NUMBERVALUE(LEFT(Table11[[#This Row],[Score]],FIND("/",Table11[[#This Row],[Score]])-1))</f>
        <v>150</v>
      </c>
      <c r="O2034">
        <f>IFERROR(_xlfn.NUMBERVALUE(LEFT(Table11[[#This Row],[Score2 ]],FIND("/",Table11[[#This Row],[Score2 ]])-1)),"")</f>
        <v>102</v>
      </c>
      <c r="P2034" t="s">
        <v>141</v>
      </c>
      <c r="Q2034" s="1" t="s">
        <v>164</v>
      </c>
      <c r="R2034" t="str">
        <f>Table11[[#This Row],[Match]]&amp;" "&amp;Table11[[#This Row],[Over]]</f>
        <v>36 28</v>
      </c>
    </row>
    <row r="2035" spans="1:18" x14ac:dyDescent="0.3">
      <c r="A2035">
        <v>36</v>
      </c>
      <c r="B2035" s="1">
        <v>29</v>
      </c>
      <c r="C2035" s="1" t="s">
        <v>3488</v>
      </c>
      <c r="D2035" s="1" t="s">
        <v>904</v>
      </c>
      <c r="E2035" s="1" t="s">
        <v>1593</v>
      </c>
      <c r="F2035" s="1" t="s">
        <v>969</v>
      </c>
      <c r="G2035" s="1" t="s">
        <v>2252</v>
      </c>
      <c r="H2035" s="1" t="s">
        <v>904</v>
      </c>
      <c r="I2035" s="1" t="s">
        <v>1258</v>
      </c>
      <c r="J2035" s="1" t="s">
        <v>976</v>
      </c>
      <c r="K2035" s="1" t="s">
        <v>4047</v>
      </c>
      <c r="L2035" s="1" t="s">
        <v>1733</v>
      </c>
      <c r="M2035" s="1" t="s">
        <v>1108</v>
      </c>
      <c r="N2035">
        <f>_xlfn.NUMBERVALUE(LEFT(Table11[[#This Row],[Score]],FIND("/",Table11[[#This Row],[Score]])-1))</f>
        <v>153</v>
      </c>
      <c r="O2035">
        <f>IFERROR(_xlfn.NUMBERVALUE(LEFT(Table11[[#This Row],[Score2 ]],FIND("/",Table11[[#This Row],[Score2 ]])-1)),"")</f>
        <v>105</v>
      </c>
      <c r="P2035" t="s">
        <v>141</v>
      </c>
      <c r="Q2035" s="1" t="s">
        <v>164</v>
      </c>
      <c r="R2035" t="str">
        <f>Table11[[#This Row],[Match]]&amp;" "&amp;Table11[[#This Row],[Over]]</f>
        <v>36 29</v>
      </c>
    </row>
    <row r="2036" spans="1:18" x14ac:dyDescent="0.3">
      <c r="A2036">
        <v>36</v>
      </c>
      <c r="B2036" s="1">
        <v>30</v>
      </c>
      <c r="C2036" s="1" t="s">
        <v>2272</v>
      </c>
      <c r="D2036" s="1" t="s">
        <v>950</v>
      </c>
      <c r="E2036" s="1" t="s">
        <v>2178</v>
      </c>
      <c r="F2036" s="1" t="s">
        <v>1093</v>
      </c>
      <c r="G2036" s="1" t="s">
        <v>3101</v>
      </c>
      <c r="H2036" s="1" t="s">
        <v>904</v>
      </c>
      <c r="I2036" s="1" t="s">
        <v>977</v>
      </c>
      <c r="J2036" s="1" t="s">
        <v>969</v>
      </c>
      <c r="K2036" s="1" t="s">
        <v>3776</v>
      </c>
      <c r="L2036" s="1" t="s">
        <v>987</v>
      </c>
      <c r="M2036" s="1" t="s">
        <v>1113</v>
      </c>
      <c r="N2036">
        <f>_xlfn.NUMBERVALUE(LEFT(Table11[[#This Row],[Score]],FIND("/",Table11[[#This Row],[Score]])-1))</f>
        <v>158</v>
      </c>
      <c r="O2036">
        <f>IFERROR(_xlfn.NUMBERVALUE(LEFT(Table11[[#This Row],[Score2 ]],FIND("/",Table11[[#This Row],[Score2 ]])-1)),"")</f>
        <v>108</v>
      </c>
      <c r="P2036" t="s">
        <v>141</v>
      </c>
      <c r="Q2036" s="1" t="s">
        <v>164</v>
      </c>
      <c r="R2036" t="str">
        <f>Table11[[#This Row],[Match]]&amp;" "&amp;Table11[[#This Row],[Over]]</f>
        <v>36 30</v>
      </c>
    </row>
    <row r="2037" spans="1:18" x14ac:dyDescent="0.3">
      <c r="A2037">
        <v>36</v>
      </c>
      <c r="B2037" s="1">
        <v>31</v>
      </c>
      <c r="C2037" s="1" t="s">
        <v>2846</v>
      </c>
      <c r="D2037" s="1" t="s">
        <v>947</v>
      </c>
      <c r="E2037" s="1" t="s">
        <v>1732</v>
      </c>
      <c r="F2037" s="1" t="s">
        <v>1013</v>
      </c>
      <c r="G2037" s="1" t="s">
        <v>2571</v>
      </c>
      <c r="H2037" s="1" t="s">
        <v>898</v>
      </c>
      <c r="I2037" s="1" t="s">
        <v>1902</v>
      </c>
      <c r="J2037" s="1" t="s">
        <v>990</v>
      </c>
      <c r="K2037" s="1" t="s">
        <v>4048</v>
      </c>
      <c r="L2037" s="1" t="s">
        <v>2000</v>
      </c>
      <c r="M2037" s="1" t="s">
        <v>1121</v>
      </c>
      <c r="N2037">
        <f>_xlfn.NUMBERVALUE(LEFT(Table11[[#This Row],[Score]],FIND("/",Table11[[#This Row],[Score]])-1))</f>
        <v>167</v>
      </c>
      <c r="O2037">
        <f>IFERROR(_xlfn.NUMBERVALUE(LEFT(Table11[[#This Row],[Score2 ]],FIND("/",Table11[[#This Row],[Score2 ]])-1)),"")</f>
        <v>110</v>
      </c>
      <c r="P2037" t="s">
        <v>141</v>
      </c>
      <c r="Q2037" s="1" t="s">
        <v>164</v>
      </c>
      <c r="R2037" t="str">
        <f>Table11[[#This Row],[Match]]&amp;" "&amp;Table11[[#This Row],[Over]]</f>
        <v>36 31</v>
      </c>
    </row>
    <row r="2038" spans="1:18" x14ac:dyDescent="0.3">
      <c r="A2038">
        <v>36</v>
      </c>
      <c r="B2038" s="1">
        <v>32</v>
      </c>
      <c r="C2038" s="1" t="s">
        <v>2281</v>
      </c>
      <c r="D2038" s="1" t="s">
        <v>947</v>
      </c>
      <c r="E2038" s="1" t="s">
        <v>959</v>
      </c>
      <c r="F2038" s="1" t="s">
        <v>960</v>
      </c>
      <c r="G2038" s="1" t="s">
        <v>3104</v>
      </c>
      <c r="H2038" s="1" t="s">
        <v>950</v>
      </c>
      <c r="I2038" s="1" t="s">
        <v>1929</v>
      </c>
      <c r="J2038" s="1" t="s">
        <v>977</v>
      </c>
      <c r="K2038" s="1" t="s">
        <v>4049</v>
      </c>
      <c r="L2038" s="1" t="s">
        <v>2870</v>
      </c>
      <c r="M2038" s="1" t="s">
        <v>1127</v>
      </c>
      <c r="N2038">
        <f>_xlfn.NUMBERVALUE(LEFT(Table11[[#This Row],[Score]],FIND("/",Table11[[#This Row],[Score]])-1))</f>
        <v>176</v>
      </c>
      <c r="O2038">
        <f>IFERROR(_xlfn.NUMBERVALUE(LEFT(Table11[[#This Row],[Score2 ]],FIND("/",Table11[[#This Row],[Score2 ]])-1)),"")</f>
        <v>115</v>
      </c>
      <c r="P2038" t="s">
        <v>141</v>
      </c>
      <c r="Q2038" s="1" t="s">
        <v>164</v>
      </c>
      <c r="R2038" t="str">
        <f>Table11[[#This Row],[Match]]&amp;" "&amp;Table11[[#This Row],[Over]]</f>
        <v>36 32</v>
      </c>
    </row>
    <row r="2039" spans="1:18" x14ac:dyDescent="0.3">
      <c r="A2039">
        <v>36</v>
      </c>
      <c r="B2039" s="1">
        <v>33</v>
      </c>
      <c r="C2039" s="1" t="s">
        <v>4050</v>
      </c>
      <c r="D2039" s="1" t="s">
        <v>947</v>
      </c>
      <c r="E2039" s="1" t="s">
        <v>934</v>
      </c>
      <c r="F2039" s="1" t="s">
        <v>952</v>
      </c>
      <c r="G2039" s="1" t="s">
        <v>1094</v>
      </c>
      <c r="H2039" s="1" t="s">
        <v>998</v>
      </c>
      <c r="I2039" s="1" t="s">
        <v>977</v>
      </c>
      <c r="J2039" s="1" t="s">
        <v>1247</v>
      </c>
      <c r="K2039" s="1" t="s">
        <v>2307</v>
      </c>
      <c r="L2039" s="1" t="s">
        <v>1464</v>
      </c>
      <c r="M2039" s="1" t="s">
        <v>1132</v>
      </c>
      <c r="N2039">
        <f>_xlfn.NUMBERVALUE(LEFT(Table11[[#This Row],[Score]],FIND("/",Table11[[#This Row],[Score]])-1))</f>
        <v>185</v>
      </c>
      <c r="O2039">
        <f>IFERROR(_xlfn.NUMBERVALUE(LEFT(Table11[[#This Row],[Score2 ]],FIND("/",Table11[[#This Row],[Score2 ]])-1)),"")</f>
        <v>119</v>
      </c>
      <c r="P2039" t="s">
        <v>141</v>
      </c>
      <c r="Q2039" s="1" t="s">
        <v>164</v>
      </c>
      <c r="R2039" t="str">
        <f>Table11[[#This Row],[Match]]&amp;" "&amp;Table11[[#This Row],[Over]]</f>
        <v>36 33</v>
      </c>
    </row>
    <row r="2040" spans="1:18" x14ac:dyDescent="0.3">
      <c r="A2040">
        <v>36</v>
      </c>
      <c r="B2040" s="1">
        <v>34</v>
      </c>
      <c r="C2040" s="1" t="s">
        <v>4051</v>
      </c>
      <c r="D2040" s="1" t="s">
        <v>916</v>
      </c>
      <c r="E2040" s="1" t="s">
        <v>2242</v>
      </c>
      <c r="F2040" s="1" t="s">
        <v>1168</v>
      </c>
      <c r="G2040" s="1" t="s">
        <v>4052</v>
      </c>
      <c r="H2040" s="1" t="s">
        <v>898</v>
      </c>
      <c r="I2040" s="1" t="s">
        <v>1263</v>
      </c>
      <c r="J2040" s="1" t="s">
        <v>1259</v>
      </c>
      <c r="K2040" s="1" t="s">
        <v>4053</v>
      </c>
      <c r="L2040" s="1" t="s">
        <v>3012</v>
      </c>
      <c r="M2040" s="1" t="s">
        <v>1138</v>
      </c>
      <c r="N2040">
        <f>_xlfn.NUMBERVALUE(LEFT(Table11[[#This Row],[Score]],FIND("/",Table11[[#This Row],[Score]])-1))</f>
        <v>192</v>
      </c>
      <c r="O2040">
        <f>IFERROR(_xlfn.NUMBERVALUE(LEFT(Table11[[#This Row],[Score2 ]],FIND("/",Table11[[#This Row],[Score2 ]])-1)),"")</f>
        <v>121</v>
      </c>
      <c r="P2040" t="s">
        <v>141</v>
      </c>
      <c r="Q2040" s="1" t="s">
        <v>164</v>
      </c>
      <c r="R2040" t="str">
        <f>Table11[[#This Row],[Match]]&amp;" "&amp;Table11[[#This Row],[Over]]</f>
        <v>36 34</v>
      </c>
    </row>
    <row r="2041" spans="1:18" x14ac:dyDescent="0.3">
      <c r="A2041">
        <v>36</v>
      </c>
      <c r="B2041" s="1">
        <v>35</v>
      </c>
      <c r="C2041" s="1" t="s">
        <v>3831</v>
      </c>
      <c r="D2041" s="1" t="s">
        <v>922</v>
      </c>
      <c r="E2041" s="1" t="s">
        <v>1579</v>
      </c>
      <c r="F2041" s="1" t="s">
        <v>1089</v>
      </c>
      <c r="G2041" s="1" t="s">
        <v>2833</v>
      </c>
      <c r="H2041" s="1" t="s">
        <v>947</v>
      </c>
      <c r="I2041" s="1" t="s">
        <v>1255</v>
      </c>
      <c r="J2041" s="1" t="s">
        <v>940</v>
      </c>
      <c r="K2041" s="1" t="s">
        <v>4054</v>
      </c>
      <c r="L2041" s="1" t="s">
        <v>2016</v>
      </c>
      <c r="M2041" s="1" t="s">
        <v>1143</v>
      </c>
      <c r="N2041">
        <f>_xlfn.NUMBERVALUE(LEFT(Table11[[#This Row],[Score]],FIND("/",Table11[[#This Row],[Score]])-1))</f>
        <v>198</v>
      </c>
      <c r="O2041">
        <f>IFERROR(_xlfn.NUMBERVALUE(LEFT(Table11[[#This Row],[Score2 ]],FIND("/",Table11[[#This Row],[Score2 ]])-1)),"")</f>
        <v>130</v>
      </c>
      <c r="P2041" t="s">
        <v>141</v>
      </c>
      <c r="Q2041" s="1" t="s">
        <v>164</v>
      </c>
      <c r="R2041" t="str">
        <f>Table11[[#This Row],[Match]]&amp;" "&amp;Table11[[#This Row],[Over]]</f>
        <v>36 35</v>
      </c>
    </row>
    <row r="2042" spans="1:18" x14ac:dyDescent="0.3">
      <c r="A2042">
        <v>36</v>
      </c>
      <c r="B2042" s="1">
        <v>36</v>
      </c>
      <c r="C2042" s="1" t="s">
        <v>2963</v>
      </c>
      <c r="D2042" s="1" t="s">
        <v>950</v>
      </c>
      <c r="E2042" s="1" t="s">
        <v>2133</v>
      </c>
      <c r="F2042" s="1" t="s">
        <v>1116</v>
      </c>
      <c r="G2042" s="1" t="s">
        <v>3528</v>
      </c>
      <c r="H2042" s="1" t="s">
        <v>947</v>
      </c>
      <c r="I2042" s="1" t="s">
        <v>1497</v>
      </c>
      <c r="J2042" s="1" t="s">
        <v>1013</v>
      </c>
      <c r="K2042" s="1" t="s">
        <v>4055</v>
      </c>
      <c r="L2042" s="1" t="s">
        <v>1062</v>
      </c>
      <c r="M2042" s="1" t="s">
        <v>1150</v>
      </c>
      <c r="N2042">
        <f>_xlfn.NUMBERVALUE(LEFT(Table11[[#This Row],[Score]],FIND("/",Table11[[#This Row],[Score]])-1))</f>
        <v>203</v>
      </c>
      <c r="O2042">
        <f>IFERROR(_xlfn.NUMBERVALUE(LEFT(Table11[[#This Row],[Score2 ]],FIND("/",Table11[[#This Row],[Score2 ]])-1)),"")</f>
        <v>139</v>
      </c>
      <c r="P2042" t="s">
        <v>141</v>
      </c>
      <c r="Q2042" s="1" t="s">
        <v>164</v>
      </c>
      <c r="R2042" t="str">
        <f>Table11[[#This Row],[Match]]&amp;" "&amp;Table11[[#This Row],[Over]]</f>
        <v>36 36</v>
      </c>
    </row>
    <row r="2043" spans="1:18" x14ac:dyDescent="0.3">
      <c r="A2043">
        <v>36</v>
      </c>
      <c r="B2043" s="1">
        <v>37</v>
      </c>
      <c r="C2043" s="1" t="s">
        <v>1836</v>
      </c>
      <c r="D2043" s="1" t="s">
        <v>904</v>
      </c>
      <c r="E2043" s="1" t="s">
        <v>1607</v>
      </c>
      <c r="F2043" s="1" t="s">
        <v>1019</v>
      </c>
      <c r="G2043" s="1" t="s">
        <v>4056</v>
      </c>
      <c r="H2043" s="1" t="s">
        <v>1147</v>
      </c>
      <c r="I2043" s="1" t="s">
        <v>1632</v>
      </c>
      <c r="J2043" s="1" t="s">
        <v>1168</v>
      </c>
      <c r="K2043" s="1" t="s">
        <v>4057</v>
      </c>
      <c r="L2043" s="1" t="s">
        <v>2701</v>
      </c>
      <c r="M2043" s="1" t="s">
        <v>1156</v>
      </c>
      <c r="N2043">
        <f>_xlfn.NUMBERVALUE(LEFT(Table11[[#This Row],[Score]],FIND("/",Table11[[#This Row],[Score]])-1))</f>
        <v>206</v>
      </c>
      <c r="O2043">
        <f>IFERROR(_xlfn.NUMBERVALUE(LEFT(Table11[[#This Row],[Score2 ]],FIND("/",Table11[[#This Row],[Score2 ]])-1)),"")</f>
        <v>154</v>
      </c>
      <c r="P2043" t="s">
        <v>141</v>
      </c>
      <c r="Q2043" s="1" t="s">
        <v>164</v>
      </c>
      <c r="R2043" t="str">
        <f>Table11[[#This Row],[Match]]&amp;" "&amp;Table11[[#This Row],[Over]]</f>
        <v>36 37</v>
      </c>
    </row>
    <row r="2044" spans="1:18" x14ac:dyDescent="0.3">
      <c r="A2044">
        <v>36</v>
      </c>
      <c r="B2044" s="1">
        <v>38</v>
      </c>
      <c r="C2044" s="1" t="s">
        <v>2857</v>
      </c>
      <c r="D2044" s="1" t="s">
        <v>1095</v>
      </c>
      <c r="E2044" s="1" t="s">
        <v>1761</v>
      </c>
      <c r="F2044" s="1" t="s">
        <v>970</v>
      </c>
      <c r="G2044" s="1" t="s">
        <v>3171</v>
      </c>
      <c r="H2044" s="1" t="s">
        <v>998</v>
      </c>
      <c r="I2044" s="1" t="s">
        <v>1303</v>
      </c>
      <c r="J2044" s="1" t="s">
        <v>1168</v>
      </c>
      <c r="K2044" s="1" t="s">
        <v>3049</v>
      </c>
      <c r="L2044" s="1" t="s">
        <v>1519</v>
      </c>
      <c r="M2044" s="1" t="s">
        <v>1164</v>
      </c>
      <c r="N2044">
        <f>_xlfn.NUMBERVALUE(LEFT(Table11[[#This Row],[Score]],FIND("/",Table11[[#This Row],[Score]])-1))</f>
        <v>216</v>
      </c>
      <c r="O2044">
        <f>IFERROR(_xlfn.NUMBERVALUE(LEFT(Table11[[#This Row],[Score2 ]],FIND("/",Table11[[#This Row],[Score2 ]])-1)),"")</f>
        <v>158</v>
      </c>
      <c r="P2044" t="s">
        <v>141</v>
      </c>
      <c r="Q2044" s="1" t="s">
        <v>164</v>
      </c>
      <c r="R2044" t="str">
        <f>Table11[[#This Row],[Match]]&amp;" "&amp;Table11[[#This Row],[Over]]</f>
        <v>36 38</v>
      </c>
    </row>
    <row r="2045" spans="1:18" x14ac:dyDescent="0.3">
      <c r="A2045">
        <v>36</v>
      </c>
      <c r="B2045" s="1">
        <v>39</v>
      </c>
      <c r="C2045" s="1" t="s">
        <v>2972</v>
      </c>
      <c r="D2045" s="1" t="s">
        <v>1095</v>
      </c>
      <c r="E2045" s="1" t="s">
        <v>2472</v>
      </c>
      <c r="F2045" s="1" t="s">
        <v>1053</v>
      </c>
      <c r="G2045" s="1" t="s">
        <v>3175</v>
      </c>
      <c r="H2045" s="1" t="s">
        <v>998</v>
      </c>
      <c r="I2045" s="1" t="s">
        <v>1303</v>
      </c>
      <c r="J2045" s="1" t="s">
        <v>1405</v>
      </c>
      <c r="K2045" s="1" t="s">
        <v>4058</v>
      </c>
      <c r="L2045" s="1" t="s">
        <v>1049</v>
      </c>
      <c r="M2045" s="1" t="s">
        <v>1171</v>
      </c>
      <c r="N2045">
        <f>_xlfn.NUMBERVALUE(LEFT(Table11[[#This Row],[Score]],FIND("/",Table11[[#This Row],[Score]])-1))</f>
        <v>226</v>
      </c>
      <c r="O2045">
        <f>IFERROR(_xlfn.NUMBERVALUE(LEFT(Table11[[#This Row],[Score2 ]],FIND("/",Table11[[#This Row],[Score2 ]])-1)),"")</f>
        <v>162</v>
      </c>
      <c r="P2045" t="s">
        <v>141</v>
      </c>
      <c r="Q2045" s="1" t="s">
        <v>164</v>
      </c>
      <c r="R2045" t="str">
        <f>Table11[[#This Row],[Match]]&amp;" "&amp;Table11[[#This Row],[Over]]</f>
        <v>36 39</v>
      </c>
    </row>
    <row r="2046" spans="1:18" x14ac:dyDescent="0.3">
      <c r="A2046">
        <v>36</v>
      </c>
      <c r="B2046" s="1">
        <v>40</v>
      </c>
      <c r="C2046" s="1" t="s">
        <v>1598</v>
      </c>
      <c r="D2046" s="1" t="s">
        <v>933</v>
      </c>
      <c r="E2046" s="1" t="s">
        <v>1019</v>
      </c>
      <c r="F2046" s="1" t="s">
        <v>1335</v>
      </c>
      <c r="G2046" s="1" t="s">
        <v>3660</v>
      </c>
      <c r="H2046" s="1" t="s">
        <v>998</v>
      </c>
      <c r="I2046" s="1" t="s">
        <v>1303</v>
      </c>
      <c r="J2046" s="1" t="s">
        <v>1116</v>
      </c>
      <c r="K2046" s="1" t="s">
        <v>2422</v>
      </c>
      <c r="L2046" s="1" t="s">
        <v>1529</v>
      </c>
      <c r="M2046" s="1" t="s">
        <v>1177</v>
      </c>
      <c r="N2046">
        <f>_xlfn.NUMBERVALUE(LEFT(Table11[[#This Row],[Score]],FIND("/",Table11[[#This Row],[Score]])-1))</f>
        <v>240</v>
      </c>
      <c r="O2046">
        <f>IFERROR(_xlfn.NUMBERVALUE(LEFT(Table11[[#This Row],[Score2 ]],FIND("/",Table11[[#This Row],[Score2 ]])-1)),"")</f>
        <v>166</v>
      </c>
      <c r="P2046" t="s">
        <v>141</v>
      </c>
      <c r="Q2046" s="1" t="s">
        <v>164</v>
      </c>
      <c r="R2046" t="str">
        <f>Table11[[#This Row],[Match]]&amp;" "&amp;Table11[[#This Row],[Over]]</f>
        <v>36 40</v>
      </c>
    </row>
    <row r="2047" spans="1:18" x14ac:dyDescent="0.3">
      <c r="A2047">
        <v>36</v>
      </c>
      <c r="B2047" s="1">
        <v>41</v>
      </c>
      <c r="C2047" s="1" t="s">
        <v>2980</v>
      </c>
      <c r="D2047" s="1" t="s">
        <v>922</v>
      </c>
      <c r="E2047" s="1" t="s">
        <v>1019</v>
      </c>
      <c r="F2047" s="1" t="s">
        <v>1414</v>
      </c>
      <c r="G2047" s="1" t="s">
        <v>4059</v>
      </c>
      <c r="H2047" s="1" t="s">
        <v>916</v>
      </c>
      <c r="I2047" s="1" t="s">
        <v>1130</v>
      </c>
      <c r="J2047" s="1" t="s">
        <v>1053</v>
      </c>
      <c r="K2047" s="1" t="s">
        <v>4060</v>
      </c>
      <c r="L2047" s="1" t="s">
        <v>1112</v>
      </c>
      <c r="M2047" s="1" t="s">
        <v>1183</v>
      </c>
      <c r="N2047">
        <f>_xlfn.NUMBERVALUE(LEFT(Table11[[#This Row],[Score]],FIND("/",Table11[[#This Row],[Score]])-1))</f>
        <v>246</v>
      </c>
      <c r="O2047">
        <f>IFERROR(_xlfn.NUMBERVALUE(LEFT(Table11[[#This Row],[Score2 ]],FIND("/",Table11[[#This Row],[Score2 ]])-1)),"")</f>
        <v>173</v>
      </c>
      <c r="P2047" t="s">
        <v>141</v>
      </c>
      <c r="Q2047" s="1" t="s">
        <v>164</v>
      </c>
      <c r="R2047" t="str">
        <f>Table11[[#This Row],[Match]]&amp;" "&amp;Table11[[#This Row],[Over]]</f>
        <v>36 41</v>
      </c>
    </row>
    <row r="2048" spans="1:18" x14ac:dyDescent="0.3">
      <c r="A2048">
        <v>36</v>
      </c>
      <c r="B2048" s="1">
        <v>42</v>
      </c>
      <c r="C2048" s="1" t="s">
        <v>1606</v>
      </c>
      <c r="D2048" s="1" t="s">
        <v>1095</v>
      </c>
      <c r="E2048" s="1" t="s">
        <v>953</v>
      </c>
      <c r="F2048" s="1" t="s">
        <v>2055</v>
      </c>
      <c r="G2048" s="1" t="s">
        <v>4061</v>
      </c>
      <c r="H2048" s="1" t="s">
        <v>998</v>
      </c>
      <c r="I2048" s="1" t="s">
        <v>1130</v>
      </c>
      <c r="J2048" s="1" t="s">
        <v>976</v>
      </c>
      <c r="K2048" s="1" t="s">
        <v>4062</v>
      </c>
      <c r="L2048" s="1" t="s">
        <v>2707</v>
      </c>
      <c r="M2048" s="1" t="s">
        <v>1190</v>
      </c>
      <c r="N2048">
        <f>_xlfn.NUMBERVALUE(LEFT(Table11[[#This Row],[Score]],FIND("/",Table11[[#This Row],[Score]])-1))</f>
        <v>256</v>
      </c>
      <c r="O2048">
        <f>IFERROR(_xlfn.NUMBERVALUE(LEFT(Table11[[#This Row],[Score2 ]],FIND("/",Table11[[#This Row],[Score2 ]])-1)),"")</f>
        <v>177</v>
      </c>
      <c r="P2048" t="s">
        <v>141</v>
      </c>
      <c r="Q2048" s="1" t="s">
        <v>164</v>
      </c>
      <c r="R2048" t="str">
        <f>Table11[[#This Row],[Match]]&amp;" "&amp;Table11[[#This Row],[Over]]</f>
        <v>36 42</v>
      </c>
    </row>
    <row r="2049" spans="1:18" x14ac:dyDescent="0.3">
      <c r="A2049">
        <v>36</v>
      </c>
      <c r="B2049" s="1">
        <v>43</v>
      </c>
      <c r="C2049" s="1" t="s">
        <v>3271</v>
      </c>
      <c r="D2049" s="1" t="s">
        <v>922</v>
      </c>
      <c r="E2049" s="1" t="s">
        <v>953</v>
      </c>
      <c r="F2049" s="1" t="s">
        <v>1200</v>
      </c>
      <c r="G2049" s="1" t="s">
        <v>1152</v>
      </c>
      <c r="H2049" s="1" t="s">
        <v>998</v>
      </c>
      <c r="I2049" s="1" t="s">
        <v>931</v>
      </c>
      <c r="J2049" s="1" t="s">
        <v>976</v>
      </c>
      <c r="K2049" s="1" t="s">
        <v>4063</v>
      </c>
      <c r="L2049" s="1" t="s">
        <v>1355</v>
      </c>
      <c r="M2049" s="1" t="s">
        <v>1197</v>
      </c>
      <c r="N2049">
        <f>_xlfn.NUMBERVALUE(LEFT(Table11[[#This Row],[Score]],FIND("/",Table11[[#This Row],[Score]])-1))</f>
        <v>262</v>
      </c>
      <c r="O2049">
        <f>IFERROR(_xlfn.NUMBERVALUE(LEFT(Table11[[#This Row],[Score2 ]],FIND("/",Table11[[#This Row],[Score2 ]])-1)),"")</f>
        <v>181</v>
      </c>
      <c r="P2049" t="s">
        <v>141</v>
      </c>
      <c r="Q2049" s="1" t="s">
        <v>164</v>
      </c>
      <c r="R2049" t="str">
        <f>Table11[[#This Row],[Match]]&amp;" "&amp;Table11[[#This Row],[Over]]</f>
        <v>36 43</v>
      </c>
    </row>
    <row r="2050" spans="1:18" x14ac:dyDescent="0.3">
      <c r="A2050">
        <v>36</v>
      </c>
      <c r="B2050" s="1">
        <v>44</v>
      </c>
      <c r="C2050" s="1" t="s">
        <v>4064</v>
      </c>
      <c r="D2050" s="1" t="s">
        <v>922</v>
      </c>
      <c r="E2050" s="1" t="s">
        <v>953</v>
      </c>
      <c r="F2050" s="1" t="s">
        <v>1335</v>
      </c>
      <c r="G2050" s="1" t="s">
        <v>1152</v>
      </c>
      <c r="H2050" s="1" t="s">
        <v>1007</v>
      </c>
      <c r="I2050" s="1" t="s">
        <v>1297</v>
      </c>
      <c r="J2050" s="1" t="s">
        <v>990</v>
      </c>
      <c r="K2050" s="1" t="s">
        <v>4065</v>
      </c>
      <c r="L2050" s="1" t="s">
        <v>1355</v>
      </c>
      <c r="M2050" s="1" t="s">
        <v>1205</v>
      </c>
      <c r="N2050">
        <f>_xlfn.NUMBERVALUE(LEFT(Table11[[#This Row],[Score]],FIND("/",Table11[[#This Row],[Score]])-1))</f>
        <v>268</v>
      </c>
      <c r="O2050">
        <f>IFERROR(_xlfn.NUMBERVALUE(LEFT(Table11[[#This Row],[Score2 ]],FIND("/",Table11[[#This Row],[Score2 ]])-1)),"")</f>
        <v>181</v>
      </c>
      <c r="P2050" t="s">
        <v>141</v>
      </c>
      <c r="Q2050" s="1" t="s">
        <v>164</v>
      </c>
      <c r="R2050" t="str">
        <f>Table11[[#This Row],[Match]]&amp;" "&amp;Table11[[#This Row],[Over]]</f>
        <v>36 44</v>
      </c>
    </row>
    <row r="2051" spans="1:18" x14ac:dyDescent="0.3">
      <c r="A2051">
        <v>36</v>
      </c>
      <c r="B2051" s="1">
        <v>45</v>
      </c>
      <c r="C2051" s="1" t="s">
        <v>2983</v>
      </c>
      <c r="D2051" s="1" t="s">
        <v>930</v>
      </c>
      <c r="E2051" s="1" t="s">
        <v>3005</v>
      </c>
      <c r="F2051" s="1" t="s">
        <v>1116</v>
      </c>
      <c r="G2051" s="1" t="s">
        <v>4066</v>
      </c>
      <c r="H2051" s="1" t="s">
        <v>950</v>
      </c>
      <c r="I2051" s="1" t="s">
        <v>1964</v>
      </c>
      <c r="J2051" s="1" t="s">
        <v>939</v>
      </c>
      <c r="K2051" s="1" t="s">
        <v>4067</v>
      </c>
      <c r="L2051" s="1" t="s">
        <v>1077</v>
      </c>
      <c r="M2051" s="1" t="s">
        <v>1211</v>
      </c>
      <c r="N2051">
        <f>_xlfn.NUMBERVALUE(LEFT(Table11[[#This Row],[Score]],FIND("/",Table11[[#This Row],[Score]])-1))</f>
        <v>276</v>
      </c>
      <c r="O2051">
        <f>IFERROR(_xlfn.NUMBERVALUE(LEFT(Table11[[#This Row],[Score2 ]],FIND("/",Table11[[#This Row],[Score2 ]])-1)),"")</f>
        <v>186</v>
      </c>
      <c r="P2051" t="s">
        <v>141</v>
      </c>
      <c r="Q2051" s="1" t="s">
        <v>164</v>
      </c>
      <c r="R2051" t="str">
        <f>Table11[[#This Row],[Match]]&amp;" "&amp;Table11[[#This Row],[Over]]</f>
        <v>36 45</v>
      </c>
    </row>
    <row r="2052" spans="1:18" x14ac:dyDescent="0.3">
      <c r="A2052">
        <v>36</v>
      </c>
      <c r="B2052" s="1">
        <v>46</v>
      </c>
      <c r="C2052" s="1" t="s">
        <v>2080</v>
      </c>
      <c r="D2052" s="1" t="s">
        <v>916</v>
      </c>
      <c r="E2052" s="1" t="s">
        <v>1971</v>
      </c>
      <c r="F2052" s="1" t="s">
        <v>1068</v>
      </c>
      <c r="G2052" s="1" t="s">
        <v>3591</v>
      </c>
      <c r="H2052" s="1" t="s">
        <v>904</v>
      </c>
      <c r="I2052" s="1" t="s">
        <v>1483</v>
      </c>
      <c r="J2052" s="1" t="s">
        <v>1259</v>
      </c>
      <c r="K2052" s="1" t="s">
        <v>4068</v>
      </c>
      <c r="L2052" s="1" t="s">
        <v>1763</v>
      </c>
      <c r="M2052" s="1" t="s">
        <v>1216</v>
      </c>
      <c r="N2052">
        <f>_xlfn.NUMBERVALUE(LEFT(Table11[[#This Row],[Score]],FIND("/",Table11[[#This Row],[Score]])-1))</f>
        <v>283</v>
      </c>
      <c r="O2052">
        <f>IFERROR(_xlfn.NUMBERVALUE(LEFT(Table11[[#This Row],[Score2 ]],FIND("/",Table11[[#This Row],[Score2 ]])-1)),"")</f>
        <v>189</v>
      </c>
      <c r="P2052" t="s">
        <v>141</v>
      </c>
      <c r="Q2052" s="1" t="s">
        <v>164</v>
      </c>
      <c r="R2052" t="str">
        <f>Table11[[#This Row],[Match]]&amp;" "&amp;Table11[[#This Row],[Over]]</f>
        <v>36 46</v>
      </c>
    </row>
    <row r="2053" spans="1:18" x14ac:dyDescent="0.3">
      <c r="A2053">
        <v>36</v>
      </c>
      <c r="B2053" s="1">
        <v>47</v>
      </c>
      <c r="C2053" s="1" t="s">
        <v>4069</v>
      </c>
      <c r="D2053" s="1" t="s">
        <v>947</v>
      </c>
      <c r="E2053" s="1" t="s">
        <v>2697</v>
      </c>
      <c r="F2053" s="1" t="s">
        <v>1116</v>
      </c>
      <c r="G2053" s="1" t="s">
        <v>2293</v>
      </c>
      <c r="H2053" s="1" t="s">
        <v>922</v>
      </c>
      <c r="I2053" s="1" t="s">
        <v>1008</v>
      </c>
      <c r="J2053" s="1" t="s">
        <v>977</v>
      </c>
      <c r="K2053" s="1" t="s">
        <v>4070</v>
      </c>
      <c r="L2053" s="1" t="s">
        <v>1142</v>
      </c>
      <c r="M2053" s="1" t="s">
        <v>1223</v>
      </c>
      <c r="N2053">
        <f>_xlfn.NUMBERVALUE(LEFT(Table11[[#This Row],[Score]],FIND("/",Table11[[#This Row],[Score]])-1))</f>
        <v>292</v>
      </c>
      <c r="O2053">
        <f>IFERROR(_xlfn.NUMBERVALUE(LEFT(Table11[[#This Row],[Score2 ]],FIND("/",Table11[[#This Row],[Score2 ]])-1)),"")</f>
        <v>195</v>
      </c>
      <c r="P2053" t="s">
        <v>141</v>
      </c>
      <c r="Q2053" s="1" t="s">
        <v>164</v>
      </c>
      <c r="R2053" t="str">
        <f>Table11[[#This Row],[Match]]&amp;" "&amp;Table11[[#This Row],[Over]]</f>
        <v>36 47</v>
      </c>
    </row>
    <row r="2054" spans="1:18" x14ac:dyDescent="0.3">
      <c r="A2054">
        <v>36</v>
      </c>
      <c r="B2054" s="1">
        <v>48</v>
      </c>
      <c r="C2054" s="1" t="s">
        <v>2515</v>
      </c>
      <c r="D2054" s="1" t="s">
        <v>947</v>
      </c>
      <c r="E2054" s="1" t="s">
        <v>1979</v>
      </c>
      <c r="F2054" s="1" t="s">
        <v>1168</v>
      </c>
      <c r="G2054" s="1" t="s">
        <v>4071</v>
      </c>
      <c r="H2054" s="1" t="s">
        <v>1966</v>
      </c>
      <c r="I2054" s="1" t="s">
        <v>1967</v>
      </c>
      <c r="J2054" s="1" t="s">
        <v>4072</v>
      </c>
      <c r="K2054" s="1" t="s">
        <v>4073</v>
      </c>
      <c r="L2054" s="1" t="s">
        <v>1142</v>
      </c>
      <c r="M2054" s="1" t="s">
        <v>1147</v>
      </c>
      <c r="N2054">
        <f>_xlfn.NUMBERVALUE(LEFT(Table11[[#This Row],[Score]],FIND("/",Table11[[#This Row],[Score]])-1))</f>
        <v>301</v>
      </c>
      <c r="O2054">
        <f>IFERROR(_xlfn.NUMBERVALUE(LEFT(Table11[[#This Row],[Score2 ]],FIND("/",Table11[[#This Row],[Score2 ]])-1)),"")</f>
        <v>195</v>
      </c>
      <c r="P2054" t="s">
        <v>141</v>
      </c>
      <c r="Q2054" s="1" t="s">
        <v>164</v>
      </c>
      <c r="R2054" t="str">
        <f>Table11[[#This Row],[Match]]&amp;" "&amp;Table11[[#This Row],[Over]]</f>
        <v>36 48</v>
      </c>
    </row>
    <row r="2055" spans="1:18" x14ac:dyDescent="0.3">
      <c r="A2055">
        <v>36</v>
      </c>
      <c r="B2055" s="1">
        <v>49</v>
      </c>
      <c r="C2055" s="1" t="s">
        <v>4074</v>
      </c>
      <c r="D2055" s="1" t="s">
        <v>1147</v>
      </c>
      <c r="E2055" s="1" t="s">
        <v>1469</v>
      </c>
      <c r="F2055" s="1" t="s">
        <v>1219</v>
      </c>
      <c r="N2055">
        <f>_xlfn.NUMBERVALUE(LEFT(Table11[[#This Row],[Score]],FIND("/",Table11[[#This Row],[Score]])-1))</f>
        <v>316</v>
      </c>
      <c r="O2055" t="str">
        <f>IFERROR(_xlfn.NUMBERVALUE(LEFT(Table11[[#This Row],[Score2 ]],FIND("/",Table11[[#This Row],[Score2 ]])-1)),"")</f>
        <v/>
      </c>
      <c r="P2055" t="s">
        <v>141</v>
      </c>
      <c r="Q2055" s="1" t="s">
        <v>164</v>
      </c>
      <c r="R2055" t="str">
        <f>Table11[[#This Row],[Match]]&amp;" "&amp;Table11[[#This Row],[Over]]</f>
        <v>36 49</v>
      </c>
    </row>
    <row r="2056" spans="1:18" x14ac:dyDescent="0.3">
      <c r="A2056">
        <v>36</v>
      </c>
      <c r="B2056" s="1">
        <v>50</v>
      </c>
      <c r="C2056" s="1" t="s">
        <v>4075</v>
      </c>
      <c r="D2056" s="1" t="s">
        <v>1578</v>
      </c>
      <c r="E2056" s="1" t="s">
        <v>1803</v>
      </c>
      <c r="F2056" s="1" t="s">
        <v>3246</v>
      </c>
      <c r="N2056">
        <f>_xlfn.NUMBERVALUE(LEFT(Table11[[#This Row],[Score]],FIND("/",Table11[[#This Row],[Score]])-1))</f>
        <v>341</v>
      </c>
      <c r="O2056" t="str">
        <f>IFERROR(_xlfn.NUMBERVALUE(LEFT(Table11[[#This Row],[Score2 ]],FIND("/",Table11[[#This Row],[Score2 ]])-1)),"")</f>
        <v/>
      </c>
      <c r="P2056" t="s">
        <v>141</v>
      </c>
      <c r="Q2056" s="1" t="s">
        <v>164</v>
      </c>
      <c r="R2056" t="str">
        <f>Table11[[#This Row],[Match]]&amp;" "&amp;Table11[[#This Row],[Over]]</f>
        <v>36 50</v>
      </c>
    </row>
    <row r="2057" spans="1:18" x14ac:dyDescent="0.3">
      <c r="A2057">
        <v>37</v>
      </c>
      <c r="B2057" s="1">
        <v>1</v>
      </c>
      <c r="C2057" s="1" t="s">
        <v>897</v>
      </c>
      <c r="D2057" s="1" t="s">
        <v>898</v>
      </c>
      <c r="E2057" s="1" t="s">
        <v>899</v>
      </c>
      <c r="F2057" s="1" t="s">
        <v>348</v>
      </c>
      <c r="G2057" s="1" t="s">
        <v>1230</v>
      </c>
      <c r="H2057" s="1" t="s">
        <v>1007</v>
      </c>
      <c r="I2057" s="1" t="s">
        <v>1231</v>
      </c>
      <c r="J2057" s="1" t="s">
        <v>348</v>
      </c>
      <c r="K2057" s="1" t="s">
        <v>2081</v>
      </c>
      <c r="L2057" s="1" t="s">
        <v>1252</v>
      </c>
      <c r="M2057" s="1" t="s">
        <v>902</v>
      </c>
      <c r="N2057">
        <f>_xlfn.NUMBERVALUE(LEFT(Table11[[#This Row],[Score]],FIND("/",Table11[[#This Row],[Score]])-1))</f>
        <v>2</v>
      </c>
      <c r="O2057">
        <f>IFERROR(_xlfn.NUMBERVALUE(LEFT(Table11[[#This Row],[Score2 ]],FIND("/",Table11[[#This Row],[Score2 ]])-1)),"")</f>
        <v>0</v>
      </c>
      <c r="P2057" t="s">
        <v>181</v>
      </c>
      <c r="Q2057" s="1" t="s">
        <v>140</v>
      </c>
      <c r="R2057" t="str">
        <f>Table11[[#This Row],[Match]]&amp;" "&amp;Table11[[#This Row],[Over]]</f>
        <v>37 1</v>
      </c>
    </row>
    <row r="2058" spans="1:18" x14ac:dyDescent="0.3">
      <c r="A2058">
        <v>37</v>
      </c>
      <c r="B2058" s="1">
        <v>2</v>
      </c>
      <c r="C2058" s="1" t="s">
        <v>897</v>
      </c>
      <c r="D2058" s="1" t="s">
        <v>1007</v>
      </c>
      <c r="E2058" s="1" t="s">
        <v>1662</v>
      </c>
      <c r="F2058" s="1" t="s">
        <v>348</v>
      </c>
      <c r="G2058" s="1" t="s">
        <v>1721</v>
      </c>
      <c r="H2058" s="1" t="s">
        <v>930</v>
      </c>
      <c r="I2058" s="1" t="s">
        <v>939</v>
      </c>
      <c r="J2058" s="1" t="s">
        <v>348</v>
      </c>
      <c r="K2058" s="1" t="s">
        <v>2217</v>
      </c>
      <c r="L2058" s="1" t="s">
        <v>3797</v>
      </c>
      <c r="M2058" s="1" t="s">
        <v>909</v>
      </c>
      <c r="N2058">
        <f>_xlfn.NUMBERVALUE(LEFT(Table11[[#This Row],[Score]],FIND("/",Table11[[#This Row],[Score]])-1))</f>
        <v>2</v>
      </c>
      <c r="O2058">
        <f>IFERROR(_xlfn.NUMBERVALUE(LEFT(Table11[[#This Row],[Score2 ]],FIND("/",Table11[[#This Row],[Score2 ]])-1)),"")</f>
        <v>8</v>
      </c>
      <c r="P2058" t="s">
        <v>181</v>
      </c>
      <c r="Q2058" s="1" t="s">
        <v>140</v>
      </c>
      <c r="R2058" t="str">
        <f>Table11[[#This Row],[Match]]&amp;" "&amp;Table11[[#This Row],[Over]]</f>
        <v>37 2</v>
      </c>
    </row>
    <row r="2059" spans="1:18" x14ac:dyDescent="0.3">
      <c r="A2059">
        <v>37</v>
      </c>
      <c r="B2059" s="1">
        <v>3</v>
      </c>
      <c r="C2059" s="1" t="s">
        <v>1418</v>
      </c>
      <c r="D2059" s="1" t="s">
        <v>968</v>
      </c>
      <c r="E2059" s="1" t="s">
        <v>1662</v>
      </c>
      <c r="F2059" s="1" t="s">
        <v>348</v>
      </c>
      <c r="G2059" s="1" t="s">
        <v>938</v>
      </c>
      <c r="H2059" s="1" t="s">
        <v>1511</v>
      </c>
      <c r="I2059" s="1" t="s">
        <v>1089</v>
      </c>
      <c r="J2059" s="1" t="s">
        <v>348</v>
      </c>
      <c r="K2059" s="1" t="s">
        <v>2133</v>
      </c>
      <c r="L2059" s="1" t="s">
        <v>1275</v>
      </c>
      <c r="M2059" s="1" t="s">
        <v>920</v>
      </c>
      <c r="N2059">
        <f>_xlfn.NUMBERVALUE(LEFT(Table11[[#This Row],[Score]],FIND("/",Table11[[#This Row],[Score]])-1))</f>
        <v>3</v>
      </c>
      <c r="O2059">
        <f>IFERROR(_xlfn.NUMBERVALUE(LEFT(Table11[[#This Row],[Score2 ]],FIND("/",Table11[[#This Row],[Score2 ]])-1)),"")</f>
        <v>24</v>
      </c>
      <c r="P2059" t="s">
        <v>181</v>
      </c>
      <c r="Q2059" s="1" t="s">
        <v>140</v>
      </c>
      <c r="R2059" t="str">
        <f>Table11[[#This Row],[Match]]&amp;" "&amp;Table11[[#This Row],[Over]]</f>
        <v>37 3</v>
      </c>
    </row>
    <row r="2060" spans="1:18" x14ac:dyDescent="0.3">
      <c r="A2060">
        <v>37</v>
      </c>
      <c r="B2060" s="1">
        <v>4</v>
      </c>
      <c r="C2060" s="1" t="s">
        <v>1418</v>
      </c>
      <c r="D2060" s="1" t="s">
        <v>1007</v>
      </c>
      <c r="E2060" s="1" t="s">
        <v>2578</v>
      </c>
      <c r="F2060" s="1" t="s">
        <v>348</v>
      </c>
      <c r="G2060" s="1" t="s">
        <v>1724</v>
      </c>
      <c r="H2060" s="1" t="s">
        <v>904</v>
      </c>
      <c r="I2060" s="1" t="s">
        <v>1009</v>
      </c>
      <c r="J2060" s="1" t="s">
        <v>348</v>
      </c>
      <c r="K2060" s="1" t="s">
        <v>1192</v>
      </c>
      <c r="L2060" s="1" t="s">
        <v>954</v>
      </c>
      <c r="M2060" s="1" t="s">
        <v>928</v>
      </c>
      <c r="N2060">
        <f>_xlfn.NUMBERVALUE(LEFT(Table11[[#This Row],[Score]],FIND("/",Table11[[#This Row],[Score]])-1))</f>
        <v>3</v>
      </c>
      <c r="O2060">
        <f>IFERROR(_xlfn.NUMBERVALUE(LEFT(Table11[[#This Row],[Score2 ]],FIND("/",Table11[[#This Row],[Score2 ]])-1)),"")</f>
        <v>27</v>
      </c>
      <c r="P2060" t="s">
        <v>181</v>
      </c>
      <c r="Q2060" s="1" t="s">
        <v>140</v>
      </c>
      <c r="R2060" t="str">
        <f>Table11[[#This Row],[Match]]&amp;" "&amp;Table11[[#This Row],[Over]]</f>
        <v>37 4</v>
      </c>
    </row>
    <row r="2061" spans="1:18" x14ac:dyDescent="0.3">
      <c r="A2061">
        <v>37</v>
      </c>
      <c r="B2061" s="1">
        <v>5</v>
      </c>
      <c r="C2061" s="1" t="s">
        <v>906</v>
      </c>
      <c r="D2061" s="1" t="s">
        <v>968</v>
      </c>
      <c r="E2061" s="1" t="s">
        <v>2516</v>
      </c>
      <c r="F2061" s="1" t="s">
        <v>2516</v>
      </c>
      <c r="G2061" s="1" t="s">
        <v>1978</v>
      </c>
      <c r="H2061" s="1" t="s">
        <v>922</v>
      </c>
      <c r="I2061" s="1" t="s">
        <v>960</v>
      </c>
      <c r="J2061" s="1" t="s">
        <v>960</v>
      </c>
      <c r="K2061" s="1" t="s">
        <v>1761</v>
      </c>
      <c r="L2061" s="1" t="s">
        <v>972</v>
      </c>
      <c r="M2061" s="1" t="s">
        <v>937</v>
      </c>
      <c r="N2061">
        <f>_xlfn.NUMBERVALUE(LEFT(Table11[[#This Row],[Score]],FIND("/",Table11[[#This Row],[Score]])-1))</f>
        <v>4</v>
      </c>
      <c r="O2061">
        <f>IFERROR(_xlfn.NUMBERVALUE(LEFT(Table11[[#This Row],[Score2 ]],FIND("/",Table11[[#This Row],[Score2 ]])-1)),"")</f>
        <v>33</v>
      </c>
      <c r="P2061" t="s">
        <v>181</v>
      </c>
      <c r="Q2061" s="1" t="s">
        <v>140</v>
      </c>
      <c r="R2061" t="str">
        <f>Table11[[#This Row],[Match]]&amp;" "&amp;Table11[[#This Row],[Over]]</f>
        <v>37 5</v>
      </c>
    </row>
    <row r="2062" spans="1:18" x14ac:dyDescent="0.3">
      <c r="A2062">
        <v>37</v>
      </c>
      <c r="B2062" s="1">
        <v>6</v>
      </c>
      <c r="C2062" s="1" t="s">
        <v>3068</v>
      </c>
      <c r="D2062" s="1" t="s">
        <v>1007</v>
      </c>
      <c r="E2062" s="1" t="s">
        <v>2868</v>
      </c>
      <c r="F2062" s="1" t="s">
        <v>4076</v>
      </c>
      <c r="G2062" s="1" t="s">
        <v>2444</v>
      </c>
      <c r="H2062" s="1" t="s">
        <v>916</v>
      </c>
      <c r="I2062" s="1" t="s">
        <v>1260</v>
      </c>
      <c r="J2062" s="1" t="s">
        <v>1089</v>
      </c>
      <c r="K2062" s="1" t="s">
        <v>1579</v>
      </c>
      <c r="L2062" s="1" t="s">
        <v>1992</v>
      </c>
      <c r="M2062" s="1" t="s">
        <v>945</v>
      </c>
      <c r="N2062">
        <f>_xlfn.NUMBERVALUE(LEFT(Table11[[#This Row],[Score]],FIND("/",Table11[[#This Row],[Score]])-1))</f>
        <v>4</v>
      </c>
      <c r="O2062">
        <f>IFERROR(_xlfn.NUMBERVALUE(LEFT(Table11[[#This Row],[Score2 ]],FIND("/",Table11[[#This Row],[Score2 ]])-1)),"")</f>
        <v>40</v>
      </c>
      <c r="P2062" t="s">
        <v>181</v>
      </c>
      <c r="Q2062" s="1" t="s">
        <v>140</v>
      </c>
      <c r="R2062" t="str">
        <f>Table11[[#This Row],[Match]]&amp;" "&amp;Table11[[#This Row],[Over]]</f>
        <v>37 6</v>
      </c>
    </row>
    <row r="2063" spans="1:18" x14ac:dyDescent="0.3">
      <c r="A2063">
        <v>37</v>
      </c>
      <c r="B2063" s="1">
        <v>7</v>
      </c>
      <c r="C2063" s="1" t="s">
        <v>1850</v>
      </c>
      <c r="D2063" s="1" t="s">
        <v>998</v>
      </c>
      <c r="E2063" s="1" t="s">
        <v>4077</v>
      </c>
      <c r="F2063" s="1" t="s">
        <v>1439</v>
      </c>
      <c r="G2063" s="1" t="s">
        <v>1272</v>
      </c>
      <c r="H2063" s="1" t="s">
        <v>904</v>
      </c>
      <c r="I2063" s="1" t="s">
        <v>1417</v>
      </c>
      <c r="J2063" s="1" t="s">
        <v>952</v>
      </c>
      <c r="K2063" s="1" t="s">
        <v>1597</v>
      </c>
      <c r="L2063" s="1" t="s">
        <v>973</v>
      </c>
      <c r="M2063" s="1" t="s">
        <v>955</v>
      </c>
      <c r="N2063">
        <f>_xlfn.NUMBERVALUE(LEFT(Table11[[#This Row],[Score]],FIND("/",Table11[[#This Row],[Score]])-1))</f>
        <v>8</v>
      </c>
      <c r="O2063">
        <f>IFERROR(_xlfn.NUMBERVALUE(LEFT(Table11[[#This Row],[Score2 ]],FIND("/",Table11[[#This Row],[Score2 ]])-1)),"")</f>
        <v>43</v>
      </c>
      <c r="P2063" t="s">
        <v>181</v>
      </c>
      <c r="Q2063" s="1" t="s">
        <v>140</v>
      </c>
      <c r="R2063" t="str">
        <f>Table11[[#This Row],[Match]]&amp;" "&amp;Table11[[#This Row],[Over]]</f>
        <v>37 7</v>
      </c>
    </row>
    <row r="2064" spans="1:18" x14ac:dyDescent="0.3">
      <c r="A2064">
        <v>37</v>
      </c>
      <c r="B2064" s="1">
        <v>8</v>
      </c>
      <c r="C2064" s="1" t="s">
        <v>3147</v>
      </c>
      <c r="D2064" s="1" t="s">
        <v>916</v>
      </c>
      <c r="E2064" s="1" t="s">
        <v>4078</v>
      </c>
      <c r="F2064" s="1" t="s">
        <v>1088</v>
      </c>
      <c r="G2064" s="1" t="s">
        <v>2344</v>
      </c>
      <c r="H2064" s="1" t="s">
        <v>950</v>
      </c>
      <c r="I2064" s="1" t="s">
        <v>1019</v>
      </c>
      <c r="J2064" s="1" t="s">
        <v>1093</v>
      </c>
      <c r="K2064" s="1" t="s">
        <v>2143</v>
      </c>
      <c r="L2064" s="1" t="s">
        <v>2124</v>
      </c>
      <c r="M2064" s="1" t="s">
        <v>963</v>
      </c>
      <c r="N2064">
        <f>_xlfn.NUMBERVALUE(LEFT(Table11[[#This Row],[Score]],FIND("/",Table11[[#This Row],[Score]])-1))</f>
        <v>15</v>
      </c>
      <c r="O2064">
        <f>IFERROR(_xlfn.NUMBERVALUE(LEFT(Table11[[#This Row],[Score2 ]],FIND("/",Table11[[#This Row],[Score2 ]])-1)),"")</f>
        <v>48</v>
      </c>
      <c r="P2064" t="s">
        <v>181</v>
      </c>
      <c r="Q2064" s="1" t="s">
        <v>140</v>
      </c>
      <c r="R2064" t="str">
        <f>Table11[[#This Row],[Match]]&amp;" "&amp;Table11[[#This Row],[Over]]</f>
        <v>37 8</v>
      </c>
    </row>
    <row r="2065" spans="1:18" x14ac:dyDescent="0.3">
      <c r="A2065">
        <v>37</v>
      </c>
      <c r="B2065" s="1">
        <v>9</v>
      </c>
      <c r="C2065" s="1" t="s">
        <v>3150</v>
      </c>
      <c r="D2065" s="1" t="s">
        <v>930</v>
      </c>
      <c r="E2065" s="1" t="s">
        <v>3691</v>
      </c>
      <c r="F2065" s="1" t="s">
        <v>939</v>
      </c>
      <c r="G2065" s="1" t="s">
        <v>2451</v>
      </c>
      <c r="H2065" s="1" t="s">
        <v>904</v>
      </c>
      <c r="I2065" s="1" t="s">
        <v>942</v>
      </c>
      <c r="J2065" s="1" t="s">
        <v>1093</v>
      </c>
      <c r="K2065" s="1" t="s">
        <v>1013</v>
      </c>
      <c r="L2065" s="1" t="s">
        <v>1457</v>
      </c>
      <c r="M2065" s="1" t="s">
        <v>973</v>
      </c>
      <c r="N2065">
        <f>_xlfn.NUMBERVALUE(LEFT(Table11[[#This Row],[Score]],FIND("/",Table11[[#This Row],[Score]])-1))</f>
        <v>23</v>
      </c>
      <c r="O2065">
        <f>IFERROR(_xlfn.NUMBERVALUE(LEFT(Table11[[#This Row],[Score2 ]],FIND("/",Table11[[#This Row],[Score2 ]])-1)),"")</f>
        <v>51</v>
      </c>
      <c r="P2065" t="s">
        <v>181</v>
      </c>
      <c r="Q2065" s="1" t="s">
        <v>140</v>
      </c>
      <c r="R2065" t="str">
        <f>Table11[[#This Row],[Match]]&amp;" "&amp;Table11[[#This Row],[Over]]</f>
        <v>37 9</v>
      </c>
    </row>
    <row r="2066" spans="1:18" x14ac:dyDescent="0.3">
      <c r="A2066">
        <v>37</v>
      </c>
      <c r="B2066" s="1">
        <v>10</v>
      </c>
      <c r="C2066" s="1" t="s">
        <v>2803</v>
      </c>
      <c r="D2066" s="1" t="s">
        <v>922</v>
      </c>
      <c r="E2066" s="1" t="s">
        <v>1694</v>
      </c>
      <c r="F2066" s="1" t="s">
        <v>969</v>
      </c>
      <c r="G2066" s="1" t="s">
        <v>2218</v>
      </c>
      <c r="H2066" s="1" t="s">
        <v>922</v>
      </c>
      <c r="I2066" s="1" t="s">
        <v>2362</v>
      </c>
      <c r="J2066" s="1" t="s">
        <v>1093</v>
      </c>
      <c r="K2066" s="1" t="s">
        <v>1013</v>
      </c>
      <c r="L2066" s="1" t="s">
        <v>2000</v>
      </c>
      <c r="M2066" s="1" t="s">
        <v>980</v>
      </c>
      <c r="N2066">
        <f>_xlfn.NUMBERVALUE(LEFT(Table11[[#This Row],[Score]],FIND("/",Table11[[#This Row],[Score]])-1))</f>
        <v>29</v>
      </c>
      <c r="O2066">
        <f>IFERROR(_xlfn.NUMBERVALUE(LEFT(Table11[[#This Row],[Score2 ]],FIND("/",Table11[[#This Row],[Score2 ]])-1)),"")</f>
        <v>57</v>
      </c>
      <c r="P2066" t="s">
        <v>181</v>
      </c>
      <c r="Q2066" s="1" t="s">
        <v>140</v>
      </c>
      <c r="R2066" t="str">
        <f>Table11[[#This Row],[Match]]&amp;" "&amp;Table11[[#This Row],[Over]]</f>
        <v>37 10</v>
      </c>
    </row>
    <row r="2067" spans="1:18" x14ac:dyDescent="0.3">
      <c r="A2067">
        <v>37</v>
      </c>
      <c r="B2067" s="1">
        <v>11</v>
      </c>
      <c r="C2067" s="1" t="s">
        <v>1981</v>
      </c>
      <c r="D2067" s="1" t="s">
        <v>947</v>
      </c>
      <c r="E2067" s="1" t="s">
        <v>2609</v>
      </c>
      <c r="F2067" s="1" t="s">
        <v>1053</v>
      </c>
      <c r="G2067" s="1" t="s">
        <v>1463</v>
      </c>
      <c r="H2067" s="1" t="s">
        <v>930</v>
      </c>
      <c r="I2067" s="1" t="s">
        <v>1407</v>
      </c>
      <c r="J2067" s="1" t="s">
        <v>969</v>
      </c>
      <c r="K2067" s="1" t="s">
        <v>2745</v>
      </c>
      <c r="L2067" s="1" t="s">
        <v>1306</v>
      </c>
      <c r="M2067" s="1" t="s">
        <v>987</v>
      </c>
      <c r="N2067">
        <f>_xlfn.NUMBERVALUE(LEFT(Table11[[#This Row],[Score]],FIND("/",Table11[[#This Row],[Score]])-1))</f>
        <v>38</v>
      </c>
      <c r="O2067">
        <f>IFERROR(_xlfn.NUMBERVALUE(LEFT(Table11[[#This Row],[Score2 ]],FIND("/",Table11[[#This Row],[Score2 ]])-1)),"")</f>
        <v>65</v>
      </c>
      <c r="P2067" t="s">
        <v>181</v>
      </c>
      <c r="Q2067" s="1" t="s">
        <v>140</v>
      </c>
      <c r="R2067" t="str">
        <f>Table11[[#This Row],[Match]]&amp;" "&amp;Table11[[#This Row],[Over]]</f>
        <v>37 11</v>
      </c>
    </row>
    <row r="2068" spans="1:18" x14ac:dyDescent="0.3">
      <c r="A2068">
        <v>37</v>
      </c>
      <c r="B2068" s="1">
        <v>12</v>
      </c>
      <c r="C2068" s="1" t="s">
        <v>1447</v>
      </c>
      <c r="D2068" s="1" t="s">
        <v>922</v>
      </c>
      <c r="E2068" s="1" t="s">
        <v>917</v>
      </c>
      <c r="F2068" s="1" t="s">
        <v>1116</v>
      </c>
      <c r="G2068" s="1" t="s">
        <v>2884</v>
      </c>
      <c r="H2068" s="1" t="s">
        <v>930</v>
      </c>
      <c r="I2068" s="1" t="s">
        <v>1225</v>
      </c>
      <c r="J2068" s="1" t="s">
        <v>1019</v>
      </c>
      <c r="K2068" s="1" t="s">
        <v>1761</v>
      </c>
      <c r="L2068" s="1" t="s">
        <v>1010</v>
      </c>
      <c r="M2068" s="1" t="s">
        <v>996</v>
      </c>
      <c r="N2068">
        <f>_xlfn.NUMBERVALUE(LEFT(Table11[[#This Row],[Score]],FIND("/",Table11[[#This Row],[Score]])-1))</f>
        <v>44</v>
      </c>
      <c r="O2068">
        <f>IFERROR(_xlfn.NUMBERVALUE(LEFT(Table11[[#This Row],[Score2 ]],FIND("/",Table11[[#This Row],[Score2 ]])-1)),"")</f>
        <v>73</v>
      </c>
      <c r="P2068" t="s">
        <v>181</v>
      </c>
      <c r="Q2068" s="1" t="s">
        <v>140</v>
      </c>
      <c r="R2068" t="str">
        <f>Table11[[#This Row],[Match]]&amp;" "&amp;Table11[[#This Row],[Over]]</f>
        <v>37 12</v>
      </c>
    </row>
    <row r="2069" spans="1:18" x14ac:dyDescent="0.3">
      <c r="A2069">
        <v>37</v>
      </c>
      <c r="B2069" s="1">
        <v>13</v>
      </c>
      <c r="C2069" s="1" t="s">
        <v>2345</v>
      </c>
      <c r="D2069" s="1" t="s">
        <v>1051</v>
      </c>
      <c r="E2069" s="1" t="s">
        <v>1532</v>
      </c>
      <c r="F2069" s="1" t="s">
        <v>1089</v>
      </c>
      <c r="G2069" s="1" t="s">
        <v>1034</v>
      </c>
      <c r="H2069" s="1" t="s">
        <v>922</v>
      </c>
      <c r="I2069" s="1" t="s">
        <v>1756</v>
      </c>
      <c r="J2069" s="1" t="s">
        <v>970</v>
      </c>
      <c r="K2069" s="1" t="s">
        <v>1391</v>
      </c>
      <c r="L2069" s="1" t="s">
        <v>1016</v>
      </c>
      <c r="M2069" s="1" t="s">
        <v>1004</v>
      </c>
      <c r="N2069">
        <f>_xlfn.NUMBERVALUE(LEFT(Table11[[#This Row],[Score]],FIND("/",Table11[[#This Row],[Score]])-1))</f>
        <v>55</v>
      </c>
      <c r="O2069">
        <f>IFERROR(_xlfn.NUMBERVALUE(LEFT(Table11[[#This Row],[Score2 ]],FIND("/",Table11[[#This Row],[Score2 ]])-1)),"")</f>
        <v>79</v>
      </c>
      <c r="P2069" t="s">
        <v>181</v>
      </c>
      <c r="Q2069" s="1" t="s">
        <v>140</v>
      </c>
      <c r="R2069" t="str">
        <f>Table11[[#This Row],[Match]]&amp;" "&amp;Table11[[#This Row],[Over]]</f>
        <v>37 13</v>
      </c>
    </row>
    <row r="2070" spans="1:18" x14ac:dyDescent="0.3">
      <c r="A2070">
        <v>37</v>
      </c>
      <c r="B2070" s="1">
        <v>14</v>
      </c>
      <c r="C2070" s="1" t="s">
        <v>2624</v>
      </c>
      <c r="D2070" s="1" t="s">
        <v>1566</v>
      </c>
      <c r="E2070" s="1" t="s">
        <v>1092</v>
      </c>
      <c r="F2070" s="1" t="s">
        <v>1141</v>
      </c>
      <c r="G2070" s="1" t="s">
        <v>3254</v>
      </c>
      <c r="H2070" s="1" t="s">
        <v>922</v>
      </c>
      <c r="I2070" s="1" t="s">
        <v>1756</v>
      </c>
      <c r="J2070" s="1" t="s">
        <v>1053</v>
      </c>
      <c r="K2070" s="1" t="s">
        <v>942</v>
      </c>
      <c r="L2070" s="1" t="s">
        <v>1024</v>
      </c>
      <c r="M2070" s="1" t="s">
        <v>1010</v>
      </c>
      <c r="N2070">
        <f>_xlfn.NUMBERVALUE(LEFT(Table11[[#This Row],[Score]],FIND("/",Table11[[#This Row],[Score]])-1))</f>
        <v>72</v>
      </c>
      <c r="O2070">
        <f>IFERROR(_xlfn.NUMBERVALUE(LEFT(Table11[[#This Row],[Score2 ]],FIND("/",Table11[[#This Row],[Score2 ]])-1)),"")</f>
        <v>85</v>
      </c>
      <c r="P2070" t="s">
        <v>181</v>
      </c>
      <c r="Q2070" s="1" t="s">
        <v>140</v>
      </c>
      <c r="R2070" t="str">
        <f>Table11[[#This Row],[Match]]&amp;" "&amp;Table11[[#This Row],[Over]]</f>
        <v>37 14</v>
      </c>
    </row>
    <row r="2071" spans="1:18" x14ac:dyDescent="0.3">
      <c r="A2071">
        <v>37</v>
      </c>
      <c r="B2071" s="1">
        <v>15</v>
      </c>
      <c r="C2071" s="1" t="s">
        <v>2884</v>
      </c>
      <c r="D2071" s="1" t="s">
        <v>968</v>
      </c>
      <c r="E2071" s="1" t="s">
        <v>1312</v>
      </c>
      <c r="F2071" s="1" t="s">
        <v>1154</v>
      </c>
      <c r="G2071" s="1" t="s">
        <v>2823</v>
      </c>
      <c r="H2071" s="1" t="s">
        <v>922</v>
      </c>
      <c r="I2071" s="1" t="s">
        <v>935</v>
      </c>
      <c r="J2071" s="1" t="s">
        <v>1053</v>
      </c>
      <c r="K2071" s="1" t="s">
        <v>1579</v>
      </c>
      <c r="L2071" s="1" t="s">
        <v>1031</v>
      </c>
      <c r="M2071" s="1" t="s">
        <v>1016</v>
      </c>
      <c r="N2071">
        <f>_xlfn.NUMBERVALUE(LEFT(Table11[[#This Row],[Score]],FIND("/",Table11[[#This Row],[Score]])-1))</f>
        <v>73</v>
      </c>
      <c r="O2071">
        <f>IFERROR(_xlfn.NUMBERVALUE(LEFT(Table11[[#This Row],[Score2 ]],FIND("/",Table11[[#This Row],[Score2 ]])-1)),"")</f>
        <v>91</v>
      </c>
      <c r="P2071" t="s">
        <v>181</v>
      </c>
      <c r="Q2071" s="1" t="s">
        <v>140</v>
      </c>
      <c r="R2071" t="str">
        <f>Table11[[#This Row],[Match]]&amp;" "&amp;Table11[[#This Row],[Over]]</f>
        <v>37 15</v>
      </c>
    </row>
    <row r="2072" spans="1:18" x14ac:dyDescent="0.3">
      <c r="A2072">
        <v>37</v>
      </c>
      <c r="B2072" s="1">
        <v>16</v>
      </c>
      <c r="C2072" s="1" t="s">
        <v>3154</v>
      </c>
      <c r="D2072" s="1" t="s">
        <v>998</v>
      </c>
      <c r="E2072" s="1" t="s">
        <v>1561</v>
      </c>
      <c r="F2072" s="1" t="s">
        <v>1168</v>
      </c>
      <c r="G2072" s="1" t="s">
        <v>2012</v>
      </c>
      <c r="H2072" s="1" t="s">
        <v>998</v>
      </c>
      <c r="I2072" s="1" t="s">
        <v>1425</v>
      </c>
      <c r="J2072" s="1" t="s">
        <v>1019</v>
      </c>
      <c r="K2072" s="1" t="s">
        <v>2362</v>
      </c>
      <c r="L2072" s="1" t="s">
        <v>1503</v>
      </c>
      <c r="M2072" s="1" t="s">
        <v>1024</v>
      </c>
      <c r="N2072">
        <f>_xlfn.NUMBERVALUE(LEFT(Table11[[#This Row],[Score]],FIND("/",Table11[[#This Row],[Score]])-1))</f>
        <v>77</v>
      </c>
      <c r="O2072">
        <f>IFERROR(_xlfn.NUMBERVALUE(LEFT(Table11[[#This Row],[Score2 ]],FIND("/",Table11[[#This Row],[Score2 ]])-1)),"")</f>
        <v>95</v>
      </c>
      <c r="P2072" t="s">
        <v>181</v>
      </c>
      <c r="Q2072" s="1" t="s">
        <v>140</v>
      </c>
      <c r="R2072" t="str">
        <f>Table11[[#This Row],[Match]]&amp;" "&amp;Table11[[#This Row],[Over]]</f>
        <v>37 16</v>
      </c>
    </row>
    <row r="2073" spans="1:18" x14ac:dyDescent="0.3">
      <c r="A2073">
        <v>37</v>
      </c>
      <c r="B2073" s="1">
        <v>17</v>
      </c>
      <c r="C2073" s="1" t="s">
        <v>3094</v>
      </c>
      <c r="D2073" s="1" t="s">
        <v>904</v>
      </c>
      <c r="E2073" s="1" t="s">
        <v>1321</v>
      </c>
      <c r="F2073" s="1" t="s">
        <v>1116</v>
      </c>
      <c r="G2073" s="1" t="s">
        <v>2012</v>
      </c>
      <c r="H2073" s="1" t="s">
        <v>1007</v>
      </c>
      <c r="I2073" s="1" t="s">
        <v>1134</v>
      </c>
      <c r="J2073" s="1" t="s">
        <v>940</v>
      </c>
      <c r="K2073" s="1" t="s">
        <v>2334</v>
      </c>
      <c r="L2073" s="1" t="s">
        <v>1503</v>
      </c>
      <c r="M2073" s="1" t="s">
        <v>1031</v>
      </c>
      <c r="N2073">
        <f>_xlfn.NUMBERVALUE(LEFT(Table11[[#This Row],[Score]],FIND("/",Table11[[#This Row],[Score]])-1))</f>
        <v>80</v>
      </c>
      <c r="O2073">
        <f>IFERROR(_xlfn.NUMBERVALUE(LEFT(Table11[[#This Row],[Score2 ]],FIND("/",Table11[[#This Row],[Score2 ]])-1)),"")</f>
        <v>95</v>
      </c>
      <c r="P2073" t="s">
        <v>181</v>
      </c>
      <c r="Q2073" s="1" t="s">
        <v>140</v>
      </c>
      <c r="R2073" t="str">
        <f>Table11[[#This Row],[Match]]&amp;" "&amp;Table11[[#This Row],[Over]]</f>
        <v>37 17</v>
      </c>
    </row>
    <row r="2074" spans="1:18" x14ac:dyDescent="0.3">
      <c r="A2074">
        <v>37</v>
      </c>
      <c r="B2074" s="1">
        <v>18</v>
      </c>
      <c r="C2074" s="1" t="s">
        <v>2003</v>
      </c>
      <c r="D2074" s="1" t="s">
        <v>968</v>
      </c>
      <c r="E2074" s="1" t="s">
        <v>1021</v>
      </c>
      <c r="F2074" s="1" t="s">
        <v>1029</v>
      </c>
      <c r="G2074" s="1" t="s">
        <v>1059</v>
      </c>
      <c r="H2074" s="1" t="s">
        <v>904</v>
      </c>
      <c r="I2074" s="1" t="s">
        <v>1145</v>
      </c>
      <c r="J2074" s="1" t="s">
        <v>990</v>
      </c>
      <c r="K2074" s="1" t="s">
        <v>2368</v>
      </c>
      <c r="L2074" s="1" t="s">
        <v>2877</v>
      </c>
      <c r="M2074" s="1" t="s">
        <v>1037</v>
      </c>
      <c r="N2074">
        <f>_xlfn.NUMBERVALUE(LEFT(Table11[[#This Row],[Score]],FIND("/",Table11[[#This Row],[Score]])-1))</f>
        <v>81</v>
      </c>
      <c r="O2074">
        <f>IFERROR(_xlfn.NUMBERVALUE(LEFT(Table11[[#This Row],[Score2 ]],FIND("/",Table11[[#This Row],[Score2 ]])-1)),"")</f>
        <v>98</v>
      </c>
      <c r="P2074" t="s">
        <v>181</v>
      </c>
      <c r="Q2074" s="1" t="s">
        <v>140</v>
      </c>
      <c r="R2074" t="str">
        <f>Table11[[#This Row],[Match]]&amp;" "&amp;Table11[[#This Row],[Over]]</f>
        <v>37 18</v>
      </c>
    </row>
    <row r="2075" spans="1:18" x14ac:dyDescent="0.3">
      <c r="A2075">
        <v>37</v>
      </c>
      <c r="B2075" s="1">
        <v>19</v>
      </c>
      <c r="C2075" s="1" t="s">
        <v>1304</v>
      </c>
      <c r="D2075" s="1" t="s">
        <v>904</v>
      </c>
      <c r="E2075" s="1" t="s">
        <v>1006</v>
      </c>
      <c r="F2075" s="1" t="s">
        <v>1088</v>
      </c>
      <c r="G2075" s="1" t="s">
        <v>1311</v>
      </c>
      <c r="H2075" s="1" t="s">
        <v>947</v>
      </c>
      <c r="I2075" s="1" t="s">
        <v>2133</v>
      </c>
      <c r="J2075" s="1" t="s">
        <v>940</v>
      </c>
      <c r="K2075" s="1" t="s">
        <v>2334</v>
      </c>
      <c r="L2075" s="1" t="s">
        <v>1097</v>
      </c>
      <c r="M2075" s="1" t="s">
        <v>1043</v>
      </c>
      <c r="N2075">
        <f>_xlfn.NUMBERVALUE(LEFT(Table11[[#This Row],[Score]],FIND("/",Table11[[#This Row],[Score]])-1))</f>
        <v>84</v>
      </c>
      <c r="O2075">
        <f>IFERROR(_xlfn.NUMBERVALUE(LEFT(Table11[[#This Row],[Score2 ]],FIND("/",Table11[[#This Row],[Score2 ]])-1)),"")</f>
        <v>107</v>
      </c>
      <c r="P2075" t="s">
        <v>181</v>
      </c>
      <c r="Q2075" s="1" t="s">
        <v>140</v>
      </c>
      <c r="R2075" t="str">
        <f>Table11[[#This Row],[Match]]&amp;" "&amp;Table11[[#This Row],[Over]]</f>
        <v>37 19</v>
      </c>
    </row>
    <row r="2076" spans="1:18" x14ac:dyDescent="0.3">
      <c r="A2076">
        <v>37</v>
      </c>
      <c r="B2076" s="1">
        <v>20</v>
      </c>
      <c r="C2076" s="1" t="s">
        <v>3254</v>
      </c>
      <c r="D2076" s="1" t="s">
        <v>968</v>
      </c>
      <c r="E2076" s="1" t="s">
        <v>1074</v>
      </c>
      <c r="F2076" s="1" t="s">
        <v>1088</v>
      </c>
      <c r="G2076" s="1" t="s">
        <v>1785</v>
      </c>
      <c r="H2076" s="1" t="s">
        <v>904</v>
      </c>
      <c r="I2076" s="1" t="s">
        <v>959</v>
      </c>
      <c r="J2076" s="1" t="s">
        <v>990</v>
      </c>
      <c r="K2076" s="1" t="s">
        <v>2368</v>
      </c>
      <c r="L2076" s="1" t="s">
        <v>2370</v>
      </c>
      <c r="M2076" s="1" t="s">
        <v>1049</v>
      </c>
      <c r="N2076">
        <f>_xlfn.NUMBERVALUE(LEFT(Table11[[#This Row],[Score]],FIND("/",Table11[[#This Row],[Score]])-1))</f>
        <v>85</v>
      </c>
      <c r="O2076">
        <f>IFERROR(_xlfn.NUMBERVALUE(LEFT(Table11[[#This Row],[Score2 ]],FIND("/",Table11[[#This Row],[Score2 ]])-1)),"")</f>
        <v>110</v>
      </c>
      <c r="P2076" t="s">
        <v>181</v>
      </c>
      <c r="Q2076" s="1" t="s">
        <v>140</v>
      </c>
      <c r="R2076" t="str">
        <f>Table11[[#This Row],[Match]]&amp;" "&amp;Table11[[#This Row],[Over]]</f>
        <v>37 20</v>
      </c>
    </row>
    <row r="2077" spans="1:18" x14ac:dyDescent="0.3">
      <c r="A2077">
        <v>37</v>
      </c>
      <c r="B2077" s="1">
        <v>21</v>
      </c>
      <c r="C2077" s="1" t="s">
        <v>2011</v>
      </c>
      <c r="D2077" s="1" t="s">
        <v>998</v>
      </c>
      <c r="E2077" s="1" t="s">
        <v>1532</v>
      </c>
      <c r="F2077" s="1" t="s">
        <v>1088</v>
      </c>
      <c r="G2077" s="1" t="s">
        <v>2889</v>
      </c>
      <c r="H2077" s="1" t="s">
        <v>916</v>
      </c>
      <c r="I2077" s="1" t="s">
        <v>951</v>
      </c>
      <c r="J2077" s="1" t="s">
        <v>940</v>
      </c>
      <c r="K2077" s="1" t="s">
        <v>1425</v>
      </c>
      <c r="L2077" s="1" t="s">
        <v>1849</v>
      </c>
      <c r="M2077" s="1" t="s">
        <v>1056</v>
      </c>
      <c r="N2077">
        <f>_xlfn.NUMBERVALUE(LEFT(Table11[[#This Row],[Score]],FIND("/",Table11[[#This Row],[Score]])-1))</f>
        <v>89</v>
      </c>
      <c r="O2077">
        <f>IFERROR(_xlfn.NUMBERVALUE(LEFT(Table11[[#This Row],[Score2 ]],FIND("/",Table11[[#This Row],[Score2 ]])-1)),"")</f>
        <v>117</v>
      </c>
      <c r="P2077" t="s">
        <v>181</v>
      </c>
      <c r="Q2077" s="1" t="s">
        <v>140</v>
      </c>
      <c r="R2077" t="str">
        <f>Table11[[#This Row],[Match]]&amp;" "&amp;Table11[[#This Row],[Over]]</f>
        <v>37 21</v>
      </c>
    </row>
    <row r="2078" spans="1:18" x14ac:dyDescent="0.3">
      <c r="A2078">
        <v>37</v>
      </c>
      <c r="B2078" s="1">
        <v>22</v>
      </c>
      <c r="C2078" s="1" t="s">
        <v>1046</v>
      </c>
      <c r="D2078" s="1" t="s">
        <v>904</v>
      </c>
      <c r="E2078" s="1" t="s">
        <v>1292</v>
      </c>
      <c r="F2078" s="1" t="s">
        <v>1088</v>
      </c>
      <c r="G2078" s="1" t="s">
        <v>3207</v>
      </c>
      <c r="H2078" s="1" t="s">
        <v>998</v>
      </c>
      <c r="I2078" s="1" t="s">
        <v>959</v>
      </c>
      <c r="J2078" s="1" t="s">
        <v>1029</v>
      </c>
      <c r="K2078" s="1" t="s">
        <v>1019</v>
      </c>
      <c r="L2078" s="1" t="s">
        <v>1063</v>
      </c>
      <c r="M2078" s="1" t="s">
        <v>1063</v>
      </c>
      <c r="N2078">
        <f>_xlfn.NUMBERVALUE(LEFT(Table11[[#This Row],[Score]],FIND("/",Table11[[#This Row],[Score]])-1))</f>
        <v>92</v>
      </c>
      <c r="O2078">
        <f>IFERROR(_xlfn.NUMBERVALUE(LEFT(Table11[[#This Row],[Score2 ]],FIND("/",Table11[[#This Row],[Score2 ]])-1)),"")</f>
        <v>121</v>
      </c>
      <c r="P2078" t="s">
        <v>181</v>
      </c>
      <c r="Q2078" s="1" t="s">
        <v>140</v>
      </c>
      <c r="R2078" t="str">
        <f>Table11[[#This Row],[Match]]&amp;" "&amp;Table11[[#This Row],[Over]]</f>
        <v>37 22</v>
      </c>
    </row>
    <row r="2079" spans="1:18" x14ac:dyDescent="0.3">
      <c r="A2079">
        <v>37</v>
      </c>
      <c r="B2079" s="1">
        <v>23</v>
      </c>
      <c r="C2079" s="1" t="s">
        <v>2699</v>
      </c>
      <c r="D2079" s="1" t="s">
        <v>898</v>
      </c>
      <c r="E2079" s="1" t="s">
        <v>1500</v>
      </c>
      <c r="F2079" s="1" t="s">
        <v>984</v>
      </c>
      <c r="G2079" s="1" t="s">
        <v>2891</v>
      </c>
      <c r="H2079" s="1" t="s">
        <v>916</v>
      </c>
      <c r="I2079" s="1" t="s">
        <v>1607</v>
      </c>
      <c r="J2079" s="1" t="s">
        <v>1019</v>
      </c>
      <c r="K2079" s="1" t="s">
        <v>2368</v>
      </c>
      <c r="L2079" s="1" t="s">
        <v>1355</v>
      </c>
      <c r="M2079" s="1" t="s">
        <v>1070</v>
      </c>
      <c r="N2079">
        <f>_xlfn.NUMBERVALUE(LEFT(Table11[[#This Row],[Score]],FIND("/",Table11[[#This Row],[Score]])-1))</f>
        <v>94</v>
      </c>
      <c r="O2079">
        <f>IFERROR(_xlfn.NUMBERVALUE(LEFT(Table11[[#This Row],[Score2 ]],FIND("/",Table11[[#This Row],[Score2 ]])-1)),"")</f>
        <v>128</v>
      </c>
      <c r="P2079" t="s">
        <v>181</v>
      </c>
      <c r="Q2079" s="1" t="s">
        <v>140</v>
      </c>
      <c r="R2079" t="str">
        <f>Table11[[#This Row],[Match]]&amp;" "&amp;Table11[[#This Row],[Over]]</f>
        <v>37 23</v>
      </c>
    </row>
    <row r="2080" spans="1:18" x14ac:dyDescent="0.3">
      <c r="A2080">
        <v>37</v>
      </c>
      <c r="B2080" s="1">
        <v>24</v>
      </c>
      <c r="C2080" s="1" t="s">
        <v>1054</v>
      </c>
      <c r="D2080" s="1" t="s">
        <v>904</v>
      </c>
      <c r="E2080" s="1" t="s">
        <v>1505</v>
      </c>
      <c r="F2080" s="1" t="s">
        <v>984</v>
      </c>
      <c r="G2080" s="1" t="s">
        <v>2134</v>
      </c>
      <c r="H2080" s="1" t="s">
        <v>947</v>
      </c>
      <c r="I2080" s="1" t="s">
        <v>2362</v>
      </c>
      <c r="J2080" s="1" t="s">
        <v>1019</v>
      </c>
      <c r="K2080" s="1" t="s">
        <v>2363</v>
      </c>
      <c r="L2080" s="1" t="s">
        <v>1137</v>
      </c>
      <c r="M2080" s="1" t="s">
        <v>1077</v>
      </c>
      <c r="N2080">
        <f>_xlfn.NUMBERVALUE(LEFT(Table11[[#This Row],[Score]],FIND("/",Table11[[#This Row],[Score]])-1))</f>
        <v>97</v>
      </c>
      <c r="O2080">
        <f>IFERROR(_xlfn.NUMBERVALUE(LEFT(Table11[[#This Row],[Score2 ]],FIND("/",Table11[[#This Row],[Score2 ]])-1)),"")</f>
        <v>137</v>
      </c>
      <c r="P2080" t="s">
        <v>181</v>
      </c>
      <c r="Q2080" s="1" t="s">
        <v>140</v>
      </c>
      <c r="R2080" t="str">
        <f>Table11[[#This Row],[Match]]&amp;" "&amp;Table11[[#This Row],[Over]]</f>
        <v>37 24</v>
      </c>
    </row>
    <row r="2081" spans="1:18" x14ac:dyDescent="0.3">
      <c r="A2081">
        <v>37</v>
      </c>
      <c r="B2081" s="1">
        <v>25</v>
      </c>
      <c r="C2081" s="1" t="s">
        <v>2705</v>
      </c>
      <c r="D2081" s="1" t="s">
        <v>947</v>
      </c>
      <c r="E2081" s="1" t="s">
        <v>2060</v>
      </c>
      <c r="F2081" s="1" t="s">
        <v>931</v>
      </c>
      <c r="G2081" s="1" t="s">
        <v>4079</v>
      </c>
      <c r="H2081" s="1" t="s">
        <v>1051</v>
      </c>
      <c r="I2081" s="1" t="s">
        <v>2235</v>
      </c>
      <c r="J2081" s="1" t="s">
        <v>1508</v>
      </c>
      <c r="K2081" s="1" t="s">
        <v>2242</v>
      </c>
      <c r="L2081" s="1" t="s">
        <v>2713</v>
      </c>
      <c r="M2081" s="1" t="s">
        <v>1083</v>
      </c>
      <c r="N2081">
        <f>_xlfn.NUMBERVALUE(LEFT(Table11[[#This Row],[Score]],FIND("/",Table11[[#This Row],[Score]])-1))</f>
        <v>106</v>
      </c>
      <c r="O2081">
        <f>IFERROR(_xlfn.NUMBERVALUE(LEFT(Table11[[#This Row],[Score2 ]],FIND("/",Table11[[#This Row],[Score2 ]])-1)),"")</f>
        <v>148</v>
      </c>
      <c r="P2081" t="s">
        <v>181</v>
      </c>
      <c r="Q2081" s="1" t="s">
        <v>140</v>
      </c>
      <c r="R2081" t="str">
        <f>Table11[[#This Row],[Match]]&amp;" "&amp;Table11[[#This Row],[Over]]</f>
        <v>37 25</v>
      </c>
    </row>
    <row r="2082" spans="1:18" x14ac:dyDescent="0.3">
      <c r="A2082">
        <v>37</v>
      </c>
      <c r="B2082" s="1">
        <v>26</v>
      </c>
      <c r="C2082" s="1" t="s">
        <v>2708</v>
      </c>
      <c r="D2082" s="1" t="s">
        <v>904</v>
      </c>
      <c r="E2082" s="1" t="s">
        <v>1087</v>
      </c>
      <c r="F2082" s="1" t="s">
        <v>939</v>
      </c>
      <c r="G2082" s="1" t="s">
        <v>2144</v>
      </c>
      <c r="H2082" s="1" t="s">
        <v>904</v>
      </c>
      <c r="I2082" s="1" t="s">
        <v>1013</v>
      </c>
      <c r="J2082" s="1" t="s">
        <v>1053</v>
      </c>
      <c r="K2082" s="1" t="s">
        <v>1601</v>
      </c>
      <c r="L2082" s="1" t="s">
        <v>1098</v>
      </c>
      <c r="M2082" s="1" t="s">
        <v>1090</v>
      </c>
      <c r="N2082">
        <f>_xlfn.NUMBERVALUE(LEFT(Table11[[#This Row],[Score]],FIND("/",Table11[[#This Row],[Score]])-1))</f>
        <v>109</v>
      </c>
      <c r="O2082">
        <f>IFERROR(_xlfn.NUMBERVALUE(LEFT(Table11[[#This Row],[Score2 ]],FIND("/",Table11[[#This Row],[Score2 ]])-1)),"")</f>
        <v>151</v>
      </c>
      <c r="P2082" t="s">
        <v>181</v>
      </c>
      <c r="Q2082" s="1" t="s">
        <v>140</v>
      </c>
      <c r="R2082" t="str">
        <f>Table11[[#This Row],[Match]]&amp;" "&amp;Table11[[#This Row],[Over]]</f>
        <v>37 26</v>
      </c>
    </row>
    <row r="2083" spans="1:18" x14ac:dyDescent="0.3">
      <c r="A2083">
        <v>37</v>
      </c>
      <c r="B2083" s="1">
        <v>27</v>
      </c>
      <c r="C2083" s="1" t="s">
        <v>2709</v>
      </c>
      <c r="D2083" s="1" t="s">
        <v>922</v>
      </c>
      <c r="E2083" s="1" t="s">
        <v>1074</v>
      </c>
      <c r="F2083" s="1" t="s">
        <v>976</v>
      </c>
      <c r="G2083" s="1" t="s">
        <v>3218</v>
      </c>
      <c r="H2083" s="1" t="s">
        <v>998</v>
      </c>
      <c r="I2083" s="1" t="s">
        <v>2745</v>
      </c>
      <c r="J2083" s="1" t="s">
        <v>1053</v>
      </c>
      <c r="K2083" s="1" t="s">
        <v>2375</v>
      </c>
      <c r="L2083" s="1" t="s">
        <v>1868</v>
      </c>
      <c r="M2083" s="1" t="s">
        <v>1098</v>
      </c>
      <c r="N2083">
        <f>_xlfn.NUMBERVALUE(LEFT(Table11[[#This Row],[Score]],FIND("/",Table11[[#This Row],[Score]])-1))</f>
        <v>115</v>
      </c>
      <c r="O2083">
        <f>IFERROR(_xlfn.NUMBERVALUE(LEFT(Table11[[#This Row],[Score2 ]],FIND("/",Table11[[#This Row],[Score2 ]])-1)),"")</f>
        <v>155</v>
      </c>
      <c r="P2083" t="s">
        <v>181</v>
      </c>
      <c r="Q2083" s="1" t="s">
        <v>140</v>
      </c>
      <c r="R2083" t="str">
        <f>Table11[[#This Row],[Match]]&amp;" "&amp;Table11[[#This Row],[Over]]</f>
        <v>37 27</v>
      </c>
    </row>
    <row r="2084" spans="1:18" x14ac:dyDescent="0.3">
      <c r="A2084">
        <v>37</v>
      </c>
      <c r="B2084" s="1">
        <v>28</v>
      </c>
      <c r="C2084" s="1" t="s">
        <v>3289</v>
      </c>
      <c r="D2084" s="1" t="s">
        <v>904</v>
      </c>
      <c r="E2084" s="1" t="s">
        <v>1130</v>
      </c>
      <c r="F2084" s="1" t="s">
        <v>1093</v>
      </c>
      <c r="G2084" s="1" t="s">
        <v>2147</v>
      </c>
      <c r="H2084" s="1" t="s">
        <v>904</v>
      </c>
      <c r="I2084" s="1" t="s">
        <v>2242</v>
      </c>
      <c r="J2084" s="1" t="s">
        <v>1019</v>
      </c>
      <c r="K2084" s="1" t="s">
        <v>1428</v>
      </c>
      <c r="L2084" s="1" t="s">
        <v>1402</v>
      </c>
      <c r="M2084" s="1" t="s">
        <v>1101</v>
      </c>
      <c r="N2084">
        <f>_xlfn.NUMBERVALUE(LEFT(Table11[[#This Row],[Score]],FIND("/",Table11[[#This Row],[Score]])-1))</f>
        <v>118</v>
      </c>
      <c r="O2084">
        <f>IFERROR(_xlfn.NUMBERVALUE(LEFT(Table11[[#This Row],[Score2 ]],FIND("/",Table11[[#This Row],[Score2 ]])-1)),"")</f>
        <v>158</v>
      </c>
      <c r="P2084" t="s">
        <v>181</v>
      </c>
      <c r="Q2084" s="1" t="s">
        <v>140</v>
      </c>
      <c r="R2084" t="str">
        <f>Table11[[#This Row],[Match]]&amp;" "&amp;Table11[[#This Row],[Over]]</f>
        <v>37 28</v>
      </c>
    </row>
    <row r="2085" spans="1:18" x14ac:dyDescent="0.3">
      <c r="A2085">
        <v>37</v>
      </c>
      <c r="B2085" s="1">
        <v>29</v>
      </c>
      <c r="C2085" s="1" t="s">
        <v>3156</v>
      </c>
      <c r="D2085" s="1" t="s">
        <v>950</v>
      </c>
      <c r="E2085" s="1" t="s">
        <v>2060</v>
      </c>
      <c r="F2085" s="1" t="s">
        <v>1029</v>
      </c>
      <c r="G2085" s="1" t="s">
        <v>2367</v>
      </c>
      <c r="H2085" s="1" t="s">
        <v>904</v>
      </c>
      <c r="I2085" s="1" t="s">
        <v>1682</v>
      </c>
      <c r="J2085" s="1" t="s">
        <v>1093</v>
      </c>
      <c r="K2085" s="1" t="s">
        <v>953</v>
      </c>
      <c r="L2085" s="1" t="s">
        <v>2478</v>
      </c>
      <c r="M2085" s="1" t="s">
        <v>1108</v>
      </c>
      <c r="N2085">
        <f>_xlfn.NUMBERVALUE(LEFT(Table11[[#This Row],[Score]],FIND("/",Table11[[#This Row],[Score]])-1))</f>
        <v>123</v>
      </c>
      <c r="O2085">
        <f>IFERROR(_xlfn.NUMBERVALUE(LEFT(Table11[[#This Row],[Score2 ]],FIND("/",Table11[[#This Row],[Score2 ]])-1)),"")</f>
        <v>161</v>
      </c>
      <c r="P2085" t="s">
        <v>181</v>
      </c>
      <c r="Q2085" s="1" t="s">
        <v>140</v>
      </c>
      <c r="R2085" t="str">
        <f>Table11[[#This Row],[Match]]&amp;" "&amp;Table11[[#This Row],[Over]]</f>
        <v>37 29</v>
      </c>
    </row>
    <row r="2086" spans="1:18" x14ac:dyDescent="0.3">
      <c r="A2086">
        <v>37</v>
      </c>
      <c r="B2086" s="1">
        <v>30</v>
      </c>
      <c r="C2086" s="1" t="s">
        <v>2027</v>
      </c>
      <c r="D2086" s="1" t="s">
        <v>904</v>
      </c>
      <c r="E2086" s="1" t="s">
        <v>931</v>
      </c>
      <c r="F2086" s="1" t="s">
        <v>939</v>
      </c>
      <c r="G2086" s="1" t="s">
        <v>3822</v>
      </c>
      <c r="H2086" s="1" t="s">
        <v>904</v>
      </c>
      <c r="I2086" s="1" t="s">
        <v>1166</v>
      </c>
      <c r="J2086" s="1" t="s">
        <v>1259</v>
      </c>
      <c r="K2086" s="1" t="s">
        <v>1448</v>
      </c>
      <c r="L2086" s="1" t="s">
        <v>1554</v>
      </c>
      <c r="M2086" s="1" t="s">
        <v>1113</v>
      </c>
      <c r="N2086">
        <f>_xlfn.NUMBERVALUE(LEFT(Table11[[#This Row],[Score]],FIND("/",Table11[[#This Row],[Score]])-1))</f>
        <v>126</v>
      </c>
      <c r="O2086">
        <f>IFERROR(_xlfn.NUMBERVALUE(LEFT(Table11[[#This Row],[Score2 ]],FIND("/",Table11[[#This Row],[Score2 ]])-1)),"")</f>
        <v>164</v>
      </c>
      <c r="P2086" t="s">
        <v>181</v>
      </c>
      <c r="Q2086" s="1" t="s">
        <v>140</v>
      </c>
      <c r="R2086" t="str">
        <f>Table11[[#This Row],[Match]]&amp;" "&amp;Table11[[#This Row],[Over]]</f>
        <v>37 30</v>
      </c>
    </row>
    <row r="2087" spans="1:18" x14ac:dyDescent="0.3">
      <c r="A2087">
        <v>37</v>
      </c>
      <c r="B2087" s="1">
        <v>31</v>
      </c>
      <c r="C2087" s="1" t="s">
        <v>2027</v>
      </c>
      <c r="D2087" s="1" t="s">
        <v>1007</v>
      </c>
      <c r="E2087" s="1" t="s">
        <v>1288</v>
      </c>
      <c r="F2087" s="1" t="s">
        <v>1247</v>
      </c>
      <c r="G2087" s="1" t="s">
        <v>1820</v>
      </c>
      <c r="H2087" s="1" t="s">
        <v>998</v>
      </c>
      <c r="I2087" s="1" t="s">
        <v>1373</v>
      </c>
      <c r="J2087" s="1" t="s">
        <v>1247</v>
      </c>
      <c r="K2087" s="1" t="s">
        <v>2720</v>
      </c>
      <c r="L2087" s="1" t="s">
        <v>2721</v>
      </c>
      <c r="M2087" s="1" t="s">
        <v>1121</v>
      </c>
      <c r="N2087">
        <f>_xlfn.NUMBERVALUE(LEFT(Table11[[#This Row],[Score]],FIND("/",Table11[[#This Row],[Score]])-1))</f>
        <v>126</v>
      </c>
      <c r="O2087">
        <f>IFERROR(_xlfn.NUMBERVALUE(LEFT(Table11[[#This Row],[Score2 ]],FIND("/",Table11[[#This Row],[Score2 ]])-1)),"")</f>
        <v>168</v>
      </c>
      <c r="P2087" t="s">
        <v>181</v>
      </c>
      <c r="Q2087" s="1" t="s">
        <v>140</v>
      </c>
      <c r="R2087" t="str">
        <f>Table11[[#This Row],[Match]]&amp;" "&amp;Table11[[#This Row],[Over]]</f>
        <v>37 31</v>
      </c>
    </row>
    <row r="2088" spans="1:18" x14ac:dyDescent="0.3">
      <c r="A2088">
        <v>37</v>
      </c>
      <c r="B2088" s="1">
        <v>32</v>
      </c>
      <c r="C2088" s="1" t="s">
        <v>1336</v>
      </c>
      <c r="D2088" s="1" t="s">
        <v>950</v>
      </c>
      <c r="E2088" s="1" t="s">
        <v>981</v>
      </c>
      <c r="F2088" s="1" t="s">
        <v>1259</v>
      </c>
      <c r="G2088" s="1" t="s">
        <v>1823</v>
      </c>
      <c r="H2088" s="1" t="s">
        <v>904</v>
      </c>
      <c r="I2088" s="1" t="s">
        <v>2685</v>
      </c>
      <c r="J2088" s="1" t="s">
        <v>1259</v>
      </c>
      <c r="K2088" s="1" t="s">
        <v>1256</v>
      </c>
      <c r="L2088" s="1" t="s">
        <v>1559</v>
      </c>
      <c r="M2088" s="1" t="s">
        <v>1127</v>
      </c>
      <c r="N2088">
        <f>_xlfn.NUMBERVALUE(LEFT(Table11[[#This Row],[Score]],FIND("/",Table11[[#This Row],[Score]])-1))</f>
        <v>131</v>
      </c>
      <c r="O2088">
        <f>IFERROR(_xlfn.NUMBERVALUE(LEFT(Table11[[#This Row],[Score2 ]],FIND("/",Table11[[#This Row],[Score2 ]])-1)),"")</f>
        <v>171</v>
      </c>
      <c r="P2088" t="s">
        <v>181</v>
      </c>
      <c r="Q2088" s="1" t="s">
        <v>140</v>
      </c>
      <c r="R2088" t="str">
        <f>Table11[[#This Row],[Match]]&amp;" "&amp;Table11[[#This Row],[Over]]</f>
        <v>37 32</v>
      </c>
    </row>
    <row r="2089" spans="1:18" x14ac:dyDescent="0.3">
      <c r="A2089">
        <v>37</v>
      </c>
      <c r="B2089" s="1">
        <v>33</v>
      </c>
      <c r="C2089" s="1" t="s">
        <v>4044</v>
      </c>
      <c r="D2089" s="1" t="s">
        <v>916</v>
      </c>
      <c r="E2089" s="1" t="s">
        <v>1292</v>
      </c>
      <c r="F2089" s="1" t="s">
        <v>939</v>
      </c>
      <c r="G2089" s="1" t="s">
        <v>1826</v>
      </c>
      <c r="H2089" s="1" t="s">
        <v>898</v>
      </c>
      <c r="I2089" s="1" t="s">
        <v>1079</v>
      </c>
      <c r="J2089" s="1" t="s">
        <v>1238</v>
      </c>
      <c r="K2089" s="1" t="s">
        <v>1803</v>
      </c>
      <c r="L2089" s="1" t="s">
        <v>1774</v>
      </c>
      <c r="M2089" s="1" t="s">
        <v>1132</v>
      </c>
      <c r="N2089">
        <f>_xlfn.NUMBERVALUE(LEFT(Table11[[#This Row],[Score]],FIND("/",Table11[[#This Row],[Score]])-1))</f>
        <v>138</v>
      </c>
      <c r="O2089">
        <f>IFERROR(_xlfn.NUMBERVALUE(LEFT(Table11[[#This Row],[Score2 ]],FIND("/",Table11[[#This Row],[Score2 ]])-1)),"")</f>
        <v>173</v>
      </c>
      <c r="P2089" t="s">
        <v>181</v>
      </c>
      <c r="Q2089" s="1" t="s">
        <v>140</v>
      </c>
      <c r="R2089" t="str">
        <f>Table11[[#This Row],[Match]]&amp;" "&amp;Table11[[#This Row],[Over]]</f>
        <v>37 33</v>
      </c>
    </row>
    <row r="2090" spans="1:18" x14ac:dyDescent="0.3">
      <c r="A2090">
        <v>37</v>
      </c>
      <c r="B2090" s="1">
        <v>34</v>
      </c>
      <c r="C2090" s="1" t="s">
        <v>1545</v>
      </c>
      <c r="D2090" s="1" t="s">
        <v>1390</v>
      </c>
      <c r="E2090" s="1" t="s">
        <v>965</v>
      </c>
      <c r="F2090" s="1" t="s">
        <v>934</v>
      </c>
      <c r="G2090" s="1" t="s">
        <v>2283</v>
      </c>
      <c r="H2090" s="1" t="s">
        <v>922</v>
      </c>
      <c r="I2090" s="1" t="s">
        <v>2178</v>
      </c>
      <c r="J2090" s="1" t="s">
        <v>977</v>
      </c>
      <c r="K2090" s="1" t="s">
        <v>3256</v>
      </c>
      <c r="L2090" s="1" t="s">
        <v>2077</v>
      </c>
      <c r="M2090" s="1" t="s">
        <v>1138</v>
      </c>
      <c r="N2090">
        <f>_xlfn.NUMBERVALUE(LEFT(Table11[[#This Row],[Score]],FIND("/",Table11[[#This Row],[Score]])-1))</f>
        <v>151</v>
      </c>
      <c r="O2090">
        <f>IFERROR(_xlfn.NUMBERVALUE(LEFT(Table11[[#This Row],[Score2 ]],FIND("/",Table11[[#This Row],[Score2 ]])-1)),"")</f>
        <v>179</v>
      </c>
      <c r="P2090" t="s">
        <v>181</v>
      </c>
      <c r="Q2090" s="1" t="s">
        <v>140</v>
      </c>
      <c r="R2090" t="str">
        <f>Table11[[#This Row],[Match]]&amp;" "&amp;Table11[[#This Row],[Over]]</f>
        <v>37 34</v>
      </c>
    </row>
    <row r="2091" spans="1:18" x14ac:dyDescent="0.3">
      <c r="A2091">
        <v>37</v>
      </c>
      <c r="B2091" s="1">
        <v>35</v>
      </c>
      <c r="C2091" s="1" t="s">
        <v>2152</v>
      </c>
      <c r="D2091" s="1" t="s">
        <v>1095</v>
      </c>
      <c r="E2091" s="1" t="s">
        <v>976</v>
      </c>
      <c r="F2091" s="1" t="s">
        <v>952</v>
      </c>
      <c r="G2091" s="1" t="s">
        <v>4051</v>
      </c>
      <c r="H2091" s="1" t="s">
        <v>1390</v>
      </c>
      <c r="I2091" s="1" t="s">
        <v>1115</v>
      </c>
      <c r="J2091" s="1" t="s">
        <v>934</v>
      </c>
      <c r="K2091" s="1" t="s">
        <v>1248</v>
      </c>
      <c r="L2091" s="1" t="s">
        <v>2752</v>
      </c>
      <c r="M2091" s="1" t="s">
        <v>1143</v>
      </c>
      <c r="N2091">
        <f>_xlfn.NUMBERVALUE(LEFT(Table11[[#This Row],[Score]],FIND("/",Table11[[#This Row],[Score]])-1))</f>
        <v>161</v>
      </c>
      <c r="O2091">
        <f>IFERROR(_xlfn.NUMBERVALUE(LEFT(Table11[[#This Row],[Score2 ]],FIND("/",Table11[[#This Row],[Score2 ]])-1)),"")</f>
        <v>192</v>
      </c>
      <c r="P2091" t="s">
        <v>181</v>
      </c>
      <c r="Q2091" s="1" t="s">
        <v>140</v>
      </c>
      <c r="R2091" t="str">
        <f>Table11[[#This Row],[Match]]&amp;" "&amp;Table11[[#This Row],[Over]]</f>
        <v>37 35</v>
      </c>
    </row>
    <row r="2092" spans="1:18" x14ac:dyDescent="0.3">
      <c r="A2092">
        <v>37</v>
      </c>
      <c r="B2092" s="1">
        <v>36</v>
      </c>
      <c r="C2092" s="1" t="s">
        <v>3323</v>
      </c>
      <c r="D2092" s="1" t="s">
        <v>968</v>
      </c>
      <c r="E2092" s="1" t="s">
        <v>1021</v>
      </c>
      <c r="F2092" s="1" t="s">
        <v>1116</v>
      </c>
      <c r="G2092" s="1" t="s">
        <v>3725</v>
      </c>
      <c r="H2092" s="1" t="s">
        <v>998</v>
      </c>
      <c r="I2092" s="1" t="s">
        <v>1145</v>
      </c>
      <c r="J2092" s="1" t="s">
        <v>934</v>
      </c>
      <c r="K2092" s="1" t="s">
        <v>2086</v>
      </c>
      <c r="L2092" s="1" t="s">
        <v>1628</v>
      </c>
      <c r="M2092" s="1" t="s">
        <v>1150</v>
      </c>
      <c r="N2092">
        <f>_xlfn.NUMBERVALUE(LEFT(Table11[[#This Row],[Score]],FIND("/",Table11[[#This Row],[Score]])-1))</f>
        <v>162</v>
      </c>
      <c r="O2092">
        <f>IFERROR(_xlfn.NUMBERVALUE(LEFT(Table11[[#This Row],[Score2 ]],FIND("/",Table11[[#This Row],[Score2 ]])-1)),"")</f>
        <v>196</v>
      </c>
      <c r="P2092" t="s">
        <v>181</v>
      </c>
      <c r="Q2092" s="1" t="s">
        <v>140</v>
      </c>
      <c r="R2092" t="str">
        <f>Table11[[#This Row],[Match]]&amp;" "&amp;Table11[[#This Row],[Over]]</f>
        <v>37 36</v>
      </c>
    </row>
    <row r="2093" spans="1:18" x14ac:dyDescent="0.3">
      <c r="A2093">
        <v>37</v>
      </c>
      <c r="B2093" s="1">
        <v>37</v>
      </c>
      <c r="C2093" s="1" t="s">
        <v>4080</v>
      </c>
      <c r="D2093" s="1" t="s">
        <v>922</v>
      </c>
      <c r="E2093" s="1" t="s">
        <v>2895</v>
      </c>
      <c r="F2093" s="1" t="s">
        <v>1068</v>
      </c>
      <c r="G2093" s="1" t="s">
        <v>4081</v>
      </c>
      <c r="H2093" s="1" t="s">
        <v>968</v>
      </c>
      <c r="I2093" s="1" t="s">
        <v>2719</v>
      </c>
      <c r="J2093" s="1" t="s">
        <v>1029</v>
      </c>
      <c r="K2093" s="1" t="s">
        <v>1495</v>
      </c>
      <c r="L2093" s="1" t="s">
        <v>2489</v>
      </c>
      <c r="M2093" s="1" t="s">
        <v>1156</v>
      </c>
      <c r="N2093">
        <f>_xlfn.NUMBERVALUE(LEFT(Table11[[#This Row],[Score]],FIND("/",Table11[[#This Row],[Score]])-1))</f>
        <v>168</v>
      </c>
      <c r="O2093">
        <f>IFERROR(_xlfn.NUMBERVALUE(LEFT(Table11[[#This Row],[Score2 ]],FIND("/",Table11[[#This Row],[Score2 ]])-1)),"")</f>
        <v>197</v>
      </c>
      <c r="P2093" t="s">
        <v>181</v>
      </c>
      <c r="Q2093" s="1" t="s">
        <v>140</v>
      </c>
      <c r="R2093" t="str">
        <f>Table11[[#This Row],[Match]]&amp;" "&amp;Table11[[#This Row],[Over]]</f>
        <v>37 37</v>
      </c>
    </row>
    <row r="2094" spans="1:18" x14ac:dyDescent="0.3">
      <c r="A2094">
        <v>37</v>
      </c>
      <c r="B2094" s="1">
        <v>38</v>
      </c>
      <c r="C2094" s="1" t="s">
        <v>2659</v>
      </c>
      <c r="D2094" s="1" t="s">
        <v>916</v>
      </c>
      <c r="E2094" s="1" t="s">
        <v>976</v>
      </c>
      <c r="F2094" s="1" t="s">
        <v>1068</v>
      </c>
      <c r="G2094" s="1" t="s">
        <v>3828</v>
      </c>
      <c r="H2094" s="1" t="s">
        <v>1051</v>
      </c>
      <c r="I2094" s="1" t="s">
        <v>2070</v>
      </c>
      <c r="J2094" s="1" t="s">
        <v>952</v>
      </c>
      <c r="K2094" s="1" t="s">
        <v>1009</v>
      </c>
      <c r="L2094" s="1" t="s">
        <v>1210</v>
      </c>
      <c r="M2094" s="1" t="s">
        <v>1164</v>
      </c>
      <c r="N2094">
        <f>_xlfn.NUMBERVALUE(LEFT(Table11[[#This Row],[Score]],FIND("/",Table11[[#This Row],[Score]])-1))</f>
        <v>175</v>
      </c>
      <c r="O2094">
        <f>IFERROR(_xlfn.NUMBERVALUE(LEFT(Table11[[#This Row],[Score2 ]],FIND("/",Table11[[#This Row],[Score2 ]])-1)),"")</f>
        <v>208</v>
      </c>
      <c r="P2094" t="s">
        <v>181</v>
      </c>
      <c r="Q2094" s="1" t="s">
        <v>140</v>
      </c>
      <c r="R2094" t="str">
        <f>Table11[[#This Row],[Match]]&amp;" "&amp;Table11[[#This Row],[Over]]</f>
        <v>37 38</v>
      </c>
    </row>
    <row r="2095" spans="1:18" x14ac:dyDescent="0.3">
      <c r="A2095">
        <v>37</v>
      </c>
      <c r="B2095" s="1">
        <v>39</v>
      </c>
      <c r="C2095" s="1" t="s">
        <v>1562</v>
      </c>
      <c r="D2095" s="1" t="s">
        <v>916</v>
      </c>
      <c r="E2095" s="1" t="s">
        <v>1975</v>
      </c>
      <c r="F2095" s="1" t="s">
        <v>970</v>
      </c>
      <c r="G2095" s="1" t="s">
        <v>2162</v>
      </c>
      <c r="H2095" s="1" t="s">
        <v>898</v>
      </c>
      <c r="I2095" s="1" t="s">
        <v>1732</v>
      </c>
      <c r="J2095" s="1" t="s">
        <v>970</v>
      </c>
      <c r="K2095" s="1" t="s">
        <v>4082</v>
      </c>
      <c r="L2095" s="1" t="s">
        <v>1833</v>
      </c>
      <c r="M2095" s="1" t="s">
        <v>1171</v>
      </c>
      <c r="N2095">
        <f>_xlfn.NUMBERVALUE(LEFT(Table11[[#This Row],[Score]],FIND("/",Table11[[#This Row],[Score]])-1))</f>
        <v>182</v>
      </c>
      <c r="O2095">
        <f>IFERROR(_xlfn.NUMBERVALUE(LEFT(Table11[[#This Row],[Score2 ]],FIND("/",Table11[[#This Row],[Score2 ]])-1)),"")</f>
        <v>210</v>
      </c>
      <c r="P2095" t="s">
        <v>181</v>
      </c>
      <c r="Q2095" s="1" t="s">
        <v>140</v>
      </c>
      <c r="R2095" t="str">
        <f>Table11[[#This Row],[Match]]&amp;" "&amp;Table11[[#This Row],[Over]]</f>
        <v>37 39</v>
      </c>
    </row>
    <row r="2096" spans="1:18" x14ac:dyDescent="0.3">
      <c r="A2096">
        <v>37</v>
      </c>
      <c r="B2096" s="1">
        <v>40</v>
      </c>
      <c r="C2096" s="1" t="s">
        <v>3324</v>
      </c>
      <c r="D2096" s="1" t="s">
        <v>898</v>
      </c>
      <c r="E2096" s="1" t="s">
        <v>976</v>
      </c>
      <c r="F2096" s="1" t="s">
        <v>976</v>
      </c>
      <c r="G2096" s="1" t="s">
        <v>4083</v>
      </c>
      <c r="H2096" s="1" t="s">
        <v>968</v>
      </c>
      <c r="I2096" s="1" t="s">
        <v>1593</v>
      </c>
      <c r="J2096" s="1" t="s">
        <v>990</v>
      </c>
      <c r="K2096" s="1" t="s">
        <v>1168</v>
      </c>
      <c r="L2096" s="1" t="s">
        <v>1156</v>
      </c>
      <c r="M2096" s="1" t="s">
        <v>1177</v>
      </c>
      <c r="N2096">
        <f>_xlfn.NUMBERVALUE(LEFT(Table11[[#This Row],[Score]],FIND("/",Table11[[#This Row],[Score]])-1))</f>
        <v>184</v>
      </c>
      <c r="O2096">
        <f>IFERROR(_xlfn.NUMBERVALUE(LEFT(Table11[[#This Row],[Score2 ]],FIND("/",Table11[[#This Row],[Score2 ]])-1)),"")</f>
        <v>211</v>
      </c>
      <c r="P2096" t="s">
        <v>181</v>
      </c>
      <c r="Q2096" s="1" t="s">
        <v>140</v>
      </c>
      <c r="R2096" t="str">
        <f>Table11[[#This Row],[Match]]&amp;" "&amp;Table11[[#This Row],[Over]]</f>
        <v>37 40</v>
      </c>
    </row>
    <row r="2097" spans="1:18" x14ac:dyDescent="0.3">
      <c r="A2097">
        <v>37</v>
      </c>
      <c r="B2097" s="1">
        <v>41</v>
      </c>
      <c r="C2097" s="1" t="s">
        <v>3866</v>
      </c>
      <c r="D2097" s="1" t="s">
        <v>947</v>
      </c>
      <c r="E2097" s="1" t="s">
        <v>1321</v>
      </c>
      <c r="F2097" s="1" t="s">
        <v>970</v>
      </c>
      <c r="G2097" s="1" t="s">
        <v>2292</v>
      </c>
      <c r="H2097" s="1" t="s">
        <v>930</v>
      </c>
      <c r="I2097" s="1" t="s">
        <v>2685</v>
      </c>
      <c r="J2097" s="1" t="s">
        <v>976</v>
      </c>
      <c r="K2097" s="1" t="s">
        <v>2361</v>
      </c>
      <c r="L2097" s="1" t="s">
        <v>1905</v>
      </c>
      <c r="M2097" s="1" t="s">
        <v>1183</v>
      </c>
      <c r="N2097">
        <f>_xlfn.NUMBERVALUE(LEFT(Table11[[#This Row],[Score]],FIND("/",Table11[[#This Row],[Score]])-1))</f>
        <v>193</v>
      </c>
      <c r="O2097">
        <f>IFERROR(_xlfn.NUMBERVALUE(LEFT(Table11[[#This Row],[Score2 ]],FIND("/",Table11[[#This Row],[Score2 ]])-1)),"")</f>
        <v>219</v>
      </c>
      <c r="P2097" t="s">
        <v>181</v>
      </c>
      <c r="Q2097" s="1" t="s">
        <v>140</v>
      </c>
      <c r="R2097" t="str">
        <f>Table11[[#This Row],[Match]]&amp;" "&amp;Table11[[#This Row],[Over]]</f>
        <v>37 41</v>
      </c>
    </row>
    <row r="2098" spans="1:18" x14ac:dyDescent="0.3">
      <c r="A2098">
        <v>37</v>
      </c>
      <c r="B2098" s="1">
        <v>42</v>
      </c>
      <c r="C2098" s="1" t="s">
        <v>3127</v>
      </c>
      <c r="D2098" s="1" t="s">
        <v>904</v>
      </c>
      <c r="E2098" s="1" t="s">
        <v>1975</v>
      </c>
      <c r="F2098" s="1" t="s">
        <v>934</v>
      </c>
      <c r="G2098" s="1" t="s">
        <v>4084</v>
      </c>
      <c r="H2098" s="1" t="s">
        <v>998</v>
      </c>
      <c r="I2098" s="1" t="s">
        <v>1065</v>
      </c>
      <c r="J2098" s="1" t="s">
        <v>1029</v>
      </c>
      <c r="K2098" s="1" t="s">
        <v>3392</v>
      </c>
      <c r="L2098" s="1" t="s">
        <v>1171</v>
      </c>
      <c r="M2098" s="1" t="s">
        <v>1190</v>
      </c>
      <c r="N2098">
        <f>_xlfn.NUMBERVALUE(LEFT(Table11[[#This Row],[Score]],FIND("/",Table11[[#This Row],[Score]])-1))</f>
        <v>196</v>
      </c>
      <c r="O2098">
        <f>IFERROR(_xlfn.NUMBERVALUE(LEFT(Table11[[#This Row],[Score2 ]],FIND("/",Table11[[#This Row],[Score2 ]])-1)),"")</f>
        <v>223</v>
      </c>
      <c r="P2098" t="s">
        <v>181</v>
      </c>
      <c r="Q2098" s="1" t="s">
        <v>140</v>
      </c>
      <c r="R2098" t="str">
        <f>Table11[[#This Row],[Match]]&amp;" "&amp;Table11[[#This Row],[Over]]</f>
        <v>37 42</v>
      </c>
    </row>
    <row r="2099" spans="1:18" x14ac:dyDescent="0.3">
      <c r="A2099">
        <v>37</v>
      </c>
      <c r="B2099" s="1">
        <v>43</v>
      </c>
      <c r="C2099" s="1" t="s">
        <v>4085</v>
      </c>
      <c r="D2099" s="1" t="s">
        <v>1390</v>
      </c>
      <c r="E2099" s="1" t="s">
        <v>1312</v>
      </c>
      <c r="F2099" s="1" t="s">
        <v>1053</v>
      </c>
      <c r="G2099" s="1" t="s">
        <v>4086</v>
      </c>
      <c r="H2099" s="1" t="s">
        <v>1103</v>
      </c>
      <c r="I2099" s="1" t="s">
        <v>1166</v>
      </c>
      <c r="J2099" s="1" t="s">
        <v>966</v>
      </c>
      <c r="K2099" s="1" t="s">
        <v>3201</v>
      </c>
      <c r="L2099" s="1" t="s">
        <v>1183</v>
      </c>
      <c r="M2099" s="1" t="s">
        <v>1197</v>
      </c>
      <c r="N2099">
        <f>_xlfn.NUMBERVALUE(LEFT(Table11[[#This Row],[Score]],FIND("/",Table11[[#This Row],[Score]])-1))</f>
        <v>209</v>
      </c>
      <c r="O2099">
        <f>IFERROR(_xlfn.NUMBERVALUE(LEFT(Table11[[#This Row],[Score2 ]],FIND("/",Table11[[#This Row],[Score2 ]])-1)),"")</f>
        <v>235</v>
      </c>
      <c r="P2099" t="s">
        <v>181</v>
      </c>
      <c r="Q2099" s="1" t="s">
        <v>140</v>
      </c>
      <c r="R2099" t="str">
        <f>Table11[[#This Row],[Match]]&amp;" "&amp;Table11[[#This Row],[Over]]</f>
        <v>37 43</v>
      </c>
    </row>
    <row r="2100" spans="1:18" x14ac:dyDescent="0.3">
      <c r="A2100">
        <v>37</v>
      </c>
      <c r="B2100" s="1">
        <v>44</v>
      </c>
      <c r="C2100" s="1" t="s">
        <v>4087</v>
      </c>
      <c r="D2100" s="1" t="s">
        <v>916</v>
      </c>
      <c r="E2100" s="1" t="s">
        <v>1045</v>
      </c>
      <c r="F2100" s="1" t="s">
        <v>1053</v>
      </c>
      <c r="G2100" s="1" t="s">
        <v>2305</v>
      </c>
      <c r="H2100" s="1" t="s">
        <v>950</v>
      </c>
      <c r="I2100" s="1" t="s">
        <v>1599</v>
      </c>
      <c r="J2100" s="1" t="s">
        <v>1019</v>
      </c>
      <c r="K2100" s="1" t="s">
        <v>1540</v>
      </c>
      <c r="L2100" s="1" t="s">
        <v>2313</v>
      </c>
      <c r="M2100" s="1" t="s">
        <v>1205</v>
      </c>
      <c r="N2100">
        <f>_xlfn.NUMBERVALUE(LEFT(Table11[[#This Row],[Score]],FIND("/",Table11[[#This Row],[Score]])-1))</f>
        <v>216</v>
      </c>
      <c r="O2100">
        <f>IFERROR(_xlfn.NUMBERVALUE(LEFT(Table11[[#This Row],[Score2 ]],FIND("/",Table11[[#This Row],[Score2 ]])-1)),"")</f>
        <v>240</v>
      </c>
      <c r="P2100" t="s">
        <v>181</v>
      </c>
      <c r="Q2100" s="1" t="s">
        <v>140</v>
      </c>
      <c r="R2100" t="str">
        <f>Table11[[#This Row],[Match]]&amp;" "&amp;Table11[[#This Row],[Over]]</f>
        <v>37 44</v>
      </c>
    </row>
    <row r="2101" spans="1:18" x14ac:dyDescent="0.3">
      <c r="A2101">
        <v>37</v>
      </c>
      <c r="B2101" s="1">
        <v>45</v>
      </c>
      <c r="C2101" s="1" t="s">
        <v>2300</v>
      </c>
      <c r="D2101" s="1" t="s">
        <v>933</v>
      </c>
      <c r="E2101" s="1" t="s">
        <v>1643</v>
      </c>
      <c r="F2101" s="1" t="s">
        <v>1200</v>
      </c>
      <c r="G2101" s="1" t="s">
        <v>4088</v>
      </c>
      <c r="H2101" s="1" t="s">
        <v>947</v>
      </c>
      <c r="I2101" s="1" t="s">
        <v>1603</v>
      </c>
      <c r="J2101" s="1" t="s">
        <v>1508</v>
      </c>
      <c r="K2101" s="1" t="s">
        <v>1089</v>
      </c>
      <c r="L2101" s="1" t="s">
        <v>3929</v>
      </c>
      <c r="M2101" s="1" t="s">
        <v>1211</v>
      </c>
      <c r="N2101">
        <f>_xlfn.NUMBERVALUE(LEFT(Table11[[#This Row],[Score]],FIND("/",Table11[[#This Row],[Score]])-1))</f>
        <v>230</v>
      </c>
      <c r="O2101">
        <f>IFERROR(_xlfn.NUMBERVALUE(LEFT(Table11[[#This Row],[Score2 ]],FIND("/",Table11[[#This Row],[Score2 ]])-1)),"")</f>
        <v>249</v>
      </c>
      <c r="P2101" t="s">
        <v>181</v>
      </c>
      <c r="Q2101" s="1" t="s">
        <v>140</v>
      </c>
      <c r="R2101" t="str">
        <f>Table11[[#This Row],[Match]]&amp;" "&amp;Table11[[#This Row],[Over]]</f>
        <v>37 45</v>
      </c>
    </row>
    <row r="2102" spans="1:18" x14ac:dyDescent="0.3">
      <c r="A2102">
        <v>37</v>
      </c>
      <c r="B2102" s="1">
        <v>46</v>
      </c>
      <c r="C2102" s="1" t="s">
        <v>2680</v>
      </c>
      <c r="D2102" s="1" t="s">
        <v>930</v>
      </c>
      <c r="E2102" s="1" t="s">
        <v>1573</v>
      </c>
      <c r="F2102" s="1" t="s">
        <v>1161</v>
      </c>
      <c r="G2102" s="1" t="s">
        <v>3333</v>
      </c>
      <c r="H2102" s="1" t="s">
        <v>916</v>
      </c>
      <c r="I2102" s="1" t="s">
        <v>1607</v>
      </c>
      <c r="J2102" s="1" t="s">
        <v>1068</v>
      </c>
      <c r="K2102" s="1" t="s">
        <v>3392</v>
      </c>
      <c r="L2102" s="1" t="s">
        <v>2572</v>
      </c>
      <c r="M2102" s="1" t="s">
        <v>1216</v>
      </c>
      <c r="N2102">
        <f>_xlfn.NUMBERVALUE(LEFT(Table11[[#This Row],[Score]],FIND("/",Table11[[#This Row],[Score]])-1))</f>
        <v>238</v>
      </c>
      <c r="O2102">
        <f>IFERROR(_xlfn.NUMBERVALUE(LEFT(Table11[[#This Row],[Score2 ]],FIND("/",Table11[[#This Row],[Score2 ]])-1)),"")</f>
        <v>256</v>
      </c>
      <c r="P2102" t="s">
        <v>181</v>
      </c>
      <c r="Q2102" s="1" t="s">
        <v>140</v>
      </c>
      <c r="R2102" t="str">
        <f>Table11[[#This Row],[Match]]&amp;" "&amp;Table11[[#This Row],[Over]]</f>
        <v>37 46</v>
      </c>
    </row>
    <row r="2103" spans="1:18" x14ac:dyDescent="0.3">
      <c r="A2103">
        <v>37</v>
      </c>
      <c r="B2103" s="1">
        <v>47</v>
      </c>
      <c r="C2103" s="1" t="s">
        <v>3888</v>
      </c>
      <c r="D2103" s="1" t="s">
        <v>1511</v>
      </c>
      <c r="E2103" s="1" t="s">
        <v>966</v>
      </c>
      <c r="F2103" s="1" t="s">
        <v>1591</v>
      </c>
      <c r="G2103" s="1" t="s">
        <v>2742</v>
      </c>
      <c r="H2103" s="1" t="s">
        <v>916</v>
      </c>
      <c r="I2103" s="1" t="s">
        <v>1185</v>
      </c>
      <c r="J2103" s="1" t="s">
        <v>1089</v>
      </c>
      <c r="K2103" s="1" t="s">
        <v>1549</v>
      </c>
      <c r="L2103" s="1" t="s">
        <v>1704</v>
      </c>
      <c r="M2103" s="1" t="s">
        <v>1223</v>
      </c>
      <c r="N2103">
        <f>_xlfn.NUMBERVALUE(LEFT(Table11[[#This Row],[Score]],FIND("/",Table11[[#This Row],[Score]])-1))</f>
        <v>254</v>
      </c>
      <c r="O2103">
        <f>IFERROR(_xlfn.NUMBERVALUE(LEFT(Table11[[#This Row],[Score2 ]],FIND("/",Table11[[#This Row],[Score2 ]])-1)),"")</f>
        <v>263</v>
      </c>
      <c r="P2103" t="s">
        <v>181</v>
      </c>
      <c r="Q2103" s="1" t="s">
        <v>140</v>
      </c>
      <c r="R2103" t="str">
        <f>Table11[[#This Row],[Match]]&amp;" "&amp;Table11[[#This Row],[Over]]</f>
        <v>37 47</v>
      </c>
    </row>
    <row r="2104" spans="1:18" x14ac:dyDescent="0.3">
      <c r="A2104">
        <v>37</v>
      </c>
      <c r="B2104" s="1">
        <v>48</v>
      </c>
      <c r="C2104" s="1" t="s">
        <v>4089</v>
      </c>
      <c r="D2104" s="1" t="s">
        <v>1051</v>
      </c>
      <c r="E2104" s="1" t="s">
        <v>1677</v>
      </c>
      <c r="F2104" s="1" t="s">
        <v>1207</v>
      </c>
      <c r="G2104" s="1" t="s">
        <v>4090</v>
      </c>
      <c r="H2104" s="1" t="s">
        <v>1147</v>
      </c>
      <c r="I2104" s="1" t="s">
        <v>2472</v>
      </c>
      <c r="J2104" s="1" t="s">
        <v>1414</v>
      </c>
      <c r="K2104" s="1" t="s">
        <v>959</v>
      </c>
      <c r="L2104" s="1" t="s">
        <v>1051</v>
      </c>
      <c r="M2104" s="1" t="s">
        <v>1103</v>
      </c>
      <c r="N2104">
        <f>_xlfn.NUMBERVALUE(LEFT(Table11[[#This Row],[Score]],FIND("/",Table11[[#This Row],[Score]])-1))</f>
        <v>265</v>
      </c>
      <c r="O2104">
        <f>IFERROR(_xlfn.NUMBERVALUE(LEFT(Table11[[#This Row],[Score2 ]],FIND("/",Table11[[#This Row],[Score2 ]])-1)),"")</f>
        <v>278</v>
      </c>
      <c r="P2104" t="s">
        <v>181</v>
      </c>
      <c r="Q2104" s="1" t="s">
        <v>140</v>
      </c>
      <c r="R2104" t="str">
        <f>Table11[[#This Row],[Match]]&amp;" "&amp;Table11[[#This Row],[Over]]</f>
        <v>37 48</v>
      </c>
    </row>
    <row r="2105" spans="1:18" x14ac:dyDescent="0.3">
      <c r="A2105">
        <v>37</v>
      </c>
      <c r="B2105" s="1">
        <v>49</v>
      </c>
      <c r="C2105" s="1" t="s">
        <v>4091</v>
      </c>
      <c r="D2105" s="1" t="s">
        <v>916</v>
      </c>
      <c r="E2105" s="1" t="s">
        <v>1682</v>
      </c>
      <c r="F2105" s="1" t="s">
        <v>1207</v>
      </c>
      <c r="G2105" s="1" t="s">
        <v>4092</v>
      </c>
      <c r="H2105" s="1" t="s">
        <v>4093</v>
      </c>
      <c r="I2105" s="1" t="s">
        <v>4094</v>
      </c>
      <c r="J2105" s="1" t="s">
        <v>4095</v>
      </c>
      <c r="K2105" s="1" t="s">
        <v>1622</v>
      </c>
      <c r="L2105" s="1" t="s">
        <v>1007</v>
      </c>
      <c r="M2105" s="1" t="s">
        <v>916</v>
      </c>
      <c r="N2105">
        <f>_xlfn.NUMBERVALUE(LEFT(Table11[[#This Row],[Score]],FIND("/",Table11[[#This Row],[Score]])-1))</f>
        <v>272</v>
      </c>
      <c r="O2105">
        <f>IFERROR(_xlfn.NUMBERVALUE(LEFT(Table11[[#This Row],[Score2 ]],FIND("/",Table11[[#This Row],[Score2 ]])-1)),"")</f>
        <v>290</v>
      </c>
      <c r="P2105" t="s">
        <v>181</v>
      </c>
      <c r="Q2105" s="1" t="s">
        <v>140</v>
      </c>
      <c r="R2105" t="str">
        <f>Table11[[#This Row],[Match]]&amp;" "&amp;Table11[[#This Row],[Over]]</f>
        <v>37 49</v>
      </c>
    </row>
    <row r="2106" spans="1:18" x14ac:dyDescent="0.3">
      <c r="A2106">
        <v>37</v>
      </c>
      <c r="B2106" s="1">
        <v>50</v>
      </c>
      <c r="C2106" s="1" t="s">
        <v>4096</v>
      </c>
      <c r="D2106" s="1" t="s">
        <v>1511</v>
      </c>
      <c r="E2106" s="1" t="s">
        <v>1610</v>
      </c>
      <c r="F2106" s="1" t="s">
        <v>1591</v>
      </c>
      <c r="N2106">
        <f>_xlfn.NUMBERVALUE(LEFT(Table11[[#This Row],[Score]],FIND("/",Table11[[#This Row],[Score]])-1))</f>
        <v>288</v>
      </c>
      <c r="O2106" t="str">
        <f>IFERROR(_xlfn.NUMBERVALUE(LEFT(Table11[[#This Row],[Score2 ]],FIND("/",Table11[[#This Row],[Score2 ]])-1)),"")</f>
        <v/>
      </c>
      <c r="P2106" t="s">
        <v>181</v>
      </c>
      <c r="Q2106" s="1" t="s">
        <v>140</v>
      </c>
      <c r="R2106" t="str">
        <f>Table11[[#This Row],[Match]]&amp;" "&amp;Table11[[#This Row],[Over]]</f>
        <v>37 50</v>
      </c>
    </row>
    <row r="2107" spans="1:18" x14ac:dyDescent="0.3">
      <c r="A2107">
        <v>38</v>
      </c>
      <c r="B2107" s="1">
        <v>1</v>
      </c>
      <c r="C2107" s="1" t="s">
        <v>1232</v>
      </c>
      <c r="D2107" s="1" t="s">
        <v>922</v>
      </c>
      <c r="E2107" s="1" t="s">
        <v>1019</v>
      </c>
      <c r="F2107" s="1" t="s">
        <v>348</v>
      </c>
      <c r="G2107" s="1" t="s">
        <v>903</v>
      </c>
      <c r="H2107" s="1" t="s">
        <v>950</v>
      </c>
      <c r="I2107" s="1" t="s">
        <v>969</v>
      </c>
      <c r="J2107" s="1" t="s">
        <v>348</v>
      </c>
      <c r="K2107" s="1" t="s">
        <v>1505</v>
      </c>
      <c r="L2107" s="1" t="s">
        <v>2752</v>
      </c>
      <c r="M2107" s="1" t="s">
        <v>1090</v>
      </c>
      <c r="N2107">
        <f>_xlfn.NUMBERVALUE(LEFT(Table11[[#This Row],[Score]],FIND("/",Table11[[#This Row],[Score]])-1))</f>
        <v>6</v>
      </c>
      <c r="O2107">
        <f>IFERROR(_xlfn.NUMBERVALUE(LEFT(Table11[[#This Row],[Score2 ]],FIND("/",Table11[[#This Row],[Score2 ]])-1)),"")</f>
        <v>5</v>
      </c>
      <c r="P2107" t="s">
        <v>185</v>
      </c>
      <c r="Q2107" s="1" t="s">
        <v>154</v>
      </c>
      <c r="R2107" t="str">
        <f>Table11[[#This Row],[Match]]&amp;" "&amp;Table11[[#This Row],[Over]]</f>
        <v>38 1</v>
      </c>
    </row>
    <row r="2108" spans="1:18" x14ac:dyDescent="0.3">
      <c r="A2108">
        <v>38</v>
      </c>
      <c r="B2108" s="1">
        <v>2</v>
      </c>
      <c r="C2108" s="1" t="s">
        <v>1421</v>
      </c>
      <c r="D2108" s="1" t="s">
        <v>998</v>
      </c>
      <c r="E2108" s="1" t="s">
        <v>969</v>
      </c>
      <c r="F2108" s="1" t="s">
        <v>348</v>
      </c>
      <c r="G2108" s="1" t="s">
        <v>1970</v>
      </c>
      <c r="H2108" s="1" t="s">
        <v>1103</v>
      </c>
      <c r="I2108" s="1" t="s">
        <v>2100</v>
      </c>
      <c r="J2108" s="1" t="s">
        <v>348</v>
      </c>
      <c r="K2108" s="1" t="s">
        <v>1897</v>
      </c>
      <c r="L2108" s="1" t="s">
        <v>1150</v>
      </c>
      <c r="M2108" s="1" t="s">
        <v>1098</v>
      </c>
      <c r="N2108">
        <f>_xlfn.NUMBERVALUE(LEFT(Table11[[#This Row],[Score]],FIND("/",Table11[[#This Row],[Score]])-1))</f>
        <v>10</v>
      </c>
      <c r="O2108">
        <f>IFERROR(_xlfn.NUMBERVALUE(LEFT(Table11[[#This Row],[Score2 ]],FIND("/",Table11[[#This Row],[Score2 ]])-1)),"")</f>
        <v>17</v>
      </c>
      <c r="P2108" t="s">
        <v>185</v>
      </c>
      <c r="Q2108" s="1" t="s">
        <v>154</v>
      </c>
      <c r="R2108" t="str">
        <f>Table11[[#This Row],[Match]]&amp;" "&amp;Table11[[#This Row],[Over]]</f>
        <v>38 2</v>
      </c>
    </row>
    <row r="2109" spans="1:18" x14ac:dyDescent="0.3">
      <c r="A2109">
        <v>38</v>
      </c>
      <c r="B2109" s="1">
        <v>3</v>
      </c>
      <c r="C2109" s="1" t="s">
        <v>915</v>
      </c>
      <c r="D2109" s="1" t="s">
        <v>968</v>
      </c>
      <c r="E2109" s="1" t="s">
        <v>917</v>
      </c>
      <c r="F2109" s="1" t="s">
        <v>348</v>
      </c>
      <c r="G2109" s="1" t="s">
        <v>938</v>
      </c>
      <c r="H2109" s="1" t="s">
        <v>916</v>
      </c>
      <c r="I2109" s="1" t="s">
        <v>1089</v>
      </c>
      <c r="J2109" s="1" t="s">
        <v>348</v>
      </c>
      <c r="K2109" s="1" t="s">
        <v>925</v>
      </c>
      <c r="L2109" s="1" t="s">
        <v>1222</v>
      </c>
      <c r="M2109" s="1" t="s">
        <v>1101</v>
      </c>
      <c r="N2109">
        <f>_xlfn.NUMBERVALUE(LEFT(Table11[[#This Row],[Score]],FIND("/",Table11[[#This Row],[Score]])-1))</f>
        <v>11</v>
      </c>
      <c r="O2109">
        <f>IFERROR(_xlfn.NUMBERVALUE(LEFT(Table11[[#This Row],[Score2 ]],FIND("/",Table11[[#This Row],[Score2 ]])-1)),"")</f>
        <v>24</v>
      </c>
      <c r="P2109" t="s">
        <v>185</v>
      </c>
      <c r="Q2109" s="1" t="s">
        <v>154</v>
      </c>
      <c r="R2109" t="str">
        <f>Table11[[#This Row],[Match]]&amp;" "&amp;Table11[[#This Row],[Over]]</f>
        <v>38 3</v>
      </c>
    </row>
    <row r="2110" spans="1:18" x14ac:dyDescent="0.3">
      <c r="A2110">
        <v>38</v>
      </c>
      <c r="B2110" s="1">
        <v>4</v>
      </c>
      <c r="C2110" s="1" t="s">
        <v>1239</v>
      </c>
      <c r="D2110" s="1" t="s">
        <v>968</v>
      </c>
      <c r="E2110" s="1" t="s">
        <v>1238</v>
      </c>
      <c r="F2110" s="1" t="s">
        <v>348</v>
      </c>
      <c r="G2110" s="1" t="s">
        <v>1631</v>
      </c>
      <c r="H2110" s="1" t="s">
        <v>968</v>
      </c>
      <c r="I2110" s="1" t="s">
        <v>1448</v>
      </c>
      <c r="J2110" s="1" t="s">
        <v>348</v>
      </c>
      <c r="K2110" s="1" t="s">
        <v>3084</v>
      </c>
      <c r="L2110" s="1" t="s">
        <v>1900</v>
      </c>
      <c r="M2110" s="1" t="s">
        <v>1108</v>
      </c>
      <c r="N2110">
        <f>_xlfn.NUMBERVALUE(LEFT(Table11[[#This Row],[Score]],FIND("/",Table11[[#This Row],[Score]])-1))</f>
        <v>12</v>
      </c>
      <c r="O2110">
        <f>IFERROR(_xlfn.NUMBERVALUE(LEFT(Table11[[#This Row],[Score2 ]],FIND("/",Table11[[#This Row],[Score2 ]])-1)),"")</f>
        <v>25</v>
      </c>
      <c r="P2110" t="s">
        <v>185</v>
      </c>
      <c r="Q2110" s="1" t="s">
        <v>154</v>
      </c>
      <c r="R2110" t="str">
        <f>Table11[[#This Row],[Match]]&amp;" "&amp;Table11[[#This Row],[Over]]</f>
        <v>38 4</v>
      </c>
    </row>
    <row r="2111" spans="1:18" x14ac:dyDescent="0.3">
      <c r="A2111">
        <v>38</v>
      </c>
      <c r="B2111" s="1">
        <v>5</v>
      </c>
      <c r="C2111" s="1" t="s">
        <v>921</v>
      </c>
      <c r="D2111" s="1" t="s">
        <v>968</v>
      </c>
      <c r="E2111" s="1" t="s">
        <v>984</v>
      </c>
      <c r="F2111" s="1" t="s">
        <v>984</v>
      </c>
      <c r="G2111" s="1" t="s">
        <v>2330</v>
      </c>
      <c r="H2111" s="1" t="s">
        <v>916</v>
      </c>
      <c r="I2111" s="1" t="s">
        <v>943</v>
      </c>
      <c r="J2111" s="1" t="s">
        <v>943</v>
      </c>
      <c r="K2111" s="1" t="s">
        <v>2609</v>
      </c>
      <c r="L2111" s="1" t="s">
        <v>1640</v>
      </c>
      <c r="M2111" s="1" t="s">
        <v>1113</v>
      </c>
      <c r="N2111">
        <f>_xlfn.NUMBERVALUE(LEFT(Table11[[#This Row],[Score]],FIND("/",Table11[[#This Row],[Score]])-1))</f>
        <v>13</v>
      </c>
      <c r="O2111">
        <f>IFERROR(_xlfn.NUMBERVALUE(LEFT(Table11[[#This Row],[Score2 ]],FIND("/",Table11[[#This Row],[Score2 ]])-1)),"")</f>
        <v>32</v>
      </c>
      <c r="P2111" t="s">
        <v>185</v>
      </c>
      <c r="Q2111" s="1" t="s">
        <v>154</v>
      </c>
      <c r="R2111" t="str">
        <f>Table11[[#This Row],[Match]]&amp;" "&amp;Table11[[#This Row],[Over]]</f>
        <v>38 5</v>
      </c>
    </row>
    <row r="2112" spans="1:18" x14ac:dyDescent="0.3">
      <c r="A2112">
        <v>38</v>
      </c>
      <c r="B2112" s="1">
        <v>6</v>
      </c>
      <c r="C2112" s="1" t="s">
        <v>1725</v>
      </c>
      <c r="D2112" s="1" t="s">
        <v>904</v>
      </c>
      <c r="E2112" s="1" t="s">
        <v>1642</v>
      </c>
      <c r="F2112" s="1" t="s">
        <v>899</v>
      </c>
      <c r="G2112" s="1" t="s">
        <v>1736</v>
      </c>
      <c r="H2112" s="1" t="s">
        <v>998</v>
      </c>
      <c r="I2112" s="1" t="s">
        <v>1019</v>
      </c>
      <c r="J2112" s="1" t="s">
        <v>970</v>
      </c>
      <c r="K2112" s="1" t="s">
        <v>1490</v>
      </c>
      <c r="L2112" s="1" t="s">
        <v>1910</v>
      </c>
      <c r="M2112" s="1" t="s">
        <v>1121</v>
      </c>
      <c r="N2112">
        <f>_xlfn.NUMBERVALUE(LEFT(Table11[[#This Row],[Score]],FIND("/",Table11[[#This Row],[Score]])-1))</f>
        <v>16</v>
      </c>
      <c r="O2112">
        <f>IFERROR(_xlfn.NUMBERVALUE(LEFT(Table11[[#This Row],[Score2 ]],FIND("/",Table11[[#This Row],[Score2 ]])-1)),"")</f>
        <v>36</v>
      </c>
      <c r="P2112" t="s">
        <v>185</v>
      </c>
      <c r="Q2112" s="1" t="s">
        <v>154</v>
      </c>
      <c r="R2112" t="str">
        <f>Table11[[#This Row],[Match]]&amp;" "&amp;Table11[[#This Row],[Over]]</f>
        <v>38 6</v>
      </c>
    </row>
    <row r="2113" spans="1:18" x14ac:dyDescent="0.3">
      <c r="A2113">
        <v>38</v>
      </c>
      <c r="B2113" s="1">
        <v>7</v>
      </c>
      <c r="C2113" s="1" t="s">
        <v>2331</v>
      </c>
      <c r="D2113" s="1" t="s">
        <v>998</v>
      </c>
      <c r="E2113" s="1" t="s">
        <v>1809</v>
      </c>
      <c r="F2113" s="1" t="s">
        <v>899</v>
      </c>
      <c r="G2113" s="1" t="s">
        <v>1739</v>
      </c>
      <c r="H2113" s="1" t="s">
        <v>930</v>
      </c>
      <c r="I2113" s="1" t="s">
        <v>2440</v>
      </c>
      <c r="J2113" s="1" t="s">
        <v>966</v>
      </c>
      <c r="K2113" s="1" t="s">
        <v>1251</v>
      </c>
      <c r="L2113" s="1" t="s">
        <v>1645</v>
      </c>
      <c r="M2113" s="1" t="s">
        <v>1127</v>
      </c>
      <c r="N2113">
        <f>_xlfn.NUMBERVALUE(LEFT(Table11[[#This Row],[Score]],FIND("/",Table11[[#This Row],[Score]])-1))</f>
        <v>20</v>
      </c>
      <c r="O2113">
        <f>IFERROR(_xlfn.NUMBERVALUE(LEFT(Table11[[#This Row],[Score2 ]],FIND("/",Table11[[#This Row],[Score2 ]])-1)),"")</f>
        <v>44</v>
      </c>
      <c r="P2113" t="s">
        <v>185</v>
      </c>
      <c r="Q2113" s="1" t="s">
        <v>154</v>
      </c>
      <c r="R2113" t="str">
        <f>Table11[[#This Row],[Match]]&amp;" "&amp;Table11[[#This Row],[Over]]</f>
        <v>38 7</v>
      </c>
    </row>
    <row r="2114" spans="1:18" x14ac:dyDescent="0.3">
      <c r="A2114">
        <v>38</v>
      </c>
      <c r="B2114" s="1">
        <v>8</v>
      </c>
      <c r="C2114" s="1" t="s">
        <v>1854</v>
      </c>
      <c r="D2114" s="1" t="s">
        <v>1007</v>
      </c>
      <c r="E2114" s="1" t="s">
        <v>905</v>
      </c>
      <c r="F2114" s="1" t="s">
        <v>1636</v>
      </c>
      <c r="G2114" s="1" t="s">
        <v>1734</v>
      </c>
      <c r="H2114" s="1" t="s">
        <v>904</v>
      </c>
      <c r="I2114" s="1" t="s">
        <v>2334</v>
      </c>
      <c r="J2114" s="1" t="s">
        <v>976</v>
      </c>
      <c r="K2114" s="1" t="s">
        <v>2453</v>
      </c>
      <c r="L2114" s="1" t="s">
        <v>1183</v>
      </c>
      <c r="M2114" s="1" t="s">
        <v>1132</v>
      </c>
      <c r="N2114">
        <f>_xlfn.NUMBERVALUE(LEFT(Table11[[#This Row],[Score]],FIND("/",Table11[[#This Row],[Score]])-1))</f>
        <v>20</v>
      </c>
      <c r="O2114">
        <f>IFERROR(_xlfn.NUMBERVALUE(LEFT(Table11[[#This Row],[Score2 ]],FIND("/",Table11[[#This Row],[Score2 ]])-1)),"")</f>
        <v>47</v>
      </c>
      <c r="P2114" t="s">
        <v>185</v>
      </c>
      <c r="Q2114" s="1" t="s">
        <v>154</v>
      </c>
      <c r="R2114" t="str">
        <f>Table11[[#This Row],[Match]]&amp;" "&amp;Table11[[#This Row],[Over]]</f>
        <v>38 8</v>
      </c>
    </row>
    <row r="2115" spans="1:18" x14ac:dyDescent="0.3">
      <c r="A2115">
        <v>38</v>
      </c>
      <c r="B2115" s="1">
        <v>9</v>
      </c>
      <c r="C2115" s="1" t="s">
        <v>1641</v>
      </c>
      <c r="D2115" s="1" t="s">
        <v>998</v>
      </c>
      <c r="E2115" s="1" t="s">
        <v>1642</v>
      </c>
      <c r="F2115" s="1" t="s">
        <v>1088</v>
      </c>
      <c r="G2115" s="1" t="s">
        <v>2108</v>
      </c>
      <c r="H2115" s="1" t="s">
        <v>950</v>
      </c>
      <c r="I2115" s="1" t="s">
        <v>2424</v>
      </c>
      <c r="J2115" s="1" t="s">
        <v>966</v>
      </c>
      <c r="K2115" s="1" t="s">
        <v>4097</v>
      </c>
      <c r="L2115" s="1" t="s">
        <v>2313</v>
      </c>
      <c r="M2115" s="1" t="s">
        <v>1138</v>
      </c>
      <c r="N2115">
        <f>_xlfn.NUMBERVALUE(LEFT(Table11[[#This Row],[Score]],FIND("/",Table11[[#This Row],[Score]])-1))</f>
        <v>24</v>
      </c>
      <c r="O2115">
        <f>IFERROR(_xlfn.NUMBERVALUE(LEFT(Table11[[#This Row],[Score2 ]],FIND("/",Table11[[#This Row],[Score2 ]])-1)),"")</f>
        <v>52</v>
      </c>
      <c r="P2115" t="s">
        <v>185</v>
      </c>
      <c r="Q2115" s="1" t="s">
        <v>154</v>
      </c>
      <c r="R2115" t="str">
        <f>Table11[[#This Row],[Match]]&amp;" "&amp;Table11[[#This Row],[Over]]</f>
        <v>38 9</v>
      </c>
    </row>
    <row r="2116" spans="1:18" x14ac:dyDescent="0.3">
      <c r="A2116">
        <v>38</v>
      </c>
      <c r="B2116" s="1">
        <v>10</v>
      </c>
      <c r="C2116" s="1" t="s">
        <v>1641</v>
      </c>
      <c r="D2116" s="1" t="s">
        <v>1007</v>
      </c>
      <c r="E2116" s="1" t="s">
        <v>1088</v>
      </c>
      <c r="F2116" s="1" t="s">
        <v>1383</v>
      </c>
      <c r="G2116" s="1" t="s">
        <v>1990</v>
      </c>
      <c r="H2116" s="1" t="s">
        <v>916</v>
      </c>
      <c r="I2116" s="1" t="s">
        <v>1407</v>
      </c>
      <c r="J2116" s="1" t="s">
        <v>966</v>
      </c>
      <c r="K2116" s="1" t="s">
        <v>993</v>
      </c>
      <c r="L2116" s="1" t="s">
        <v>1197</v>
      </c>
      <c r="M2116" s="1" t="s">
        <v>1143</v>
      </c>
      <c r="N2116">
        <f>_xlfn.NUMBERVALUE(LEFT(Table11[[#This Row],[Score]],FIND("/",Table11[[#This Row],[Score]])-1))</f>
        <v>24</v>
      </c>
      <c r="O2116">
        <f>IFERROR(_xlfn.NUMBERVALUE(LEFT(Table11[[#This Row],[Score2 ]],FIND("/",Table11[[#This Row],[Score2 ]])-1)),"")</f>
        <v>59</v>
      </c>
      <c r="P2116" t="s">
        <v>185</v>
      </c>
      <c r="Q2116" s="1" t="s">
        <v>154</v>
      </c>
      <c r="R2116" t="str">
        <f>Table11[[#This Row],[Match]]&amp;" "&amp;Table11[[#This Row],[Over]]</f>
        <v>38 10</v>
      </c>
    </row>
    <row r="2117" spans="1:18" x14ac:dyDescent="0.3">
      <c r="A2117">
        <v>38</v>
      </c>
      <c r="B2117" s="1">
        <v>11</v>
      </c>
      <c r="C2117" s="1" t="s">
        <v>1857</v>
      </c>
      <c r="D2117" s="1" t="s">
        <v>968</v>
      </c>
      <c r="E2117" s="1" t="s">
        <v>2611</v>
      </c>
      <c r="F2117" s="1" t="s">
        <v>1636</v>
      </c>
      <c r="G2117" s="1" t="s">
        <v>1741</v>
      </c>
      <c r="H2117" s="1" t="s">
        <v>904</v>
      </c>
      <c r="I2117" s="1" t="s">
        <v>2133</v>
      </c>
      <c r="J2117" s="1" t="s">
        <v>1029</v>
      </c>
      <c r="K2117" s="1" t="s">
        <v>2622</v>
      </c>
      <c r="L2117" s="1" t="s">
        <v>1604</v>
      </c>
      <c r="M2117" s="1" t="s">
        <v>1150</v>
      </c>
      <c r="N2117">
        <f>_xlfn.NUMBERVALUE(LEFT(Table11[[#This Row],[Score]],FIND("/",Table11[[#This Row],[Score]])-1))</f>
        <v>25</v>
      </c>
      <c r="O2117">
        <f>IFERROR(_xlfn.NUMBERVALUE(LEFT(Table11[[#This Row],[Score2 ]],FIND("/",Table11[[#This Row],[Score2 ]])-1)),"")</f>
        <v>62</v>
      </c>
      <c r="P2117" t="s">
        <v>185</v>
      </c>
      <c r="Q2117" s="1" t="s">
        <v>154</v>
      </c>
      <c r="R2117" t="str">
        <f>Table11[[#This Row],[Match]]&amp;" "&amp;Table11[[#This Row],[Over]]</f>
        <v>38 11</v>
      </c>
    </row>
    <row r="2118" spans="1:18" x14ac:dyDescent="0.3">
      <c r="A2118">
        <v>38</v>
      </c>
      <c r="B2118" s="1">
        <v>12</v>
      </c>
      <c r="C2118" s="1" t="s">
        <v>3607</v>
      </c>
      <c r="D2118" s="1" t="s">
        <v>968</v>
      </c>
      <c r="E2118" s="1" t="s">
        <v>1430</v>
      </c>
      <c r="F2118" s="1" t="s">
        <v>1439</v>
      </c>
      <c r="G2118" s="1" t="s">
        <v>1749</v>
      </c>
      <c r="H2118" s="1" t="s">
        <v>1103</v>
      </c>
      <c r="I2118" s="1" t="s">
        <v>1233</v>
      </c>
      <c r="J2118" s="1" t="s">
        <v>1019</v>
      </c>
      <c r="K2118" s="1" t="s">
        <v>2539</v>
      </c>
      <c r="L2118" s="1" t="s">
        <v>1706</v>
      </c>
      <c r="M2118" s="1" t="s">
        <v>1156</v>
      </c>
      <c r="N2118">
        <f>_xlfn.NUMBERVALUE(LEFT(Table11[[#This Row],[Score]],FIND("/",Table11[[#This Row],[Score]])-1))</f>
        <v>26</v>
      </c>
      <c r="O2118">
        <f>IFERROR(_xlfn.NUMBERVALUE(LEFT(Table11[[#This Row],[Score2 ]],FIND("/",Table11[[#This Row],[Score2 ]])-1)),"")</f>
        <v>74</v>
      </c>
      <c r="P2118" t="s">
        <v>185</v>
      </c>
      <c r="Q2118" s="1" t="s">
        <v>154</v>
      </c>
      <c r="R2118" t="str">
        <f>Table11[[#This Row],[Match]]&amp;" "&amp;Table11[[#This Row],[Over]]</f>
        <v>38 12</v>
      </c>
    </row>
    <row r="2119" spans="1:18" x14ac:dyDescent="0.3">
      <c r="A2119">
        <v>38</v>
      </c>
      <c r="B2119" s="1">
        <v>13</v>
      </c>
      <c r="C2119" s="1" t="s">
        <v>2876</v>
      </c>
      <c r="D2119" s="1" t="s">
        <v>922</v>
      </c>
      <c r="E2119" s="1" t="s">
        <v>3918</v>
      </c>
      <c r="F2119" s="1" t="s">
        <v>1088</v>
      </c>
      <c r="G2119" s="1" t="s">
        <v>1751</v>
      </c>
      <c r="H2119" s="1" t="s">
        <v>998</v>
      </c>
      <c r="I2119" s="1" t="s">
        <v>1019</v>
      </c>
      <c r="J2119" s="1" t="s">
        <v>970</v>
      </c>
      <c r="K2119" s="1" t="s">
        <v>4098</v>
      </c>
      <c r="L2119" s="1" t="s">
        <v>1698</v>
      </c>
      <c r="M2119" s="1" t="s">
        <v>1164</v>
      </c>
      <c r="N2119">
        <f>_xlfn.NUMBERVALUE(LEFT(Table11[[#This Row],[Score]],FIND("/",Table11[[#This Row],[Score]])-1))</f>
        <v>32</v>
      </c>
      <c r="O2119">
        <f>IFERROR(_xlfn.NUMBERVALUE(LEFT(Table11[[#This Row],[Score2 ]],FIND("/",Table11[[#This Row],[Score2 ]])-1)),"")</f>
        <v>78</v>
      </c>
      <c r="P2119" t="s">
        <v>185</v>
      </c>
      <c r="Q2119" s="1" t="s">
        <v>154</v>
      </c>
      <c r="R2119" t="str">
        <f>Table11[[#This Row],[Match]]&amp;" "&amp;Table11[[#This Row],[Over]]</f>
        <v>38 13</v>
      </c>
    </row>
    <row r="2120" spans="1:18" x14ac:dyDescent="0.3">
      <c r="A2120">
        <v>38</v>
      </c>
      <c r="B2120" s="1">
        <v>14</v>
      </c>
      <c r="C2120" s="1" t="s">
        <v>1655</v>
      </c>
      <c r="D2120" s="1" t="s">
        <v>898</v>
      </c>
      <c r="E2120" s="1" t="s">
        <v>1920</v>
      </c>
      <c r="F2120" s="1" t="s">
        <v>899</v>
      </c>
      <c r="G2120" s="1" t="s">
        <v>4099</v>
      </c>
      <c r="H2120" s="1" t="s">
        <v>922</v>
      </c>
      <c r="I2120" s="1" t="s">
        <v>1019</v>
      </c>
      <c r="J2120" s="1" t="s">
        <v>943</v>
      </c>
      <c r="K2120" s="1" t="s">
        <v>3579</v>
      </c>
      <c r="L2120" s="1" t="s">
        <v>1566</v>
      </c>
      <c r="M2120" s="1" t="s">
        <v>1171</v>
      </c>
      <c r="N2120">
        <f>_xlfn.NUMBERVALUE(LEFT(Table11[[#This Row],[Score]],FIND("/",Table11[[#This Row],[Score]])-1))</f>
        <v>34</v>
      </c>
      <c r="O2120">
        <f>IFERROR(_xlfn.NUMBERVALUE(LEFT(Table11[[#This Row],[Score2 ]],FIND("/",Table11[[#This Row],[Score2 ]])-1)),"")</f>
        <v>84</v>
      </c>
      <c r="P2120" t="s">
        <v>185</v>
      </c>
      <c r="Q2120" s="1" t="s">
        <v>154</v>
      </c>
      <c r="R2120" t="str">
        <f>Table11[[#This Row],[Match]]&amp;" "&amp;Table11[[#This Row],[Over]]</f>
        <v>38 14</v>
      </c>
    </row>
    <row r="2121" spans="1:18" x14ac:dyDescent="0.3">
      <c r="A2121">
        <v>38</v>
      </c>
      <c r="B2121" s="1">
        <v>15</v>
      </c>
      <c r="C2121" s="1" t="s">
        <v>1655</v>
      </c>
      <c r="D2121" s="1" t="s">
        <v>1007</v>
      </c>
      <c r="E2121" s="1" t="s">
        <v>3070</v>
      </c>
      <c r="F2121" s="1" t="s">
        <v>899</v>
      </c>
      <c r="G2121" s="1" t="s">
        <v>1308</v>
      </c>
      <c r="H2121" s="1" t="s">
        <v>904</v>
      </c>
      <c r="I2121" s="1" t="s">
        <v>1013</v>
      </c>
      <c r="J2121" s="1" t="s">
        <v>934</v>
      </c>
      <c r="K2121" s="1" t="s">
        <v>1432</v>
      </c>
      <c r="L2121" s="1" t="s">
        <v>933</v>
      </c>
      <c r="M2121" s="1" t="s">
        <v>1177</v>
      </c>
      <c r="N2121">
        <f>_xlfn.NUMBERVALUE(LEFT(Table11[[#This Row],[Score]],FIND("/",Table11[[#This Row],[Score]])-1))</f>
        <v>34</v>
      </c>
      <c r="O2121">
        <f>IFERROR(_xlfn.NUMBERVALUE(LEFT(Table11[[#This Row],[Score2 ]],FIND("/",Table11[[#This Row],[Score2 ]])-1)),"")</f>
        <v>87</v>
      </c>
      <c r="P2121" t="s">
        <v>185</v>
      </c>
      <c r="Q2121" s="1" t="s">
        <v>154</v>
      </c>
      <c r="R2121" t="str">
        <f>Table11[[#This Row],[Match]]&amp;" "&amp;Table11[[#This Row],[Over]]</f>
        <v>38 15</v>
      </c>
    </row>
    <row r="2122" spans="1:18" x14ac:dyDescent="0.3">
      <c r="A2122">
        <v>38</v>
      </c>
      <c r="B2122" s="1">
        <v>16</v>
      </c>
      <c r="C2122" s="1" t="s">
        <v>4100</v>
      </c>
      <c r="D2122" s="1" t="s">
        <v>1007</v>
      </c>
      <c r="E2122" s="1" t="s">
        <v>3583</v>
      </c>
      <c r="F2122" s="1" t="s">
        <v>1636</v>
      </c>
      <c r="G2122" s="1" t="s">
        <v>1760</v>
      </c>
      <c r="H2122" s="1" t="s">
        <v>998</v>
      </c>
      <c r="I2122" s="1" t="s">
        <v>1761</v>
      </c>
      <c r="J2122" s="1" t="s">
        <v>1013</v>
      </c>
      <c r="K2122" s="1" t="s">
        <v>4101</v>
      </c>
      <c r="L2122" s="1" t="s">
        <v>1095</v>
      </c>
      <c r="M2122" s="1" t="s">
        <v>1183</v>
      </c>
      <c r="N2122">
        <f>_xlfn.NUMBERVALUE(LEFT(Table11[[#This Row],[Score]],FIND("/",Table11[[#This Row],[Score]])-1))</f>
        <v>34</v>
      </c>
      <c r="O2122">
        <f>IFERROR(_xlfn.NUMBERVALUE(LEFT(Table11[[#This Row],[Score2 ]],FIND("/",Table11[[#This Row],[Score2 ]])-1)),"")</f>
        <v>91</v>
      </c>
      <c r="P2122" t="s">
        <v>185</v>
      </c>
      <c r="Q2122" s="1" t="s">
        <v>154</v>
      </c>
      <c r="R2122" t="str">
        <f>Table11[[#This Row],[Match]]&amp;" "&amp;Table11[[#This Row],[Over]]</f>
        <v>38 16</v>
      </c>
    </row>
    <row r="2123" spans="1:18" x14ac:dyDescent="0.3">
      <c r="A2123">
        <v>38</v>
      </c>
      <c r="B2123" s="1">
        <v>17</v>
      </c>
      <c r="C2123" s="1" t="s">
        <v>4102</v>
      </c>
      <c r="D2123" s="1" t="s">
        <v>968</v>
      </c>
      <c r="E2123" s="1" t="s">
        <v>4103</v>
      </c>
      <c r="F2123" s="1" t="s">
        <v>1636</v>
      </c>
      <c r="G2123" s="1" t="s">
        <v>2125</v>
      </c>
      <c r="H2123" s="1" t="s">
        <v>922</v>
      </c>
      <c r="I2123" s="1" t="s">
        <v>2362</v>
      </c>
      <c r="J2123" s="1" t="s">
        <v>976</v>
      </c>
      <c r="K2123" s="1" t="s">
        <v>2527</v>
      </c>
      <c r="L2123" s="1" t="s">
        <v>998</v>
      </c>
      <c r="M2123" s="1" t="s">
        <v>1190</v>
      </c>
      <c r="N2123">
        <f>_xlfn.NUMBERVALUE(LEFT(Table11[[#This Row],[Score]],FIND("/",Table11[[#This Row],[Score]])-1))</f>
        <v>35</v>
      </c>
      <c r="O2123">
        <f>IFERROR(_xlfn.NUMBERVALUE(LEFT(Table11[[#This Row],[Score2 ]],FIND("/",Table11[[#This Row],[Score2 ]])-1)),"")</f>
        <v>97</v>
      </c>
      <c r="P2123" t="s">
        <v>185</v>
      </c>
      <c r="Q2123" s="1" t="s">
        <v>154</v>
      </c>
      <c r="R2123" t="str">
        <f>Table11[[#This Row],[Match]]&amp;" "&amp;Table11[[#This Row],[Over]]</f>
        <v>38 17</v>
      </c>
    </row>
    <row r="2124" spans="1:18" x14ac:dyDescent="0.3">
      <c r="A2124">
        <v>38</v>
      </c>
      <c r="B2124" s="1">
        <v>18</v>
      </c>
      <c r="C2124" s="1" t="s">
        <v>4104</v>
      </c>
      <c r="D2124" s="1" t="s">
        <v>898</v>
      </c>
      <c r="E2124" s="1" t="s">
        <v>4103</v>
      </c>
      <c r="F2124" s="1" t="s">
        <v>1662</v>
      </c>
      <c r="G2124" s="1" t="s">
        <v>1681</v>
      </c>
      <c r="H2124" s="1" t="s">
        <v>904</v>
      </c>
      <c r="I2124" s="1" t="s">
        <v>1682</v>
      </c>
      <c r="J2124" s="1" t="s">
        <v>940</v>
      </c>
      <c r="K2124" s="1" t="s">
        <v>4105</v>
      </c>
      <c r="L2124" s="1" t="s">
        <v>968</v>
      </c>
      <c r="M2124" s="1" t="s">
        <v>1197</v>
      </c>
      <c r="N2124">
        <f>_xlfn.NUMBERVALUE(LEFT(Table11[[#This Row],[Score]],FIND("/",Table11[[#This Row],[Score]])-1))</f>
        <v>37</v>
      </c>
      <c r="O2124">
        <f>IFERROR(_xlfn.NUMBERVALUE(LEFT(Table11[[#This Row],[Score2 ]],FIND("/",Table11[[#This Row],[Score2 ]])-1)),"")</f>
        <v>100</v>
      </c>
      <c r="P2124" t="s">
        <v>185</v>
      </c>
      <c r="Q2124" s="1" t="s">
        <v>154</v>
      </c>
      <c r="R2124" t="str">
        <f>Table11[[#This Row],[Match]]&amp;" "&amp;Table11[[#This Row],[Over]]</f>
        <v>38 18</v>
      </c>
    </row>
    <row r="2125" spans="1:18" x14ac:dyDescent="0.3">
      <c r="A2125">
        <v>38</v>
      </c>
      <c r="B2125" s="1">
        <v>19</v>
      </c>
      <c r="C2125" s="1" t="s">
        <v>1667</v>
      </c>
      <c r="D2125" s="1" t="s">
        <v>998</v>
      </c>
      <c r="E2125" s="1" t="s">
        <v>4106</v>
      </c>
      <c r="F2125" s="1" t="s">
        <v>1432</v>
      </c>
      <c r="G2125" s="1" t="s">
        <v>2352</v>
      </c>
      <c r="H2125" s="1" t="s">
        <v>1615</v>
      </c>
      <c r="I2125" s="1" t="s">
        <v>4107</v>
      </c>
      <c r="J2125" s="1" t="s">
        <v>4108</v>
      </c>
      <c r="K2125" s="1" t="s">
        <v>1622</v>
      </c>
      <c r="L2125" s="1" t="s">
        <v>1007</v>
      </c>
      <c r="M2125" s="1" t="s">
        <v>3370</v>
      </c>
      <c r="N2125">
        <f>_xlfn.NUMBERVALUE(LEFT(Table11[[#This Row],[Score]],FIND("/",Table11[[#This Row],[Score]])-1))</f>
        <v>41</v>
      </c>
      <c r="O2125">
        <f>IFERROR(_xlfn.NUMBERVALUE(LEFT(Table11[[#This Row],[Score2 ]],FIND("/",Table11[[#This Row],[Score2 ]])-1)),"")</f>
        <v>101</v>
      </c>
      <c r="P2125" t="s">
        <v>185</v>
      </c>
      <c r="Q2125" s="1" t="s">
        <v>154</v>
      </c>
      <c r="R2125" t="str">
        <f>Table11[[#This Row],[Match]]&amp;" "&amp;Table11[[#This Row],[Over]]</f>
        <v>38 19</v>
      </c>
    </row>
    <row r="2126" spans="1:18" x14ac:dyDescent="0.3">
      <c r="A2126">
        <v>38</v>
      </c>
      <c r="B2126" s="1">
        <v>20</v>
      </c>
      <c r="C2126" s="1" t="s">
        <v>4109</v>
      </c>
      <c r="D2126" s="1" t="s">
        <v>998</v>
      </c>
      <c r="E2126" s="1" t="s">
        <v>1242</v>
      </c>
      <c r="F2126" s="1" t="s">
        <v>1383</v>
      </c>
      <c r="N2126">
        <f>_xlfn.NUMBERVALUE(LEFT(Table11[[#This Row],[Score]],FIND("/",Table11[[#This Row],[Score]])-1))</f>
        <v>45</v>
      </c>
      <c r="O2126" t="str">
        <f>IFERROR(_xlfn.NUMBERVALUE(LEFT(Table11[[#This Row],[Score2 ]],FIND("/",Table11[[#This Row],[Score2 ]])-1)),"")</f>
        <v/>
      </c>
      <c r="P2126" t="s">
        <v>185</v>
      </c>
      <c r="Q2126" s="1" t="s">
        <v>154</v>
      </c>
      <c r="R2126" t="str">
        <f>Table11[[#This Row],[Match]]&amp;" "&amp;Table11[[#This Row],[Over]]</f>
        <v>38 20</v>
      </c>
    </row>
    <row r="2127" spans="1:18" x14ac:dyDescent="0.3">
      <c r="A2127">
        <v>38</v>
      </c>
      <c r="B2127" s="1">
        <v>21</v>
      </c>
      <c r="C2127" s="1" t="s">
        <v>3916</v>
      </c>
      <c r="D2127" s="1" t="s">
        <v>930</v>
      </c>
      <c r="E2127" s="1" t="s">
        <v>4110</v>
      </c>
      <c r="F2127" s="1" t="s">
        <v>990</v>
      </c>
      <c r="N2127">
        <f>_xlfn.NUMBERVALUE(LEFT(Table11[[#This Row],[Score]],FIND("/",Table11[[#This Row],[Score]])-1))</f>
        <v>53</v>
      </c>
      <c r="O2127" t="str">
        <f>IFERROR(_xlfn.NUMBERVALUE(LEFT(Table11[[#This Row],[Score2 ]],FIND("/",Table11[[#This Row],[Score2 ]])-1)),"")</f>
        <v/>
      </c>
      <c r="P2127" t="s">
        <v>185</v>
      </c>
      <c r="Q2127" s="1" t="s">
        <v>154</v>
      </c>
      <c r="R2127" t="str">
        <f>Table11[[#This Row],[Match]]&amp;" "&amp;Table11[[#This Row],[Over]]</f>
        <v>38 21</v>
      </c>
    </row>
    <row r="2128" spans="1:18" x14ac:dyDescent="0.3">
      <c r="A2128">
        <v>38</v>
      </c>
      <c r="B2128" s="1">
        <v>22</v>
      </c>
      <c r="C2128" s="1" t="s">
        <v>2566</v>
      </c>
      <c r="D2128" s="1" t="s">
        <v>898</v>
      </c>
      <c r="E2128" s="1" t="s">
        <v>905</v>
      </c>
      <c r="F2128" s="1" t="s">
        <v>939</v>
      </c>
      <c r="N2128">
        <f>_xlfn.NUMBERVALUE(LEFT(Table11[[#This Row],[Score]],FIND("/",Table11[[#This Row],[Score]])-1))</f>
        <v>55</v>
      </c>
      <c r="O2128" t="str">
        <f>IFERROR(_xlfn.NUMBERVALUE(LEFT(Table11[[#This Row],[Score2 ]],FIND("/",Table11[[#This Row],[Score2 ]])-1)),"")</f>
        <v/>
      </c>
      <c r="P2128" t="s">
        <v>185</v>
      </c>
      <c r="Q2128" s="1" t="s">
        <v>154</v>
      </c>
      <c r="R2128" t="str">
        <f>Table11[[#This Row],[Match]]&amp;" "&amp;Table11[[#This Row],[Over]]</f>
        <v>38 22</v>
      </c>
    </row>
    <row r="2129" spans="1:18" x14ac:dyDescent="0.3">
      <c r="A2129">
        <v>38</v>
      </c>
      <c r="B2129" s="1">
        <v>23</v>
      </c>
      <c r="C2129" s="1" t="s">
        <v>2879</v>
      </c>
      <c r="D2129" s="1" t="s">
        <v>968</v>
      </c>
      <c r="E2129" s="1" t="s">
        <v>3510</v>
      </c>
      <c r="F2129" s="1" t="s">
        <v>990</v>
      </c>
      <c r="N2129">
        <f>_xlfn.NUMBERVALUE(LEFT(Table11[[#This Row],[Score]],FIND("/",Table11[[#This Row],[Score]])-1))</f>
        <v>56</v>
      </c>
      <c r="O2129" t="str">
        <f>IFERROR(_xlfn.NUMBERVALUE(LEFT(Table11[[#This Row],[Score2 ]],FIND("/",Table11[[#This Row],[Score2 ]])-1)),"")</f>
        <v/>
      </c>
      <c r="P2129" t="s">
        <v>185</v>
      </c>
      <c r="Q2129" s="1" t="s">
        <v>154</v>
      </c>
      <c r="R2129" t="str">
        <f>Table11[[#This Row],[Match]]&amp;" "&amp;Table11[[#This Row],[Over]]</f>
        <v>38 23</v>
      </c>
    </row>
    <row r="2130" spans="1:18" x14ac:dyDescent="0.3">
      <c r="A2130">
        <v>38</v>
      </c>
      <c r="B2130" s="1">
        <v>24</v>
      </c>
      <c r="C2130" s="1" t="s">
        <v>2881</v>
      </c>
      <c r="D2130" s="1" t="s">
        <v>904</v>
      </c>
      <c r="E2130" s="1" t="s">
        <v>2545</v>
      </c>
      <c r="F2130" s="1" t="s">
        <v>977</v>
      </c>
      <c r="N2130">
        <f>_xlfn.NUMBERVALUE(LEFT(Table11[[#This Row],[Score]],FIND("/",Table11[[#This Row],[Score]])-1))</f>
        <v>59</v>
      </c>
      <c r="O2130" t="str">
        <f>IFERROR(_xlfn.NUMBERVALUE(LEFT(Table11[[#This Row],[Score2 ]],FIND("/",Table11[[#This Row],[Score2 ]])-1)),"")</f>
        <v/>
      </c>
      <c r="P2130" t="s">
        <v>185</v>
      </c>
      <c r="Q2130" s="1" t="s">
        <v>154</v>
      </c>
      <c r="R2130" t="str">
        <f>Table11[[#This Row],[Match]]&amp;" "&amp;Table11[[#This Row],[Over]]</f>
        <v>38 24</v>
      </c>
    </row>
    <row r="2131" spans="1:18" x14ac:dyDescent="0.3">
      <c r="A2131">
        <v>38</v>
      </c>
      <c r="B2131" s="1">
        <v>25</v>
      </c>
      <c r="C2131" s="1" t="s">
        <v>4111</v>
      </c>
      <c r="D2131" s="1" t="s">
        <v>904</v>
      </c>
      <c r="E2131" s="1" t="s">
        <v>4112</v>
      </c>
      <c r="F2131" s="1" t="s">
        <v>1247</v>
      </c>
      <c r="N2131">
        <f>_xlfn.NUMBERVALUE(LEFT(Table11[[#This Row],[Score]],FIND("/",Table11[[#This Row],[Score]])-1))</f>
        <v>62</v>
      </c>
      <c r="O2131" t="str">
        <f>IFERROR(_xlfn.NUMBERVALUE(LEFT(Table11[[#This Row],[Score2 ]],FIND("/",Table11[[#This Row],[Score2 ]])-1)),"")</f>
        <v/>
      </c>
      <c r="P2131" t="s">
        <v>185</v>
      </c>
      <c r="Q2131" s="1" t="s">
        <v>154</v>
      </c>
      <c r="R2131" t="str">
        <f>Table11[[#This Row],[Match]]&amp;" "&amp;Table11[[#This Row],[Over]]</f>
        <v>38 25</v>
      </c>
    </row>
    <row r="2132" spans="1:18" x14ac:dyDescent="0.3">
      <c r="A2132">
        <v>38</v>
      </c>
      <c r="B2132" s="1">
        <v>26</v>
      </c>
      <c r="C2132" s="1" t="s">
        <v>3624</v>
      </c>
      <c r="D2132" s="1" t="s">
        <v>904</v>
      </c>
      <c r="E2132" s="1" t="s">
        <v>905</v>
      </c>
      <c r="F2132" s="1" t="s">
        <v>1088</v>
      </c>
      <c r="N2132">
        <f>_xlfn.NUMBERVALUE(LEFT(Table11[[#This Row],[Score]],FIND("/",Table11[[#This Row],[Score]])-1))</f>
        <v>65</v>
      </c>
      <c r="O2132" t="str">
        <f>IFERROR(_xlfn.NUMBERVALUE(LEFT(Table11[[#This Row],[Score2 ]],FIND("/",Table11[[#This Row],[Score2 ]])-1)),"")</f>
        <v/>
      </c>
      <c r="P2132" t="s">
        <v>185</v>
      </c>
      <c r="Q2132" s="1" t="s">
        <v>154</v>
      </c>
      <c r="R2132" t="str">
        <f>Table11[[#This Row],[Match]]&amp;" "&amp;Table11[[#This Row],[Over]]</f>
        <v>38 26</v>
      </c>
    </row>
    <row r="2133" spans="1:18" x14ac:dyDescent="0.3">
      <c r="A2133">
        <v>38</v>
      </c>
      <c r="B2133" s="1">
        <v>27</v>
      </c>
      <c r="C2133" s="1" t="s">
        <v>1886</v>
      </c>
      <c r="D2133" s="1" t="s">
        <v>904</v>
      </c>
      <c r="E2133" s="1" t="s">
        <v>4113</v>
      </c>
      <c r="F2133" s="1" t="s">
        <v>984</v>
      </c>
      <c r="N2133">
        <f>_xlfn.NUMBERVALUE(LEFT(Table11[[#This Row],[Score]],FIND("/",Table11[[#This Row],[Score]])-1))</f>
        <v>68</v>
      </c>
      <c r="O2133" t="str">
        <f>IFERROR(_xlfn.NUMBERVALUE(LEFT(Table11[[#This Row],[Score2 ]],FIND("/",Table11[[#This Row],[Score2 ]])-1)),"")</f>
        <v/>
      </c>
      <c r="P2133" t="s">
        <v>185</v>
      </c>
      <c r="Q2133" s="1" t="s">
        <v>154</v>
      </c>
      <c r="R2133" t="str">
        <f>Table11[[#This Row],[Match]]&amp;" "&amp;Table11[[#This Row],[Over]]</f>
        <v>38 27</v>
      </c>
    </row>
    <row r="2134" spans="1:18" x14ac:dyDescent="0.3">
      <c r="A2134">
        <v>38</v>
      </c>
      <c r="B2134" s="1">
        <v>28</v>
      </c>
      <c r="C2134" s="1" t="s">
        <v>4114</v>
      </c>
      <c r="D2134" s="1" t="s">
        <v>922</v>
      </c>
      <c r="E2134" s="1" t="s">
        <v>3509</v>
      </c>
      <c r="F2134" s="1" t="s">
        <v>977</v>
      </c>
      <c r="N2134">
        <f>_xlfn.NUMBERVALUE(LEFT(Table11[[#This Row],[Score]],FIND("/",Table11[[#This Row],[Score]])-1))</f>
        <v>74</v>
      </c>
      <c r="O2134" t="str">
        <f>IFERROR(_xlfn.NUMBERVALUE(LEFT(Table11[[#This Row],[Score2 ]],FIND("/",Table11[[#This Row],[Score2 ]])-1)),"")</f>
        <v/>
      </c>
      <c r="P2134" t="s">
        <v>185</v>
      </c>
      <c r="Q2134" s="1" t="s">
        <v>154</v>
      </c>
      <c r="R2134" t="str">
        <f>Table11[[#This Row],[Match]]&amp;" "&amp;Table11[[#This Row],[Over]]</f>
        <v>38 28</v>
      </c>
    </row>
    <row r="2135" spans="1:18" x14ac:dyDescent="0.3">
      <c r="A2135">
        <v>38</v>
      </c>
      <c r="B2135" s="1">
        <v>29</v>
      </c>
      <c r="C2135" s="1" t="s">
        <v>3630</v>
      </c>
      <c r="D2135" s="1" t="s">
        <v>930</v>
      </c>
      <c r="E2135" s="1" t="s">
        <v>2619</v>
      </c>
      <c r="F2135" s="1" t="s">
        <v>976</v>
      </c>
      <c r="N2135">
        <f>_xlfn.NUMBERVALUE(LEFT(Table11[[#This Row],[Score]],FIND("/",Table11[[#This Row],[Score]])-1))</f>
        <v>82</v>
      </c>
      <c r="O2135" t="str">
        <f>IFERROR(_xlfn.NUMBERVALUE(LEFT(Table11[[#This Row],[Score2 ]],FIND("/",Table11[[#This Row],[Score2 ]])-1)),"")</f>
        <v/>
      </c>
      <c r="P2135" t="s">
        <v>185</v>
      </c>
      <c r="Q2135" s="1" t="s">
        <v>154</v>
      </c>
      <c r="R2135" t="str">
        <f>Table11[[#This Row],[Match]]&amp;" "&amp;Table11[[#This Row],[Over]]</f>
        <v>38 29</v>
      </c>
    </row>
    <row r="2136" spans="1:18" x14ac:dyDescent="0.3">
      <c r="A2136">
        <v>38</v>
      </c>
      <c r="B2136" s="1">
        <v>30</v>
      </c>
      <c r="C2136" s="1" t="s">
        <v>2638</v>
      </c>
      <c r="D2136" s="1" t="s">
        <v>916</v>
      </c>
      <c r="E2136" s="1" t="s">
        <v>1893</v>
      </c>
      <c r="F2136" s="1" t="s">
        <v>966</v>
      </c>
      <c r="N2136">
        <f>_xlfn.NUMBERVALUE(LEFT(Table11[[#This Row],[Score]],FIND("/",Table11[[#This Row],[Score]])-1))</f>
        <v>89</v>
      </c>
      <c r="O2136" t="str">
        <f>IFERROR(_xlfn.NUMBERVALUE(LEFT(Table11[[#This Row],[Score2 ]],FIND("/",Table11[[#This Row],[Score2 ]])-1)),"")</f>
        <v/>
      </c>
      <c r="P2136" t="s">
        <v>185</v>
      </c>
      <c r="Q2136" s="1" t="s">
        <v>154</v>
      </c>
      <c r="R2136" t="str">
        <f>Table11[[#This Row],[Match]]&amp;" "&amp;Table11[[#This Row],[Over]]</f>
        <v>38 30</v>
      </c>
    </row>
    <row r="2137" spans="1:18" x14ac:dyDescent="0.3">
      <c r="A2137">
        <v>38</v>
      </c>
      <c r="B2137" s="1">
        <v>31</v>
      </c>
      <c r="C2137" s="1" t="s">
        <v>2255</v>
      </c>
      <c r="D2137" s="1" t="s">
        <v>898</v>
      </c>
      <c r="E2137" s="1" t="s">
        <v>2559</v>
      </c>
      <c r="F2137" s="1" t="s">
        <v>1029</v>
      </c>
      <c r="N2137">
        <f>_xlfn.NUMBERVALUE(LEFT(Table11[[#This Row],[Score]],FIND("/",Table11[[#This Row],[Score]])-1))</f>
        <v>91</v>
      </c>
      <c r="O2137" t="str">
        <f>IFERROR(_xlfn.NUMBERVALUE(LEFT(Table11[[#This Row],[Score2 ]],FIND("/",Table11[[#This Row],[Score2 ]])-1)),"")</f>
        <v/>
      </c>
      <c r="P2137" t="s">
        <v>185</v>
      </c>
      <c r="Q2137" s="1" t="s">
        <v>154</v>
      </c>
      <c r="R2137" t="str">
        <f>Table11[[#This Row],[Match]]&amp;" "&amp;Table11[[#This Row],[Over]]</f>
        <v>38 31</v>
      </c>
    </row>
    <row r="2138" spans="1:18" x14ac:dyDescent="0.3">
      <c r="A2138">
        <v>38</v>
      </c>
      <c r="B2138" s="1">
        <v>32</v>
      </c>
      <c r="C2138" s="1" t="s">
        <v>4115</v>
      </c>
      <c r="D2138" s="1" t="s">
        <v>898</v>
      </c>
      <c r="E2138" s="1" t="s">
        <v>1694</v>
      </c>
      <c r="F2138" s="1" t="s">
        <v>969</v>
      </c>
      <c r="N2138">
        <f>_xlfn.NUMBERVALUE(LEFT(Table11[[#This Row],[Score]],FIND("/",Table11[[#This Row],[Score]])-1))</f>
        <v>93</v>
      </c>
      <c r="O2138" t="str">
        <f>IFERROR(_xlfn.NUMBERVALUE(LEFT(Table11[[#This Row],[Score2 ]],FIND("/",Table11[[#This Row],[Score2 ]])-1)),"")</f>
        <v/>
      </c>
      <c r="P2138" t="s">
        <v>185</v>
      </c>
      <c r="Q2138" s="1" t="s">
        <v>154</v>
      </c>
      <c r="R2138" t="str">
        <f>Table11[[#This Row],[Match]]&amp;" "&amp;Table11[[#This Row],[Over]]</f>
        <v>38 32</v>
      </c>
    </row>
    <row r="2139" spans="1:18" x14ac:dyDescent="0.3">
      <c r="A2139">
        <v>38</v>
      </c>
      <c r="B2139" s="1">
        <v>33</v>
      </c>
      <c r="C2139" s="1" t="s">
        <v>3522</v>
      </c>
      <c r="D2139" s="1" t="s">
        <v>998</v>
      </c>
      <c r="E2139" s="1" t="s">
        <v>2559</v>
      </c>
      <c r="F2139" s="1" t="s">
        <v>976</v>
      </c>
      <c r="N2139">
        <f>_xlfn.NUMBERVALUE(LEFT(Table11[[#This Row],[Score]],FIND("/",Table11[[#This Row],[Score]])-1))</f>
        <v>97</v>
      </c>
      <c r="O2139" t="str">
        <f>IFERROR(_xlfn.NUMBERVALUE(LEFT(Table11[[#This Row],[Score2 ]],FIND("/",Table11[[#This Row],[Score2 ]])-1)),"")</f>
        <v/>
      </c>
      <c r="P2139" t="s">
        <v>185</v>
      </c>
      <c r="Q2139" s="1" t="s">
        <v>154</v>
      </c>
      <c r="R2139" t="str">
        <f>Table11[[#This Row],[Match]]&amp;" "&amp;Table11[[#This Row],[Over]]</f>
        <v>38 33</v>
      </c>
    </row>
    <row r="2140" spans="1:18" x14ac:dyDescent="0.3">
      <c r="A2140">
        <v>38</v>
      </c>
      <c r="B2140" s="1">
        <v>34</v>
      </c>
      <c r="C2140" s="1" t="s">
        <v>4116</v>
      </c>
      <c r="D2140" s="1" t="s">
        <v>998</v>
      </c>
      <c r="E2140" s="1" t="s">
        <v>3913</v>
      </c>
      <c r="F2140" s="1" t="s">
        <v>990</v>
      </c>
      <c r="N2140">
        <f>_xlfn.NUMBERVALUE(LEFT(Table11[[#This Row],[Score]],FIND("/",Table11[[#This Row],[Score]])-1))</f>
        <v>101</v>
      </c>
      <c r="O2140" t="str">
        <f>IFERROR(_xlfn.NUMBERVALUE(LEFT(Table11[[#This Row],[Score2 ]],FIND("/",Table11[[#This Row],[Score2 ]])-1)),"")</f>
        <v/>
      </c>
      <c r="P2140" t="s">
        <v>185</v>
      </c>
      <c r="Q2140" s="1" t="s">
        <v>154</v>
      </c>
      <c r="R2140" t="str">
        <f>Table11[[#This Row],[Match]]&amp;" "&amp;Table11[[#This Row],[Over]]</f>
        <v>38 34</v>
      </c>
    </row>
    <row r="2141" spans="1:18" x14ac:dyDescent="0.3">
      <c r="A2141">
        <v>38</v>
      </c>
      <c r="B2141" s="1">
        <v>35</v>
      </c>
      <c r="C2141" s="1" t="s">
        <v>3527</v>
      </c>
      <c r="D2141" s="1" t="s">
        <v>950</v>
      </c>
      <c r="E2141" s="1" t="s">
        <v>3911</v>
      </c>
      <c r="F2141" s="1" t="s">
        <v>1247</v>
      </c>
      <c r="N2141">
        <f>_xlfn.NUMBERVALUE(LEFT(Table11[[#This Row],[Score]],FIND("/",Table11[[#This Row],[Score]])-1))</f>
        <v>106</v>
      </c>
      <c r="O2141" t="str">
        <f>IFERROR(_xlfn.NUMBERVALUE(LEFT(Table11[[#This Row],[Score2 ]],FIND("/",Table11[[#This Row],[Score2 ]])-1)),"")</f>
        <v/>
      </c>
      <c r="P2141" t="s">
        <v>185</v>
      </c>
      <c r="Q2141" s="1" t="s">
        <v>154</v>
      </c>
      <c r="R2141" t="str">
        <f>Table11[[#This Row],[Match]]&amp;" "&amp;Table11[[#This Row],[Over]]</f>
        <v>38 35</v>
      </c>
    </row>
    <row r="2142" spans="1:18" x14ac:dyDescent="0.3">
      <c r="A2142">
        <v>38</v>
      </c>
      <c r="B2142" s="1">
        <v>36</v>
      </c>
      <c r="C2142" s="1" t="s">
        <v>3350</v>
      </c>
      <c r="D2142" s="1" t="s">
        <v>968</v>
      </c>
      <c r="E2142" s="1" t="s">
        <v>3913</v>
      </c>
      <c r="F2142" s="1" t="s">
        <v>1259</v>
      </c>
      <c r="N2142">
        <f>_xlfn.NUMBERVALUE(LEFT(Table11[[#This Row],[Score]],FIND("/",Table11[[#This Row],[Score]])-1))</f>
        <v>107</v>
      </c>
      <c r="O2142" t="str">
        <f>IFERROR(_xlfn.NUMBERVALUE(LEFT(Table11[[#This Row],[Score2 ]],FIND("/",Table11[[#This Row],[Score2 ]])-1)),"")</f>
        <v/>
      </c>
      <c r="P2142" t="s">
        <v>185</v>
      </c>
      <c r="Q2142" s="1" t="s">
        <v>154</v>
      </c>
      <c r="R2142" t="str">
        <f>Table11[[#This Row],[Match]]&amp;" "&amp;Table11[[#This Row],[Over]]</f>
        <v>38 36</v>
      </c>
    </row>
    <row r="2143" spans="1:18" x14ac:dyDescent="0.3">
      <c r="A2143">
        <v>38</v>
      </c>
      <c r="B2143" s="1">
        <v>37</v>
      </c>
      <c r="C2143" s="1" t="s">
        <v>4117</v>
      </c>
      <c r="D2143" s="1" t="s">
        <v>1688</v>
      </c>
      <c r="E2143" s="1" t="s">
        <v>4118</v>
      </c>
      <c r="F2143" s="1" t="s">
        <v>4119</v>
      </c>
      <c r="N2143">
        <f>_xlfn.NUMBERVALUE(LEFT(Table11[[#This Row],[Score]],FIND("/",Table11[[#This Row],[Score]])-1))</f>
        <v>111</v>
      </c>
      <c r="O2143" t="str">
        <f>IFERROR(_xlfn.NUMBERVALUE(LEFT(Table11[[#This Row],[Score2 ]],FIND("/",Table11[[#This Row],[Score2 ]])-1)),"")</f>
        <v/>
      </c>
      <c r="P2143" t="s">
        <v>185</v>
      </c>
      <c r="Q2143" s="1" t="s">
        <v>154</v>
      </c>
      <c r="R2143" t="str">
        <f>Table11[[#This Row],[Match]]&amp;" "&amp;Table11[[#This Row],[Over]]</f>
        <v>38 37</v>
      </c>
    </row>
    <row r="2144" spans="1:18" x14ac:dyDescent="0.3">
      <c r="A2144">
        <v>40</v>
      </c>
      <c r="B2144" s="1">
        <v>1</v>
      </c>
      <c r="C2144" s="1" t="s">
        <v>1230</v>
      </c>
      <c r="D2144" s="1" t="s">
        <v>1007</v>
      </c>
      <c r="E2144" s="1" t="s">
        <v>1231</v>
      </c>
      <c r="F2144" s="1" t="s">
        <v>348</v>
      </c>
      <c r="G2144" s="1" t="s">
        <v>1232</v>
      </c>
      <c r="H2144" s="1" t="s">
        <v>922</v>
      </c>
      <c r="I2144" s="1" t="s">
        <v>1019</v>
      </c>
      <c r="J2144" s="1" t="s">
        <v>348</v>
      </c>
      <c r="K2144" s="1" t="s">
        <v>3691</v>
      </c>
      <c r="L2144" s="1" t="s">
        <v>1554</v>
      </c>
      <c r="M2144" s="1" t="s">
        <v>902</v>
      </c>
      <c r="N2144">
        <f>_xlfn.NUMBERVALUE(LEFT(Table11[[#This Row],[Score]],FIND("/",Table11[[#This Row],[Score]])-1))</f>
        <v>0</v>
      </c>
      <c r="O2144">
        <f>IFERROR(_xlfn.NUMBERVALUE(LEFT(Table11[[#This Row],[Score2 ]],FIND("/",Table11[[#This Row],[Score2 ]])-1)),"")</f>
        <v>6</v>
      </c>
      <c r="P2144" t="s">
        <v>176</v>
      </c>
      <c r="Q2144" s="1" t="s">
        <v>149</v>
      </c>
      <c r="R2144" t="str">
        <f>Table11[[#This Row],[Match]]&amp;" "&amp;Table11[[#This Row],[Over]]</f>
        <v>40 1</v>
      </c>
    </row>
    <row r="2145" spans="1:18" x14ac:dyDescent="0.3">
      <c r="A2145">
        <v>40</v>
      </c>
      <c r="B2145" s="1">
        <v>2</v>
      </c>
      <c r="C2145" s="1" t="s">
        <v>1721</v>
      </c>
      <c r="D2145" s="1" t="s">
        <v>930</v>
      </c>
      <c r="E2145" s="1" t="s">
        <v>939</v>
      </c>
      <c r="F2145" s="1" t="s">
        <v>348</v>
      </c>
      <c r="G2145" s="1" t="s">
        <v>913</v>
      </c>
      <c r="H2145" s="1" t="s">
        <v>968</v>
      </c>
      <c r="I2145" s="1" t="s">
        <v>925</v>
      </c>
      <c r="J2145" s="1" t="s">
        <v>348</v>
      </c>
      <c r="K2145" s="1" t="s">
        <v>1676</v>
      </c>
      <c r="L2145" s="1" t="s">
        <v>2065</v>
      </c>
      <c r="M2145" s="1" t="s">
        <v>909</v>
      </c>
      <c r="N2145">
        <f>_xlfn.NUMBERVALUE(LEFT(Table11[[#This Row],[Score]],FIND("/",Table11[[#This Row],[Score]])-1))</f>
        <v>8</v>
      </c>
      <c r="O2145">
        <f>IFERROR(_xlfn.NUMBERVALUE(LEFT(Table11[[#This Row],[Score2 ]],FIND("/",Table11[[#This Row],[Score2 ]])-1)),"")</f>
        <v>7</v>
      </c>
      <c r="P2145" t="s">
        <v>176</v>
      </c>
      <c r="Q2145" s="1" t="s">
        <v>149</v>
      </c>
      <c r="R2145" t="str">
        <f>Table11[[#This Row],[Match]]&amp;" "&amp;Table11[[#This Row],[Over]]</f>
        <v>40 2</v>
      </c>
    </row>
    <row r="2146" spans="1:18" x14ac:dyDescent="0.3">
      <c r="A2146">
        <v>40</v>
      </c>
      <c r="B2146" s="1">
        <v>3</v>
      </c>
      <c r="C2146" s="1" t="s">
        <v>1237</v>
      </c>
      <c r="D2146" s="1" t="s">
        <v>968</v>
      </c>
      <c r="E2146" s="1" t="s">
        <v>1238</v>
      </c>
      <c r="F2146" s="1" t="s">
        <v>348</v>
      </c>
      <c r="G2146" s="1" t="s">
        <v>929</v>
      </c>
      <c r="H2146" s="1" t="s">
        <v>933</v>
      </c>
      <c r="I2146" s="1" t="s">
        <v>952</v>
      </c>
      <c r="J2146" s="1" t="s">
        <v>348</v>
      </c>
      <c r="K2146" s="1" t="s">
        <v>2750</v>
      </c>
      <c r="L2146" s="1" t="s">
        <v>2077</v>
      </c>
      <c r="M2146" s="1" t="s">
        <v>920</v>
      </c>
      <c r="N2146">
        <f>_xlfn.NUMBERVALUE(LEFT(Table11[[#This Row],[Score]],FIND("/",Table11[[#This Row],[Score]])-1))</f>
        <v>9</v>
      </c>
      <c r="O2146">
        <f>IFERROR(_xlfn.NUMBERVALUE(LEFT(Table11[[#This Row],[Score2 ]],FIND("/",Table11[[#This Row],[Score2 ]])-1)),"")</f>
        <v>21</v>
      </c>
      <c r="P2146" t="s">
        <v>176</v>
      </c>
      <c r="Q2146" s="1" t="s">
        <v>149</v>
      </c>
      <c r="R2146" t="str">
        <f>Table11[[#This Row],[Match]]&amp;" "&amp;Table11[[#This Row],[Over]]</f>
        <v>40 3</v>
      </c>
    </row>
    <row r="2147" spans="1:18" x14ac:dyDescent="0.3">
      <c r="A2147">
        <v>40</v>
      </c>
      <c r="B2147" s="1">
        <v>4</v>
      </c>
      <c r="C2147" s="1" t="s">
        <v>2530</v>
      </c>
      <c r="D2147" s="1" t="s">
        <v>947</v>
      </c>
      <c r="E2147" s="1" t="s">
        <v>1021</v>
      </c>
      <c r="F2147" s="1" t="s">
        <v>348</v>
      </c>
      <c r="G2147" s="1" t="s">
        <v>1264</v>
      </c>
      <c r="H2147" s="1" t="s">
        <v>947</v>
      </c>
      <c r="I2147" s="1" t="s">
        <v>1322</v>
      </c>
      <c r="J2147" s="1" t="s">
        <v>348</v>
      </c>
      <c r="K2147" s="1" t="s">
        <v>4120</v>
      </c>
      <c r="L2147" s="1" t="s">
        <v>1189</v>
      </c>
      <c r="M2147" s="1" t="s">
        <v>928</v>
      </c>
      <c r="N2147">
        <f>_xlfn.NUMBERVALUE(LEFT(Table11[[#This Row],[Score]],FIND("/",Table11[[#This Row],[Score]])-1))</f>
        <v>18</v>
      </c>
      <c r="O2147">
        <f>IFERROR(_xlfn.NUMBERVALUE(LEFT(Table11[[#This Row],[Score2 ]],FIND("/",Table11[[#This Row],[Score2 ]])-1)),"")</f>
        <v>30</v>
      </c>
      <c r="P2147" t="s">
        <v>176</v>
      </c>
      <c r="Q2147" s="1" t="s">
        <v>149</v>
      </c>
      <c r="R2147" t="str">
        <f>Table11[[#This Row],[Match]]&amp;" "&amp;Table11[[#This Row],[Over]]</f>
        <v>40 4</v>
      </c>
    </row>
    <row r="2148" spans="1:18" x14ac:dyDescent="0.3">
      <c r="A2148">
        <v>40</v>
      </c>
      <c r="B2148" s="1">
        <v>5</v>
      </c>
      <c r="C2148" s="1" t="s">
        <v>3247</v>
      </c>
      <c r="D2148" s="1" t="s">
        <v>916</v>
      </c>
      <c r="E2148" s="1" t="s">
        <v>969</v>
      </c>
      <c r="F2148" s="1" t="s">
        <v>969</v>
      </c>
      <c r="G2148" s="1" t="s">
        <v>2216</v>
      </c>
      <c r="H2148" s="1" t="s">
        <v>1051</v>
      </c>
      <c r="I2148" s="1" t="s">
        <v>1405</v>
      </c>
      <c r="J2148" s="1" t="s">
        <v>1405</v>
      </c>
      <c r="K2148" s="1" t="s">
        <v>899</v>
      </c>
      <c r="L2148" s="1" t="s">
        <v>1143</v>
      </c>
      <c r="M2148" s="1" t="s">
        <v>937</v>
      </c>
      <c r="N2148">
        <f>_xlfn.NUMBERVALUE(LEFT(Table11[[#This Row],[Score]],FIND("/",Table11[[#This Row],[Score]])-1))</f>
        <v>25</v>
      </c>
      <c r="O2148">
        <f>IFERROR(_xlfn.NUMBERVALUE(LEFT(Table11[[#This Row],[Score2 ]],FIND("/",Table11[[#This Row],[Score2 ]])-1)),"")</f>
        <v>41</v>
      </c>
      <c r="P2148" t="s">
        <v>176</v>
      </c>
      <c r="Q2148" s="1" t="s">
        <v>149</v>
      </c>
      <c r="R2148" t="str">
        <f>Table11[[#This Row],[Match]]&amp;" "&amp;Table11[[#This Row],[Over]]</f>
        <v>40 5</v>
      </c>
    </row>
    <row r="2149" spans="1:18" x14ac:dyDescent="0.3">
      <c r="A2149">
        <v>40</v>
      </c>
      <c r="B2149" s="1">
        <v>6</v>
      </c>
      <c r="C2149" s="1" t="s">
        <v>1264</v>
      </c>
      <c r="D2149" s="1" t="s">
        <v>950</v>
      </c>
      <c r="E2149" s="1" t="s">
        <v>969</v>
      </c>
      <c r="F2149" s="1" t="s">
        <v>1019</v>
      </c>
      <c r="G2149" s="1" t="s">
        <v>974</v>
      </c>
      <c r="H2149" s="1" t="s">
        <v>968</v>
      </c>
      <c r="I2149" s="1" t="s">
        <v>952</v>
      </c>
      <c r="J2149" s="1" t="s">
        <v>1116</v>
      </c>
      <c r="K2149" s="1" t="s">
        <v>1623</v>
      </c>
      <c r="L2149" s="1" t="s">
        <v>3072</v>
      </c>
      <c r="M2149" s="1" t="s">
        <v>945</v>
      </c>
      <c r="N2149">
        <f>_xlfn.NUMBERVALUE(LEFT(Table11[[#This Row],[Score]],FIND("/",Table11[[#This Row],[Score]])-1))</f>
        <v>30</v>
      </c>
      <c r="O2149">
        <f>IFERROR(_xlfn.NUMBERVALUE(LEFT(Table11[[#This Row],[Score2 ]],FIND("/",Table11[[#This Row],[Score2 ]])-1)),"")</f>
        <v>42</v>
      </c>
      <c r="P2149" t="s">
        <v>176</v>
      </c>
      <c r="Q2149" s="1" t="s">
        <v>149</v>
      </c>
      <c r="R2149" t="str">
        <f>Table11[[#This Row],[Match]]&amp;" "&amp;Table11[[#This Row],[Over]]</f>
        <v>40 6</v>
      </c>
    </row>
    <row r="2150" spans="1:18" x14ac:dyDescent="0.3">
      <c r="A2150">
        <v>40</v>
      </c>
      <c r="B2150" s="1">
        <v>7</v>
      </c>
      <c r="C2150" s="1" t="s">
        <v>2760</v>
      </c>
      <c r="D2150" s="1" t="s">
        <v>922</v>
      </c>
      <c r="E2150" s="1" t="s">
        <v>1092</v>
      </c>
      <c r="F2150" s="1" t="s">
        <v>934</v>
      </c>
      <c r="G2150" s="1" t="s">
        <v>967</v>
      </c>
      <c r="H2150" s="1" t="s">
        <v>904</v>
      </c>
      <c r="I2150" s="1" t="s">
        <v>2095</v>
      </c>
      <c r="J2150" s="1" t="s">
        <v>1508</v>
      </c>
      <c r="K2150" s="1" t="s">
        <v>899</v>
      </c>
      <c r="L2150" s="1" t="s">
        <v>1204</v>
      </c>
      <c r="M2150" s="1" t="s">
        <v>955</v>
      </c>
      <c r="N2150">
        <f>_xlfn.NUMBERVALUE(LEFT(Table11[[#This Row],[Score]],FIND("/",Table11[[#This Row],[Score]])-1))</f>
        <v>36</v>
      </c>
      <c r="O2150">
        <f>IFERROR(_xlfn.NUMBERVALUE(LEFT(Table11[[#This Row],[Score2 ]],FIND("/",Table11[[#This Row],[Score2 ]])-1)),"")</f>
        <v>45</v>
      </c>
      <c r="P2150" t="s">
        <v>176</v>
      </c>
      <c r="Q2150" s="1" t="s">
        <v>149</v>
      </c>
      <c r="R2150" t="str">
        <f>Table11[[#This Row],[Match]]&amp;" "&amp;Table11[[#This Row],[Over]]</f>
        <v>40 7</v>
      </c>
    </row>
    <row r="2151" spans="1:18" x14ac:dyDescent="0.3">
      <c r="A2151">
        <v>40</v>
      </c>
      <c r="B2151" s="1">
        <v>8</v>
      </c>
      <c r="C2151" s="1" t="s">
        <v>1461</v>
      </c>
      <c r="D2151" s="1" t="s">
        <v>916</v>
      </c>
      <c r="E2151" s="1" t="s">
        <v>1104</v>
      </c>
      <c r="F2151" s="1" t="s">
        <v>1053</v>
      </c>
      <c r="G2151" s="1" t="s">
        <v>3511</v>
      </c>
      <c r="H2151" s="1" t="s">
        <v>1095</v>
      </c>
      <c r="I2151" s="1" t="s">
        <v>3256</v>
      </c>
      <c r="J2151" s="1" t="s">
        <v>1053</v>
      </c>
      <c r="K2151" s="1" t="s">
        <v>1636</v>
      </c>
      <c r="L2151" s="1" t="s">
        <v>1900</v>
      </c>
      <c r="M2151" s="1" t="s">
        <v>963</v>
      </c>
      <c r="N2151">
        <f>_xlfn.NUMBERVALUE(LEFT(Table11[[#This Row],[Score]],FIND("/",Table11[[#This Row],[Score]])-1))</f>
        <v>43</v>
      </c>
      <c r="O2151">
        <f>IFERROR(_xlfn.NUMBERVALUE(LEFT(Table11[[#This Row],[Score2 ]],FIND("/",Table11[[#This Row],[Score2 ]])-1)),"")</f>
        <v>55</v>
      </c>
      <c r="P2151" t="s">
        <v>176</v>
      </c>
      <c r="Q2151" s="1" t="s">
        <v>149</v>
      </c>
      <c r="R2151" t="str">
        <f>Table11[[#This Row],[Match]]&amp;" "&amp;Table11[[#This Row],[Over]]</f>
        <v>40 8</v>
      </c>
    </row>
    <row r="2152" spans="1:18" x14ac:dyDescent="0.3">
      <c r="A2152">
        <v>40</v>
      </c>
      <c r="B2152" s="1">
        <v>9</v>
      </c>
      <c r="C2152" s="1" t="s">
        <v>1461</v>
      </c>
      <c r="D2152" s="1" t="s">
        <v>1007</v>
      </c>
      <c r="E2152" s="1" t="s">
        <v>2695</v>
      </c>
      <c r="F2152" s="1" t="s">
        <v>969</v>
      </c>
      <c r="G2152" s="1" t="s">
        <v>3511</v>
      </c>
      <c r="H2152" s="1" t="s">
        <v>1007</v>
      </c>
      <c r="I2152" s="1" t="s">
        <v>961</v>
      </c>
      <c r="J2152" s="1" t="s">
        <v>969</v>
      </c>
      <c r="K2152" s="1" t="s">
        <v>1431</v>
      </c>
      <c r="L2152" s="1" t="s">
        <v>1900</v>
      </c>
      <c r="M2152" s="1" t="s">
        <v>973</v>
      </c>
      <c r="N2152">
        <f>_xlfn.NUMBERVALUE(LEFT(Table11[[#This Row],[Score]],FIND("/",Table11[[#This Row],[Score]])-1))</f>
        <v>43</v>
      </c>
      <c r="O2152">
        <f>IFERROR(_xlfn.NUMBERVALUE(LEFT(Table11[[#This Row],[Score2 ]],FIND("/",Table11[[#This Row],[Score2 ]])-1)),"")</f>
        <v>55</v>
      </c>
      <c r="P2152" t="s">
        <v>176</v>
      </c>
      <c r="Q2152" s="1" t="s">
        <v>149</v>
      </c>
      <c r="R2152" t="str">
        <f>Table11[[#This Row],[Match]]&amp;" "&amp;Table11[[#This Row],[Over]]</f>
        <v>40 9</v>
      </c>
    </row>
    <row r="2153" spans="1:18" x14ac:dyDescent="0.3">
      <c r="A2153">
        <v>40</v>
      </c>
      <c r="B2153" s="1">
        <v>10</v>
      </c>
      <c r="C2153" s="1" t="s">
        <v>3383</v>
      </c>
      <c r="D2153" s="1" t="s">
        <v>922</v>
      </c>
      <c r="E2153" s="1" t="s">
        <v>1045</v>
      </c>
      <c r="F2153" s="1" t="s">
        <v>1093</v>
      </c>
      <c r="G2153" s="1" t="s">
        <v>3194</v>
      </c>
      <c r="H2153" s="1" t="s">
        <v>930</v>
      </c>
      <c r="I2153" s="1" t="s">
        <v>1982</v>
      </c>
      <c r="J2153" s="1" t="s">
        <v>940</v>
      </c>
      <c r="K2153" s="1" t="s">
        <v>4121</v>
      </c>
      <c r="L2153" s="1" t="s">
        <v>2420</v>
      </c>
      <c r="M2153" s="1" t="s">
        <v>980</v>
      </c>
      <c r="N2153">
        <f>_xlfn.NUMBERVALUE(LEFT(Table11[[#This Row],[Score]],FIND("/",Table11[[#This Row],[Score]])-1))</f>
        <v>49</v>
      </c>
      <c r="O2153">
        <f>IFERROR(_xlfn.NUMBERVALUE(LEFT(Table11[[#This Row],[Score2 ]],FIND("/",Table11[[#This Row],[Score2 ]])-1)),"")</f>
        <v>63</v>
      </c>
      <c r="P2153" t="s">
        <v>176</v>
      </c>
      <c r="Q2153" s="1" t="s">
        <v>149</v>
      </c>
      <c r="R2153" t="str">
        <f>Table11[[#This Row],[Match]]&amp;" "&amp;Table11[[#This Row],[Over]]</f>
        <v>40 10</v>
      </c>
    </row>
    <row r="2154" spans="1:18" x14ac:dyDescent="0.3">
      <c r="A2154">
        <v>40</v>
      </c>
      <c r="B2154" s="1">
        <v>11</v>
      </c>
      <c r="C2154" s="1" t="s">
        <v>1872</v>
      </c>
      <c r="D2154" s="1" t="s">
        <v>898</v>
      </c>
      <c r="E2154" s="1" t="s">
        <v>1935</v>
      </c>
      <c r="F2154" s="1" t="s">
        <v>931</v>
      </c>
      <c r="G2154" s="1" t="s">
        <v>1011</v>
      </c>
      <c r="H2154" s="1" t="s">
        <v>930</v>
      </c>
      <c r="I2154" s="1" t="s">
        <v>2454</v>
      </c>
      <c r="J2154" s="1" t="s">
        <v>1013</v>
      </c>
      <c r="K2154" s="1" t="s">
        <v>4122</v>
      </c>
      <c r="L2154" s="1" t="s">
        <v>1177</v>
      </c>
      <c r="M2154" s="1" t="s">
        <v>987</v>
      </c>
      <c r="N2154">
        <f>_xlfn.NUMBERVALUE(LEFT(Table11[[#This Row],[Score]],FIND("/",Table11[[#This Row],[Score]])-1))</f>
        <v>51</v>
      </c>
      <c r="O2154">
        <f>IFERROR(_xlfn.NUMBERVALUE(LEFT(Table11[[#This Row],[Score2 ]],FIND("/",Table11[[#This Row],[Score2 ]])-1)),"")</f>
        <v>71</v>
      </c>
      <c r="P2154" t="s">
        <v>176</v>
      </c>
      <c r="Q2154" s="1" t="s">
        <v>149</v>
      </c>
      <c r="R2154" t="str">
        <f>Table11[[#This Row],[Match]]&amp;" "&amp;Table11[[#This Row],[Over]]</f>
        <v>40 11</v>
      </c>
    </row>
    <row r="2155" spans="1:18" x14ac:dyDescent="0.3">
      <c r="A2155">
        <v>40</v>
      </c>
      <c r="B2155" s="1">
        <v>12</v>
      </c>
      <c r="C2155" s="1" t="s">
        <v>3454</v>
      </c>
      <c r="D2155" s="1" t="s">
        <v>922</v>
      </c>
      <c r="E2155" s="1" t="s">
        <v>1319</v>
      </c>
      <c r="F2155" s="1" t="s">
        <v>931</v>
      </c>
      <c r="G2155" s="1" t="s">
        <v>2346</v>
      </c>
      <c r="H2155" s="1" t="s">
        <v>1095</v>
      </c>
      <c r="I2155" s="1" t="s">
        <v>1009</v>
      </c>
      <c r="J2155" s="1" t="s">
        <v>1116</v>
      </c>
      <c r="K2155" s="1" t="s">
        <v>4123</v>
      </c>
      <c r="L2155" s="1" t="s">
        <v>1812</v>
      </c>
      <c r="M2155" s="1" t="s">
        <v>996</v>
      </c>
      <c r="N2155">
        <f>_xlfn.NUMBERVALUE(LEFT(Table11[[#This Row],[Score]],FIND("/",Table11[[#This Row],[Score]])-1))</f>
        <v>57</v>
      </c>
      <c r="O2155">
        <f>IFERROR(_xlfn.NUMBERVALUE(LEFT(Table11[[#This Row],[Score2 ]],FIND("/",Table11[[#This Row],[Score2 ]])-1)),"")</f>
        <v>81</v>
      </c>
      <c r="P2155" t="s">
        <v>176</v>
      </c>
      <c r="Q2155" s="1" t="s">
        <v>149</v>
      </c>
      <c r="R2155" t="str">
        <f>Table11[[#This Row],[Match]]&amp;" "&amp;Table11[[#This Row],[Over]]</f>
        <v>40 12</v>
      </c>
    </row>
    <row r="2156" spans="1:18" x14ac:dyDescent="0.3">
      <c r="A2156">
        <v>40</v>
      </c>
      <c r="B2156" s="1">
        <v>13</v>
      </c>
      <c r="C2156" s="1" t="s">
        <v>2814</v>
      </c>
      <c r="D2156" s="1" t="s">
        <v>998</v>
      </c>
      <c r="E2156" s="1" t="s">
        <v>1148</v>
      </c>
      <c r="F2156" s="1" t="s">
        <v>977</v>
      </c>
      <c r="G2156" s="1" t="s">
        <v>2821</v>
      </c>
      <c r="H2156" s="1" t="s">
        <v>916</v>
      </c>
      <c r="I2156" s="1" t="s">
        <v>1808</v>
      </c>
      <c r="J2156" s="1" t="s">
        <v>960</v>
      </c>
      <c r="K2156" s="1" t="s">
        <v>3168</v>
      </c>
      <c r="L2156" s="1" t="s">
        <v>2677</v>
      </c>
      <c r="M2156" s="1" t="s">
        <v>1004</v>
      </c>
      <c r="N2156">
        <f>_xlfn.NUMBERVALUE(LEFT(Table11[[#This Row],[Score]],FIND("/",Table11[[#This Row],[Score]])-1))</f>
        <v>61</v>
      </c>
      <c r="O2156">
        <f>IFERROR(_xlfn.NUMBERVALUE(LEFT(Table11[[#This Row],[Score2 ]],FIND("/",Table11[[#This Row],[Score2 ]])-1)),"")</f>
        <v>88</v>
      </c>
      <c r="P2156" t="s">
        <v>176</v>
      </c>
      <c r="Q2156" s="1" t="s">
        <v>149</v>
      </c>
      <c r="R2156" t="str">
        <f>Table11[[#This Row],[Match]]&amp;" "&amp;Table11[[#This Row],[Over]]</f>
        <v>40 13</v>
      </c>
    </row>
    <row r="2157" spans="1:18" x14ac:dyDescent="0.3">
      <c r="A2157">
        <v>40</v>
      </c>
      <c r="B2157" s="1">
        <v>14</v>
      </c>
      <c r="C2157" s="1" t="s">
        <v>4124</v>
      </c>
      <c r="D2157" s="1" t="s">
        <v>904</v>
      </c>
      <c r="E2157" s="1" t="s">
        <v>1362</v>
      </c>
      <c r="F2157" s="1" t="s">
        <v>931</v>
      </c>
      <c r="G2157" s="1" t="s">
        <v>2249</v>
      </c>
      <c r="H2157" s="1" t="s">
        <v>1511</v>
      </c>
      <c r="I2157" s="1" t="s">
        <v>2114</v>
      </c>
      <c r="J2157" s="1" t="s">
        <v>1141</v>
      </c>
      <c r="K2157" s="1" t="s">
        <v>2578</v>
      </c>
      <c r="L2157" s="1" t="s">
        <v>1706</v>
      </c>
      <c r="M2157" s="1" t="s">
        <v>1010</v>
      </c>
      <c r="N2157">
        <f>_xlfn.NUMBERVALUE(LEFT(Table11[[#This Row],[Score]],FIND("/",Table11[[#This Row],[Score]])-1))</f>
        <v>64</v>
      </c>
      <c r="O2157">
        <f>IFERROR(_xlfn.NUMBERVALUE(LEFT(Table11[[#This Row],[Score2 ]],FIND("/",Table11[[#This Row],[Score2 ]])-1)),"")</f>
        <v>104</v>
      </c>
      <c r="P2157" t="s">
        <v>176</v>
      </c>
      <c r="Q2157" s="1" t="s">
        <v>149</v>
      </c>
      <c r="R2157" t="str">
        <f>Table11[[#This Row],[Match]]&amp;" "&amp;Table11[[#This Row],[Over]]</f>
        <v>40 14</v>
      </c>
    </row>
    <row r="2158" spans="1:18" x14ac:dyDescent="0.3">
      <c r="A2158">
        <v>40</v>
      </c>
      <c r="B2158" s="1">
        <v>15</v>
      </c>
      <c r="C2158" s="1" t="s">
        <v>4114</v>
      </c>
      <c r="D2158" s="1" t="s">
        <v>1095</v>
      </c>
      <c r="E2158" s="1" t="s">
        <v>1351</v>
      </c>
      <c r="F2158" s="1" t="s">
        <v>969</v>
      </c>
      <c r="G2158" s="1" t="s">
        <v>3585</v>
      </c>
      <c r="H2158" s="1" t="s">
        <v>1670</v>
      </c>
      <c r="I2158" s="1" t="s">
        <v>3006</v>
      </c>
      <c r="J2158" s="1" t="s">
        <v>2207</v>
      </c>
      <c r="K2158" s="1" t="s">
        <v>2770</v>
      </c>
      <c r="L2158" s="1" t="s">
        <v>916</v>
      </c>
      <c r="M2158" s="1" t="s">
        <v>1016</v>
      </c>
      <c r="N2158">
        <f>_xlfn.NUMBERVALUE(LEFT(Table11[[#This Row],[Score]],FIND("/",Table11[[#This Row],[Score]])-1))</f>
        <v>74</v>
      </c>
      <c r="O2158">
        <f>IFERROR(_xlfn.NUMBERVALUE(LEFT(Table11[[#This Row],[Score2 ]],FIND("/",Table11[[#This Row],[Score2 ]])-1)),"")</f>
        <v>124</v>
      </c>
      <c r="P2158" t="s">
        <v>176</v>
      </c>
      <c r="Q2158" s="1" t="s">
        <v>149</v>
      </c>
      <c r="R2158" t="str">
        <f>Table11[[#This Row],[Match]]&amp;" "&amp;Table11[[#This Row],[Over]]</f>
        <v>40 15</v>
      </c>
    </row>
    <row r="2159" spans="1:18" x14ac:dyDescent="0.3">
      <c r="A2159">
        <v>40</v>
      </c>
      <c r="B2159" s="1">
        <v>16</v>
      </c>
      <c r="C2159" s="1" t="s">
        <v>2633</v>
      </c>
      <c r="D2159" s="1" t="s">
        <v>998</v>
      </c>
      <c r="E2159" s="1" t="s">
        <v>1357</v>
      </c>
      <c r="F2159" s="1" t="s">
        <v>966</v>
      </c>
      <c r="G2159" s="1" t="s">
        <v>1339</v>
      </c>
      <c r="H2159" s="1" t="s">
        <v>1619</v>
      </c>
      <c r="I2159" s="1" t="s">
        <v>4125</v>
      </c>
      <c r="J2159" s="1" t="s">
        <v>4126</v>
      </c>
      <c r="K2159" s="1" t="s">
        <v>1622</v>
      </c>
      <c r="L2159" s="1" t="s">
        <v>1007</v>
      </c>
      <c r="M2159" s="1" t="s">
        <v>2020</v>
      </c>
      <c r="N2159">
        <f>_xlfn.NUMBERVALUE(LEFT(Table11[[#This Row],[Score]],FIND("/",Table11[[#This Row],[Score]])-1))</f>
        <v>78</v>
      </c>
      <c r="O2159">
        <f>IFERROR(_xlfn.NUMBERVALUE(LEFT(Table11[[#This Row],[Score2 ]],FIND("/",Table11[[#This Row],[Score2 ]])-1)),"")</f>
        <v>133</v>
      </c>
      <c r="P2159" t="s">
        <v>176</v>
      </c>
      <c r="Q2159" s="1" t="s">
        <v>149</v>
      </c>
      <c r="R2159" t="str">
        <f>Table11[[#This Row],[Match]]&amp;" "&amp;Table11[[#This Row],[Over]]</f>
        <v>40 16</v>
      </c>
    </row>
    <row r="2160" spans="1:18" x14ac:dyDescent="0.3">
      <c r="A2160">
        <v>40</v>
      </c>
      <c r="B2160" s="1">
        <v>17</v>
      </c>
      <c r="C2160" s="1" t="s">
        <v>4127</v>
      </c>
      <c r="D2160" s="1" t="s">
        <v>968</v>
      </c>
      <c r="E2160" s="1" t="s">
        <v>1028</v>
      </c>
      <c r="F2160" s="1" t="s">
        <v>940</v>
      </c>
      <c r="N2160">
        <f>_xlfn.NUMBERVALUE(LEFT(Table11[[#This Row],[Score]],FIND("/",Table11[[#This Row],[Score]])-1))</f>
        <v>79</v>
      </c>
      <c r="O2160" t="str">
        <f>IFERROR(_xlfn.NUMBERVALUE(LEFT(Table11[[#This Row],[Score2 ]],FIND("/",Table11[[#This Row],[Score2 ]])-1)),"")</f>
        <v/>
      </c>
      <c r="P2160" t="s">
        <v>176</v>
      </c>
      <c r="Q2160" s="1" t="s">
        <v>149</v>
      </c>
      <c r="R2160" t="str">
        <f>Table11[[#This Row],[Match]]&amp;" "&amp;Table11[[#This Row],[Over]]</f>
        <v>40 17</v>
      </c>
    </row>
    <row r="2161" spans="1:18" x14ac:dyDescent="0.3">
      <c r="A2161">
        <v>40</v>
      </c>
      <c r="B2161" s="1">
        <v>18</v>
      </c>
      <c r="C2161" s="1" t="s">
        <v>4128</v>
      </c>
      <c r="D2161" s="1" t="s">
        <v>1051</v>
      </c>
      <c r="E2161" s="1" t="s">
        <v>969</v>
      </c>
      <c r="F2161" s="1" t="s">
        <v>1013</v>
      </c>
      <c r="N2161">
        <f>_xlfn.NUMBERVALUE(LEFT(Table11[[#This Row],[Score]],FIND("/",Table11[[#This Row],[Score]])-1))</f>
        <v>90</v>
      </c>
      <c r="O2161" t="str">
        <f>IFERROR(_xlfn.NUMBERVALUE(LEFT(Table11[[#This Row],[Score2 ]],FIND("/",Table11[[#This Row],[Score2 ]])-1)),"")</f>
        <v/>
      </c>
      <c r="P2161" t="s">
        <v>176</v>
      </c>
      <c r="Q2161" s="1" t="s">
        <v>149</v>
      </c>
      <c r="R2161" t="str">
        <f>Table11[[#This Row],[Match]]&amp;" "&amp;Table11[[#This Row],[Over]]</f>
        <v>40 18</v>
      </c>
    </row>
    <row r="2162" spans="1:18" x14ac:dyDescent="0.3">
      <c r="A2162">
        <v>40</v>
      </c>
      <c r="B2162" s="1">
        <v>19</v>
      </c>
      <c r="C2162" s="1" t="s">
        <v>3475</v>
      </c>
      <c r="D2162" s="1" t="s">
        <v>968</v>
      </c>
      <c r="E2162" s="1" t="s">
        <v>1180</v>
      </c>
      <c r="F2162" s="1" t="s">
        <v>966</v>
      </c>
      <c r="N2162">
        <f>_xlfn.NUMBERVALUE(LEFT(Table11[[#This Row],[Score]],FIND("/",Table11[[#This Row],[Score]])-1))</f>
        <v>91</v>
      </c>
      <c r="O2162" t="str">
        <f>IFERROR(_xlfn.NUMBERVALUE(LEFT(Table11[[#This Row],[Score2 ]],FIND("/",Table11[[#This Row],[Score2 ]])-1)),"")</f>
        <v/>
      </c>
      <c r="P2162" t="s">
        <v>176</v>
      </c>
      <c r="Q2162" s="1" t="s">
        <v>149</v>
      </c>
      <c r="R2162" t="str">
        <f>Table11[[#This Row],[Match]]&amp;" "&amp;Table11[[#This Row],[Over]]</f>
        <v>40 19</v>
      </c>
    </row>
    <row r="2163" spans="1:18" x14ac:dyDescent="0.3">
      <c r="A2163">
        <v>40</v>
      </c>
      <c r="B2163" s="1">
        <v>20</v>
      </c>
      <c r="C2163" s="1" t="s">
        <v>4129</v>
      </c>
      <c r="D2163" s="1" t="s">
        <v>998</v>
      </c>
      <c r="E2163" s="1" t="s">
        <v>1319</v>
      </c>
      <c r="F2163" s="1" t="s">
        <v>931</v>
      </c>
      <c r="N2163">
        <f>_xlfn.NUMBERVALUE(LEFT(Table11[[#This Row],[Score]],FIND("/",Table11[[#This Row],[Score]])-1))</f>
        <v>95</v>
      </c>
      <c r="O2163" t="str">
        <f>IFERROR(_xlfn.NUMBERVALUE(LEFT(Table11[[#This Row],[Score2 ]],FIND("/",Table11[[#This Row],[Score2 ]])-1)),"")</f>
        <v/>
      </c>
      <c r="P2163" t="s">
        <v>176</v>
      </c>
      <c r="Q2163" s="1" t="s">
        <v>149</v>
      </c>
      <c r="R2163" t="str">
        <f>Table11[[#This Row],[Match]]&amp;" "&amp;Table11[[#This Row],[Over]]</f>
        <v>40 20</v>
      </c>
    </row>
    <row r="2164" spans="1:18" x14ac:dyDescent="0.3">
      <c r="A2164">
        <v>40</v>
      </c>
      <c r="B2164" s="1">
        <v>21</v>
      </c>
      <c r="C2164" s="1" t="s">
        <v>4130</v>
      </c>
      <c r="D2164" s="1" t="s">
        <v>916</v>
      </c>
      <c r="E2164" s="1" t="s">
        <v>1174</v>
      </c>
      <c r="F2164" s="1" t="s">
        <v>1093</v>
      </c>
      <c r="N2164">
        <f>_xlfn.NUMBERVALUE(LEFT(Table11[[#This Row],[Score]],FIND("/",Table11[[#This Row],[Score]])-1))</f>
        <v>102</v>
      </c>
      <c r="O2164" t="str">
        <f>IFERROR(_xlfn.NUMBERVALUE(LEFT(Table11[[#This Row],[Score2 ]],FIND("/",Table11[[#This Row],[Score2 ]])-1)),"")</f>
        <v/>
      </c>
      <c r="P2164" t="s">
        <v>176</v>
      </c>
      <c r="Q2164" s="1" t="s">
        <v>149</v>
      </c>
      <c r="R2164" t="str">
        <f>Table11[[#This Row],[Match]]&amp;" "&amp;Table11[[#This Row],[Over]]</f>
        <v>40 21</v>
      </c>
    </row>
    <row r="2165" spans="1:18" x14ac:dyDescent="0.3">
      <c r="A2165">
        <v>40</v>
      </c>
      <c r="B2165" s="1">
        <v>22</v>
      </c>
      <c r="C2165" s="1" t="s">
        <v>4131</v>
      </c>
      <c r="D2165" s="1" t="s">
        <v>916</v>
      </c>
      <c r="E2165" s="1" t="s">
        <v>2672</v>
      </c>
      <c r="F2165" s="1" t="s">
        <v>1019</v>
      </c>
      <c r="N2165">
        <f>_xlfn.NUMBERVALUE(LEFT(Table11[[#This Row],[Score]],FIND("/",Table11[[#This Row],[Score]])-1))</f>
        <v>109</v>
      </c>
      <c r="O2165" t="str">
        <f>IFERROR(_xlfn.NUMBERVALUE(LEFT(Table11[[#This Row],[Score2 ]],FIND("/",Table11[[#This Row],[Score2 ]])-1)),"")</f>
        <v/>
      </c>
      <c r="P2165" t="s">
        <v>176</v>
      </c>
      <c r="Q2165" s="1" t="s">
        <v>149</v>
      </c>
      <c r="R2165" t="str">
        <f>Table11[[#This Row],[Match]]&amp;" "&amp;Table11[[#This Row],[Over]]</f>
        <v>40 22</v>
      </c>
    </row>
    <row r="2166" spans="1:18" x14ac:dyDescent="0.3">
      <c r="A2166">
        <v>40</v>
      </c>
      <c r="B2166" s="1">
        <v>23</v>
      </c>
      <c r="C2166" s="1" t="s">
        <v>4132</v>
      </c>
      <c r="D2166" s="1" t="s">
        <v>1103</v>
      </c>
      <c r="E2166" s="1" t="s">
        <v>2178</v>
      </c>
      <c r="F2166" s="1" t="s">
        <v>970</v>
      </c>
      <c r="N2166">
        <f>_xlfn.NUMBERVALUE(LEFT(Table11[[#This Row],[Score]],FIND("/",Table11[[#This Row],[Score]])-1))</f>
        <v>121</v>
      </c>
      <c r="O2166" t="str">
        <f>IFERROR(_xlfn.NUMBERVALUE(LEFT(Table11[[#This Row],[Score2 ]],FIND("/",Table11[[#This Row],[Score2 ]])-1)),"")</f>
        <v/>
      </c>
      <c r="P2166" t="s">
        <v>176</v>
      </c>
      <c r="Q2166" s="1" t="s">
        <v>149</v>
      </c>
      <c r="R2166" t="str">
        <f>Table11[[#This Row],[Match]]&amp;" "&amp;Table11[[#This Row],[Over]]</f>
        <v>40 23</v>
      </c>
    </row>
    <row r="2167" spans="1:18" x14ac:dyDescent="0.3">
      <c r="A2167">
        <v>40</v>
      </c>
      <c r="B2167" s="1">
        <v>24</v>
      </c>
      <c r="C2167" s="1" t="s">
        <v>1943</v>
      </c>
      <c r="D2167" s="1" t="s">
        <v>998</v>
      </c>
      <c r="E2167" s="1" t="s">
        <v>1029</v>
      </c>
      <c r="F2167" s="1" t="s">
        <v>1053</v>
      </c>
      <c r="N2167">
        <f>_xlfn.NUMBERVALUE(LEFT(Table11[[#This Row],[Score]],FIND("/",Table11[[#This Row],[Score]])-1))</f>
        <v>125</v>
      </c>
      <c r="O2167" t="str">
        <f>IFERROR(_xlfn.NUMBERVALUE(LEFT(Table11[[#This Row],[Score2 ]],FIND("/",Table11[[#This Row],[Score2 ]])-1)),"")</f>
        <v/>
      </c>
      <c r="P2167" t="s">
        <v>176</v>
      </c>
      <c r="Q2167" s="1" t="s">
        <v>149</v>
      </c>
      <c r="R2167" t="str">
        <f>Table11[[#This Row],[Match]]&amp;" "&amp;Table11[[#This Row],[Over]]</f>
        <v>40 24</v>
      </c>
    </row>
    <row r="2168" spans="1:18" x14ac:dyDescent="0.3">
      <c r="A2168">
        <v>40</v>
      </c>
      <c r="B2168" s="1">
        <v>25</v>
      </c>
      <c r="C2168" s="1" t="s">
        <v>4133</v>
      </c>
      <c r="D2168" s="1" t="s">
        <v>950</v>
      </c>
      <c r="E2168" s="1" t="s">
        <v>1029</v>
      </c>
      <c r="F2168" s="1" t="s">
        <v>952</v>
      </c>
      <c r="N2168">
        <f>_xlfn.NUMBERVALUE(LEFT(Table11[[#This Row],[Score]],FIND("/",Table11[[#This Row],[Score]])-1))</f>
        <v>130</v>
      </c>
      <c r="O2168" t="str">
        <f>IFERROR(_xlfn.NUMBERVALUE(LEFT(Table11[[#This Row],[Score2 ]],FIND("/",Table11[[#This Row],[Score2 ]])-1)),"")</f>
        <v/>
      </c>
      <c r="P2168" t="s">
        <v>176</v>
      </c>
      <c r="Q2168" s="1" t="s">
        <v>149</v>
      </c>
      <c r="R2168" t="str">
        <f>Table11[[#This Row],[Match]]&amp;" "&amp;Table11[[#This Row],[Over]]</f>
        <v>40 25</v>
      </c>
    </row>
    <row r="2169" spans="1:18" x14ac:dyDescent="0.3">
      <c r="A2169">
        <v>40</v>
      </c>
      <c r="B2169" s="1">
        <v>26</v>
      </c>
      <c r="C2169" s="1" t="s">
        <v>4134</v>
      </c>
      <c r="D2169" s="1" t="s">
        <v>1966</v>
      </c>
      <c r="E2169" s="1" t="s">
        <v>4135</v>
      </c>
      <c r="F2169" s="1" t="s">
        <v>3059</v>
      </c>
      <c r="N2169">
        <f>_xlfn.NUMBERVALUE(LEFT(Table11[[#This Row],[Score]],FIND("/",Table11[[#This Row],[Score]])-1))</f>
        <v>130</v>
      </c>
      <c r="O2169" t="str">
        <f>IFERROR(_xlfn.NUMBERVALUE(LEFT(Table11[[#This Row],[Score2 ]],FIND("/",Table11[[#This Row],[Score2 ]])-1)),"")</f>
        <v/>
      </c>
      <c r="P2169" t="s">
        <v>176</v>
      </c>
      <c r="Q2169" s="1" t="s">
        <v>149</v>
      </c>
      <c r="R2169" t="str">
        <f>Table11[[#This Row],[Match]]&amp;" "&amp;Table11[[#This Row],[Over]]</f>
        <v>40 26</v>
      </c>
    </row>
    <row r="2170" spans="1:18" x14ac:dyDescent="0.3">
      <c r="A2170">
        <v>41</v>
      </c>
      <c r="B2170" s="1">
        <v>1</v>
      </c>
      <c r="C2170" s="1" t="s">
        <v>1418</v>
      </c>
      <c r="D2170" s="1" t="s">
        <v>904</v>
      </c>
      <c r="E2170" s="1" t="s">
        <v>1238</v>
      </c>
      <c r="F2170" s="1" t="s">
        <v>348</v>
      </c>
      <c r="G2170" s="1" t="s">
        <v>915</v>
      </c>
      <c r="H2170" s="1" t="s">
        <v>1051</v>
      </c>
      <c r="I2170" s="1" t="s">
        <v>1213</v>
      </c>
      <c r="J2170" s="1" t="s">
        <v>348</v>
      </c>
      <c r="K2170" s="1" t="s">
        <v>1271</v>
      </c>
      <c r="L2170" s="1" t="s">
        <v>2707</v>
      </c>
      <c r="M2170" s="1" t="s">
        <v>902</v>
      </c>
      <c r="N2170">
        <f>_xlfn.NUMBERVALUE(LEFT(Table11[[#This Row],[Score]],FIND("/",Table11[[#This Row],[Score]])-1))</f>
        <v>3</v>
      </c>
      <c r="O2170">
        <f>IFERROR(_xlfn.NUMBERVALUE(LEFT(Table11[[#This Row],[Score2 ]],FIND("/",Table11[[#This Row],[Score2 ]])-1)),"")</f>
        <v>11</v>
      </c>
      <c r="P2170" t="s">
        <v>164</v>
      </c>
      <c r="Q2170" s="1" t="s">
        <v>170</v>
      </c>
      <c r="R2170" t="str">
        <f>Table11[[#This Row],[Match]]&amp;" "&amp;Table11[[#This Row],[Over]]</f>
        <v>41 1</v>
      </c>
    </row>
    <row r="2171" spans="1:18" x14ac:dyDescent="0.3">
      <c r="A2171">
        <v>41</v>
      </c>
      <c r="B2171" s="1">
        <v>2</v>
      </c>
      <c r="C2171" s="1" t="s">
        <v>1421</v>
      </c>
      <c r="D2171" s="1" t="s">
        <v>916</v>
      </c>
      <c r="E2171" s="1" t="s">
        <v>969</v>
      </c>
      <c r="F2171" s="1" t="s">
        <v>348</v>
      </c>
      <c r="G2171" s="1" t="s">
        <v>2326</v>
      </c>
      <c r="H2171" s="1" t="s">
        <v>916</v>
      </c>
      <c r="I2171" s="1" t="s">
        <v>1161</v>
      </c>
      <c r="J2171" s="1" t="s">
        <v>348</v>
      </c>
      <c r="K2171" s="1" t="s">
        <v>1472</v>
      </c>
      <c r="L2171" s="1" t="s">
        <v>1538</v>
      </c>
      <c r="M2171" s="1" t="s">
        <v>909</v>
      </c>
      <c r="N2171">
        <f>_xlfn.NUMBERVALUE(LEFT(Table11[[#This Row],[Score]],FIND("/",Table11[[#This Row],[Score]])-1))</f>
        <v>10</v>
      </c>
      <c r="O2171">
        <f>IFERROR(_xlfn.NUMBERVALUE(LEFT(Table11[[#This Row],[Score2 ]],FIND("/",Table11[[#This Row],[Score2 ]])-1)),"")</f>
        <v>18</v>
      </c>
      <c r="P2171" t="s">
        <v>164</v>
      </c>
      <c r="Q2171" s="1" t="s">
        <v>170</v>
      </c>
      <c r="R2171" t="str">
        <f>Table11[[#This Row],[Match]]&amp;" "&amp;Table11[[#This Row],[Over]]</f>
        <v>41 2</v>
      </c>
    </row>
    <row r="2172" spans="1:18" x14ac:dyDescent="0.3">
      <c r="A2172">
        <v>41</v>
      </c>
      <c r="B2172" s="1">
        <v>3</v>
      </c>
      <c r="C2172" s="1" t="s">
        <v>921</v>
      </c>
      <c r="D2172" s="1" t="s">
        <v>904</v>
      </c>
      <c r="E2172" s="1" t="s">
        <v>989</v>
      </c>
      <c r="F2172" s="1" t="s">
        <v>348</v>
      </c>
      <c r="G2172" s="1" t="s">
        <v>946</v>
      </c>
      <c r="H2172" s="1" t="s">
        <v>1147</v>
      </c>
      <c r="I2172" s="1" t="s">
        <v>1213</v>
      </c>
      <c r="J2172" s="1" t="s">
        <v>348</v>
      </c>
      <c r="K2172" s="1" t="s">
        <v>1697</v>
      </c>
      <c r="L2172" s="1" t="s">
        <v>2469</v>
      </c>
      <c r="M2172" s="1" t="s">
        <v>920</v>
      </c>
      <c r="N2172">
        <f>_xlfn.NUMBERVALUE(LEFT(Table11[[#This Row],[Score]],FIND("/",Table11[[#This Row],[Score]])-1))</f>
        <v>13</v>
      </c>
      <c r="O2172">
        <f>IFERROR(_xlfn.NUMBERVALUE(LEFT(Table11[[#This Row],[Score2 ]],FIND("/",Table11[[#This Row],[Score2 ]])-1)),"")</f>
        <v>33</v>
      </c>
      <c r="P2172" t="s">
        <v>164</v>
      </c>
      <c r="Q2172" s="1" t="s">
        <v>170</v>
      </c>
      <c r="R2172" t="str">
        <f>Table11[[#This Row],[Match]]&amp;" "&amp;Table11[[#This Row],[Over]]</f>
        <v>41 3</v>
      </c>
    </row>
    <row r="2173" spans="1:18" x14ac:dyDescent="0.3">
      <c r="A2173">
        <v>41</v>
      </c>
      <c r="B2173" s="1">
        <v>4</v>
      </c>
      <c r="C2173" s="1" t="s">
        <v>1423</v>
      </c>
      <c r="D2173" s="1" t="s">
        <v>1007</v>
      </c>
      <c r="E2173" s="1" t="s">
        <v>923</v>
      </c>
      <c r="F2173" s="1" t="s">
        <v>348</v>
      </c>
      <c r="G2173" s="1" t="s">
        <v>2995</v>
      </c>
      <c r="H2173" s="1" t="s">
        <v>1007</v>
      </c>
      <c r="I2173" s="1" t="s">
        <v>3392</v>
      </c>
      <c r="J2173" s="1" t="s">
        <v>348</v>
      </c>
      <c r="K2173" s="1" t="s">
        <v>1714</v>
      </c>
      <c r="L2173" s="1" t="s">
        <v>2469</v>
      </c>
      <c r="M2173" s="1" t="s">
        <v>928</v>
      </c>
      <c r="N2173">
        <f>_xlfn.NUMBERVALUE(LEFT(Table11[[#This Row],[Score]],FIND("/",Table11[[#This Row],[Score]])-1))</f>
        <v>13</v>
      </c>
      <c r="O2173">
        <f>IFERROR(_xlfn.NUMBERVALUE(LEFT(Table11[[#This Row],[Score2 ]],FIND("/",Table11[[#This Row],[Score2 ]])-1)),"")</f>
        <v>33</v>
      </c>
      <c r="P2173" t="s">
        <v>164</v>
      </c>
      <c r="Q2173" s="1" t="s">
        <v>170</v>
      </c>
      <c r="R2173" t="str">
        <f>Table11[[#This Row],[Match]]&amp;" "&amp;Table11[[#This Row],[Over]]</f>
        <v>41 4</v>
      </c>
    </row>
    <row r="2174" spans="1:18" x14ac:dyDescent="0.3">
      <c r="A2174">
        <v>41</v>
      </c>
      <c r="B2174" s="1">
        <v>5</v>
      </c>
      <c r="C2174" s="1" t="s">
        <v>3147</v>
      </c>
      <c r="D2174" s="1" t="s">
        <v>898</v>
      </c>
      <c r="E2174" s="1" t="s">
        <v>1238</v>
      </c>
      <c r="F2174" s="1" t="s">
        <v>1238</v>
      </c>
      <c r="G2174" s="1" t="s">
        <v>1270</v>
      </c>
      <c r="H2174" s="1" t="s">
        <v>998</v>
      </c>
      <c r="I2174" s="1" t="s">
        <v>1068</v>
      </c>
      <c r="J2174" s="1" t="s">
        <v>1068</v>
      </c>
      <c r="K2174" s="1" t="s">
        <v>3584</v>
      </c>
      <c r="L2174" s="1" t="s">
        <v>1544</v>
      </c>
      <c r="M2174" s="1" t="s">
        <v>937</v>
      </c>
      <c r="N2174">
        <f>_xlfn.NUMBERVALUE(LEFT(Table11[[#This Row],[Score]],FIND("/",Table11[[#This Row],[Score]])-1))</f>
        <v>15</v>
      </c>
      <c r="O2174">
        <f>IFERROR(_xlfn.NUMBERVALUE(LEFT(Table11[[#This Row],[Score2 ]],FIND("/",Table11[[#This Row],[Score2 ]])-1)),"")</f>
        <v>37</v>
      </c>
      <c r="P2174" t="s">
        <v>164</v>
      </c>
      <c r="Q2174" s="1" t="s">
        <v>170</v>
      </c>
      <c r="R2174" t="str">
        <f>Table11[[#This Row],[Match]]&amp;" "&amp;Table11[[#This Row],[Over]]</f>
        <v>41 5</v>
      </c>
    </row>
    <row r="2175" spans="1:18" x14ac:dyDescent="0.3">
      <c r="A2175">
        <v>41</v>
      </c>
      <c r="B2175" s="1">
        <v>6</v>
      </c>
      <c r="C2175" s="1" t="s">
        <v>4136</v>
      </c>
      <c r="D2175" s="1" t="s">
        <v>898</v>
      </c>
      <c r="E2175" s="1" t="s">
        <v>1656</v>
      </c>
      <c r="F2175" s="1" t="s">
        <v>993</v>
      </c>
      <c r="G2175" s="1" t="s">
        <v>958</v>
      </c>
      <c r="H2175" s="1" t="s">
        <v>916</v>
      </c>
      <c r="I2175" s="1" t="s">
        <v>2092</v>
      </c>
      <c r="J2175" s="1" t="s">
        <v>960</v>
      </c>
      <c r="K2175" s="1" t="s">
        <v>1238</v>
      </c>
      <c r="L2175" s="1" t="s">
        <v>1101</v>
      </c>
      <c r="M2175" s="1" t="s">
        <v>945</v>
      </c>
      <c r="N2175">
        <f>_xlfn.NUMBERVALUE(LEFT(Table11[[#This Row],[Score]],FIND("/",Table11[[#This Row],[Score]])-1))</f>
        <v>17</v>
      </c>
      <c r="O2175">
        <f>IFERROR(_xlfn.NUMBERVALUE(LEFT(Table11[[#This Row],[Score2 ]],FIND("/",Table11[[#This Row],[Score2 ]])-1)),"")</f>
        <v>44</v>
      </c>
      <c r="P2175" t="s">
        <v>164</v>
      </c>
      <c r="Q2175" s="1" t="s">
        <v>170</v>
      </c>
      <c r="R2175" t="str">
        <f>Table11[[#This Row],[Match]]&amp;" "&amp;Table11[[#This Row],[Over]]</f>
        <v>41 6</v>
      </c>
    </row>
    <row r="2176" spans="1:18" x14ac:dyDescent="0.3">
      <c r="A2176">
        <v>41</v>
      </c>
      <c r="B2176" s="1">
        <v>7</v>
      </c>
      <c r="C2176" s="1" t="s">
        <v>4137</v>
      </c>
      <c r="D2176" s="1" t="s">
        <v>916</v>
      </c>
      <c r="E2176" s="1" t="s">
        <v>1490</v>
      </c>
      <c r="F2176" s="1" t="s">
        <v>993</v>
      </c>
      <c r="G2176" s="1" t="s">
        <v>1281</v>
      </c>
      <c r="H2176" s="1" t="s">
        <v>950</v>
      </c>
      <c r="I2176" s="1" t="s">
        <v>952</v>
      </c>
      <c r="J2176" s="1" t="s">
        <v>970</v>
      </c>
      <c r="K2176" s="1" t="s">
        <v>1700</v>
      </c>
      <c r="L2176" s="1" t="s">
        <v>1871</v>
      </c>
      <c r="M2176" s="1" t="s">
        <v>955</v>
      </c>
      <c r="N2176">
        <f>_xlfn.NUMBERVALUE(LEFT(Table11[[#This Row],[Score]],FIND("/",Table11[[#This Row],[Score]])-1))</f>
        <v>24</v>
      </c>
      <c r="O2176">
        <f>IFERROR(_xlfn.NUMBERVALUE(LEFT(Table11[[#This Row],[Score2 ]],FIND("/",Table11[[#This Row],[Score2 ]])-1)),"")</f>
        <v>49</v>
      </c>
      <c r="P2176" t="s">
        <v>164</v>
      </c>
      <c r="Q2176" s="1" t="s">
        <v>170</v>
      </c>
      <c r="R2176" t="str">
        <f>Table11[[#This Row],[Match]]&amp;" "&amp;Table11[[#This Row],[Over]]</f>
        <v>41 7</v>
      </c>
    </row>
    <row r="2177" spans="1:18" x14ac:dyDescent="0.3">
      <c r="A2177">
        <v>41</v>
      </c>
      <c r="B2177" s="1">
        <v>8</v>
      </c>
      <c r="C2177" s="1" t="s">
        <v>2805</v>
      </c>
      <c r="D2177" s="1" t="s">
        <v>968</v>
      </c>
      <c r="E2177" s="1" t="s">
        <v>1858</v>
      </c>
      <c r="F2177" s="1" t="s">
        <v>1088</v>
      </c>
      <c r="G2177" s="1" t="s">
        <v>1458</v>
      </c>
      <c r="H2177" s="1" t="s">
        <v>947</v>
      </c>
      <c r="I2177" s="1" t="s">
        <v>1061</v>
      </c>
      <c r="J2177" s="1" t="s">
        <v>969</v>
      </c>
      <c r="K2177" s="1" t="s">
        <v>993</v>
      </c>
      <c r="L2177" s="1" t="s">
        <v>1559</v>
      </c>
      <c r="M2177" s="1" t="s">
        <v>963</v>
      </c>
      <c r="N2177">
        <f>_xlfn.NUMBERVALUE(LEFT(Table11[[#This Row],[Score]],FIND("/",Table11[[#This Row],[Score]])-1))</f>
        <v>25</v>
      </c>
      <c r="O2177">
        <f>IFERROR(_xlfn.NUMBERVALUE(LEFT(Table11[[#This Row],[Score2 ]],FIND("/",Table11[[#This Row],[Score2 ]])-1)),"")</f>
        <v>58</v>
      </c>
      <c r="P2177" t="s">
        <v>164</v>
      </c>
      <c r="Q2177" s="1" t="s">
        <v>170</v>
      </c>
      <c r="R2177" t="str">
        <f>Table11[[#This Row],[Match]]&amp;" "&amp;Table11[[#This Row],[Over]]</f>
        <v>41 8</v>
      </c>
    </row>
    <row r="2178" spans="1:18" x14ac:dyDescent="0.3">
      <c r="A2178">
        <v>41</v>
      </c>
      <c r="B2178" s="1">
        <v>9</v>
      </c>
      <c r="C2178" s="1" t="s">
        <v>4138</v>
      </c>
      <c r="D2178" s="1" t="s">
        <v>998</v>
      </c>
      <c r="E2178" s="1" t="s">
        <v>2577</v>
      </c>
      <c r="F2178" s="1" t="s">
        <v>1259</v>
      </c>
      <c r="G2178" s="1" t="s">
        <v>2455</v>
      </c>
      <c r="H2178" s="1" t="s">
        <v>998</v>
      </c>
      <c r="I2178" s="1" t="s">
        <v>1742</v>
      </c>
      <c r="J2178" s="1" t="s">
        <v>1013</v>
      </c>
      <c r="K2178" s="1" t="s">
        <v>2622</v>
      </c>
      <c r="L2178" s="1" t="s">
        <v>1121</v>
      </c>
      <c r="M2178" s="1" t="s">
        <v>973</v>
      </c>
      <c r="N2178">
        <f>_xlfn.NUMBERVALUE(LEFT(Table11[[#This Row],[Score]],FIND("/",Table11[[#This Row],[Score]])-1))</f>
        <v>29</v>
      </c>
      <c r="O2178">
        <f>IFERROR(_xlfn.NUMBERVALUE(LEFT(Table11[[#This Row],[Score2 ]],FIND("/",Table11[[#This Row],[Score2 ]])-1)),"")</f>
        <v>62</v>
      </c>
      <c r="P2178" t="s">
        <v>164</v>
      </c>
      <c r="Q2178" s="1" t="s">
        <v>170</v>
      </c>
      <c r="R2178" t="str">
        <f>Table11[[#This Row],[Match]]&amp;" "&amp;Table11[[#This Row],[Over]]</f>
        <v>41 9</v>
      </c>
    </row>
    <row r="2179" spans="1:18" x14ac:dyDescent="0.3">
      <c r="A2179">
        <v>41</v>
      </c>
      <c r="B2179" s="1">
        <v>10</v>
      </c>
      <c r="C2179" s="1" t="s">
        <v>4139</v>
      </c>
      <c r="D2179" s="1" t="s">
        <v>898</v>
      </c>
      <c r="E2179" s="1" t="s">
        <v>1714</v>
      </c>
      <c r="F2179" s="1" t="s">
        <v>1259</v>
      </c>
      <c r="G2179" s="1" t="s">
        <v>1467</v>
      </c>
      <c r="H2179" s="1" t="s">
        <v>916</v>
      </c>
      <c r="I2179" s="1" t="s">
        <v>1818</v>
      </c>
      <c r="J2179" s="1" t="s">
        <v>943</v>
      </c>
      <c r="K2179" s="1" t="s">
        <v>4140</v>
      </c>
      <c r="L2179" s="1" t="s">
        <v>1176</v>
      </c>
      <c r="M2179" s="1" t="s">
        <v>980</v>
      </c>
      <c r="N2179">
        <f>_xlfn.NUMBERVALUE(LEFT(Table11[[#This Row],[Score]],FIND("/",Table11[[#This Row],[Score]])-1))</f>
        <v>31</v>
      </c>
      <c r="O2179">
        <f>IFERROR(_xlfn.NUMBERVALUE(LEFT(Table11[[#This Row],[Score2 ]],FIND("/",Table11[[#This Row],[Score2 ]])-1)),"")</f>
        <v>69</v>
      </c>
      <c r="P2179" t="s">
        <v>164</v>
      </c>
      <c r="Q2179" s="1" t="s">
        <v>170</v>
      </c>
      <c r="R2179" t="str">
        <f>Table11[[#This Row],[Match]]&amp;" "&amp;Table11[[#This Row],[Over]]</f>
        <v>41 10</v>
      </c>
    </row>
    <row r="2180" spans="1:18" x14ac:dyDescent="0.3">
      <c r="A2180">
        <v>41</v>
      </c>
      <c r="B2180" s="1">
        <v>11</v>
      </c>
      <c r="C2180" s="1" t="s">
        <v>2811</v>
      </c>
      <c r="D2180" s="1" t="s">
        <v>947</v>
      </c>
      <c r="E2180" s="1" t="s">
        <v>2656</v>
      </c>
      <c r="F2180" s="1" t="s">
        <v>976</v>
      </c>
      <c r="G2180" s="1" t="s">
        <v>3094</v>
      </c>
      <c r="H2180" s="1" t="s">
        <v>1051</v>
      </c>
      <c r="I2180" s="1" t="s">
        <v>1309</v>
      </c>
      <c r="J2180" s="1" t="s">
        <v>1116</v>
      </c>
      <c r="K2180" s="1" t="s">
        <v>3918</v>
      </c>
      <c r="L2180" s="1" t="s">
        <v>1138</v>
      </c>
      <c r="M2180" s="1" t="s">
        <v>987</v>
      </c>
      <c r="N2180">
        <f>_xlfn.NUMBERVALUE(LEFT(Table11[[#This Row],[Score]],FIND("/",Table11[[#This Row],[Score]])-1))</f>
        <v>40</v>
      </c>
      <c r="O2180">
        <f>IFERROR(_xlfn.NUMBERVALUE(LEFT(Table11[[#This Row],[Score2 ]],FIND("/",Table11[[#This Row],[Score2 ]])-1)),"")</f>
        <v>80</v>
      </c>
      <c r="P2180" t="s">
        <v>164</v>
      </c>
      <c r="Q2180" s="1" t="s">
        <v>170</v>
      </c>
      <c r="R2180" t="str">
        <f>Table11[[#This Row],[Match]]&amp;" "&amp;Table11[[#This Row],[Over]]</f>
        <v>41 11</v>
      </c>
    </row>
    <row r="2181" spans="1:18" x14ac:dyDescent="0.3">
      <c r="A2181">
        <v>41</v>
      </c>
      <c r="B2181" s="1">
        <v>12</v>
      </c>
      <c r="C2181" s="1" t="s">
        <v>4141</v>
      </c>
      <c r="D2181" s="1" t="s">
        <v>898</v>
      </c>
      <c r="E2181" s="1" t="s">
        <v>925</v>
      </c>
      <c r="F2181" s="1" t="s">
        <v>977</v>
      </c>
      <c r="G2181" s="1" t="s">
        <v>3254</v>
      </c>
      <c r="H2181" s="1" t="s">
        <v>950</v>
      </c>
      <c r="I2181" s="1" t="s">
        <v>2210</v>
      </c>
      <c r="J2181" s="1" t="s">
        <v>1116</v>
      </c>
      <c r="K2181" s="1" t="s">
        <v>3069</v>
      </c>
      <c r="L2181" s="1" t="s">
        <v>1576</v>
      </c>
      <c r="M2181" s="1" t="s">
        <v>996</v>
      </c>
      <c r="N2181">
        <f>_xlfn.NUMBERVALUE(LEFT(Table11[[#This Row],[Score]],FIND("/",Table11[[#This Row],[Score]])-1))</f>
        <v>42</v>
      </c>
      <c r="O2181">
        <f>IFERROR(_xlfn.NUMBERVALUE(LEFT(Table11[[#This Row],[Score2 ]],FIND("/",Table11[[#This Row],[Score2 ]])-1)),"")</f>
        <v>85</v>
      </c>
      <c r="P2181" t="s">
        <v>164</v>
      </c>
      <c r="Q2181" s="1" t="s">
        <v>170</v>
      </c>
      <c r="R2181" t="str">
        <f>Table11[[#This Row],[Match]]&amp;" "&amp;Table11[[#This Row],[Over]]</f>
        <v>41 12</v>
      </c>
    </row>
    <row r="2182" spans="1:18" x14ac:dyDescent="0.3">
      <c r="A2182">
        <v>41</v>
      </c>
      <c r="B2182" s="1">
        <v>13</v>
      </c>
      <c r="C2182" s="1" t="s">
        <v>1675</v>
      </c>
      <c r="D2182" s="1" t="s">
        <v>898</v>
      </c>
      <c r="E2182" s="1" t="s">
        <v>1879</v>
      </c>
      <c r="F2182" s="1" t="s">
        <v>990</v>
      </c>
      <c r="G2182" s="1" t="s">
        <v>2699</v>
      </c>
      <c r="H2182" s="1" t="s">
        <v>947</v>
      </c>
      <c r="I2182" s="1" t="s">
        <v>1776</v>
      </c>
      <c r="J2182" s="1" t="s">
        <v>1116</v>
      </c>
      <c r="K2182" s="1" t="s">
        <v>3861</v>
      </c>
      <c r="L2182" s="1" t="s">
        <v>1797</v>
      </c>
      <c r="M2182" s="1" t="s">
        <v>1004</v>
      </c>
      <c r="N2182">
        <f>_xlfn.NUMBERVALUE(LEFT(Table11[[#This Row],[Score]],FIND("/",Table11[[#This Row],[Score]])-1))</f>
        <v>44</v>
      </c>
      <c r="O2182">
        <f>IFERROR(_xlfn.NUMBERVALUE(LEFT(Table11[[#This Row],[Score2 ]],FIND("/",Table11[[#This Row],[Score2 ]])-1)),"")</f>
        <v>94</v>
      </c>
      <c r="P2182" t="s">
        <v>164</v>
      </c>
      <c r="Q2182" s="1" t="s">
        <v>170</v>
      </c>
      <c r="R2182" t="str">
        <f>Table11[[#This Row],[Match]]&amp;" "&amp;Table11[[#This Row],[Over]]</f>
        <v>41 13</v>
      </c>
    </row>
    <row r="2183" spans="1:18" x14ac:dyDescent="0.3">
      <c r="A2183">
        <v>41</v>
      </c>
      <c r="B2183" s="1">
        <v>14</v>
      </c>
      <c r="C2183" s="1" t="s">
        <v>4142</v>
      </c>
      <c r="D2183" s="1" t="s">
        <v>904</v>
      </c>
      <c r="E2183" s="1" t="s">
        <v>2615</v>
      </c>
      <c r="F2183" s="1" t="s">
        <v>977</v>
      </c>
      <c r="G2183" s="1" t="s">
        <v>1066</v>
      </c>
      <c r="H2183" s="1" t="s">
        <v>916</v>
      </c>
      <c r="I2183" s="1" t="s">
        <v>2934</v>
      </c>
      <c r="J2183" s="1" t="s">
        <v>1168</v>
      </c>
      <c r="K2183" s="1" t="s">
        <v>2612</v>
      </c>
      <c r="L2183" s="1" t="s">
        <v>3160</v>
      </c>
      <c r="M2183" s="1" t="s">
        <v>1010</v>
      </c>
      <c r="N2183">
        <f>_xlfn.NUMBERVALUE(LEFT(Table11[[#This Row],[Score]],FIND("/",Table11[[#This Row],[Score]])-1))</f>
        <v>47</v>
      </c>
      <c r="O2183">
        <f>IFERROR(_xlfn.NUMBERVALUE(LEFT(Table11[[#This Row],[Score2 ]],FIND("/",Table11[[#This Row],[Score2 ]])-1)),"")</f>
        <v>101</v>
      </c>
      <c r="P2183" t="s">
        <v>164</v>
      </c>
      <c r="Q2183" s="1" t="s">
        <v>170</v>
      </c>
      <c r="R2183" t="str">
        <f>Table11[[#This Row],[Match]]&amp;" "&amp;Table11[[#This Row],[Over]]</f>
        <v>41 14</v>
      </c>
    </row>
    <row r="2184" spans="1:18" x14ac:dyDescent="0.3">
      <c r="A2184">
        <v>41</v>
      </c>
      <c r="B2184" s="1">
        <v>15</v>
      </c>
      <c r="C2184" s="1" t="s">
        <v>4143</v>
      </c>
      <c r="D2184" s="1" t="s">
        <v>898</v>
      </c>
      <c r="E2184" s="1" t="s">
        <v>3284</v>
      </c>
      <c r="F2184" s="1" t="s">
        <v>977</v>
      </c>
      <c r="G2184" s="1" t="s">
        <v>2708</v>
      </c>
      <c r="H2184" s="1" t="s">
        <v>930</v>
      </c>
      <c r="I2184" s="1" t="s">
        <v>2726</v>
      </c>
      <c r="J2184" s="1" t="s">
        <v>1089</v>
      </c>
      <c r="K2184" s="1" t="s">
        <v>4098</v>
      </c>
      <c r="L2184" s="1" t="s">
        <v>2495</v>
      </c>
      <c r="M2184" s="1" t="s">
        <v>1016</v>
      </c>
      <c r="N2184">
        <f>_xlfn.NUMBERVALUE(LEFT(Table11[[#This Row],[Score]],FIND("/",Table11[[#This Row],[Score]])-1))</f>
        <v>49</v>
      </c>
      <c r="O2184">
        <f>IFERROR(_xlfn.NUMBERVALUE(LEFT(Table11[[#This Row],[Score2 ]],FIND("/",Table11[[#This Row],[Score2 ]])-1)),"")</f>
        <v>109</v>
      </c>
      <c r="P2184" t="s">
        <v>164</v>
      </c>
      <c r="Q2184" s="1" t="s">
        <v>170</v>
      </c>
      <c r="R2184" t="str">
        <f>Table11[[#This Row],[Match]]&amp;" "&amp;Table11[[#This Row],[Over]]</f>
        <v>41 15</v>
      </c>
    </row>
    <row r="2185" spans="1:18" x14ac:dyDescent="0.3">
      <c r="A2185">
        <v>41</v>
      </c>
      <c r="B2185" s="1">
        <v>16</v>
      </c>
      <c r="C2185" s="1" t="s">
        <v>4144</v>
      </c>
      <c r="D2185" s="1" t="s">
        <v>968</v>
      </c>
      <c r="E2185" s="1" t="s">
        <v>1858</v>
      </c>
      <c r="F2185" s="1" t="s">
        <v>899</v>
      </c>
      <c r="G2185" s="1" t="s">
        <v>2637</v>
      </c>
      <c r="H2185" s="1" t="s">
        <v>898</v>
      </c>
      <c r="I2185" s="1" t="s">
        <v>1036</v>
      </c>
      <c r="J2185" s="1" t="s">
        <v>970</v>
      </c>
      <c r="K2185" s="1" t="s">
        <v>4098</v>
      </c>
      <c r="L2185" s="1" t="s">
        <v>1910</v>
      </c>
      <c r="M2185" s="1" t="s">
        <v>1024</v>
      </c>
      <c r="N2185">
        <f>_xlfn.NUMBERVALUE(LEFT(Table11[[#This Row],[Score]],FIND("/",Table11[[#This Row],[Score]])-1))</f>
        <v>50</v>
      </c>
      <c r="O2185">
        <f>IFERROR(_xlfn.NUMBERVALUE(LEFT(Table11[[#This Row],[Score2 ]],FIND("/",Table11[[#This Row],[Score2 ]])-1)),"")</f>
        <v>111</v>
      </c>
      <c r="P2185" t="s">
        <v>164</v>
      </c>
      <c r="Q2185" s="1" t="s">
        <v>170</v>
      </c>
      <c r="R2185" t="str">
        <f>Table11[[#This Row],[Match]]&amp;" "&amp;Table11[[#This Row],[Over]]</f>
        <v>41 16</v>
      </c>
    </row>
    <row r="2186" spans="1:18" x14ac:dyDescent="0.3">
      <c r="A2186">
        <v>41</v>
      </c>
      <c r="B2186" s="1">
        <v>17</v>
      </c>
      <c r="C2186" s="1" t="s">
        <v>4145</v>
      </c>
      <c r="D2186" s="1" t="s">
        <v>922</v>
      </c>
      <c r="E2186" s="1" t="s">
        <v>1472</v>
      </c>
      <c r="F2186" s="1" t="s">
        <v>993</v>
      </c>
      <c r="G2186" s="1" t="s">
        <v>3289</v>
      </c>
      <c r="H2186" s="1" t="s">
        <v>916</v>
      </c>
      <c r="I2186" s="1" t="s">
        <v>1768</v>
      </c>
      <c r="J2186" s="1" t="s">
        <v>960</v>
      </c>
      <c r="K2186" s="1" t="s">
        <v>1939</v>
      </c>
      <c r="L2186" s="1" t="s">
        <v>1403</v>
      </c>
      <c r="M2186" s="1" t="s">
        <v>1031</v>
      </c>
      <c r="N2186">
        <f>_xlfn.NUMBERVALUE(LEFT(Table11[[#This Row],[Score]],FIND("/",Table11[[#This Row],[Score]])-1))</f>
        <v>56</v>
      </c>
      <c r="O2186">
        <f>IFERROR(_xlfn.NUMBERVALUE(LEFT(Table11[[#This Row],[Score2 ]],FIND("/",Table11[[#This Row],[Score2 ]])-1)),"")</f>
        <v>118</v>
      </c>
      <c r="P2186" t="s">
        <v>164</v>
      </c>
      <c r="Q2186" s="1" t="s">
        <v>170</v>
      </c>
      <c r="R2186" t="str">
        <f>Table11[[#This Row],[Match]]&amp;" "&amp;Table11[[#This Row],[Over]]</f>
        <v>41 17</v>
      </c>
    </row>
    <row r="2187" spans="1:18" x14ac:dyDescent="0.3">
      <c r="A2187">
        <v>41</v>
      </c>
      <c r="B2187" s="1">
        <v>18</v>
      </c>
      <c r="C2187" s="1" t="s">
        <v>4146</v>
      </c>
      <c r="D2187" s="1" t="s">
        <v>998</v>
      </c>
      <c r="E2187" s="1" t="s">
        <v>1265</v>
      </c>
      <c r="F2187" s="1" t="s">
        <v>1259</v>
      </c>
      <c r="G2187" s="1" t="s">
        <v>3203</v>
      </c>
      <c r="H2187" s="1" t="s">
        <v>898</v>
      </c>
      <c r="I2187" s="1" t="s">
        <v>1260</v>
      </c>
      <c r="J2187" s="1" t="s">
        <v>1029</v>
      </c>
      <c r="K2187" s="1" t="s">
        <v>1939</v>
      </c>
      <c r="L2187" s="1" t="s">
        <v>3366</v>
      </c>
      <c r="M2187" s="1" t="s">
        <v>1037</v>
      </c>
      <c r="N2187">
        <f>_xlfn.NUMBERVALUE(LEFT(Table11[[#This Row],[Score]],FIND("/",Table11[[#This Row],[Score]])-1))</f>
        <v>60</v>
      </c>
      <c r="O2187">
        <f>IFERROR(_xlfn.NUMBERVALUE(LEFT(Table11[[#This Row],[Score2 ]],FIND("/",Table11[[#This Row],[Score2 ]])-1)),"")</f>
        <v>120</v>
      </c>
      <c r="P2187" t="s">
        <v>164</v>
      </c>
      <c r="Q2187" s="1" t="s">
        <v>170</v>
      </c>
      <c r="R2187" t="str">
        <f>Table11[[#This Row],[Match]]&amp;" "&amp;Table11[[#This Row],[Over]]</f>
        <v>41 18</v>
      </c>
    </row>
    <row r="2188" spans="1:18" x14ac:dyDescent="0.3">
      <c r="A2188">
        <v>41</v>
      </c>
      <c r="B2188" s="1">
        <v>19</v>
      </c>
      <c r="C2188" s="1" t="s">
        <v>4147</v>
      </c>
      <c r="D2188" s="1" t="s">
        <v>922</v>
      </c>
      <c r="E2188" s="1" t="s">
        <v>1944</v>
      </c>
      <c r="F2188" s="1" t="s">
        <v>990</v>
      </c>
      <c r="G2188" s="1" t="s">
        <v>2373</v>
      </c>
      <c r="H2188" s="1" t="s">
        <v>950</v>
      </c>
      <c r="I2188" s="1" t="s">
        <v>2926</v>
      </c>
      <c r="J2188" s="1" t="s">
        <v>1093</v>
      </c>
      <c r="K2188" s="1" t="s">
        <v>1639</v>
      </c>
      <c r="L2188" s="1" t="s">
        <v>1648</v>
      </c>
      <c r="M2188" s="1" t="s">
        <v>1043</v>
      </c>
      <c r="N2188">
        <f>_xlfn.NUMBERVALUE(LEFT(Table11[[#This Row],[Score]],FIND("/",Table11[[#This Row],[Score]])-1))</f>
        <v>66</v>
      </c>
      <c r="O2188">
        <f>IFERROR(_xlfn.NUMBERVALUE(LEFT(Table11[[#This Row],[Score2 ]],FIND("/",Table11[[#This Row],[Score2 ]])-1)),"")</f>
        <v>125</v>
      </c>
      <c r="P2188" t="s">
        <v>164</v>
      </c>
      <c r="Q2188" s="1" t="s">
        <v>170</v>
      </c>
      <c r="R2188" t="str">
        <f>Table11[[#This Row],[Match]]&amp;" "&amp;Table11[[#This Row],[Over]]</f>
        <v>41 19</v>
      </c>
    </row>
    <row r="2189" spans="1:18" x14ac:dyDescent="0.3">
      <c r="A2189">
        <v>41</v>
      </c>
      <c r="B2189" s="1">
        <v>20</v>
      </c>
      <c r="C2189" s="1" t="s">
        <v>1894</v>
      </c>
      <c r="D2189" s="1" t="s">
        <v>922</v>
      </c>
      <c r="E2189" s="1" t="s">
        <v>977</v>
      </c>
      <c r="F2189" s="1" t="s">
        <v>976</v>
      </c>
      <c r="G2189" s="1" t="s">
        <v>1531</v>
      </c>
      <c r="H2189" s="1" t="s">
        <v>898</v>
      </c>
      <c r="I2189" s="1" t="s">
        <v>2128</v>
      </c>
      <c r="J2189" s="1" t="s">
        <v>977</v>
      </c>
      <c r="K2189" s="1" t="s">
        <v>2553</v>
      </c>
      <c r="L2189" s="1" t="s">
        <v>2313</v>
      </c>
      <c r="M2189" s="1" t="s">
        <v>1049</v>
      </c>
      <c r="N2189">
        <f>_xlfn.NUMBERVALUE(LEFT(Table11[[#This Row],[Score]],FIND("/",Table11[[#This Row],[Score]])-1))</f>
        <v>72</v>
      </c>
      <c r="O2189">
        <f>IFERROR(_xlfn.NUMBERVALUE(LEFT(Table11[[#This Row],[Score2 ]],FIND("/",Table11[[#This Row],[Score2 ]])-1)),"")</f>
        <v>127</v>
      </c>
      <c r="P2189" t="s">
        <v>164</v>
      </c>
      <c r="Q2189" s="1" t="s">
        <v>170</v>
      </c>
      <c r="R2189" t="str">
        <f>Table11[[#This Row],[Match]]&amp;" "&amp;Table11[[#This Row],[Over]]</f>
        <v>41 20</v>
      </c>
    </row>
    <row r="2190" spans="1:18" x14ac:dyDescent="0.3">
      <c r="A2190">
        <v>41</v>
      </c>
      <c r="B2190" s="1">
        <v>21</v>
      </c>
      <c r="C2190" s="1" t="s">
        <v>1894</v>
      </c>
      <c r="D2190" s="1" t="s">
        <v>1007</v>
      </c>
      <c r="E2190" s="1" t="s">
        <v>1490</v>
      </c>
      <c r="F2190" s="1" t="s">
        <v>940</v>
      </c>
      <c r="G2190" s="1" t="s">
        <v>1536</v>
      </c>
      <c r="H2190" s="1" t="s">
        <v>904</v>
      </c>
      <c r="I2190" s="1" t="s">
        <v>2465</v>
      </c>
      <c r="J2190" s="1" t="s">
        <v>990</v>
      </c>
      <c r="K2190" s="1" t="s">
        <v>4148</v>
      </c>
      <c r="L2190" s="1" t="s">
        <v>2562</v>
      </c>
      <c r="M2190" s="1" t="s">
        <v>1056</v>
      </c>
      <c r="N2190">
        <f>_xlfn.NUMBERVALUE(LEFT(Table11[[#This Row],[Score]],FIND("/",Table11[[#This Row],[Score]])-1))</f>
        <v>72</v>
      </c>
      <c r="O2190">
        <f>IFERROR(_xlfn.NUMBERVALUE(LEFT(Table11[[#This Row],[Score2 ]],FIND("/",Table11[[#This Row],[Score2 ]])-1)),"")</f>
        <v>130</v>
      </c>
      <c r="P2190" t="s">
        <v>164</v>
      </c>
      <c r="Q2190" s="1" t="s">
        <v>170</v>
      </c>
      <c r="R2190" t="str">
        <f>Table11[[#This Row],[Match]]&amp;" "&amp;Table11[[#This Row],[Over]]</f>
        <v>41 21</v>
      </c>
    </row>
    <row r="2191" spans="1:18" x14ac:dyDescent="0.3">
      <c r="A2191">
        <v>41</v>
      </c>
      <c r="B2191" s="1">
        <v>22</v>
      </c>
      <c r="C2191" s="1" t="s">
        <v>4149</v>
      </c>
      <c r="D2191" s="1" t="s">
        <v>950</v>
      </c>
      <c r="E2191" s="1" t="s">
        <v>925</v>
      </c>
      <c r="F2191" s="1" t="s">
        <v>931</v>
      </c>
      <c r="G2191" s="1" t="s">
        <v>2141</v>
      </c>
      <c r="H2191" s="1" t="s">
        <v>922</v>
      </c>
      <c r="I2191" s="1" t="s">
        <v>907</v>
      </c>
      <c r="J2191" s="1" t="s">
        <v>977</v>
      </c>
      <c r="K2191" s="1" t="s">
        <v>4150</v>
      </c>
      <c r="L2191" s="1" t="s">
        <v>3929</v>
      </c>
      <c r="M2191" s="1" t="s">
        <v>1063</v>
      </c>
      <c r="N2191">
        <f>_xlfn.NUMBERVALUE(LEFT(Table11[[#This Row],[Score]],FIND("/",Table11[[#This Row],[Score]])-1))</f>
        <v>77</v>
      </c>
      <c r="O2191">
        <f>IFERROR(_xlfn.NUMBERVALUE(LEFT(Table11[[#This Row],[Score2 ]],FIND("/",Table11[[#This Row],[Score2 ]])-1)),"")</f>
        <v>136</v>
      </c>
      <c r="P2191" t="s">
        <v>164</v>
      </c>
      <c r="Q2191" s="1" t="s">
        <v>170</v>
      </c>
      <c r="R2191" t="str">
        <f>Table11[[#This Row],[Match]]&amp;" "&amp;Table11[[#This Row],[Over]]</f>
        <v>41 22</v>
      </c>
    </row>
    <row r="2192" spans="1:18" x14ac:dyDescent="0.3">
      <c r="A2192">
        <v>41</v>
      </c>
      <c r="B2192" s="1">
        <v>23</v>
      </c>
      <c r="C2192" s="1" t="s">
        <v>4151</v>
      </c>
      <c r="D2192" s="1" t="s">
        <v>898</v>
      </c>
      <c r="E2192" s="1" t="s">
        <v>1867</v>
      </c>
      <c r="F2192" s="1" t="s">
        <v>990</v>
      </c>
      <c r="G2192" s="1" t="s">
        <v>3726</v>
      </c>
      <c r="H2192" s="1" t="s">
        <v>998</v>
      </c>
      <c r="I2192" s="1" t="s">
        <v>1225</v>
      </c>
      <c r="J2192" s="1" t="s">
        <v>939</v>
      </c>
      <c r="K2192" s="1" t="s">
        <v>2688</v>
      </c>
      <c r="L2192" s="1" t="s">
        <v>1205</v>
      </c>
      <c r="M2192" s="1" t="s">
        <v>1070</v>
      </c>
      <c r="N2192">
        <f>_xlfn.NUMBERVALUE(LEFT(Table11[[#This Row],[Score]],FIND("/",Table11[[#This Row],[Score]])-1))</f>
        <v>79</v>
      </c>
      <c r="O2192">
        <f>IFERROR(_xlfn.NUMBERVALUE(LEFT(Table11[[#This Row],[Score2 ]],FIND("/",Table11[[#This Row],[Score2 ]])-1)),"")</f>
        <v>140</v>
      </c>
      <c r="P2192" t="s">
        <v>164</v>
      </c>
      <c r="Q2192" s="1" t="s">
        <v>170</v>
      </c>
      <c r="R2192" t="str">
        <f>Table11[[#This Row],[Match]]&amp;" "&amp;Table11[[#This Row],[Over]]</f>
        <v>41 23</v>
      </c>
    </row>
    <row r="2193" spans="1:18" x14ac:dyDescent="0.3">
      <c r="A2193">
        <v>41</v>
      </c>
      <c r="B2193" s="1">
        <v>24</v>
      </c>
      <c r="C2193" s="1" t="s">
        <v>4152</v>
      </c>
      <c r="D2193" s="1" t="s">
        <v>930</v>
      </c>
      <c r="E2193" s="1" t="s">
        <v>1258</v>
      </c>
      <c r="F2193" s="1" t="s">
        <v>931</v>
      </c>
      <c r="G2193" s="1" t="s">
        <v>2381</v>
      </c>
      <c r="H2193" s="1" t="s">
        <v>904</v>
      </c>
      <c r="I2193" s="1" t="s">
        <v>1428</v>
      </c>
      <c r="J2193" s="1" t="s">
        <v>977</v>
      </c>
      <c r="K2193" s="1" t="s">
        <v>1942</v>
      </c>
      <c r="L2193" s="1" t="s">
        <v>2572</v>
      </c>
      <c r="M2193" s="1" t="s">
        <v>1077</v>
      </c>
      <c r="N2193">
        <f>_xlfn.NUMBERVALUE(LEFT(Table11[[#This Row],[Score]],FIND("/",Table11[[#This Row],[Score]])-1))</f>
        <v>87</v>
      </c>
      <c r="O2193">
        <f>IFERROR(_xlfn.NUMBERVALUE(LEFT(Table11[[#This Row],[Score2 ]],FIND("/",Table11[[#This Row],[Score2 ]])-1)),"")</f>
        <v>143</v>
      </c>
      <c r="P2193" t="s">
        <v>164</v>
      </c>
      <c r="Q2193" s="1" t="s">
        <v>170</v>
      </c>
      <c r="R2193" t="str">
        <f>Table11[[#This Row],[Match]]&amp;" "&amp;Table11[[#This Row],[Over]]</f>
        <v>41 24</v>
      </c>
    </row>
    <row r="2194" spans="1:18" x14ac:dyDescent="0.3">
      <c r="A2194">
        <v>41</v>
      </c>
      <c r="B2194" s="1">
        <v>25</v>
      </c>
      <c r="C2194" s="1" t="s">
        <v>4152</v>
      </c>
      <c r="D2194" s="1" t="s">
        <v>1007</v>
      </c>
      <c r="E2194" s="1" t="s">
        <v>1918</v>
      </c>
      <c r="F2194" s="1" t="s">
        <v>1238</v>
      </c>
      <c r="G2194" s="1" t="s">
        <v>2900</v>
      </c>
      <c r="H2194" s="1" t="s">
        <v>947</v>
      </c>
      <c r="I2194" s="1" t="s">
        <v>1225</v>
      </c>
      <c r="J2194" s="1" t="s">
        <v>969</v>
      </c>
      <c r="K2194" s="1" t="s">
        <v>4153</v>
      </c>
      <c r="L2194" s="1" t="s">
        <v>1216</v>
      </c>
      <c r="M2194" s="1" t="s">
        <v>1083</v>
      </c>
      <c r="N2194">
        <f>_xlfn.NUMBERVALUE(LEFT(Table11[[#This Row],[Score]],FIND("/",Table11[[#This Row],[Score]])-1))</f>
        <v>87</v>
      </c>
      <c r="O2194">
        <f>IFERROR(_xlfn.NUMBERVALUE(LEFT(Table11[[#This Row],[Score2 ]],FIND("/",Table11[[#This Row],[Score2 ]])-1)),"")</f>
        <v>152</v>
      </c>
      <c r="P2194" t="s">
        <v>164</v>
      </c>
      <c r="Q2194" s="1" t="s">
        <v>170</v>
      </c>
      <c r="R2194" t="str">
        <f>Table11[[#This Row],[Match]]&amp;" "&amp;Table11[[#This Row],[Over]]</f>
        <v>41 25</v>
      </c>
    </row>
    <row r="2195" spans="1:18" x14ac:dyDescent="0.3">
      <c r="A2195">
        <v>41</v>
      </c>
      <c r="B2195" s="1">
        <v>26</v>
      </c>
      <c r="C2195" s="1" t="s">
        <v>3347</v>
      </c>
      <c r="D2195" s="1" t="s">
        <v>947</v>
      </c>
      <c r="E2195" s="1" t="s">
        <v>1847</v>
      </c>
      <c r="F2195" s="1" t="s">
        <v>1093</v>
      </c>
      <c r="G2195" s="1" t="s">
        <v>2715</v>
      </c>
      <c r="H2195" s="1" t="s">
        <v>898</v>
      </c>
      <c r="I2195" s="1" t="s">
        <v>2235</v>
      </c>
      <c r="J2195" s="1" t="s">
        <v>1093</v>
      </c>
      <c r="K2195" s="1" t="s">
        <v>4154</v>
      </c>
      <c r="L2195" s="1" t="s">
        <v>1695</v>
      </c>
      <c r="M2195" s="1" t="s">
        <v>1090</v>
      </c>
      <c r="N2195">
        <f>_xlfn.NUMBERVALUE(LEFT(Table11[[#This Row],[Score]],FIND("/",Table11[[#This Row],[Score]])-1))</f>
        <v>96</v>
      </c>
      <c r="O2195">
        <f>IFERROR(_xlfn.NUMBERVALUE(LEFT(Table11[[#This Row],[Score2 ]],FIND("/",Table11[[#This Row],[Score2 ]])-1)),"")</f>
        <v>154</v>
      </c>
      <c r="P2195" t="s">
        <v>164</v>
      </c>
      <c r="Q2195" s="1" t="s">
        <v>170</v>
      </c>
      <c r="R2195" t="str">
        <f>Table11[[#This Row],[Match]]&amp;" "&amp;Table11[[#This Row],[Over]]</f>
        <v>41 26</v>
      </c>
    </row>
    <row r="2196" spans="1:18" x14ac:dyDescent="0.3">
      <c r="A2196">
        <v>41</v>
      </c>
      <c r="B2196" s="1">
        <v>27</v>
      </c>
      <c r="C2196" s="1" t="s">
        <v>4116</v>
      </c>
      <c r="D2196" s="1" t="s">
        <v>950</v>
      </c>
      <c r="E2196" s="1" t="s">
        <v>2474</v>
      </c>
      <c r="F2196" s="1" t="s">
        <v>1093</v>
      </c>
      <c r="G2196" s="1" t="s">
        <v>2717</v>
      </c>
      <c r="H2196" s="1" t="s">
        <v>904</v>
      </c>
      <c r="I2196" s="1" t="s">
        <v>1420</v>
      </c>
      <c r="J2196" s="1" t="s">
        <v>931</v>
      </c>
      <c r="K2196" s="1" t="s">
        <v>4155</v>
      </c>
      <c r="L2196" s="1" t="s">
        <v>1684</v>
      </c>
      <c r="M2196" s="1" t="s">
        <v>1098</v>
      </c>
      <c r="N2196">
        <f>_xlfn.NUMBERVALUE(LEFT(Table11[[#This Row],[Score]],FIND("/",Table11[[#This Row],[Score]])-1))</f>
        <v>101</v>
      </c>
      <c r="O2196">
        <f>IFERROR(_xlfn.NUMBERVALUE(LEFT(Table11[[#This Row],[Score2 ]],FIND("/",Table11[[#This Row],[Score2 ]])-1)),"")</f>
        <v>157</v>
      </c>
      <c r="P2196" t="s">
        <v>164</v>
      </c>
      <c r="Q2196" s="1" t="s">
        <v>170</v>
      </c>
      <c r="R2196" t="str">
        <f>Table11[[#This Row],[Match]]&amp;" "&amp;Table11[[#This Row],[Over]]</f>
        <v>41 27</v>
      </c>
    </row>
    <row r="2197" spans="1:18" x14ac:dyDescent="0.3">
      <c r="A2197">
        <v>41</v>
      </c>
      <c r="B2197" s="1">
        <v>28</v>
      </c>
      <c r="C2197" s="1" t="s">
        <v>4116</v>
      </c>
      <c r="D2197" s="1" t="s">
        <v>1007</v>
      </c>
      <c r="E2197" s="1" t="s">
        <v>977</v>
      </c>
      <c r="F2197" s="1" t="s">
        <v>940</v>
      </c>
      <c r="G2197" s="1" t="s">
        <v>2722</v>
      </c>
      <c r="H2197" s="1" t="s">
        <v>1095</v>
      </c>
      <c r="I2197" s="1" t="s">
        <v>2368</v>
      </c>
      <c r="J2197" s="1" t="s">
        <v>966</v>
      </c>
      <c r="K2197" s="1" t="s">
        <v>4076</v>
      </c>
      <c r="L2197" s="1" t="s">
        <v>947</v>
      </c>
      <c r="M2197" s="1" t="s">
        <v>1101</v>
      </c>
      <c r="N2197">
        <f>_xlfn.NUMBERVALUE(LEFT(Table11[[#This Row],[Score]],FIND("/",Table11[[#This Row],[Score]])-1))</f>
        <v>101</v>
      </c>
      <c r="O2197">
        <f>IFERROR(_xlfn.NUMBERVALUE(LEFT(Table11[[#This Row],[Score2 ]],FIND("/",Table11[[#This Row],[Score2 ]])-1)),"")</f>
        <v>167</v>
      </c>
      <c r="P2197" t="s">
        <v>164</v>
      </c>
      <c r="Q2197" s="1" t="s">
        <v>170</v>
      </c>
      <c r="R2197" t="str">
        <f>Table11[[#This Row],[Match]]&amp;" "&amp;Table11[[#This Row],[Over]]</f>
        <v>41 28</v>
      </c>
    </row>
    <row r="2198" spans="1:18" x14ac:dyDescent="0.3">
      <c r="A2198">
        <v>41</v>
      </c>
      <c r="B2198" s="1">
        <v>29</v>
      </c>
      <c r="C2198" s="1" t="s">
        <v>3524</v>
      </c>
      <c r="D2198" s="1" t="s">
        <v>898</v>
      </c>
      <c r="E2198" s="1" t="s">
        <v>1263</v>
      </c>
      <c r="F2198" s="1" t="s">
        <v>1259</v>
      </c>
      <c r="G2198" s="1" t="s">
        <v>1555</v>
      </c>
      <c r="H2198" s="1" t="s">
        <v>998</v>
      </c>
      <c r="I2198" s="1" t="s">
        <v>2081</v>
      </c>
      <c r="J2198" s="1" t="s">
        <v>934</v>
      </c>
      <c r="K2198" s="1" t="s">
        <v>4156</v>
      </c>
      <c r="L2198" s="1" t="s">
        <v>950</v>
      </c>
      <c r="M2198" s="1" t="s">
        <v>1108</v>
      </c>
      <c r="N2198">
        <f>_xlfn.NUMBERVALUE(LEFT(Table11[[#This Row],[Score]],FIND("/",Table11[[#This Row],[Score]])-1))</f>
        <v>103</v>
      </c>
      <c r="O2198">
        <f>IFERROR(_xlfn.NUMBERVALUE(LEFT(Table11[[#This Row],[Score2 ]],FIND("/",Table11[[#This Row],[Score2 ]])-1)),"")</f>
        <v>171</v>
      </c>
      <c r="P2198" t="s">
        <v>164</v>
      </c>
      <c r="Q2198" s="1" t="s">
        <v>170</v>
      </c>
      <c r="R2198" t="str">
        <f>Table11[[#This Row],[Match]]&amp;" "&amp;Table11[[#This Row],[Over]]</f>
        <v>41 29</v>
      </c>
    </row>
    <row r="2199" spans="1:18" x14ac:dyDescent="0.3">
      <c r="A2199">
        <v>41</v>
      </c>
      <c r="B2199" s="1">
        <v>30</v>
      </c>
      <c r="C2199" s="1" t="s">
        <v>3931</v>
      </c>
      <c r="D2199" s="1" t="s">
        <v>950</v>
      </c>
      <c r="E2199" s="1" t="s">
        <v>977</v>
      </c>
      <c r="F2199" s="1" t="s">
        <v>931</v>
      </c>
      <c r="G2199" s="1" t="s">
        <v>2903</v>
      </c>
      <c r="H2199" s="1" t="s">
        <v>898</v>
      </c>
      <c r="I2199" s="1" t="s">
        <v>1610</v>
      </c>
      <c r="J2199" s="1" t="s">
        <v>931</v>
      </c>
      <c r="K2199" s="1" t="s">
        <v>4157</v>
      </c>
      <c r="L2199" s="1" t="s">
        <v>904</v>
      </c>
      <c r="M2199" s="1" t="s">
        <v>1113</v>
      </c>
      <c r="N2199">
        <f>_xlfn.NUMBERVALUE(LEFT(Table11[[#This Row],[Score]],FIND("/",Table11[[#This Row],[Score]])-1))</f>
        <v>108</v>
      </c>
      <c r="O2199">
        <f>IFERROR(_xlfn.NUMBERVALUE(LEFT(Table11[[#This Row],[Score2 ]],FIND("/",Table11[[#This Row],[Score2 ]])-1)),"")</f>
        <v>173</v>
      </c>
      <c r="P2199" t="s">
        <v>164</v>
      </c>
      <c r="Q2199" s="1" t="s">
        <v>170</v>
      </c>
      <c r="R2199" t="str">
        <f>Table11[[#This Row],[Match]]&amp;" "&amp;Table11[[#This Row],[Over]]</f>
        <v>41 30</v>
      </c>
    </row>
    <row r="2200" spans="1:18" x14ac:dyDescent="0.3">
      <c r="A2200">
        <v>41</v>
      </c>
      <c r="B2200" s="1">
        <v>31</v>
      </c>
      <c r="C2200" s="1" t="s">
        <v>3932</v>
      </c>
      <c r="D2200" s="1" t="s">
        <v>998</v>
      </c>
      <c r="E2200" s="1" t="s">
        <v>3084</v>
      </c>
      <c r="F2200" s="1" t="s">
        <v>1259</v>
      </c>
      <c r="G2200" s="1" t="s">
        <v>3989</v>
      </c>
      <c r="H2200" s="1" t="s">
        <v>3341</v>
      </c>
      <c r="I2200" s="1" t="s">
        <v>4158</v>
      </c>
      <c r="J2200" s="1" t="s">
        <v>2917</v>
      </c>
      <c r="K2200" s="1" t="s">
        <v>1622</v>
      </c>
      <c r="L2200" s="1" t="s">
        <v>1007</v>
      </c>
      <c r="M2200" s="1" t="s">
        <v>1163</v>
      </c>
      <c r="N2200">
        <f>_xlfn.NUMBERVALUE(LEFT(Table11[[#This Row],[Score]],FIND("/",Table11[[#This Row],[Score]])-1))</f>
        <v>112</v>
      </c>
      <c r="O2200">
        <f>IFERROR(_xlfn.NUMBERVALUE(LEFT(Table11[[#This Row],[Score2 ]],FIND("/",Table11[[#This Row],[Score2 ]])-1)),"")</f>
        <v>176</v>
      </c>
      <c r="P2200" t="s">
        <v>164</v>
      </c>
      <c r="Q2200" s="1" t="s">
        <v>170</v>
      </c>
      <c r="R2200" t="str">
        <f>Table11[[#This Row],[Match]]&amp;" "&amp;Table11[[#This Row],[Over]]</f>
        <v>41 31</v>
      </c>
    </row>
    <row r="2201" spans="1:18" x14ac:dyDescent="0.3">
      <c r="A2201">
        <v>41</v>
      </c>
      <c r="B2201" s="1">
        <v>32</v>
      </c>
      <c r="C2201" s="1" t="s">
        <v>2831</v>
      </c>
      <c r="D2201" s="1" t="s">
        <v>998</v>
      </c>
      <c r="E2201" s="1" t="s">
        <v>1258</v>
      </c>
      <c r="F2201" s="1" t="s">
        <v>1238</v>
      </c>
      <c r="N2201">
        <f>_xlfn.NUMBERVALUE(LEFT(Table11[[#This Row],[Score]],FIND("/",Table11[[#This Row],[Score]])-1))</f>
        <v>116</v>
      </c>
      <c r="O2201" t="str">
        <f>IFERROR(_xlfn.NUMBERVALUE(LEFT(Table11[[#This Row],[Score2 ]],FIND("/",Table11[[#This Row],[Score2 ]])-1)),"")</f>
        <v/>
      </c>
      <c r="P2201" t="s">
        <v>164</v>
      </c>
      <c r="Q2201" s="1" t="s">
        <v>170</v>
      </c>
      <c r="R2201" t="str">
        <f>Table11[[#This Row],[Match]]&amp;" "&amp;Table11[[#This Row],[Over]]</f>
        <v>41 32</v>
      </c>
    </row>
    <row r="2202" spans="1:18" x14ac:dyDescent="0.3">
      <c r="A2202">
        <v>41</v>
      </c>
      <c r="B2202" s="1">
        <v>33</v>
      </c>
      <c r="C2202" s="1" t="s">
        <v>2588</v>
      </c>
      <c r="D2202" s="1" t="s">
        <v>898</v>
      </c>
      <c r="E2202" s="1" t="s">
        <v>1887</v>
      </c>
      <c r="F2202" s="1" t="s">
        <v>1247</v>
      </c>
      <c r="N2202">
        <f>_xlfn.NUMBERVALUE(LEFT(Table11[[#This Row],[Score]],FIND("/",Table11[[#This Row],[Score]])-1))</f>
        <v>118</v>
      </c>
      <c r="O2202" t="str">
        <f>IFERROR(_xlfn.NUMBERVALUE(LEFT(Table11[[#This Row],[Score2 ]],FIND("/",Table11[[#This Row],[Score2 ]])-1)),"")</f>
        <v/>
      </c>
      <c r="P2202" t="s">
        <v>164</v>
      </c>
      <c r="Q2202" s="1" t="s">
        <v>170</v>
      </c>
      <c r="R2202" t="str">
        <f>Table11[[#This Row],[Match]]&amp;" "&amp;Table11[[#This Row],[Over]]</f>
        <v>41 33</v>
      </c>
    </row>
    <row r="2203" spans="1:18" x14ac:dyDescent="0.3">
      <c r="A2203">
        <v>41</v>
      </c>
      <c r="B2203" s="1">
        <v>34</v>
      </c>
      <c r="C2203" s="1" t="s">
        <v>2588</v>
      </c>
      <c r="D2203" s="1" t="s">
        <v>1007</v>
      </c>
      <c r="E2203" s="1" t="s">
        <v>1944</v>
      </c>
      <c r="F2203" s="1" t="s">
        <v>1238</v>
      </c>
      <c r="N2203">
        <f>_xlfn.NUMBERVALUE(LEFT(Table11[[#This Row],[Score]],FIND("/",Table11[[#This Row],[Score]])-1))</f>
        <v>118</v>
      </c>
      <c r="O2203" t="str">
        <f>IFERROR(_xlfn.NUMBERVALUE(LEFT(Table11[[#This Row],[Score2 ]],FIND("/",Table11[[#This Row],[Score2 ]])-1)),"")</f>
        <v/>
      </c>
      <c r="P2203" t="s">
        <v>164</v>
      </c>
      <c r="Q2203" s="1" t="s">
        <v>170</v>
      </c>
      <c r="R2203" t="str">
        <f>Table11[[#This Row],[Match]]&amp;" "&amp;Table11[[#This Row],[Over]]</f>
        <v>41 34</v>
      </c>
    </row>
    <row r="2204" spans="1:18" x14ac:dyDescent="0.3">
      <c r="A2204">
        <v>41</v>
      </c>
      <c r="B2204" s="1">
        <v>35</v>
      </c>
      <c r="C2204" s="1" t="s">
        <v>3786</v>
      </c>
      <c r="D2204" s="1" t="s">
        <v>904</v>
      </c>
      <c r="E2204" s="1" t="s">
        <v>2609</v>
      </c>
      <c r="F2204" s="1" t="s">
        <v>984</v>
      </c>
      <c r="N2204">
        <f>_xlfn.NUMBERVALUE(LEFT(Table11[[#This Row],[Score]],FIND("/",Table11[[#This Row],[Score]])-1))</f>
        <v>121</v>
      </c>
      <c r="O2204" t="str">
        <f>IFERROR(_xlfn.NUMBERVALUE(LEFT(Table11[[#This Row],[Score2 ]],FIND("/",Table11[[#This Row],[Score2 ]])-1)),"")</f>
        <v/>
      </c>
      <c r="P2204" t="s">
        <v>164</v>
      </c>
      <c r="Q2204" s="1" t="s">
        <v>170</v>
      </c>
      <c r="R2204" t="str">
        <f>Table11[[#This Row],[Match]]&amp;" "&amp;Table11[[#This Row],[Over]]</f>
        <v>41 35</v>
      </c>
    </row>
    <row r="2205" spans="1:18" x14ac:dyDescent="0.3">
      <c r="A2205">
        <v>41</v>
      </c>
      <c r="B2205" s="1">
        <v>36</v>
      </c>
      <c r="C2205" s="1" t="s">
        <v>4159</v>
      </c>
      <c r="D2205" s="1" t="s">
        <v>998</v>
      </c>
      <c r="E2205" s="1" t="s">
        <v>1944</v>
      </c>
      <c r="F2205" s="1" t="s">
        <v>984</v>
      </c>
      <c r="N2205">
        <f>_xlfn.NUMBERVALUE(LEFT(Table11[[#This Row],[Score]],FIND("/",Table11[[#This Row],[Score]])-1))</f>
        <v>125</v>
      </c>
      <c r="O2205" t="str">
        <f>IFERROR(_xlfn.NUMBERVALUE(LEFT(Table11[[#This Row],[Score2 ]],FIND("/",Table11[[#This Row],[Score2 ]])-1)),"")</f>
        <v/>
      </c>
      <c r="P2205" t="s">
        <v>164</v>
      </c>
      <c r="Q2205" s="1" t="s">
        <v>170</v>
      </c>
      <c r="R2205" t="str">
        <f>Table11[[#This Row],[Match]]&amp;" "&amp;Table11[[#This Row],[Over]]</f>
        <v>41 36</v>
      </c>
    </row>
    <row r="2206" spans="1:18" x14ac:dyDescent="0.3">
      <c r="A2206">
        <v>41</v>
      </c>
      <c r="B2206" s="1">
        <v>37</v>
      </c>
      <c r="C2206" s="1" t="s">
        <v>2835</v>
      </c>
      <c r="D2206" s="1" t="s">
        <v>930</v>
      </c>
      <c r="E2206" s="1" t="s">
        <v>1929</v>
      </c>
      <c r="F2206" s="1" t="s">
        <v>1247</v>
      </c>
      <c r="N2206">
        <f>_xlfn.NUMBERVALUE(LEFT(Table11[[#This Row],[Score]],FIND("/",Table11[[#This Row],[Score]])-1))</f>
        <v>133</v>
      </c>
      <c r="O2206" t="str">
        <f>IFERROR(_xlfn.NUMBERVALUE(LEFT(Table11[[#This Row],[Score2 ]],FIND("/",Table11[[#This Row],[Score2 ]])-1)),"")</f>
        <v/>
      </c>
      <c r="P2206" t="s">
        <v>164</v>
      </c>
      <c r="Q2206" s="1" t="s">
        <v>170</v>
      </c>
      <c r="R2206" t="str">
        <f>Table11[[#This Row],[Match]]&amp;" "&amp;Table11[[#This Row],[Over]]</f>
        <v>41 37</v>
      </c>
    </row>
    <row r="2207" spans="1:18" x14ac:dyDescent="0.3">
      <c r="A2207">
        <v>41</v>
      </c>
      <c r="B2207" s="1">
        <v>38</v>
      </c>
      <c r="C2207" s="1" t="s">
        <v>2835</v>
      </c>
      <c r="D2207" s="1" t="s">
        <v>1007</v>
      </c>
      <c r="E2207" s="1" t="s">
        <v>925</v>
      </c>
      <c r="F2207" s="1" t="s">
        <v>1238</v>
      </c>
      <c r="N2207">
        <f>_xlfn.NUMBERVALUE(LEFT(Table11[[#This Row],[Score]],FIND("/",Table11[[#This Row],[Score]])-1))</f>
        <v>133</v>
      </c>
      <c r="O2207" t="str">
        <f>IFERROR(_xlfn.NUMBERVALUE(LEFT(Table11[[#This Row],[Score2 ]],FIND("/",Table11[[#This Row],[Score2 ]])-1)),"")</f>
        <v/>
      </c>
      <c r="P2207" t="s">
        <v>164</v>
      </c>
      <c r="Q2207" s="1" t="s">
        <v>170</v>
      </c>
      <c r="R2207" t="str">
        <f>Table11[[#This Row],[Match]]&amp;" "&amp;Table11[[#This Row],[Over]]</f>
        <v>41 38</v>
      </c>
    </row>
    <row r="2208" spans="1:18" x14ac:dyDescent="0.3">
      <c r="A2208">
        <v>41</v>
      </c>
      <c r="B2208" s="1">
        <v>39</v>
      </c>
      <c r="C2208" s="1" t="s">
        <v>1930</v>
      </c>
      <c r="D2208" s="1" t="s">
        <v>1147</v>
      </c>
      <c r="E2208" s="1" t="s">
        <v>1855</v>
      </c>
      <c r="F2208" s="1" t="s">
        <v>1019</v>
      </c>
      <c r="N2208">
        <f>_xlfn.NUMBERVALUE(LEFT(Table11[[#This Row],[Score]],FIND("/",Table11[[#This Row],[Score]])-1))</f>
        <v>148</v>
      </c>
      <c r="O2208" t="str">
        <f>IFERROR(_xlfn.NUMBERVALUE(LEFT(Table11[[#This Row],[Score2 ]],FIND("/",Table11[[#This Row],[Score2 ]])-1)),"")</f>
        <v/>
      </c>
      <c r="P2208" t="s">
        <v>164</v>
      </c>
      <c r="Q2208" s="1" t="s">
        <v>170</v>
      </c>
      <c r="R2208" t="str">
        <f>Table11[[#This Row],[Match]]&amp;" "&amp;Table11[[#This Row],[Over]]</f>
        <v>41 39</v>
      </c>
    </row>
    <row r="2209" spans="1:18" x14ac:dyDescent="0.3">
      <c r="A2209">
        <v>41</v>
      </c>
      <c r="B2209" s="1">
        <v>40</v>
      </c>
      <c r="C2209" s="1" t="s">
        <v>2046</v>
      </c>
      <c r="D2209" s="1" t="s">
        <v>998</v>
      </c>
      <c r="E2209" s="1" t="s">
        <v>990</v>
      </c>
      <c r="F2209" s="1" t="s">
        <v>970</v>
      </c>
      <c r="N2209">
        <f>_xlfn.NUMBERVALUE(LEFT(Table11[[#This Row],[Score]],FIND("/",Table11[[#This Row],[Score]])-1))</f>
        <v>152</v>
      </c>
      <c r="O2209" t="str">
        <f>IFERROR(_xlfn.NUMBERVALUE(LEFT(Table11[[#This Row],[Score2 ]],FIND("/",Table11[[#This Row],[Score2 ]])-1)),"")</f>
        <v/>
      </c>
      <c r="P2209" t="s">
        <v>164</v>
      </c>
      <c r="Q2209" s="1" t="s">
        <v>170</v>
      </c>
      <c r="R2209" t="str">
        <f>Table11[[#This Row],[Match]]&amp;" "&amp;Table11[[#This Row],[Over]]</f>
        <v>41 40</v>
      </c>
    </row>
    <row r="2210" spans="1:18" x14ac:dyDescent="0.3">
      <c r="A2210">
        <v>41</v>
      </c>
      <c r="B2210" s="1">
        <v>41</v>
      </c>
      <c r="C2210" s="1" t="s">
        <v>2965</v>
      </c>
      <c r="D2210" s="1" t="s">
        <v>930</v>
      </c>
      <c r="E2210" s="1" t="s">
        <v>1273</v>
      </c>
      <c r="F2210" s="1" t="s">
        <v>952</v>
      </c>
      <c r="N2210">
        <f>_xlfn.NUMBERVALUE(LEFT(Table11[[#This Row],[Score]],FIND("/",Table11[[#This Row],[Score]])-1))</f>
        <v>160</v>
      </c>
      <c r="O2210" t="str">
        <f>IFERROR(_xlfn.NUMBERVALUE(LEFT(Table11[[#This Row],[Score2 ]],FIND("/",Table11[[#This Row],[Score2 ]])-1)),"")</f>
        <v/>
      </c>
      <c r="P2210" t="s">
        <v>164</v>
      </c>
      <c r="Q2210" s="1" t="s">
        <v>170</v>
      </c>
      <c r="R2210" t="str">
        <f>Table11[[#This Row],[Match]]&amp;" "&amp;Table11[[#This Row],[Over]]</f>
        <v>41 41</v>
      </c>
    </row>
    <row r="2211" spans="1:18" x14ac:dyDescent="0.3">
      <c r="A2211">
        <v>41</v>
      </c>
      <c r="B2211" s="1">
        <v>42</v>
      </c>
      <c r="C2211" s="1" t="s">
        <v>3303</v>
      </c>
      <c r="D2211" s="1" t="s">
        <v>916</v>
      </c>
      <c r="E2211" s="1" t="s">
        <v>2043</v>
      </c>
      <c r="F2211" s="1" t="s">
        <v>1053</v>
      </c>
      <c r="N2211">
        <f>_xlfn.NUMBERVALUE(LEFT(Table11[[#This Row],[Score]],FIND("/",Table11[[#This Row],[Score]])-1))</f>
        <v>167</v>
      </c>
      <c r="O2211" t="str">
        <f>IFERROR(_xlfn.NUMBERVALUE(LEFT(Table11[[#This Row],[Score2 ]],FIND("/",Table11[[#This Row],[Score2 ]])-1)),"")</f>
        <v/>
      </c>
      <c r="P2211" t="s">
        <v>164</v>
      </c>
      <c r="Q2211" s="1" t="s">
        <v>170</v>
      </c>
      <c r="R2211" t="str">
        <f>Table11[[#This Row],[Match]]&amp;" "&amp;Table11[[#This Row],[Over]]</f>
        <v>41 42</v>
      </c>
    </row>
    <row r="2212" spans="1:18" x14ac:dyDescent="0.3">
      <c r="A2212">
        <v>41</v>
      </c>
      <c r="B2212" s="1">
        <v>43</v>
      </c>
      <c r="C2212" s="1" t="s">
        <v>3367</v>
      </c>
      <c r="D2212" s="1" t="s">
        <v>1007</v>
      </c>
      <c r="E2212" s="1" t="s">
        <v>1860</v>
      </c>
      <c r="F2212" s="1" t="s">
        <v>1053</v>
      </c>
      <c r="N2212">
        <f>_xlfn.NUMBERVALUE(LEFT(Table11[[#This Row],[Score]],FIND("/",Table11[[#This Row],[Score]])-1))</f>
        <v>167</v>
      </c>
      <c r="O2212" t="str">
        <f>IFERROR(_xlfn.NUMBERVALUE(LEFT(Table11[[#This Row],[Score2 ]],FIND("/",Table11[[#This Row],[Score2 ]])-1)),"")</f>
        <v/>
      </c>
      <c r="P2212" t="s">
        <v>164</v>
      </c>
      <c r="Q2212" s="1" t="s">
        <v>170</v>
      </c>
      <c r="R2212" t="str">
        <f>Table11[[#This Row],[Match]]&amp;" "&amp;Table11[[#This Row],[Over]]</f>
        <v>41 43</v>
      </c>
    </row>
    <row r="2213" spans="1:18" x14ac:dyDescent="0.3">
      <c r="A2213">
        <v>41</v>
      </c>
      <c r="B2213" s="1">
        <v>44</v>
      </c>
      <c r="C2213" s="1" t="s">
        <v>4160</v>
      </c>
      <c r="D2213" s="1" t="s">
        <v>968</v>
      </c>
      <c r="E2213" s="1" t="s">
        <v>1866</v>
      </c>
      <c r="F2213" s="1" t="s">
        <v>939</v>
      </c>
      <c r="N2213">
        <f>_xlfn.NUMBERVALUE(LEFT(Table11[[#This Row],[Score]],FIND("/",Table11[[#This Row],[Score]])-1))</f>
        <v>168</v>
      </c>
      <c r="O2213" t="str">
        <f>IFERROR(_xlfn.NUMBERVALUE(LEFT(Table11[[#This Row],[Score2 ]],FIND("/",Table11[[#This Row],[Score2 ]])-1)),"")</f>
        <v/>
      </c>
      <c r="P2213" t="s">
        <v>164</v>
      </c>
      <c r="Q2213" s="1" t="s">
        <v>170</v>
      </c>
      <c r="R2213" t="str">
        <f>Table11[[#This Row],[Match]]&amp;" "&amp;Table11[[#This Row],[Over]]</f>
        <v>41 44</v>
      </c>
    </row>
    <row r="2214" spans="1:18" x14ac:dyDescent="0.3">
      <c r="A2214">
        <v>41</v>
      </c>
      <c r="B2214" s="1">
        <v>45</v>
      </c>
      <c r="C2214" s="1" t="s">
        <v>1387</v>
      </c>
      <c r="D2214" s="1" t="s">
        <v>898</v>
      </c>
      <c r="E2214" s="1" t="s">
        <v>1853</v>
      </c>
      <c r="F2214" s="1" t="s">
        <v>977</v>
      </c>
      <c r="N2214">
        <f>_xlfn.NUMBERVALUE(LEFT(Table11[[#This Row],[Score]],FIND("/",Table11[[#This Row],[Score]])-1))</f>
        <v>170</v>
      </c>
      <c r="O2214" t="str">
        <f>IFERROR(_xlfn.NUMBERVALUE(LEFT(Table11[[#This Row],[Score2 ]],FIND("/",Table11[[#This Row],[Score2 ]])-1)),"")</f>
        <v/>
      </c>
      <c r="P2214" t="s">
        <v>164</v>
      </c>
      <c r="Q2214" s="1" t="s">
        <v>170</v>
      </c>
      <c r="R2214" t="str">
        <f>Table11[[#This Row],[Match]]&amp;" "&amp;Table11[[#This Row],[Over]]</f>
        <v>41 45</v>
      </c>
    </row>
    <row r="2215" spans="1:18" x14ac:dyDescent="0.3">
      <c r="A2215">
        <v>41</v>
      </c>
      <c r="B2215" s="1">
        <v>46</v>
      </c>
      <c r="C2215" s="1" t="s">
        <v>1387</v>
      </c>
      <c r="D2215" s="1" t="s">
        <v>1007</v>
      </c>
      <c r="E2215" s="1" t="s">
        <v>1847</v>
      </c>
      <c r="F2215" s="1" t="s">
        <v>899</v>
      </c>
      <c r="N2215">
        <f>_xlfn.NUMBERVALUE(LEFT(Table11[[#This Row],[Score]],FIND("/",Table11[[#This Row],[Score]])-1))</f>
        <v>170</v>
      </c>
      <c r="O2215" t="str">
        <f>IFERROR(_xlfn.NUMBERVALUE(LEFT(Table11[[#This Row],[Score2 ]],FIND("/",Table11[[#This Row],[Score2 ]])-1)),"")</f>
        <v/>
      </c>
      <c r="P2215" t="s">
        <v>164</v>
      </c>
      <c r="Q2215" s="1" t="s">
        <v>170</v>
      </c>
      <c r="R2215" t="str">
        <f>Table11[[#This Row],[Match]]&amp;" "&amp;Table11[[#This Row],[Over]]</f>
        <v>41 46</v>
      </c>
    </row>
    <row r="2216" spans="1:18" x14ac:dyDescent="0.3">
      <c r="A2216">
        <v>41</v>
      </c>
      <c r="B2216" s="1">
        <v>47</v>
      </c>
      <c r="C2216" s="1" t="s">
        <v>4161</v>
      </c>
      <c r="D2216" s="1" t="s">
        <v>904</v>
      </c>
      <c r="E2216" s="1" t="s">
        <v>1861</v>
      </c>
      <c r="F2216" s="1" t="s">
        <v>1439</v>
      </c>
      <c r="N2216">
        <f>_xlfn.NUMBERVALUE(LEFT(Table11[[#This Row],[Score]],FIND("/",Table11[[#This Row],[Score]])-1))</f>
        <v>173</v>
      </c>
      <c r="O2216" t="str">
        <f>IFERROR(_xlfn.NUMBERVALUE(LEFT(Table11[[#This Row],[Score2 ]],FIND("/",Table11[[#This Row],[Score2 ]])-1)),"")</f>
        <v/>
      </c>
      <c r="P2216" t="s">
        <v>164</v>
      </c>
      <c r="Q2216" s="1" t="s">
        <v>170</v>
      </c>
      <c r="R2216" t="str">
        <f>Table11[[#This Row],[Match]]&amp;" "&amp;Table11[[#This Row],[Over]]</f>
        <v>41 47</v>
      </c>
    </row>
    <row r="2217" spans="1:18" x14ac:dyDescent="0.3">
      <c r="A2217">
        <v>41</v>
      </c>
      <c r="B2217" s="1">
        <v>48</v>
      </c>
      <c r="C2217" s="1" t="s">
        <v>4162</v>
      </c>
      <c r="D2217" s="1" t="s">
        <v>1398</v>
      </c>
      <c r="E2217" s="1" t="s">
        <v>4163</v>
      </c>
      <c r="F2217" s="1" t="s">
        <v>4164</v>
      </c>
      <c r="N2217">
        <f>_xlfn.NUMBERVALUE(LEFT(Table11[[#This Row],[Score]],FIND("/",Table11[[#This Row],[Score]])-1))</f>
        <v>175</v>
      </c>
      <c r="O2217" t="str">
        <f>IFERROR(_xlfn.NUMBERVALUE(LEFT(Table11[[#This Row],[Score2 ]],FIND("/",Table11[[#This Row],[Score2 ]])-1)),"")</f>
        <v/>
      </c>
      <c r="P2217" t="s">
        <v>164</v>
      </c>
      <c r="Q2217" s="1" t="s">
        <v>170</v>
      </c>
      <c r="R2217" t="str">
        <f>Table11[[#This Row],[Match]]&amp;" "&amp;Table11[[#This Row],[Over]]</f>
        <v>41 48</v>
      </c>
    </row>
    <row r="2218" spans="1:18" x14ac:dyDescent="0.3">
      <c r="A2218">
        <v>42</v>
      </c>
      <c r="B2218" s="1">
        <v>1</v>
      </c>
      <c r="C2218" s="1" t="s">
        <v>2686</v>
      </c>
      <c r="D2218" s="1" t="s">
        <v>968</v>
      </c>
      <c r="E2218" s="1" t="s">
        <v>1662</v>
      </c>
      <c r="F2218" s="1" t="s">
        <v>348</v>
      </c>
      <c r="G2218" s="1" t="s">
        <v>1230</v>
      </c>
      <c r="H2218" s="1" t="s">
        <v>1007</v>
      </c>
      <c r="I2218" s="1" t="s">
        <v>1231</v>
      </c>
      <c r="J2218" s="1" t="s">
        <v>348</v>
      </c>
      <c r="K2218" s="1" t="s">
        <v>1174</v>
      </c>
      <c r="L2218" s="1" t="s">
        <v>1457</v>
      </c>
      <c r="M2218" s="1" t="s">
        <v>902</v>
      </c>
      <c r="N2218">
        <f>_xlfn.NUMBERVALUE(LEFT(Table11[[#This Row],[Score]],FIND("/",Table11[[#This Row],[Score]])-1))</f>
        <v>1</v>
      </c>
      <c r="O2218">
        <f>IFERROR(_xlfn.NUMBERVALUE(LEFT(Table11[[#This Row],[Score2 ]],FIND("/",Table11[[#This Row],[Score2 ]])-1)),"")</f>
        <v>0</v>
      </c>
      <c r="P2218" t="s">
        <v>169</v>
      </c>
      <c r="Q2218" s="1" t="s">
        <v>153</v>
      </c>
      <c r="R2218" t="str">
        <f>Table11[[#This Row],[Match]]&amp;" "&amp;Table11[[#This Row],[Over]]</f>
        <v>42 1</v>
      </c>
    </row>
    <row r="2219" spans="1:18" x14ac:dyDescent="0.3">
      <c r="A2219">
        <v>42</v>
      </c>
      <c r="B2219" s="1">
        <v>2</v>
      </c>
      <c r="C2219" s="1" t="s">
        <v>1721</v>
      </c>
      <c r="D2219" s="1" t="s">
        <v>916</v>
      </c>
      <c r="E2219" s="1" t="s">
        <v>939</v>
      </c>
      <c r="F2219" s="1" t="s">
        <v>348</v>
      </c>
      <c r="G2219" s="1" t="s">
        <v>1418</v>
      </c>
      <c r="H2219" s="1" t="s">
        <v>904</v>
      </c>
      <c r="I2219" s="1" t="s">
        <v>1822</v>
      </c>
      <c r="J2219" s="1" t="s">
        <v>348</v>
      </c>
      <c r="K2219" s="1" t="s">
        <v>1153</v>
      </c>
      <c r="L2219" s="1" t="s">
        <v>2126</v>
      </c>
      <c r="M2219" s="1" t="s">
        <v>909</v>
      </c>
      <c r="N2219">
        <f>_xlfn.NUMBERVALUE(LEFT(Table11[[#This Row],[Score]],FIND("/",Table11[[#This Row],[Score]])-1))</f>
        <v>8</v>
      </c>
      <c r="O2219">
        <f>IFERROR(_xlfn.NUMBERVALUE(LEFT(Table11[[#This Row],[Score2 ]],FIND("/",Table11[[#This Row],[Score2 ]])-1)),"")</f>
        <v>3</v>
      </c>
      <c r="P2219" t="s">
        <v>169</v>
      </c>
      <c r="Q2219" s="1" t="s">
        <v>153</v>
      </c>
      <c r="R2219" t="str">
        <f>Table11[[#This Row],[Match]]&amp;" "&amp;Table11[[#This Row],[Over]]</f>
        <v>42 2</v>
      </c>
    </row>
    <row r="2220" spans="1:18" x14ac:dyDescent="0.3">
      <c r="A2220">
        <v>42</v>
      </c>
      <c r="B2220" s="1">
        <v>3</v>
      </c>
      <c r="C2220" s="1" t="s">
        <v>915</v>
      </c>
      <c r="D2220" s="1" t="s">
        <v>904</v>
      </c>
      <c r="E2220" s="1" t="s">
        <v>917</v>
      </c>
      <c r="F2220" s="1" t="s">
        <v>348</v>
      </c>
      <c r="G2220" s="1" t="s">
        <v>1232</v>
      </c>
      <c r="H2220" s="1" t="s">
        <v>904</v>
      </c>
      <c r="I2220" s="1" t="s">
        <v>899</v>
      </c>
      <c r="J2220" s="1" t="s">
        <v>348</v>
      </c>
      <c r="K2220" s="1" t="s">
        <v>1351</v>
      </c>
      <c r="L2220" s="1" t="s">
        <v>2000</v>
      </c>
      <c r="M2220" s="1" t="s">
        <v>920</v>
      </c>
      <c r="N2220">
        <f>_xlfn.NUMBERVALUE(LEFT(Table11[[#This Row],[Score]],FIND("/",Table11[[#This Row],[Score]])-1))</f>
        <v>11</v>
      </c>
      <c r="O2220">
        <f>IFERROR(_xlfn.NUMBERVALUE(LEFT(Table11[[#This Row],[Score2 ]],FIND("/",Table11[[#This Row],[Score2 ]])-1)),"")</f>
        <v>6</v>
      </c>
      <c r="P2220" t="s">
        <v>169</v>
      </c>
      <c r="Q2220" s="1" t="s">
        <v>153</v>
      </c>
      <c r="R2220" t="str">
        <f>Table11[[#This Row],[Match]]&amp;" "&amp;Table11[[#This Row],[Over]]</f>
        <v>42 3</v>
      </c>
    </row>
    <row r="2221" spans="1:18" x14ac:dyDescent="0.3">
      <c r="A2221">
        <v>42</v>
      </c>
      <c r="B2221" s="1">
        <v>4</v>
      </c>
      <c r="C2221" s="1" t="s">
        <v>3147</v>
      </c>
      <c r="D2221" s="1" t="s">
        <v>998</v>
      </c>
      <c r="E2221" s="1" t="s">
        <v>1276</v>
      </c>
      <c r="F2221" s="1" t="s">
        <v>348</v>
      </c>
      <c r="G2221" s="1" t="s">
        <v>1239</v>
      </c>
      <c r="H2221" s="1" t="s">
        <v>922</v>
      </c>
      <c r="I2221" s="1" t="s">
        <v>1238</v>
      </c>
      <c r="J2221" s="1" t="s">
        <v>348</v>
      </c>
      <c r="K2221" s="1" t="s">
        <v>2880</v>
      </c>
      <c r="L2221" s="1" t="s">
        <v>2356</v>
      </c>
      <c r="M2221" s="1" t="s">
        <v>928</v>
      </c>
      <c r="N2221">
        <f>_xlfn.NUMBERVALUE(LEFT(Table11[[#This Row],[Score]],FIND("/",Table11[[#This Row],[Score]])-1))</f>
        <v>15</v>
      </c>
      <c r="O2221">
        <f>IFERROR(_xlfn.NUMBERVALUE(LEFT(Table11[[#This Row],[Score2 ]],FIND("/",Table11[[#This Row],[Score2 ]])-1)),"")</f>
        <v>12</v>
      </c>
      <c r="P2221" t="s">
        <v>169</v>
      </c>
      <c r="Q2221" s="1" t="s">
        <v>153</v>
      </c>
      <c r="R2221" t="str">
        <f>Table11[[#This Row],[Match]]&amp;" "&amp;Table11[[#This Row],[Over]]</f>
        <v>42 4</v>
      </c>
    </row>
    <row r="2222" spans="1:18" x14ac:dyDescent="0.3">
      <c r="A2222">
        <v>42</v>
      </c>
      <c r="B2222" s="1">
        <v>5</v>
      </c>
      <c r="C2222" s="1" t="s">
        <v>2989</v>
      </c>
      <c r="D2222" s="1" t="s">
        <v>968</v>
      </c>
      <c r="E2222" s="1" t="s">
        <v>1259</v>
      </c>
      <c r="F2222" s="1" t="s">
        <v>1259</v>
      </c>
      <c r="G2222" s="1" t="s">
        <v>1970</v>
      </c>
      <c r="H2222" s="1" t="s">
        <v>950</v>
      </c>
      <c r="I2222" s="1" t="s">
        <v>1247</v>
      </c>
      <c r="J2222" s="1" t="s">
        <v>1247</v>
      </c>
      <c r="K2222" s="1" t="s">
        <v>2880</v>
      </c>
      <c r="L2222" s="1" t="s">
        <v>3012</v>
      </c>
      <c r="M2222" s="1" t="s">
        <v>937</v>
      </c>
      <c r="N2222">
        <f>_xlfn.NUMBERVALUE(LEFT(Table11[[#This Row],[Score]],FIND("/",Table11[[#This Row],[Score]])-1))</f>
        <v>16</v>
      </c>
      <c r="O2222">
        <f>IFERROR(_xlfn.NUMBERVALUE(LEFT(Table11[[#This Row],[Score2 ]],FIND("/",Table11[[#This Row],[Score2 ]])-1)),"")</f>
        <v>17</v>
      </c>
      <c r="P2222" t="s">
        <v>169</v>
      </c>
      <c r="Q2222" s="1" t="s">
        <v>153</v>
      </c>
      <c r="R2222" t="str">
        <f>Table11[[#This Row],[Match]]&amp;" "&amp;Table11[[#This Row],[Over]]</f>
        <v>42 5</v>
      </c>
    </row>
    <row r="2223" spans="1:18" x14ac:dyDescent="0.3">
      <c r="A2223">
        <v>42</v>
      </c>
      <c r="B2223" s="1">
        <v>6</v>
      </c>
      <c r="C2223" s="1" t="s">
        <v>2800</v>
      </c>
      <c r="D2223" s="1" t="s">
        <v>922</v>
      </c>
      <c r="E2223" s="1" t="s">
        <v>917</v>
      </c>
      <c r="F2223" s="1" t="s">
        <v>931</v>
      </c>
      <c r="G2223" s="1" t="s">
        <v>1726</v>
      </c>
      <c r="H2223" s="1" t="s">
        <v>950</v>
      </c>
      <c r="I2223" s="1" t="s">
        <v>917</v>
      </c>
      <c r="J2223" s="1" t="s">
        <v>940</v>
      </c>
      <c r="K2223" s="1" t="s">
        <v>1045</v>
      </c>
      <c r="L2223" s="1" t="s">
        <v>1010</v>
      </c>
      <c r="M2223" s="1" t="s">
        <v>945</v>
      </c>
      <c r="N2223">
        <f>_xlfn.NUMBERVALUE(LEFT(Table11[[#This Row],[Score]],FIND("/",Table11[[#This Row],[Score]])-1))</f>
        <v>22</v>
      </c>
      <c r="O2223">
        <f>IFERROR(_xlfn.NUMBERVALUE(LEFT(Table11[[#This Row],[Score2 ]],FIND("/",Table11[[#This Row],[Score2 ]])-1)),"")</f>
        <v>22</v>
      </c>
      <c r="P2223" t="s">
        <v>169</v>
      </c>
      <c r="Q2223" s="1" t="s">
        <v>153</v>
      </c>
      <c r="R2223" t="str">
        <f>Table11[[#This Row],[Match]]&amp;" "&amp;Table11[[#This Row],[Over]]</f>
        <v>42 6</v>
      </c>
    </row>
    <row r="2224" spans="1:18" x14ac:dyDescent="0.3">
      <c r="A2224">
        <v>42</v>
      </c>
      <c r="B2224" s="1">
        <v>7</v>
      </c>
      <c r="C2224" s="1" t="s">
        <v>1257</v>
      </c>
      <c r="D2224" s="1" t="s">
        <v>916</v>
      </c>
      <c r="E2224" s="1" t="s">
        <v>1008</v>
      </c>
      <c r="F2224" s="1" t="s">
        <v>931</v>
      </c>
      <c r="G2224" s="1" t="s">
        <v>1974</v>
      </c>
      <c r="H2224" s="1" t="s">
        <v>922</v>
      </c>
      <c r="I2224" s="1" t="s">
        <v>939</v>
      </c>
      <c r="J2224" s="1" t="s">
        <v>969</v>
      </c>
      <c r="K2224" s="1" t="s">
        <v>1202</v>
      </c>
      <c r="L2224" s="1" t="s">
        <v>1016</v>
      </c>
      <c r="M2224" s="1" t="s">
        <v>955</v>
      </c>
      <c r="N2224">
        <f>_xlfn.NUMBERVALUE(LEFT(Table11[[#This Row],[Score]],FIND("/",Table11[[#This Row],[Score]])-1))</f>
        <v>29</v>
      </c>
      <c r="O2224">
        <f>IFERROR(_xlfn.NUMBERVALUE(LEFT(Table11[[#This Row],[Score2 ]],FIND("/",Table11[[#This Row],[Score2 ]])-1)),"")</f>
        <v>28</v>
      </c>
      <c r="P2224" t="s">
        <v>169</v>
      </c>
      <c r="Q2224" s="1" t="s">
        <v>153</v>
      </c>
      <c r="R2224" t="str">
        <f>Table11[[#This Row],[Match]]&amp;" "&amp;Table11[[#This Row],[Over]]</f>
        <v>42 7</v>
      </c>
    </row>
    <row r="2225" spans="1:18" x14ac:dyDescent="0.3">
      <c r="A2225">
        <v>42</v>
      </c>
      <c r="B2225" s="1">
        <v>8</v>
      </c>
      <c r="C2225" s="1" t="s">
        <v>956</v>
      </c>
      <c r="D2225" s="1" t="s">
        <v>922</v>
      </c>
      <c r="E2225" s="1" t="s">
        <v>957</v>
      </c>
      <c r="F2225" s="1" t="s">
        <v>1093</v>
      </c>
      <c r="G2225" s="1" t="s">
        <v>2104</v>
      </c>
      <c r="H2225" s="1" t="s">
        <v>933</v>
      </c>
      <c r="I2225" s="1" t="s">
        <v>1722</v>
      </c>
      <c r="J2225" s="1" t="s">
        <v>1116</v>
      </c>
      <c r="K2225" s="1" t="s">
        <v>1975</v>
      </c>
      <c r="L2225" s="1" t="s">
        <v>1082</v>
      </c>
      <c r="M2225" s="1" t="s">
        <v>963</v>
      </c>
      <c r="N2225">
        <f>_xlfn.NUMBERVALUE(LEFT(Table11[[#This Row],[Score]],FIND("/",Table11[[#This Row],[Score]])-1))</f>
        <v>35</v>
      </c>
      <c r="O2225">
        <f>IFERROR(_xlfn.NUMBERVALUE(LEFT(Table11[[#This Row],[Score2 ]],FIND("/",Table11[[#This Row],[Score2 ]])-1)),"")</f>
        <v>42</v>
      </c>
      <c r="P2225" t="s">
        <v>169</v>
      </c>
      <c r="Q2225" s="1" t="s">
        <v>153</v>
      </c>
      <c r="R2225" t="str">
        <f>Table11[[#This Row],[Match]]&amp;" "&amp;Table11[[#This Row],[Over]]</f>
        <v>42 8</v>
      </c>
    </row>
    <row r="2226" spans="1:18" x14ac:dyDescent="0.3">
      <c r="A2226">
        <v>42</v>
      </c>
      <c r="B2226" s="1">
        <v>9</v>
      </c>
      <c r="C2226" s="1" t="s">
        <v>975</v>
      </c>
      <c r="D2226" s="1" t="s">
        <v>1051</v>
      </c>
      <c r="E2226" s="1" t="s">
        <v>1643</v>
      </c>
      <c r="F2226" s="1" t="s">
        <v>970</v>
      </c>
      <c r="G2226" s="1" t="s">
        <v>3308</v>
      </c>
      <c r="H2226" s="1" t="s">
        <v>922</v>
      </c>
      <c r="I2226" s="1" t="s">
        <v>2110</v>
      </c>
      <c r="J2226" s="1" t="s">
        <v>1116</v>
      </c>
      <c r="K2226" s="1" t="s">
        <v>1935</v>
      </c>
      <c r="L2226" s="1" t="s">
        <v>1509</v>
      </c>
      <c r="M2226" s="1" t="s">
        <v>973</v>
      </c>
      <c r="N2226">
        <f>_xlfn.NUMBERVALUE(LEFT(Table11[[#This Row],[Score]],FIND("/",Table11[[#This Row],[Score]])-1))</f>
        <v>46</v>
      </c>
      <c r="O2226">
        <f>IFERROR(_xlfn.NUMBERVALUE(LEFT(Table11[[#This Row],[Score2 ]],FIND("/",Table11[[#This Row],[Score2 ]])-1)),"")</f>
        <v>48</v>
      </c>
      <c r="P2226" t="s">
        <v>169</v>
      </c>
      <c r="Q2226" s="1" t="s">
        <v>153</v>
      </c>
      <c r="R2226" t="str">
        <f>Table11[[#This Row],[Match]]&amp;" "&amp;Table11[[#This Row],[Over]]</f>
        <v>42 9</v>
      </c>
    </row>
    <row r="2227" spans="1:18" x14ac:dyDescent="0.3">
      <c r="A2227">
        <v>42</v>
      </c>
      <c r="B2227" s="1">
        <v>10</v>
      </c>
      <c r="C2227" s="1" t="s">
        <v>982</v>
      </c>
      <c r="D2227" s="1" t="s">
        <v>968</v>
      </c>
      <c r="E2227" s="1" t="s">
        <v>1321</v>
      </c>
      <c r="F2227" s="1" t="s">
        <v>970</v>
      </c>
      <c r="G2227" s="1" t="s">
        <v>2446</v>
      </c>
      <c r="H2227" s="1" t="s">
        <v>1566</v>
      </c>
      <c r="I2227" s="1" t="s">
        <v>1729</v>
      </c>
      <c r="J2227" s="1" t="s">
        <v>1219</v>
      </c>
      <c r="K2227" s="1" t="s">
        <v>1118</v>
      </c>
      <c r="L2227" s="1" t="s">
        <v>2642</v>
      </c>
      <c r="M2227" s="1" t="s">
        <v>980</v>
      </c>
      <c r="N2227">
        <f>_xlfn.NUMBERVALUE(LEFT(Table11[[#This Row],[Score]],FIND("/",Table11[[#This Row],[Score]])-1))</f>
        <v>47</v>
      </c>
      <c r="O2227">
        <f>IFERROR(_xlfn.NUMBERVALUE(LEFT(Table11[[#This Row],[Score2 ]],FIND("/",Table11[[#This Row],[Score2 ]])-1)),"")</f>
        <v>65</v>
      </c>
      <c r="P2227" t="s">
        <v>169</v>
      </c>
      <c r="Q2227" s="1" t="s">
        <v>153</v>
      </c>
      <c r="R2227" t="str">
        <f>Table11[[#This Row],[Match]]&amp;" "&amp;Table11[[#This Row],[Over]]</f>
        <v>42 10</v>
      </c>
    </row>
    <row r="2228" spans="1:18" x14ac:dyDescent="0.3">
      <c r="A2228">
        <v>42</v>
      </c>
      <c r="B2228" s="1">
        <v>11</v>
      </c>
      <c r="C2228" s="1" t="s">
        <v>3000</v>
      </c>
      <c r="D2228" s="1" t="s">
        <v>998</v>
      </c>
      <c r="E2228" s="1" t="s">
        <v>1935</v>
      </c>
      <c r="F2228" s="1" t="s">
        <v>1013</v>
      </c>
      <c r="G2228" s="1" t="s">
        <v>1995</v>
      </c>
      <c r="H2228" s="1" t="s">
        <v>950</v>
      </c>
      <c r="I2228" s="1" t="s">
        <v>2720</v>
      </c>
      <c r="J2228" s="1" t="s">
        <v>1219</v>
      </c>
      <c r="K2228" s="1" t="s">
        <v>999</v>
      </c>
      <c r="L2228" s="1" t="s">
        <v>1063</v>
      </c>
      <c r="M2228" s="1" t="s">
        <v>987</v>
      </c>
      <c r="N2228">
        <f>_xlfn.NUMBERVALUE(LEFT(Table11[[#This Row],[Score]],FIND("/",Table11[[#This Row],[Score]])-1))</f>
        <v>51</v>
      </c>
      <c r="O2228">
        <f>IFERROR(_xlfn.NUMBERVALUE(LEFT(Table11[[#This Row],[Score2 ]],FIND("/",Table11[[#This Row],[Score2 ]])-1)),"")</f>
        <v>70</v>
      </c>
      <c r="P2228" t="s">
        <v>169</v>
      </c>
      <c r="Q2228" s="1" t="s">
        <v>153</v>
      </c>
      <c r="R2228" t="str">
        <f>Table11[[#This Row],[Match]]&amp;" "&amp;Table11[[#This Row],[Over]]</f>
        <v>42 11</v>
      </c>
    </row>
    <row r="2229" spans="1:18" x14ac:dyDescent="0.3">
      <c r="A2229">
        <v>42</v>
      </c>
      <c r="B2229" s="1">
        <v>12</v>
      </c>
      <c r="C2229" s="1" t="s">
        <v>991</v>
      </c>
      <c r="D2229" s="1" t="s">
        <v>898</v>
      </c>
      <c r="E2229" s="1" t="s">
        <v>992</v>
      </c>
      <c r="F2229" s="1" t="s">
        <v>1093</v>
      </c>
      <c r="G2229" s="1" t="s">
        <v>1997</v>
      </c>
      <c r="H2229" s="1" t="s">
        <v>898</v>
      </c>
      <c r="I2229" s="1" t="s">
        <v>1019</v>
      </c>
      <c r="J2229" s="1" t="s">
        <v>1154</v>
      </c>
      <c r="K2229" s="1" t="s">
        <v>1040</v>
      </c>
      <c r="L2229" s="1" t="s">
        <v>1349</v>
      </c>
      <c r="M2229" s="1" t="s">
        <v>996</v>
      </c>
      <c r="N2229">
        <f>_xlfn.NUMBERVALUE(LEFT(Table11[[#This Row],[Score]],FIND("/",Table11[[#This Row],[Score]])-1))</f>
        <v>53</v>
      </c>
      <c r="O2229">
        <f>IFERROR(_xlfn.NUMBERVALUE(LEFT(Table11[[#This Row],[Score2 ]],FIND("/",Table11[[#This Row],[Score2 ]])-1)),"")</f>
        <v>72</v>
      </c>
      <c r="P2229" t="s">
        <v>169</v>
      </c>
      <c r="Q2229" s="1" t="s">
        <v>153</v>
      </c>
      <c r="R2229" t="str">
        <f>Table11[[#This Row],[Match]]&amp;" "&amp;Table11[[#This Row],[Over]]</f>
        <v>42 12</v>
      </c>
    </row>
    <row r="2230" spans="1:18" x14ac:dyDescent="0.3">
      <c r="A2230">
        <v>42</v>
      </c>
      <c r="B2230" s="1">
        <v>13</v>
      </c>
      <c r="C2230" s="1" t="s">
        <v>2455</v>
      </c>
      <c r="D2230" s="1" t="s">
        <v>947</v>
      </c>
      <c r="E2230" s="1" t="s">
        <v>1187</v>
      </c>
      <c r="F2230" s="1" t="s">
        <v>966</v>
      </c>
      <c r="G2230" s="1" t="s">
        <v>1751</v>
      </c>
      <c r="H2230" s="1" t="s">
        <v>922</v>
      </c>
      <c r="I2230" s="1" t="s">
        <v>1019</v>
      </c>
      <c r="J2230" s="1" t="s">
        <v>1116</v>
      </c>
      <c r="K2230" s="1" t="s">
        <v>1118</v>
      </c>
      <c r="L2230" s="1" t="s">
        <v>1360</v>
      </c>
      <c r="M2230" s="1" t="s">
        <v>1004</v>
      </c>
      <c r="N2230">
        <f>_xlfn.NUMBERVALUE(LEFT(Table11[[#This Row],[Score]],FIND("/",Table11[[#This Row],[Score]])-1))</f>
        <v>62</v>
      </c>
      <c r="O2230">
        <f>IFERROR(_xlfn.NUMBERVALUE(LEFT(Table11[[#This Row],[Score2 ]],FIND("/",Table11[[#This Row],[Score2 ]])-1)),"")</f>
        <v>78</v>
      </c>
      <c r="P2230" t="s">
        <v>169</v>
      </c>
      <c r="Q2230" s="1" t="s">
        <v>153</v>
      </c>
      <c r="R2230" t="str">
        <f>Table11[[#This Row],[Match]]&amp;" "&amp;Table11[[#This Row],[Over]]</f>
        <v>42 13</v>
      </c>
    </row>
    <row r="2231" spans="1:18" x14ac:dyDescent="0.3">
      <c r="A2231">
        <v>42</v>
      </c>
      <c r="B2231" s="1">
        <v>14</v>
      </c>
      <c r="C2231" s="1" t="s">
        <v>1998</v>
      </c>
      <c r="D2231" s="1" t="s">
        <v>947</v>
      </c>
      <c r="E2231" s="1" t="s">
        <v>1661</v>
      </c>
      <c r="F2231" s="1" t="s">
        <v>969</v>
      </c>
      <c r="G2231" s="1" t="s">
        <v>3545</v>
      </c>
      <c r="H2231" s="1" t="s">
        <v>922</v>
      </c>
      <c r="I2231" s="1" t="s">
        <v>1019</v>
      </c>
      <c r="J2231" s="1" t="s">
        <v>1116</v>
      </c>
      <c r="K2231" s="1" t="s">
        <v>983</v>
      </c>
      <c r="L2231" s="1" t="s">
        <v>2710</v>
      </c>
      <c r="M2231" s="1" t="s">
        <v>1010</v>
      </c>
      <c r="N2231">
        <f>_xlfn.NUMBERVALUE(LEFT(Table11[[#This Row],[Score]],FIND("/",Table11[[#This Row],[Score]])-1))</f>
        <v>71</v>
      </c>
      <c r="O2231">
        <f>IFERROR(_xlfn.NUMBERVALUE(LEFT(Table11[[#This Row],[Score2 ]],FIND("/",Table11[[#This Row],[Score2 ]])-1)),"")</f>
        <v>84</v>
      </c>
      <c r="P2231" t="s">
        <v>169</v>
      </c>
      <c r="Q2231" s="1" t="s">
        <v>153</v>
      </c>
      <c r="R2231" t="str">
        <f>Table11[[#This Row],[Match]]&amp;" "&amp;Table11[[#This Row],[Over]]</f>
        <v>42 14</v>
      </c>
    </row>
    <row r="2232" spans="1:18" x14ac:dyDescent="0.3">
      <c r="A2232">
        <v>42</v>
      </c>
      <c r="B2232" s="1">
        <v>15</v>
      </c>
      <c r="C2232" s="1" t="s">
        <v>2462</v>
      </c>
      <c r="D2232" s="1" t="s">
        <v>916</v>
      </c>
      <c r="E2232" s="1" t="s">
        <v>1029</v>
      </c>
      <c r="F2232" s="1" t="s">
        <v>970</v>
      </c>
      <c r="G2232" s="1" t="s">
        <v>2930</v>
      </c>
      <c r="H2232" s="1" t="s">
        <v>950</v>
      </c>
      <c r="I2232" s="1" t="s">
        <v>1425</v>
      </c>
      <c r="J2232" s="1" t="s">
        <v>1093</v>
      </c>
      <c r="K2232" s="1" t="s">
        <v>1074</v>
      </c>
      <c r="L2232" s="1" t="s">
        <v>2161</v>
      </c>
      <c r="M2232" s="1" t="s">
        <v>1016</v>
      </c>
      <c r="N2232">
        <f>_xlfn.NUMBERVALUE(LEFT(Table11[[#This Row],[Score]],FIND("/",Table11[[#This Row],[Score]])-1))</f>
        <v>78</v>
      </c>
      <c r="O2232">
        <f>IFERROR(_xlfn.NUMBERVALUE(LEFT(Table11[[#This Row],[Score2 ]],FIND("/",Table11[[#This Row],[Score2 ]])-1)),"")</f>
        <v>89</v>
      </c>
      <c r="P2232" t="s">
        <v>169</v>
      </c>
      <c r="Q2232" s="1" t="s">
        <v>153</v>
      </c>
      <c r="R2232" t="str">
        <f>Table11[[#This Row],[Match]]&amp;" "&amp;Table11[[#This Row],[Over]]</f>
        <v>42 15</v>
      </c>
    </row>
    <row r="2233" spans="1:18" x14ac:dyDescent="0.3">
      <c r="A2233">
        <v>42</v>
      </c>
      <c r="B2233" s="1">
        <v>16</v>
      </c>
      <c r="C2233" s="1" t="s">
        <v>3254</v>
      </c>
      <c r="D2233" s="1" t="s">
        <v>916</v>
      </c>
      <c r="E2233" s="1" t="s">
        <v>2257</v>
      </c>
      <c r="F2233" s="1" t="s">
        <v>1053</v>
      </c>
      <c r="G2233" s="1" t="s">
        <v>3546</v>
      </c>
      <c r="H2233" s="1" t="s">
        <v>998</v>
      </c>
      <c r="I2233" s="1" t="s">
        <v>1420</v>
      </c>
      <c r="J2233" s="1" t="s">
        <v>976</v>
      </c>
      <c r="K2233" s="1" t="s">
        <v>1382</v>
      </c>
      <c r="L2233" s="1" t="s">
        <v>2165</v>
      </c>
      <c r="M2233" s="1" t="s">
        <v>1024</v>
      </c>
      <c r="N2233">
        <f>_xlfn.NUMBERVALUE(LEFT(Table11[[#This Row],[Score]],FIND("/",Table11[[#This Row],[Score]])-1))</f>
        <v>85</v>
      </c>
      <c r="O2233">
        <f>IFERROR(_xlfn.NUMBERVALUE(LEFT(Table11[[#This Row],[Score2 ]],FIND("/",Table11[[#This Row],[Score2 ]])-1)),"")</f>
        <v>93</v>
      </c>
      <c r="P2233" t="s">
        <v>169</v>
      </c>
      <c r="Q2233" s="1" t="s">
        <v>153</v>
      </c>
      <c r="R2233" t="str">
        <f>Table11[[#This Row],[Match]]&amp;" "&amp;Table11[[#This Row],[Over]]</f>
        <v>42 16</v>
      </c>
    </row>
    <row r="2234" spans="1:18" x14ac:dyDescent="0.3">
      <c r="A2234">
        <v>42</v>
      </c>
      <c r="B2234" s="1">
        <v>17</v>
      </c>
      <c r="C2234" s="1" t="s">
        <v>3153</v>
      </c>
      <c r="D2234" s="1" t="s">
        <v>904</v>
      </c>
      <c r="E2234" s="1" t="s">
        <v>1573</v>
      </c>
      <c r="F2234" s="1" t="s">
        <v>952</v>
      </c>
      <c r="G2234" s="1" t="s">
        <v>2756</v>
      </c>
      <c r="H2234" s="1" t="s">
        <v>904</v>
      </c>
      <c r="I2234" s="1" t="s">
        <v>2242</v>
      </c>
      <c r="J2234" s="1" t="s">
        <v>1093</v>
      </c>
      <c r="K2234" s="1" t="s">
        <v>999</v>
      </c>
      <c r="L2234" s="1" t="s">
        <v>1864</v>
      </c>
      <c r="M2234" s="1" t="s">
        <v>1031</v>
      </c>
      <c r="N2234">
        <f>_xlfn.NUMBERVALUE(LEFT(Table11[[#This Row],[Score]],FIND("/",Table11[[#This Row],[Score]])-1))</f>
        <v>88</v>
      </c>
      <c r="O2234">
        <f>IFERROR(_xlfn.NUMBERVALUE(LEFT(Table11[[#This Row],[Score2 ]],FIND("/",Table11[[#This Row],[Score2 ]])-1)),"")</f>
        <v>96</v>
      </c>
      <c r="P2234" t="s">
        <v>169</v>
      </c>
      <c r="Q2234" s="1" t="s">
        <v>153</v>
      </c>
      <c r="R2234" t="str">
        <f>Table11[[#This Row],[Match]]&amp;" "&amp;Table11[[#This Row],[Over]]</f>
        <v>42 17</v>
      </c>
    </row>
    <row r="2235" spans="1:18" x14ac:dyDescent="0.3">
      <c r="A2235">
        <v>42</v>
      </c>
      <c r="B2235" s="1">
        <v>18</v>
      </c>
      <c r="C2235" s="1" t="s">
        <v>2556</v>
      </c>
      <c r="D2235" s="1" t="s">
        <v>904</v>
      </c>
      <c r="E2235" s="1" t="s">
        <v>1365</v>
      </c>
      <c r="F2235" s="1" t="s">
        <v>1013</v>
      </c>
      <c r="G2235" s="1" t="s">
        <v>1757</v>
      </c>
      <c r="H2235" s="1" t="s">
        <v>904</v>
      </c>
      <c r="I2235" s="1" t="s">
        <v>959</v>
      </c>
      <c r="J2235" s="1" t="s">
        <v>931</v>
      </c>
      <c r="K2235" s="1" t="s">
        <v>1526</v>
      </c>
      <c r="L2235" s="1" t="s">
        <v>1544</v>
      </c>
      <c r="M2235" s="1" t="s">
        <v>1037</v>
      </c>
      <c r="N2235">
        <f>_xlfn.NUMBERVALUE(LEFT(Table11[[#This Row],[Score]],FIND("/",Table11[[#This Row],[Score]])-1))</f>
        <v>91</v>
      </c>
      <c r="O2235">
        <f>IFERROR(_xlfn.NUMBERVALUE(LEFT(Table11[[#This Row],[Score2 ]],FIND("/",Table11[[#This Row],[Score2 ]])-1)),"")</f>
        <v>99</v>
      </c>
      <c r="P2235" t="s">
        <v>169</v>
      </c>
      <c r="Q2235" s="1" t="s">
        <v>153</v>
      </c>
      <c r="R2235" t="str">
        <f>Table11[[#This Row],[Match]]&amp;" "&amp;Table11[[#This Row],[Over]]</f>
        <v>42 18</v>
      </c>
    </row>
    <row r="2236" spans="1:18" x14ac:dyDescent="0.3">
      <c r="A2236">
        <v>42</v>
      </c>
      <c r="B2236" s="1">
        <v>19</v>
      </c>
      <c r="C2236" s="1" t="s">
        <v>3099</v>
      </c>
      <c r="D2236" s="1" t="s">
        <v>998</v>
      </c>
      <c r="E2236" s="1" t="s">
        <v>969</v>
      </c>
      <c r="F2236" s="1" t="s">
        <v>1093</v>
      </c>
      <c r="G2236" s="1" t="s">
        <v>2761</v>
      </c>
      <c r="H2236" s="1" t="s">
        <v>922</v>
      </c>
      <c r="I2236" s="1" t="s">
        <v>1677</v>
      </c>
      <c r="J2236" s="1" t="s">
        <v>931</v>
      </c>
      <c r="K2236" s="1" t="s">
        <v>1474</v>
      </c>
      <c r="L2236" s="1" t="s">
        <v>1394</v>
      </c>
      <c r="M2236" s="1" t="s">
        <v>1043</v>
      </c>
      <c r="N2236">
        <f>_xlfn.NUMBERVALUE(LEFT(Table11[[#This Row],[Score]],FIND("/",Table11[[#This Row],[Score]])-1))</f>
        <v>95</v>
      </c>
      <c r="O2236">
        <f>IFERROR(_xlfn.NUMBERVALUE(LEFT(Table11[[#This Row],[Score2 ]],FIND("/",Table11[[#This Row],[Score2 ]])-1)),"")</f>
        <v>105</v>
      </c>
      <c r="P2236" t="s">
        <v>169</v>
      </c>
      <c r="Q2236" s="1" t="s">
        <v>153</v>
      </c>
      <c r="R2236" t="str">
        <f>Table11[[#This Row],[Match]]&amp;" "&amp;Table11[[#This Row],[Over]]</f>
        <v>42 19</v>
      </c>
    </row>
    <row r="2237" spans="1:18" x14ac:dyDescent="0.3">
      <c r="A2237">
        <v>42</v>
      </c>
      <c r="B2237" s="1">
        <v>20</v>
      </c>
      <c r="C2237" s="1" t="s">
        <v>2241</v>
      </c>
      <c r="D2237" s="1" t="s">
        <v>968</v>
      </c>
      <c r="E2237" s="1" t="s">
        <v>1093</v>
      </c>
      <c r="F2237" s="1" t="s">
        <v>977</v>
      </c>
      <c r="G2237" s="1" t="s">
        <v>4165</v>
      </c>
      <c r="H2237" s="1" t="s">
        <v>922</v>
      </c>
      <c r="I2237" s="1" t="s">
        <v>1682</v>
      </c>
      <c r="J2237" s="1" t="s">
        <v>940</v>
      </c>
      <c r="K2237" s="1" t="s">
        <v>1532</v>
      </c>
      <c r="L2237" s="1" t="s">
        <v>1871</v>
      </c>
      <c r="M2237" s="1" t="s">
        <v>1049</v>
      </c>
      <c r="N2237">
        <f>_xlfn.NUMBERVALUE(LEFT(Table11[[#This Row],[Score]],FIND("/",Table11[[#This Row],[Score]])-1))</f>
        <v>96</v>
      </c>
      <c r="O2237">
        <f>IFERROR(_xlfn.NUMBERVALUE(LEFT(Table11[[#This Row],[Score2 ]],FIND("/",Table11[[#This Row],[Score2 ]])-1)),"")</f>
        <v>111</v>
      </c>
      <c r="P2237" t="s">
        <v>169</v>
      </c>
      <c r="Q2237" s="1" t="s">
        <v>153</v>
      </c>
      <c r="R2237" t="str">
        <f>Table11[[#This Row],[Match]]&amp;" "&amp;Table11[[#This Row],[Over]]</f>
        <v>42 20</v>
      </c>
    </row>
    <row r="2238" spans="1:18" x14ac:dyDescent="0.3">
      <c r="A2238">
        <v>42</v>
      </c>
      <c r="B2238" s="1">
        <v>21</v>
      </c>
      <c r="C2238" s="1" t="s">
        <v>1499</v>
      </c>
      <c r="D2238" s="1" t="s">
        <v>898</v>
      </c>
      <c r="E2238" s="1" t="s">
        <v>1975</v>
      </c>
      <c r="F2238" s="1" t="s">
        <v>984</v>
      </c>
      <c r="G2238" s="1" t="s">
        <v>4166</v>
      </c>
      <c r="H2238" s="1" t="s">
        <v>998</v>
      </c>
      <c r="I2238" s="1" t="s">
        <v>2070</v>
      </c>
      <c r="J2238" s="1" t="s">
        <v>940</v>
      </c>
      <c r="K2238" s="1" t="s">
        <v>2060</v>
      </c>
      <c r="L2238" s="1" t="s">
        <v>2175</v>
      </c>
      <c r="M2238" s="1" t="s">
        <v>1056</v>
      </c>
      <c r="N2238">
        <f>_xlfn.NUMBERVALUE(LEFT(Table11[[#This Row],[Score]],FIND("/",Table11[[#This Row],[Score]])-1))</f>
        <v>98</v>
      </c>
      <c r="O2238">
        <f>IFERROR(_xlfn.NUMBERVALUE(LEFT(Table11[[#This Row],[Score2 ]],FIND("/",Table11[[#This Row],[Score2 ]])-1)),"")</f>
        <v>115</v>
      </c>
      <c r="P2238" t="s">
        <v>169</v>
      </c>
      <c r="Q2238" s="1" t="s">
        <v>153</v>
      </c>
      <c r="R2238" t="str">
        <f>Table11[[#This Row],[Match]]&amp;" "&amp;Table11[[#This Row],[Over]]</f>
        <v>42 21</v>
      </c>
    </row>
    <row r="2239" spans="1:18" x14ac:dyDescent="0.3">
      <c r="A2239">
        <v>42</v>
      </c>
      <c r="B2239" s="1">
        <v>22</v>
      </c>
      <c r="C2239" s="1" t="s">
        <v>2246</v>
      </c>
      <c r="D2239" s="1" t="s">
        <v>998</v>
      </c>
      <c r="E2239" s="1" t="s">
        <v>1935</v>
      </c>
      <c r="F2239" s="1" t="s">
        <v>993</v>
      </c>
      <c r="G2239" s="1" t="s">
        <v>4167</v>
      </c>
      <c r="H2239" s="1" t="s">
        <v>968</v>
      </c>
      <c r="I2239" s="1" t="s">
        <v>1593</v>
      </c>
      <c r="J2239" s="1" t="s">
        <v>939</v>
      </c>
      <c r="K2239" s="1" t="s">
        <v>1299</v>
      </c>
      <c r="L2239" s="1" t="s">
        <v>2304</v>
      </c>
      <c r="M2239" s="1" t="s">
        <v>1063</v>
      </c>
      <c r="N2239">
        <f>_xlfn.NUMBERVALUE(LEFT(Table11[[#This Row],[Score]],FIND("/",Table11[[#This Row],[Score]])-1))</f>
        <v>102</v>
      </c>
      <c r="O2239">
        <f>IFERROR(_xlfn.NUMBERVALUE(LEFT(Table11[[#This Row],[Score2 ]],FIND("/",Table11[[#This Row],[Score2 ]])-1)),"")</f>
        <v>116</v>
      </c>
      <c r="P2239" t="s">
        <v>169</v>
      </c>
      <c r="Q2239" s="1" t="s">
        <v>153</v>
      </c>
      <c r="R2239" t="str">
        <f>Table11[[#This Row],[Match]]&amp;" "&amp;Table11[[#This Row],[Over]]</f>
        <v>42 22</v>
      </c>
    </row>
    <row r="2240" spans="1:18" x14ac:dyDescent="0.3">
      <c r="A2240">
        <v>42</v>
      </c>
      <c r="B2240" s="1">
        <v>23</v>
      </c>
      <c r="C2240" s="1" t="s">
        <v>2631</v>
      </c>
      <c r="D2240" s="1" t="s">
        <v>998</v>
      </c>
      <c r="E2240" s="1" t="s">
        <v>976</v>
      </c>
      <c r="F2240" s="1" t="s">
        <v>1238</v>
      </c>
      <c r="G2240" s="1" t="s">
        <v>1324</v>
      </c>
      <c r="H2240" s="1" t="s">
        <v>916</v>
      </c>
      <c r="I2240" s="1" t="s">
        <v>2685</v>
      </c>
      <c r="J2240" s="1" t="s">
        <v>1093</v>
      </c>
      <c r="K2240" s="1" t="s">
        <v>1074</v>
      </c>
      <c r="L2240" s="1" t="s">
        <v>1880</v>
      </c>
      <c r="M2240" s="1" t="s">
        <v>1070</v>
      </c>
      <c r="N2240">
        <f>_xlfn.NUMBERVALUE(LEFT(Table11[[#This Row],[Score]],FIND("/",Table11[[#This Row],[Score]])-1))</f>
        <v>106</v>
      </c>
      <c r="O2240">
        <f>IFERROR(_xlfn.NUMBERVALUE(LEFT(Table11[[#This Row],[Score2 ]],FIND("/",Table11[[#This Row],[Score2 ]])-1)),"")</f>
        <v>123</v>
      </c>
      <c r="P2240" t="s">
        <v>169</v>
      </c>
      <c r="Q2240" s="1" t="s">
        <v>153</v>
      </c>
      <c r="R2240" t="str">
        <f>Table11[[#This Row],[Match]]&amp;" "&amp;Table11[[#This Row],[Over]]</f>
        <v>42 23</v>
      </c>
    </row>
    <row r="2241" spans="1:18" x14ac:dyDescent="0.3">
      <c r="A2241">
        <v>42</v>
      </c>
      <c r="B2241" s="1">
        <v>24</v>
      </c>
      <c r="C2241" s="1" t="s">
        <v>1320</v>
      </c>
      <c r="D2241" s="1" t="s">
        <v>916</v>
      </c>
      <c r="E2241" s="1" t="s">
        <v>1321</v>
      </c>
      <c r="F2241" s="1" t="s">
        <v>977</v>
      </c>
      <c r="G2241" s="1" t="s">
        <v>3103</v>
      </c>
      <c r="H2241" s="1" t="s">
        <v>968</v>
      </c>
      <c r="I2241" s="1" t="s">
        <v>1587</v>
      </c>
      <c r="J2241" s="1" t="s">
        <v>990</v>
      </c>
      <c r="K2241" s="1" t="s">
        <v>1035</v>
      </c>
      <c r="L2241" s="1" t="s">
        <v>1121</v>
      </c>
      <c r="M2241" s="1" t="s">
        <v>1077</v>
      </c>
      <c r="N2241">
        <f>_xlfn.NUMBERVALUE(LEFT(Table11[[#This Row],[Score]],FIND("/",Table11[[#This Row],[Score]])-1))</f>
        <v>113</v>
      </c>
      <c r="O2241">
        <f>IFERROR(_xlfn.NUMBERVALUE(LEFT(Table11[[#This Row],[Score2 ]],FIND("/",Table11[[#This Row],[Score2 ]])-1)),"")</f>
        <v>124</v>
      </c>
      <c r="P2241" t="s">
        <v>169</v>
      </c>
      <c r="Q2241" s="1" t="s">
        <v>153</v>
      </c>
      <c r="R2241" t="str">
        <f>Table11[[#This Row],[Match]]&amp;" "&amp;Table11[[#This Row],[Over]]</f>
        <v>42 24</v>
      </c>
    </row>
    <row r="2242" spans="1:18" x14ac:dyDescent="0.3">
      <c r="A2242">
        <v>42</v>
      </c>
      <c r="B2242" s="1">
        <v>25</v>
      </c>
      <c r="C2242" s="1" t="s">
        <v>1326</v>
      </c>
      <c r="D2242" s="1" t="s">
        <v>898</v>
      </c>
      <c r="E2242" s="1" t="s">
        <v>976</v>
      </c>
      <c r="F2242" s="1" t="s">
        <v>990</v>
      </c>
      <c r="G2242" s="1" t="s">
        <v>3877</v>
      </c>
      <c r="H2242" s="1" t="s">
        <v>904</v>
      </c>
      <c r="I2242" s="1" t="s">
        <v>1657</v>
      </c>
      <c r="J2242" s="1" t="s">
        <v>1259</v>
      </c>
      <c r="K2242" s="1" t="s">
        <v>965</v>
      </c>
      <c r="L2242" s="1" t="s">
        <v>2073</v>
      </c>
      <c r="M2242" s="1" t="s">
        <v>1083</v>
      </c>
      <c r="N2242">
        <f>_xlfn.NUMBERVALUE(LEFT(Table11[[#This Row],[Score]],FIND("/",Table11[[#This Row],[Score]])-1))</f>
        <v>115</v>
      </c>
      <c r="O2242">
        <f>IFERROR(_xlfn.NUMBERVALUE(LEFT(Table11[[#This Row],[Score2 ]],FIND("/",Table11[[#This Row],[Score2 ]])-1)),"")</f>
        <v>127</v>
      </c>
      <c r="P2242" t="s">
        <v>169</v>
      </c>
      <c r="Q2242" s="1" t="s">
        <v>153</v>
      </c>
      <c r="R2242" t="str">
        <f>Table11[[#This Row],[Match]]&amp;" "&amp;Table11[[#This Row],[Over]]</f>
        <v>42 25</v>
      </c>
    </row>
    <row r="2243" spans="1:18" x14ac:dyDescent="0.3">
      <c r="A2243">
        <v>42</v>
      </c>
      <c r="B2243" s="1">
        <v>26</v>
      </c>
      <c r="C2243" s="1" t="s">
        <v>3289</v>
      </c>
      <c r="D2243" s="1" t="s">
        <v>904</v>
      </c>
      <c r="E2243" s="1" t="s">
        <v>1793</v>
      </c>
      <c r="F2243" s="1" t="s">
        <v>939</v>
      </c>
      <c r="G2243" s="1" t="s">
        <v>3212</v>
      </c>
      <c r="H2243" s="1" t="s">
        <v>930</v>
      </c>
      <c r="I2243" s="1" t="s">
        <v>1052</v>
      </c>
      <c r="J2243" s="1" t="s">
        <v>939</v>
      </c>
      <c r="K2243" s="1" t="s">
        <v>1474</v>
      </c>
      <c r="L2243" s="1" t="s">
        <v>2399</v>
      </c>
      <c r="M2243" s="1" t="s">
        <v>1090</v>
      </c>
      <c r="N2243">
        <f>_xlfn.NUMBERVALUE(LEFT(Table11[[#This Row],[Score]],FIND("/",Table11[[#This Row],[Score]])-1))</f>
        <v>118</v>
      </c>
      <c r="O2243">
        <f>IFERROR(_xlfn.NUMBERVALUE(LEFT(Table11[[#This Row],[Score2 ]],FIND("/",Table11[[#This Row],[Score2 ]])-1)),"")</f>
        <v>135</v>
      </c>
      <c r="P2243" t="s">
        <v>169</v>
      </c>
      <c r="Q2243" s="1" t="s">
        <v>153</v>
      </c>
      <c r="R2243" t="str">
        <f>Table11[[#This Row],[Match]]&amp;" "&amp;Table11[[#This Row],[Over]]</f>
        <v>42 26</v>
      </c>
    </row>
    <row r="2244" spans="1:18" x14ac:dyDescent="0.3">
      <c r="A2244">
        <v>42</v>
      </c>
      <c r="B2244" s="1">
        <v>27</v>
      </c>
      <c r="C2244" s="1" t="s">
        <v>3585</v>
      </c>
      <c r="D2244" s="1" t="s">
        <v>922</v>
      </c>
      <c r="E2244" s="1" t="s">
        <v>1557</v>
      </c>
      <c r="F2244" s="1" t="s">
        <v>940</v>
      </c>
      <c r="G2244" s="1" t="s">
        <v>2134</v>
      </c>
      <c r="H2244" s="1" t="s">
        <v>898</v>
      </c>
      <c r="I2244" s="1" t="s">
        <v>1661</v>
      </c>
      <c r="J2244" s="1" t="s">
        <v>931</v>
      </c>
      <c r="K2244" s="1" t="s">
        <v>1067</v>
      </c>
      <c r="L2244" s="1" t="s">
        <v>1189</v>
      </c>
      <c r="M2244" s="1" t="s">
        <v>1098</v>
      </c>
      <c r="N2244">
        <f>_xlfn.NUMBERVALUE(LEFT(Table11[[#This Row],[Score]],FIND("/",Table11[[#This Row],[Score]])-1))</f>
        <v>124</v>
      </c>
      <c r="O2244">
        <f>IFERROR(_xlfn.NUMBERVALUE(LEFT(Table11[[#This Row],[Score2 ]],FIND("/",Table11[[#This Row],[Score2 ]])-1)),"")</f>
        <v>137</v>
      </c>
      <c r="P2244" t="s">
        <v>169</v>
      </c>
      <c r="Q2244" s="1" t="s">
        <v>153</v>
      </c>
      <c r="R2244" t="str">
        <f>Table11[[#This Row],[Match]]&amp;" "&amp;Table11[[#This Row],[Over]]</f>
        <v>42 27</v>
      </c>
    </row>
    <row r="2245" spans="1:18" x14ac:dyDescent="0.3">
      <c r="A2245">
        <v>42</v>
      </c>
      <c r="B2245" s="1">
        <v>28</v>
      </c>
      <c r="C2245" s="1" t="s">
        <v>3823</v>
      </c>
      <c r="D2245" s="1" t="s">
        <v>904</v>
      </c>
      <c r="E2245" s="1" t="s">
        <v>1793</v>
      </c>
      <c r="F2245" s="1" t="s">
        <v>931</v>
      </c>
      <c r="G2245" s="1" t="s">
        <v>3214</v>
      </c>
      <c r="H2245" s="1" t="s">
        <v>904</v>
      </c>
      <c r="I2245" s="1" t="s">
        <v>969</v>
      </c>
      <c r="J2245" s="1" t="s">
        <v>1247</v>
      </c>
      <c r="K2245" s="1" t="s">
        <v>1060</v>
      </c>
      <c r="L2245" s="1" t="s">
        <v>1196</v>
      </c>
      <c r="M2245" s="1" t="s">
        <v>1101</v>
      </c>
      <c r="N2245">
        <f>_xlfn.NUMBERVALUE(LEFT(Table11[[#This Row],[Score]],FIND("/",Table11[[#This Row],[Score]])-1))</f>
        <v>127</v>
      </c>
      <c r="O2245">
        <f>IFERROR(_xlfn.NUMBERVALUE(LEFT(Table11[[#This Row],[Score2 ]],FIND("/",Table11[[#This Row],[Score2 ]])-1)),"")</f>
        <v>140</v>
      </c>
      <c r="P2245" t="s">
        <v>169</v>
      </c>
      <c r="Q2245" s="1" t="s">
        <v>153</v>
      </c>
      <c r="R2245" t="str">
        <f>Table11[[#This Row],[Match]]&amp;" "&amp;Table11[[#This Row],[Over]]</f>
        <v>42 28</v>
      </c>
    </row>
    <row r="2246" spans="1:18" x14ac:dyDescent="0.3">
      <c r="A2246">
        <v>42</v>
      </c>
      <c r="B2246" s="1">
        <v>29</v>
      </c>
      <c r="C2246" s="1" t="s">
        <v>2262</v>
      </c>
      <c r="D2246" s="1" t="s">
        <v>898</v>
      </c>
      <c r="E2246" s="1" t="s">
        <v>965</v>
      </c>
      <c r="F2246" s="1" t="s">
        <v>1259</v>
      </c>
      <c r="G2246" s="1" t="s">
        <v>4079</v>
      </c>
      <c r="H2246" s="1" t="s">
        <v>930</v>
      </c>
      <c r="I2246" s="1" t="s">
        <v>1835</v>
      </c>
      <c r="J2246" s="1" t="s">
        <v>1093</v>
      </c>
      <c r="K2246" s="1" t="s">
        <v>1124</v>
      </c>
      <c r="L2246" s="1" t="s">
        <v>1143</v>
      </c>
      <c r="M2246" s="1" t="s">
        <v>1108</v>
      </c>
      <c r="N2246">
        <f>_xlfn.NUMBERVALUE(LEFT(Table11[[#This Row],[Score]],FIND("/",Table11[[#This Row],[Score]])-1))</f>
        <v>129</v>
      </c>
      <c r="O2246">
        <f>IFERROR(_xlfn.NUMBERVALUE(LEFT(Table11[[#This Row],[Score2 ]],FIND("/",Table11[[#This Row],[Score2 ]])-1)),"")</f>
        <v>148</v>
      </c>
      <c r="P2246" t="s">
        <v>169</v>
      </c>
      <c r="Q2246" s="1" t="s">
        <v>153</v>
      </c>
      <c r="R2246" t="str">
        <f>Table11[[#This Row],[Match]]&amp;" "&amp;Table11[[#This Row],[Over]]</f>
        <v>42 29</v>
      </c>
    </row>
    <row r="2247" spans="1:18" x14ac:dyDescent="0.3">
      <c r="A2247">
        <v>42</v>
      </c>
      <c r="B2247" s="1">
        <v>30</v>
      </c>
      <c r="C2247" s="1" t="s">
        <v>2141</v>
      </c>
      <c r="D2247" s="1" t="s">
        <v>916</v>
      </c>
      <c r="E2247" s="1" t="s">
        <v>1793</v>
      </c>
      <c r="F2247" s="1" t="s">
        <v>931</v>
      </c>
      <c r="G2247" s="1" t="s">
        <v>3952</v>
      </c>
      <c r="H2247" s="1" t="s">
        <v>922</v>
      </c>
      <c r="I2247" s="1" t="s">
        <v>2167</v>
      </c>
      <c r="J2247" s="1" t="s">
        <v>966</v>
      </c>
      <c r="K2247" s="1" t="s">
        <v>931</v>
      </c>
      <c r="L2247" s="1" t="s">
        <v>1150</v>
      </c>
      <c r="M2247" s="1" t="s">
        <v>1113</v>
      </c>
      <c r="N2247">
        <f>_xlfn.NUMBERVALUE(LEFT(Table11[[#This Row],[Score]],FIND("/",Table11[[#This Row],[Score]])-1))</f>
        <v>136</v>
      </c>
      <c r="O2247">
        <f>IFERROR(_xlfn.NUMBERVALUE(LEFT(Table11[[#This Row],[Score2 ]],FIND("/",Table11[[#This Row],[Score2 ]])-1)),"")</f>
        <v>154</v>
      </c>
      <c r="P2247" t="s">
        <v>169</v>
      </c>
      <c r="Q2247" s="1" t="s">
        <v>153</v>
      </c>
      <c r="R2247" t="str">
        <f>Table11[[#This Row],[Match]]&amp;" "&amp;Table11[[#This Row],[Over]]</f>
        <v>42 30</v>
      </c>
    </row>
    <row r="2248" spans="1:18" x14ac:dyDescent="0.3">
      <c r="A2248">
        <v>42</v>
      </c>
      <c r="B2248" s="1">
        <v>31</v>
      </c>
      <c r="C2248" s="1" t="s">
        <v>2649</v>
      </c>
      <c r="D2248" s="1" t="s">
        <v>898</v>
      </c>
      <c r="E2248" s="1" t="s">
        <v>1060</v>
      </c>
      <c r="F2248" s="1" t="s">
        <v>939</v>
      </c>
      <c r="G2248" s="1" t="s">
        <v>3222</v>
      </c>
      <c r="H2248" s="1" t="s">
        <v>947</v>
      </c>
      <c r="I2248" s="1" t="s">
        <v>1722</v>
      </c>
      <c r="J2248" s="1" t="s">
        <v>934</v>
      </c>
      <c r="K2248" s="1" t="s">
        <v>2349</v>
      </c>
      <c r="L2248" s="1" t="s">
        <v>3160</v>
      </c>
      <c r="M2248" s="1" t="s">
        <v>1121</v>
      </c>
      <c r="N2248">
        <f>_xlfn.NUMBERVALUE(LEFT(Table11[[#This Row],[Score]],FIND("/",Table11[[#This Row],[Score]])-1))</f>
        <v>138</v>
      </c>
      <c r="O2248">
        <f>IFERROR(_xlfn.NUMBERVALUE(LEFT(Table11[[#This Row],[Score2 ]],FIND("/",Table11[[#This Row],[Score2 ]])-1)),"")</f>
        <v>163</v>
      </c>
      <c r="P2248" t="s">
        <v>169</v>
      </c>
      <c r="Q2248" s="1" t="s">
        <v>153</v>
      </c>
      <c r="R2248" t="str">
        <f>Table11[[#This Row],[Match]]&amp;" "&amp;Table11[[#This Row],[Over]]</f>
        <v>42 31</v>
      </c>
    </row>
    <row r="2249" spans="1:18" x14ac:dyDescent="0.3">
      <c r="A2249">
        <v>42</v>
      </c>
      <c r="B2249" s="1">
        <v>32</v>
      </c>
      <c r="C2249" s="1" t="s">
        <v>2381</v>
      </c>
      <c r="D2249" s="1" t="s">
        <v>950</v>
      </c>
      <c r="E2249" s="1" t="s">
        <v>1001</v>
      </c>
      <c r="F2249" s="1" t="s">
        <v>990</v>
      </c>
      <c r="G2249" s="1" t="s">
        <v>4168</v>
      </c>
      <c r="H2249" s="1" t="s">
        <v>998</v>
      </c>
      <c r="I2249" s="1" t="s">
        <v>2449</v>
      </c>
      <c r="J2249" s="1" t="s">
        <v>1019</v>
      </c>
      <c r="K2249" s="1" t="s">
        <v>2349</v>
      </c>
      <c r="L2249" s="1" t="s">
        <v>1589</v>
      </c>
      <c r="M2249" s="1" t="s">
        <v>1127</v>
      </c>
      <c r="N2249">
        <f>_xlfn.NUMBERVALUE(LEFT(Table11[[#This Row],[Score]],FIND("/",Table11[[#This Row],[Score]])-1))</f>
        <v>143</v>
      </c>
      <c r="O2249">
        <f>IFERROR(_xlfn.NUMBERVALUE(LEFT(Table11[[#This Row],[Score2 ]],FIND("/",Table11[[#This Row],[Score2 ]])-1)),"")</f>
        <v>167</v>
      </c>
      <c r="P2249" t="s">
        <v>169</v>
      </c>
      <c r="Q2249" s="1" t="s">
        <v>153</v>
      </c>
      <c r="R2249" t="str">
        <f>Table11[[#This Row],[Match]]&amp;" "&amp;Table11[[#This Row],[Over]]</f>
        <v>42 32</v>
      </c>
    </row>
    <row r="2250" spans="1:18" x14ac:dyDescent="0.3">
      <c r="A2250">
        <v>42</v>
      </c>
      <c r="B2250" s="1">
        <v>33</v>
      </c>
      <c r="C2250" s="1" t="s">
        <v>2651</v>
      </c>
      <c r="D2250" s="1" t="s">
        <v>904</v>
      </c>
      <c r="E2250" s="1" t="s">
        <v>1006</v>
      </c>
      <c r="F2250" s="1" t="s">
        <v>990</v>
      </c>
      <c r="G2250" s="1" t="s">
        <v>3227</v>
      </c>
      <c r="H2250" s="1" t="s">
        <v>930</v>
      </c>
      <c r="I2250" s="1" t="s">
        <v>1065</v>
      </c>
      <c r="J2250" s="1" t="s">
        <v>952</v>
      </c>
      <c r="K2250" s="1" t="s">
        <v>2816</v>
      </c>
      <c r="L2250" s="1" t="s">
        <v>2426</v>
      </c>
      <c r="M2250" s="1" t="s">
        <v>1132</v>
      </c>
      <c r="N2250">
        <f>_xlfn.NUMBERVALUE(LEFT(Table11[[#This Row],[Score]],FIND("/",Table11[[#This Row],[Score]])-1))</f>
        <v>146</v>
      </c>
      <c r="O2250">
        <f>IFERROR(_xlfn.NUMBERVALUE(LEFT(Table11[[#This Row],[Score2 ]],FIND("/",Table11[[#This Row],[Score2 ]])-1)),"")</f>
        <v>175</v>
      </c>
      <c r="P2250" t="s">
        <v>169</v>
      </c>
      <c r="Q2250" s="1" t="s">
        <v>153</v>
      </c>
      <c r="R2250" t="str">
        <f>Table11[[#This Row],[Match]]&amp;" "&amp;Table11[[#This Row],[Over]]</f>
        <v>42 33</v>
      </c>
    </row>
    <row r="2251" spans="1:18" x14ac:dyDescent="0.3">
      <c r="A2251">
        <v>42</v>
      </c>
      <c r="B2251" s="1">
        <v>34</v>
      </c>
      <c r="C2251" s="1" t="s">
        <v>2715</v>
      </c>
      <c r="D2251" s="1" t="s">
        <v>930</v>
      </c>
      <c r="E2251" s="1" t="s">
        <v>1552</v>
      </c>
      <c r="F2251" s="1" t="s">
        <v>969</v>
      </c>
      <c r="G2251" s="1" t="s">
        <v>2377</v>
      </c>
      <c r="H2251" s="1" t="s">
        <v>904</v>
      </c>
      <c r="I2251" s="1" t="s">
        <v>2718</v>
      </c>
      <c r="J2251" s="1" t="s">
        <v>1019</v>
      </c>
      <c r="K2251" s="1" t="s">
        <v>1276</v>
      </c>
      <c r="L2251" s="1" t="s">
        <v>1177</v>
      </c>
      <c r="M2251" s="1" t="s">
        <v>1138</v>
      </c>
      <c r="N2251">
        <f>_xlfn.NUMBERVALUE(LEFT(Table11[[#This Row],[Score]],FIND("/",Table11[[#This Row],[Score]])-1))</f>
        <v>154</v>
      </c>
      <c r="O2251">
        <f>IFERROR(_xlfn.NUMBERVALUE(LEFT(Table11[[#This Row],[Score2 ]],FIND("/",Table11[[#This Row],[Score2 ]])-1)),"")</f>
        <v>178</v>
      </c>
      <c r="P2251" t="s">
        <v>169</v>
      </c>
      <c r="Q2251" s="1" t="s">
        <v>153</v>
      </c>
      <c r="R2251" t="str">
        <f>Table11[[#This Row],[Match]]&amp;" "&amp;Table11[[#This Row],[Over]]</f>
        <v>42 34</v>
      </c>
    </row>
    <row r="2252" spans="1:18" x14ac:dyDescent="0.3">
      <c r="A2252">
        <v>42</v>
      </c>
      <c r="B2252" s="1">
        <v>35</v>
      </c>
      <c r="C2252" s="1" t="s">
        <v>2654</v>
      </c>
      <c r="D2252" s="1" t="s">
        <v>898</v>
      </c>
      <c r="E2252" s="1" t="s">
        <v>1060</v>
      </c>
      <c r="F2252" s="1" t="s">
        <v>939</v>
      </c>
      <c r="G2252" s="1" t="s">
        <v>2377</v>
      </c>
      <c r="H2252" s="1" t="s">
        <v>1007</v>
      </c>
      <c r="I2252" s="1" t="s">
        <v>1657</v>
      </c>
      <c r="J2252" s="1" t="s">
        <v>1093</v>
      </c>
      <c r="K2252" s="1" t="s">
        <v>939</v>
      </c>
      <c r="L2252" s="1" t="s">
        <v>1177</v>
      </c>
      <c r="M2252" s="1" t="s">
        <v>1143</v>
      </c>
      <c r="N2252">
        <f>_xlfn.NUMBERVALUE(LEFT(Table11[[#This Row],[Score]],FIND("/",Table11[[#This Row],[Score]])-1))</f>
        <v>156</v>
      </c>
      <c r="O2252">
        <f>IFERROR(_xlfn.NUMBERVALUE(LEFT(Table11[[#This Row],[Score2 ]],FIND("/",Table11[[#This Row],[Score2 ]])-1)),"")</f>
        <v>178</v>
      </c>
      <c r="P2252" t="s">
        <v>169</v>
      </c>
      <c r="Q2252" s="1" t="s">
        <v>153</v>
      </c>
      <c r="R2252" t="str">
        <f>Table11[[#This Row],[Match]]&amp;" "&amp;Table11[[#This Row],[Over]]</f>
        <v>42 35</v>
      </c>
    </row>
    <row r="2253" spans="1:18" x14ac:dyDescent="0.3">
      <c r="A2253">
        <v>42</v>
      </c>
      <c r="B2253" s="1">
        <v>36</v>
      </c>
      <c r="C2253" s="1" t="s">
        <v>3323</v>
      </c>
      <c r="D2253" s="1" t="s">
        <v>922</v>
      </c>
      <c r="E2253" s="1" t="s">
        <v>1021</v>
      </c>
      <c r="F2253" s="1" t="s">
        <v>1093</v>
      </c>
      <c r="G2253" s="1" t="s">
        <v>3229</v>
      </c>
      <c r="H2253" s="1" t="s">
        <v>947</v>
      </c>
      <c r="I2253" s="1" t="s">
        <v>1052</v>
      </c>
      <c r="J2253" s="1" t="s">
        <v>1093</v>
      </c>
      <c r="K2253" s="1" t="s">
        <v>1873</v>
      </c>
      <c r="L2253" s="1" t="s">
        <v>1648</v>
      </c>
      <c r="M2253" s="1" t="s">
        <v>1150</v>
      </c>
      <c r="N2253">
        <f>_xlfn.NUMBERVALUE(LEFT(Table11[[#This Row],[Score]],FIND("/",Table11[[#This Row],[Score]])-1))</f>
        <v>162</v>
      </c>
      <c r="O2253">
        <f>IFERROR(_xlfn.NUMBERVALUE(LEFT(Table11[[#This Row],[Score2 ]],FIND("/",Table11[[#This Row],[Score2 ]])-1)),"")</f>
        <v>187</v>
      </c>
      <c r="P2253" t="s">
        <v>169</v>
      </c>
      <c r="Q2253" s="1" t="s">
        <v>153</v>
      </c>
      <c r="R2253" t="str">
        <f>Table11[[#This Row],[Match]]&amp;" "&amp;Table11[[#This Row],[Over]]</f>
        <v>42 36</v>
      </c>
    </row>
    <row r="2254" spans="1:18" x14ac:dyDescent="0.3">
      <c r="A2254">
        <v>42</v>
      </c>
      <c r="B2254" s="1">
        <v>37</v>
      </c>
      <c r="C2254" s="1" t="s">
        <v>1555</v>
      </c>
      <c r="D2254" s="1" t="s">
        <v>947</v>
      </c>
      <c r="E2254" s="1" t="s">
        <v>1344</v>
      </c>
      <c r="F2254" s="1" t="s">
        <v>934</v>
      </c>
      <c r="G2254" s="1" t="s">
        <v>3883</v>
      </c>
      <c r="H2254" s="1" t="s">
        <v>1051</v>
      </c>
      <c r="I2254" s="1" t="s">
        <v>2123</v>
      </c>
      <c r="J2254" s="1" t="s">
        <v>970</v>
      </c>
      <c r="K2254" s="1" t="s">
        <v>2549</v>
      </c>
      <c r="L2254" s="1" t="s">
        <v>3929</v>
      </c>
      <c r="M2254" s="1" t="s">
        <v>1156</v>
      </c>
      <c r="N2254">
        <f>_xlfn.NUMBERVALUE(LEFT(Table11[[#This Row],[Score]],FIND("/",Table11[[#This Row],[Score]])-1))</f>
        <v>171</v>
      </c>
      <c r="O2254">
        <f>IFERROR(_xlfn.NUMBERVALUE(LEFT(Table11[[#This Row],[Score2 ]],FIND("/",Table11[[#This Row],[Score2 ]])-1)),"")</f>
        <v>198</v>
      </c>
      <c r="P2254" t="s">
        <v>169</v>
      </c>
      <c r="Q2254" s="1" t="s">
        <v>153</v>
      </c>
      <c r="R2254" t="str">
        <f>Table11[[#This Row],[Match]]&amp;" "&amp;Table11[[#This Row],[Over]]</f>
        <v>42 37</v>
      </c>
    </row>
    <row r="2255" spans="1:18" x14ac:dyDescent="0.3">
      <c r="A2255">
        <v>42</v>
      </c>
      <c r="B2255" s="1">
        <v>38</v>
      </c>
      <c r="C2255" s="1" t="s">
        <v>3260</v>
      </c>
      <c r="D2255" s="1" t="s">
        <v>930</v>
      </c>
      <c r="E2255" s="1" t="s">
        <v>948</v>
      </c>
      <c r="F2255" s="1" t="s">
        <v>960</v>
      </c>
      <c r="G2255" s="1" t="s">
        <v>4169</v>
      </c>
      <c r="H2255" s="1" t="s">
        <v>947</v>
      </c>
      <c r="I2255" s="1" t="s">
        <v>1145</v>
      </c>
      <c r="J2255" s="1" t="s">
        <v>943</v>
      </c>
      <c r="K2255" s="1" t="s">
        <v>1676</v>
      </c>
      <c r="L2255" s="1" t="s">
        <v>1666</v>
      </c>
      <c r="M2255" s="1" t="s">
        <v>1164</v>
      </c>
      <c r="N2255">
        <f>_xlfn.NUMBERVALUE(LEFT(Table11[[#This Row],[Score]],FIND("/",Table11[[#This Row],[Score]])-1))</f>
        <v>179</v>
      </c>
      <c r="O2255">
        <f>IFERROR(_xlfn.NUMBERVALUE(LEFT(Table11[[#This Row],[Score2 ]],FIND("/",Table11[[#This Row],[Score2 ]])-1)),"")</f>
        <v>207</v>
      </c>
      <c r="P2255" t="s">
        <v>169</v>
      </c>
      <c r="Q2255" s="1" t="s">
        <v>153</v>
      </c>
      <c r="R2255" t="str">
        <f>Table11[[#This Row],[Match]]&amp;" "&amp;Table11[[#This Row],[Over]]</f>
        <v>42 38</v>
      </c>
    </row>
    <row r="2256" spans="1:18" x14ac:dyDescent="0.3">
      <c r="A2256">
        <v>42</v>
      </c>
      <c r="B2256" s="1">
        <v>39</v>
      </c>
      <c r="C2256" s="1" t="s">
        <v>2728</v>
      </c>
      <c r="D2256" s="1" t="s">
        <v>998</v>
      </c>
      <c r="E2256" s="1" t="s">
        <v>1148</v>
      </c>
      <c r="F2256" s="1" t="s">
        <v>1013</v>
      </c>
      <c r="G2256" s="1" t="s">
        <v>3828</v>
      </c>
      <c r="H2256" s="1" t="s">
        <v>968</v>
      </c>
      <c r="I2256" s="1" t="s">
        <v>2110</v>
      </c>
      <c r="J2256" s="1" t="s">
        <v>1019</v>
      </c>
      <c r="K2256" s="1" t="s">
        <v>1680</v>
      </c>
      <c r="L2256" s="1" t="s">
        <v>1211</v>
      </c>
      <c r="M2256" s="1" t="s">
        <v>1171</v>
      </c>
      <c r="N2256">
        <f>_xlfn.NUMBERVALUE(LEFT(Table11[[#This Row],[Score]],FIND("/",Table11[[#This Row],[Score]])-1))</f>
        <v>183</v>
      </c>
      <c r="O2256">
        <f>IFERROR(_xlfn.NUMBERVALUE(LEFT(Table11[[#This Row],[Score2 ]],FIND("/",Table11[[#This Row],[Score2 ]])-1)),"")</f>
        <v>208</v>
      </c>
      <c r="P2256" t="s">
        <v>169</v>
      </c>
      <c r="Q2256" s="1" t="s">
        <v>153</v>
      </c>
      <c r="R2256" t="str">
        <f>Table11[[#This Row],[Match]]&amp;" "&amp;Table11[[#This Row],[Over]]</f>
        <v>42 39</v>
      </c>
    </row>
    <row r="2257" spans="1:18" x14ac:dyDescent="0.3">
      <c r="A2257">
        <v>42</v>
      </c>
      <c r="B2257" s="1">
        <v>40</v>
      </c>
      <c r="C2257" s="1" t="s">
        <v>4170</v>
      </c>
      <c r="D2257" s="1" t="s">
        <v>950</v>
      </c>
      <c r="E2257" s="1" t="s">
        <v>1321</v>
      </c>
      <c r="F2257" s="1" t="s">
        <v>943</v>
      </c>
      <c r="G2257" s="1" t="s">
        <v>2291</v>
      </c>
      <c r="H2257" s="1" t="s">
        <v>898</v>
      </c>
      <c r="I2257" s="1" t="s">
        <v>1722</v>
      </c>
      <c r="J2257" s="1" t="s">
        <v>943</v>
      </c>
      <c r="K2257" s="1" t="s">
        <v>993</v>
      </c>
      <c r="L2257" s="1" t="s">
        <v>1709</v>
      </c>
      <c r="M2257" s="1" t="s">
        <v>1177</v>
      </c>
      <c r="N2257">
        <f>_xlfn.NUMBERVALUE(LEFT(Table11[[#This Row],[Score]],FIND("/",Table11[[#This Row],[Score]])-1))</f>
        <v>188</v>
      </c>
      <c r="O2257">
        <f>IFERROR(_xlfn.NUMBERVALUE(LEFT(Table11[[#This Row],[Score2 ]],FIND("/",Table11[[#This Row],[Score2 ]])-1)),"")</f>
        <v>210</v>
      </c>
      <c r="P2257" t="s">
        <v>169</v>
      </c>
      <c r="Q2257" s="1" t="s">
        <v>153</v>
      </c>
      <c r="R2257" t="str">
        <f>Table11[[#This Row],[Match]]&amp;" "&amp;Table11[[#This Row],[Over]]</f>
        <v>42 40</v>
      </c>
    </row>
    <row r="2258" spans="1:18" x14ac:dyDescent="0.3">
      <c r="A2258">
        <v>42</v>
      </c>
      <c r="B2258" s="1">
        <v>41</v>
      </c>
      <c r="C2258" s="1" t="s">
        <v>4171</v>
      </c>
      <c r="D2258" s="1" t="s">
        <v>898</v>
      </c>
      <c r="E2258" s="1" t="s">
        <v>1935</v>
      </c>
      <c r="F2258" s="1" t="s">
        <v>934</v>
      </c>
      <c r="G2258" s="1" t="s">
        <v>3732</v>
      </c>
      <c r="H2258" s="1" t="s">
        <v>1051</v>
      </c>
      <c r="I2258" s="1" t="s">
        <v>2298</v>
      </c>
      <c r="J2258" s="1" t="s">
        <v>1053</v>
      </c>
      <c r="K2258" s="1" t="s">
        <v>1819</v>
      </c>
      <c r="L2258" s="1" t="s">
        <v>1566</v>
      </c>
      <c r="M2258" s="1" t="s">
        <v>1183</v>
      </c>
      <c r="N2258">
        <f>_xlfn.NUMBERVALUE(LEFT(Table11[[#This Row],[Score]],FIND("/",Table11[[#This Row],[Score]])-1))</f>
        <v>190</v>
      </c>
      <c r="O2258">
        <f>IFERROR(_xlfn.NUMBERVALUE(LEFT(Table11[[#This Row],[Score2 ]],FIND("/",Table11[[#This Row],[Score2 ]])-1)),"")</f>
        <v>221</v>
      </c>
      <c r="P2258" t="s">
        <v>169</v>
      </c>
      <c r="Q2258" s="1" t="s">
        <v>153</v>
      </c>
      <c r="R2258" t="str">
        <f>Table11[[#This Row],[Match]]&amp;" "&amp;Table11[[#This Row],[Over]]</f>
        <v>42 41</v>
      </c>
    </row>
    <row r="2259" spans="1:18" x14ac:dyDescent="0.3">
      <c r="A2259">
        <v>42</v>
      </c>
      <c r="B2259" s="1">
        <v>42</v>
      </c>
      <c r="C2259" s="1" t="s">
        <v>3411</v>
      </c>
      <c r="D2259" s="1" t="s">
        <v>904</v>
      </c>
      <c r="E2259" s="1" t="s">
        <v>1557</v>
      </c>
      <c r="F2259" s="1" t="s">
        <v>940</v>
      </c>
      <c r="G2259" s="1" t="s">
        <v>3887</v>
      </c>
      <c r="H2259" s="1" t="s">
        <v>898</v>
      </c>
      <c r="I2259" s="1" t="s">
        <v>1065</v>
      </c>
      <c r="J2259" s="1" t="s">
        <v>969</v>
      </c>
      <c r="K2259" s="1" t="s">
        <v>4078</v>
      </c>
      <c r="L2259" s="1" t="s">
        <v>1147</v>
      </c>
      <c r="M2259" s="1" t="s">
        <v>1190</v>
      </c>
      <c r="N2259">
        <f>_xlfn.NUMBERVALUE(LEFT(Table11[[#This Row],[Score]],FIND("/",Table11[[#This Row],[Score]])-1))</f>
        <v>193</v>
      </c>
      <c r="O2259">
        <f>IFERROR(_xlfn.NUMBERVALUE(LEFT(Table11[[#This Row],[Score2 ]],FIND("/",Table11[[#This Row],[Score2 ]])-1)),"")</f>
        <v>223</v>
      </c>
      <c r="P2259" t="s">
        <v>169</v>
      </c>
      <c r="Q2259" s="1" t="s">
        <v>153</v>
      </c>
      <c r="R2259" t="str">
        <f>Table11[[#This Row],[Match]]&amp;" "&amp;Table11[[#This Row],[Over]]</f>
        <v>42 42</v>
      </c>
    </row>
    <row r="2260" spans="1:18" x14ac:dyDescent="0.3">
      <c r="A2260">
        <v>42</v>
      </c>
      <c r="B2260" s="1">
        <v>43</v>
      </c>
      <c r="C2260" s="1" t="s">
        <v>3746</v>
      </c>
      <c r="D2260" s="1" t="s">
        <v>950</v>
      </c>
      <c r="E2260" s="1" t="s">
        <v>976</v>
      </c>
      <c r="F2260" s="1" t="s">
        <v>990</v>
      </c>
      <c r="G2260" s="1" t="s">
        <v>3830</v>
      </c>
      <c r="H2260" s="1" t="s">
        <v>998</v>
      </c>
      <c r="I2260" s="1" t="s">
        <v>1593</v>
      </c>
      <c r="J2260" s="1" t="s">
        <v>939</v>
      </c>
      <c r="K2260" s="1" t="s">
        <v>3290</v>
      </c>
      <c r="L2260" s="1" t="s">
        <v>1051</v>
      </c>
      <c r="M2260" s="1" t="s">
        <v>1197</v>
      </c>
      <c r="N2260">
        <f>_xlfn.NUMBERVALUE(LEFT(Table11[[#This Row],[Score]],FIND("/",Table11[[#This Row],[Score]])-1))</f>
        <v>198</v>
      </c>
      <c r="O2260">
        <f>IFERROR(_xlfn.NUMBERVALUE(LEFT(Table11[[#This Row],[Score2 ]],FIND("/",Table11[[#This Row],[Score2 ]])-1)),"")</f>
        <v>227</v>
      </c>
      <c r="P2260" t="s">
        <v>169</v>
      </c>
      <c r="Q2260" s="1" t="s">
        <v>153</v>
      </c>
      <c r="R2260" t="str">
        <f>Table11[[#This Row],[Match]]&amp;" "&amp;Table11[[#This Row],[Over]]</f>
        <v>42 43</v>
      </c>
    </row>
    <row r="2261" spans="1:18" x14ac:dyDescent="0.3">
      <c r="A2261">
        <v>42</v>
      </c>
      <c r="B2261" s="1">
        <v>44</v>
      </c>
      <c r="C2261" s="1" t="s">
        <v>4172</v>
      </c>
      <c r="D2261" s="1" t="s">
        <v>916</v>
      </c>
      <c r="E2261" s="1" t="s">
        <v>1330</v>
      </c>
      <c r="F2261" s="1" t="s">
        <v>940</v>
      </c>
      <c r="G2261" s="1" t="s">
        <v>4173</v>
      </c>
      <c r="H2261" s="1" t="s">
        <v>998</v>
      </c>
      <c r="I2261" s="1" t="s">
        <v>1722</v>
      </c>
      <c r="J2261" s="1" t="s">
        <v>976</v>
      </c>
      <c r="K2261" s="1" t="s">
        <v>3168</v>
      </c>
      <c r="L2261" s="1" t="s">
        <v>916</v>
      </c>
      <c r="M2261" s="1" t="s">
        <v>1205</v>
      </c>
      <c r="N2261">
        <f>_xlfn.NUMBERVALUE(LEFT(Table11[[#This Row],[Score]],FIND("/",Table11[[#This Row],[Score]])-1))</f>
        <v>205</v>
      </c>
      <c r="O2261">
        <f>IFERROR(_xlfn.NUMBERVALUE(LEFT(Table11[[#This Row],[Score2 ]],FIND("/",Table11[[#This Row],[Score2 ]])-1)),"")</f>
        <v>231</v>
      </c>
      <c r="P2261" t="s">
        <v>169</v>
      </c>
      <c r="Q2261" s="1" t="s">
        <v>153</v>
      </c>
      <c r="R2261" t="str">
        <f>Table11[[#This Row],[Match]]&amp;" "&amp;Table11[[#This Row],[Over]]</f>
        <v>42 44</v>
      </c>
    </row>
    <row r="2262" spans="1:18" x14ac:dyDescent="0.3">
      <c r="A2262">
        <v>42</v>
      </c>
      <c r="B2262" s="1">
        <v>45</v>
      </c>
      <c r="C2262" s="1" t="s">
        <v>2173</v>
      </c>
      <c r="D2262" s="1" t="s">
        <v>998</v>
      </c>
      <c r="E2262" s="1" t="s">
        <v>1028</v>
      </c>
      <c r="F2262" s="1" t="s">
        <v>931</v>
      </c>
      <c r="G2262" s="1" t="s">
        <v>2066</v>
      </c>
      <c r="H2262" s="1" t="s">
        <v>898</v>
      </c>
      <c r="I2262" s="1" t="s">
        <v>1573</v>
      </c>
      <c r="J2262" s="1" t="s">
        <v>976</v>
      </c>
      <c r="K2262" s="1" t="s">
        <v>1662</v>
      </c>
      <c r="L2262" s="1" t="s">
        <v>950</v>
      </c>
      <c r="M2262" s="1" t="s">
        <v>1211</v>
      </c>
      <c r="N2262">
        <f>_xlfn.NUMBERVALUE(LEFT(Table11[[#This Row],[Score]],FIND("/",Table11[[#This Row],[Score]])-1))</f>
        <v>209</v>
      </c>
      <c r="O2262">
        <f>IFERROR(_xlfn.NUMBERVALUE(LEFT(Table11[[#This Row],[Score2 ]],FIND("/",Table11[[#This Row],[Score2 ]])-1)),"")</f>
        <v>233</v>
      </c>
      <c r="P2262" t="s">
        <v>169</v>
      </c>
      <c r="Q2262" s="1" t="s">
        <v>153</v>
      </c>
      <c r="R2262" t="str">
        <f>Table11[[#This Row],[Match]]&amp;" "&amp;Table11[[#This Row],[Over]]</f>
        <v>42 45</v>
      </c>
    </row>
    <row r="2263" spans="1:18" x14ac:dyDescent="0.3">
      <c r="A2263">
        <v>42</v>
      </c>
      <c r="B2263" s="1">
        <v>46</v>
      </c>
      <c r="C2263" s="1" t="s">
        <v>4174</v>
      </c>
      <c r="D2263" s="1" t="s">
        <v>968</v>
      </c>
      <c r="E2263" s="1" t="s">
        <v>1781</v>
      </c>
      <c r="F2263" s="1" t="s">
        <v>939</v>
      </c>
      <c r="G2263" s="1" t="s">
        <v>4175</v>
      </c>
      <c r="H2263" s="1" t="s">
        <v>998</v>
      </c>
      <c r="I2263" s="1" t="s">
        <v>1085</v>
      </c>
      <c r="J2263" s="1" t="s">
        <v>1259</v>
      </c>
      <c r="K2263" s="1" t="s">
        <v>2796</v>
      </c>
      <c r="L2263" s="1" t="s">
        <v>968</v>
      </c>
      <c r="M2263" s="1" t="s">
        <v>1216</v>
      </c>
      <c r="N2263">
        <f>_xlfn.NUMBERVALUE(LEFT(Table11[[#This Row],[Score]],FIND("/",Table11[[#This Row],[Score]])-1))</f>
        <v>210</v>
      </c>
      <c r="O2263">
        <f>IFERROR(_xlfn.NUMBERVALUE(LEFT(Table11[[#This Row],[Score2 ]],FIND("/",Table11[[#This Row],[Score2 ]])-1)),"")</f>
        <v>237</v>
      </c>
      <c r="P2263" t="s">
        <v>169</v>
      </c>
      <c r="Q2263" s="1" t="s">
        <v>153</v>
      </c>
      <c r="R2263" t="str">
        <f>Table11[[#This Row],[Match]]&amp;" "&amp;Table11[[#This Row],[Over]]</f>
        <v>42 46</v>
      </c>
    </row>
    <row r="2264" spans="1:18" x14ac:dyDescent="0.3">
      <c r="A2264">
        <v>42</v>
      </c>
      <c r="B2264" s="1">
        <v>47</v>
      </c>
      <c r="C2264" s="1" t="s">
        <v>2177</v>
      </c>
      <c r="D2264" s="1" t="s">
        <v>922</v>
      </c>
      <c r="E2264" s="1" t="s">
        <v>1557</v>
      </c>
      <c r="F2264" s="1" t="s">
        <v>976</v>
      </c>
      <c r="G2264" s="1" t="s">
        <v>4176</v>
      </c>
      <c r="H2264" s="1" t="s">
        <v>1688</v>
      </c>
      <c r="I2264" s="1" t="s">
        <v>4177</v>
      </c>
      <c r="J2264" s="1" t="s">
        <v>3600</v>
      </c>
      <c r="K2264" s="1" t="s">
        <v>1622</v>
      </c>
      <c r="L2264" s="1" t="s">
        <v>1007</v>
      </c>
      <c r="M2264" s="1" t="s">
        <v>1698</v>
      </c>
      <c r="N2264">
        <f>_xlfn.NUMBERVALUE(LEFT(Table11[[#This Row],[Score]],FIND("/",Table11[[#This Row],[Score]])-1))</f>
        <v>216</v>
      </c>
      <c r="O2264">
        <f>IFERROR(_xlfn.NUMBERVALUE(LEFT(Table11[[#This Row],[Score2 ]],FIND("/",Table11[[#This Row],[Score2 ]])-1)),"")</f>
        <v>241</v>
      </c>
      <c r="P2264" t="s">
        <v>169</v>
      </c>
      <c r="Q2264" s="1" t="s">
        <v>153</v>
      </c>
      <c r="R2264" t="str">
        <f>Table11[[#This Row],[Match]]&amp;" "&amp;Table11[[#This Row],[Over]]</f>
        <v>42 47</v>
      </c>
    </row>
    <row r="2265" spans="1:18" x14ac:dyDescent="0.3">
      <c r="A2265">
        <v>42</v>
      </c>
      <c r="B2265" s="1">
        <v>48</v>
      </c>
      <c r="C2265" s="1" t="s">
        <v>3217</v>
      </c>
      <c r="D2265" s="1" t="s">
        <v>950</v>
      </c>
      <c r="E2265" s="1" t="s">
        <v>976</v>
      </c>
      <c r="F2265" s="1" t="s">
        <v>976</v>
      </c>
      <c r="N2265">
        <f>_xlfn.NUMBERVALUE(LEFT(Table11[[#This Row],[Score]],FIND("/",Table11[[#This Row],[Score]])-1))</f>
        <v>221</v>
      </c>
      <c r="O2265" t="str">
        <f>IFERROR(_xlfn.NUMBERVALUE(LEFT(Table11[[#This Row],[Score2 ]],FIND("/",Table11[[#This Row],[Score2 ]])-1)),"")</f>
        <v/>
      </c>
      <c r="P2265" t="s">
        <v>169</v>
      </c>
      <c r="Q2265" s="1" t="s">
        <v>153</v>
      </c>
      <c r="R2265" t="str">
        <f>Table11[[#This Row],[Match]]&amp;" "&amp;Table11[[#This Row],[Over]]</f>
        <v>42 48</v>
      </c>
    </row>
    <row r="2266" spans="1:18" x14ac:dyDescent="0.3">
      <c r="A2266">
        <v>42</v>
      </c>
      <c r="B2266" s="1">
        <v>49</v>
      </c>
      <c r="C2266" s="1" t="s">
        <v>4178</v>
      </c>
      <c r="D2266" s="1" t="s">
        <v>930</v>
      </c>
      <c r="E2266" s="1" t="s">
        <v>1747</v>
      </c>
      <c r="F2266" s="1" t="s">
        <v>1093</v>
      </c>
      <c r="N2266">
        <f>_xlfn.NUMBERVALUE(LEFT(Table11[[#This Row],[Score]],FIND("/",Table11[[#This Row],[Score]])-1))</f>
        <v>229</v>
      </c>
      <c r="O2266" t="str">
        <f>IFERROR(_xlfn.NUMBERVALUE(LEFT(Table11[[#This Row],[Score2 ]],FIND("/",Table11[[#This Row],[Score2 ]])-1)),"")</f>
        <v/>
      </c>
      <c r="P2266" t="s">
        <v>169</v>
      </c>
      <c r="Q2266" s="1" t="s">
        <v>153</v>
      </c>
      <c r="R2266" t="str">
        <f>Table11[[#This Row],[Match]]&amp;" "&amp;Table11[[#This Row],[Over]]</f>
        <v>42 49</v>
      </c>
    </row>
    <row r="2267" spans="1:18" x14ac:dyDescent="0.3">
      <c r="A2267">
        <v>42</v>
      </c>
      <c r="B2267" s="1">
        <v>50</v>
      </c>
      <c r="C2267" s="1" t="s">
        <v>4179</v>
      </c>
      <c r="D2267" s="1" t="s">
        <v>930</v>
      </c>
      <c r="E2267" s="1" t="s">
        <v>1353</v>
      </c>
      <c r="F2267" s="1" t="s">
        <v>934</v>
      </c>
      <c r="N2267">
        <f>_xlfn.NUMBERVALUE(LEFT(Table11[[#This Row],[Score]],FIND("/",Table11[[#This Row],[Score]])-1))</f>
        <v>237</v>
      </c>
      <c r="O2267" t="str">
        <f>IFERROR(_xlfn.NUMBERVALUE(LEFT(Table11[[#This Row],[Score2 ]],FIND("/",Table11[[#This Row],[Score2 ]])-1)),"")</f>
        <v/>
      </c>
      <c r="P2267" t="s">
        <v>169</v>
      </c>
      <c r="Q2267" s="1" t="s">
        <v>153</v>
      </c>
      <c r="R2267" t="str">
        <f>Table11[[#This Row],[Match]]&amp;" "&amp;Table11[[#This Row],[Over]]</f>
        <v>42 50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5:Q54"/>
  <sheetViews>
    <sheetView workbookViewId="0"/>
  </sheetViews>
  <sheetFormatPr defaultRowHeight="14.4" x14ac:dyDescent="0.3"/>
  <cols>
    <col min="1" max="1" width="16.6640625" bestFit="1" customWidth="1"/>
    <col min="2" max="2" width="36.109375" bestFit="1" customWidth="1"/>
    <col min="3" max="3" width="12.6640625" bestFit="1" customWidth="1"/>
    <col min="4" max="4" width="14" bestFit="1" customWidth="1"/>
    <col min="5" max="5" width="9.6640625" bestFit="1" customWidth="1"/>
    <col min="6" max="6" width="13.44140625" customWidth="1"/>
    <col min="7" max="7" width="13.88671875" customWidth="1"/>
    <col min="8" max="8" width="19" customWidth="1"/>
    <col min="9" max="9" width="29.33203125" customWidth="1"/>
    <col min="10" max="10" width="15.6640625" bestFit="1" customWidth="1"/>
    <col min="12" max="13" width="13.6640625" bestFit="1" customWidth="1"/>
    <col min="14" max="14" width="19.109375" bestFit="1" customWidth="1"/>
    <col min="15" max="15" width="9.5546875" customWidth="1"/>
    <col min="16" max="16" width="11.6640625" customWidth="1"/>
  </cols>
  <sheetData>
    <row r="5" spans="1:17" x14ac:dyDescent="0.3">
      <c r="A5" t="s">
        <v>103</v>
      </c>
      <c r="B5" t="s">
        <v>4180</v>
      </c>
      <c r="C5" t="s">
        <v>4181</v>
      </c>
      <c r="D5" t="s">
        <v>4182</v>
      </c>
      <c r="E5" t="s">
        <v>4183</v>
      </c>
      <c r="F5" t="s">
        <v>4184</v>
      </c>
      <c r="G5" t="s">
        <v>4185</v>
      </c>
      <c r="H5" t="s">
        <v>4186</v>
      </c>
      <c r="I5" t="s">
        <v>4187</v>
      </c>
      <c r="J5" t="s">
        <v>4188</v>
      </c>
      <c r="K5" t="s">
        <v>4189</v>
      </c>
      <c r="M5" t="s">
        <v>103</v>
      </c>
      <c r="N5" t="s">
        <v>4190</v>
      </c>
      <c r="O5" t="s">
        <v>4191</v>
      </c>
      <c r="P5" t="s">
        <v>4192</v>
      </c>
      <c r="Q5" t="s">
        <v>4193</v>
      </c>
    </row>
    <row r="6" spans="1:17" x14ac:dyDescent="0.3">
      <c r="A6">
        <v>1</v>
      </c>
      <c r="B6" t="s">
        <v>4194</v>
      </c>
      <c r="C6" t="s">
        <v>4195</v>
      </c>
      <c r="D6" t="s">
        <v>4196</v>
      </c>
      <c r="E6" s="12">
        <v>42049</v>
      </c>
      <c r="G6" t="s">
        <v>4195</v>
      </c>
      <c r="H6" t="s">
        <v>4197</v>
      </c>
      <c r="I6" t="str">
        <f>T_MATCHSUM[[#This Row],[Match Number]]&amp;" "&amp;T_MATCHSUM[[#This Row],[TEAM ONE]]&amp;" Vs "&amp;T_MATCHSUM[[#This Row],[TEAM TWO]]</f>
        <v>1 NEW ZEALAND Vs SRI LANKA</v>
      </c>
      <c r="J6" t="str">
        <f>IF(T_MATCHSUM[[#This Row],[RESULT]]="ABAN","",IF(T_MATCHSUM[[#This Row],[TEAM ONE]]=T_MATCHSUM[[#This Row],[WINNER]],T_MATCHSUM[[#This Row],[TEAM TWO]],T_MATCHSUM[[#This Row],[TEAM ONE]]))</f>
        <v>SRI LANKA</v>
      </c>
      <c r="M6">
        <v>15</v>
      </c>
      <c r="N6">
        <v>2</v>
      </c>
      <c r="O6">
        <v>48</v>
      </c>
      <c r="P6" t="str">
        <f>T_DL[[#This Row],[Match Number]]&amp;" "&amp;T_DL[[#This Row],[Innings]]</f>
        <v>15 2</v>
      </c>
      <c r="Q6">
        <v>289</v>
      </c>
    </row>
    <row r="7" spans="1:17" x14ac:dyDescent="0.3">
      <c r="A7">
        <v>2</v>
      </c>
      <c r="B7" t="s">
        <v>4198</v>
      </c>
      <c r="C7" t="s">
        <v>4199</v>
      </c>
      <c r="D7" t="s">
        <v>4200</v>
      </c>
      <c r="E7" s="12">
        <v>42049</v>
      </c>
      <c r="G7" t="s">
        <v>4199</v>
      </c>
      <c r="H7" t="s">
        <v>4201</v>
      </c>
      <c r="I7" t="str">
        <f>T_MATCHSUM[[#This Row],[Match Number]]&amp;" "&amp;T_MATCHSUM[[#This Row],[TEAM ONE]]&amp;" Vs "&amp;T_MATCHSUM[[#This Row],[TEAM TWO]]</f>
        <v>2 AUSTRALIA Vs ENGLAND</v>
      </c>
      <c r="J7" t="str">
        <f>IF(T_MATCHSUM[[#This Row],[RESULT]]="ABAN","",IF(T_MATCHSUM[[#This Row],[TEAM ONE]]=T_MATCHSUM[[#This Row],[WINNER]],T_MATCHSUM[[#This Row],[TEAM TWO]],T_MATCHSUM[[#This Row],[TEAM ONE]]))</f>
        <v>ENGLAND</v>
      </c>
      <c r="M7">
        <v>15</v>
      </c>
      <c r="N7">
        <v>1</v>
      </c>
      <c r="O7">
        <v>48</v>
      </c>
      <c r="P7" t="str">
        <f>T_DL[[#This Row],[Match Number]]&amp;" "&amp;T_DL[[#This Row],[Innings]]</f>
        <v>15 1</v>
      </c>
      <c r="Q7">
        <v>362</v>
      </c>
    </row>
    <row r="8" spans="1:17" x14ac:dyDescent="0.3">
      <c r="A8">
        <v>3</v>
      </c>
      <c r="B8" t="s">
        <v>4202</v>
      </c>
      <c r="C8" t="s">
        <v>4203</v>
      </c>
      <c r="D8" t="s">
        <v>4204</v>
      </c>
      <c r="E8" s="12">
        <v>42050</v>
      </c>
      <c r="G8" t="s">
        <v>4203</v>
      </c>
      <c r="H8" t="s">
        <v>4205</v>
      </c>
      <c r="I8" t="str">
        <f>T_MATCHSUM[[#This Row],[Match Number]]&amp;" "&amp;T_MATCHSUM[[#This Row],[TEAM ONE]]&amp;" Vs "&amp;T_MATCHSUM[[#This Row],[TEAM TWO]]</f>
        <v>3 SOUTH AFRICA Vs ZIMBABWE</v>
      </c>
      <c r="J8" t="str">
        <f>IF(T_MATCHSUM[[#This Row],[RESULT]]="ABAN","",IF(T_MATCHSUM[[#This Row],[TEAM ONE]]=T_MATCHSUM[[#This Row],[WINNER]],T_MATCHSUM[[#This Row],[TEAM TWO]],T_MATCHSUM[[#This Row],[TEAM ONE]]))</f>
        <v>ZIMBABWE</v>
      </c>
      <c r="M8">
        <v>29</v>
      </c>
      <c r="N8">
        <v>1</v>
      </c>
      <c r="O8">
        <v>47</v>
      </c>
      <c r="P8" t="str">
        <f>T_DL[[#This Row],[Match Number]]&amp;" "&amp;T_DL[[#This Row],[Innings]]</f>
        <v>29 1</v>
      </c>
      <c r="Q8">
        <v>231</v>
      </c>
    </row>
    <row r="9" spans="1:17" x14ac:dyDescent="0.3">
      <c r="A9">
        <v>4</v>
      </c>
      <c r="B9" t="s">
        <v>4206</v>
      </c>
      <c r="C9" t="s">
        <v>4207</v>
      </c>
      <c r="D9" t="s">
        <v>4208</v>
      </c>
      <c r="E9" s="12">
        <v>42050</v>
      </c>
      <c r="G9" t="s">
        <v>4207</v>
      </c>
      <c r="H9" t="s">
        <v>4209</v>
      </c>
      <c r="I9" t="str">
        <f>T_MATCHSUM[[#This Row],[Match Number]]&amp;" "&amp;T_MATCHSUM[[#This Row],[TEAM ONE]]&amp;" Vs "&amp;T_MATCHSUM[[#This Row],[TEAM TWO]]</f>
        <v>4 INDIA Vs PAKISTAN</v>
      </c>
      <c r="J9" t="str">
        <f>IF(T_MATCHSUM[[#This Row],[RESULT]]="ABAN","",IF(T_MATCHSUM[[#This Row],[TEAM ONE]]=T_MATCHSUM[[#This Row],[WINNER]],T_MATCHSUM[[#This Row],[TEAM TWO]],T_MATCHSUM[[#This Row],[TEAM ONE]]))</f>
        <v>PAKISTAN</v>
      </c>
      <c r="M9">
        <v>29</v>
      </c>
      <c r="N9">
        <v>2</v>
      </c>
      <c r="O9">
        <v>47</v>
      </c>
      <c r="P9" t="str">
        <f>T_DL[[#This Row],[Match Number]]&amp;" "&amp;T_DL[[#This Row],[Innings]]</f>
        <v>29 2</v>
      </c>
      <c r="Q9">
        <v>202</v>
      </c>
    </row>
    <row r="10" spans="1:17" x14ac:dyDescent="0.3">
      <c r="A10">
        <v>5</v>
      </c>
      <c r="B10" t="s">
        <v>4210</v>
      </c>
      <c r="C10" t="s">
        <v>4211</v>
      </c>
      <c r="D10" t="s">
        <v>4212</v>
      </c>
      <c r="E10" s="12">
        <v>42051</v>
      </c>
      <c r="G10" t="s">
        <v>4212</v>
      </c>
      <c r="H10" t="s">
        <v>4213</v>
      </c>
      <c r="I10" t="str">
        <f>T_MATCHSUM[[#This Row],[Match Number]]&amp;" "&amp;T_MATCHSUM[[#This Row],[TEAM ONE]]&amp;" Vs "&amp;T_MATCHSUM[[#This Row],[TEAM TWO]]</f>
        <v>5 WEST INDIES Vs IRELAND</v>
      </c>
      <c r="J10" t="str">
        <f>IF(T_MATCHSUM[[#This Row],[RESULT]]="ABAN","",IF(T_MATCHSUM[[#This Row],[TEAM ONE]]=T_MATCHSUM[[#This Row],[WINNER]],T_MATCHSUM[[#This Row],[TEAM TWO]],T_MATCHSUM[[#This Row],[TEAM ONE]]))</f>
        <v>WEST INDIES</v>
      </c>
      <c r="M10">
        <v>38</v>
      </c>
      <c r="N10">
        <v>1</v>
      </c>
      <c r="O10">
        <v>25</v>
      </c>
      <c r="P10" t="str">
        <f>T_DL[[#This Row],[Match Number]]&amp;" "&amp;T_DL[[#This Row],[Innings]]</f>
        <v>38 1</v>
      </c>
      <c r="Q10">
        <v>100</v>
      </c>
    </row>
    <row r="11" spans="1:17" x14ac:dyDescent="0.3">
      <c r="A11">
        <v>6</v>
      </c>
      <c r="B11" t="s">
        <v>4214</v>
      </c>
      <c r="C11" t="s">
        <v>4215</v>
      </c>
      <c r="D11" t="s">
        <v>4195</v>
      </c>
      <c r="E11" s="12">
        <v>42052</v>
      </c>
      <c r="G11" t="s">
        <v>4195</v>
      </c>
      <c r="H11" t="s">
        <v>4216</v>
      </c>
      <c r="I11" t="str">
        <f>T_MATCHSUM[[#This Row],[Match Number]]&amp;" "&amp;T_MATCHSUM[[#This Row],[TEAM ONE]]&amp;" Vs "&amp;T_MATCHSUM[[#This Row],[TEAM TWO]]</f>
        <v>6 SCOTLAND Vs NEW ZEALAND</v>
      </c>
      <c r="J11" t="str">
        <f>IF(T_MATCHSUM[[#This Row],[RESULT]]="ABAN","",IF(T_MATCHSUM[[#This Row],[TEAM ONE]]=T_MATCHSUM[[#This Row],[WINNER]],T_MATCHSUM[[#This Row],[TEAM TWO]],T_MATCHSUM[[#This Row],[TEAM ONE]]))</f>
        <v>SCOTLAND</v>
      </c>
      <c r="M11">
        <v>38</v>
      </c>
      <c r="N11">
        <v>2</v>
      </c>
      <c r="O11">
        <v>18.100000000000001</v>
      </c>
      <c r="P11" t="str">
        <f>T_DL[[#This Row],[Match Number]]&amp;" "&amp;T_DL[[#This Row],[Innings]]</f>
        <v>38 2</v>
      </c>
      <c r="Q11">
        <v>101</v>
      </c>
    </row>
    <row r="12" spans="1:17" x14ac:dyDescent="0.3">
      <c r="A12">
        <v>7</v>
      </c>
      <c r="B12" t="s">
        <v>4217</v>
      </c>
      <c r="C12" t="s">
        <v>4218</v>
      </c>
      <c r="D12" t="s">
        <v>4219</v>
      </c>
      <c r="E12" s="12">
        <v>42053</v>
      </c>
      <c r="G12" t="s">
        <v>4218</v>
      </c>
      <c r="H12" t="s">
        <v>4220</v>
      </c>
      <c r="I12" t="str">
        <f>T_MATCHSUM[[#This Row],[Match Number]]&amp;" "&amp;T_MATCHSUM[[#This Row],[TEAM ONE]]&amp;" Vs "&amp;T_MATCHSUM[[#This Row],[TEAM TWO]]</f>
        <v>7 BANGLADESH Vs AFGHANISTAN</v>
      </c>
      <c r="J12" t="str">
        <f>IF(T_MATCHSUM[[#This Row],[RESULT]]="ABAN","",IF(T_MATCHSUM[[#This Row],[TEAM ONE]]=T_MATCHSUM[[#This Row],[WINNER]],T_MATCHSUM[[#This Row],[TEAM TWO]],T_MATCHSUM[[#This Row],[TEAM ONE]]))</f>
        <v>AFGHANISTAN</v>
      </c>
      <c r="M12">
        <v>47</v>
      </c>
      <c r="N12">
        <v>1</v>
      </c>
      <c r="O12">
        <v>43</v>
      </c>
      <c r="P12" t="str">
        <f>T_DL[[#This Row],[Match Number]]&amp;" "&amp;T_DL[[#This Row],[Innings]]</f>
        <v>47 1</v>
      </c>
      <c r="Q12">
        <v>297</v>
      </c>
    </row>
    <row r="13" spans="1:17" x14ac:dyDescent="0.3">
      <c r="A13">
        <v>8</v>
      </c>
      <c r="B13" t="s">
        <v>4210</v>
      </c>
      <c r="C13" t="s">
        <v>164</v>
      </c>
      <c r="D13" t="s">
        <v>4204</v>
      </c>
      <c r="E13" s="12">
        <v>42054</v>
      </c>
      <c r="G13" t="s">
        <v>4204</v>
      </c>
      <c r="H13" t="s">
        <v>4213</v>
      </c>
      <c r="I13" t="str">
        <f>T_MATCHSUM[[#This Row],[Match Number]]&amp;" "&amp;T_MATCHSUM[[#This Row],[TEAM ONE]]&amp;" Vs "&amp;T_MATCHSUM[[#This Row],[TEAM TWO]]</f>
        <v>8 UAE Vs ZIMBABWE</v>
      </c>
      <c r="J13" t="str">
        <f>IF(T_MATCHSUM[[#This Row],[RESULT]]="ABAN","",IF(T_MATCHSUM[[#This Row],[TEAM ONE]]=T_MATCHSUM[[#This Row],[WINNER]],T_MATCHSUM[[#This Row],[TEAM TWO]],T_MATCHSUM[[#This Row],[TEAM ONE]]))</f>
        <v>UAE</v>
      </c>
      <c r="M13">
        <v>47</v>
      </c>
      <c r="N13">
        <v>2</v>
      </c>
      <c r="O13">
        <v>43</v>
      </c>
      <c r="P13" t="str">
        <f>T_DL[[#This Row],[Match Number]]&amp;" "&amp;T_DL[[#This Row],[Innings]]</f>
        <v>47 2</v>
      </c>
      <c r="Q13">
        <v>299</v>
      </c>
    </row>
    <row r="14" spans="1:17" x14ac:dyDescent="0.3">
      <c r="A14">
        <v>9</v>
      </c>
      <c r="B14" t="s">
        <v>4221</v>
      </c>
      <c r="C14" t="s">
        <v>4200</v>
      </c>
      <c r="D14" t="s">
        <v>4195</v>
      </c>
      <c r="E14" s="12">
        <v>42055</v>
      </c>
      <c r="G14" t="s">
        <v>4195</v>
      </c>
      <c r="H14" t="s">
        <v>4222</v>
      </c>
      <c r="I14" t="str">
        <f>T_MATCHSUM[[#This Row],[Match Number]]&amp;" "&amp;T_MATCHSUM[[#This Row],[TEAM ONE]]&amp;" Vs "&amp;T_MATCHSUM[[#This Row],[TEAM TWO]]</f>
        <v>9 ENGLAND Vs NEW ZEALAND</v>
      </c>
      <c r="J14" t="str">
        <f>IF(T_MATCHSUM[[#This Row],[RESULT]]="ABAN","",IF(T_MATCHSUM[[#This Row],[TEAM ONE]]=T_MATCHSUM[[#This Row],[WINNER]],T_MATCHSUM[[#This Row],[TEAM TWO]],T_MATCHSUM[[#This Row],[TEAM ONE]]))</f>
        <v>ENGLAND</v>
      </c>
    </row>
    <row r="15" spans="1:17" x14ac:dyDescent="0.3">
      <c r="A15">
        <v>10</v>
      </c>
      <c r="B15" t="s">
        <v>4194</v>
      </c>
      <c r="C15" t="s">
        <v>4211</v>
      </c>
      <c r="D15" t="s">
        <v>4208</v>
      </c>
      <c r="E15" s="12">
        <v>42056</v>
      </c>
      <c r="G15" t="s">
        <v>4211</v>
      </c>
      <c r="H15" t="s">
        <v>4223</v>
      </c>
      <c r="I15" t="str">
        <f>T_MATCHSUM[[#This Row],[Match Number]]&amp;" "&amp;T_MATCHSUM[[#This Row],[TEAM ONE]]&amp;" Vs "&amp;T_MATCHSUM[[#This Row],[TEAM TWO]]</f>
        <v>10 WEST INDIES Vs PAKISTAN</v>
      </c>
      <c r="J15" t="str">
        <f>IF(T_MATCHSUM[[#This Row],[RESULT]]="ABAN","",IF(T_MATCHSUM[[#This Row],[TEAM ONE]]=T_MATCHSUM[[#This Row],[WINNER]],T_MATCHSUM[[#This Row],[TEAM TWO]],T_MATCHSUM[[#This Row],[TEAM ONE]]))</f>
        <v>PAKISTAN</v>
      </c>
    </row>
    <row r="16" spans="1:17" x14ac:dyDescent="0.3">
      <c r="A16">
        <v>11</v>
      </c>
      <c r="B16" t="s">
        <v>4224</v>
      </c>
      <c r="C16" t="s">
        <v>4199</v>
      </c>
      <c r="D16" t="s">
        <v>4218</v>
      </c>
      <c r="E16" s="12">
        <v>42056</v>
      </c>
      <c r="F16" t="s">
        <v>4225</v>
      </c>
      <c r="I16" t="str">
        <f>T_MATCHSUM[[#This Row],[Match Number]]&amp;" "&amp;T_MATCHSUM[[#This Row],[TEAM ONE]]&amp;" Vs "&amp;T_MATCHSUM[[#This Row],[TEAM TWO]]</f>
        <v>11 AUSTRALIA Vs BANGLADESH</v>
      </c>
      <c r="J16" t="str">
        <f>IF(T_MATCHSUM[[#This Row],[RESULT]]="ABAN","",IF(T_MATCHSUM[[#This Row],[TEAM ONE]]=T_MATCHSUM[[#This Row],[WINNER]],T_MATCHSUM[[#This Row],[TEAM TWO]],T_MATCHSUM[[#This Row],[TEAM ONE]]))</f>
        <v/>
      </c>
      <c r="M16" s="29" t="s">
        <v>4226</v>
      </c>
    </row>
    <row r="17" spans="1:13" x14ac:dyDescent="0.3">
      <c r="A17">
        <v>12</v>
      </c>
      <c r="B17" t="s">
        <v>4214</v>
      </c>
      <c r="C17" t="s">
        <v>4219</v>
      </c>
      <c r="D17" t="s">
        <v>4196</v>
      </c>
      <c r="E17" s="12">
        <v>42057</v>
      </c>
      <c r="G17" t="s">
        <v>4196</v>
      </c>
      <c r="H17" t="s">
        <v>4213</v>
      </c>
      <c r="I17" t="str">
        <f>T_MATCHSUM[[#This Row],[Match Number]]&amp;" "&amp;T_MATCHSUM[[#This Row],[TEAM ONE]]&amp;" Vs "&amp;T_MATCHSUM[[#This Row],[TEAM TWO]]</f>
        <v>12 AFGHANISTAN Vs SRI LANKA</v>
      </c>
      <c r="J17" t="str">
        <f>IF(T_MATCHSUM[[#This Row],[RESULT]]="ABAN","",IF(T_MATCHSUM[[#This Row],[TEAM ONE]]=T_MATCHSUM[[#This Row],[WINNER]],T_MATCHSUM[[#This Row],[TEAM TWO]],T_MATCHSUM[[#This Row],[TEAM ONE]]))</f>
        <v>AFGHANISTAN</v>
      </c>
      <c r="M17" t="s">
        <v>4227</v>
      </c>
    </row>
    <row r="18" spans="1:13" x14ac:dyDescent="0.3">
      <c r="A18">
        <v>13</v>
      </c>
      <c r="B18" t="s">
        <v>4198</v>
      </c>
      <c r="C18" t="s">
        <v>4207</v>
      </c>
      <c r="D18" t="s">
        <v>4203</v>
      </c>
      <c r="E18" s="12">
        <v>42057</v>
      </c>
      <c r="G18" t="s">
        <v>4207</v>
      </c>
      <c r="H18" t="s">
        <v>4228</v>
      </c>
      <c r="I18" t="str">
        <f>T_MATCHSUM[[#This Row],[Match Number]]&amp;" "&amp;T_MATCHSUM[[#This Row],[TEAM ONE]]&amp;" Vs "&amp;T_MATCHSUM[[#This Row],[TEAM TWO]]</f>
        <v>13 INDIA Vs SOUTH AFRICA</v>
      </c>
      <c r="J18" t="str">
        <f>IF(T_MATCHSUM[[#This Row],[RESULT]]="ABAN","",IF(T_MATCHSUM[[#This Row],[TEAM ONE]]=T_MATCHSUM[[#This Row],[WINNER]],T_MATCHSUM[[#This Row],[TEAM TWO]],T_MATCHSUM[[#This Row],[TEAM ONE]]))</f>
        <v>SOUTH AFRICA</v>
      </c>
      <c r="M18" s="29" t="s">
        <v>4229</v>
      </c>
    </row>
    <row r="19" spans="1:13" x14ac:dyDescent="0.3">
      <c r="A19">
        <v>14</v>
      </c>
      <c r="B19" t="s">
        <v>4194</v>
      </c>
      <c r="C19" t="s">
        <v>4200</v>
      </c>
      <c r="D19" t="s">
        <v>4215</v>
      </c>
      <c r="E19" s="12">
        <v>42058</v>
      </c>
      <c r="G19" t="s">
        <v>4200</v>
      </c>
      <c r="H19" t="s">
        <v>4230</v>
      </c>
      <c r="I19" t="str">
        <f>T_MATCHSUM[[#This Row],[Match Number]]&amp;" "&amp;T_MATCHSUM[[#This Row],[TEAM ONE]]&amp;" Vs "&amp;T_MATCHSUM[[#This Row],[TEAM TWO]]</f>
        <v>14 ENGLAND Vs SCOTLAND</v>
      </c>
      <c r="J19" t="str">
        <f>IF(T_MATCHSUM[[#This Row],[RESULT]]="ABAN","",IF(T_MATCHSUM[[#This Row],[TEAM ONE]]=T_MATCHSUM[[#This Row],[WINNER]],T_MATCHSUM[[#This Row],[TEAM TWO]],T_MATCHSUM[[#This Row],[TEAM ONE]]))</f>
        <v>SCOTLAND</v>
      </c>
      <c r="M19" t="s">
        <v>4231</v>
      </c>
    </row>
    <row r="20" spans="1:13" x14ac:dyDescent="0.3">
      <c r="A20">
        <v>15</v>
      </c>
      <c r="B20" t="s">
        <v>4217</v>
      </c>
      <c r="C20" t="s">
        <v>4211</v>
      </c>
      <c r="D20" t="s">
        <v>4204</v>
      </c>
      <c r="E20" s="12">
        <v>42059</v>
      </c>
      <c r="G20" t="s">
        <v>4211</v>
      </c>
      <c r="H20" t="s">
        <v>4232</v>
      </c>
      <c r="I20" t="str">
        <f>T_MATCHSUM[[#This Row],[Match Number]]&amp;" "&amp;T_MATCHSUM[[#This Row],[TEAM ONE]]&amp;" Vs "&amp;T_MATCHSUM[[#This Row],[TEAM TWO]]</f>
        <v>15 WEST INDIES Vs ZIMBABWE</v>
      </c>
      <c r="J20" t="str">
        <f>IF(T_MATCHSUM[[#This Row],[RESULT]]="ABAN","",IF(T_MATCHSUM[[#This Row],[TEAM ONE]]=T_MATCHSUM[[#This Row],[WINNER]],T_MATCHSUM[[#This Row],[TEAM TWO]],T_MATCHSUM[[#This Row],[TEAM ONE]]))</f>
        <v>ZIMBABWE</v>
      </c>
      <c r="K20" t="s">
        <v>4233</v>
      </c>
    </row>
    <row r="21" spans="1:13" x14ac:dyDescent="0.3">
      <c r="A21">
        <v>16</v>
      </c>
      <c r="B21" t="s">
        <v>4224</v>
      </c>
      <c r="C21" t="s">
        <v>164</v>
      </c>
      <c r="D21" t="s">
        <v>4212</v>
      </c>
      <c r="E21" s="12">
        <v>42060</v>
      </c>
      <c r="G21" t="s">
        <v>4212</v>
      </c>
      <c r="H21" t="s">
        <v>4234</v>
      </c>
      <c r="I21" t="str">
        <f>T_MATCHSUM[[#This Row],[Match Number]]&amp;" "&amp;T_MATCHSUM[[#This Row],[TEAM ONE]]&amp;" Vs "&amp;T_MATCHSUM[[#This Row],[TEAM TWO]]</f>
        <v>16 UAE Vs IRELAND</v>
      </c>
      <c r="J21" t="str">
        <f>IF(T_MATCHSUM[[#This Row],[RESULT]]="ABAN","",IF(T_MATCHSUM[[#This Row],[TEAM ONE]]=T_MATCHSUM[[#This Row],[WINNER]],T_MATCHSUM[[#This Row],[TEAM TWO]],T_MATCHSUM[[#This Row],[TEAM ONE]]))</f>
        <v>UAE</v>
      </c>
    </row>
    <row r="22" spans="1:13" x14ac:dyDescent="0.3">
      <c r="A22">
        <v>17</v>
      </c>
      <c r="B22" t="s">
        <v>4214</v>
      </c>
      <c r="C22" t="s">
        <v>4215</v>
      </c>
      <c r="D22" t="s">
        <v>4219</v>
      </c>
      <c r="E22" s="12">
        <v>42061</v>
      </c>
      <c r="G22" t="s">
        <v>4219</v>
      </c>
      <c r="H22" t="s">
        <v>4235</v>
      </c>
      <c r="I22" t="str">
        <f>T_MATCHSUM[[#This Row],[Match Number]]&amp;" "&amp;T_MATCHSUM[[#This Row],[TEAM ONE]]&amp;" Vs "&amp;T_MATCHSUM[[#This Row],[TEAM TWO]]</f>
        <v>17 SCOTLAND Vs AFGHANISTAN</v>
      </c>
      <c r="J22" t="str">
        <f>IF(T_MATCHSUM[[#This Row],[RESULT]]="ABAN","",IF(T_MATCHSUM[[#This Row],[TEAM ONE]]=T_MATCHSUM[[#This Row],[WINNER]],T_MATCHSUM[[#This Row],[TEAM TWO]],T_MATCHSUM[[#This Row],[TEAM ONE]]))</f>
        <v>SCOTLAND</v>
      </c>
    </row>
    <row r="23" spans="1:13" x14ac:dyDescent="0.3">
      <c r="A23">
        <v>18</v>
      </c>
      <c r="B23" t="s">
        <v>4198</v>
      </c>
      <c r="C23" t="s">
        <v>4196</v>
      </c>
      <c r="D23" t="s">
        <v>4218</v>
      </c>
      <c r="E23" s="12">
        <v>42061</v>
      </c>
      <c r="G23" t="s">
        <v>4196</v>
      </c>
      <c r="H23" t="s">
        <v>4236</v>
      </c>
      <c r="I23" t="str">
        <f>T_MATCHSUM[[#This Row],[Match Number]]&amp;" "&amp;T_MATCHSUM[[#This Row],[TEAM ONE]]&amp;" Vs "&amp;T_MATCHSUM[[#This Row],[TEAM TWO]]</f>
        <v>18 SRI LANKA Vs BANGLADESH</v>
      </c>
      <c r="J23" t="str">
        <f>IF(T_MATCHSUM[[#This Row],[RESULT]]="ABAN","",IF(T_MATCHSUM[[#This Row],[TEAM ONE]]=T_MATCHSUM[[#This Row],[WINNER]],T_MATCHSUM[[#This Row],[TEAM TWO]],T_MATCHSUM[[#This Row],[TEAM ONE]]))</f>
        <v>BANGLADESH</v>
      </c>
    </row>
    <row r="24" spans="1:13" x14ac:dyDescent="0.3">
      <c r="A24">
        <v>19</v>
      </c>
      <c r="B24" t="s">
        <v>4237</v>
      </c>
      <c r="C24" t="s">
        <v>4203</v>
      </c>
      <c r="D24" t="s">
        <v>4211</v>
      </c>
      <c r="E24" s="12">
        <v>42062</v>
      </c>
      <c r="G24" t="s">
        <v>4203</v>
      </c>
      <c r="H24" t="s">
        <v>4238</v>
      </c>
      <c r="I24" t="str">
        <f>T_MATCHSUM[[#This Row],[Match Number]]&amp;" "&amp;T_MATCHSUM[[#This Row],[TEAM ONE]]&amp;" Vs "&amp;T_MATCHSUM[[#This Row],[TEAM TWO]]</f>
        <v>19 SOUTH AFRICA Vs WEST INDIES</v>
      </c>
      <c r="J24" t="str">
        <f>IF(T_MATCHSUM[[#This Row],[RESULT]]="ABAN","",IF(T_MATCHSUM[[#This Row],[TEAM ONE]]=T_MATCHSUM[[#This Row],[WINNER]],T_MATCHSUM[[#This Row],[TEAM TWO]],T_MATCHSUM[[#This Row],[TEAM ONE]]))</f>
        <v>WEST INDIES</v>
      </c>
    </row>
    <row r="25" spans="1:13" x14ac:dyDescent="0.3">
      <c r="A25">
        <v>20</v>
      </c>
      <c r="B25" t="s">
        <v>4239</v>
      </c>
      <c r="C25" t="s">
        <v>4199</v>
      </c>
      <c r="D25" t="s">
        <v>4195</v>
      </c>
      <c r="E25" s="12">
        <v>42063</v>
      </c>
      <c r="G25" t="s">
        <v>4195</v>
      </c>
      <c r="H25" t="s">
        <v>4235</v>
      </c>
      <c r="I25" t="str">
        <f>T_MATCHSUM[[#This Row],[Match Number]]&amp;" "&amp;T_MATCHSUM[[#This Row],[TEAM ONE]]&amp;" Vs "&amp;T_MATCHSUM[[#This Row],[TEAM TWO]]</f>
        <v>20 AUSTRALIA Vs NEW ZEALAND</v>
      </c>
      <c r="J25" t="str">
        <f>IF(T_MATCHSUM[[#This Row],[RESULT]]="ABAN","",IF(T_MATCHSUM[[#This Row],[TEAM ONE]]=T_MATCHSUM[[#This Row],[WINNER]],T_MATCHSUM[[#This Row],[TEAM TWO]],T_MATCHSUM[[#This Row],[TEAM ONE]]))</f>
        <v>AUSTRALIA</v>
      </c>
    </row>
    <row r="26" spans="1:13" x14ac:dyDescent="0.3">
      <c r="A26">
        <v>21</v>
      </c>
      <c r="B26" t="s">
        <v>4240</v>
      </c>
      <c r="C26" t="s">
        <v>164</v>
      </c>
      <c r="D26" t="s">
        <v>4207</v>
      </c>
      <c r="E26" s="12">
        <v>42063</v>
      </c>
      <c r="G26" t="s">
        <v>4207</v>
      </c>
      <c r="H26" t="s">
        <v>4241</v>
      </c>
      <c r="I26" t="str">
        <f>T_MATCHSUM[[#This Row],[Match Number]]&amp;" "&amp;T_MATCHSUM[[#This Row],[TEAM ONE]]&amp;" Vs "&amp;T_MATCHSUM[[#This Row],[TEAM TWO]]</f>
        <v>21 UAE Vs INDIA</v>
      </c>
      <c r="J26" t="str">
        <f>IF(T_MATCHSUM[[#This Row],[RESULT]]="ABAN","",IF(T_MATCHSUM[[#This Row],[TEAM ONE]]=T_MATCHSUM[[#This Row],[WINNER]],T_MATCHSUM[[#This Row],[TEAM TWO]],T_MATCHSUM[[#This Row],[TEAM ONE]]))</f>
        <v>UAE</v>
      </c>
    </row>
    <row r="27" spans="1:13" x14ac:dyDescent="0.3">
      <c r="A27">
        <v>22</v>
      </c>
      <c r="B27" t="s">
        <v>4221</v>
      </c>
      <c r="C27" t="s">
        <v>4200</v>
      </c>
      <c r="D27" t="s">
        <v>4196</v>
      </c>
      <c r="E27" s="12">
        <v>42064</v>
      </c>
      <c r="G27" t="s">
        <v>4196</v>
      </c>
      <c r="H27" t="s">
        <v>4241</v>
      </c>
      <c r="I27" t="str">
        <f>T_MATCHSUM[[#This Row],[Match Number]]&amp;" "&amp;T_MATCHSUM[[#This Row],[TEAM ONE]]&amp;" Vs "&amp;T_MATCHSUM[[#This Row],[TEAM TWO]]</f>
        <v>22 ENGLAND Vs SRI LANKA</v>
      </c>
      <c r="J27" t="str">
        <f>IF(T_MATCHSUM[[#This Row],[RESULT]]="ABAN","",IF(T_MATCHSUM[[#This Row],[TEAM ONE]]=T_MATCHSUM[[#This Row],[WINNER]],T_MATCHSUM[[#This Row],[TEAM TWO]],T_MATCHSUM[[#This Row],[TEAM ONE]]))</f>
        <v>ENGLAND</v>
      </c>
    </row>
    <row r="28" spans="1:13" x14ac:dyDescent="0.3">
      <c r="A28">
        <v>23</v>
      </c>
      <c r="B28" t="s">
        <v>4224</v>
      </c>
      <c r="C28" t="s">
        <v>4208</v>
      </c>
      <c r="D28" t="s">
        <v>4204</v>
      </c>
      <c r="E28" s="12">
        <v>42064</v>
      </c>
      <c r="G28" t="s">
        <v>4208</v>
      </c>
      <c r="H28" t="s">
        <v>4242</v>
      </c>
      <c r="I28" t="str">
        <f>T_MATCHSUM[[#This Row],[Match Number]]&amp;" "&amp;T_MATCHSUM[[#This Row],[TEAM ONE]]&amp;" Vs "&amp;T_MATCHSUM[[#This Row],[TEAM TWO]]</f>
        <v>23 PAKISTAN Vs ZIMBABWE</v>
      </c>
      <c r="J28" t="str">
        <f>IF(T_MATCHSUM[[#This Row],[RESULT]]="ABAN","",IF(T_MATCHSUM[[#This Row],[TEAM ONE]]=T_MATCHSUM[[#This Row],[WINNER]],T_MATCHSUM[[#This Row],[TEAM TWO]],T_MATCHSUM[[#This Row],[TEAM ONE]]))</f>
        <v>ZIMBABWE</v>
      </c>
    </row>
    <row r="29" spans="1:13" x14ac:dyDescent="0.3">
      <c r="A29">
        <v>24</v>
      </c>
      <c r="B29" t="s">
        <v>4217</v>
      </c>
      <c r="C29" t="s">
        <v>4203</v>
      </c>
      <c r="D29" t="s">
        <v>4212</v>
      </c>
      <c r="E29" s="12">
        <v>42066</v>
      </c>
      <c r="G29" t="s">
        <v>4203</v>
      </c>
      <c r="H29" t="s">
        <v>4243</v>
      </c>
      <c r="I29" t="str">
        <f>T_MATCHSUM[[#This Row],[Match Number]]&amp;" "&amp;T_MATCHSUM[[#This Row],[TEAM ONE]]&amp;" Vs "&amp;T_MATCHSUM[[#This Row],[TEAM TWO]]</f>
        <v>24 SOUTH AFRICA Vs IRELAND</v>
      </c>
      <c r="J29" t="str">
        <f>IF(T_MATCHSUM[[#This Row],[RESULT]]="ABAN","",IF(T_MATCHSUM[[#This Row],[TEAM ONE]]=T_MATCHSUM[[#This Row],[WINNER]],T_MATCHSUM[[#This Row],[TEAM TWO]],T_MATCHSUM[[#This Row],[TEAM ONE]]))</f>
        <v>IRELAND</v>
      </c>
    </row>
    <row r="30" spans="1:13" x14ac:dyDescent="0.3">
      <c r="A30">
        <v>25</v>
      </c>
      <c r="B30" t="s">
        <v>4244</v>
      </c>
      <c r="C30" t="s">
        <v>4208</v>
      </c>
      <c r="D30" t="s">
        <v>164</v>
      </c>
      <c r="E30" s="12">
        <v>42067</v>
      </c>
      <c r="G30" t="s">
        <v>4208</v>
      </c>
      <c r="H30" t="s">
        <v>4245</v>
      </c>
      <c r="I30" t="str">
        <f>T_MATCHSUM[[#This Row],[Match Number]]&amp;" "&amp;T_MATCHSUM[[#This Row],[TEAM ONE]]&amp;" Vs "&amp;T_MATCHSUM[[#This Row],[TEAM TWO]]</f>
        <v>25 PAKISTAN Vs UAE</v>
      </c>
      <c r="J30" t="str">
        <f>IF(T_MATCHSUM[[#This Row],[RESULT]]="ABAN","",IF(T_MATCHSUM[[#This Row],[TEAM ONE]]=T_MATCHSUM[[#This Row],[WINNER]],T_MATCHSUM[[#This Row],[TEAM TWO]],T_MATCHSUM[[#This Row],[TEAM ONE]]))</f>
        <v>UAE</v>
      </c>
    </row>
    <row r="31" spans="1:13" x14ac:dyDescent="0.3">
      <c r="A31">
        <v>26</v>
      </c>
      <c r="B31" t="s">
        <v>4240</v>
      </c>
      <c r="C31" t="s">
        <v>4199</v>
      </c>
      <c r="D31" t="s">
        <v>4219</v>
      </c>
      <c r="E31" s="12">
        <v>42067</v>
      </c>
      <c r="G31" t="s">
        <v>4199</v>
      </c>
      <c r="H31" t="s">
        <v>4246</v>
      </c>
      <c r="I31" t="str">
        <f>T_MATCHSUM[[#This Row],[Match Number]]&amp;" "&amp;T_MATCHSUM[[#This Row],[TEAM ONE]]&amp;" Vs "&amp;T_MATCHSUM[[#This Row],[TEAM TWO]]</f>
        <v>26 AUSTRALIA Vs AFGHANISTAN</v>
      </c>
      <c r="J31" t="str">
        <f>IF(T_MATCHSUM[[#This Row],[RESULT]]="ABAN","",IF(T_MATCHSUM[[#This Row],[TEAM ONE]]=T_MATCHSUM[[#This Row],[WINNER]],T_MATCHSUM[[#This Row],[TEAM TWO]],T_MATCHSUM[[#This Row],[TEAM ONE]]))</f>
        <v>AFGHANISTAN</v>
      </c>
    </row>
    <row r="32" spans="1:13" x14ac:dyDescent="0.3">
      <c r="A32">
        <v>27</v>
      </c>
      <c r="B32" t="s">
        <v>4210</v>
      </c>
      <c r="C32" t="s">
        <v>4215</v>
      </c>
      <c r="D32" t="s">
        <v>4218</v>
      </c>
      <c r="E32" s="12">
        <v>42068</v>
      </c>
      <c r="G32" t="s">
        <v>4218</v>
      </c>
      <c r="H32" t="s">
        <v>4247</v>
      </c>
      <c r="I32" t="str">
        <f>T_MATCHSUM[[#This Row],[Match Number]]&amp;" "&amp;T_MATCHSUM[[#This Row],[TEAM ONE]]&amp;" Vs "&amp;T_MATCHSUM[[#This Row],[TEAM TWO]]</f>
        <v>27 SCOTLAND Vs BANGLADESH</v>
      </c>
      <c r="J32" t="str">
        <f>IF(T_MATCHSUM[[#This Row],[RESULT]]="ABAN","",IF(T_MATCHSUM[[#This Row],[TEAM ONE]]=T_MATCHSUM[[#This Row],[WINNER]],T_MATCHSUM[[#This Row],[TEAM TWO]],T_MATCHSUM[[#This Row],[TEAM ONE]]))</f>
        <v>SCOTLAND</v>
      </c>
    </row>
    <row r="33" spans="1:11" x14ac:dyDescent="0.3">
      <c r="A33">
        <v>28</v>
      </c>
      <c r="B33" t="s">
        <v>4240</v>
      </c>
      <c r="C33" t="s">
        <v>4211</v>
      </c>
      <c r="D33" t="s">
        <v>4207</v>
      </c>
      <c r="E33" s="12">
        <v>42069</v>
      </c>
      <c r="G33" t="s">
        <v>4207</v>
      </c>
      <c r="H33" t="s">
        <v>4213</v>
      </c>
      <c r="I33" t="str">
        <f>T_MATCHSUM[[#This Row],[Match Number]]&amp;" "&amp;T_MATCHSUM[[#This Row],[TEAM ONE]]&amp;" Vs "&amp;T_MATCHSUM[[#This Row],[TEAM TWO]]</f>
        <v>28 WEST INDIES Vs INDIA</v>
      </c>
      <c r="J33" t="str">
        <f>IF(T_MATCHSUM[[#This Row],[RESULT]]="ABAN","",IF(T_MATCHSUM[[#This Row],[TEAM ONE]]=T_MATCHSUM[[#This Row],[WINNER]],T_MATCHSUM[[#This Row],[TEAM TWO]],T_MATCHSUM[[#This Row],[TEAM ONE]]))</f>
        <v>WEST INDIES</v>
      </c>
    </row>
    <row r="34" spans="1:11" x14ac:dyDescent="0.3">
      <c r="A34">
        <v>29</v>
      </c>
      <c r="B34" t="s">
        <v>4239</v>
      </c>
      <c r="C34" t="s">
        <v>4208</v>
      </c>
      <c r="D34" t="s">
        <v>4203</v>
      </c>
      <c r="E34" s="12">
        <v>42070</v>
      </c>
      <c r="G34" t="s">
        <v>4208</v>
      </c>
      <c r="H34" t="s">
        <v>4248</v>
      </c>
      <c r="I34" t="str">
        <f>T_MATCHSUM[[#This Row],[Match Number]]&amp;" "&amp;T_MATCHSUM[[#This Row],[TEAM ONE]]&amp;" Vs "&amp;T_MATCHSUM[[#This Row],[TEAM TWO]]</f>
        <v>29 PAKISTAN Vs SOUTH AFRICA</v>
      </c>
      <c r="J34" t="str">
        <f>IF(T_MATCHSUM[[#This Row],[RESULT]]="ABAN","",IF(T_MATCHSUM[[#This Row],[TEAM ONE]]=T_MATCHSUM[[#This Row],[WINNER]],T_MATCHSUM[[#This Row],[TEAM TWO]],T_MATCHSUM[[#This Row],[TEAM ONE]]))</f>
        <v>SOUTH AFRICA</v>
      </c>
      <c r="K34" t="s">
        <v>4233</v>
      </c>
    </row>
    <row r="35" spans="1:11" x14ac:dyDescent="0.3">
      <c r="A35">
        <v>30</v>
      </c>
      <c r="B35" t="s">
        <v>4249</v>
      </c>
      <c r="C35" t="s">
        <v>4212</v>
      </c>
      <c r="D35" t="s">
        <v>4204</v>
      </c>
      <c r="E35" s="12">
        <v>42070</v>
      </c>
      <c r="G35" t="s">
        <v>4212</v>
      </c>
      <c r="H35" t="s">
        <v>4250</v>
      </c>
      <c r="I35" t="str">
        <f>T_MATCHSUM[[#This Row],[Match Number]]&amp;" "&amp;T_MATCHSUM[[#This Row],[TEAM ONE]]&amp;" Vs "&amp;T_MATCHSUM[[#This Row],[TEAM TWO]]</f>
        <v>30 IRELAND Vs ZIMBABWE</v>
      </c>
      <c r="J35" t="str">
        <f>IF(T_MATCHSUM[[#This Row],[RESULT]]="ABAN","",IF(T_MATCHSUM[[#This Row],[TEAM ONE]]=T_MATCHSUM[[#This Row],[WINNER]],T_MATCHSUM[[#This Row],[TEAM TWO]],T_MATCHSUM[[#This Row],[TEAM ONE]]))</f>
        <v>ZIMBABWE</v>
      </c>
    </row>
    <row r="36" spans="1:11" x14ac:dyDescent="0.3">
      <c r="A36">
        <v>31</v>
      </c>
      <c r="B36" t="s">
        <v>4244</v>
      </c>
      <c r="C36" t="s">
        <v>4219</v>
      </c>
      <c r="D36" t="s">
        <v>4195</v>
      </c>
      <c r="E36" s="12">
        <v>42071</v>
      </c>
      <c r="G36" t="s">
        <v>4195</v>
      </c>
      <c r="H36" t="s">
        <v>4247</v>
      </c>
      <c r="I36" t="str">
        <f>T_MATCHSUM[[#This Row],[Match Number]]&amp;" "&amp;T_MATCHSUM[[#This Row],[TEAM ONE]]&amp;" Vs "&amp;T_MATCHSUM[[#This Row],[TEAM TWO]]</f>
        <v>31 AFGHANISTAN Vs NEW ZEALAND</v>
      </c>
      <c r="J36" t="str">
        <f>IF(T_MATCHSUM[[#This Row],[RESULT]]="ABAN","",IF(T_MATCHSUM[[#This Row],[TEAM ONE]]=T_MATCHSUM[[#This Row],[WINNER]],T_MATCHSUM[[#This Row],[TEAM TWO]],T_MATCHSUM[[#This Row],[TEAM ONE]]))</f>
        <v>AFGHANISTAN</v>
      </c>
    </row>
    <row r="37" spans="1:11" x14ac:dyDescent="0.3">
      <c r="A37">
        <v>32</v>
      </c>
      <c r="B37" t="s">
        <v>4237</v>
      </c>
      <c r="C37" t="s">
        <v>4199</v>
      </c>
      <c r="D37" t="s">
        <v>4196</v>
      </c>
      <c r="E37" s="12">
        <v>42071</v>
      </c>
      <c r="G37" t="s">
        <v>4199</v>
      </c>
      <c r="H37" t="s">
        <v>4251</v>
      </c>
      <c r="I37" t="str">
        <f>T_MATCHSUM[[#This Row],[Match Number]]&amp;" "&amp;T_MATCHSUM[[#This Row],[TEAM ONE]]&amp;" Vs "&amp;T_MATCHSUM[[#This Row],[TEAM TWO]]</f>
        <v>32 AUSTRALIA Vs SRI LANKA</v>
      </c>
      <c r="J37" t="str">
        <f>IF(T_MATCHSUM[[#This Row],[RESULT]]="ABAN","",IF(T_MATCHSUM[[#This Row],[TEAM ONE]]=T_MATCHSUM[[#This Row],[WINNER]],T_MATCHSUM[[#This Row],[TEAM TWO]],T_MATCHSUM[[#This Row],[TEAM ONE]]))</f>
        <v>SRI LANKA</v>
      </c>
    </row>
    <row r="38" spans="1:11" x14ac:dyDescent="0.3">
      <c r="A38">
        <v>33</v>
      </c>
      <c r="B38" t="s">
        <v>4206</v>
      </c>
      <c r="C38" t="s">
        <v>4218</v>
      </c>
      <c r="D38" t="s">
        <v>4200</v>
      </c>
      <c r="E38" s="12">
        <v>42072</v>
      </c>
      <c r="G38" t="s">
        <v>4218</v>
      </c>
      <c r="H38" t="s">
        <v>4252</v>
      </c>
      <c r="I38" t="str">
        <f>T_MATCHSUM[[#This Row],[Match Number]]&amp;" "&amp;T_MATCHSUM[[#This Row],[TEAM ONE]]&amp;" Vs "&amp;T_MATCHSUM[[#This Row],[TEAM TWO]]</f>
        <v>33 BANGLADESH Vs ENGLAND</v>
      </c>
      <c r="J38" t="str">
        <f>IF(T_MATCHSUM[[#This Row],[RESULT]]="ABAN","",IF(T_MATCHSUM[[#This Row],[TEAM ONE]]=T_MATCHSUM[[#This Row],[WINNER]],T_MATCHSUM[[#This Row],[TEAM TWO]],T_MATCHSUM[[#This Row],[TEAM ONE]]))</f>
        <v>ENGLAND</v>
      </c>
    </row>
    <row r="39" spans="1:11" x14ac:dyDescent="0.3">
      <c r="A39">
        <v>34</v>
      </c>
      <c r="B39" t="s">
        <v>4202</v>
      </c>
      <c r="C39" t="s">
        <v>4212</v>
      </c>
      <c r="D39" t="s">
        <v>4207</v>
      </c>
      <c r="E39" s="12">
        <v>42073</v>
      </c>
      <c r="G39" t="s">
        <v>4207</v>
      </c>
      <c r="H39" t="s">
        <v>4222</v>
      </c>
      <c r="I39" t="str">
        <f>T_MATCHSUM[[#This Row],[Match Number]]&amp;" "&amp;T_MATCHSUM[[#This Row],[TEAM ONE]]&amp;" Vs "&amp;T_MATCHSUM[[#This Row],[TEAM TWO]]</f>
        <v>34 IRELAND Vs INDIA</v>
      </c>
      <c r="J39" t="str">
        <f>IF(T_MATCHSUM[[#This Row],[RESULT]]="ABAN","",IF(T_MATCHSUM[[#This Row],[TEAM ONE]]=T_MATCHSUM[[#This Row],[WINNER]],T_MATCHSUM[[#This Row],[TEAM TWO]],T_MATCHSUM[[#This Row],[TEAM ONE]]))</f>
        <v>IRELAND</v>
      </c>
    </row>
    <row r="40" spans="1:11" x14ac:dyDescent="0.3">
      <c r="A40">
        <v>35</v>
      </c>
      <c r="B40" t="s">
        <v>4249</v>
      </c>
      <c r="C40" t="s">
        <v>4196</v>
      </c>
      <c r="D40" t="s">
        <v>4215</v>
      </c>
      <c r="E40" s="12">
        <v>42074</v>
      </c>
      <c r="G40" t="s">
        <v>4196</v>
      </c>
      <c r="H40" t="s">
        <v>4253</v>
      </c>
      <c r="I40" t="str">
        <f>T_MATCHSUM[[#This Row],[Match Number]]&amp;" "&amp;T_MATCHSUM[[#This Row],[TEAM ONE]]&amp;" Vs "&amp;T_MATCHSUM[[#This Row],[TEAM TWO]]</f>
        <v>35 SRI LANKA Vs SCOTLAND</v>
      </c>
      <c r="J40" t="str">
        <f>IF(T_MATCHSUM[[#This Row],[RESULT]]="ABAN","",IF(T_MATCHSUM[[#This Row],[TEAM ONE]]=T_MATCHSUM[[#This Row],[WINNER]],T_MATCHSUM[[#This Row],[TEAM TWO]],T_MATCHSUM[[#This Row],[TEAM ONE]]))</f>
        <v>SCOTLAND</v>
      </c>
    </row>
    <row r="41" spans="1:11" x14ac:dyDescent="0.3">
      <c r="A41">
        <v>36</v>
      </c>
      <c r="B41" t="s">
        <v>4221</v>
      </c>
      <c r="C41" t="s">
        <v>4203</v>
      </c>
      <c r="D41" t="s">
        <v>164</v>
      </c>
      <c r="E41" s="12">
        <v>42075</v>
      </c>
      <c r="G41" t="s">
        <v>4203</v>
      </c>
      <c r="H41" t="s">
        <v>4254</v>
      </c>
      <c r="I41" t="str">
        <f>T_MATCHSUM[[#This Row],[Match Number]]&amp;" "&amp;T_MATCHSUM[[#This Row],[TEAM ONE]]&amp;" Vs "&amp;T_MATCHSUM[[#This Row],[TEAM TWO]]</f>
        <v>36 SOUTH AFRICA Vs UAE</v>
      </c>
      <c r="J41" t="str">
        <f>IF(T_MATCHSUM[[#This Row],[RESULT]]="ABAN","",IF(T_MATCHSUM[[#This Row],[TEAM ONE]]=T_MATCHSUM[[#This Row],[WINNER]],T_MATCHSUM[[#This Row],[TEAM TWO]],T_MATCHSUM[[#This Row],[TEAM ONE]]))</f>
        <v>UAE</v>
      </c>
    </row>
    <row r="42" spans="1:11" x14ac:dyDescent="0.3">
      <c r="A42">
        <v>37</v>
      </c>
      <c r="B42" t="s">
        <v>4202</v>
      </c>
      <c r="C42" t="s">
        <v>4218</v>
      </c>
      <c r="D42" t="s">
        <v>4195</v>
      </c>
      <c r="E42" s="12">
        <v>42076</v>
      </c>
      <c r="G42" t="s">
        <v>4195</v>
      </c>
      <c r="H42" t="s">
        <v>4216</v>
      </c>
      <c r="I42" t="str">
        <f>T_MATCHSUM[[#This Row],[Match Number]]&amp;" "&amp;T_MATCHSUM[[#This Row],[TEAM ONE]]&amp;" Vs "&amp;T_MATCHSUM[[#This Row],[TEAM TWO]]</f>
        <v>37 BANGLADESH Vs NEW ZEALAND</v>
      </c>
      <c r="J42" t="str">
        <f>IF(T_MATCHSUM[[#This Row],[RESULT]]="ABAN","",IF(T_MATCHSUM[[#This Row],[TEAM ONE]]=T_MATCHSUM[[#This Row],[WINNER]],T_MATCHSUM[[#This Row],[TEAM TWO]],T_MATCHSUM[[#This Row],[TEAM ONE]]))</f>
        <v>BANGLADESH</v>
      </c>
    </row>
    <row r="43" spans="1:11" x14ac:dyDescent="0.3">
      <c r="A43">
        <v>38</v>
      </c>
      <c r="B43" t="s">
        <v>4237</v>
      </c>
      <c r="C43" t="s">
        <v>4219</v>
      </c>
      <c r="D43" t="s">
        <v>4200</v>
      </c>
      <c r="E43" s="12">
        <v>42076</v>
      </c>
      <c r="G43" t="s">
        <v>4200</v>
      </c>
      <c r="H43" t="s">
        <v>4241</v>
      </c>
      <c r="I43" t="str">
        <f>T_MATCHSUM[[#This Row],[Match Number]]&amp;" "&amp;T_MATCHSUM[[#This Row],[TEAM ONE]]&amp;" Vs "&amp;T_MATCHSUM[[#This Row],[TEAM TWO]]</f>
        <v>38 AFGHANISTAN Vs ENGLAND</v>
      </c>
      <c r="J43" t="str">
        <f>IF(T_MATCHSUM[[#This Row],[RESULT]]="ABAN","",IF(T_MATCHSUM[[#This Row],[TEAM ONE]]=T_MATCHSUM[[#This Row],[WINNER]],T_MATCHSUM[[#This Row],[TEAM TWO]],T_MATCHSUM[[#This Row],[TEAM ONE]]))</f>
        <v>AFGHANISTAN</v>
      </c>
      <c r="K43" t="s">
        <v>4233</v>
      </c>
    </row>
    <row r="44" spans="1:11" x14ac:dyDescent="0.3">
      <c r="A44">
        <v>39</v>
      </c>
      <c r="B44" t="s">
        <v>4239</v>
      </c>
      <c r="C44" t="s">
        <v>4204</v>
      </c>
      <c r="D44" t="s">
        <v>4207</v>
      </c>
      <c r="E44" s="12">
        <v>42077</v>
      </c>
      <c r="G44" t="s">
        <v>4207</v>
      </c>
      <c r="H44" t="s">
        <v>4247</v>
      </c>
      <c r="I44" t="str">
        <f>T_MATCHSUM[[#This Row],[Match Number]]&amp;" "&amp;T_MATCHSUM[[#This Row],[TEAM ONE]]&amp;" Vs "&amp;T_MATCHSUM[[#This Row],[TEAM TWO]]</f>
        <v>39 ZIMBABWE Vs INDIA</v>
      </c>
      <c r="J44" t="str">
        <f>IF(T_MATCHSUM[[#This Row],[RESULT]]="ABAN","",IF(T_MATCHSUM[[#This Row],[TEAM ONE]]=T_MATCHSUM[[#This Row],[WINNER]],T_MATCHSUM[[#This Row],[TEAM TWO]],T_MATCHSUM[[#This Row],[TEAM ONE]]))</f>
        <v>ZIMBABWE</v>
      </c>
    </row>
    <row r="45" spans="1:11" x14ac:dyDescent="0.3">
      <c r="A45">
        <v>40</v>
      </c>
      <c r="B45" t="s">
        <v>4249</v>
      </c>
      <c r="C45" t="s">
        <v>4215</v>
      </c>
      <c r="D45" t="s">
        <v>4199</v>
      </c>
      <c r="E45" s="12">
        <v>42077</v>
      </c>
      <c r="G45" t="s">
        <v>4199</v>
      </c>
      <c r="H45" t="s">
        <v>4255</v>
      </c>
      <c r="I45" t="str">
        <f>T_MATCHSUM[[#This Row],[Match Number]]&amp;" "&amp;T_MATCHSUM[[#This Row],[TEAM ONE]]&amp;" Vs "&amp;T_MATCHSUM[[#This Row],[TEAM TWO]]</f>
        <v>40 SCOTLAND Vs AUSTRALIA</v>
      </c>
      <c r="J45" t="str">
        <f>IF(T_MATCHSUM[[#This Row],[RESULT]]="ABAN","",IF(T_MATCHSUM[[#This Row],[TEAM ONE]]=T_MATCHSUM[[#This Row],[WINNER]],T_MATCHSUM[[#This Row],[TEAM TWO]],T_MATCHSUM[[#This Row],[TEAM ONE]]))</f>
        <v>SCOTLAND</v>
      </c>
    </row>
    <row r="46" spans="1:11" x14ac:dyDescent="0.3">
      <c r="A46">
        <v>41</v>
      </c>
      <c r="B46" t="s">
        <v>4244</v>
      </c>
      <c r="C46" t="s">
        <v>164</v>
      </c>
      <c r="D46" t="s">
        <v>4211</v>
      </c>
      <c r="E46" s="12">
        <v>42078</v>
      </c>
      <c r="G46" t="s">
        <v>4211</v>
      </c>
      <c r="H46" t="s">
        <v>4247</v>
      </c>
      <c r="I46" t="str">
        <f>T_MATCHSUM[[#This Row],[Match Number]]&amp;" "&amp;T_MATCHSUM[[#This Row],[TEAM ONE]]&amp;" Vs "&amp;T_MATCHSUM[[#This Row],[TEAM TWO]]</f>
        <v>41 UAE Vs WEST INDIES</v>
      </c>
      <c r="J46" t="str">
        <f>IF(T_MATCHSUM[[#This Row],[RESULT]]="ABAN","",IF(T_MATCHSUM[[#This Row],[TEAM ONE]]=T_MATCHSUM[[#This Row],[WINNER]],T_MATCHSUM[[#This Row],[TEAM TWO]],T_MATCHSUM[[#This Row],[TEAM ONE]]))</f>
        <v>UAE</v>
      </c>
    </row>
    <row r="47" spans="1:11" x14ac:dyDescent="0.3">
      <c r="A47">
        <v>42</v>
      </c>
      <c r="B47" t="s">
        <v>4206</v>
      </c>
      <c r="C47" t="s">
        <v>4212</v>
      </c>
      <c r="D47" t="s">
        <v>4208</v>
      </c>
      <c r="E47" s="12">
        <v>42078</v>
      </c>
      <c r="G47" t="s">
        <v>4208</v>
      </c>
      <c r="H47" t="s">
        <v>4255</v>
      </c>
      <c r="I47" t="str">
        <f>T_MATCHSUM[[#This Row],[Match Number]]&amp;" "&amp;T_MATCHSUM[[#This Row],[TEAM ONE]]&amp;" Vs "&amp;T_MATCHSUM[[#This Row],[TEAM TWO]]</f>
        <v>42 IRELAND Vs PAKISTAN</v>
      </c>
      <c r="J47" t="str">
        <f>IF(T_MATCHSUM[[#This Row],[RESULT]]="ABAN","",IF(T_MATCHSUM[[#This Row],[TEAM ONE]]=T_MATCHSUM[[#This Row],[WINNER]],T_MATCHSUM[[#This Row],[TEAM TWO]],T_MATCHSUM[[#This Row],[TEAM ONE]]))</f>
        <v>IRELAND</v>
      </c>
    </row>
    <row r="48" spans="1:11" x14ac:dyDescent="0.3">
      <c r="A48">
        <v>43</v>
      </c>
      <c r="B48" t="s">
        <v>4237</v>
      </c>
      <c r="C48" t="s">
        <v>4196</v>
      </c>
      <c r="D48" t="s">
        <v>4203</v>
      </c>
      <c r="E48" s="12">
        <v>42081</v>
      </c>
      <c r="G48" t="s">
        <v>4203</v>
      </c>
      <c r="H48" t="s">
        <v>4241</v>
      </c>
      <c r="I48" t="str">
        <f>T_MATCHSUM[[#This Row],[Match Number]]&amp;" "&amp;T_MATCHSUM[[#This Row],[TEAM ONE]]&amp;" Vs "&amp;T_MATCHSUM[[#This Row],[TEAM TWO]]</f>
        <v>43 SRI LANKA Vs SOUTH AFRICA</v>
      </c>
      <c r="J48" t="str">
        <f>IF(T_MATCHSUM[[#This Row],[RESULT]]="ABAN","",IF(T_MATCHSUM[[#This Row],[TEAM ONE]]=T_MATCHSUM[[#This Row],[WINNER]],T_MATCHSUM[[#This Row],[TEAM TWO]],T_MATCHSUM[[#This Row],[TEAM ONE]]))</f>
        <v>SRI LANKA</v>
      </c>
    </row>
    <row r="49" spans="1:11" x14ac:dyDescent="0.3">
      <c r="A49">
        <v>44</v>
      </c>
      <c r="B49" t="s">
        <v>4198</v>
      </c>
      <c r="C49" t="s">
        <v>4207</v>
      </c>
      <c r="D49" t="s">
        <v>4218</v>
      </c>
      <c r="E49" s="12">
        <v>42082</v>
      </c>
      <c r="G49" t="s">
        <v>4207</v>
      </c>
      <c r="H49" t="s">
        <v>4256</v>
      </c>
      <c r="I49" t="str">
        <f>T_MATCHSUM[[#This Row],[Match Number]]&amp;" "&amp;T_MATCHSUM[[#This Row],[TEAM ONE]]&amp;" Vs "&amp;T_MATCHSUM[[#This Row],[TEAM TWO]]</f>
        <v>44 INDIA Vs BANGLADESH</v>
      </c>
      <c r="J49" t="str">
        <f>IF(T_MATCHSUM[[#This Row],[RESULT]]="ABAN","",IF(T_MATCHSUM[[#This Row],[TEAM ONE]]=T_MATCHSUM[[#This Row],[WINNER]],T_MATCHSUM[[#This Row],[TEAM TWO]],T_MATCHSUM[[#This Row],[TEAM ONE]]))</f>
        <v>BANGLADESH</v>
      </c>
    </row>
    <row r="50" spans="1:11" x14ac:dyDescent="0.3">
      <c r="A50">
        <v>45</v>
      </c>
      <c r="B50" t="s">
        <v>4206</v>
      </c>
      <c r="C50" t="s">
        <v>4208</v>
      </c>
      <c r="D50" t="s">
        <v>4199</v>
      </c>
      <c r="E50" s="12">
        <v>42083</v>
      </c>
      <c r="G50" t="s">
        <v>4199</v>
      </c>
      <c r="H50" t="s">
        <v>4247</v>
      </c>
      <c r="I50" t="str">
        <f>T_MATCHSUM[[#This Row],[Match Number]]&amp;" "&amp;T_MATCHSUM[[#This Row],[TEAM ONE]]&amp;" Vs "&amp;T_MATCHSUM[[#This Row],[TEAM TWO]]</f>
        <v>45 PAKISTAN Vs AUSTRALIA</v>
      </c>
      <c r="J50" t="str">
        <f>IF(T_MATCHSUM[[#This Row],[RESULT]]="ABAN","",IF(T_MATCHSUM[[#This Row],[TEAM ONE]]=T_MATCHSUM[[#This Row],[WINNER]],T_MATCHSUM[[#This Row],[TEAM TWO]],T_MATCHSUM[[#This Row],[TEAM ONE]]))</f>
        <v>PAKISTAN</v>
      </c>
    </row>
    <row r="51" spans="1:11" x14ac:dyDescent="0.3">
      <c r="A51">
        <v>46</v>
      </c>
      <c r="B51" t="s">
        <v>4221</v>
      </c>
      <c r="C51" t="s">
        <v>4195</v>
      </c>
      <c r="D51" t="s">
        <v>4211</v>
      </c>
      <c r="E51" s="12">
        <v>42084</v>
      </c>
      <c r="G51" t="s">
        <v>4195</v>
      </c>
      <c r="H51" t="s">
        <v>4257</v>
      </c>
      <c r="I51" t="str">
        <f>T_MATCHSUM[[#This Row],[Match Number]]&amp;" "&amp;T_MATCHSUM[[#This Row],[TEAM ONE]]&amp;" Vs "&amp;T_MATCHSUM[[#This Row],[TEAM TWO]]</f>
        <v>46 NEW ZEALAND Vs WEST INDIES</v>
      </c>
      <c r="J51" t="str">
        <f>IF(T_MATCHSUM[[#This Row],[RESULT]]="ABAN","",IF(T_MATCHSUM[[#This Row],[TEAM ONE]]=T_MATCHSUM[[#This Row],[WINNER]],T_MATCHSUM[[#This Row],[TEAM TWO]],T_MATCHSUM[[#This Row],[TEAM ONE]]))</f>
        <v>WEST INDIES</v>
      </c>
    </row>
    <row r="52" spans="1:11" x14ac:dyDescent="0.3">
      <c r="A52">
        <v>47</v>
      </c>
      <c r="B52" t="s">
        <v>4239</v>
      </c>
      <c r="C52" t="s">
        <v>4203</v>
      </c>
      <c r="D52" t="s">
        <v>4195</v>
      </c>
      <c r="E52" s="12">
        <v>42087</v>
      </c>
      <c r="G52" t="s">
        <v>4195</v>
      </c>
      <c r="H52" t="s">
        <v>4213</v>
      </c>
      <c r="I52" t="str">
        <f>T_MATCHSUM[[#This Row],[Match Number]]&amp;" "&amp;T_MATCHSUM[[#This Row],[TEAM ONE]]&amp;" Vs "&amp;T_MATCHSUM[[#This Row],[TEAM TWO]]</f>
        <v>47 SOUTH AFRICA Vs NEW ZEALAND</v>
      </c>
      <c r="J52" t="str">
        <f>IF(T_MATCHSUM[[#This Row],[RESULT]]="ABAN","",IF(T_MATCHSUM[[#This Row],[TEAM ONE]]=T_MATCHSUM[[#This Row],[WINNER]],T_MATCHSUM[[#This Row],[TEAM TWO]],T_MATCHSUM[[#This Row],[TEAM ONE]]))</f>
        <v>SOUTH AFRICA</v>
      </c>
      <c r="K52" t="s">
        <v>4233</v>
      </c>
    </row>
    <row r="53" spans="1:11" x14ac:dyDescent="0.3">
      <c r="A53">
        <v>48</v>
      </c>
      <c r="B53" t="s">
        <v>4237</v>
      </c>
      <c r="C53" t="s">
        <v>4199</v>
      </c>
      <c r="D53" t="s">
        <v>4207</v>
      </c>
      <c r="E53" s="12">
        <v>42089</v>
      </c>
      <c r="G53" t="s">
        <v>4199</v>
      </c>
      <c r="H53" t="s">
        <v>4258</v>
      </c>
      <c r="I53" t="str">
        <f>T_MATCHSUM[[#This Row],[Match Number]]&amp;" "&amp;T_MATCHSUM[[#This Row],[TEAM ONE]]&amp;" Vs "&amp;T_MATCHSUM[[#This Row],[TEAM TWO]]</f>
        <v>48 AUSTRALIA Vs INDIA</v>
      </c>
      <c r="J53" t="str">
        <f>IF(T_MATCHSUM[[#This Row],[RESULT]]="ABAN","",IF(T_MATCHSUM[[#This Row],[TEAM ONE]]=T_MATCHSUM[[#This Row],[WINNER]],T_MATCHSUM[[#This Row],[TEAM TWO]],T_MATCHSUM[[#This Row],[TEAM ONE]]))</f>
        <v>INDIA</v>
      </c>
    </row>
    <row r="54" spans="1:11" x14ac:dyDescent="0.3">
      <c r="A54">
        <v>49</v>
      </c>
      <c r="B54" t="s">
        <v>4198</v>
      </c>
      <c r="C54" t="s">
        <v>4195</v>
      </c>
      <c r="D54" t="s">
        <v>4199</v>
      </c>
      <c r="E54" s="12">
        <v>42092</v>
      </c>
      <c r="G54" t="s">
        <v>4199</v>
      </c>
      <c r="H54" t="s">
        <v>4255</v>
      </c>
      <c r="I54" t="str">
        <f>T_MATCHSUM[[#This Row],[Match Number]]&amp;" "&amp;T_MATCHSUM[[#This Row],[TEAM ONE]]&amp;" Vs "&amp;T_MATCHSUM[[#This Row],[TEAM TWO]]</f>
        <v>49 NEW ZEALAND Vs AUSTRALIA</v>
      </c>
      <c r="J54" t="str">
        <f>IF(T_MATCHSUM[[#This Row],[RESULT]]="ABAN","",IF(T_MATCHSUM[[#This Row],[TEAM ONE]]=T_MATCHSUM[[#This Row],[WINNER]],T_MATCHSUM[[#This Row],[TEAM TWO]],T_MATCHSUM[[#This Row],[TEAM ONE]]))</f>
        <v>NEW ZEALAND</v>
      </c>
    </row>
  </sheetData>
  <pageMargins left="0.7" right="0.7" top="0.75" bottom="0.75" header="0.3" footer="0.3"/>
  <pageSetup orientation="portrait" horizontalDpi="4294967293" verticalDpi="20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4:F25"/>
  <sheetViews>
    <sheetView workbookViewId="0"/>
  </sheetViews>
  <sheetFormatPr defaultRowHeight="14.4" x14ac:dyDescent="0.3"/>
  <cols>
    <col min="1" max="1" width="22.44140625" customWidth="1"/>
    <col min="2" max="2" width="12.6640625" customWidth="1"/>
    <col min="3" max="3" width="12" customWidth="1"/>
    <col min="4" max="4" width="10" customWidth="1"/>
  </cols>
  <sheetData>
    <row r="4" spans="1:6" x14ac:dyDescent="0.3">
      <c r="A4" t="s">
        <v>4259</v>
      </c>
      <c r="B4" t="s">
        <v>4260</v>
      </c>
      <c r="C4" t="s">
        <v>4261</v>
      </c>
      <c r="D4" t="s">
        <v>4262</v>
      </c>
      <c r="E4" t="s">
        <v>4263</v>
      </c>
      <c r="F4" t="s">
        <v>4264</v>
      </c>
    </row>
    <row r="5" spans="1:6" ht="39.9" customHeight="1" x14ac:dyDescent="0.3">
      <c r="A5" t="s">
        <v>4219</v>
      </c>
      <c r="B5" s="13"/>
      <c r="C5" t="s">
        <v>4265</v>
      </c>
      <c r="D5" s="14"/>
      <c r="F5" t="s">
        <v>4266</v>
      </c>
    </row>
    <row r="6" spans="1:6" ht="39.9" customHeight="1" x14ac:dyDescent="0.3">
      <c r="A6" t="s">
        <v>4199</v>
      </c>
      <c r="B6" s="13"/>
      <c r="C6" t="s">
        <v>4267</v>
      </c>
      <c r="D6" s="15"/>
      <c r="F6" t="s">
        <v>4266</v>
      </c>
    </row>
    <row r="7" spans="1:6" ht="39.9" customHeight="1" x14ac:dyDescent="0.3">
      <c r="A7" t="s">
        <v>4218</v>
      </c>
      <c r="B7" s="13"/>
      <c r="C7" t="s">
        <v>4268</v>
      </c>
      <c r="D7" s="16"/>
      <c r="F7" t="s">
        <v>4266</v>
      </c>
    </row>
    <row r="8" spans="1:6" ht="39.9" customHeight="1" x14ac:dyDescent="0.3">
      <c r="A8" t="s">
        <v>4200</v>
      </c>
      <c r="B8" s="13"/>
      <c r="C8" t="s">
        <v>4269</v>
      </c>
      <c r="D8" s="17"/>
      <c r="F8" t="s">
        <v>4266</v>
      </c>
    </row>
    <row r="9" spans="1:6" ht="39.9" customHeight="1" x14ac:dyDescent="0.3">
      <c r="A9" t="s">
        <v>4207</v>
      </c>
      <c r="B9" s="13"/>
      <c r="C9" t="s">
        <v>4270</v>
      </c>
      <c r="D9" s="18"/>
      <c r="F9" t="s">
        <v>93</v>
      </c>
    </row>
    <row r="10" spans="1:6" ht="39.9" customHeight="1" x14ac:dyDescent="0.3">
      <c r="A10" t="s">
        <v>4212</v>
      </c>
      <c r="B10" s="13"/>
      <c r="C10" t="s">
        <v>4271</v>
      </c>
      <c r="D10" s="19"/>
      <c r="F10" t="s">
        <v>93</v>
      </c>
    </row>
    <row r="11" spans="1:6" ht="39.9" customHeight="1" x14ac:dyDescent="0.3">
      <c r="A11" t="s">
        <v>4195</v>
      </c>
      <c r="B11" s="13"/>
      <c r="C11" t="s">
        <v>4272</v>
      </c>
      <c r="D11" s="20"/>
      <c r="F11" t="s">
        <v>4266</v>
      </c>
    </row>
    <row r="12" spans="1:6" ht="39.9" customHeight="1" x14ac:dyDescent="0.3">
      <c r="A12" t="s">
        <v>4208</v>
      </c>
      <c r="B12" s="13"/>
      <c r="C12" t="s">
        <v>4273</v>
      </c>
      <c r="D12" s="21"/>
      <c r="F12" t="s">
        <v>93</v>
      </c>
    </row>
    <row r="13" spans="1:6" ht="39.9" customHeight="1" x14ac:dyDescent="0.3">
      <c r="A13" t="s">
        <v>4215</v>
      </c>
      <c r="B13" s="13"/>
      <c r="C13" t="s">
        <v>4274</v>
      </c>
      <c r="D13" s="23"/>
      <c r="F13" t="s">
        <v>4266</v>
      </c>
    </row>
    <row r="14" spans="1:6" ht="39.9" customHeight="1" x14ac:dyDescent="0.3">
      <c r="A14" t="s">
        <v>4203</v>
      </c>
      <c r="B14" s="13"/>
      <c r="C14" t="s">
        <v>4275</v>
      </c>
      <c r="D14" s="22"/>
      <c r="F14" t="s">
        <v>93</v>
      </c>
    </row>
    <row r="15" spans="1:6" ht="39.9" customHeight="1" x14ac:dyDescent="0.3">
      <c r="A15" t="s">
        <v>4196</v>
      </c>
      <c r="B15" s="13"/>
      <c r="C15" t="s">
        <v>4276</v>
      </c>
      <c r="D15" s="24"/>
      <c r="F15" t="s">
        <v>4266</v>
      </c>
    </row>
    <row r="16" spans="1:6" ht="39.9" customHeight="1" x14ac:dyDescent="0.3">
      <c r="A16" t="s">
        <v>164</v>
      </c>
      <c r="B16" s="13"/>
      <c r="C16" t="s">
        <v>164</v>
      </c>
      <c r="D16" s="26"/>
      <c r="F16" t="s">
        <v>93</v>
      </c>
    </row>
    <row r="17" spans="1:6" ht="39.9" customHeight="1" x14ac:dyDescent="0.3">
      <c r="A17" t="s">
        <v>4211</v>
      </c>
      <c r="B17" s="13"/>
      <c r="C17" t="s">
        <v>4277</v>
      </c>
      <c r="D17" s="25"/>
      <c r="F17" t="s">
        <v>93</v>
      </c>
    </row>
    <row r="18" spans="1:6" ht="39.9" customHeight="1" x14ac:dyDescent="0.3">
      <c r="A18" t="s">
        <v>4204</v>
      </c>
      <c r="B18" s="13"/>
      <c r="C18" t="s">
        <v>4278</v>
      </c>
      <c r="D18" s="27"/>
      <c r="F18" t="s">
        <v>93</v>
      </c>
    </row>
    <row r="19" spans="1:6" ht="39.9" customHeight="1" x14ac:dyDescent="0.3"/>
    <row r="20" spans="1:6" ht="39.9" customHeight="1" x14ac:dyDescent="0.3"/>
    <row r="21" spans="1:6" ht="39.9" customHeight="1" x14ac:dyDescent="0.3"/>
    <row r="22" spans="1:6" ht="39.9" customHeight="1" x14ac:dyDescent="0.3"/>
    <row r="23" spans="1:6" ht="39.9" customHeight="1" x14ac:dyDescent="0.3"/>
    <row r="24" spans="1:6" ht="39.9" customHeight="1" x14ac:dyDescent="0.3"/>
    <row r="25" spans="1:6" ht="39.9" customHeight="1" x14ac:dyDescent="0.3"/>
  </sheetData>
  <conditionalFormatting sqref="D5">
    <cfRule type="expression" dxfId="6" priority="1">
      <formula>$C5="ZIM"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I133"/>
  <sheetViews>
    <sheetView showGridLines="0" topLeftCell="A5" workbookViewId="0">
      <selection activeCell="M20" sqref="M20:O47"/>
    </sheetView>
  </sheetViews>
  <sheetFormatPr defaultRowHeight="14.4" outlineLevelCol="1" x14ac:dyDescent="0.3"/>
  <cols>
    <col min="2" max="2" width="61.5546875" customWidth="1" outlineLevel="1"/>
    <col min="3" max="3" width="16.109375" customWidth="1" outlineLevel="1"/>
    <col min="4" max="4" width="9.5546875" customWidth="1" outlineLevel="1"/>
    <col min="5" max="5" width="13.5546875" customWidth="1" outlineLevel="1"/>
    <col min="6" max="6" width="31.88671875" bestFit="1" customWidth="1"/>
    <col min="7" max="7" width="9.5546875" bestFit="1" customWidth="1"/>
    <col min="8" max="8" width="16" style="144" bestFit="1" customWidth="1"/>
    <col min="9" max="9" width="6.77734375" bestFit="1" customWidth="1"/>
    <col min="10" max="10" width="6.88671875" bestFit="1" customWidth="1"/>
    <col min="11" max="11" width="7.44140625" bestFit="1" customWidth="1"/>
    <col min="12" max="12" width="16" style="144" bestFit="1" customWidth="1"/>
    <col min="13" max="13" width="6.6640625" bestFit="1" customWidth="1"/>
    <col min="14" max="14" width="6.77734375" bestFit="1" customWidth="1"/>
    <col min="15" max="15" width="7.21875" bestFit="1" customWidth="1"/>
    <col min="16" max="16" width="6.109375" bestFit="1" customWidth="1"/>
    <col min="17" max="17" width="10.6640625" bestFit="1" customWidth="1"/>
    <col min="18" max="18" width="7" bestFit="1" customWidth="1"/>
    <col min="19" max="19" width="7.5546875" bestFit="1" customWidth="1"/>
    <col min="20" max="20" width="32.33203125" style="144" bestFit="1" customWidth="1"/>
    <col min="21" max="21" width="11.6640625" bestFit="1" customWidth="1"/>
    <col min="22" max="22" width="6.44140625" bestFit="1" customWidth="1"/>
    <col min="23" max="23" width="1.5546875" customWidth="1" outlineLevel="1"/>
    <col min="24" max="24" width="30" customWidth="1" outlineLevel="1"/>
    <col min="25" max="25" width="6.21875" customWidth="1" outlineLevel="1"/>
    <col min="26" max="26" width="5.21875" customWidth="1" outlineLevel="1"/>
    <col min="27" max="27" width="10.44140625" customWidth="1" outlineLevel="1"/>
    <col min="28" max="28" width="10.33203125" customWidth="1" outlineLevel="1"/>
    <col min="29" max="30" width="16" customWidth="1" outlineLevel="1"/>
    <col min="31" max="31" width="1.5546875" customWidth="1" outlineLevel="1"/>
    <col min="32" max="32" width="22.109375" customWidth="1" outlineLevel="1"/>
    <col min="33" max="33" width="10.44140625" customWidth="1" outlineLevel="1"/>
    <col min="34" max="34" width="29.6640625" customWidth="1" outlineLevel="1"/>
    <col min="35" max="35" width="9.109375" customWidth="1" outlineLevel="1"/>
  </cols>
  <sheetData>
    <row r="2" spans="2:34" ht="25.8" customHeight="1" x14ac:dyDescent="0.5">
      <c r="B2" s="286" t="s">
        <v>0</v>
      </c>
      <c r="C2" s="287"/>
      <c r="D2" s="287"/>
      <c r="E2" s="287"/>
      <c r="F2" s="287"/>
      <c r="G2" s="287"/>
      <c r="H2" s="288"/>
      <c r="I2" s="287"/>
      <c r="J2" s="287"/>
      <c r="K2" s="287"/>
      <c r="L2" s="288"/>
      <c r="M2" s="287"/>
      <c r="N2" s="287"/>
      <c r="O2" s="287"/>
      <c r="P2" s="287"/>
      <c r="Q2" s="287"/>
      <c r="R2" s="287"/>
      <c r="S2" s="287"/>
      <c r="T2" s="288"/>
    </row>
    <row r="3" spans="2:34" ht="15" customHeight="1" thickBot="1" x14ac:dyDescent="0.35"/>
    <row r="4" spans="2:34" ht="26.4" customHeight="1" thickBot="1" x14ac:dyDescent="0.55000000000000004">
      <c r="F4" s="131" t="s">
        <v>1</v>
      </c>
      <c r="G4" s="132"/>
      <c r="H4" s="147"/>
      <c r="I4" s="132"/>
      <c r="J4" s="133"/>
      <c r="K4" s="292" t="s">
        <v>2</v>
      </c>
      <c r="L4" s="293"/>
      <c r="M4" s="293"/>
      <c r="N4" s="294"/>
      <c r="O4" s="296" t="s">
        <v>3</v>
      </c>
      <c r="P4" s="287"/>
      <c r="Q4" s="287"/>
      <c r="R4" s="287"/>
      <c r="S4" s="287"/>
      <c r="T4" s="288"/>
    </row>
    <row r="5" spans="2:34" ht="15" customHeight="1" thickBot="1" x14ac:dyDescent="0.35"/>
    <row r="6" spans="2:34" ht="27.9" customHeight="1" thickBot="1" x14ac:dyDescent="0.35">
      <c r="B6" s="304" t="s">
        <v>4</v>
      </c>
      <c r="C6" s="302"/>
      <c r="D6" s="302"/>
      <c r="F6" s="298" t="s">
        <v>5</v>
      </c>
      <c r="G6" s="299"/>
      <c r="H6" s="299"/>
      <c r="I6" s="299"/>
      <c r="J6" s="299"/>
      <c r="K6" s="299"/>
      <c r="L6" s="299"/>
      <c r="M6" s="299"/>
      <c r="N6" s="299"/>
      <c r="O6" s="299"/>
      <c r="P6" s="299"/>
      <c r="Q6" s="300"/>
      <c r="AC6" s="167" t="s">
        <v>6</v>
      </c>
      <c r="AD6" s="168" t="s">
        <v>7</v>
      </c>
    </row>
    <row r="7" spans="2:34" ht="21.9" customHeight="1" thickBot="1" x14ac:dyDescent="0.35">
      <c r="B7" s="270" t="s">
        <v>8</v>
      </c>
      <c r="C7" s="13"/>
      <c r="D7" s="271">
        <f>SUM($AD$7:$AD$10)</f>
        <v>19</v>
      </c>
      <c r="E7" s="166"/>
      <c r="F7" s="252" t="s">
        <v>9</v>
      </c>
      <c r="G7" s="253" t="s">
        <v>10</v>
      </c>
      <c r="H7" s="253" t="s">
        <v>11</v>
      </c>
      <c r="I7" s="253" t="s">
        <v>12</v>
      </c>
      <c r="J7" s="253" t="s">
        <v>13</v>
      </c>
      <c r="K7" s="253" t="s">
        <v>14</v>
      </c>
      <c r="L7" s="253" t="s">
        <v>15</v>
      </c>
      <c r="M7" s="253" t="s">
        <v>16</v>
      </c>
      <c r="N7" s="253" t="s">
        <v>17</v>
      </c>
      <c r="O7" s="253" t="s">
        <v>18</v>
      </c>
      <c r="P7" s="253" t="s">
        <v>19</v>
      </c>
      <c r="Q7" s="253" t="s">
        <v>20</v>
      </c>
      <c r="AC7" s="250" t="s">
        <v>21</v>
      </c>
      <c r="AD7" s="169">
        <v>3</v>
      </c>
    </row>
    <row r="8" spans="2:34" ht="15" customHeight="1" thickBot="1" x14ac:dyDescent="0.35">
      <c r="B8" s="270" t="s">
        <v>22</v>
      </c>
      <c r="C8" s="13"/>
      <c r="D8" s="272">
        <v>4</v>
      </c>
      <c r="E8" s="164"/>
      <c r="F8" s="254">
        <f t="array" ref="F8:Q9">_xlfn.LET(_xlpm.team,$K$4,_xlpm.data,$F$20:$Q$131,_xlpm.rows,_xlfn._xlws.FILTER(_xlpm.data,(($H$20:$H$131=_xlpm.team)+($L$20:$L$131=_xlpm.team))*($F$20:$F$131&lt;&gt;""),"No matches found for selected team"),_xlpm.rows)</f>
        <v>2</v>
      </c>
      <c r="G8" s="255" t="str">
        <v>Elite</v>
      </c>
      <c r="H8" s="256" t="str">
        <v>Ritesh</v>
      </c>
      <c r="I8" s="255">
        <v>0</v>
      </c>
      <c r="J8" s="255">
        <v>0</v>
      </c>
      <c r="K8" s="255">
        <v>0</v>
      </c>
      <c r="L8" s="256" t="str">
        <v>Manish</v>
      </c>
      <c r="M8" s="255">
        <v>0</v>
      </c>
      <c r="N8" s="255">
        <v>0</v>
      </c>
      <c r="O8" s="255">
        <v>0</v>
      </c>
      <c r="P8" s="255" t="str">
        <v/>
      </c>
      <c r="Q8" s="257" t="str">
        <v/>
      </c>
      <c r="AC8" s="250" t="s">
        <v>23</v>
      </c>
      <c r="AD8" s="169">
        <v>6</v>
      </c>
    </row>
    <row r="9" spans="2:34" ht="15" customHeight="1" thickBot="1" x14ac:dyDescent="0.35">
      <c r="B9" s="270" t="s">
        <v>24</v>
      </c>
      <c r="C9" s="13"/>
      <c r="D9" s="271">
        <v>10</v>
      </c>
      <c r="E9" s="164"/>
      <c r="F9" s="254">
        <v>3</v>
      </c>
      <c r="G9" s="255" t="str">
        <v>Elite</v>
      </c>
      <c r="H9" s="256" t="str">
        <v>Nyx668</v>
      </c>
      <c r="I9" s="255">
        <v>0</v>
      </c>
      <c r="J9" s="255">
        <v>0</v>
      </c>
      <c r="K9" s="255">
        <v>0</v>
      </c>
      <c r="L9" s="256" t="str">
        <v>Manish</v>
      </c>
      <c r="M9" s="255">
        <v>0</v>
      </c>
      <c r="N9" s="255">
        <v>0</v>
      </c>
      <c r="O9" s="255">
        <v>0</v>
      </c>
      <c r="P9" s="255" t="str">
        <v/>
      </c>
      <c r="Q9" s="257" t="str">
        <v/>
      </c>
      <c r="AC9" s="250" t="s">
        <v>25</v>
      </c>
      <c r="AD9" s="169">
        <v>5</v>
      </c>
    </row>
    <row r="10" spans="2:34" ht="15" customHeight="1" thickBot="1" x14ac:dyDescent="0.35">
      <c r="B10" s="270" t="s">
        <v>26</v>
      </c>
      <c r="C10" s="13"/>
      <c r="D10" s="273" t="s">
        <v>27</v>
      </c>
      <c r="E10" s="164"/>
      <c r="F10" s="254"/>
      <c r="G10" s="255"/>
      <c r="H10" s="256"/>
      <c r="I10" s="255"/>
      <c r="J10" s="255"/>
      <c r="K10" s="255"/>
      <c r="L10" s="256"/>
      <c r="M10" s="255"/>
      <c r="N10" s="255"/>
      <c r="O10" s="255"/>
      <c r="P10" s="255"/>
      <c r="Q10" s="257"/>
      <c r="AC10" s="250" t="s">
        <v>28</v>
      </c>
      <c r="AD10" s="169">
        <v>5</v>
      </c>
    </row>
    <row r="11" spans="2:34" ht="15" customHeight="1" thickBot="1" x14ac:dyDescent="0.35">
      <c r="B11" s="274" t="s">
        <v>29</v>
      </c>
      <c r="D11" s="275" t="str">
        <f>COUNTA($C$20:$C$51)&amp;" / "&amp;$D$7</f>
        <v>19 / 19</v>
      </c>
      <c r="E11" s="165"/>
      <c r="F11" s="254"/>
      <c r="G11" s="255"/>
      <c r="H11" s="256"/>
      <c r="I11" s="255"/>
      <c r="J11" s="255"/>
      <c r="K11" s="255"/>
      <c r="L11" s="256"/>
      <c r="M11" s="255"/>
      <c r="N11" s="255"/>
      <c r="O11" s="255"/>
      <c r="P11" s="255"/>
      <c r="Q11" s="257"/>
    </row>
    <row r="12" spans="2:34" ht="16.2" customHeight="1" thickBot="1" x14ac:dyDescent="0.35">
      <c r="B12" s="301" t="s">
        <v>30</v>
      </c>
      <c r="C12" s="302"/>
      <c r="D12" s="302"/>
      <c r="F12" s="254"/>
      <c r="G12" s="255"/>
      <c r="H12" s="256"/>
      <c r="I12" s="255"/>
      <c r="J12" s="255"/>
      <c r="K12" s="255"/>
      <c r="L12" s="256"/>
      <c r="M12" s="255"/>
      <c r="N12" s="255"/>
      <c r="O12" s="255"/>
      <c r="P12" s="255"/>
      <c r="Q12" s="257"/>
    </row>
    <row r="13" spans="2:34" ht="15" customHeight="1" thickBot="1" x14ac:dyDescent="0.35">
      <c r="B13" s="276" t="s">
        <v>31</v>
      </c>
      <c r="C13" s="277" t="s">
        <v>32</v>
      </c>
      <c r="D13" s="31" t="s">
        <v>33</v>
      </c>
      <c r="F13" s="254"/>
      <c r="G13" s="255"/>
      <c r="H13" s="256"/>
      <c r="I13" s="255"/>
      <c r="J13" s="255"/>
      <c r="K13" s="255"/>
      <c r="L13" s="256"/>
      <c r="M13" s="255"/>
      <c r="N13" s="255"/>
      <c r="O13" s="255"/>
      <c r="P13" s="255"/>
      <c r="Q13" s="257"/>
    </row>
    <row r="14" spans="2:34" ht="15" customHeight="1" thickBot="1" x14ac:dyDescent="0.35">
      <c r="B14" s="278" t="s">
        <v>34</v>
      </c>
      <c r="C14" t="s">
        <v>32</v>
      </c>
      <c r="D14" s="279" t="s">
        <v>35</v>
      </c>
      <c r="F14" s="254"/>
      <c r="G14" s="255"/>
      <c r="H14" s="256"/>
      <c r="I14" s="255"/>
      <c r="J14" s="255"/>
      <c r="K14" s="255"/>
      <c r="L14" s="256"/>
      <c r="M14" s="255"/>
      <c r="N14" s="255"/>
      <c r="O14" s="255"/>
      <c r="P14" s="255"/>
      <c r="Q14" s="257"/>
    </row>
    <row r="15" spans="2:34" ht="15" customHeight="1" thickBot="1" x14ac:dyDescent="0.35">
      <c r="B15" s="278" t="s">
        <v>36</v>
      </c>
      <c r="C15" t="s">
        <v>32</v>
      </c>
      <c r="D15" s="279" t="s">
        <v>37</v>
      </c>
      <c r="F15" s="258"/>
      <c r="G15" s="259"/>
      <c r="H15" s="260"/>
      <c r="I15" s="259"/>
      <c r="J15" s="259"/>
      <c r="K15" s="259"/>
      <c r="L15" s="260"/>
      <c r="M15" s="259"/>
      <c r="N15" s="259"/>
      <c r="O15" s="259"/>
      <c r="P15" s="259"/>
      <c r="Q15" s="259"/>
      <c r="AF15" s="289" t="s">
        <v>38</v>
      </c>
      <c r="AG15" s="290"/>
      <c r="AH15" s="291"/>
    </row>
    <row r="16" spans="2:34" ht="15" customHeight="1" thickBot="1" x14ac:dyDescent="0.35">
      <c r="B16" s="280" t="s">
        <v>39</v>
      </c>
      <c r="C16" s="281" t="s">
        <v>32</v>
      </c>
      <c r="D16" s="282" t="s">
        <v>37</v>
      </c>
      <c r="F16" s="258"/>
      <c r="G16" s="259"/>
      <c r="H16" s="260"/>
      <c r="I16" s="259"/>
      <c r="J16" s="259"/>
      <c r="K16" s="259"/>
      <c r="L16" s="260"/>
      <c r="M16" s="259"/>
      <c r="N16" s="259"/>
      <c r="O16" s="259"/>
      <c r="P16" s="259"/>
      <c r="Q16" s="259"/>
      <c r="AF16" s="173" t="s">
        <v>40</v>
      </c>
      <c r="AG16" s="148">
        <f>MAX($AD$7:$AD$10)</f>
        <v>6</v>
      </c>
      <c r="AH16" s="174"/>
    </row>
    <row r="17" spans="2:34" ht="28.8" customHeight="1" x14ac:dyDescent="0.3">
      <c r="B17" s="283" t="s">
        <v>41</v>
      </c>
      <c r="C17" s="284"/>
      <c r="D17" s="285">
        <v>5</v>
      </c>
      <c r="F17" s="261"/>
      <c r="G17" s="262"/>
      <c r="H17" s="263"/>
      <c r="I17" s="262"/>
      <c r="J17" s="262"/>
      <c r="K17" s="262"/>
      <c r="L17" s="263"/>
      <c r="M17" s="262"/>
      <c r="N17" s="262"/>
      <c r="O17" s="262"/>
      <c r="P17" s="262"/>
      <c r="Q17" s="262"/>
      <c r="AF17" s="173" t="s">
        <v>42</v>
      </c>
      <c r="AG17" s="148">
        <f>AG16*(AG16-1)/2</f>
        <v>15</v>
      </c>
      <c r="AH17" s="175" t="s">
        <v>43</v>
      </c>
    </row>
    <row r="18" spans="2:34" ht="15.6" customHeight="1" x14ac:dyDescent="0.3">
      <c r="B18" s="297" t="s">
        <v>44</v>
      </c>
      <c r="C18" s="287"/>
      <c r="D18" s="287"/>
      <c r="F18" s="303" t="s">
        <v>45</v>
      </c>
      <c r="G18" s="302"/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X18" s="29" t="s">
        <v>46</v>
      </c>
      <c r="AF18" s="29" t="s">
        <v>47</v>
      </c>
    </row>
    <row r="19" spans="2:34" ht="28.8" customHeight="1" x14ac:dyDescent="0.3">
      <c r="B19" s="251" t="s">
        <v>48</v>
      </c>
      <c r="C19" s="251" t="s">
        <v>49</v>
      </c>
      <c r="D19" s="251" t="s">
        <v>10</v>
      </c>
      <c r="F19" s="155" t="s">
        <v>9</v>
      </c>
      <c r="G19" s="155" t="s">
        <v>10</v>
      </c>
      <c r="H19" s="156" t="s">
        <v>11</v>
      </c>
      <c r="I19" s="155" t="s">
        <v>12</v>
      </c>
      <c r="J19" s="155" t="s">
        <v>13</v>
      </c>
      <c r="K19" s="155" t="s">
        <v>14</v>
      </c>
      <c r="L19" s="156" t="s">
        <v>15</v>
      </c>
      <c r="M19" s="155" t="s">
        <v>16</v>
      </c>
      <c r="N19" s="155" t="s">
        <v>17</v>
      </c>
      <c r="O19" s="155" t="s">
        <v>18</v>
      </c>
      <c r="P19" s="157" t="s">
        <v>19</v>
      </c>
      <c r="Q19" s="157" t="s">
        <v>20</v>
      </c>
      <c r="R19" s="157" t="s">
        <v>50</v>
      </c>
      <c r="S19" s="155" t="s">
        <v>51</v>
      </c>
      <c r="T19" s="145" t="s">
        <v>52</v>
      </c>
      <c r="X19" s="37" t="s">
        <v>9</v>
      </c>
      <c r="Y19" s="37" t="s">
        <v>10</v>
      </c>
      <c r="Z19" s="37" t="s">
        <v>53</v>
      </c>
      <c r="AA19" s="37" t="s">
        <v>54</v>
      </c>
      <c r="AB19" s="37" t="s">
        <v>55</v>
      </c>
      <c r="AC19" s="37" t="s">
        <v>11</v>
      </c>
      <c r="AD19" s="37" t="s">
        <v>15</v>
      </c>
      <c r="AF19" s="163" t="s">
        <v>53</v>
      </c>
      <c r="AG19" s="163" t="s">
        <v>54</v>
      </c>
      <c r="AH19" s="163" t="s">
        <v>55</v>
      </c>
    </row>
    <row r="20" spans="2:34" x14ac:dyDescent="0.3">
      <c r="B20" s="33">
        <v>1</v>
      </c>
      <c r="C20" s="34" t="s">
        <v>56</v>
      </c>
      <c r="D20" s="153" t="str">
        <f t="array" ref="D20">_xlfn.LET(_xlpm.pos,ROW()-ROW($C$20)+1,_xlpm.names,$AC$7:$AC$10,_xlpm.sizes,$AD$7:$AD$10,_xlpm.active,$D$8,_xlpm.total,SUM(_xlfn.TAKE(_xlpm.sizes,_xlpm.active)),_xlpm.cum,_xlfn.SCAN(0,_xlfn.TAKE(_xlpm.sizes,_xlpm.active),_xlfn.LAMBDA(_xlpm.a,_xlpm.b,_xlpm.a+_xlpm.b)),IF(OR(C20="",_xlpm.pos&gt;_xlpm.total),"",INDEX(_xlfn.TAKE(_xlpm.names,_xlpm.active),_xlfn.XMATCH(TRUE,_xlpm.pos&lt;=_xlpm.cum))))</f>
        <v>Elite</v>
      </c>
      <c r="F20" s="264">
        <f t="shared" ref="F20:F51" si="0">IF(OR(AC20="",AD20=""),"",X20)</f>
        <v>1</v>
      </c>
      <c r="G20" s="265" t="str">
        <f t="shared" ref="G20:G51" si="1">IF(F20="","",Y20)</f>
        <v>Elite</v>
      </c>
      <c r="H20" s="266" t="str">
        <f t="shared" ref="H20:H51" si="2">IF(F20="","",AC20)</f>
        <v>Ritesh</v>
      </c>
      <c r="I20" s="267"/>
      <c r="J20" s="267"/>
      <c r="K20" s="267"/>
      <c r="L20" s="266" t="str">
        <f t="shared" ref="L20:L51" si="3">IF(F20="","",AD20)</f>
        <v>Nyx668</v>
      </c>
      <c r="M20" s="267"/>
      <c r="N20" s="267"/>
      <c r="O20" s="267"/>
      <c r="P20" s="268" t="str">
        <f t="shared" ref="P20:P51" si="4">IF(OR(H20="",I20="",M20=""),"",IF(AND(I20=M20,K20=O20),"Tie",IF(I20&gt;M20,"A",IF(M20&gt;I20,"B","Tie"))))</f>
        <v/>
      </c>
      <c r="Q20" s="268" t="str">
        <f t="shared" ref="Q20:Q51" si="5">IF(P20="","",IF(P20="A",H20,IF(P20="B",L20,IF(P20="Tie","Tie",""))))</f>
        <v/>
      </c>
      <c r="R20" s="268" t="str">
        <f t="shared" ref="R20:R51" si="6">IF(OR(P20="",P20="Tie",P20="NR"),"",IF(P20="A",IF(K20&gt;=O20,I20-M20,$D$17-J20),IF(K20&lt;=O20,M20-I20,$D$17-N20)))</f>
        <v/>
      </c>
      <c r="S20" s="269" t="str">
        <f t="shared" ref="S20:S51" si="7">IF(OR(P20="",P20="Tie",P20="NR"),"",IF(P20="A",IF(K20&gt;=O20,"Runs","Wickets"),IF(K20&lt;=O20,"Runs","Wickets")))</f>
        <v/>
      </c>
      <c r="T20" s="146" t="str">
        <f t="shared" ref="T20:T51" si="8">IF(OR(H20="",L20=""),"",H20&amp;" vs "&amp;L20)</f>
        <v>Ritesh vs Nyx668</v>
      </c>
      <c r="X20">
        <v>1</v>
      </c>
      <c r="Y20" t="str">
        <f t="array" ref="Y20">_xlfn.LET(_xlpm.m,X20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Elite</v>
      </c>
      <c r="Z20">
        <f t="array" ref="Z20">IF(Y20="","",_xlfn.LET(_xlpm.m,X20,_xlpm.names,_xlfn.TAKE($AC$7:$AC$10,$D$8),_xlpm.sizes,_xlfn.TAKE($AD$7:$AD$10,$D$8),_xlpm.counts,_xlpm.sizes*(_xlpm.sizes-1)/2,_xlpm.g,_xlfn.XMATCH(Y20,_xlpm.names),_xlpm.prev,IF(_xlpm.g=1,0,INDEX(_xlfn.SCAN(0,_xlpm.counts,_xlfn.LAMBDA(_xlpm.a,_xlpm.b,_xlpm.a+_xlpm.b)),_xlpm.g-1)),_xlpm.m-_xlpm.prev))</f>
        <v>1</v>
      </c>
      <c r="AA20">
        <f t="array" ref="AA20">IF(Z20="","",_xlfn.LET(_xlpm.names,_xlfn.TAKE($AC$7:$AC$10,$D$8),_xlpm.n,INDEX(_xlfn.TAKE($AD$7:$AD$10,$D$8),_xlfn.XMATCH(Y20,_xlpm.names)),_xlpm.p,Z20,MATCH(TRUE,_xlpm.p&lt;=(_xlpm.n*_xlfn.SEQUENCE(_xlpm.n-1)-_xlfn.SEQUENCE(_xlpm.n-1)*(_xlfn.SEQUENCE(_xlpm.n-1)+1)/2),0)))</f>
        <v>1</v>
      </c>
      <c r="AB20">
        <f t="array" ref="AB20">IF(Z20="","",_xlfn.LET(_xlpm.names,_xlfn.TAKE($AC$7:$AC$10,$D$8),_xlpm.n,INDEX(_xlfn.TAKE($AD$7:$AD$10,$D$8),_xlfn.XMATCH(Y20,_xlpm.names)),_xlpm.p,Z20,_xlpm.a,AA20,_xlpm.prev,IF(_xlpm.a=1,0,_xlpm.n*(_xlpm.a-1)-(_xlpm.a-1)*_xlpm.a/2),_xlpm.a+_xlpm.p-_xlpm.prev))</f>
        <v>2</v>
      </c>
      <c r="AC20" t="str">
        <f t="array" ref="AC20">IF(AA20="","",IFERROR(INDEX(_xlfn._xlws.FILTER($C$20:$C$51,$D$20:$D$51=Y20),AA20),""))</f>
        <v>Ritesh</v>
      </c>
      <c r="AD20" t="str">
        <f t="array" ref="AD20">IF(AB20="","",IFERROR(INDEX(_xlfn._xlws.FILTER($C$20:$C$51,$D$20:$D$51=Y20),AB20),""))</f>
        <v>Nyx668</v>
      </c>
      <c r="AF20" s="172">
        <v>1</v>
      </c>
      <c r="AG20" s="172">
        <f t="array" ref="AG20">IF(AF20&gt;28,"",_xlfn.LET(_xlpm.n,8,_xlpm.p,AF20,MATCH(TRUE,_xlpm.p&lt;=(_xlpm.n*_xlfn.SEQUENCE(_xlpm.n-1)-_xlfn.SEQUENCE(_xlpm.n-1)*(_xlfn.SEQUENCE(_xlpm.n-1)+1)/2),0)))</f>
        <v>1</v>
      </c>
      <c r="AH20" s="172">
        <f t="shared" ref="AH20:AH47" si="9">IF(AG20="","",_xlfn.LET(_xlpm.n,8,_xlpm.p,AF20,_xlpm.a,AG20,_xlpm.prev,IF(_xlpm.a=1,0,_xlpm.n*(_xlpm.a-1)-(_xlpm.a-1)*_xlpm.a/2),_xlpm.a+_xlpm.p-_xlpm.prev))</f>
        <v>2</v>
      </c>
    </row>
    <row r="21" spans="2:34" x14ac:dyDescent="0.3">
      <c r="B21" s="33">
        <v>2</v>
      </c>
      <c r="C21" s="34" t="s">
        <v>57</v>
      </c>
      <c r="D21" s="153" t="str">
        <f t="array" ref="D21">_xlfn.LET(_xlpm.pos,ROW()-ROW($C$20)+1,_xlpm.names,$AC$7:$AC$10,_xlpm.sizes,$AD$7:$AD$10,_xlpm.active,$D$8,_xlpm.total,SUM(_xlfn.TAKE(_xlpm.sizes,_xlpm.active)),_xlpm.cum,_xlfn.SCAN(0,_xlfn.TAKE(_xlpm.sizes,_xlpm.active),_xlfn.LAMBDA(_xlpm.a,_xlpm.b,_xlpm.a+_xlpm.b)),IF(OR(C21="",_xlpm.pos&gt;_xlpm.total),"",INDEX(_xlfn.TAKE(_xlpm.names,_xlpm.active),_xlfn.XMATCH(TRUE,_xlpm.pos&lt;=_xlpm.cum))))</f>
        <v>Elite</v>
      </c>
      <c r="F21" s="264">
        <f t="shared" si="0"/>
        <v>2</v>
      </c>
      <c r="G21" s="265" t="str">
        <f t="shared" si="1"/>
        <v>Elite</v>
      </c>
      <c r="H21" s="266" t="str">
        <f t="shared" si="2"/>
        <v>Ritesh</v>
      </c>
      <c r="I21" s="267"/>
      <c r="J21" s="267"/>
      <c r="K21" s="267"/>
      <c r="L21" s="266" t="str">
        <f t="shared" si="3"/>
        <v>Manish</v>
      </c>
      <c r="M21" s="267"/>
      <c r="N21" s="267"/>
      <c r="O21" s="267"/>
      <c r="P21" s="268" t="str">
        <f t="shared" si="4"/>
        <v/>
      </c>
      <c r="Q21" s="268" t="str">
        <f t="shared" si="5"/>
        <v/>
      </c>
      <c r="R21" s="268" t="str">
        <f t="shared" si="6"/>
        <v/>
      </c>
      <c r="S21" s="269" t="str">
        <f t="shared" si="7"/>
        <v/>
      </c>
      <c r="T21" s="146" t="str">
        <f t="shared" si="8"/>
        <v>Ritesh vs Manish</v>
      </c>
      <c r="X21">
        <f t="shared" ref="X21:X52" si="10">X20+1</f>
        <v>2</v>
      </c>
      <c r="Y21" t="str">
        <f t="array" ref="Y21">_xlfn.LET(_xlpm.m,X21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Elite</v>
      </c>
      <c r="Z21">
        <f t="array" ref="Z21">IF(Y21="","",_xlfn.LET(_xlpm.m,X21,_xlpm.names,_xlfn.TAKE($AC$7:$AC$10,$D$8),_xlpm.sizes,_xlfn.TAKE($AD$7:$AD$10,$D$8),_xlpm.counts,_xlpm.sizes*(_xlpm.sizes-1)/2,_xlpm.g,_xlfn.XMATCH(Y21,_xlpm.names),_xlpm.prev,IF(_xlpm.g=1,0,INDEX(_xlfn.SCAN(0,_xlpm.counts,_xlfn.LAMBDA(_xlpm.a,_xlpm.b,_xlpm.a+_xlpm.b)),_xlpm.g-1)),_xlpm.m-_xlpm.prev))</f>
        <v>2</v>
      </c>
      <c r="AA21">
        <f t="array" ref="AA21">IF(Z21="","",_xlfn.LET(_xlpm.names,_xlfn.TAKE($AC$7:$AC$10,$D$8),_xlpm.n,INDEX(_xlfn.TAKE($AD$7:$AD$10,$D$8),_xlfn.XMATCH(Y21,_xlpm.names)),_xlpm.p,Z21,MATCH(TRUE,_xlpm.p&lt;=(_xlpm.n*_xlfn.SEQUENCE(_xlpm.n-1)-_xlfn.SEQUENCE(_xlpm.n-1)*(_xlfn.SEQUENCE(_xlpm.n-1)+1)/2),0)))</f>
        <v>1</v>
      </c>
      <c r="AB21">
        <f t="array" ref="AB21">IF(Z21="","",_xlfn.LET(_xlpm.names,_xlfn.TAKE($AC$7:$AC$10,$D$8),_xlpm.n,INDEX(_xlfn.TAKE($AD$7:$AD$10,$D$8),_xlfn.XMATCH(Y21,_xlpm.names)),_xlpm.p,Z21,_xlpm.a,AA21,_xlpm.prev,IF(_xlpm.a=1,0,_xlpm.n*(_xlpm.a-1)-(_xlpm.a-1)*_xlpm.a/2),_xlpm.a+_xlpm.p-_xlpm.prev))</f>
        <v>3</v>
      </c>
      <c r="AC21" t="str">
        <f t="array" ref="AC21">IF(AA21="","",IFERROR(INDEX(_xlfn._xlws.FILTER($C$20:$C$51,$D$20:$D$51=Y21),AA21),""))</f>
        <v>Ritesh</v>
      </c>
      <c r="AD21" t="str">
        <f t="array" ref="AD21">IF(AB21="","",IFERROR(INDEX(_xlfn._xlws.FILTER($C$20:$C$51,$D$20:$D$51=Y21),AB21),""))</f>
        <v>Manish</v>
      </c>
      <c r="AF21" s="172">
        <v>2</v>
      </c>
      <c r="AG21" s="172">
        <f t="array" ref="AG21">IF(AF21&gt;28,"",_xlfn.LET(_xlpm.n,8,_xlpm.p,AF21,MATCH(TRUE,_xlpm.p&lt;=(_xlpm.n*_xlfn.SEQUENCE(_xlpm.n-1)-_xlfn.SEQUENCE(_xlpm.n-1)*(_xlfn.SEQUENCE(_xlpm.n-1)+1)/2),0)))</f>
        <v>1</v>
      </c>
      <c r="AH21" s="172">
        <f t="shared" si="9"/>
        <v>3</v>
      </c>
    </row>
    <row r="22" spans="2:34" x14ac:dyDescent="0.3">
      <c r="B22" s="33">
        <v>3</v>
      </c>
      <c r="C22" s="34" t="s">
        <v>2</v>
      </c>
      <c r="D22" s="153" t="str">
        <f t="array" ref="D22">_xlfn.LET(_xlpm.pos,ROW()-ROW($C$20)+1,_xlpm.names,$AC$7:$AC$10,_xlpm.sizes,$AD$7:$AD$10,_xlpm.active,$D$8,_xlpm.total,SUM(_xlfn.TAKE(_xlpm.sizes,_xlpm.active)),_xlpm.cum,_xlfn.SCAN(0,_xlfn.TAKE(_xlpm.sizes,_xlpm.active),_xlfn.LAMBDA(_xlpm.a,_xlpm.b,_xlpm.a+_xlpm.b)),IF(OR(C22="",_xlpm.pos&gt;_xlpm.total),"",INDEX(_xlfn.TAKE(_xlpm.names,_xlpm.active),_xlfn.XMATCH(TRUE,_xlpm.pos&lt;=_xlpm.cum))))</f>
        <v>Elite</v>
      </c>
      <c r="F22" s="264">
        <f t="shared" si="0"/>
        <v>3</v>
      </c>
      <c r="G22" s="265" t="str">
        <f t="shared" si="1"/>
        <v>Elite</v>
      </c>
      <c r="H22" s="266" t="str">
        <f t="shared" si="2"/>
        <v>Nyx668</v>
      </c>
      <c r="I22" s="267"/>
      <c r="J22" s="267"/>
      <c r="K22" s="267"/>
      <c r="L22" s="266" t="str">
        <f t="shared" si="3"/>
        <v>Manish</v>
      </c>
      <c r="M22" s="267"/>
      <c r="N22" s="267"/>
      <c r="O22" s="267"/>
      <c r="P22" s="268" t="str">
        <f t="shared" si="4"/>
        <v/>
      </c>
      <c r="Q22" s="268" t="str">
        <f t="shared" si="5"/>
        <v/>
      </c>
      <c r="R22" s="268" t="str">
        <f t="shared" si="6"/>
        <v/>
      </c>
      <c r="S22" s="269" t="str">
        <f t="shared" si="7"/>
        <v/>
      </c>
      <c r="T22" s="146" t="str">
        <f t="shared" si="8"/>
        <v>Nyx668 vs Manish</v>
      </c>
      <c r="X22">
        <f t="shared" si="10"/>
        <v>3</v>
      </c>
      <c r="Y22" t="str">
        <f t="array" ref="Y22">_xlfn.LET(_xlpm.m,X22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Elite</v>
      </c>
      <c r="Z22">
        <f t="array" ref="Z22">IF(Y22="","",_xlfn.LET(_xlpm.m,X22,_xlpm.names,_xlfn.TAKE($AC$7:$AC$10,$D$8),_xlpm.sizes,_xlfn.TAKE($AD$7:$AD$10,$D$8),_xlpm.counts,_xlpm.sizes*(_xlpm.sizes-1)/2,_xlpm.g,_xlfn.XMATCH(Y22,_xlpm.names),_xlpm.prev,IF(_xlpm.g=1,0,INDEX(_xlfn.SCAN(0,_xlpm.counts,_xlfn.LAMBDA(_xlpm.a,_xlpm.b,_xlpm.a+_xlpm.b)),_xlpm.g-1)),_xlpm.m-_xlpm.prev))</f>
        <v>3</v>
      </c>
      <c r="AA22">
        <f t="array" ref="AA22">IF(Z22="","",_xlfn.LET(_xlpm.names,_xlfn.TAKE($AC$7:$AC$10,$D$8),_xlpm.n,INDEX(_xlfn.TAKE($AD$7:$AD$10,$D$8),_xlfn.XMATCH(Y22,_xlpm.names)),_xlpm.p,Z22,MATCH(TRUE,_xlpm.p&lt;=(_xlpm.n*_xlfn.SEQUENCE(_xlpm.n-1)-_xlfn.SEQUENCE(_xlpm.n-1)*(_xlfn.SEQUENCE(_xlpm.n-1)+1)/2),0)))</f>
        <v>2</v>
      </c>
      <c r="AB22">
        <f t="array" ref="AB22">IF(Z22="","",_xlfn.LET(_xlpm.names,_xlfn.TAKE($AC$7:$AC$10,$D$8),_xlpm.n,INDEX(_xlfn.TAKE($AD$7:$AD$10,$D$8),_xlfn.XMATCH(Y22,_xlpm.names)),_xlpm.p,Z22,_xlpm.a,AA22,_xlpm.prev,IF(_xlpm.a=1,0,_xlpm.n*(_xlpm.a-1)-(_xlpm.a-1)*_xlpm.a/2),_xlpm.a+_xlpm.p-_xlpm.prev))</f>
        <v>3</v>
      </c>
      <c r="AC22" t="str">
        <f t="array" ref="AC22">IF(AA22="","",IFERROR(INDEX(_xlfn._xlws.FILTER($C$20:$C$51,$D$20:$D$51=Y22),AA22),""))</f>
        <v>Nyx668</v>
      </c>
      <c r="AD22" t="str">
        <f t="array" ref="AD22">IF(AB22="","",IFERROR(INDEX(_xlfn._xlws.FILTER($C$20:$C$51,$D$20:$D$51=Y22),AB22),""))</f>
        <v>Manish</v>
      </c>
      <c r="AF22" s="172">
        <v>3</v>
      </c>
      <c r="AG22" s="172">
        <f t="array" ref="AG22">IF(AF22&gt;28,"",_xlfn.LET(_xlpm.n,8,_xlpm.p,AF22,MATCH(TRUE,_xlpm.p&lt;=(_xlpm.n*_xlfn.SEQUENCE(_xlpm.n-1)-_xlfn.SEQUENCE(_xlpm.n-1)*(_xlfn.SEQUENCE(_xlpm.n-1)+1)/2),0)))</f>
        <v>1</v>
      </c>
      <c r="AH22" s="172">
        <f t="shared" si="9"/>
        <v>4</v>
      </c>
    </row>
    <row r="23" spans="2:34" x14ac:dyDescent="0.3">
      <c r="B23" s="33">
        <v>4</v>
      </c>
      <c r="C23" s="34" t="s">
        <v>58</v>
      </c>
      <c r="D23" s="153" t="str">
        <f t="array" ref="D23">_xlfn.LET(_xlpm.pos,ROW()-ROW($C$20)+1,_xlpm.names,$AC$7:$AC$10,_xlpm.sizes,$AD$7:$AD$10,_xlpm.active,$D$8,_xlpm.total,SUM(_xlfn.TAKE(_xlpm.sizes,_xlpm.active)),_xlpm.cum,_xlfn.SCAN(0,_xlfn.TAKE(_xlpm.sizes,_xlpm.active),_xlfn.LAMBDA(_xlpm.a,_xlpm.b,_xlpm.a+_xlpm.b)),IF(OR(C23="",_xlpm.pos&gt;_xlpm.total),"",INDEX(_xlfn.TAKE(_xlpm.names,_xlpm.active),_xlfn.XMATCH(TRUE,_xlpm.pos&lt;=_xlpm.cum))))</f>
        <v>Super</v>
      </c>
      <c r="F23" s="264">
        <f t="shared" si="0"/>
        <v>4</v>
      </c>
      <c r="G23" s="265" t="str">
        <f t="shared" si="1"/>
        <v>Super</v>
      </c>
      <c r="H23" s="266" t="str">
        <f t="shared" si="2"/>
        <v>Animal</v>
      </c>
      <c r="I23" s="267"/>
      <c r="J23" s="267"/>
      <c r="K23" s="267"/>
      <c r="L23" s="266" t="str">
        <f t="shared" si="3"/>
        <v>Arjun Reddy</v>
      </c>
      <c r="M23" s="267"/>
      <c r="N23" s="267"/>
      <c r="O23" s="267"/>
      <c r="P23" s="268" t="str">
        <f t="shared" si="4"/>
        <v/>
      </c>
      <c r="Q23" s="268" t="str">
        <f t="shared" si="5"/>
        <v/>
      </c>
      <c r="R23" s="268" t="str">
        <f t="shared" si="6"/>
        <v/>
      </c>
      <c r="S23" s="269" t="str">
        <f t="shared" si="7"/>
        <v/>
      </c>
      <c r="T23" s="146" t="str">
        <f t="shared" si="8"/>
        <v>Animal vs Arjun Reddy</v>
      </c>
      <c r="X23">
        <f t="shared" si="10"/>
        <v>4</v>
      </c>
      <c r="Y23" t="str">
        <f t="array" ref="Y23">_xlfn.LET(_xlpm.m,X23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23">
        <f t="array" ref="Z23">IF(Y23="","",_xlfn.LET(_xlpm.m,X23,_xlpm.names,_xlfn.TAKE($AC$7:$AC$10,$D$8),_xlpm.sizes,_xlfn.TAKE($AD$7:$AD$10,$D$8),_xlpm.counts,_xlpm.sizes*(_xlpm.sizes-1)/2,_xlpm.g,_xlfn.XMATCH(Y23,_xlpm.names),_xlpm.prev,IF(_xlpm.g=1,0,INDEX(_xlfn.SCAN(0,_xlpm.counts,_xlfn.LAMBDA(_xlpm.a,_xlpm.b,_xlpm.a+_xlpm.b)),_xlpm.g-1)),_xlpm.m-_xlpm.prev))</f>
        <v>1</v>
      </c>
      <c r="AA23">
        <f t="array" ref="AA23">IF(Z23="","",_xlfn.LET(_xlpm.names,_xlfn.TAKE($AC$7:$AC$10,$D$8),_xlpm.n,INDEX(_xlfn.TAKE($AD$7:$AD$10,$D$8),_xlfn.XMATCH(Y23,_xlpm.names)),_xlpm.p,Z23,MATCH(TRUE,_xlpm.p&lt;=(_xlpm.n*_xlfn.SEQUENCE(_xlpm.n-1)-_xlfn.SEQUENCE(_xlpm.n-1)*(_xlfn.SEQUENCE(_xlpm.n-1)+1)/2),0)))</f>
        <v>1</v>
      </c>
      <c r="AB23">
        <f t="array" ref="AB23">IF(Z23="","",_xlfn.LET(_xlpm.names,_xlfn.TAKE($AC$7:$AC$10,$D$8),_xlpm.n,INDEX(_xlfn.TAKE($AD$7:$AD$10,$D$8),_xlfn.XMATCH(Y23,_xlpm.names)),_xlpm.p,Z23,_xlpm.a,AA23,_xlpm.prev,IF(_xlpm.a=1,0,_xlpm.n*(_xlpm.a-1)-(_xlpm.a-1)*_xlpm.a/2),_xlpm.a+_xlpm.p-_xlpm.prev))</f>
        <v>2</v>
      </c>
      <c r="AC23" t="str">
        <f t="array" ref="AC23">IF(AA23="","",IFERROR(INDEX(_xlfn._xlws.FILTER($C$20:$C$51,$D$20:$D$51=Y23),AA23),""))</f>
        <v>Animal</v>
      </c>
      <c r="AD23" t="str">
        <f t="array" ref="AD23">IF(AB23="","",IFERROR(INDEX(_xlfn._xlws.FILTER($C$20:$C$51,$D$20:$D$51=Y23),AB23),""))</f>
        <v>Arjun Reddy</v>
      </c>
      <c r="AF23" s="172">
        <v>4</v>
      </c>
      <c r="AG23" s="172">
        <f t="array" ref="AG23">IF(AF23&gt;28,"",_xlfn.LET(_xlpm.n,8,_xlpm.p,AF23,MATCH(TRUE,_xlpm.p&lt;=(_xlpm.n*_xlfn.SEQUENCE(_xlpm.n-1)-_xlfn.SEQUENCE(_xlpm.n-1)*(_xlfn.SEQUENCE(_xlpm.n-1)+1)/2),0)))</f>
        <v>1</v>
      </c>
      <c r="AH23" s="172">
        <f t="shared" si="9"/>
        <v>5</v>
      </c>
    </row>
    <row r="24" spans="2:34" x14ac:dyDescent="0.3">
      <c r="B24" s="33">
        <v>5</v>
      </c>
      <c r="C24" s="34" t="s">
        <v>59</v>
      </c>
      <c r="D24" s="153" t="str">
        <f t="array" ref="D24">_xlfn.LET(_xlpm.pos,ROW()-ROW($C$20)+1,_xlpm.names,$AC$7:$AC$10,_xlpm.sizes,$AD$7:$AD$10,_xlpm.active,$D$8,_xlpm.total,SUM(_xlfn.TAKE(_xlpm.sizes,_xlpm.active)),_xlpm.cum,_xlfn.SCAN(0,_xlfn.TAKE(_xlpm.sizes,_xlpm.active),_xlfn.LAMBDA(_xlpm.a,_xlpm.b,_xlpm.a+_xlpm.b)),IF(OR(C24="",_xlpm.pos&gt;_xlpm.total),"",INDEX(_xlfn.TAKE(_xlpm.names,_xlpm.active),_xlfn.XMATCH(TRUE,_xlpm.pos&lt;=_xlpm.cum))))</f>
        <v>Super</v>
      </c>
      <c r="F24" s="264">
        <f t="shared" si="0"/>
        <v>5</v>
      </c>
      <c r="G24" s="265" t="str">
        <f t="shared" si="1"/>
        <v>Super</v>
      </c>
      <c r="H24" s="266" t="str">
        <f t="shared" si="2"/>
        <v>Animal</v>
      </c>
      <c r="I24" s="267"/>
      <c r="J24" s="267"/>
      <c r="K24" s="267"/>
      <c r="L24" s="266" t="str">
        <f t="shared" si="3"/>
        <v>KC Mehta</v>
      </c>
      <c r="M24" s="267"/>
      <c r="N24" s="267"/>
      <c r="O24" s="267"/>
      <c r="P24" s="268" t="str">
        <f t="shared" si="4"/>
        <v/>
      </c>
      <c r="Q24" s="268" t="str">
        <f t="shared" si="5"/>
        <v/>
      </c>
      <c r="R24" s="268" t="str">
        <f t="shared" si="6"/>
        <v/>
      </c>
      <c r="S24" s="269" t="str">
        <f t="shared" si="7"/>
        <v/>
      </c>
      <c r="T24" s="146" t="str">
        <f t="shared" si="8"/>
        <v>Animal vs KC Mehta</v>
      </c>
      <c r="X24">
        <f t="shared" si="10"/>
        <v>5</v>
      </c>
      <c r="Y24" t="str">
        <f t="array" ref="Y24">_xlfn.LET(_xlpm.m,X24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24">
        <f t="array" ref="Z24">IF(Y24="","",_xlfn.LET(_xlpm.m,X24,_xlpm.names,_xlfn.TAKE($AC$7:$AC$10,$D$8),_xlpm.sizes,_xlfn.TAKE($AD$7:$AD$10,$D$8),_xlpm.counts,_xlpm.sizes*(_xlpm.sizes-1)/2,_xlpm.g,_xlfn.XMATCH(Y24,_xlpm.names),_xlpm.prev,IF(_xlpm.g=1,0,INDEX(_xlfn.SCAN(0,_xlpm.counts,_xlfn.LAMBDA(_xlpm.a,_xlpm.b,_xlpm.a+_xlpm.b)),_xlpm.g-1)),_xlpm.m-_xlpm.prev))</f>
        <v>2</v>
      </c>
      <c r="AA24">
        <f t="array" ref="AA24">IF(Z24="","",_xlfn.LET(_xlpm.names,_xlfn.TAKE($AC$7:$AC$10,$D$8),_xlpm.n,INDEX(_xlfn.TAKE($AD$7:$AD$10,$D$8),_xlfn.XMATCH(Y24,_xlpm.names)),_xlpm.p,Z24,MATCH(TRUE,_xlpm.p&lt;=(_xlpm.n*_xlfn.SEQUENCE(_xlpm.n-1)-_xlfn.SEQUENCE(_xlpm.n-1)*(_xlfn.SEQUENCE(_xlpm.n-1)+1)/2),0)))</f>
        <v>1</v>
      </c>
      <c r="AB24">
        <f t="array" ref="AB24">IF(Z24="","",_xlfn.LET(_xlpm.names,_xlfn.TAKE($AC$7:$AC$10,$D$8),_xlpm.n,INDEX(_xlfn.TAKE($AD$7:$AD$10,$D$8),_xlfn.XMATCH(Y24,_xlpm.names)),_xlpm.p,Z24,_xlpm.a,AA24,_xlpm.prev,IF(_xlpm.a=1,0,_xlpm.n*(_xlpm.a-1)-(_xlpm.a-1)*_xlpm.a/2),_xlpm.a+_xlpm.p-_xlpm.prev))</f>
        <v>3</v>
      </c>
      <c r="AC24" t="str">
        <f t="array" ref="AC24">IF(AA24="","",IFERROR(INDEX(_xlfn._xlws.FILTER($C$20:$C$51,$D$20:$D$51=Y24),AA24),""))</f>
        <v>Animal</v>
      </c>
      <c r="AD24" t="str">
        <f t="array" ref="AD24">IF(AB24="","",IFERROR(INDEX(_xlfn._xlws.FILTER($C$20:$C$51,$D$20:$D$51=Y24),AB24),""))</f>
        <v>KC Mehta</v>
      </c>
      <c r="AF24" s="172">
        <v>5</v>
      </c>
      <c r="AG24" s="172">
        <f t="array" ref="AG24">IF(AF24&gt;28,"",_xlfn.LET(_xlpm.n,8,_xlpm.p,AF24,MATCH(TRUE,_xlpm.p&lt;=(_xlpm.n*_xlfn.SEQUENCE(_xlpm.n-1)-_xlfn.SEQUENCE(_xlpm.n-1)*(_xlfn.SEQUENCE(_xlpm.n-1)+1)/2),0)))</f>
        <v>1</v>
      </c>
      <c r="AH24" s="172">
        <f t="shared" si="9"/>
        <v>6</v>
      </c>
    </row>
    <row r="25" spans="2:34" x14ac:dyDescent="0.3">
      <c r="B25" s="33">
        <v>6</v>
      </c>
      <c r="C25" s="34" t="s">
        <v>60</v>
      </c>
      <c r="D25" s="153" t="str">
        <f t="array" ref="D25">_xlfn.LET(_xlpm.pos,ROW()-ROW($C$20)+1,_xlpm.names,$AC$7:$AC$10,_xlpm.sizes,$AD$7:$AD$10,_xlpm.active,$D$8,_xlpm.total,SUM(_xlfn.TAKE(_xlpm.sizes,_xlpm.active)),_xlpm.cum,_xlfn.SCAN(0,_xlfn.TAKE(_xlpm.sizes,_xlpm.active),_xlfn.LAMBDA(_xlpm.a,_xlpm.b,_xlpm.a+_xlpm.b)),IF(OR(C25="",_xlpm.pos&gt;_xlpm.total),"",INDEX(_xlfn.TAKE(_xlpm.names,_xlpm.active),_xlfn.XMATCH(TRUE,_xlpm.pos&lt;=_xlpm.cum))))</f>
        <v>Super</v>
      </c>
      <c r="F25" s="264">
        <f t="shared" si="0"/>
        <v>6</v>
      </c>
      <c r="G25" s="265" t="str">
        <f t="shared" si="1"/>
        <v>Super</v>
      </c>
      <c r="H25" s="266" t="str">
        <f t="shared" si="2"/>
        <v>Animal</v>
      </c>
      <c r="I25" s="267"/>
      <c r="J25" s="267"/>
      <c r="K25" s="267"/>
      <c r="L25" s="266" t="str">
        <f t="shared" si="3"/>
        <v>IMCRCKET</v>
      </c>
      <c r="M25" s="267"/>
      <c r="N25" s="267"/>
      <c r="O25" s="267"/>
      <c r="P25" s="268" t="str">
        <f t="shared" si="4"/>
        <v/>
      </c>
      <c r="Q25" s="268" t="str">
        <f t="shared" si="5"/>
        <v/>
      </c>
      <c r="R25" s="268" t="str">
        <f t="shared" si="6"/>
        <v/>
      </c>
      <c r="S25" s="269" t="str">
        <f t="shared" si="7"/>
        <v/>
      </c>
      <c r="T25" s="146" t="str">
        <f t="shared" si="8"/>
        <v>Animal vs IMCRCKET</v>
      </c>
      <c r="X25">
        <f t="shared" si="10"/>
        <v>6</v>
      </c>
      <c r="Y25" t="str">
        <f t="array" ref="Y25">_xlfn.LET(_xlpm.m,X25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25">
        <f t="array" ref="Z25">IF(Y25="","",_xlfn.LET(_xlpm.m,X25,_xlpm.names,_xlfn.TAKE($AC$7:$AC$10,$D$8),_xlpm.sizes,_xlfn.TAKE($AD$7:$AD$10,$D$8),_xlpm.counts,_xlpm.sizes*(_xlpm.sizes-1)/2,_xlpm.g,_xlfn.XMATCH(Y25,_xlpm.names),_xlpm.prev,IF(_xlpm.g=1,0,INDEX(_xlfn.SCAN(0,_xlpm.counts,_xlfn.LAMBDA(_xlpm.a,_xlpm.b,_xlpm.a+_xlpm.b)),_xlpm.g-1)),_xlpm.m-_xlpm.prev))</f>
        <v>3</v>
      </c>
      <c r="AA25">
        <f t="array" ref="AA25">IF(Z25="","",_xlfn.LET(_xlpm.names,_xlfn.TAKE($AC$7:$AC$10,$D$8),_xlpm.n,INDEX(_xlfn.TAKE($AD$7:$AD$10,$D$8),_xlfn.XMATCH(Y25,_xlpm.names)),_xlpm.p,Z25,MATCH(TRUE,_xlpm.p&lt;=(_xlpm.n*_xlfn.SEQUENCE(_xlpm.n-1)-_xlfn.SEQUENCE(_xlpm.n-1)*(_xlfn.SEQUENCE(_xlpm.n-1)+1)/2),0)))</f>
        <v>1</v>
      </c>
      <c r="AB25">
        <f t="array" ref="AB25">IF(Z25="","",_xlfn.LET(_xlpm.names,_xlfn.TAKE($AC$7:$AC$10,$D$8),_xlpm.n,INDEX(_xlfn.TAKE($AD$7:$AD$10,$D$8),_xlfn.XMATCH(Y25,_xlpm.names)),_xlpm.p,Z25,_xlpm.a,AA25,_xlpm.prev,IF(_xlpm.a=1,0,_xlpm.n*(_xlpm.a-1)-(_xlpm.a-1)*_xlpm.a/2),_xlpm.a+_xlpm.p-_xlpm.prev))</f>
        <v>4</v>
      </c>
      <c r="AC25" t="str">
        <f t="array" ref="AC25">IF(AA25="","",IFERROR(INDEX(_xlfn._xlws.FILTER($C$20:$C$51,$D$20:$D$51=Y25),AA25),""))</f>
        <v>Animal</v>
      </c>
      <c r="AD25" t="str">
        <f t="array" ref="AD25">IF(AB25="","",IFERROR(INDEX(_xlfn._xlws.FILTER($C$20:$C$51,$D$20:$D$51=Y25),AB25),""))</f>
        <v>IMCRCKET</v>
      </c>
      <c r="AF25" s="172">
        <v>6</v>
      </c>
      <c r="AG25" s="172">
        <f t="array" ref="AG25">IF(AF25&gt;28,"",_xlfn.LET(_xlpm.n,8,_xlpm.p,AF25,MATCH(TRUE,_xlpm.p&lt;=(_xlpm.n*_xlfn.SEQUENCE(_xlpm.n-1)-_xlfn.SEQUENCE(_xlpm.n-1)*(_xlfn.SEQUENCE(_xlpm.n-1)+1)/2),0)))</f>
        <v>1</v>
      </c>
      <c r="AH25" s="172">
        <f t="shared" si="9"/>
        <v>7</v>
      </c>
    </row>
    <row r="26" spans="2:34" x14ac:dyDescent="0.3">
      <c r="B26" s="33">
        <v>7</v>
      </c>
      <c r="C26" s="34" t="s">
        <v>61</v>
      </c>
      <c r="D26" s="153" t="str">
        <f t="array" ref="D26">_xlfn.LET(_xlpm.pos,ROW()-ROW($C$20)+1,_xlpm.names,$AC$7:$AC$10,_xlpm.sizes,$AD$7:$AD$10,_xlpm.active,$D$8,_xlpm.total,SUM(_xlfn.TAKE(_xlpm.sizes,_xlpm.active)),_xlpm.cum,_xlfn.SCAN(0,_xlfn.TAKE(_xlpm.sizes,_xlpm.active),_xlfn.LAMBDA(_xlpm.a,_xlpm.b,_xlpm.a+_xlpm.b)),IF(OR(C26="",_xlpm.pos&gt;_xlpm.total),"",INDEX(_xlfn.TAKE(_xlpm.names,_xlpm.active),_xlfn.XMATCH(TRUE,_xlpm.pos&lt;=_xlpm.cum))))</f>
        <v>Super</v>
      </c>
      <c r="F26" s="264">
        <f t="shared" si="0"/>
        <v>7</v>
      </c>
      <c r="G26" s="265" t="str">
        <f t="shared" si="1"/>
        <v>Super</v>
      </c>
      <c r="H26" s="266" t="str">
        <f t="shared" si="2"/>
        <v>Animal</v>
      </c>
      <c r="I26" s="267"/>
      <c r="J26" s="267"/>
      <c r="K26" s="267"/>
      <c r="L26" s="266" t="str">
        <f t="shared" si="3"/>
        <v>Onkar</v>
      </c>
      <c r="M26" s="267"/>
      <c r="N26" s="267"/>
      <c r="O26" s="267"/>
      <c r="P26" s="268" t="str">
        <f t="shared" si="4"/>
        <v/>
      </c>
      <c r="Q26" s="268" t="str">
        <f t="shared" si="5"/>
        <v/>
      </c>
      <c r="R26" s="268" t="str">
        <f t="shared" si="6"/>
        <v/>
      </c>
      <c r="S26" s="269" t="str">
        <f t="shared" si="7"/>
        <v/>
      </c>
      <c r="T26" s="146" t="str">
        <f t="shared" si="8"/>
        <v>Animal vs Onkar</v>
      </c>
      <c r="X26">
        <f t="shared" si="10"/>
        <v>7</v>
      </c>
      <c r="Y26" t="str">
        <f t="array" ref="Y26">_xlfn.LET(_xlpm.m,X26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26">
        <f t="array" ref="Z26">IF(Y26="","",_xlfn.LET(_xlpm.m,X26,_xlpm.names,_xlfn.TAKE($AC$7:$AC$10,$D$8),_xlpm.sizes,_xlfn.TAKE($AD$7:$AD$10,$D$8),_xlpm.counts,_xlpm.sizes*(_xlpm.sizes-1)/2,_xlpm.g,_xlfn.XMATCH(Y26,_xlpm.names),_xlpm.prev,IF(_xlpm.g=1,0,INDEX(_xlfn.SCAN(0,_xlpm.counts,_xlfn.LAMBDA(_xlpm.a,_xlpm.b,_xlpm.a+_xlpm.b)),_xlpm.g-1)),_xlpm.m-_xlpm.prev))</f>
        <v>4</v>
      </c>
      <c r="AA26">
        <f t="array" ref="AA26">IF(Z26="","",_xlfn.LET(_xlpm.names,_xlfn.TAKE($AC$7:$AC$10,$D$8),_xlpm.n,INDEX(_xlfn.TAKE($AD$7:$AD$10,$D$8),_xlfn.XMATCH(Y26,_xlpm.names)),_xlpm.p,Z26,MATCH(TRUE,_xlpm.p&lt;=(_xlpm.n*_xlfn.SEQUENCE(_xlpm.n-1)-_xlfn.SEQUENCE(_xlpm.n-1)*(_xlfn.SEQUENCE(_xlpm.n-1)+1)/2),0)))</f>
        <v>1</v>
      </c>
      <c r="AB26">
        <f t="array" ref="AB26">IF(Z26="","",_xlfn.LET(_xlpm.names,_xlfn.TAKE($AC$7:$AC$10,$D$8),_xlpm.n,INDEX(_xlfn.TAKE($AD$7:$AD$10,$D$8),_xlfn.XMATCH(Y26,_xlpm.names)),_xlpm.p,Z26,_xlpm.a,AA26,_xlpm.prev,IF(_xlpm.a=1,0,_xlpm.n*(_xlpm.a-1)-(_xlpm.a-1)*_xlpm.a/2),_xlpm.a+_xlpm.p-_xlpm.prev))</f>
        <v>5</v>
      </c>
      <c r="AC26" t="str">
        <f t="array" ref="AC26">IF(AA26="","",IFERROR(INDEX(_xlfn._xlws.FILTER($C$20:$C$51,$D$20:$D$51=Y26),AA26),""))</f>
        <v>Animal</v>
      </c>
      <c r="AD26" t="str">
        <f t="array" ref="AD26">IF(AB26="","",IFERROR(INDEX(_xlfn._xlws.FILTER($C$20:$C$51,$D$20:$D$51=Y26),AB26),""))</f>
        <v>Onkar</v>
      </c>
      <c r="AF26" s="172">
        <v>7</v>
      </c>
      <c r="AG26" s="172">
        <f t="array" ref="AG26">IF(AF26&gt;28,"",_xlfn.LET(_xlpm.n,8,_xlpm.p,AF26,MATCH(TRUE,_xlpm.p&lt;=(_xlpm.n*_xlfn.SEQUENCE(_xlpm.n-1)-_xlfn.SEQUENCE(_xlpm.n-1)*(_xlfn.SEQUENCE(_xlpm.n-1)+1)/2),0)))</f>
        <v>1</v>
      </c>
      <c r="AH26" s="172">
        <f t="shared" si="9"/>
        <v>8</v>
      </c>
    </row>
    <row r="27" spans="2:34" x14ac:dyDescent="0.3">
      <c r="B27" s="33">
        <v>8</v>
      </c>
      <c r="C27" s="34" t="s">
        <v>62</v>
      </c>
      <c r="D27" s="153" t="str">
        <f t="array" ref="D27">_xlfn.LET(_xlpm.pos,ROW()-ROW($C$20)+1,_xlpm.names,$AC$7:$AC$10,_xlpm.sizes,$AD$7:$AD$10,_xlpm.active,$D$8,_xlpm.total,SUM(_xlfn.TAKE(_xlpm.sizes,_xlpm.active)),_xlpm.cum,_xlfn.SCAN(0,_xlfn.TAKE(_xlpm.sizes,_xlpm.active),_xlfn.LAMBDA(_xlpm.a,_xlpm.b,_xlpm.a+_xlpm.b)),IF(OR(C27="",_xlpm.pos&gt;_xlpm.total),"",INDEX(_xlfn.TAKE(_xlpm.names,_xlpm.active),_xlfn.XMATCH(TRUE,_xlpm.pos&lt;=_xlpm.cum))))</f>
        <v>Super</v>
      </c>
      <c r="F27" s="264">
        <f t="shared" si="0"/>
        <v>8</v>
      </c>
      <c r="G27" s="265" t="str">
        <f t="shared" si="1"/>
        <v>Super</v>
      </c>
      <c r="H27" s="266" t="str">
        <f t="shared" si="2"/>
        <v>Animal</v>
      </c>
      <c r="I27" s="267"/>
      <c r="J27" s="267"/>
      <c r="K27" s="267"/>
      <c r="L27" s="266" t="str">
        <f t="shared" si="3"/>
        <v>Senthil</v>
      </c>
      <c r="M27" s="267"/>
      <c r="N27" s="267"/>
      <c r="O27" s="267"/>
      <c r="P27" s="268" t="str">
        <f t="shared" si="4"/>
        <v/>
      </c>
      <c r="Q27" s="268" t="str">
        <f t="shared" si="5"/>
        <v/>
      </c>
      <c r="R27" s="268" t="str">
        <f t="shared" si="6"/>
        <v/>
      </c>
      <c r="S27" s="269" t="str">
        <f t="shared" si="7"/>
        <v/>
      </c>
      <c r="T27" s="146" t="str">
        <f t="shared" si="8"/>
        <v>Animal vs Senthil</v>
      </c>
      <c r="X27">
        <f t="shared" si="10"/>
        <v>8</v>
      </c>
      <c r="Y27" t="str">
        <f t="array" ref="Y27">_xlfn.LET(_xlpm.m,X27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27">
        <f t="array" ref="Z27">IF(Y27="","",_xlfn.LET(_xlpm.m,X27,_xlpm.names,_xlfn.TAKE($AC$7:$AC$10,$D$8),_xlpm.sizes,_xlfn.TAKE($AD$7:$AD$10,$D$8),_xlpm.counts,_xlpm.sizes*(_xlpm.sizes-1)/2,_xlpm.g,_xlfn.XMATCH(Y27,_xlpm.names),_xlpm.prev,IF(_xlpm.g=1,0,INDEX(_xlfn.SCAN(0,_xlpm.counts,_xlfn.LAMBDA(_xlpm.a,_xlpm.b,_xlpm.a+_xlpm.b)),_xlpm.g-1)),_xlpm.m-_xlpm.prev))</f>
        <v>5</v>
      </c>
      <c r="AA27">
        <f t="array" ref="AA27">IF(Z27="","",_xlfn.LET(_xlpm.names,_xlfn.TAKE($AC$7:$AC$10,$D$8),_xlpm.n,INDEX(_xlfn.TAKE($AD$7:$AD$10,$D$8),_xlfn.XMATCH(Y27,_xlpm.names)),_xlpm.p,Z27,MATCH(TRUE,_xlpm.p&lt;=(_xlpm.n*_xlfn.SEQUENCE(_xlpm.n-1)-_xlfn.SEQUENCE(_xlpm.n-1)*(_xlfn.SEQUENCE(_xlpm.n-1)+1)/2),0)))</f>
        <v>1</v>
      </c>
      <c r="AB27">
        <f t="array" ref="AB27">IF(Z27="","",_xlfn.LET(_xlpm.names,_xlfn.TAKE($AC$7:$AC$10,$D$8),_xlpm.n,INDEX(_xlfn.TAKE($AD$7:$AD$10,$D$8),_xlfn.XMATCH(Y27,_xlpm.names)),_xlpm.p,Z27,_xlpm.a,AA27,_xlpm.prev,IF(_xlpm.a=1,0,_xlpm.n*(_xlpm.a-1)-(_xlpm.a-1)*_xlpm.a/2),_xlpm.a+_xlpm.p-_xlpm.prev))</f>
        <v>6</v>
      </c>
      <c r="AC27" t="str">
        <f t="array" ref="AC27">IF(AA27="","",IFERROR(INDEX(_xlfn._xlws.FILTER($C$20:$C$51,$D$20:$D$51=Y27),AA27),""))</f>
        <v>Animal</v>
      </c>
      <c r="AD27" t="str">
        <f t="array" ref="AD27">IF(AB27="","",IFERROR(INDEX(_xlfn._xlws.FILTER($C$20:$C$51,$D$20:$D$51=Y27),AB27),""))</f>
        <v>Senthil</v>
      </c>
      <c r="AF27" s="172">
        <v>8</v>
      </c>
      <c r="AG27" s="172">
        <f t="array" ref="AG27">IF(AF27&gt;28,"",_xlfn.LET(_xlpm.n,8,_xlpm.p,AF27,MATCH(TRUE,_xlpm.p&lt;=(_xlpm.n*_xlfn.SEQUENCE(_xlpm.n-1)-_xlfn.SEQUENCE(_xlpm.n-1)*(_xlfn.SEQUENCE(_xlpm.n-1)+1)/2),0)))</f>
        <v>2</v>
      </c>
      <c r="AH27" s="172">
        <f t="shared" si="9"/>
        <v>3</v>
      </c>
    </row>
    <row r="28" spans="2:34" x14ac:dyDescent="0.3">
      <c r="B28" s="33">
        <v>9</v>
      </c>
      <c r="C28" s="34" t="s">
        <v>63</v>
      </c>
      <c r="D28" s="153" t="str">
        <f t="array" ref="D28">_xlfn.LET(_xlpm.pos,ROW()-ROW($C$20)+1,_xlpm.names,$AC$7:$AC$10,_xlpm.sizes,$AD$7:$AD$10,_xlpm.active,$D$8,_xlpm.total,SUM(_xlfn.TAKE(_xlpm.sizes,_xlpm.active)),_xlpm.cum,_xlfn.SCAN(0,_xlfn.TAKE(_xlpm.sizes,_xlpm.active),_xlfn.LAMBDA(_xlpm.a,_xlpm.b,_xlpm.a+_xlpm.b)),IF(OR(C28="",_xlpm.pos&gt;_xlpm.total),"",INDEX(_xlfn.TAKE(_xlpm.names,_xlpm.active),_xlfn.XMATCH(TRUE,_xlpm.pos&lt;=_xlpm.cum))))</f>
        <v>Super</v>
      </c>
      <c r="F28" s="264">
        <f t="shared" si="0"/>
        <v>9</v>
      </c>
      <c r="G28" s="265" t="str">
        <f t="shared" si="1"/>
        <v>Super</v>
      </c>
      <c r="H28" s="266" t="str">
        <f t="shared" si="2"/>
        <v>Arjun Reddy</v>
      </c>
      <c r="I28" s="267"/>
      <c r="J28" s="267"/>
      <c r="K28" s="267"/>
      <c r="L28" s="266" t="str">
        <f t="shared" si="3"/>
        <v>KC Mehta</v>
      </c>
      <c r="M28" s="267"/>
      <c r="N28" s="267"/>
      <c r="O28" s="267"/>
      <c r="P28" s="268" t="str">
        <f t="shared" si="4"/>
        <v/>
      </c>
      <c r="Q28" s="268" t="str">
        <f t="shared" si="5"/>
        <v/>
      </c>
      <c r="R28" s="268" t="str">
        <f t="shared" si="6"/>
        <v/>
      </c>
      <c r="S28" s="269" t="str">
        <f t="shared" si="7"/>
        <v/>
      </c>
      <c r="T28" s="146" t="str">
        <f t="shared" si="8"/>
        <v>Arjun Reddy vs KC Mehta</v>
      </c>
      <c r="X28">
        <f t="shared" si="10"/>
        <v>9</v>
      </c>
      <c r="Y28" t="str">
        <f t="array" ref="Y28">_xlfn.LET(_xlpm.m,X28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28">
        <f t="array" ref="Z28">IF(Y28="","",_xlfn.LET(_xlpm.m,X28,_xlpm.names,_xlfn.TAKE($AC$7:$AC$10,$D$8),_xlpm.sizes,_xlfn.TAKE($AD$7:$AD$10,$D$8),_xlpm.counts,_xlpm.sizes*(_xlpm.sizes-1)/2,_xlpm.g,_xlfn.XMATCH(Y28,_xlpm.names),_xlpm.prev,IF(_xlpm.g=1,0,INDEX(_xlfn.SCAN(0,_xlpm.counts,_xlfn.LAMBDA(_xlpm.a,_xlpm.b,_xlpm.a+_xlpm.b)),_xlpm.g-1)),_xlpm.m-_xlpm.prev))</f>
        <v>6</v>
      </c>
      <c r="AA28">
        <f t="array" ref="AA28">IF(Z28="","",_xlfn.LET(_xlpm.names,_xlfn.TAKE($AC$7:$AC$10,$D$8),_xlpm.n,INDEX(_xlfn.TAKE($AD$7:$AD$10,$D$8),_xlfn.XMATCH(Y28,_xlpm.names)),_xlpm.p,Z28,MATCH(TRUE,_xlpm.p&lt;=(_xlpm.n*_xlfn.SEQUENCE(_xlpm.n-1)-_xlfn.SEQUENCE(_xlpm.n-1)*(_xlfn.SEQUENCE(_xlpm.n-1)+1)/2),0)))</f>
        <v>2</v>
      </c>
      <c r="AB28">
        <f t="array" ref="AB28">IF(Z28="","",_xlfn.LET(_xlpm.names,_xlfn.TAKE($AC$7:$AC$10,$D$8),_xlpm.n,INDEX(_xlfn.TAKE($AD$7:$AD$10,$D$8),_xlfn.XMATCH(Y28,_xlpm.names)),_xlpm.p,Z28,_xlpm.a,AA28,_xlpm.prev,IF(_xlpm.a=1,0,_xlpm.n*(_xlpm.a-1)-(_xlpm.a-1)*_xlpm.a/2),_xlpm.a+_xlpm.p-_xlpm.prev))</f>
        <v>3</v>
      </c>
      <c r="AC28" t="str">
        <f t="array" ref="AC28">IF(AA28="","",IFERROR(INDEX(_xlfn._xlws.FILTER($C$20:$C$51,$D$20:$D$51=Y28),AA28),""))</f>
        <v>Arjun Reddy</v>
      </c>
      <c r="AD28" t="str">
        <f t="array" ref="AD28">IF(AB28="","",IFERROR(INDEX(_xlfn._xlws.FILTER($C$20:$C$51,$D$20:$D$51=Y28),AB28),""))</f>
        <v>KC Mehta</v>
      </c>
      <c r="AF28" s="172">
        <v>9</v>
      </c>
      <c r="AG28" s="172">
        <f t="array" ref="AG28">IF(AF28&gt;28,"",_xlfn.LET(_xlpm.n,8,_xlpm.p,AF28,MATCH(TRUE,_xlpm.p&lt;=(_xlpm.n*_xlfn.SEQUENCE(_xlpm.n-1)-_xlfn.SEQUENCE(_xlpm.n-1)*(_xlfn.SEQUENCE(_xlpm.n-1)+1)/2),0)))</f>
        <v>2</v>
      </c>
      <c r="AH28" s="172">
        <f t="shared" si="9"/>
        <v>4</v>
      </c>
    </row>
    <row r="29" spans="2:34" x14ac:dyDescent="0.3">
      <c r="B29" s="33">
        <v>10</v>
      </c>
      <c r="C29" s="34" t="s">
        <v>64</v>
      </c>
      <c r="D29" s="153" t="str">
        <f t="array" ref="D29">_xlfn.LET(_xlpm.pos,ROW()-ROW($C$20)+1,_xlpm.names,$AC$7:$AC$10,_xlpm.sizes,$AD$7:$AD$10,_xlpm.active,$D$8,_xlpm.total,SUM(_xlfn.TAKE(_xlpm.sizes,_xlpm.active)),_xlpm.cum,_xlfn.SCAN(0,_xlfn.TAKE(_xlpm.sizes,_xlpm.active),_xlfn.LAMBDA(_xlpm.a,_xlpm.b,_xlpm.a+_xlpm.b)),IF(OR(C29="",_xlpm.pos&gt;_xlpm.total),"",INDEX(_xlfn.TAKE(_xlpm.names,_xlpm.active),_xlfn.XMATCH(TRUE,_xlpm.pos&lt;=_xlpm.cum))))</f>
        <v>Golden</v>
      </c>
      <c r="F29" s="264">
        <f t="shared" si="0"/>
        <v>10</v>
      </c>
      <c r="G29" s="265" t="str">
        <f t="shared" si="1"/>
        <v>Super</v>
      </c>
      <c r="H29" s="266" t="str">
        <f t="shared" si="2"/>
        <v>Arjun Reddy</v>
      </c>
      <c r="I29" s="267"/>
      <c r="J29" s="267"/>
      <c r="K29" s="267"/>
      <c r="L29" s="266" t="str">
        <f t="shared" si="3"/>
        <v>IMCRCKET</v>
      </c>
      <c r="M29" s="267"/>
      <c r="N29" s="267"/>
      <c r="O29" s="267"/>
      <c r="P29" s="268" t="str">
        <f t="shared" si="4"/>
        <v/>
      </c>
      <c r="Q29" s="268" t="str">
        <f t="shared" si="5"/>
        <v/>
      </c>
      <c r="R29" s="268" t="str">
        <f t="shared" si="6"/>
        <v/>
      </c>
      <c r="S29" s="269" t="str">
        <f t="shared" si="7"/>
        <v/>
      </c>
      <c r="T29" s="146" t="str">
        <f t="shared" si="8"/>
        <v>Arjun Reddy vs IMCRCKET</v>
      </c>
      <c r="X29">
        <f t="shared" si="10"/>
        <v>10</v>
      </c>
      <c r="Y29" t="str">
        <f t="array" ref="Y29">_xlfn.LET(_xlpm.m,X29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29">
        <f t="array" ref="Z29">IF(Y29="","",_xlfn.LET(_xlpm.m,X29,_xlpm.names,_xlfn.TAKE($AC$7:$AC$10,$D$8),_xlpm.sizes,_xlfn.TAKE($AD$7:$AD$10,$D$8),_xlpm.counts,_xlpm.sizes*(_xlpm.sizes-1)/2,_xlpm.g,_xlfn.XMATCH(Y29,_xlpm.names),_xlpm.prev,IF(_xlpm.g=1,0,INDEX(_xlfn.SCAN(0,_xlpm.counts,_xlfn.LAMBDA(_xlpm.a,_xlpm.b,_xlpm.a+_xlpm.b)),_xlpm.g-1)),_xlpm.m-_xlpm.prev))</f>
        <v>7</v>
      </c>
      <c r="AA29">
        <f t="array" ref="AA29">IF(Z29="","",_xlfn.LET(_xlpm.names,_xlfn.TAKE($AC$7:$AC$10,$D$8),_xlpm.n,INDEX(_xlfn.TAKE($AD$7:$AD$10,$D$8),_xlfn.XMATCH(Y29,_xlpm.names)),_xlpm.p,Z29,MATCH(TRUE,_xlpm.p&lt;=(_xlpm.n*_xlfn.SEQUENCE(_xlpm.n-1)-_xlfn.SEQUENCE(_xlpm.n-1)*(_xlfn.SEQUENCE(_xlpm.n-1)+1)/2),0)))</f>
        <v>2</v>
      </c>
      <c r="AB29">
        <f t="array" ref="AB29">IF(Z29="","",_xlfn.LET(_xlpm.names,_xlfn.TAKE($AC$7:$AC$10,$D$8),_xlpm.n,INDEX(_xlfn.TAKE($AD$7:$AD$10,$D$8),_xlfn.XMATCH(Y29,_xlpm.names)),_xlpm.p,Z29,_xlpm.a,AA29,_xlpm.prev,IF(_xlpm.a=1,0,_xlpm.n*(_xlpm.a-1)-(_xlpm.a-1)*_xlpm.a/2),_xlpm.a+_xlpm.p-_xlpm.prev))</f>
        <v>4</v>
      </c>
      <c r="AC29" t="str">
        <f t="array" ref="AC29">IF(AA29="","",IFERROR(INDEX(_xlfn._xlws.FILTER($C$20:$C$51,$D$20:$D$51=Y29),AA29),""))</f>
        <v>Arjun Reddy</v>
      </c>
      <c r="AD29" t="str">
        <f t="array" ref="AD29">IF(AB29="","",IFERROR(INDEX(_xlfn._xlws.FILTER($C$20:$C$51,$D$20:$D$51=Y29),AB29),""))</f>
        <v>IMCRCKET</v>
      </c>
      <c r="AF29" s="172">
        <v>10</v>
      </c>
      <c r="AG29" s="172">
        <f t="array" ref="AG29">IF(AF29&gt;28,"",_xlfn.LET(_xlpm.n,8,_xlpm.p,AF29,MATCH(TRUE,_xlpm.p&lt;=(_xlpm.n*_xlfn.SEQUENCE(_xlpm.n-1)-_xlfn.SEQUENCE(_xlpm.n-1)*(_xlfn.SEQUENCE(_xlpm.n-1)+1)/2),0)))</f>
        <v>2</v>
      </c>
      <c r="AH29" s="172">
        <f t="shared" si="9"/>
        <v>5</v>
      </c>
    </row>
    <row r="30" spans="2:34" x14ac:dyDescent="0.3">
      <c r="B30" s="33">
        <v>11</v>
      </c>
      <c r="C30" s="34" t="s">
        <v>65</v>
      </c>
      <c r="D30" s="153" t="str">
        <f t="array" ref="D30">_xlfn.LET(_xlpm.pos,ROW()-ROW($C$20)+1,_xlpm.names,$AC$7:$AC$10,_xlpm.sizes,$AD$7:$AD$10,_xlpm.active,$D$8,_xlpm.total,SUM(_xlfn.TAKE(_xlpm.sizes,_xlpm.active)),_xlpm.cum,_xlfn.SCAN(0,_xlfn.TAKE(_xlpm.sizes,_xlpm.active),_xlfn.LAMBDA(_xlpm.a,_xlpm.b,_xlpm.a+_xlpm.b)),IF(OR(C30="",_xlpm.pos&gt;_xlpm.total),"",INDEX(_xlfn.TAKE(_xlpm.names,_xlpm.active),_xlfn.XMATCH(TRUE,_xlpm.pos&lt;=_xlpm.cum))))</f>
        <v>Golden</v>
      </c>
      <c r="F30" s="264">
        <f t="shared" si="0"/>
        <v>11</v>
      </c>
      <c r="G30" s="265" t="str">
        <f t="shared" si="1"/>
        <v>Super</v>
      </c>
      <c r="H30" s="266" t="str">
        <f t="shared" si="2"/>
        <v>Arjun Reddy</v>
      </c>
      <c r="I30" s="267"/>
      <c r="J30" s="267"/>
      <c r="K30" s="267"/>
      <c r="L30" s="266" t="str">
        <f t="shared" si="3"/>
        <v>Onkar</v>
      </c>
      <c r="M30" s="267"/>
      <c r="N30" s="267"/>
      <c r="O30" s="267"/>
      <c r="P30" s="268" t="str">
        <f t="shared" si="4"/>
        <v/>
      </c>
      <c r="Q30" s="268" t="str">
        <f t="shared" si="5"/>
        <v/>
      </c>
      <c r="R30" s="268" t="str">
        <f t="shared" si="6"/>
        <v/>
      </c>
      <c r="S30" s="269" t="str">
        <f t="shared" si="7"/>
        <v/>
      </c>
      <c r="T30" s="146" t="str">
        <f t="shared" si="8"/>
        <v>Arjun Reddy vs Onkar</v>
      </c>
      <c r="X30">
        <f t="shared" si="10"/>
        <v>11</v>
      </c>
      <c r="Y30" t="str">
        <f t="array" ref="Y30">_xlfn.LET(_xlpm.m,X30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30">
        <f t="array" ref="Z30">IF(Y30="","",_xlfn.LET(_xlpm.m,X30,_xlpm.names,_xlfn.TAKE($AC$7:$AC$10,$D$8),_xlpm.sizes,_xlfn.TAKE($AD$7:$AD$10,$D$8),_xlpm.counts,_xlpm.sizes*(_xlpm.sizes-1)/2,_xlpm.g,_xlfn.XMATCH(Y30,_xlpm.names),_xlpm.prev,IF(_xlpm.g=1,0,INDEX(_xlfn.SCAN(0,_xlpm.counts,_xlfn.LAMBDA(_xlpm.a,_xlpm.b,_xlpm.a+_xlpm.b)),_xlpm.g-1)),_xlpm.m-_xlpm.prev))</f>
        <v>8</v>
      </c>
      <c r="AA30">
        <f t="array" ref="AA30">IF(Z30="","",_xlfn.LET(_xlpm.names,_xlfn.TAKE($AC$7:$AC$10,$D$8),_xlpm.n,INDEX(_xlfn.TAKE($AD$7:$AD$10,$D$8),_xlfn.XMATCH(Y30,_xlpm.names)),_xlpm.p,Z30,MATCH(TRUE,_xlpm.p&lt;=(_xlpm.n*_xlfn.SEQUENCE(_xlpm.n-1)-_xlfn.SEQUENCE(_xlpm.n-1)*(_xlfn.SEQUENCE(_xlpm.n-1)+1)/2),0)))</f>
        <v>2</v>
      </c>
      <c r="AB30">
        <f t="array" ref="AB30">IF(Z30="","",_xlfn.LET(_xlpm.names,_xlfn.TAKE($AC$7:$AC$10,$D$8),_xlpm.n,INDEX(_xlfn.TAKE($AD$7:$AD$10,$D$8),_xlfn.XMATCH(Y30,_xlpm.names)),_xlpm.p,Z30,_xlpm.a,AA30,_xlpm.prev,IF(_xlpm.a=1,0,_xlpm.n*(_xlpm.a-1)-(_xlpm.a-1)*_xlpm.a/2),_xlpm.a+_xlpm.p-_xlpm.prev))</f>
        <v>5</v>
      </c>
      <c r="AC30" t="str">
        <f t="array" ref="AC30">IF(AA30="","",IFERROR(INDEX(_xlfn._xlws.FILTER($C$20:$C$51,$D$20:$D$51=Y30),AA30),""))</f>
        <v>Arjun Reddy</v>
      </c>
      <c r="AD30" t="str">
        <f t="array" ref="AD30">IF(AB30="","",IFERROR(INDEX(_xlfn._xlws.FILTER($C$20:$C$51,$D$20:$D$51=Y30),AB30),""))</f>
        <v>Onkar</v>
      </c>
      <c r="AF30" s="172">
        <v>11</v>
      </c>
      <c r="AG30" s="172">
        <f t="array" ref="AG30">IF(AF30&gt;28,"",_xlfn.LET(_xlpm.n,8,_xlpm.p,AF30,MATCH(TRUE,_xlpm.p&lt;=(_xlpm.n*_xlfn.SEQUENCE(_xlpm.n-1)-_xlfn.SEQUENCE(_xlpm.n-1)*(_xlfn.SEQUENCE(_xlpm.n-1)+1)/2),0)))</f>
        <v>2</v>
      </c>
      <c r="AH30" s="172">
        <f t="shared" si="9"/>
        <v>6</v>
      </c>
    </row>
    <row r="31" spans="2:34" x14ac:dyDescent="0.3">
      <c r="B31" s="33">
        <v>12</v>
      </c>
      <c r="C31" s="34" t="s">
        <v>66</v>
      </c>
      <c r="D31" s="153" t="str">
        <f t="array" ref="D31">_xlfn.LET(_xlpm.pos,ROW()-ROW($C$20)+1,_xlpm.names,$AC$7:$AC$10,_xlpm.sizes,$AD$7:$AD$10,_xlpm.active,$D$8,_xlpm.total,SUM(_xlfn.TAKE(_xlpm.sizes,_xlpm.active)),_xlpm.cum,_xlfn.SCAN(0,_xlfn.TAKE(_xlpm.sizes,_xlpm.active),_xlfn.LAMBDA(_xlpm.a,_xlpm.b,_xlpm.a+_xlpm.b)),IF(OR(C31="",_xlpm.pos&gt;_xlpm.total),"",INDEX(_xlfn.TAKE(_xlpm.names,_xlpm.active),_xlfn.XMATCH(TRUE,_xlpm.pos&lt;=_xlpm.cum))))</f>
        <v>Golden</v>
      </c>
      <c r="F31" s="264">
        <f t="shared" si="0"/>
        <v>12</v>
      </c>
      <c r="G31" s="265" t="str">
        <f t="shared" si="1"/>
        <v>Super</v>
      </c>
      <c r="H31" s="266" t="str">
        <f t="shared" si="2"/>
        <v>Arjun Reddy</v>
      </c>
      <c r="I31" s="267"/>
      <c r="J31" s="267"/>
      <c r="K31" s="267"/>
      <c r="L31" s="266" t="str">
        <f t="shared" si="3"/>
        <v>Senthil</v>
      </c>
      <c r="M31" s="267"/>
      <c r="N31" s="267"/>
      <c r="O31" s="267"/>
      <c r="P31" s="268" t="str">
        <f t="shared" si="4"/>
        <v/>
      </c>
      <c r="Q31" s="268" t="str">
        <f t="shared" si="5"/>
        <v/>
      </c>
      <c r="R31" s="268" t="str">
        <f t="shared" si="6"/>
        <v/>
      </c>
      <c r="S31" s="269" t="str">
        <f t="shared" si="7"/>
        <v/>
      </c>
      <c r="T31" s="146" t="str">
        <f t="shared" si="8"/>
        <v>Arjun Reddy vs Senthil</v>
      </c>
      <c r="X31">
        <f t="shared" si="10"/>
        <v>12</v>
      </c>
      <c r="Y31" t="str">
        <f t="array" ref="Y31">_xlfn.LET(_xlpm.m,X31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31">
        <f t="array" ref="Z31">IF(Y31="","",_xlfn.LET(_xlpm.m,X31,_xlpm.names,_xlfn.TAKE($AC$7:$AC$10,$D$8),_xlpm.sizes,_xlfn.TAKE($AD$7:$AD$10,$D$8),_xlpm.counts,_xlpm.sizes*(_xlpm.sizes-1)/2,_xlpm.g,_xlfn.XMATCH(Y31,_xlpm.names),_xlpm.prev,IF(_xlpm.g=1,0,INDEX(_xlfn.SCAN(0,_xlpm.counts,_xlfn.LAMBDA(_xlpm.a,_xlpm.b,_xlpm.a+_xlpm.b)),_xlpm.g-1)),_xlpm.m-_xlpm.prev))</f>
        <v>9</v>
      </c>
      <c r="AA31">
        <f t="array" ref="AA31">IF(Z31="","",_xlfn.LET(_xlpm.names,_xlfn.TAKE($AC$7:$AC$10,$D$8),_xlpm.n,INDEX(_xlfn.TAKE($AD$7:$AD$10,$D$8),_xlfn.XMATCH(Y31,_xlpm.names)),_xlpm.p,Z31,MATCH(TRUE,_xlpm.p&lt;=(_xlpm.n*_xlfn.SEQUENCE(_xlpm.n-1)-_xlfn.SEQUENCE(_xlpm.n-1)*(_xlfn.SEQUENCE(_xlpm.n-1)+1)/2),0)))</f>
        <v>2</v>
      </c>
      <c r="AB31">
        <f t="array" ref="AB31">IF(Z31="","",_xlfn.LET(_xlpm.names,_xlfn.TAKE($AC$7:$AC$10,$D$8),_xlpm.n,INDEX(_xlfn.TAKE($AD$7:$AD$10,$D$8),_xlfn.XMATCH(Y31,_xlpm.names)),_xlpm.p,Z31,_xlpm.a,AA31,_xlpm.prev,IF(_xlpm.a=1,0,_xlpm.n*(_xlpm.a-1)-(_xlpm.a-1)*_xlpm.a/2),_xlpm.a+_xlpm.p-_xlpm.prev))</f>
        <v>6</v>
      </c>
      <c r="AC31" t="str">
        <f t="array" ref="AC31">IF(AA31="","",IFERROR(INDEX(_xlfn._xlws.FILTER($C$20:$C$51,$D$20:$D$51=Y31),AA31),""))</f>
        <v>Arjun Reddy</v>
      </c>
      <c r="AD31" t="str">
        <f t="array" ref="AD31">IF(AB31="","",IFERROR(INDEX(_xlfn._xlws.FILTER($C$20:$C$51,$D$20:$D$51=Y31),AB31),""))</f>
        <v>Senthil</v>
      </c>
      <c r="AF31" s="172">
        <v>12</v>
      </c>
      <c r="AG31" s="172">
        <f t="array" ref="AG31">IF(AF31&gt;28,"",_xlfn.LET(_xlpm.n,8,_xlpm.p,AF31,MATCH(TRUE,_xlpm.p&lt;=(_xlpm.n*_xlfn.SEQUENCE(_xlpm.n-1)-_xlfn.SEQUENCE(_xlpm.n-1)*(_xlfn.SEQUENCE(_xlpm.n-1)+1)/2),0)))</f>
        <v>2</v>
      </c>
      <c r="AH31" s="172">
        <f t="shared" si="9"/>
        <v>7</v>
      </c>
    </row>
    <row r="32" spans="2:34" x14ac:dyDescent="0.3">
      <c r="B32" s="33">
        <v>13</v>
      </c>
      <c r="C32" s="34" t="s">
        <v>67</v>
      </c>
      <c r="D32" s="153" t="str">
        <f t="array" ref="D32">_xlfn.LET(_xlpm.pos,ROW()-ROW($C$20)+1,_xlpm.names,$AC$7:$AC$10,_xlpm.sizes,$AD$7:$AD$10,_xlpm.active,$D$8,_xlpm.total,SUM(_xlfn.TAKE(_xlpm.sizes,_xlpm.active)),_xlpm.cum,_xlfn.SCAN(0,_xlfn.TAKE(_xlpm.sizes,_xlpm.active),_xlfn.LAMBDA(_xlpm.a,_xlpm.b,_xlpm.a+_xlpm.b)),IF(OR(C32="",_xlpm.pos&gt;_xlpm.total),"",INDEX(_xlfn.TAKE(_xlpm.names,_xlpm.active),_xlfn.XMATCH(TRUE,_xlpm.pos&lt;=_xlpm.cum))))</f>
        <v>Golden</v>
      </c>
      <c r="F32" s="264">
        <f t="shared" si="0"/>
        <v>13</v>
      </c>
      <c r="G32" s="265" t="str">
        <f t="shared" si="1"/>
        <v>Super</v>
      </c>
      <c r="H32" s="266" t="str">
        <f t="shared" si="2"/>
        <v>KC Mehta</v>
      </c>
      <c r="I32" s="267"/>
      <c r="J32" s="267"/>
      <c r="K32" s="267"/>
      <c r="L32" s="266" t="str">
        <f t="shared" si="3"/>
        <v>IMCRCKET</v>
      </c>
      <c r="M32" s="267"/>
      <c r="N32" s="267"/>
      <c r="O32" s="267"/>
      <c r="P32" s="268" t="str">
        <f t="shared" si="4"/>
        <v/>
      </c>
      <c r="Q32" s="268" t="str">
        <f t="shared" si="5"/>
        <v/>
      </c>
      <c r="R32" s="268" t="str">
        <f t="shared" si="6"/>
        <v/>
      </c>
      <c r="S32" s="269" t="str">
        <f t="shared" si="7"/>
        <v/>
      </c>
      <c r="T32" s="146" t="str">
        <f t="shared" si="8"/>
        <v>KC Mehta vs IMCRCKET</v>
      </c>
      <c r="X32">
        <f t="shared" si="10"/>
        <v>13</v>
      </c>
      <c r="Y32" t="str">
        <f t="array" ref="Y32">_xlfn.LET(_xlpm.m,X32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32">
        <f t="array" ref="Z32">IF(Y32="","",_xlfn.LET(_xlpm.m,X32,_xlpm.names,_xlfn.TAKE($AC$7:$AC$10,$D$8),_xlpm.sizes,_xlfn.TAKE($AD$7:$AD$10,$D$8),_xlpm.counts,_xlpm.sizes*(_xlpm.sizes-1)/2,_xlpm.g,_xlfn.XMATCH(Y32,_xlpm.names),_xlpm.prev,IF(_xlpm.g=1,0,INDEX(_xlfn.SCAN(0,_xlpm.counts,_xlfn.LAMBDA(_xlpm.a,_xlpm.b,_xlpm.a+_xlpm.b)),_xlpm.g-1)),_xlpm.m-_xlpm.prev))</f>
        <v>10</v>
      </c>
      <c r="AA32">
        <f t="array" ref="AA32">IF(Z32="","",_xlfn.LET(_xlpm.names,_xlfn.TAKE($AC$7:$AC$10,$D$8),_xlpm.n,INDEX(_xlfn.TAKE($AD$7:$AD$10,$D$8),_xlfn.XMATCH(Y32,_xlpm.names)),_xlpm.p,Z32,MATCH(TRUE,_xlpm.p&lt;=(_xlpm.n*_xlfn.SEQUENCE(_xlpm.n-1)-_xlfn.SEQUENCE(_xlpm.n-1)*(_xlfn.SEQUENCE(_xlpm.n-1)+1)/2),0)))</f>
        <v>3</v>
      </c>
      <c r="AB32">
        <f t="array" ref="AB32">IF(Z32="","",_xlfn.LET(_xlpm.names,_xlfn.TAKE($AC$7:$AC$10,$D$8),_xlpm.n,INDEX(_xlfn.TAKE($AD$7:$AD$10,$D$8),_xlfn.XMATCH(Y32,_xlpm.names)),_xlpm.p,Z32,_xlpm.a,AA32,_xlpm.prev,IF(_xlpm.a=1,0,_xlpm.n*(_xlpm.a-1)-(_xlpm.a-1)*_xlpm.a/2),_xlpm.a+_xlpm.p-_xlpm.prev))</f>
        <v>4</v>
      </c>
      <c r="AC32" t="str">
        <f t="array" ref="AC32">IF(AA32="","",IFERROR(INDEX(_xlfn._xlws.FILTER($C$20:$C$51,$D$20:$D$51=Y32),AA32),""))</f>
        <v>KC Mehta</v>
      </c>
      <c r="AD32" t="str">
        <f t="array" ref="AD32">IF(AB32="","",IFERROR(INDEX(_xlfn._xlws.FILTER($C$20:$C$51,$D$20:$D$51=Y32),AB32),""))</f>
        <v>IMCRCKET</v>
      </c>
      <c r="AF32" s="172">
        <v>13</v>
      </c>
      <c r="AG32" s="172">
        <f t="array" ref="AG32">IF(AF32&gt;28,"",_xlfn.LET(_xlpm.n,8,_xlpm.p,AF32,MATCH(TRUE,_xlpm.p&lt;=(_xlpm.n*_xlfn.SEQUENCE(_xlpm.n-1)-_xlfn.SEQUENCE(_xlpm.n-1)*(_xlfn.SEQUENCE(_xlpm.n-1)+1)/2),0)))</f>
        <v>2</v>
      </c>
      <c r="AH32" s="172">
        <f t="shared" si="9"/>
        <v>8</v>
      </c>
    </row>
    <row r="33" spans="2:34" x14ac:dyDescent="0.3">
      <c r="B33" s="33">
        <v>14</v>
      </c>
      <c r="C33" s="34" t="s">
        <v>68</v>
      </c>
      <c r="D33" s="153" t="str">
        <f t="array" ref="D33">_xlfn.LET(_xlpm.pos,ROW()-ROW($C$20)+1,_xlpm.names,$AC$7:$AC$10,_xlpm.sizes,$AD$7:$AD$10,_xlpm.active,$D$8,_xlpm.total,SUM(_xlfn.TAKE(_xlpm.sizes,_xlpm.active)),_xlpm.cum,_xlfn.SCAN(0,_xlfn.TAKE(_xlpm.sizes,_xlpm.active),_xlfn.LAMBDA(_xlpm.a,_xlpm.b,_xlpm.a+_xlpm.b)),IF(OR(C33="",_xlpm.pos&gt;_xlpm.total),"",INDEX(_xlfn.TAKE(_xlpm.names,_xlpm.active),_xlfn.XMATCH(TRUE,_xlpm.pos&lt;=_xlpm.cum))))</f>
        <v>Golden</v>
      </c>
      <c r="F33" s="264">
        <f t="shared" si="0"/>
        <v>14</v>
      </c>
      <c r="G33" s="265" t="str">
        <f t="shared" si="1"/>
        <v>Super</v>
      </c>
      <c r="H33" s="266" t="str">
        <f t="shared" si="2"/>
        <v>KC Mehta</v>
      </c>
      <c r="I33" s="267"/>
      <c r="J33" s="267"/>
      <c r="K33" s="267"/>
      <c r="L33" s="266" t="str">
        <f t="shared" si="3"/>
        <v>Onkar</v>
      </c>
      <c r="M33" s="267"/>
      <c r="N33" s="267"/>
      <c r="O33" s="267"/>
      <c r="P33" s="268" t="str">
        <f t="shared" si="4"/>
        <v/>
      </c>
      <c r="Q33" s="268" t="str">
        <f t="shared" si="5"/>
        <v/>
      </c>
      <c r="R33" s="268" t="str">
        <f t="shared" si="6"/>
        <v/>
      </c>
      <c r="S33" s="269" t="str">
        <f t="shared" si="7"/>
        <v/>
      </c>
      <c r="T33" s="146" t="str">
        <f t="shared" si="8"/>
        <v>KC Mehta vs Onkar</v>
      </c>
      <c r="X33">
        <f t="shared" si="10"/>
        <v>14</v>
      </c>
      <c r="Y33" t="str">
        <f t="array" ref="Y33">_xlfn.LET(_xlpm.m,X33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33">
        <f t="array" ref="Z33">IF(Y33="","",_xlfn.LET(_xlpm.m,X33,_xlpm.names,_xlfn.TAKE($AC$7:$AC$10,$D$8),_xlpm.sizes,_xlfn.TAKE($AD$7:$AD$10,$D$8),_xlpm.counts,_xlpm.sizes*(_xlpm.sizes-1)/2,_xlpm.g,_xlfn.XMATCH(Y33,_xlpm.names),_xlpm.prev,IF(_xlpm.g=1,0,INDEX(_xlfn.SCAN(0,_xlpm.counts,_xlfn.LAMBDA(_xlpm.a,_xlpm.b,_xlpm.a+_xlpm.b)),_xlpm.g-1)),_xlpm.m-_xlpm.prev))</f>
        <v>11</v>
      </c>
      <c r="AA33">
        <f t="array" ref="AA33">IF(Z33="","",_xlfn.LET(_xlpm.names,_xlfn.TAKE($AC$7:$AC$10,$D$8),_xlpm.n,INDEX(_xlfn.TAKE($AD$7:$AD$10,$D$8),_xlfn.XMATCH(Y33,_xlpm.names)),_xlpm.p,Z33,MATCH(TRUE,_xlpm.p&lt;=(_xlpm.n*_xlfn.SEQUENCE(_xlpm.n-1)-_xlfn.SEQUENCE(_xlpm.n-1)*(_xlfn.SEQUENCE(_xlpm.n-1)+1)/2),0)))</f>
        <v>3</v>
      </c>
      <c r="AB33">
        <f t="array" ref="AB33">IF(Z33="","",_xlfn.LET(_xlpm.names,_xlfn.TAKE($AC$7:$AC$10,$D$8),_xlpm.n,INDEX(_xlfn.TAKE($AD$7:$AD$10,$D$8),_xlfn.XMATCH(Y33,_xlpm.names)),_xlpm.p,Z33,_xlpm.a,AA33,_xlpm.prev,IF(_xlpm.a=1,0,_xlpm.n*(_xlpm.a-1)-(_xlpm.a-1)*_xlpm.a/2),_xlpm.a+_xlpm.p-_xlpm.prev))</f>
        <v>5</v>
      </c>
      <c r="AC33" t="str">
        <f t="array" ref="AC33">IF(AA33="","",IFERROR(INDEX(_xlfn._xlws.FILTER($C$20:$C$51,$D$20:$D$51=Y33),AA33),""))</f>
        <v>KC Mehta</v>
      </c>
      <c r="AD33" t="str">
        <f t="array" ref="AD33">IF(AB33="","",IFERROR(INDEX(_xlfn._xlws.FILTER($C$20:$C$51,$D$20:$D$51=Y33),AB33),""))</f>
        <v>Onkar</v>
      </c>
      <c r="AF33" s="172">
        <v>14</v>
      </c>
      <c r="AG33" s="172">
        <f t="array" ref="AG33">IF(AF33&gt;28,"",_xlfn.LET(_xlpm.n,8,_xlpm.p,AF33,MATCH(TRUE,_xlpm.p&lt;=(_xlpm.n*_xlfn.SEQUENCE(_xlpm.n-1)-_xlfn.SEQUENCE(_xlpm.n-1)*(_xlfn.SEQUENCE(_xlpm.n-1)+1)/2),0)))</f>
        <v>3</v>
      </c>
      <c r="AH33" s="172">
        <f t="shared" si="9"/>
        <v>4</v>
      </c>
    </row>
    <row r="34" spans="2:34" x14ac:dyDescent="0.3">
      <c r="B34" s="33">
        <v>15</v>
      </c>
      <c r="C34" s="34" t="s">
        <v>69</v>
      </c>
      <c r="D34" s="153" t="str">
        <f t="array" ref="D34">_xlfn.LET(_xlpm.pos,ROW()-ROW($C$20)+1,_xlpm.names,$AC$7:$AC$10,_xlpm.sizes,$AD$7:$AD$10,_xlpm.active,$D$8,_xlpm.total,SUM(_xlfn.TAKE(_xlpm.sizes,_xlpm.active)),_xlpm.cum,_xlfn.SCAN(0,_xlfn.TAKE(_xlpm.sizes,_xlpm.active),_xlfn.LAMBDA(_xlpm.a,_xlpm.b,_xlpm.a+_xlpm.b)),IF(OR(C34="",_xlpm.pos&gt;_xlpm.total),"",INDEX(_xlfn.TAKE(_xlpm.names,_xlpm.active),_xlfn.XMATCH(TRUE,_xlpm.pos&lt;=_xlpm.cum))))</f>
        <v>Challenger</v>
      </c>
      <c r="F34" s="264">
        <f t="shared" si="0"/>
        <v>15</v>
      </c>
      <c r="G34" s="265" t="str">
        <f t="shared" si="1"/>
        <v>Super</v>
      </c>
      <c r="H34" s="266" t="str">
        <f t="shared" si="2"/>
        <v>KC Mehta</v>
      </c>
      <c r="I34" s="267"/>
      <c r="J34" s="267"/>
      <c r="K34" s="267"/>
      <c r="L34" s="266" t="str">
        <f t="shared" si="3"/>
        <v>Senthil</v>
      </c>
      <c r="M34" s="267"/>
      <c r="N34" s="267"/>
      <c r="O34" s="267"/>
      <c r="P34" s="268" t="str">
        <f t="shared" si="4"/>
        <v/>
      </c>
      <c r="Q34" s="268" t="str">
        <f t="shared" si="5"/>
        <v/>
      </c>
      <c r="R34" s="268" t="str">
        <f t="shared" si="6"/>
        <v/>
      </c>
      <c r="S34" s="269" t="str">
        <f t="shared" si="7"/>
        <v/>
      </c>
      <c r="T34" s="146" t="str">
        <f t="shared" si="8"/>
        <v>KC Mehta vs Senthil</v>
      </c>
      <c r="X34">
        <f t="shared" si="10"/>
        <v>15</v>
      </c>
      <c r="Y34" t="str">
        <f t="array" ref="Y34">_xlfn.LET(_xlpm.m,X34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34">
        <f t="array" ref="Z34">IF(Y34="","",_xlfn.LET(_xlpm.m,X34,_xlpm.names,_xlfn.TAKE($AC$7:$AC$10,$D$8),_xlpm.sizes,_xlfn.TAKE($AD$7:$AD$10,$D$8),_xlpm.counts,_xlpm.sizes*(_xlpm.sizes-1)/2,_xlpm.g,_xlfn.XMATCH(Y34,_xlpm.names),_xlpm.prev,IF(_xlpm.g=1,0,INDEX(_xlfn.SCAN(0,_xlpm.counts,_xlfn.LAMBDA(_xlpm.a,_xlpm.b,_xlpm.a+_xlpm.b)),_xlpm.g-1)),_xlpm.m-_xlpm.prev))</f>
        <v>12</v>
      </c>
      <c r="AA34">
        <f t="array" ref="AA34">IF(Z34="","",_xlfn.LET(_xlpm.names,_xlfn.TAKE($AC$7:$AC$10,$D$8),_xlpm.n,INDEX(_xlfn.TAKE($AD$7:$AD$10,$D$8),_xlfn.XMATCH(Y34,_xlpm.names)),_xlpm.p,Z34,MATCH(TRUE,_xlpm.p&lt;=(_xlpm.n*_xlfn.SEQUENCE(_xlpm.n-1)-_xlfn.SEQUENCE(_xlpm.n-1)*(_xlfn.SEQUENCE(_xlpm.n-1)+1)/2),0)))</f>
        <v>3</v>
      </c>
      <c r="AB34">
        <f t="array" ref="AB34">IF(Z34="","",_xlfn.LET(_xlpm.names,_xlfn.TAKE($AC$7:$AC$10,$D$8),_xlpm.n,INDEX(_xlfn.TAKE($AD$7:$AD$10,$D$8),_xlfn.XMATCH(Y34,_xlpm.names)),_xlpm.p,Z34,_xlpm.a,AA34,_xlpm.prev,IF(_xlpm.a=1,0,_xlpm.n*(_xlpm.a-1)-(_xlpm.a-1)*_xlpm.a/2),_xlpm.a+_xlpm.p-_xlpm.prev))</f>
        <v>6</v>
      </c>
      <c r="AC34" t="str">
        <f t="array" ref="AC34">IF(AA34="","",IFERROR(INDEX(_xlfn._xlws.FILTER($C$20:$C$51,$D$20:$D$51=Y34),AA34),""))</f>
        <v>KC Mehta</v>
      </c>
      <c r="AD34" t="str">
        <f t="array" ref="AD34">IF(AB34="","",IFERROR(INDEX(_xlfn._xlws.FILTER($C$20:$C$51,$D$20:$D$51=Y34),AB34),""))</f>
        <v>Senthil</v>
      </c>
      <c r="AF34" s="172">
        <v>15</v>
      </c>
      <c r="AG34" s="172">
        <f t="array" ref="AG34">IF(AF34&gt;28,"",_xlfn.LET(_xlpm.n,8,_xlpm.p,AF34,MATCH(TRUE,_xlpm.p&lt;=(_xlpm.n*_xlfn.SEQUENCE(_xlpm.n-1)-_xlfn.SEQUENCE(_xlpm.n-1)*(_xlfn.SEQUENCE(_xlpm.n-1)+1)/2),0)))</f>
        <v>3</v>
      </c>
      <c r="AH34" s="172">
        <f t="shared" si="9"/>
        <v>5</v>
      </c>
    </row>
    <row r="35" spans="2:34" x14ac:dyDescent="0.3">
      <c r="B35" s="33">
        <v>16</v>
      </c>
      <c r="C35" s="34" t="s">
        <v>70</v>
      </c>
      <c r="D35" s="153" t="str">
        <f t="array" ref="D35">_xlfn.LET(_xlpm.pos,ROW()-ROW($C$20)+1,_xlpm.names,$AC$7:$AC$10,_xlpm.sizes,$AD$7:$AD$10,_xlpm.active,$D$8,_xlpm.total,SUM(_xlfn.TAKE(_xlpm.sizes,_xlpm.active)),_xlpm.cum,_xlfn.SCAN(0,_xlfn.TAKE(_xlpm.sizes,_xlpm.active),_xlfn.LAMBDA(_xlpm.a,_xlpm.b,_xlpm.a+_xlpm.b)),IF(OR(C35="",_xlpm.pos&gt;_xlpm.total),"",INDEX(_xlfn.TAKE(_xlpm.names,_xlpm.active),_xlfn.XMATCH(TRUE,_xlpm.pos&lt;=_xlpm.cum))))</f>
        <v>Challenger</v>
      </c>
      <c r="F35" s="264">
        <f t="shared" si="0"/>
        <v>16</v>
      </c>
      <c r="G35" s="265" t="str">
        <f t="shared" si="1"/>
        <v>Super</v>
      </c>
      <c r="H35" s="266" t="str">
        <f t="shared" si="2"/>
        <v>IMCRCKET</v>
      </c>
      <c r="I35" s="267"/>
      <c r="J35" s="267"/>
      <c r="K35" s="267"/>
      <c r="L35" s="266" t="str">
        <f t="shared" si="3"/>
        <v>Onkar</v>
      </c>
      <c r="M35" s="267"/>
      <c r="N35" s="267"/>
      <c r="O35" s="267"/>
      <c r="P35" s="268" t="str">
        <f t="shared" si="4"/>
        <v/>
      </c>
      <c r="Q35" s="268" t="str">
        <f t="shared" si="5"/>
        <v/>
      </c>
      <c r="R35" s="268" t="str">
        <f t="shared" si="6"/>
        <v/>
      </c>
      <c r="S35" s="269" t="str">
        <f t="shared" si="7"/>
        <v/>
      </c>
      <c r="T35" s="146" t="str">
        <f t="shared" si="8"/>
        <v>IMCRCKET vs Onkar</v>
      </c>
      <c r="X35">
        <f t="shared" si="10"/>
        <v>16</v>
      </c>
      <c r="Y35" t="str">
        <f t="array" ref="Y35">_xlfn.LET(_xlpm.m,X35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35">
        <f t="array" ref="Z35">IF(Y35="","",_xlfn.LET(_xlpm.m,X35,_xlpm.names,_xlfn.TAKE($AC$7:$AC$10,$D$8),_xlpm.sizes,_xlfn.TAKE($AD$7:$AD$10,$D$8),_xlpm.counts,_xlpm.sizes*(_xlpm.sizes-1)/2,_xlpm.g,_xlfn.XMATCH(Y35,_xlpm.names),_xlpm.prev,IF(_xlpm.g=1,0,INDEX(_xlfn.SCAN(0,_xlpm.counts,_xlfn.LAMBDA(_xlpm.a,_xlpm.b,_xlpm.a+_xlpm.b)),_xlpm.g-1)),_xlpm.m-_xlpm.prev))</f>
        <v>13</v>
      </c>
      <c r="AA35">
        <f t="array" ref="AA35">IF(Z35="","",_xlfn.LET(_xlpm.names,_xlfn.TAKE($AC$7:$AC$10,$D$8),_xlpm.n,INDEX(_xlfn.TAKE($AD$7:$AD$10,$D$8),_xlfn.XMATCH(Y35,_xlpm.names)),_xlpm.p,Z35,MATCH(TRUE,_xlpm.p&lt;=(_xlpm.n*_xlfn.SEQUENCE(_xlpm.n-1)-_xlfn.SEQUENCE(_xlpm.n-1)*(_xlfn.SEQUENCE(_xlpm.n-1)+1)/2),0)))</f>
        <v>4</v>
      </c>
      <c r="AB35">
        <f t="array" ref="AB35">IF(Z35="","",_xlfn.LET(_xlpm.names,_xlfn.TAKE($AC$7:$AC$10,$D$8),_xlpm.n,INDEX(_xlfn.TAKE($AD$7:$AD$10,$D$8),_xlfn.XMATCH(Y35,_xlpm.names)),_xlpm.p,Z35,_xlpm.a,AA35,_xlpm.prev,IF(_xlpm.a=1,0,_xlpm.n*(_xlpm.a-1)-(_xlpm.a-1)*_xlpm.a/2),_xlpm.a+_xlpm.p-_xlpm.prev))</f>
        <v>5</v>
      </c>
      <c r="AC35" t="str">
        <f t="array" ref="AC35">IF(AA35="","",IFERROR(INDEX(_xlfn._xlws.FILTER($C$20:$C$51,$D$20:$D$51=Y35),AA35),""))</f>
        <v>IMCRCKET</v>
      </c>
      <c r="AD35" t="str">
        <f t="array" ref="AD35">IF(AB35="","",IFERROR(INDEX(_xlfn._xlws.FILTER($C$20:$C$51,$D$20:$D$51=Y35),AB35),""))</f>
        <v>Onkar</v>
      </c>
      <c r="AF35" s="172">
        <v>16</v>
      </c>
      <c r="AG35" s="172">
        <f t="array" ref="AG35">IF(AF35&gt;28,"",_xlfn.LET(_xlpm.n,8,_xlpm.p,AF35,MATCH(TRUE,_xlpm.p&lt;=(_xlpm.n*_xlfn.SEQUENCE(_xlpm.n-1)-_xlfn.SEQUENCE(_xlpm.n-1)*(_xlfn.SEQUENCE(_xlpm.n-1)+1)/2),0)))</f>
        <v>3</v>
      </c>
      <c r="AH35" s="172">
        <f t="shared" si="9"/>
        <v>6</v>
      </c>
    </row>
    <row r="36" spans="2:34" x14ac:dyDescent="0.3">
      <c r="B36" s="33">
        <v>17</v>
      </c>
      <c r="C36" s="34" t="s">
        <v>71</v>
      </c>
      <c r="D36" s="153" t="str">
        <f t="array" ref="D36">_xlfn.LET(_xlpm.pos,ROW()-ROW($C$20)+1,_xlpm.names,$AC$7:$AC$10,_xlpm.sizes,$AD$7:$AD$10,_xlpm.active,$D$8,_xlpm.total,SUM(_xlfn.TAKE(_xlpm.sizes,_xlpm.active)),_xlpm.cum,_xlfn.SCAN(0,_xlfn.TAKE(_xlpm.sizes,_xlpm.active),_xlfn.LAMBDA(_xlpm.a,_xlpm.b,_xlpm.a+_xlpm.b)),IF(OR(C36="",_xlpm.pos&gt;_xlpm.total),"",INDEX(_xlfn.TAKE(_xlpm.names,_xlpm.active),_xlfn.XMATCH(TRUE,_xlpm.pos&lt;=_xlpm.cum))))</f>
        <v>Challenger</v>
      </c>
      <c r="F36" s="264">
        <f t="shared" si="0"/>
        <v>17</v>
      </c>
      <c r="G36" s="265" t="str">
        <f t="shared" si="1"/>
        <v>Super</v>
      </c>
      <c r="H36" s="266" t="str">
        <f t="shared" si="2"/>
        <v>IMCRCKET</v>
      </c>
      <c r="I36" s="267"/>
      <c r="J36" s="267"/>
      <c r="K36" s="267"/>
      <c r="L36" s="266" t="str">
        <f t="shared" si="3"/>
        <v>Senthil</v>
      </c>
      <c r="M36" s="267"/>
      <c r="N36" s="267"/>
      <c r="O36" s="267"/>
      <c r="P36" s="268" t="str">
        <f t="shared" si="4"/>
        <v/>
      </c>
      <c r="Q36" s="268" t="str">
        <f t="shared" si="5"/>
        <v/>
      </c>
      <c r="R36" s="268" t="str">
        <f t="shared" si="6"/>
        <v/>
      </c>
      <c r="S36" s="269" t="str">
        <f t="shared" si="7"/>
        <v/>
      </c>
      <c r="T36" s="146" t="str">
        <f t="shared" si="8"/>
        <v>IMCRCKET vs Senthil</v>
      </c>
      <c r="X36">
        <f t="shared" si="10"/>
        <v>17</v>
      </c>
      <c r="Y36" t="str">
        <f t="array" ref="Y36">_xlfn.LET(_xlpm.m,X36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36">
        <f t="array" ref="Z36">IF(Y36="","",_xlfn.LET(_xlpm.m,X36,_xlpm.names,_xlfn.TAKE($AC$7:$AC$10,$D$8),_xlpm.sizes,_xlfn.TAKE($AD$7:$AD$10,$D$8),_xlpm.counts,_xlpm.sizes*(_xlpm.sizes-1)/2,_xlpm.g,_xlfn.XMATCH(Y36,_xlpm.names),_xlpm.prev,IF(_xlpm.g=1,0,INDEX(_xlfn.SCAN(0,_xlpm.counts,_xlfn.LAMBDA(_xlpm.a,_xlpm.b,_xlpm.a+_xlpm.b)),_xlpm.g-1)),_xlpm.m-_xlpm.prev))</f>
        <v>14</v>
      </c>
      <c r="AA36">
        <f t="array" ref="AA36">IF(Z36="","",_xlfn.LET(_xlpm.names,_xlfn.TAKE($AC$7:$AC$10,$D$8),_xlpm.n,INDEX(_xlfn.TAKE($AD$7:$AD$10,$D$8),_xlfn.XMATCH(Y36,_xlpm.names)),_xlpm.p,Z36,MATCH(TRUE,_xlpm.p&lt;=(_xlpm.n*_xlfn.SEQUENCE(_xlpm.n-1)-_xlfn.SEQUENCE(_xlpm.n-1)*(_xlfn.SEQUENCE(_xlpm.n-1)+1)/2),0)))</f>
        <v>4</v>
      </c>
      <c r="AB36">
        <f t="array" ref="AB36">IF(Z36="","",_xlfn.LET(_xlpm.names,_xlfn.TAKE($AC$7:$AC$10,$D$8),_xlpm.n,INDEX(_xlfn.TAKE($AD$7:$AD$10,$D$8),_xlfn.XMATCH(Y36,_xlpm.names)),_xlpm.p,Z36,_xlpm.a,AA36,_xlpm.prev,IF(_xlpm.a=1,0,_xlpm.n*(_xlpm.a-1)-(_xlpm.a-1)*_xlpm.a/2),_xlpm.a+_xlpm.p-_xlpm.prev))</f>
        <v>6</v>
      </c>
      <c r="AC36" t="str">
        <f t="array" ref="AC36">IF(AA36="","",IFERROR(INDEX(_xlfn._xlws.FILTER($C$20:$C$51,$D$20:$D$51=Y36),AA36),""))</f>
        <v>IMCRCKET</v>
      </c>
      <c r="AD36" t="str">
        <f t="array" ref="AD36">IF(AB36="","",IFERROR(INDEX(_xlfn._xlws.FILTER($C$20:$C$51,$D$20:$D$51=Y36),AB36),""))</f>
        <v>Senthil</v>
      </c>
      <c r="AF36" s="172">
        <v>17</v>
      </c>
      <c r="AG36" s="172">
        <f t="array" ref="AG36">IF(AF36&gt;28,"",_xlfn.LET(_xlpm.n,8,_xlpm.p,AF36,MATCH(TRUE,_xlpm.p&lt;=(_xlpm.n*_xlfn.SEQUENCE(_xlpm.n-1)-_xlfn.SEQUENCE(_xlpm.n-1)*(_xlfn.SEQUENCE(_xlpm.n-1)+1)/2),0)))</f>
        <v>3</v>
      </c>
      <c r="AH36" s="172">
        <f t="shared" si="9"/>
        <v>7</v>
      </c>
    </row>
    <row r="37" spans="2:34" x14ac:dyDescent="0.3">
      <c r="B37" s="33">
        <v>18</v>
      </c>
      <c r="C37" s="34" t="s">
        <v>72</v>
      </c>
      <c r="D37" s="153" t="str">
        <f t="array" ref="D37">_xlfn.LET(_xlpm.pos,ROW()-ROW($C$20)+1,_xlpm.names,$AC$7:$AC$10,_xlpm.sizes,$AD$7:$AD$10,_xlpm.active,$D$8,_xlpm.total,SUM(_xlfn.TAKE(_xlpm.sizes,_xlpm.active)),_xlpm.cum,_xlfn.SCAN(0,_xlfn.TAKE(_xlpm.sizes,_xlpm.active),_xlfn.LAMBDA(_xlpm.a,_xlpm.b,_xlpm.a+_xlpm.b)),IF(OR(C37="",_xlpm.pos&gt;_xlpm.total),"",INDEX(_xlfn.TAKE(_xlpm.names,_xlpm.active),_xlfn.XMATCH(TRUE,_xlpm.pos&lt;=_xlpm.cum))))</f>
        <v>Challenger</v>
      </c>
      <c r="F37" s="264">
        <f t="shared" si="0"/>
        <v>18</v>
      </c>
      <c r="G37" s="265" t="str">
        <f t="shared" si="1"/>
        <v>Super</v>
      </c>
      <c r="H37" s="266" t="str">
        <f t="shared" si="2"/>
        <v>Onkar</v>
      </c>
      <c r="I37" s="267"/>
      <c r="J37" s="267"/>
      <c r="K37" s="267"/>
      <c r="L37" s="266" t="str">
        <f t="shared" si="3"/>
        <v>Senthil</v>
      </c>
      <c r="M37" s="267"/>
      <c r="N37" s="267"/>
      <c r="O37" s="267"/>
      <c r="P37" s="268" t="str">
        <f t="shared" si="4"/>
        <v/>
      </c>
      <c r="Q37" s="268" t="str">
        <f t="shared" si="5"/>
        <v/>
      </c>
      <c r="R37" s="268" t="str">
        <f t="shared" si="6"/>
        <v/>
      </c>
      <c r="S37" s="269" t="str">
        <f t="shared" si="7"/>
        <v/>
      </c>
      <c r="T37" s="146" t="str">
        <f t="shared" si="8"/>
        <v>Onkar vs Senthil</v>
      </c>
      <c r="X37">
        <f t="shared" si="10"/>
        <v>18</v>
      </c>
      <c r="Y37" t="str">
        <f t="array" ref="Y37">_xlfn.LET(_xlpm.m,X37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37">
        <f t="array" ref="Z37">IF(Y37="","",_xlfn.LET(_xlpm.m,X37,_xlpm.names,_xlfn.TAKE($AC$7:$AC$10,$D$8),_xlpm.sizes,_xlfn.TAKE($AD$7:$AD$10,$D$8),_xlpm.counts,_xlpm.sizes*(_xlpm.sizes-1)/2,_xlpm.g,_xlfn.XMATCH(Y37,_xlpm.names),_xlpm.prev,IF(_xlpm.g=1,0,INDEX(_xlfn.SCAN(0,_xlpm.counts,_xlfn.LAMBDA(_xlpm.a,_xlpm.b,_xlpm.a+_xlpm.b)),_xlpm.g-1)),_xlpm.m-_xlpm.prev))</f>
        <v>15</v>
      </c>
      <c r="AA37">
        <f t="array" ref="AA37">IF(Z37="","",_xlfn.LET(_xlpm.names,_xlfn.TAKE($AC$7:$AC$10,$D$8),_xlpm.n,INDEX(_xlfn.TAKE($AD$7:$AD$10,$D$8),_xlfn.XMATCH(Y37,_xlpm.names)),_xlpm.p,Z37,MATCH(TRUE,_xlpm.p&lt;=(_xlpm.n*_xlfn.SEQUENCE(_xlpm.n-1)-_xlfn.SEQUENCE(_xlpm.n-1)*(_xlfn.SEQUENCE(_xlpm.n-1)+1)/2),0)))</f>
        <v>5</v>
      </c>
      <c r="AB37">
        <f t="array" ref="AB37">IF(Z37="","",_xlfn.LET(_xlpm.names,_xlfn.TAKE($AC$7:$AC$10,$D$8),_xlpm.n,INDEX(_xlfn.TAKE($AD$7:$AD$10,$D$8),_xlfn.XMATCH(Y37,_xlpm.names)),_xlpm.p,Z37,_xlpm.a,AA37,_xlpm.prev,IF(_xlpm.a=1,0,_xlpm.n*(_xlpm.a-1)-(_xlpm.a-1)*_xlpm.a/2),_xlpm.a+_xlpm.p-_xlpm.prev))</f>
        <v>6</v>
      </c>
      <c r="AC37" t="str">
        <f t="array" ref="AC37">IF(AA37="","",IFERROR(INDEX(_xlfn._xlws.FILTER($C$20:$C$51,$D$20:$D$51=Y37),AA37),""))</f>
        <v>Onkar</v>
      </c>
      <c r="AD37" t="str">
        <f t="array" ref="AD37">IF(AB37="","",IFERROR(INDEX(_xlfn._xlws.FILTER($C$20:$C$51,$D$20:$D$51=Y37),AB37),""))</f>
        <v>Senthil</v>
      </c>
      <c r="AF37" s="172">
        <v>18</v>
      </c>
      <c r="AG37" s="172">
        <f t="array" ref="AG37">IF(AF37&gt;28,"",_xlfn.LET(_xlpm.n,8,_xlpm.p,AF37,MATCH(TRUE,_xlpm.p&lt;=(_xlpm.n*_xlfn.SEQUENCE(_xlpm.n-1)-_xlfn.SEQUENCE(_xlpm.n-1)*(_xlfn.SEQUENCE(_xlpm.n-1)+1)/2),0)))</f>
        <v>3</v>
      </c>
      <c r="AH37" s="172">
        <f t="shared" si="9"/>
        <v>8</v>
      </c>
    </row>
    <row r="38" spans="2:34" x14ac:dyDescent="0.3">
      <c r="B38" s="33">
        <v>19</v>
      </c>
      <c r="C38" s="34" t="s">
        <v>73</v>
      </c>
      <c r="D38" s="153" t="str">
        <f t="array" ref="D38">_xlfn.LET(_xlpm.pos,ROW()-ROW($C$20)+1,_xlpm.names,$AC$7:$AC$10,_xlpm.sizes,$AD$7:$AD$10,_xlpm.active,$D$8,_xlpm.total,SUM(_xlfn.TAKE(_xlpm.sizes,_xlpm.active)),_xlpm.cum,_xlfn.SCAN(0,_xlfn.TAKE(_xlpm.sizes,_xlpm.active),_xlfn.LAMBDA(_xlpm.a,_xlpm.b,_xlpm.a+_xlpm.b)),IF(OR(C38="",_xlpm.pos&gt;_xlpm.total),"",INDEX(_xlfn.TAKE(_xlpm.names,_xlpm.active),_xlfn.XMATCH(TRUE,_xlpm.pos&lt;=_xlpm.cum))))</f>
        <v>Challenger</v>
      </c>
      <c r="F38" s="264">
        <f t="shared" si="0"/>
        <v>19</v>
      </c>
      <c r="G38" s="265" t="str">
        <f t="shared" si="1"/>
        <v>Golden</v>
      </c>
      <c r="H38" s="266" t="str">
        <f t="shared" si="2"/>
        <v>Haseeb Sha</v>
      </c>
      <c r="I38" s="267"/>
      <c r="J38" s="267"/>
      <c r="K38" s="267"/>
      <c r="L38" s="266" t="str">
        <f t="shared" si="3"/>
        <v>Kalyan</v>
      </c>
      <c r="M38" s="267"/>
      <c r="N38" s="267"/>
      <c r="O38" s="267"/>
      <c r="P38" s="268" t="str">
        <f t="shared" si="4"/>
        <v/>
      </c>
      <c r="Q38" s="268" t="str">
        <f t="shared" si="5"/>
        <v/>
      </c>
      <c r="R38" s="268" t="str">
        <f t="shared" si="6"/>
        <v/>
      </c>
      <c r="S38" s="269" t="str">
        <f t="shared" si="7"/>
        <v/>
      </c>
      <c r="T38" s="146" t="str">
        <f t="shared" si="8"/>
        <v>Haseeb Sha vs Kalyan</v>
      </c>
      <c r="X38">
        <f t="shared" si="10"/>
        <v>19</v>
      </c>
      <c r="Y38" t="str">
        <f t="array" ref="Y38">_xlfn.LET(_xlpm.m,X38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Golden</v>
      </c>
      <c r="Z38">
        <f t="array" ref="Z38">IF(Y38="","",_xlfn.LET(_xlpm.m,X38,_xlpm.names,_xlfn.TAKE($AC$7:$AC$10,$D$8),_xlpm.sizes,_xlfn.TAKE($AD$7:$AD$10,$D$8),_xlpm.counts,_xlpm.sizes*(_xlpm.sizes-1)/2,_xlpm.g,_xlfn.XMATCH(Y38,_xlpm.names),_xlpm.prev,IF(_xlpm.g=1,0,INDEX(_xlfn.SCAN(0,_xlpm.counts,_xlfn.LAMBDA(_xlpm.a,_xlpm.b,_xlpm.a+_xlpm.b)),_xlpm.g-1)),_xlpm.m-_xlpm.prev))</f>
        <v>1</v>
      </c>
      <c r="AA38">
        <f t="array" ref="AA38">IF(Z38="","",_xlfn.LET(_xlpm.names,_xlfn.TAKE($AC$7:$AC$10,$D$8),_xlpm.n,INDEX(_xlfn.TAKE($AD$7:$AD$10,$D$8),_xlfn.XMATCH(Y38,_xlpm.names)),_xlpm.p,Z38,MATCH(TRUE,_xlpm.p&lt;=(_xlpm.n*_xlfn.SEQUENCE(_xlpm.n-1)-_xlfn.SEQUENCE(_xlpm.n-1)*(_xlfn.SEQUENCE(_xlpm.n-1)+1)/2),0)))</f>
        <v>1</v>
      </c>
      <c r="AB38">
        <f t="array" ref="AB38">IF(Z38="","",_xlfn.LET(_xlpm.names,_xlfn.TAKE($AC$7:$AC$10,$D$8),_xlpm.n,INDEX(_xlfn.TAKE($AD$7:$AD$10,$D$8),_xlfn.XMATCH(Y38,_xlpm.names)),_xlpm.p,Z38,_xlpm.a,AA38,_xlpm.prev,IF(_xlpm.a=1,0,_xlpm.n*(_xlpm.a-1)-(_xlpm.a-1)*_xlpm.a/2),_xlpm.a+_xlpm.p-_xlpm.prev))</f>
        <v>2</v>
      </c>
      <c r="AC38" t="str">
        <f t="array" ref="AC38">IF(AA38="","",IFERROR(INDEX(_xlfn._xlws.FILTER($C$20:$C$51,$D$20:$D$51=Y38),AA38),""))</f>
        <v>Haseeb Sha</v>
      </c>
      <c r="AD38" t="str">
        <f t="array" ref="AD38">IF(AB38="","",IFERROR(INDEX(_xlfn._xlws.FILTER($C$20:$C$51,$D$20:$D$51=Y38),AB38),""))</f>
        <v>Kalyan</v>
      </c>
      <c r="AF38" s="172">
        <v>19</v>
      </c>
      <c r="AG38" s="172">
        <f t="array" ref="AG38">IF(AF38&gt;28,"",_xlfn.LET(_xlpm.n,8,_xlpm.p,AF38,MATCH(TRUE,_xlpm.p&lt;=(_xlpm.n*_xlfn.SEQUENCE(_xlpm.n-1)-_xlfn.SEQUENCE(_xlpm.n-1)*(_xlfn.SEQUENCE(_xlpm.n-1)+1)/2),0)))</f>
        <v>4</v>
      </c>
      <c r="AH38" s="172">
        <f t="shared" si="9"/>
        <v>5</v>
      </c>
    </row>
    <row r="39" spans="2:34" x14ac:dyDescent="0.3">
      <c r="B39" s="33">
        <v>20</v>
      </c>
      <c r="C39" s="34"/>
      <c r="D39" s="153" t="str">
        <f t="array" ref="D39">_xlfn.LET(_xlpm.pos,ROW()-ROW($C$20)+1,_xlpm.names,$AC$7:$AC$10,_xlpm.sizes,$AD$7:$AD$10,_xlpm.active,$D$8,_xlpm.total,SUM(_xlfn.TAKE(_xlpm.sizes,_xlpm.active)),_xlpm.cum,_xlfn.SCAN(0,_xlfn.TAKE(_xlpm.sizes,_xlpm.active),_xlfn.LAMBDA(_xlpm.a,_xlpm.b,_xlpm.a+_xlpm.b)),IF(OR(C39="",_xlpm.pos&gt;_xlpm.total),"",INDEX(_xlfn.TAKE(_xlpm.names,_xlpm.active),_xlfn.XMATCH(TRUE,_xlpm.pos&lt;=_xlpm.cum))))</f>
        <v/>
      </c>
      <c r="F39" s="264">
        <f t="shared" si="0"/>
        <v>20</v>
      </c>
      <c r="G39" s="265" t="str">
        <f t="shared" si="1"/>
        <v>Golden</v>
      </c>
      <c r="H39" s="266" t="str">
        <f t="shared" si="2"/>
        <v>Haseeb Sha</v>
      </c>
      <c r="I39" s="267"/>
      <c r="J39" s="267"/>
      <c r="K39" s="267"/>
      <c r="L39" s="266" t="str">
        <f t="shared" si="3"/>
        <v>Veer Bhatia</v>
      </c>
      <c r="M39" s="267"/>
      <c r="N39" s="267"/>
      <c r="O39" s="267"/>
      <c r="P39" s="268" t="str">
        <f t="shared" si="4"/>
        <v/>
      </c>
      <c r="Q39" s="268" t="str">
        <f t="shared" si="5"/>
        <v/>
      </c>
      <c r="R39" s="268" t="str">
        <f t="shared" si="6"/>
        <v/>
      </c>
      <c r="S39" s="269" t="str">
        <f t="shared" si="7"/>
        <v/>
      </c>
      <c r="T39" s="146" t="str">
        <f t="shared" si="8"/>
        <v>Haseeb Sha vs Veer Bhatia</v>
      </c>
      <c r="X39">
        <f t="shared" si="10"/>
        <v>20</v>
      </c>
      <c r="Y39" t="str">
        <f t="array" ref="Y39">_xlfn.LET(_xlpm.m,X39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Golden</v>
      </c>
      <c r="Z39">
        <f t="array" ref="Z39">IF(Y39="","",_xlfn.LET(_xlpm.m,X39,_xlpm.names,_xlfn.TAKE($AC$7:$AC$10,$D$8),_xlpm.sizes,_xlfn.TAKE($AD$7:$AD$10,$D$8),_xlpm.counts,_xlpm.sizes*(_xlpm.sizes-1)/2,_xlpm.g,_xlfn.XMATCH(Y39,_xlpm.names),_xlpm.prev,IF(_xlpm.g=1,0,INDEX(_xlfn.SCAN(0,_xlpm.counts,_xlfn.LAMBDA(_xlpm.a,_xlpm.b,_xlpm.a+_xlpm.b)),_xlpm.g-1)),_xlpm.m-_xlpm.prev))</f>
        <v>2</v>
      </c>
      <c r="AA39">
        <f t="array" ref="AA39">IF(Z39="","",_xlfn.LET(_xlpm.names,_xlfn.TAKE($AC$7:$AC$10,$D$8),_xlpm.n,INDEX(_xlfn.TAKE($AD$7:$AD$10,$D$8),_xlfn.XMATCH(Y39,_xlpm.names)),_xlpm.p,Z39,MATCH(TRUE,_xlpm.p&lt;=(_xlpm.n*_xlfn.SEQUENCE(_xlpm.n-1)-_xlfn.SEQUENCE(_xlpm.n-1)*(_xlfn.SEQUENCE(_xlpm.n-1)+1)/2),0)))</f>
        <v>1</v>
      </c>
      <c r="AB39">
        <f t="array" ref="AB39">IF(Z39="","",_xlfn.LET(_xlpm.names,_xlfn.TAKE($AC$7:$AC$10,$D$8),_xlpm.n,INDEX(_xlfn.TAKE($AD$7:$AD$10,$D$8),_xlfn.XMATCH(Y39,_xlpm.names)),_xlpm.p,Z39,_xlpm.a,AA39,_xlpm.prev,IF(_xlpm.a=1,0,_xlpm.n*(_xlpm.a-1)-(_xlpm.a-1)*_xlpm.a/2),_xlpm.a+_xlpm.p-_xlpm.prev))</f>
        <v>3</v>
      </c>
      <c r="AC39" t="str">
        <f t="array" ref="AC39">IF(AA39="","",IFERROR(INDEX(_xlfn._xlws.FILTER($C$20:$C$51,$D$20:$D$51=Y39),AA39),""))</f>
        <v>Haseeb Sha</v>
      </c>
      <c r="AD39" t="str">
        <f t="array" ref="AD39">IF(AB39="","",IFERROR(INDEX(_xlfn._xlws.FILTER($C$20:$C$51,$D$20:$D$51=Y39),AB39),""))</f>
        <v>Veer Bhatia</v>
      </c>
      <c r="AF39" s="172">
        <v>20</v>
      </c>
      <c r="AG39" s="172">
        <f t="array" ref="AG39">IF(AF39&gt;28,"",_xlfn.LET(_xlpm.n,8,_xlpm.p,AF39,MATCH(TRUE,_xlpm.p&lt;=(_xlpm.n*_xlfn.SEQUENCE(_xlpm.n-1)-_xlfn.SEQUENCE(_xlpm.n-1)*(_xlfn.SEQUENCE(_xlpm.n-1)+1)/2),0)))</f>
        <v>4</v>
      </c>
      <c r="AH39" s="172">
        <f t="shared" si="9"/>
        <v>6</v>
      </c>
    </row>
    <row r="40" spans="2:34" x14ac:dyDescent="0.3">
      <c r="B40" s="33">
        <v>21</v>
      </c>
      <c r="C40" s="34"/>
      <c r="D40" s="153" t="str">
        <f t="array" ref="D40">_xlfn.LET(_xlpm.pos,ROW()-ROW($C$20)+1,_xlpm.names,$AC$7:$AC$10,_xlpm.sizes,$AD$7:$AD$10,_xlpm.active,$D$8,_xlpm.total,SUM(_xlfn.TAKE(_xlpm.sizes,_xlpm.active)),_xlpm.cum,_xlfn.SCAN(0,_xlfn.TAKE(_xlpm.sizes,_xlpm.active),_xlfn.LAMBDA(_xlpm.a,_xlpm.b,_xlpm.a+_xlpm.b)),IF(OR(C40="",_xlpm.pos&gt;_xlpm.total),"",INDEX(_xlfn.TAKE(_xlpm.names,_xlpm.active),_xlfn.XMATCH(TRUE,_xlpm.pos&lt;=_xlpm.cum))))</f>
        <v/>
      </c>
      <c r="F40" s="264">
        <f t="shared" si="0"/>
        <v>21</v>
      </c>
      <c r="G40" s="265" t="str">
        <f t="shared" si="1"/>
        <v>Golden</v>
      </c>
      <c r="H40" s="266" t="str">
        <f t="shared" si="2"/>
        <v>Haseeb Sha</v>
      </c>
      <c r="I40" s="267"/>
      <c r="J40" s="267"/>
      <c r="K40" s="267"/>
      <c r="L40" s="266" t="str">
        <f t="shared" si="3"/>
        <v>Shubham Mahajan</v>
      </c>
      <c r="M40" s="267"/>
      <c r="N40" s="267"/>
      <c r="O40" s="267"/>
      <c r="P40" s="268" t="str">
        <f t="shared" si="4"/>
        <v/>
      </c>
      <c r="Q40" s="268" t="str">
        <f t="shared" si="5"/>
        <v/>
      </c>
      <c r="R40" s="268" t="str">
        <f t="shared" si="6"/>
        <v/>
      </c>
      <c r="S40" s="269" t="str">
        <f t="shared" si="7"/>
        <v/>
      </c>
      <c r="T40" s="146" t="str">
        <f t="shared" si="8"/>
        <v>Haseeb Sha vs Shubham Mahajan</v>
      </c>
      <c r="X40">
        <f t="shared" si="10"/>
        <v>21</v>
      </c>
      <c r="Y40" t="str">
        <f t="array" ref="Y40">_xlfn.LET(_xlpm.m,X40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Golden</v>
      </c>
      <c r="Z40">
        <f t="array" ref="Z40">IF(Y40="","",_xlfn.LET(_xlpm.m,X40,_xlpm.names,_xlfn.TAKE($AC$7:$AC$10,$D$8),_xlpm.sizes,_xlfn.TAKE($AD$7:$AD$10,$D$8),_xlpm.counts,_xlpm.sizes*(_xlpm.sizes-1)/2,_xlpm.g,_xlfn.XMATCH(Y40,_xlpm.names),_xlpm.prev,IF(_xlpm.g=1,0,INDEX(_xlfn.SCAN(0,_xlpm.counts,_xlfn.LAMBDA(_xlpm.a,_xlpm.b,_xlpm.a+_xlpm.b)),_xlpm.g-1)),_xlpm.m-_xlpm.prev))</f>
        <v>3</v>
      </c>
      <c r="AA40">
        <f t="array" ref="AA40">IF(Z40="","",_xlfn.LET(_xlpm.names,_xlfn.TAKE($AC$7:$AC$10,$D$8),_xlpm.n,INDEX(_xlfn.TAKE($AD$7:$AD$10,$D$8),_xlfn.XMATCH(Y40,_xlpm.names)),_xlpm.p,Z40,MATCH(TRUE,_xlpm.p&lt;=(_xlpm.n*_xlfn.SEQUENCE(_xlpm.n-1)-_xlfn.SEQUENCE(_xlpm.n-1)*(_xlfn.SEQUENCE(_xlpm.n-1)+1)/2),0)))</f>
        <v>1</v>
      </c>
      <c r="AB40">
        <f t="array" ref="AB40">IF(Z40="","",_xlfn.LET(_xlpm.names,_xlfn.TAKE($AC$7:$AC$10,$D$8),_xlpm.n,INDEX(_xlfn.TAKE($AD$7:$AD$10,$D$8),_xlfn.XMATCH(Y40,_xlpm.names)),_xlpm.p,Z40,_xlpm.a,AA40,_xlpm.prev,IF(_xlpm.a=1,0,_xlpm.n*(_xlpm.a-1)-(_xlpm.a-1)*_xlpm.a/2),_xlpm.a+_xlpm.p-_xlpm.prev))</f>
        <v>4</v>
      </c>
      <c r="AC40" t="str">
        <f t="array" ref="AC40">IF(AA40="","",IFERROR(INDEX(_xlfn._xlws.FILTER($C$20:$C$51,$D$20:$D$51=Y40),AA40),""))</f>
        <v>Haseeb Sha</v>
      </c>
      <c r="AD40" t="str">
        <f t="array" ref="AD40">IF(AB40="","",IFERROR(INDEX(_xlfn._xlws.FILTER($C$20:$C$51,$D$20:$D$51=Y40),AB40),""))</f>
        <v>Shubham Mahajan</v>
      </c>
      <c r="AF40" s="172">
        <v>21</v>
      </c>
      <c r="AG40" s="172">
        <f t="array" ref="AG40">IF(AF40&gt;28,"",_xlfn.LET(_xlpm.n,8,_xlpm.p,AF40,MATCH(TRUE,_xlpm.p&lt;=(_xlpm.n*_xlfn.SEQUENCE(_xlpm.n-1)-_xlfn.SEQUENCE(_xlpm.n-1)*(_xlfn.SEQUENCE(_xlpm.n-1)+1)/2),0)))</f>
        <v>4</v>
      </c>
      <c r="AH40" s="172">
        <f t="shared" si="9"/>
        <v>7</v>
      </c>
    </row>
    <row r="41" spans="2:34" x14ac:dyDescent="0.3">
      <c r="B41" s="33">
        <v>22</v>
      </c>
      <c r="C41" s="34"/>
      <c r="D41" s="153" t="str">
        <f t="array" ref="D41">_xlfn.LET(_xlpm.pos,ROW()-ROW($C$20)+1,_xlpm.names,$AC$7:$AC$10,_xlpm.sizes,$AD$7:$AD$10,_xlpm.active,$D$8,_xlpm.total,SUM(_xlfn.TAKE(_xlpm.sizes,_xlpm.active)),_xlpm.cum,_xlfn.SCAN(0,_xlfn.TAKE(_xlpm.sizes,_xlpm.active),_xlfn.LAMBDA(_xlpm.a,_xlpm.b,_xlpm.a+_xlpm.b)),IF(OR(C41="",_xlpm.pos&gt;_xlpm.total),"",INDEX(_xlfn.TAKE(_xlpm.names,_xlpm.active),_xlfn.XMATCH(TRUE,_xlpm.pos&lt;=_xlpm.cum))))</f>
        <v/>
      </c>
      <c r="F41" s="264">
        <f t="shared" si="0"/>
        <v>22</v>
      </c>
      <c r="G41" s="265" t="str">
        <f t="shared" si="1"/>
        <v>Golden</v>
      </c>
      <c r="H41" s="266" t="str">
        <f t="shared" si="2"/>
        <v>Haseeb Sha</v>
      </c>
      <c r="I41" s="267"/>
      <c r="J41" s="267"/>
      <c r="K41" s="267"/>
      <c r="L41" s="266" t="str">
        <f t="shared" si="3"/>
        <v>Vishal  Sahani</v>
      </c>
      <c r="M41" s="267"/>
      <c r="N41" s="267"/>
      <c r="O41" s="267"/>
      <c r="P41" s="268" t="str">
        <f t="shared" si="4"/>
        <v/>
      </c>
      <c r="Q41" s="268" t="str">
        <f t="shared" si="5"/>
        <v/>
      </c>
      <c r="R41" s="268" t="str">
        <f t="shared" si="6"/>
        <v/>
      </c>
      <c r="S41" s="269" t="str">
        <f t="shared" si="7"/>
        <v/>
      </c>
      <c r="T41" s="146" t="str">
        <f t="shared" si="8"/>
        <v>Haseeb Sha vs Vishal  Sahani</v>
      </c>
      <c r="X41">
        <f t="shared" si="10"/>
        <v>22</v>
      </c>
      <c r="Y41" t="str">
        <f t="array" ref="Y41">_xlfn.LET(_xlpm.m,X41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Golden</v>
      </c>
      <c r="Z41">
        <f t="array" ref="Z41">IF(Y41="","",_xlfn.LET(_xlpm.m,X41,_xlpm.names,_xlfn.TAKE($AC$7:$AC$10,$D$8),_xlpm.sizes,_xlfn.TAKE($AD$7:$AD$10,$D$8),_xlpm.counts,_xlpm.sizes*(_xlpm.sizes-1)/2,_xlpm.g,_xlfn.XMATCH(Y41,_xlpm.names),_xlpm.prev,IF(_xlpm.g=1,0,INDEX(_xlfn.SCAN(0,_xlpm.counts,_xlfn.LAMBDA(_xlpm.a,_xlpm.b,_xlpm.a+_xlpm.b)),_xlpm.g-1)),_xlpm.m-_xlpm.prev))</f>
        <v>4</v>
      </c>
      <c r="AA41">
        <f t="array" ref="AA41">IF(Z41="","",_xlfn.LET(_xlpm.names,_xlfn.TAKE($AC$7:$AC$10,$D$8),_xlpm.n,INDEX(_xlfn.TAKE($AD$7:$AD$10,$D$8),_xlfn.XMATCH(Y41,_xlpm.names)),_xlpm.p,Z41,MATCH(TRUE,_xlpm.p&lt;=(_xlpm.n*_xlfn.SEQUENCE(_xlpm.n-1)-_xlfn.SEQUENCE(_xlpm.n-1)*(_xlfn.SEQUENCE(_xlpm.n-1)+1)/2),0)))</f>
        <v>1</v>
      </c>
      <c r="AB41">
        <f t="array" ref="AB41">IF(Z41="","",_xlfn.LET(_xlpm.names,_xlfn.TAKE($AC$7:$AC$10,$D$8),_xlpm.n,INDEX(_xlfn.TAKE($AD$7:$AD$10,$D$8),_xlfn.XMATCH(Y41,_xlpm.names)),_xlpm.p,Z41,_xlpm.a,AA41,_xlpm.prev,IF(_xlpm.a=1,0,_xlpm.n*(_xlpm.a-1)-(_xlpm.a-1)*_xlpm.a/2),_xlpm.a+_xlpm.p-_xlpm.prev))</f>
        <v>5</v>
      </c>
      <c r="AC41" t="str">
        <f t="array" ref="AC41">IF(AA41="","",IFERROR(INDEX(_xlfn._xlws.FILTER($C$20:$C$51,$D$20:$D$51=Y41),AA41),""))</f>
        <v>Haseeb Sha</v>
      </c>
      <c r="AD41" t="str">
        <f t="array" ref="AD41">IF(AB41="","",IFERROR(INDEX(_xlfn._xlws.FILTER($C$20:$C$51,$D$20:$D$51=Y41),AB41),""))</f>
        <v>Vishal  Sahani</v>
      </c>
      <c r="AF41" s="172">
        <v>22</v>
      </c>
      <c r="AG41" s="172">
        <f t="array" ref="AG41">IF(AF41&gt;28,"",_xlfn.LET(_xlpm.n,8,_xlpm.p,AF41,MATCH(TRUE,_xlpm.p&lt;=(_xlpm.n*_xlfn.SEQUENCE(_xlpm.n-1)-_xlfn.SEQUENCE(_xlpm.n-1)*(_xlfn.SEQUENCE(_xlpm.n-1)+1)/2),0)))</f>
        <v>4</v>
      </c>
      <c r="AH41" s="172">
        <f t="shared" si="9"/>
        <v>8</v>
      </c>
    </row>
    <row r="42" spans="2:34" x14ac:dyDescent="0.3">
      <c r="B42" s="33">
        <v>23</v>
      </c>
      <c r="C42" s="34"/>
      <c r="D42" s="153" t="str">
        <f t="array" ref="D42">_xlfn.LET(_xlpm.pos,ROW()-ROW($C$20)+1,_xlpm.names,$AC$7:$AC$10,_xlpm.sizes,$AD$7:$AD$10,_xlpm.active,$D$8,_xlpm.total,SUM(_xlfn.TAKE(_xlpm.sizes,_xlpm.active)),_xlpm.cum,_xlfn.SCAN(0,_xlfn.TAKE(_xlpm.sizes,_xlpm.active),_xlfn.LAMBDA(_xlpm.a,_xlpm.b,_xlpm.a+_xlpm.b)),IF(OR(C42="",_xlpm.pos&gt;_xlpm.total),"",INDEX(_xlfn.TAKE(_xlpm.names,_xlpm.active),_xlfn.XMATCH(TRUE,_xlpm.pos&lt;=_xlpm.cum))))</f>
        <v/>
      </c>
      <c r="F42" s="264">
        <f t="shared" si="0"/>
        <v>23</v>
      </c>
      <c r="G42" s="265" t="str">
        <f t="shared" si="1"/>
        <v>Golden</v>
      </c>
      <c r="H42" s="266" t="str">
        <f t="shared" si="2"/>
        <v>Kalyan</v>
      </c>
      <c r="I42" s="267"/>
      <c r="J42" s="267"/>
      <c r="K42" s="267"/>
      <c r="L42" s="266" t="str">
        <f t="shared" si="3"/>
        <v>Veer Bhatia</v>
      </c>
      <c r="M42" s="267"/>
      <c r="N42" s="267"/>
      <c r="O42" s="267"/>
      <c r="P42" s="268" t="str">
        <f t="shared" si="4"/>
        <v/>
      </c>
      <c r="Q42" s="268" t="str">
        <f t="shared" si="5"/>
        <v/>
      </c>
      <c r="R42" s="268" t="str">
        <f t="shared" si="6"/>
        <v/>
      </c>
      <c r="S42" s="269" t="str">
        <f t="shared" si="7"/>
        <v/>
      </c>
      <c r="T42" s="146" t="str">
        <f t="shared" si="8"/>
        <v>Kalyan vs Veer Bhatia</v>
      </c>
      <c r="X42">
        <f t="shared" si="10"/>
        <v>23</v>
      </c>
      <c r="Y42" t="str">
        <f t="array" ref="Y42">_xlfn.LET(_xlpm.m,X42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Golden</v>
      </c>
      <c r="Z42">
        <f t="array" ref="Z42">IF(Y42="","",_xlfn.LET(_xlpm.m,X42,_xlpm.names,_xlfn.TAKE($AC$7:$AC$10,$D$8),_xlpm.sizes,_xlfn.TAKE($AD$7:$AD$10,$D$8),_xlpm.counts,_xlpm.sizes*(_xlpm.sizes-1)/2,_xlpm.g,_xlfn.XMATCH(Y42,_xlpm.names),_xlpm.prev,IF(_xlpm.g=1,0,INDEX(_xlfn.SCAN(0,_xlpm.counts,_xlfn.LAMBDA(_xlpm.a,_xlpm.b,_xlpm.a+_xlpm.b)),_xlpm.g-1)),_xlpm.m-_xlpm.prev))</f>
        <v>5</v>
      </c>
      <c r="AA42">
        <f t="array" ref="AA42">IF(Z42="","",_xlfn.LET(_xlpm.names,_xlfn.TAKE($AC$7:$AC$10,$D$8),_xlpm.n,INDEX(_xlfn.TAKE($AD$7:$AD$10,$D$8),_xlfn.XMATCH(Y42,_xlpm.names)),_xlpm.p,Z42,MATCH(TRUE,_xlpm.p&lt;=(_xlpm.n*_xlfn.SEQUENCE(_xlpm.n-1)-_xlfn.SEQUENCE(_xlpm.n-1)*(_xlfn.SEQUENCE(_xlpm.n-1)+1)/2),0)))</f>
        <v>2</v>
      </c>
      <c r="AB42">
        <f t="array" ref="AB42">IF(Z42="","",_xlfn.LET(_xlpm.names,_xlfn.TAKE($AC$7:$AC$10,$D$8),_xlpm.n,INDEX(_xlfn.TAKE($AD$7:$AD$10,$D$8),_xlfn.XMATCH(Y42,_xlpm.names)),_xlpm.p,Z42,_xlpm.a,AA42,_xlpm.prev,IF(_xlpm.a=1,0,_xlpm.n*(_xlpm.a-1)-(_xlpm.a-1)*_xlpm.a/2),_xlpm.a+_xlpm.p-_xlpm.prev))</f>
        <v>3</v>
      </c>
      <c r="AC42" t="str">
        <f t="array" ref="AC42">IF(AA42="","",IFERROR(INDEX(_xlfn._xlws.FILTER($C$20:$C$51,$D$20:$D$51=Y42),AA42),""))</f>
        <v>Kalyan</v>
      </c>
      <c r="AD42" t="str">
        <f t="array" ref="AD42">IF(AB42="","",IFERROR(INDEX(_xlfn._xlws.FILTER($C$20:$C$51,$D$20:$D$51=Y42),AB42),""))</f>
        <v>Veer Bhatia</v>
      </c>
      <c r="AF42" s="172">
        <v>23</v>
      </c>
      <c r="AG42" s="172">
        <f t="array" ref="AG42">IF(AF42&gt;28,"",_xlfn.LET(_xlpm.n,8,_xlpm.p,AF42,MATCH(TRUE,_xlpm.p&lt;=(_xlpm.n*_xlfn.SEQUENCE(_xlpm.n-1)-_xlfn.SEQUENCE(_xlpm.n-1)*(_xlfn.SEQUENCE(_xlpm.n-1)+1)/2),0)))</f>
        <v>5</v>
      </c>
      <c r="AH42" s="172">
        <f t="shared" si="9"/>
        <v>6</v>
      </c>
    </row>
    <row r="43" spans="2:34" x14ac:dyDescent="0.3">
      <c r="B43" s="33">
        <v>24</v>
      </c>
      <c r="C43" s="34"/>
      <c r="D43" s="153" t="str">
        <f t="array" ref="D43">_xlfn.LET(_xlpm.pos,ROW()-ROW($C$20)+1,_xlpm.names,$AC$7:$AC$10,_xlpm.sizes,$AD$7:$AD$10,_xlpm.active,$D$8,_xlpm.total,SUM(_xlfn.TAKE(_xlpm.sizes,_xlpm.active)),_xlpm.cum,_xlfn.SCAN(0,_xlfn.TAKE(_xlpm.sizes,_xlpm.active),_xlfn.LAMBDA(_xlpm.a,_xlpm.b,_xlpm.a+_xlpm.b)),IF(OR(C43="",_xlpm.pos&gt;_xlpm.total),"",INDEX(_xlfn.TAKE(_xlpm.names,_xlpm.active),_xlfn.XMATCH(TRUE,_xlpm.pos&lt;=_xlpm.cum))))</f>
        <v/>
      </c>
      <c r="F43" s="264">
        <f t="shared" si="0"/>
        <v>24</v>
      </c>
      <c r="G43" s="265" t="str">
        <f t="shared" si="1"/>
        <v>Golden</v>
      </c>
      <c r="H43" s="266" t="str">
        <f t="shared" si="2"/>
        <v>Kalyan</v>
      </c>
      <c r="I43" s="267"/>
      <c r="J43" s="267"/>
      <c r="K43" s="267"/>
      <c r="L43" s="266" t="str">
        <f t="shared" si="3"/>
        <v>Shubham Mahajan</v>
      </c>
      <c r="M43" s="267"/>
      <c r="N43" s="267"/>
      <c r="O43" s="267"/>
      <c r="P43" s="268" t="str">
        <f t="shared" si="4"/>
        <v/>
      </c>
      <c r="Q43" s="268" t="str">
        <f t="shared" si="5"/>
        <v/>
      </c>
      <c r="R43" s="268" t="str">
        <f t="shared" si="6"/>
        <v/>
      </c>
      <c r="S43" s="269" t="str">
        <f t="shared" si="7"/>
        <v/>
      </c>
      <c r="T43" s="146" t="str">
        <f t="shared" si="8"/>
        <v>Kalyan vs Shubham Mahajan</v>
      </c>
      <c r="X43">
        <f t="shared" si="10"/>
        <v>24</v>
      </c>
      <c r="Y43" t="str">
        <f t="array" ref="Y43">_xlfn.LET(_xlpm.m,X43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Golden</v>
      </c>
      <c r="Z43">
        <f t="array" ref="Z43">IF(Y43="","",_xlfn.LET(_xlpm.m,X43,_xlpm.names,_xlfn.TAKE($AC$7:$AC$10,$D$8),_xlpm.sizes,_xlfn.TAKE($AD$7:$AD$10,$D$8),_xlpm.counts,_xlpm.sizes*(_xlpm.sizes-1)/2,_xlpm.g,_xlfn.XMATCH(Y43,_xlpm.names),_xlpm.prev,IF(_xlpm.g=1,0,INDEX(_xlfn.SCAN(0,_xlpm.counts,_xlfn.LAMBDA(_xlpm.a,_xlpm.b,_xlpm.a+_xlpm.b)),_xlpm.g-1)),_xlpm.m-_xlpm.prev))</f>
        <v>6</v>
      </c>
      <c r="AA43">
        <f t="array" ref="AA43">IF(Z43="","",_xlfn.LET(_xlpm.names,_xlfn.TAKE($AC$7:$AC$10,$D$8),_xlpm.n,INDEX(_xlfn.TAKE($AD$7:$AD$10,$D$8),_xlfn.XMATCH(Y43,_xlpm.names)),_xlpm.p,Z43,MATCH(TRUE,_xlpm.p&lt;=(_xlpm.n*_xlfn.SEQUENCE(_xlpm.n-1)-_xlfn.SEQUENCE(_xlpm.n-1)*(_xlfn.SEQUENCE(_xlpm.n-1)+1)/2),0)))</f>
        <v>2</v>
      </c>
      <c r="AB43">
        <f t="array" ref="AB43">IF(Z43="","",_xlfn.LET(_xlpm.names,_xlfn.TAKE($AC$7:$AC$10,$D$8),_xlpm.n,INDEX(_xlfn.TAKE($AD$7:$AD$10,$D$8),_xlfn.XMATCH(Y43,_xlpm.names)),_xlpm.p,Z43,_xlpm.a,AA43,_xlpm.prev,IF(_xlpm.a=1,0,_xlpm.n*(_xlpm.a-1)-(_xlpm.a-1)*_xlpm.a/2),_xlpm.a+_xlpm.p-_xlpm.prev))</f>
        <v>4</v>
      </c>
      <c r="AC43" t="str">
        <f t="array" ref="AC43">IF(AA43="","",IFERROR(INDEX(_xlfn._xlws.FILTER($C$20:$C$51,$D$20:$D$51=Y43),AA43),""))</f>
        <v>Kalyan</v>
      </c>
      <c r="AD43" t="str">
        <f t="array" ref="AD43">IF(AB43="","",IFERROR(INDEX(_xlfn._xlws.FILTER($C$20:$C$51,$D$20:$D$51=Y43),AB43),""))</f>
        <v>Shubham Mahajan</v>
      </c>
      <c r="AF43" s="172">
        <v>24</v>
      </c>
      <c r="AG43" s="172">
        <f t="array" ref="AG43">IF(AF43&gt;28,"",_xlfn.LET(_xlpm.n,8,_xlpm.p,AF43,MATCH(TRUE,_xlpm.p&lt;=(_xlpm.n*_xlfn.SEQUENCE(_xlpm.n-1)-_xlfn.SEQUENCE(_xlpm.n-1)*(_xlfn.SEQUENCE(_xlpm.n-1)+1)/2),0)))</f>
        <v>5</v>
      </c>
      <c r="AH43" s="172">
        <f t="shared" si="9"/>
        <v>7</v>
      </c>
    </row>
    <row r="44" spans="2:34" x14ac:dyDescent="0.3">
      <c r="B44" s="11">
        <v>25</v>
      </c>
      <c r="C44" s="13"/>
      <c r="D44" s="154" t="str">
        <f t="array" ref="D44">_xlfn.LET(_xlpm.pos,ROW()-ROW($C$20)+1,_xlpm.names,$AC$7:$AC$10,_xlpm.sizes,$AD$7:$AD$10,_xlpm.active,$D$8,_xlpm.total,SUM(_xlfn.TAKE(_xlpm.sizes,_xlpm.active)),_xlpm.cum,_xlfn.SCAN(0,_xlfn.TAKE(_xlpm.sizes,_xlpm.active),_xlfn.LAMBDA(_xlpm.a,_xlpm.b,_xlpm.a+_xlpm.b)),IF(OR(C44="",_xlpm.pos&gt;_xlpm.total),"",INDEX(_xlfn.TAKE(_xlpm.names,_xlpm.active),_xlfn.XMATCH(TRUE,_xlpm.pos&lt;=_xlpm.cum))))</f>
        <v/>
      </c>
      <c r="F44" s="264">
        <f t="shared" si="0"/>
        <v>25</v>
      </c>
      <c r="G44" s="265" t="str">
        <f t="shared" si="1"/>
        <v>Golden</v>
      </c>
      <c r="H44" s="266" t="str">
        <f t="shared" si="2"/>
        <v>Kalyan</v>
      </c>
      <c r="I44" s="267"/>
      <c r="J44" s="267"/>
      <c r="K44" s="267"/>
      <c r="L44" s="266" t="str">
        <f t="shared" si="3"/>
        <v>Vishal  Sahani</v>
      </c>
      <c r="M44" s="267"/>
      <c r="N44" s="267"/>
      <c r="O44" s="267"/>
      <c r="P44" s="268" t="str">
        <f t="shared" si="4"/>
        <v/>
      </c>
      <c r="Q44" s="268" t="str">
        <f t="shared" si="5"/>
        <v/>
      </c>
      <c r="R44" s="268" t="str">
        <f t="shared" si="6"/>
        <v/>
      </c>
      <c r="S44" s="269" t="str">
        <f t="shared" si="7"/>
        <v/>
      </c>
      <c r="T44" s="146" t="str">
        <f t="shared" si="8"/>
        <v>Kalyan vs Vishal  Sahani</v>
      </c>
      <c r="X44">
        <f t="shared" si="10"/>
        <v>25</v>
      </c>
      <c r="Y44" t="str">
        <f t="array" ref="Y44">_xlfn.LET(_xlpm.m,X44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Golden</v>
      </c>
      <c r="Z44">
        <f t="array" ref="Z44">IF(Y44="","",_xlfn.LET(_xlpm.m,X44,_xlpm.names,_xlfn.TAKE($AC$7:$AC$10,$D$8),_xlpm.sizes,_xlfn.TAKE($AD$7:$AD$10,$D$8),_xlpm.counts,_xlpm.sizes*(_xlpm.sizes-1)/2,_xlpm.g,_xlfn.XMATCH(Y44,_xlpm.names),_xlpm.prev,IF(_xlpm.g=1,0,INDEX(_xlfn.SCAN(0,_xlpm.counts,_xlfn.LAMBDA(_xlpm.a,_xlpm.b,_xlpm.a+_xlpm.b)),_xlpm.g-1)),_xlpm.m-_xlpm.prev))</f>
        <v>7</v>
      </c>
      <c r="AA44">
        <f t="array" ref="AA44">IF(Z44="","",_xlfn.LET(_xlpm.names,_xlfn.TAKE($AC$7:$AC$10,$D$8),_xlpm.n,INDEX(_xlfn.TAKE($AD$7:$AD$10,$D$8),_xlfn.XMATCH(Y44,_xlpm.names)),_xlpm.p,Z44,MATCH(TRUE,_xlpm.p&lt;=(_xlpm.n*_xlfn.SEQUENCE(_xlpm.n-1)-_xlfn.SEQUENCE(_xlpm.n-1)*(_xlfn.SEQUENCE(_xlpm.n-1)+1)/2),0)))</f>
        <v>2</v>
      </c>
      <c r="AB44">
        <f t="array" ref="AB44">IF(Z44="","",_xlfn.LET(_xlpm.names,_xlfn.TAKE($AC$7:$AC$10,$D$8),_xlpm.n,INDEX(_xlfn.TAKE($AD$7:$AD$10,$D$8),_xlfn.XMATCH(Y44,_xlpm.names)),_xlpm.p,Z44,_xlpm.a,AA44,_xlpm.prev,IF(_xlpm.a=1,0,_xlpm.n*(_xlpm.a-1)-(_xlpm.a-1)*_xlpm.a/2),_xlpm.a+_xlpm.p-_xlpm.prev))</f>
        <v>5</v>
      </c>
      <c r="AC44" t="str">
        <f t="array" ref="AC44">IF(AA44="","",IFERROR(INDEX(_xlfn._xlws.FILTER($C$20:$C$51,$D$20:$D$51=Y44),AA44),""))</f>
        <v>Kalyan</v>
      </c>
      <c r="AD44" t="str">
        <f t="array" ref="AD44">IF(AB44="","",IFERROR(INDEX(_xlfn._xlws.FILTER($C$20:$C$51,$D$20:$D$51=Y44),AB44),""))</f>
        <v>Vishal  Sahani</v>
      </c>
      <c r="AF44" s="172">
        <v>25</v>
      </c>
      <c r="AG44" s="172">
        <f t="array" ref="AG44">IF(AF44&gt;28,"",_xlfn.LET(_xlpm.n,8,_xlpm.p,AF44,MATCH(TRUE,_xlpm.p&lt;=(_xlpm.n*_xlfn.SEQUENCE(_xlpm.n-1)-_xlfn.SEQUENCE(_xlpm.n-1)*(_xlfn.SEQUENCE(_xlpm.n-1)+1)/2),0)))</f>
        <v>5</v>
      </c>
      <c r="AH44" s="172">
        <f t="shared" si="9"/>
        <v>8</v>
      </c>
    </row>
    <row r="45" spans="2:34" x14ac:dyDescent="0.3">
      <c r="B45" s="11">
        <v>26</v>
      </c>
      <c r="C45" s="13"/>
      <c r="D45" s="154" t="str">
        <f t="array" ref="D45">_xlfn.LET(_xlpm.pos,ROW()-ROW($C$20)+1,_xlpm.names,$AC$7:$AC$10,_xlpm.sizes,$AD$7:$AD$10,_xlpm.active,$D$8,_xlpm.total,SUM(_xlfn.TAKE(_xlpm.sizes,_xlpm.active)),_xlpm.cum,_xlfn.SCAN(0,_xlfn.TAKE(_xlpm.sizes,_xlpm.active),_xlfn.LAMBDA(_xlpm.a,_xlpm.b,_xlpm.a+_xlpm.b)),IF(OR(C45="",_xlpm.pos&gt;_xlpm.total),"",INDEX(_xlfn.TAKE(_xlpm.names,_xlpm.active),_xlfn.XMATCH(TRUE,_xlpm.pos&lt;=_xlpm.cum))))</f>
        <v/>
      </c>
      <c r="F45" s="264">
        <f t="shared" si="0"/>
        <v>26</v>
      </c>
      <c r="G45" s="265" t="str">
        <f t="shared" si="1"/>
        <v>Golden</v>
      </c>
      <c r="H45" s="266" t="str">
        <f t="shared" si="2"/>
        <v>Veer Bhatia</v>
      </c>
      <c r="I45" s="267"/>
      <c r="J45" s="267"/>
      <c r="K45" s="267"/>
      <c r="L45" s="266" t="str">
        <f t="shared" si="3"/>
        <v>Shubham Mahajan</v>
      </c>
      <c r="M45" s="267"/>
      <c r="N45" s="267"/>
      <c r="O45" s="267"/>
      <c r="P45" s="268" t="str">
        <f t="shared" si="4"/>
        <v/>
      </c>
      <c r="Q45" s="268" t="str">
        <f t="shared" si="5"/>
        <v/>
      </c>
      <c r="R45" s="268" t="str">
        <f t="shared" si="6"/>
        <v/>
      </c>
      <c r="S45" s="269" t="str">
        <f t="shared" si="7"/>
        <v/>
      </c>
      <c r="T45" s="146" t="str">
        <f t="shared" si="8"/>
        <v>Veer Bhatia vs Shubham Mahajan</v>
      </c>
      <c r="X45">
        <f t="shared" si="10"/>
        <v>26</v>
      </c>
      <c r="Y45" t="str">
        <f t="array" ref="Y45">_xlfn.LET(_xlpm.m,X45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Golden</v>
      </c>
      <c r="Z45">
        <f t="array" ref="Z45">IF(Y45="","",_xlfn.LET(_xlpm.m,X45,_xlpm.names,_xlfn.TAKE($AC$7:$AC$10,$D$8),_xlpm.sizes,_xlfn.TAKE($AD$7:$AD$10,$D$8),_xlpm.counts,_xlpm.sizes*(_xlpm.sizes-1)/2,_xlpm.g,_xlfn.XMATCH(Y45,_xlpm.names),_xlpm.prev,IF(_xlpm.g=1,0,INDEX(_xlfn.SCAN(0,_xlpm.counts,_xlfn.LAMBDA(_xlpm.a,_xlpm.b,_xlpm.a+_xlpm.b)),_xlpm.g-1)),_xlpm.m-_xlpm.prev))</f>
        <v>8</v>
      </c>
      <c r="AA45">
        <f t="array" ref="AA45">IF(Z45="","",_xlfn.LET(_xlpm.names,_xlfn.TAKE($AC$7:$AC$10,$D$8),_xlpm.n,INDEX(_xlfn.TAKE($AD$7:$AD$10,$D$8),_xlfn.XMATCH(Y45,_xlpm.names)),_xlpm.p,Z45,MATCH(TRUE,_xlpm.p&lt;=(_xlpm.n*_xlfn.SEQUENCE(_xlpm.n-1)-_xlfn.SEQUENCE(_xlpm.n-1)*(_xlfn.SEQUENCE(_xlpm.n-1)+1)/2),0)))</f>
        <v>3</v>
      </c>
      <c r="AB45">
        <f t="array" ref="AB45">IF(Z45="","",_xlfn.LET(_xlpm.names,_xlfn.TAKE($AC$7:$AC$10,$D$8),_xlpm.n,INDEX(_xlfn.TAKE($AD$7:$AD$10,$D$8),_xlfn.XMATCH(Y45,_xlpm.names)),_xlpm.p,Z45,_xlpm.a,AA45,_xlpm.prev,IF(_xlpm.a=1,0,_xlpm.n*(_xlpm.a-1)-(_xlpm.a-1)*_xlpm.a/2),_xlpm.a+_xlpm.p-_xlpm.prev))</f>
        <v>4</v>
      </c>
      <c r="AC45" t="str">
        <f t="array" ref="AC45">IF(AA45="","",IFERROR(INDEX(_xlfn._xlws.FILTER($C$20:$C$51,$D$20:$D$51=Y45),AA45),""))</f>
        <v>Veer Bhatia</v>
      </c>
      <c r="AD45" t="str">
        <f t="array" ref="AD45">IF(AB45="","",IFERROR(INDEX(_xlfn._xlws.FILTER($C$20:$C$51,$D$20:$D$51=Y45),AB45),""))</f>
        <v>Shubham Mahajan</v>
      </c>
      <c r="AF45" s="172">
        <v>26</v>
      </c>
      <c r="AG45" s="172">
        <f t="array" ref="AG45">IF(AF45&gt;28,"",_xlfn.LET(_xlpm.n,8,_xlpm.p,AF45,MATCH(TRUE,_xlpm.p&lt;=(_xlpm.n*_xlfn.SEQUENCE(_xlpm.n-1)-_xlfn.SEQUENCE(_xlpm.n-1)*(_xlfn.SEQUENCE(_xlpm.n-1)+1)/2),0)))</f>
        <v>6</v>
      </c>
      <c r="AH45" s="172">
        <f t="shared" si="9"/>
        <v>7</v>
      </c>
    </row>
    <row r="46" spans="2:34" x14ac:dyDescent="0.3">
      <c r="B46" s="11">
        <v>27</v>
      </c>
      <c r="C46" s="13"/>
      <c r="D46" s="154" t="str">
        <f t="array" ref="D46">_xlfn.LET(_xlpm.pos,ROW()-ROW($C$20)+1,_xlpm.names,$AC$7:$AC$10,_xlpm.sizes,$AD$7:$AD$10,_xlpm.active,$D$8,_xlpm.total,SUM(_xlfn.TAKE(_xlpm.sizes,_xlpm.active)),_xlpm.cum,_xlfn.SCAN(0,_xlfn.TAKE(_xlpm.sizes,_xlpm.active),_xlfn.LAMBDA(_xlpm.a,_xlpm.b,_xlpm.a+_xlpm.b)),IF(OR(C46="",_xlpm.pos&gt;_xlpm.total),"",INDEX(_xlfn.TAKE(_xlpm.names,_xlpm.active),_xlfn.XMATCH(TRUE,_xlpm.pos&lt;=_xlpm.cum))))</f>
        <v/>
      </c>
      <c r="F46" s="264">
        <f t="shared" si="0"/>
        <v>27</v>
      </c>
      <c r="G46" s="265" t="str">
        <f t="shared" si="1"/>
        <v>Golden</v>
      </c>
      <c r="H46" s="266" t="str">
        <f t="shared" si="2"/>
        <v>Veer Bhatia</v>
      </c>
      <c r="I46" s="267"/>
      <c r="J46" s="267"/>
      <c r="K46" s="267"/>
      <c r="L46" s="266" t="str">
        <f t="shared" si="3"/>
        <v>Vishal  Sahani</v>
      </c>
      <c r="M46" s="267"/>
      <c r="N46" s="267"/>
      <c r="O46" s="267"/>
      <c r="P46" s="268" t="str">
        <f t="shared" si="4"/>
        <v/>
      </c>
      <c r="Q46" s="268" t="str">
        <f t="shared" si="5"/>
        <v/>
      </c>
      <c r="R46" s="268" t="str">
        <f t="shared" si="6"/>
        <v/>
      </c>
      <c r="S46" s="269" t="str">
        <f t="shared" si="7"/>
        <v/>
      </c>
      <c r="T46" s="146" t="str">
        <f t="shared" si="8"/>
        <v>Veer Bhatia vs Vishal  Sahani</v>
      </c>
      <c r="X46">
        <f t="shared" si="10"/>
        <v>27</v>
      </c>
      <c r="Y46" t="str">
        <f t="array" ref="Y46">_xlfn.LET(_xlpm.m,X46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Golden</v>
      </c>
      <c r="Z46">
        <f t="array" ref="Z46">IF(Y46="","",_xlfn.LET(_xlpm.m,X46,_xlpm.names,_xlfn.TAKE($AC$7:$AC$10,$D$8),_xlpm.sizes,_xlfn.TAKE($AD$7:$AD$10,$D$8),_xlpm.counts,_xlpm.sizes*(_xlpm.sizes-1)/2,_xlpm.g,_xlfn.XMATCH(Y46,_xlpm.names),_xlpm.prev,IF(_xlpm.g=1,0,INDEX(_xlfn.SCAN(0,_xlpm.counts,_xlfn.LAMBDA(_xlpm.a,_xlpm.b,_xlpm.a+_xlpm.b)),_xlpm.g-1)),_xlpm.m-_xlpm.prev))</f>
        <v>9</v>
      </c>
      <c r="AA46">
        <f t="array" ref="AA46">IF(Z46="","",_xlfn.LET(_xlpm.names,_xlfn.TAKE($AC$7:$AC$10,$D$8),_xlpm.n,INDEX(_xlfn.TAKE($AD$7:$AD$10,$D$8),_xlfn.XMATCH(Y46,_xlpm.names)),_xlpm.p,Z46,MATCH(TRUE,_xlpm.p&lt;=(_xlpm.n*_xlfn.SEQUENCE(_xlpm.n-1)-_xlfn.SEQUENCE(_xlpm.n-1)*(_xlfn.SEQUENCE(_xlpm.n-1)+1)/2),0)))</f>
        <v>3</v>
      </c>
      <c r="AB46">
        <f t="array" ref="AB46">IF(Z46="","",_xlfn.LET(_xlpm.names,_xlfn.TAKE($AC$7:$AC$10,$D$8),_xlpm.n,INDEX(_xlfn.TAKE($AD$7:$AD$10,$D$8),_xlfn.XMATCH(Y46,_xlpm.names)),_xlpm.p,Z46,_xlpm.a,AA46,_xlpm.prev,IF(_xlpm.a=1,0,_xlpm.n*(_xlpm.a-1)-(_xlpm.a-1)*_xlpm.a/2),_xlpm.a+_xlpm.p-_xlpm.prev))</f>
        <v>5</v>
      </c>
      <c r="AC46" t="str">
        <f t="array" ref="AC46">IF(AA46="","",IFERROR(INDEX(_xlfn._xlws.FILTER($C$20:$C$51,$D$20:$D$51=Y46),AA46),""))</f>
        <v>Veer Bhatia</v>
      </c>
      <c r="AD46" t="str">
        <f t="array" ref="AD46">IF(AB46="","",IFERROR(INDEX(_xlfn._xlws.FILTER($C$20:$C$51,$D$20:$D$51=Y46),AB46),""))</f>
        <v>Vishal  Sahani</v>
      </c>
      <c r="AF46" s="172">
        <v>27</v>
      </c>
      <c r="AG46" s="172">
        <f t="array" ref="AG46">IF(AF46&gt;28,"",_xlfn.LET(_xlpm.n,8,_xlpm.p,AF46,MATCH(TRUE,_xlpm.p&lt;=(_xlpm.n*_xlfn.SEQUENCE(_xlpm.n-1)-_xlfn.SEQUENCE(_xlpm.n-1)*(_xlfn.SEQUENCE(_xlpm.n-1)+1)/2),0)))</f>
        <v>6</v>
      </c>
      <c r="AH46" s="172">
        <f t="shared" si="9"/>
        <v>8</v>
      </c>
    </row>
    <row r="47" spans="2:34" x14ac:dyDescent="0.3">
      <c r="B47" s="11">
        <v>28</v>
      </c>
      <c r="C47" s="13"/>
      <c r="D47" s="154" t="str">
        <f t="array" ref="D47">_xlfn.LET(_xlpm.pos,ROW()-ROW($C$20)+1,_xlpm.names,$AC$7:$AC$10,_xlpm.sizes,$AD$7:$AD$10,_xlpm.active,$D$8,_xlpm.total,SUM(_xlfn.TAKE(_xlpm.sizes,_xlpm.active)),_xlpm.cum,_xlfn.SCAN(0,_xlfn.TAKE(_xlpm.sizes,_xlpm.active),_xlfn.LAMBDA(_xlpm.a,_xlpm.b,_xlpm.a+_xlpm.b)),IF(OR(C47="",_xlpm.pos&gt;_xlpm.total),"",INDEX(_xlfn.TAKE(_xlpm.names,_xlpm.active),_xlfn.XMATCH(TRUE,_xlpm.pos&lt;=_xlpm.cum))))</f>
        <v/>
      </c>
      <c r="F47" s="264">
        <f t="shared" si="0"/>
        <v>28</v>
      </c>
      <c r="G47" s="265" t="str">
        <f t="shared" si="1"/>
        <v>Golden</v>
      </c>
      <c r="H47" s="266" t="str">
        <f t="shared" si="2"/>
        <v>Shubham Mahajan</v>
      </c>
      <c r="I47" s="267"/>
      <c r="J47" s="267"/>
      <c r="K47" s="267"/>
      <c r="L47" s="266" t="str">
        <f t="shared" si="3"/>
        <v>Vishal  Sahani</v>
      </c>
      <c r="M47" s="267"/>
      <c r="N47" s="267"/>
      <c r="O47" s="267"/>
      <c r="P47" s="268" t="str">
        <f t="shared" si="4"/>
        <v/>
      </c>
      <c r="Q47" s="268" t="str">
        <f t="shared" si="5"/>
        <v/>
      </c>
      <c r="R47" s="268" t="str">
        <f t="shared" si="6"/>
        <v/>
      </c>
      <c r="S47" s="269" t="str">
        <f t="shared" si="7"/>
        <v/>
      </c>
      <c r="T47" s="146" t="str">
        <f t="shared" si="8"/>
        <v>Shubham Mahajan vs Vishal  Sahani</v>
      </c>
      <c r="X47">
        <f t="shared" si="10"/>
        <v>28</v>
      </c>
      <c r="Y47" t="str">
        <f t="array" ref="Y47">_xlfn.LET(_xlpm.m,X47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Golden</v>
      </c>
      <c r="Z47">
        <f t="array" ref="Z47">IF(Y47="","",_xlfn.LET(_xlpm.m,X47,_xlpm.names,_xlfn.TAKE($AC$7:$AC$10,$D$8),_xlpm.sizes,_xlfn.TAKE($AD$7:$AD$10,$D$8),_xlpm.counts,_xlpm.sizes*(_xlpm.sizes-1)/2,_xlpm.g,_xlfn.XMATCH(Y47,_xlpm.names),_xlpm.prev,IF(_xlpm.g=1,0,INDEX(_xlfn.SCAN(0,_xlpm.counts,_xlfn.LAMBDA(_xlpm.a,_xlpm.b,_xlpm.a+_xlpm.b)),_xlpm.g-1)),_xlpm.m-_xlpm.prev))</f>
        <v>10</v>
      </c>
      <c r="AA47">
        <f t="array" ref="AA47">IF(Z47="","",_xlfn.LET(_xlpm.names,_xlfn.TAKE($AC$7:$AC$10,$D$8),_xlpm.n,INDEX(_xlfn.TAKE($AD$7:$AD$10,$D$8),_xlfn.XMATCH(Y47,_xlpm.names)),_xlpm.p,Z47,MATCH(TRUE,_xlpm.p&lt;=(_xlpm.n*_xlfn.SEQUENCE(_xlpm.n-1)-_xlfn.SEQUENCE(_xlpm.n-1)*(_xlfn.SEQUENCE(_xlpm.n-1)+1)/2),0)))</f>
        <v>4</v>
      </c>
      <c r="AB47">
        <f t="array" ref="AB47">IF(Z47="","",_xlfn.LET(_xlpm.names,_xlfn.TAKE($AC$7:$AC$10,$D$8),_xlpm.n,INDEX(_xlfn.TAKE($AD$7:$AD$10,$D$8),_xlfn.XMATCH(Y47,_xlpm.names)),_xlpm.p,Z47,_xlpm.a,AA47,_xlpm.prev,IF(_xlpm.a=1,0,_xlpm.n*(_xlpm.a-1)-(_xlpm.a-1)*_xlpm.a/2),_xlpm.a+_xlpm.p-_xlpm.prev))</f>
        <v>5</v>
      </c>
      <c r="AC47" t="str">
        <f t="array" ref="AC47">IF(AA47="","",IFERROR(INDEX(_xlfn._xlws.FILTER($C$20:$C$51,$D$20:$D$51=Y47),AA47),""))</f>
        <v>Shubham Mahajan</v>
      </c>
      <c r="AD47" t="str">
        <f t="array" ref="AD47">IF(AB47="","",IFERROR(INDEX(_xlfn._xlws.FILTER($C$20:$C$51,$D$20:$D$51=Y47),AB47),""))</f>
        <v>Vishal  Sahani</v>
      </c>
      <c r="AF47" s="172">
        <v>28</v>
      </c>
      <c r="AG47" s="172">
        <f t="array" ref="AG47">IF(AF47&gt;28,"",_xlfn.LET(_xlpm.n,8,_xlpm.p,AF47,MATCH(TRUE,_xlpm.p&lt;=(_xlpm.n*_xlfn.SEQUENCE(_xlpm.n-1)-_xlfn.SEQUENCE(_xlpm.n-1)*(_xlfn.SEQUENCE(_xlpm.n-1)+1)/2),0)))</f>
        <v>7</v>
      </c>
      <c r="AH47" s="172">
        <f t="shared" si="9"/>
        <v>8</v>
      </c>
    </row>
    <row r="48" spans="2:34" x14ac:dyDescent="0.3">
      <c r="B48" s="11">
        <v>29</v>
      </c>
      <c r="C48" s="13"/>
      <c r="D48" s="154" t="str">
        <f t="array" ref="D48">_xlfn.LET(_xlpm.pos,ROW()-ROW($C$20)+1,_xlpm.names,$AC$7:$AC$10,_xlpm.sizes,$AD$7:$AD$10,_xlpm.active,$D$8,_xlpm.total,SUM(_xlfn.TAKE(_xlpm.sizes,_xlpm.active)),_xlpm.cum,_xlfn.SCAN(0,_xlfn.TAKE(_xlpm.sizes,_xlpm.active),_xlfn.LAMBDA(_xlpm.a,_xlpm.b,_xlpm.a+_xlpm.b)),IF(OR(C48="",_xlpm.pos&gt;_xlpm.total),"",INDEX(_xlfn.TAKE(_xlpm.names,_xlpm.active),_xlfn.XMATCH(TRUE,_xlpm.pos&lt;=_xlpm.cum))))</f>
        <v/>
      </c>
      <c r="F48" s="264">
        <f t="shared" si="0"/>
        <v>29</v>
      </c>
      <c r="G48" s="265" t="str">
        <f t="shared" si="1"/>
        <v>Challenger</v>
      </c>
      <c r="H48" s="266" t="str">
        <f t="shared" si="2"/>
        <v>Aamod</v>
      </c>
      <c r="I48" s="267"/>
      <c r="J48" s="267"/>
      <c r="K48" s="267"/>
      <c r="L48" s="266" t="str">
        <f t="shared" si="3"/>
        <v>Zain</v>
      </c>
      <c r="M48" s="267"/>
      <c r="N48" s="267"/>
      <c r="O48" s="267"/>
      <c r="P48" s="268" t="str">
        <f t="shared" si="4"/>
        <v/>
      </c>
      <c r="Q48" s="268" t="str">
        <f t="shared" si="5"/>
        <v/>
      </c>
      <c r="R48" s="268" t="str">
        <f t="shared" si="6"/>
        <v/>
      </c>
      <c r="S48" s="269" t="str">
        <f t="shared" si="7"/>
        <v/>
      </c>
      <c r="T48" s="146" t="str">
        <f t="shared" si="8"/>
        <v>Aamod vs Zain</v>
      </c>
      <c r="X48">
        <f t="shared" si="10"/>
        <v>29</v>
      </c>
      <c r="Y48" t="str">
        <f t="array" ref="Y48">_xlfn.LET(_xlpm.m,X48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Challenger</v>
      </c>
      <c r="Z48">
        <f t="array" ref="Z48">IF(Y48="","",_xlfn.LET(_xlpm.m,X48,_xlpm.names,_xlfn.TAKE($AC$7:$AC$10,$D$8),_xlpm.sizes,_xlfn.TAKE($AD$7:$AD$10,$D$8),_xlpm.counts,_xlpm.sizes*(_xlpm.sizes-1)/2,_xlpm.g,_xlfn.XMATCH(Y48,_xlpm.names),_xlpm.prev,IF(_xlpm.g=1,0,INDEX(_xlfn.SCAN(0,_xlpm.counts,_xlfn.LAMBDA(_xlpm.a,_xlpm.b,_xlpm.a+_xlpm.b)),_xlpm.g-1)),_xlpm.m-_xlpm.prev))</f>
        <v>1</v>
      </c>
      <c r="AA48">
        <f t="array" ref="AA48">IF(Z48="","",_xlfn.LET(_xlpm.names,_xlfn.TAKE($AC$7:$AC$10,$D$8),_xlpm.n,INDEX(_xlfn.TAKE($AD$7:$AD$10,$D$8),_xlfn.XMATCH(Y48,_xlpm.names)),_xlpm.p,Z48,MATCH(TRUE,_xlpm.p&lt;=(_xlpm.n*_xlfn.SEQUENCE(_xlpm.n-1)-_xlfn.SEQUENCE(_xlpm.n-1)*(_xlfn.SEQUENCE(_xlpm.n-1)+1)/2),0)))</f>
        <v>1</v>
      </c>
      <c r="AB48">
        <f t="array" ref="AB48">IF(Z48="","",_xlfn.LET(_xlpm.names,_xlfn.TAKE($AC$7:$AC$10,$D$8),_xlpm.n,INDEX(_xlfn.TAKE($AD$7:$AD$10,$D$8),_xlfn.XMATCH(Y48,_xlpm.names)),_xlpm.p,Z48,_xlpm.a,AA48,_xlpm.prev,IF(_xlpm.a=1,0,_xlpm.n*(_xlpm.a-1)-(_xlpm.a-1)*_xlpm.a/2),_xlpm.a+_xlpm.p-_xlpm.prev))</f>
        <v>2</v>
      </c>
      <c r="AC48" t="str">
        <f t="array" ref="AC48">IF(AA48="","",IFERROR(INDEX(_xlfn._xlws.FILTER($C$20:$C$51,$D$20:$D$51=Y48),AA48),""))</f>
        <v>Aamod</v>
      </c>
      <c r="AD48" t="str">
        <f t="array" ref="AD48">IF(AB48="","",IFERROR(INDEX(_xlfn._xlws.FILTER($C$20:$C$51,$D$20:$D$51=Y48),AB48),""))</f>
        <v>Zain</v>
      </c>
    </row>
    <row r="49" spans="2:30" x14ac:dyDescent="0.3">
      <c r="B49" s="11">
        <v>30</v>
      </c>
      <c r="C49" s="13"/>
      <c r="D49" s="154" t="str">
        <f t="array" ref="D49">_xlfn.LET(_xlpm.pos,ROW()-ROW($C$20)+1,_xlpm.names,$AC$7:$AC$10,_xlpm.sizes,$AD$7:$AD$10,_xlpm.active,$D$8,_xlpm.total,SUM(_xlfn.TAKE(_xlpm.sizes,_xlpm.active)),_xlpm.cum,_xlfn.SCAN(0,_xlfn.TAKE(_xlpm.sizes,_xlpm.active),_xlfn.LAMBDA(_xlpm.a,_xlpm.b,_xlpm.a+_xlpm.b)),IF(OR(C49="",_xlpm.pos&gt;_xlpm.total),"",INDEX(_xlfn.TAKE(_xlpm.names,_xlpm.active),_xlfn.XMATCH(TRUE,_xlpm.pos&lt;=_xlpm.cum))))</f>
        <v/>
      </c>
      <c r="F49" s="264">
        <f t="shared" si="0"/>
        <v>30</v>
      </c>
      <c r="G49" s="265" t="str">
        <f t="shared" si="1"/>
        <v>Challenger</v>
      </c>
      <c r="H49" s="266" t="str">
        <f t="shared" si="2"/>
        <v>Aamod</v>
      </c>
      <c r="I49" s="267"/>
      <c r="J49" s="267"/>
      <c r="K49" s="267"/>
      <c r="L49" s="266" t="str">
        <f t="shared" si="3"/>
        <v>Kiran</v>
      </c>
      <c r="M49" s="267"/>
      <c r="N49" s="267"/>
      <c r="O49" s="267"/>
      <c r="P49" s="268" t="str">
        <f t="shared" si="4"/>
        <v/>
      </c>
      <c r="Q49" s="268" t="str">
        <f t="shared" si="5"/>
        <v/>
      </c>
      <c r="R49" s="268" t="str">
        <f t="shared" si="6"/>
        <v/>
      </c>
      <c r="S49" s="269" t="str">
        <f t="shared" si="7"/>
        <v/>
      </c>
      <c r="T49" s="146" t="str">
        <f t="shared" si="8"/>
        <v>Aamod vs Kiran</v>
      </c>
      <c r="X49">
        <f t="shared" si="10"/>
        <v>30</v>
      </c>
      <c r="Y49" t="str">
        <f t="array" ref="Y49">_xlfn.LET(_xlpm.m,X49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Challenger</v>
      </c>
      <c r="Z49">
        <f t="array" ref="Z49">IF(Y49="","",_xlfn.LET(_xlpm.m,X49,_xlpm.names,_xlfn.TAKE($AC$7:$AC$10,$D$8),_xlpm.sizes,_xlfn.TAKE($AD$7:$AD$10,$D$8),_xlpm.counts,_xlpm.sizes*(_xlpm.sizes-1)/2,_xlpm.g,_xlfn.XMATCH(Y49,_xlpm.names),_xlpm.prev,IF(_xlpm.g=1,0,INDEX(_xlfn.SCAN(0,_xlpm.counts,_xlfn.LAMBDA(_xlpm.a,_xlpm.b,_xlpm.a+_xlpm.b)),_xlpm.g-1)),_xlpm.m-_xlpm.prev))</f>
        <v>2</v>
      </c>
      <c r="AA49">
        <f t="array" ref="AA49">IF(Z49="","",_xlfn.LET(_xlpm.names,_xlfn.TAKE($AC$7:$AC$10,$D$8),_xlpm.n,INDEX(_xlfn.TAKE($AD$7:$AD$10,$D$8),_xlfn.XMATCH(Y49,_xlpm.names)),_xlpm.p,Z49,MATCH(TRUE,_xlpm.p&lt;=(_xlpm.n*_xlfn.SEQUENCE(_xlpm.n-1)-_xlfn.SEQUENCE(_xlpm.n-1)*(_xlfn.SEQUENCE(_xlpm.n-1)+1)/2),0)))</f>
        <v>1</v>
      </c>
      <c r="AB49">
        <f t="array" ref="AB49">IF(Z49="","",_xlfn.LET(_xlpm.names,_xlfn.TAKE($AC$7:$AC$10,$D$8),_xlpm.n,INDEX(_xlfn.TAKE($AD$7:$AD$10,$D$8),_xlfn.XMATCH(Y49,_xlpm.names)),_xlpm.p,Z49,_xlpm.a,AA49,_xlpm.prev,IF(_xlpm.a=1,0,_xlpm.n*(_xlpm.a-1)-(_xlpm.a-1)*_xlpm.a/2),_xlpm.a+_xlpm.p-_xlpm.prev))</f>
        <v>3</v>
      </c>
      <c r="AC49" t="str">
        <f t="array" ref="AC49">IF(AA49="","",IFERROR(INDEX(_xlfn._xlws.FILTER($C$20:$C$51,$D$20:$D$51=Y49),AA49),""))</f>
        <v>Aamod</v>
      </c>
      <c r="AD49" t="str">
        <f t="array" ref="AD49">IF(AB49="","",IFERROR(INDEX(_xlfn._xlws.FILTER($C$20:$C$51,$D$20:$D$51=Y49),AB49),""))</f>
        <v>Kiran</v>
      </c>
    </row>
    <row r="50" spans="2:30" x14ac:dyDescent="0.3">
      <c r="B50" s="11">
        <v>31</v>
      </c>
      <c r="C50" s="13"/>
      <c r="D50" s="154" t="str">
        <f t="array" ref="D50">_xlfn.LET(_xlpm.pos,ROW()-ROW($C$20)+1,_xlpm.names,$AC$7:$AC$10,_xlpm.sizes,$AD$7:$AD$10,_xlpm.active,$D$8,_xlpm.total,SUM(_xlfn.TAKE(_xlpm.sizes,_xlpm.active)),_xlpm.cum,_xlfn.SCAN(0,_xlfn.TAKE(_xlpm.sizes,_xlpm.active),_xlfn.LAMBDA(_xlpm.a,_xlpm.b,_xlpm.a+_xlpm.b)),IF(OR(C50="",_xlpm.pos&gt;_xlpm.total),"",INDEX(_xlfn.TAKE(_xlpm.names,_xlpm.active),_xlfn.XMATCH(TRUE,_xlpm.pos&lt;=_xlpm.cum))))</f>
        <v/>
      </c>
      <c r="F50" s="264">
        <f t="shared" si="0"/>
        <v>31</v>
      </c>
      <c r="G50" s="265" t="str">
        <f t="shared" si="1"/>
        <v>Challenger</v>
      </c>
      <c r="H50" s="266" t="str">
        <f t="shared" si="2"/>
        <v>Aamod</v>
      </c>
      <c r="I50" s="267"/>
      <c r="J50" s="267"/>
      <c r="K50" s="267"/>
      <c r="L50" s="266" t="str">
        <f t="shared" si="3"/>
        <v>Kunal</v>
      </c>
      <c r="M50" s="267"/>
      <c r="N50" s="267"/>
      <c r="O50" s="267"/>
      <c r="P50" s="268" t="str">
        <f t="shared" si="4"/>
        <v/>
      </c>
      <c r="Q50" s="268" t="str">
        <f t="shared" si="5"/>
        <v/>
      </c>
      <c r="R50" s="268" t="str">
        <f t="shared" si="6"/>
        <v/>
      </c>
      <c r="S50" s="269" t="str">
        <f t="shared" si="7"/>
        <v/>
      </c>
      <c r="T50" s="146" t="str">
        <f t="shared" si="8"/>
        <v>Aamod vs Kunal</v>
      </c>
      <c r="X50">
        <f t="shared" si="10"/>
        <v>31</v>
      </c>
      <c r="Y50" t="str">
        <f t="array" ref="Y50">_xlfn.LET(_xlpm.m,X50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Challenger</v>
      </c>
      <c r="Z50">
        <f t="array" ref="Z50">IF(Y50="","",_xlfn.LET(_xlpm.m,X50,_xlpm.names,_xlfn.TAKE($AC$7:$AC$10,$D$8),_xlpm.sizes,_xlfn.TAKE($AD$7:$AD$10,$D$8),_xlpm.counts,_xlpm.sizes*(_xlpm.sizes-1)/2,_xlpm.g,_xlfn.XMATCH(Y50,_xlpm.names),_xlpm.prev,IF(_xlpm.g=1,0,INDEX(_xlfn.SCAN(0,_xlpm.counts,_xlfn.LAMBDA(_xlpm.a,_xlpm.b,_xlpm.a+_xlpm.b)),_xlpm.g-1)),_xlpm.m-_xlpm.prev))</f>
        <v>3</v>
      </c>
      <c r="AA50">
        <f t="array" ref="AA50">IF(Z50="","",_xlfn.LET(_xlpm.names,_xlfn.TAKE($AC$7:$AC$10,$D$8),_xlpm.n,INDEX(_xlfn.TAKE($AD$7:$AD$10,$D$8),_xlfn.XMATCH(Y50,_xlpm.names)),_xlpm.p,Z50,MATCH(TRUE,_xlpm.p&lt;=(_xlpm.n*_xlfn.SEQUENCE(_xlpm.n-1)-_xlfn.SEQUENCE(_xlpm.n-1)*(_xlfn.SEQUENCE(_xlpm.n-1)+1)/2),0)))</f>
        <v>1</v>
      </c>
      <c r="AB50">
        <f t="array" ref="AB50">IF(Z50="","",_xlfn.LET(_xlpm.names,_xlfn.TAKE($AC$7:$AC$10,$D$8),_xlpm.n,INDEX(_xlfn.TAKE($AD$7:$AD$10,$D$8),_xlfn.XMATCH(Y50,_xlpm.names)),_xlpm.p,Z50,_xlpm.a,AA50,_xlpm.prev,IF(_xlpm.a=1,0,_xlpm.n*(_xlpm.a-1)-(_xlpm.a-1)*_xlpm.a/2),_xlpm.a+_xlpm.p-_xlpm.prev))</f>
        <v>4</v>
      </c>
      <c r="AC50" t="str">
        <f t="array" ref="AC50">IF(AA50="","",IFERROR(INDEX(_xlfn._xlws.FILTER($C$20:$C$51,$D$20:$D$51=Y50),AA50),""))</f>
        <v>Aamod</v>
      </c>
      <c r="AD50" t="str">
        <f t="array" ref="AD50">IF(AB50="","",IFERROR(INDEX(_xlfn._xlws.FILTER($C$20:$C$51,$D$20:$D$51=Y50),AB50),""))</f>
        <v>Kunal</v>
      </c>
    </row>
    <row r="51" spans="2:30" x14ac:dyDescent="0.3">
      <c r="B51" s="11">
        <v>32</v>
      </c>
      <c r="C51" s="13"/>
      <c r="D51" s="154" t="str">
        <f t="array" ref="D51">_xlfn.LET(_xlpm.pos,ROW()-ROW($C$20)+1,_xlpm.names,$AC$7:$AC$10,_xlpm.sizes,$AD$7:$AD$10,_xlpm.active,$D$8,_xlpm.total,SUM(_xlfn.TAKE(_xlpm.sizes,_xlpm.active)),_xlpm.cum,_xlfn.SCAN(0,_xlfn.TAKE(_xlpm.sizes,_xlpm.active),_xlfn.LAMBDA(_xlpm.a,_xlpm.b,_xlpm.a+_xlpm.b)),IF(OR(C51="",_xlpm.pos&gt;_xlpm.total),"",INDEX(_xlfn.TAKE(_xlpm.names,_xlpm.active),_xlfn.XMATCH(TRUE,_xlpm.pos&lt;=_xlpm.cum))))</f>
        <v/>
      </c>
      <c r="F51" s="264">
        <f t="shared" si="0"/>
        <v>32</v>
      </c>
      <c r="G51" s="265" t="str">
        <f t="shared" si="1"/>
        <v>Challenger</v>
      </c>
      <c r="H51" s="266" t="str">
        <f t="shared" si="2"/>
        <v>Aamod</v>
      </c>
      <c r="I51" s="267"/>
      <c r="J51" s="267"/>
      <c r="K51" s="267"/>
      <c r="L51" s="266" t="str">
        <f t="shared" si="3"/>
        <v>Zubair</v>
      </c>
      <c r="M51" s="267"/>
      <c r="N51" s="267"/>
      <c r="O51" s="267"/>
      <c r="P51" s="268" t="str">
        <f t="shared" si="4"/>
        <v/>
      </c>
      <c r="Q51" s="268" t="str">
        <f t="shared" si="5"/>
        <v/>
      </c>
      <c r="R51" s="268" t="str">
        <f t="shared" si="6"/>
        <v/>
      </c>
      <c r="S51" s="269" t="str">
        <f t="shared" si="7"/>
        <v/>
      </c>
      <c r="T51" s="146" t="str">
        <f t="shared" si="8"/>
        <v>Aamod vs Zubair</v>
      </c>
      <c r="X51">
        <f t="shared" si="10"/>
        <v>32</v>
      </c>
      <c r="Y51" t="str">
        <f t="array" ref="Y51">_xlfn.LET(_xlpm.m,X51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Challenger</v>
      </c>
      <c r="Z51">
        <f t="array" ref="Z51">IF(Y51="","",_xlfn.LET(_xlpm.m,X51,_xlpm.names,_xlfn.TAKE($AC$7:$AC$10,$D$8),_xlpm.sizes,_xlfn.TAKE($AD$7:$AD$10,$D$8),_xlpm.counts,_xlpm.sizes*(_xlpm.sizes-1)/2,_xlpm.g,_xlfn.XMATCH(Y51,_xlpm.names),_xlpm.prev,IF(_xlpm.g=1,0,INDEX(_xlfn.SCAN(0,_xlpm.counts,_xlfn.LAMBDA(_xlpm.a,_xlpm.b,_xlpm.a+_xlpm.b)),_xlpm.g-1)),_xlpm.m-_xlpm.prev))</f>
        <v>4</v>
      </c>
      <c r="AA51">
        <f t="array" ref="AA51">IF(Z51="","",_xlfn.LET(_xlpm.names,_xlfn.TAKE($AC$7:$AC$10,$D$8),_xlpm.n,INDEX(_xlfn.TAKE($AD$7:$AD$10,$D$8),_xlfn.XMATCH(Y51,_xlpm.names)),_xlpm.p,Z51,MATCH(TRUE,_xlpm.p&lt;=(_xlpm.n*_xlfn.SEQUENCE(_xlpm.n-1)-_xlfn.SEQUENCE(_xlpm.n-1)*(_xlfn.SEQUENCE(_xlpm.n-1)+1)/2),0)))</f>
        <v>1</v>
      </c>
      <c r="AB51">
        <f t="array" ref="AB51">IF(Z51="","",_xlfn.LET(_xlpm.names,_xlfn.TAKE($AC$7:$AC$10,$D$8),_xlpm.n,INDEX(_xlfn.TAKE($AD$7:$AD$10,$D$8),_xlfn.XMATCH(Y51,_xlpm.names)),_xlpm.p,Z51,_xlpm.a,AA51,_xlpm.prev,IF(_xlpm.a=1,0,_xlpm.n*(_xlpm.a-1)-(_xlpm.a-1)*_xlpm.a/2),_xlpm.a+_xlpm.p-_xlpm.prev))</f>
        <v>5</v>
      </c>
      <c r="AC51" t="str">
        <f t="array" ref="AC51">IF(AA51="","",IFERROR(INDEX(_xlfn._xlws.FILTER($C$20:$C$51,$D$20:$D$51=Y51),AA51),""))</f>
        <v>Aamod</v>
      </c>
      <c r="AD51" t="str">
        <f t="array" ref="AD51">IF(AB51="","",IFERROR(INDEX(_xlfn._xlws.FILTER($C$20:$C$51,$D$20:$D$51=Y51),AB51),""))</f>
        <v>Zubair</v>
      </c>
    </row>
    <row r="52" spans="2:30" x14ac:dyDescent="0.3">
      <c r="F52" s="264">
        <f t="shared" ref="F52:F83" si="11">IF(OR(AC52="",AD52=""),"",X52)</f>
        <v>33</v>
      </c>
      <c r="G52" s="265" t="str">
        <f t="shared" ref="G52:G83" si="12">IF(F52="","",Y52)</f>
        <v>Challenger</v>
      </c>
      <c r="H52" s="266" t="str">
        <f t="shared" ref="H52:H83" si="13">IF(F52="","",AC52)</f>
        <v>Zain</v>
      </c>
      <c r="I52" s="267"/>
      <c r="J52" s="267"/>
      <c r="K52" s="267"/>
      <c r="L52" s="266" t="str">
        <f t="shared" ref="L52:L83" si="14">IF(F52="","",AD52)</f>
        <v>Kiran</v>
      </c>
      <c r="M52" s="267"/>
      <c r="N52" s="267"/>
      <c r="O52" s="267"/>
      <c r="P52" s="268" t="str">
        <f t="shared" ref="P52:P83" si="15">IF(OR(H52="",I52="",M52=""),"",IF(AND(I52=M52,K52=O52),"Tie",IF(I52&gt;M52,"A",IF(M52&gt;I52,"B","Tie"))))</f>
        <v/>
      </c>
      <c r="Q52" s="268" t="str">
        <f t="shared" ref="Q52:Q83" si="16">IF(P52="","",IF(P52="A",H52,IF(P52="B",L52,IF(P52="Tie","Tie",""))))</f>
        <v/>
      </c>
      <c r="R52" s="268" t="str">
        <f t="shared" ref="R52:R83" si="17">IF(OR(P52="",P52="Tie",P52="NR"),"",IF(P52="A",IF(K52&gt;=O52,I52-M52,$D$17-J52),IF(K52&lt;=O52,M52-I52,$D$17-N52)))</f>
        <v/>
      </c>
      <c r="S52" s="269" t="str">
        <f t="shared" ref="S52:S83" si="18">IF(OR(P52="",P52="Tie",P52="NR"),"",IF(P52="A",IF(K52&gt;=O52,"Runs","Wickets"),IF(K52&lt;=O52,"Runs","Wickets")))</f>
        <v/>
      </c>
      <c r="T52" s="146" t="str">
        <f t="shared" ref="T52:T83" si="19">IF(OR(H52="",L52=""),"",H52&amp;" vs "&amp;L52)</f>
        <v>Zain vs Kiran</v>
      </c>
      <c r="X52">
        <f t="shared" si="10"/>
        <v>33</v>
      </c>
      <c r="Y52" t="str">
        <f t="array" ref="Y52">_xlfn.LET(_xlpm.m,X52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Challenger</v>
      </c>
      <c r="Z52">
        <f t="array" ref="Z52">IF(Y52="","",_xlfn.LET(_xlpm.m,X52,_xlpm.names,_xlfn.TAKE($AC$7:$AC$10,$D$8),_xlpm.sizes,_xlfn.TAKE($AD$7:$AD$10,$D$8),_xlpm.counts,_xlpm.sizes*(_xlpm.sizes-1)/2,_xlpm.g,_xlfn.XMATCH(Y52,_xlpm.names),_xlpm.prev,IF(_xlpm.g=1,0,INDEX(_xlfn.SCAN(0,_xlpm.counts,_xlfn.LAMBDA(_xlpm.a,_xlpm.b,_xlpm.a+_xlpm.b)),_xlpm.g-1)),_xlpm.m-_xlpm.prev))</f>
        <v>5</v>
      </c>
      <c r="AA52">
        <f t="array" ref="AA52">IF(Z52="","",_xlfn.LET(_xlpm.names,_xlfn.TAKE($AC$7:$AC$10,$D$8),_xlpm.n,INDEX(_xlfn.TAKE($AD$7:$AD$10,$D$8),_xlfn.XMATCH(Y52,_xlpm.names)),_xlpm.p,Z52,MATCH(TRUE,_xlpm.p&lt;=(_xlpm.n*_xlfn.SEQUENCE(_xlpm.n-1)-_xlfn.SEQUENCE(_xlpm.n-1)*(_xlfn.SEQUENCE(_xlpm.n-1)+1)/2),0)))</f>
        <v>2</v>
      </c>
      <c r="AB52">
        <f t="array" ref="AB52">IF(Z52="","",_xlfn.LET(_xlpm.names,_xlfn.TAKE($AC$7:$AC$10,$D$8),_xlpm.n,INDEX(_xlfn.TAKE($AD$7:$AD$10,$D$8),_xlfn.XMATCH(Y52,_xlpm.names)),_xlpm.p,Z52,_xlpm.a,AA52,_xlpm.prev,IF(_xlpm.a=1,0,_xlpm.n*(_xlpm.a-1)-(_xlpm.a-1)*_xlpm.a/2),_xlpm.a+_xlpm.p-_xlpm.prev))</f>
        <v>3</v>
      </c>
      <c r="AC52" t="str">
        <f t="array" ref="AC52">IF(AA52="","",IFERROR(INDEX(_xlfn._xlws.FILTER($C$20:$C$51,$D$20:$D$51=Y52),AA52),""))</f>
        <v>Zain</v>
      </c>
      <c r="AD52" t="str">
        <f t="array" ref="AD52">IF(AB52="","",IFERROR(INDEX(_xlfn._xlws.FILTER($C$20:$C$51,$D$20:$D$51=Y52),AB52),""))</f>
        <v>Kiran</v>
      </c>
    </row>
    <row r="53" spans="2:30" x14ac:dyDescent="0.3">
      <c r="F53" s="264">
        <f t="shared" si="11"/>
        <v>34</v>
      </c>
      <c r="G53" s="265" t="str">
        <f t="shared" si="12"/>
        <v>Challenger</v>
      </c>
      <c r="H53" s="266" t="str">
        <f t="shared" si="13"/>
        <v>Zain</v>
      </c>
      <c r="I53" s="267"/>
      <c r="J53" s="267"/>
      <c r="K53" s="267"/>
      <c r="L53" s="266" t="str">
        <f t="shared" si="14"/>
        <v>Kunal</v>
      </c>
      <c r="M53" s="267"/>
      <c r="N53" s="267"/>
      <c r="O53" s="267"/>
      <c r="P53" s="268" t="str">
        <f t="shared" si="15"/>
        <v/>
      </c>
      <c r="Q53" s="268" t="str">
        <f t="shared" si="16"/>
        <v/>
      </c>
      <c r="R53" s="268" t="str">
        <f t="shared" si="17"/>
        <v/>
      </c>
      <c r="S53" s="269" t="str">
        <f t="shared" si="18"/>
        <v/>
      </c>
      <c r="T53" s="146" t="str">
        <f t="shared" si="19"/>
        <v>Zain vs Kunal</v>
      </c>
      <c r="X53">
        <f t="shared" ref="X53:X84" si="20">X52+1</f>
        <v>34</v>
      </c>
      <c r="Y53" t="str">
        <f t="array" ref="Y53">_xlfn.LET(_xlpm.m,X53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Challenger</v>
      </c>
      <c r="Z53">
        <f t="array" ref="Z53">IF(Y53="","",_xlfn.LET(_xlpm.m,X53,_xlpm.names,_xlfn.TAKE($AC$7:$AC$10,$D$8),_xlpm.sizes,_xlfn.TAKE($AD$7:$AD$10,$D$8),_xlpm.counts,_xlpm.sizes*(_xlpm.sizes-1)/2,_xlpm.g,_xlfn.XMATCH(Y53,_xlpm.names),_xlpm.prev,IF(_xlpm.g=1,0,INDEX(_xlfn.SCAN(0,_xlpm.counts,_xlfn.LAMBDA(_xlpm.a,_xlpm.b,_xlpm.a+_xlpm.b)),_xlpm.g-1)),_xlpm.m-_xlpm.prev))</f>
        <v>6</v>
      </c>
      <c r="AA53">
        <f t="array" ref="AA53">IF(Z53="","",_xlfn.LET(_xlpm.names,_xlfn.TAKE($AC$7:$AC$10,$D$8),_xlpm.n,INDEX(_xlfn.TAKE($AD$7:$AD$10,$D$8),_xlfn.XMATCH(Y53,_xlpm.names)),_xlpm.p,Z53,MATCH(TRUE,_xlpm.p&lt;=(_xlpm.n*_xlfn.SEQUENCE(_xlpm.n-1)-_xlfn.SEQUENCE(_xlpm.n-1)*(_xlfn.SEQUENCE(_xlpm.n-1)+1)/2),0)))</f>
        <v>2</v>
      </c>
      <c r="AB53">
        <f t="array" ref="AB53">IF(Z53="","",_xlfn.LET(_xlpm.names,_xlfn.TAKE($AC$7:$AC$10,$D$8),_xlpm.n,INDEX(_xlfn.TAKE($AD$7:$AD$10,$D$8),_xlfn.XMATCH(Y53,_xlpm.names)),_xlpm.p,Z53,_xlpm.a,AA53,_xlpm.prev,IF(_xlpm.a=1,0,_xlpm.n*(_xlpm.a-1)-(_xlpm.a-1)*_xlpm.a/2),_xlpm.a+_xlpm.p-_xlpm.prev))</f>
        <v>4</v>
      </c>
      <c r="AC53" t="str">
        <f t="array" ref="AC53">IF(AA53="","",IFERROR(INDEX(_xlfn._xlws.FILTER($C$20:$C$51,$D$20:$D$51=Y53),AA53),""))</f>
        <v>Zain</v>
      </c>
      <c r="AD53" t="str">
        <f t="array" ref="AD53">IF(AB53="","",IFERROR(INDEX(_xlfn._xlws.FILTER($C$20:$C$51,$D$20:$D$51=Y53),AB53),""))</f>
        <v>Kunal</v>
      </c>
    </row>
    <row r="54" spans="2:30" x14ac:dyDescent="0.3">
      <c r="F54" s="264">
        <f t="shared" si="11"/>
        <v>35</v>
      </c>
      <c r="G54" s="265" t="str">
        <f t="shared" si="12"/>
        <v>Challenger</v>
      </c>
      <c r="H54" s="266" t="str">
        <f t="shared" si="13"/>
        <v>Zain</v>
      </c>
      <c r="I54" s="267"/>
      <c r="J54" s="267"/>
      <c r="K54" s="267"/>
      <c r="L54" s="266" t="str">
        <f t="shared" si="14"/>
        <v>Zubair</v>
      </c>
      <c r="M54" s="267"/>
      <c r="N54" s="267"/>
      <c r="O54" s="267"/>
      <c r="P54" s="268" t="str">
        <f t="shared" si="15"/>
        <v/>
      </c>
      <c r="Q54" s="268" t="str">
        <f t="shared" si="16"/>
        <v/>
      </c>
      <c r="R54" s="268" t="str">
        <f t="shared" si="17"/>
        <v/>
      </c>
      <c r="S54" s="269" t="str">
        <f t="shared" si="18"/>
        <v/>
      </c>
      <c r="T54" s="146" t="str">
        <f t="shared" si="19"/>
        <v>Zain vs Zubair</v>
      </c>
      <c r="X54">
        <f t="shared" si="20"/>
        <v>35</v>
      </c>
      <c r="Y54" t="str">
        <f t="array" ref="Y54">_xlfn.LET(_xlpm.m,X54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Challenger</v>
      </c>
      <c r="Z54">
        <f t="array" ref="Z54">IF(Y54="","",_xlfn.LET(_xlpm.m,X54,_xlpm.names,_xlfn.TAKE($AC$7:$AC$10,$D$8),_xlpm.sizes,_xlfn.TAKE($AD$7:$AD$10,$D$8),_xlpm.counts,_xlpm.sizes*(_xlpm.sizes-1)/2,_xlpm.g,_xlfn.XMATCH(Y54,_xlpm.names),_xlpm.prev,IF(_xlpm.g=1,0,INDEX(_xlfn.SCAN(0,_xlpm.counts,_xlfn.LAMBDA(_xlpm.a,_xlpm.b,_xlpm.a+_xlpm.b)),_xlpm.g-1)),_xlpm.m-_xlpm.prev))</f>
        <v>7</v>
      </c>
      <c r="AA54">
        <f t="array" ref="AA54">IF(Z54="","",_xlfn.LET(_xlpm.names,_xlfn.TAKE($AC$7:$AC$10,$D$8),_xlpm.n,INDEX(_xlfn.TAKE($AD$7:$AD$10,$D$8),_xlfn.XMATCH(Y54,_xlpm.names)),_xlpm.p,Z54,MATCH(TRUE,_xlpm.p&lt;=(_xlpm.n*_xlfn.SEQUENCE(_xlpm.n-1)-_xlfn.SEQUENCE(_xlpm.n-1)*(_xlfn.SEQUENCE(_xlpm.n-1)+1)/2),0)))</f>
        <v>2</v>
      </c>
      <c r="AB54">
        <f t="array" ref="AB54">IF(Z54="","",_xlfn.LET(_xlpm.names,_xlfn.TAKE($AC$7:$AC$10,$D$8),_xlpm.n,INDEX(_xlfn.TAKE($AD$7:$AD$10,$D$8),_xlfn.XMATCH(Y54,_xlpm.names)),_xlpm.p,Z54,_xlpm.a,AA54,_xlpm.prev,IF(_xlpm.a=1,0,_xlpm.n*(_xlpm.a-1)-(_xlpm.a-1)*_xlpm.a/2),_xlpm.a+_xlpm.p-_xlpm.prev))</f>
        <v>5</v>
      </c>
      <c r="AC54" t="str">
        <f t="array" ref="AC54">IF(AA54="","",IFERROR(INDEX(_xlfn._xlws.FILTER($C$20:$C$51,$D$20:$D$51=Y54),AA54),""))</f>
        <v>Zain</v>
      </c>
      <c r="AD54" t="str">
        <f t="array" ref="AD54">IF(AB54="","",IFERROR(INDEX(_xlfn._xlws.FILTER($C$20:$C$51,$D$20:$D$51=Y54),AB54),""))</f>
        <v>Zubair</v>
      </c>
    </row>
    <row r="55" spans="2:30" x14ac:dyDescent="0.3">
      <c r="F55" s="264">
        <f t="shared" si="11"/>
        <v>36</v>
      </c>
      <c r="G55" s="265" t="str">
        <f t="shared" si="12"/>
        <v>Challenger</v>
      </c>
      <c r="H55" s="266" t="str">
        <f t="shared" si="13"/>
        <v>Kiran</v>
      </c>
      <c r="I55" s="267"/>
      <c r="J55" s="267"/>
      <c r="K55" s="267"/>
      <c r="L55" s="266" t="str">
        <f t="shared" si="14"/>
        <v>Kunal</v>
      </c>
      <c r="M55" s="267"/>
      <c r="N55" s="267"/>
      <c r="O55" s="267"/>
      <c r="P55" s="268" t="str">
        <f t="shared" si="15"/>
        <v/>
      </c>
      <c r="Q55" s="268" t="str">
        <f t="shared" si="16"/>
        <v/>
      </c>
      <c r="R55" s="268" t="str">
        <f t="shared" si="17"/>
        <v/>
      </c>
      <c r="S55" s="269" t="str">
        <f t="shared" si="18"/>
        <v/>
      </c>
      <c r="T55" s="146" t="str">
        <f t="shared" si="19"/>
        <v>Kiran vs Kunal</v>
      </c>
      <c r="X55">
        <f t="shared" si="20"/>
        <v>36</v>
      </c>
      <c r="Y55" t="str">
        <f t="array" ref="Y55">_xlfn.LET(_xlpm.m,X55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Challenger</v>
      </c>
      <c r="Z55">
        <f t="array" ref="Z55">IF(Y55="","",_xlfn.LET(_xlpm.m,X55,_xlpm.names,_xlfn.TAKE($AC$7:$AC$10,$D$8),_xlpm.sizes,_xlfn.TAKE($AD$7:$AD$10,$D$8),_xlpm.counts,_xlpm.sizes*(_xlpm.sizes-1)/2,_xlpm.g,_xlfn.XMATCH(Y55,_xlpm.names),_xlpm.prev,IF(_xlpm.g=1,0,INDEX(_xlfn.SCAN(0,_xlpm.counts,_xlfn.LAMBDA(_xlpm.a,_xlpm.b,_xlpm.a+_xlpm.b)),_xlpm.g-1)),_xlpm.m-_xlpm.prev))</f>
        <v>8</v>
      </c>
      <c r="AA55">
        <f t="array" ref="AA55">IF(Z55="","",_xlfn.LET(_xlpm.names,_xlfn.TAKE($AC$7:$AC$10,$D$8),_xlpm.n,INDEX(_xlfn.TAKE($AD$7:$AD$10,$D$8),_xlfn.XMATCH(Y55,_xlpm.names)),_xlpm.p,Z55,MATCH(TRUE,_xlpm.p&lt;=(_xlpm.n*_xlfn.SEQUENCE(_xlpm.n-1)-_xlfn.SEQUENCE(_xlpm.n-1)*(_xlfn.SEQUENCE(_xlpm.n-1)+1)/2),0)))</f>
        <v>3</v>
      </c>
      <c r="AB55">
        <f t="array" ref="AB55">IF(Z55="","",_xlfn.LET(_xlpm.names,_xlfn.TAKE($AC$7:$AC$10,$D$8),_xlpm.n,INDEX(_xlfn.TAKE($AD$7:$AD$10,$D$8),_xlfn.XMATCH(Y55,_xlpm.names)),_xlpm.p,Z55,_xlpm.a,AA55,_xlpm.prev,IF(_xlpm.a=1,0,_xlpm.n*(_xlpm.a-1)-(_xlpm.a-1)*_xlpm.a/2),_xlpm.a+_xlpm.p-_xlpm.prev))</f>
        <v>4</v>
      </c>
      <c r="AC55" t="str">
        <f t="array" ref="AC55">IF(AA55="","",IFERROR(INDEX(_xlfn._xlws.FILTER($C$20:$C$51,$D$20:$D$51=Y55),AA55),""))</f>
        <v>Kiran</v>
      </c>
      <c r="AD55" t="str">
        <f t="array" ref="AD55">IF(AB55="","",IFERROR(INDEX(_xlfn._xlws.FILTER($C$20:$C$51,$D$20:$D$51=Y55),AB55),""))</f>
        <v>Kunal</v>
      </c>
    </row>
    <row r="56" spans="2:30" x14ac:dyDescent="0.3">
      <c r="F56" s="264">
        <f t="shared" si="11"/>
        <v>37</v>
      </c>
      <c r="G56" s="265" t="str">
        <f t="shared" si="12"/>
        <v>Challenger</v>
      </c>
      <c r="H56" s="266" t="str">
        <f t="shared" si="13"/>
        <v>Kiran</v>
      </c>
      <c r="I56" s="267"/>
      <c r="J56" s="267"/>
      <c r="K56" s="267"/>
      <c r="L56" s="266" t="str">
        <f t="shared" si="14"/>
        <v>Zubair</v>
      </c>
      <c r="M56" s="267"/>
      <c r="N56" s="267"/>
      <c r="O56" s="267"/>
      <c r="P56" s="268" t="str">
        <f t="shared" si="15"/>
        <v/>
      </c>
      <c r="Q56" s="268" t="str">
        <f t="shared" si="16"/>
        <v/>
      </c>
      <c r="R56" s="268" t="str">
        <f t="shared" si="17"/>
        <v/>
      </c>
      <c r="S56" s="269" t="str">
        <f t="shared" si="18"/>
        <v/>
      </c>
      <c r="T56" s="146" t="str">
        <f t="shared" si="19"/>
        <v>Kiran vs Zubair</v>
      </c>
      <c r="X56">
        <f t="shared" si="20"/>
        <v>37</v>
      </c>
      <c r="Y56" t="str">
        <f t="array" ref="Y56">_xlfn.LET(_xlpm.m,X56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Challenger</v>
      </c>
      <c r="Z56">
        <f t="array" ref="Z56">IF(Y56="","",_xlfn.LET(_xlpm.m,X56,_xlpm.names,_xlfn.TAKE($AC$7:$AC$10,$D$8),_xlpm.sizes,_xlfn.TAKE($AD$7:$AD$10,$D$8),_xlpm.counts,_xlpm.sizes*(_xlpm.sizes-1)/2,_xlpm.g,_xlfn.XMATCH(Y56,_xlpm.names),_xlpm.prev,IF(_xlpm.g=1,0,INDEX(_xlfn.SCAN(0,_xlpm.counts,_xlfn.LAMBDA(_xlpm.a,_xlpm.b,_xlpm.a+_xlpm.b)),_xlpm.g-1)),_xlpm.m-_xlpm.prev))</f>
        <v>9</v>
      </c>
      <c r="AA56">
        <f t="array" ref="AA56">IF(Z56="","",_xlfn.LET(_xlpm.names,_xlfn.TAKE($AC$7:$AC$10,$D$8),_xlpm.n,INDEX(_xlfn.TAKE($AD$7:$AD$10,$D$8),_xlfn.XMATCH(Y56,_xlpm.names)),_xlpm.p,Z56,MATCH(TRUE,_xlpm.p&lt;=(_xlpm.n*_xlfn.SEQUENCE(_xlpm.n-1)-_xlfn.SEQUENCE(_xlpm.n-1)*(_xlfn.SEQUENCE(_xlpm.n-1)+1)/2),0)))</f>
        <v>3</v>
      </c>
      <c r="AB56">
        <f t="array" ref="AB56">IF(Z56="","",_xlfn.LET(_xlpm.names,_xlfn.TAKE($AC$7:$AC$10,$D$8),_xlpm.n,INDEX(_xlfn.TAKE($AD$7:$AD$10,$D$8),_xlfn.XMATCH(Y56,_xlpm.names)),_xlpm.p,Z56,_xlpm.a,AA56,_xlpm.prev,IF(_xlpm.a=1,0,_xlpm.n*(_xlpm.a-1)-(_xlpm.a-1)*_xlpm.a/2),_xlpm.a+_xlpm.p-_xlpm.prev))</f>
        <v>5</v>
      </c>
      <c r="AC56" t="str">
        <f t="array" ref="AC56">IF(AA56="","",IFERROR(INDEX(_xlfn._xlws.FILTER($C$20:$C$51,$D$20:$D$51=Y56),AA56),""))</f>
        <v>Kiran</v>
      </c>
      <c r="AD56" t="str">
        <f t="array" ref="AD56">IF(AB56="","",IFERROR(INDEX(_xlfn._xlws.FILTER($C$20:$C$51,$D$20:$D$51=Y56),AB56),""))</f>
        <v>Zubair</v>
      </c>
    </row>
    <row r="57" spans="2:30" x14ac:dyDescent="0.3">
      <c r="F57" s="264">
        <f t="shared" si="11"/>
        <v>38</v>
      </c>
      <c r="G57" s="265" t="str">
        <f t="shared" si="12"/>
        <v>Challenger</v>
      </c>
      <c r="H57" s="266" t="str">
        <f t="shared" si="13"/>
        <v>Kunal</v>
      </c>
      <c r="I57" s="267"/>
      <c r="J57" s="267"/>
      <c r="K57" s="267"/>
      <c r="L57" s="266" t="str">
        <f t="shared" si="14"/>
        <v>Zubair</v>
      </c>
      <c r="M57" s="267"/>
      <c r="N57" s="267"/>
      <c r="O57" s="267"/>
      <c r="P57" s="268" t="str">
        <f t="shared" si="15"/>
        <v/>
      </c>
      <c r="Q57" s="268" t="str">
        <f t="shared" si="16"/>
        <v/>
      </c>
      <c r="R57" s="268" t="str">
        <f t="shared" si="17"/>
        <v/>
      </c>
      <c r="S57" s="269" t="str">
        <f t="shared" si="18"/>
        <v/>
      </c>
      <c r="T57" s="146" t="str">
        <f t="shared" si="19"/>
        <v>Kunal vs Zubair</v>
      </c>
      <c r="X57">
        <f t="shared" si="20"/>
        <v>38</v>
      </c>
      <c r="Y57" t="str">
        <f t="array" ref="Y57">_xlfn.LET(_xlpm.m,X57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Challenger</v>
      </c>
      <c r="Z57">
        <f t="array" ref="Z57">IF(Y57="","",_xlfn.LET(_xlpm.m,X57,_xlpm.names,_xlfn.TAKE($AC$7:$AC$10,$D$8),_xlpm.sizes,_xlfn.TAKE($AD$7:$AD$10,$D$8),_xlpm.counts,_xlpm.sizes*(_xlpm.sizes-1)/2,_xlpm.g,_xlfn.XMATCH(Y57,_xlpm.names),_xlpm.prev,IF(_xlpm.g=1,0,INDEX(_xlfn.SCAN(0,_xlpm.counts,_xlfn.LAMBDA(_xlpm.a,_xlpm.b,_xlpm.a+_xlpm.b)),_xlpm.g-1)),_xlpm.m-_xlpm.prev))</f>
        <v>10</v>
      </c>
      <c r="AA57">
        <f t="array" ref="AA57">IF(Z57="","",_xlfn.LET(_xlpm.names,_xlfn.TAKE($AC$7:$AC$10,$D$8),_xlpm.n,INDEX(_xlfn.TAKE($AD$7:$AD$10,$D$8),_xlfn.XMATCH(Y57,_xlpm.names)),_xlpm.p,Z57,MATCH(TRUE,_xlpm.p&lt;=(_xlpm.n*_xlfn.SEQUENCE(_xlpm.n-1)-_xlfn.SEQUENCE(_xlpm.n-1)*(_xlfn.SEQUENCE(_xlpm.n-1)+1)/2),0)))</f>
        <v>4</v>
      </c>
      <c r="AB57">
        <f t="array" ref="AB57">IF(Z57="","",_xlfn.LET(_xlpm.names,_xlfn.TAKE($AC$7:$AC$10,$D$8),_xlpm.n,INDEX(_xlfn.TAKE($AD$7:$AD$10,$D$8),_xlfn.XMATCH(Y57,_xlpm.names)),_xlpm.p,Z57,_xlpm.a,AA57,_xlpm.prev,IF(_xlpm.a=1,0,_xlpm.n*(_xlpm.a-1)-(_xlpm.a-1)*_xlpm.a/2),_xlpm.a+_xlpm.p-_xlpm.prev))</f>
        <v>5</v>
      </c>
      <c r="AC57" t="str">
        <f t="array" ref="AC57">IF(AA57="","",IFERROR(INDEX(_xlfn._xlws.FILTER($C$20:$C$51,$D$20:$D$51=Y57),AA57),""))</f>
        <v>Kunal</v>
      </c>
      <c r="AD57" t="str">
        <f t="array" ref="AD57">IF(AB57="","",IFERROR(INDEX(_xlfn._xlws.FILTER($C$20:$C$51,$D$20:$D$51=Y57),AB57),""))</f>
        <v>Zubair</v>
      </c>
    </row>
    <row r="58" spans="2:30" x14ac:dyDescent="0.3">
      <c r="F58" s="33" t="str">
        <f t="shared" si="11"/>
        <v/>
      </c>
      <c r="G58" s="170" t="str">
        <f t="shared" si="12"/>
        <v/>
      </c>
      <c r="H58" s="171" t="str">
        <f t="shared" si="13"/>
        <v/>
      </c>
      <c r="I58" s="35"/>
      <c r="J58" s="35"/>
      <c r="K58" s="35"/>
      <c r="L58" s="171" t="str">
        <f t="shared" si="14"/>
        <v/>
      </c>
      <c r="M58" s="35"/>
      <c r="N58" s="35"/>
      <c r="O58" s="35"/>
      <c r="P58" s="158" t="str">
        <f t="shared" si="15"/>
        <v/>
      </c>
      <c r="Q58" s="158" t="str">
        <f t="shared" si="16"/>
        <v/>
      </c>
      <c r="R58" s="158" t="str">
        <f t="shared" si="17"/>
        <v/>
      </c>
      <c r="S58" s="159" t="str">
        <f t="shared" si="18"/>
        <v/>
      </c>
      <c r="T58" s="146" t="str">
        <f t="shared" si="19"/>
        <v/>
      </c>
      <c r="X58">
        <f t="shared" si="20"/>
        <v>39</v>
      </c>
      <c r="Y58" t="str">
        <f t="array" ref="Y58">_xlfn.LET(_xlpm.m,X58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58" t="str">
        <f t="array" ref="Z58">IF(Y58="","",_xlfn.LET(_xlpm.m,X58,_xlpm.names,_xlfn.TAKE($AC$7:$AC$10,$D$8),_xlpm.sizes,_xlfn.TAKE($AD$7:$AD$10,$D$8),_xlpm.counts,_xlpm.sizes*(_xlpm.sizes-1)/2,_xlpm.g,_xlfn.XMATCH(Y58,_xlpm.names),_xlpm.prev,IF(_xlpm.g=1,0,INDEX(_xlfn.SCAN(0,_xlpm.counts,_xlfn.LAMBDA(_xlpm.a,_xlpm.b,_xlpm.a+_xlpm.b)),_xlpm.g-1)),_xlpm.m-_xlpm.prev))</f>
        <v/>
      </c>
      <c r="AA58" t="str">
        <f t="array" ref="AA58">IF(Z58="","",_xlfn.LET(_xlpm.names,_xlfn.TAKE($AC$7:$AC$10,$D$8),_xlpm.n,INDEX(_xlfn.TAKE($AD$7:$AD$10,$D$8),_xlfn.XMATCH(Y58,_xlpm.names)),_xlpm.p,Z58,MATCH(TRUE,_xlpm.p&lt;=(_xlpm.n*_xlfn.SEQUENCE(_xlpm.n-1)-_xlfn.SEQUENCE(_xlpm.n-1)*(_xlfn.SEQUENCE(_xlpm.n-1)+1)/2),0)))</f>
        <v/>
      </c>
      <c r="AB58" t="str">
        <f t="array" ref="AB58">IF(Z58="","",_xlfn.LET(_xlpm.names,_xlfn.TAKE($AC$7:$AC$10,$D$8),_xlpm.n,INDEX(_xlfn.TAKE($AD$7:$AD$10,$D$8),_xlfn.XMATCH(Y58,_xlpm.names)),_xlpm.p,Z58,_xlpm.a,AA58,_xlpm.prev,IF(_xlpm.a=1,0,_xlpm.n*(_xlpm.a-1)-(_xlpm.a-1)*_xlpm.a/2),_xlpm.a+_xlpm.p-_xlpm.prev))</f>
        <v/>
      </c>
      <c r="AC58" t="str">
        <f t="array" ref="AC58">IF(AA58="","",IFERROR(INDEX(_xlfn._xlws.FILTER($C$20:$C$51,$D$20:$D$51=Y58),AA58),""))</f>
        <v/>
      </c>
      <c r="AD58" t="str">
        <f t="array" ref="AD58">IF(AB58="","",IFERROR(INDEX(_xlfn._xlws.FILTER($C$20:$C$51,$D$20:$D$51=Y58),AB58),""))</f>
        <v/>
      </c>
    </row>
    <row r="59" spans="2:30" x14ac:dyDescent="0.3">
      <c r="F59" s="33" t="str">
        <f t="shared" si="11"/>
        <v/>
      </c>
      <c r="G59" s="170" t="str">
        <f t="shared" si="12"/>
        <v/>
      </c>
      <c r="H59" s="171" t="str">
        <f t="shared" si="13"/>
        <v/>
      </c>
      <c r="I59" s="35"/>
      <c r="J59" s="35"/>
      <c r="K59" s="35"/>
      <c r="L59" s="171" t="str">
        <f t="shared" si="14"/>
        <v/>
      </c>
      <c r="M59" s="35"/>
      <c r="N59" s="35"/>
      <c r="O59" s="35"/>
      <c r="P59" s="158" t="str">
        <f t="shared" si="15"/>
        <v/>
      </c>
      <c r="Q59" s="158" t="str">
        <f t="shared" si="16"/>
        <v/>
      </c>
      <c r="R59" s="158" t="str">
        <f t="shared" si="17"/>
        <v/>
      </c>
      <c r="S59" s="159" t="str">
        <f t="shared" si="18"/>
        <v/>
      </c>
      <c r="T59" s="146" t="str">
        <f t="shared" si="19"/>
        <v/>
      </c>
      <c r="X59">
        <f t="shared" si="20"/>
        <v>40</v>
      </c>
      <c r="Y59" t="str">
        <f t="array" ref="Y59">_xlfn.LET(_xlpm.m,X59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59" t="str">
        <f t="array" ref="Z59">IF(Y59="","",_xlfn.LET(_xlpm.m,X59,_xlpm.names,_xlfn.TAKE($AC$7:$AC$10,$D$8),_xlpm.sizes,_xlfn.TAKE($AD$7:$AD$10,$D$8),_xlpm.counts,_xlpm.sizes*(_xlpm.sizes-1)/2,_xlpm.g,_xlfn.XMATCH(Y59,_xlpm.names),_xlpm.prev,IF(_xlpm.g=1,0,INDEX(_xlfn.SCAN(0,_xlpm.counts,_xlfn.LAMBDA(_xlpm.a,_xlpm.b,_xlpm.a+_xlpm.b)),_xlpm.g-1)),_xlpm.m-_xlpm.prev))</f>
        <v/>
      </c>
      <c r="AA59" t="str">
        <f t="array" ref="AA59">IF(Z59="","",_xlfn.LET(_xlpm.names,_xlfn.TAKE($AC$7:$AC$10,$D$8),_xlpm.n,INDEX(_xlfn.TAKE($AD$7:$AD$10,$D$8),_xlfn.XMATCH(Y59,_xlpm.names)),_xlpm.p,Z59,MATCH(TRUE,_xlpm.p&lt;=(_xlpm.n*_xlfn.SEQUENCE(_xlpm.n-1)-_xlfn.SEQUENCE(_xlpm.n-1)*(_xlfn.SEQUENCE(_xlpm.n-1)+1)/2),0)))</f>
        <v/>
      </c>
      <c r="AB59" t="str">
        <f t="array" ref="AB59">IF(Z59="","",_xlfn.LET(_xlpm.names,_xlfn.TAKE($AC$7:$AC$10,$D$8),_xlpm.n,INDEX(_xlfn.TAKE($AD$7:$AD$10,$D$8),_xlfn.XMATCH(Y59,_xlpm.names)),_xlpm.p,Z59,_xlpm.a,AA59,_xlpm.prev,IF(_xlpm.a=1,0,_xlpm.n*(_xlpm.a-1)-(_xlpm.a-1)*_xlpm.a/2),_xlpm.a+_xlpm.p-_xlpm.prev))</f>
        <v/>
      </c>
      <c r="AC59" t="str">
        <f t="array" ref="AC59">IF(AA59="","",IFERROR(INDEX(_xlfn._xlws.FILTER($C$20:$C$51,$D$20:$D$51=Y59),AA59),""))</f>
        <v/>
      </c>
      <c r="AD59" t="str">
        <f t="array" ref="AD59">IF(AB59="","",IFERROR(INDEX(_xlfn._xlws.FILTER($C$20:$C$51,$D$20:$D$51=Y59),AB59),""))</f>
        <v/>
      </c>
    </row>
    <row r="60" spans="2:30" x14ac:dyDescent="0.3">
      <c r="F60" s="33" t="str">
        <f t="shared" si="11"/>
        <v/>
      </c>
      <c r="G60" s="170" t="str">
        <f t="shared" si="12"/>
        <v/>
      </c>
      <c r="H60" s="171" t="str">
        <f t="shared" si="13"/>
        <v/>
      </c>
      <c r="I60" s="35"/>
      <c r="J60" s="35"/>
      <c r="K60" s="35"/>
      <c r="L60" s="171" t="str">
        <f t="shared" si="14"/>
        <v/>
      </c>
      <c r="M60" s="35"/>
      <c r="N60" s="35"/>
      <c r="O60" s="35"/>
      <c r="P60" s="158" t="str">
        <f t="shared" si="15"/>
        <v/>
      </c>
      <c r="Q60" s="158" t="str">
        <f t="shared" si="16"/>
        <v/>
      </c>
      <c r="R60" s="158" t="str">
        <f t="shared" si="17"/>
        <v/>
      </c>
      <c r="S60" s="159" t="str">
        <f t="shared" si="18"/>
        <v/>
      </c>
      <c r="T60" s="146" t="str">
        <f t="shared" si="19"/>
        <v/>
      </c>
      <c r="X60">
        <f t="shared" si="20"/>
        <v>41</v>
      </c>
      <c r="Y60" t="str">
        <f t="array" ref="Y60">_xlfn.LET(_xlpm.m,X60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0" t="str">
        <f t="array" ref="Z60">IF(Y60="","",_xlfn.LET(_xlpm.m,X60,_xlpm.names,_xlfn.TAKE($AC$7:$AC$10,$D$8),_xlpm.sizes,_xlfn.TAKE($AD$7:$AD$10,$D$8),_xlpm.counts,_xlpm.sizes*(_xlpm.sizes-1)/2,_xlpm.g,_xlfn.XMATCH(Y60,_xlpm.names),_xlpm.prev,IF(_xlpm.g=1,0,INDEX(_xlfn.SCAN(0,_xlpm.counts,_xlfn.LAMBDA(_xlpm.a,_xlpm.b,_xlpm.a+_xlpm.b)),_xlpm.g-1)),_xlpm.m-_xlpm.prev))</f>
        <v/>
      </c>
      <c r="AA60" t="str">
        <f t="array" ref="AA60">IF(Z60="","",_xlfn.LET(_xlpm.names,_xlfn.TAKE($AC$7:$AC$10,$D$8),_xlpm.n,INDEX(_xlfn.TAKE($AD$7:$AD$10,$D$8),_xlfn.XMATCH(Y60,_xlpm.names)),_xlpm.p,Z60,MATCH(TRUE,_xlpm.p&lt;=(_xlpm.n*_xlfn.SEQUENCE(_xlpm.n-1)-_xlfn.SEQUENCE(_xlpm.n-1)*(_xlfn.SEQUENCE(_xlpm.n-1)+1)/2),0)))</f>
        <v/>
      </c>
      <c r="AB60" t="str">
        <f t="array" ref="AB60">IF(Z60="","",_xlfn.LET(_xlpm.names,_xlfn.TAKE($AC$7:$AC$10,$D$8),_xlpm.n,INDEX(_xlfn.TAKE($AD$7:$AD$10,$D$8),_xlfn.XMATCH(Y60,_xlpm.names)),_xlpm.p,Z60,_xlpm.a,AA60,_xlpm.prev,IF(_xlpm.a=1,0,_xlpm.n*(_xlpm.a-1)-(_xlpm.a-1)*_xlpm.a/2),_xlpm.a+_xlpm.p-_xlpm.prev))</f>
        <v/>
      </c>
      <c r="AC60" t="str">
        <f t="array" ref="AC60">IF(AA60="","",IFERROR(INDEX(_xlfn._xlws.FILTER($C$20:$C$51,$D$20:$D$51=Y60),AA60),""))</f>
        <v/>
      </c>
      <c r="AD60" t="str">
        <f t="array" ref="AD60">IF(AB60="","",IFERROR(INDEX(_xlfn._xlws.FILTER($C$20:$C$51,$D$20:$D$51=Y60),AB60),""))</f>
        <v/>
      </c>
    </row>
    <row r="61" spans="2:30" x14ac:dyDescent="0.3">
      <c r="F61" s="33" t="str">
        <f t="shared" si="11"/>
        <v/>
      </c>
      <c r="G61" s="170" t="str">
        <f t="shared" si="12"/>
        <v/>
      </c>
      <c r="H61" s="171" t="str">
        <f t="shared" si="13"/>
        <v/>
      </c>
      <c r="I61" s="35"/>
      <c r="J61" s="35"/>
      <c r="K61" s="35"/>
      <c r="L61" s="171" t="str">
        <f t="shared" si="14"/>
        <v/>
      </c>
      <c r="M61" s="35"/>
      <c r="N61" s="35"/>
      <c r="O61" s="35"/>
      <c r="P61" s="158" t="str">
        <f t="shared" si="15"/>
        <v/>
      </c>
      <c r="Q61" s="158" t="str">
        <f t="shared" si="16"/>
        <v/>
      </c>
      <c r="R61" s="158" t="str">
        <f t="shared" si="17"/>
        <v/>
      </c>
      <c r="S61" s="159" t="str">
        <f t="shared" si="18"/>
        <v/>
      </c>
      <c r="T61" s="146" t="str">
        <f t="shared" si="19"/>
        <v/>
      </c>
      <c r="X61">
        <f t="shared" si="20"/>
        <v>42</v>
      </c>
      <c r="Y61" t="str">
        <f t="array" ref="Y61">_xlfn.LET(_xlpm.m,X61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1" t="str">
        <f t="array" ref="Z61">IF(Y61="","",_xlfn.LET(_xlpm.m,X61,_xlpm.names,_xlfn.TAKE($AC$7:$AC$10,$D$8),_xlpm.sizes,_xlfn.TAKE($AD$7:$AD$10,$D$8),_xlpm.counts,_xlpm.sizes*(_xlpm.sizes-1)/2,_xlpm.g,_xlfn.XMATCH(Y61,_xlpm.names),_xlpm.prev,IF(_xlpm.g=1,0,INDEX(_xlfn.SCAN(0,_xlpm.counts,_xlfn.LAMBDA(_xlpm.a,_xlpm.b,_xlpm.a+_xlpm.b)),_xlpm.g-1)),_xlpm.m-_xlpm.prev))</f>
        <v/>
      </c>
      <c r="AA61" t="str">
        <f t="array" ref="AA61">IF(Z61="","",_xlfn.LET(_xlpm.names,_xlfn.TAKE($AC$7:$AC$10,$D$8),_xlpm.n,INDEX(_xlfn.TAKE($AD$7:$AD$10,$D$8),_xlfn.XMATCH(Y61,_xlpm.names)),_xlpm.p,Z61,MATCH(TRUE,_xlpm.p&lt;=(_xlpm.n*_xlfn.SEQUENCE(_xlpm.n-1)-_xlfn.SEQUENCE(_xlpm.n-1)*(_xlfn.SEQUENCE(_xlpm.n-1)+1)/2),0)))</f>
        <v/>
      </c>
      <c r="AB61" t="str">
        <f t="array" ref="AB61">IF(Z61="","",_xlfn.LET(_xlpm.names,_xlfn.TAKE($AC$7:$AC$10,$D$8),_xlpm.n,INDEX(_xlfn.TAKE($AD$7:$AD$10,$D$8),_xlfn.XMATCH(Y61,_xlpm.names)),_xlpm.p,Z61,_xlpm.a,AA61,_xlpm.prev,IF(_xlpm.a=1,0,_xlpm.n*(_xlpm.a-1)-(_xlpm.a-1)*_xlpm.a/2),_xlpm.a+_xlpm.p-_xlpm.prev))</f>
        <v/>
      </c>
      <c r="AC61" t="str">
        <f t="array" ref="AC61">IF(AA61="","",IFERROR(INDEX(_xlfn._xlws.FILTER($C$20:$C$51,$D$20:$D$51=Y61),AA61),""))</f>
        <v/>
      </c>
      <c r="AD61" t="str">
        <f t="array" ref="AD61">IF(AB61="","",IFERROR(INDEX(_xlfn._xlws.FILTER($C$20:$C$51,$D$20:$D$51=Y61),AB61),""))</f>
        <v/>
      </c>
    </row>
    <row r="62" spans="2:30" x14ac:dyDescent="0.3">
      <c r="F62" s="33" t="str">
        <f t="shared" si="11"/>
        <v/>
      </c>
      <c r="G62" s="170" t="str">
        <f t="shared" si="12"/>
        <v/>
      </c>
      <c r="H62" s="171" t="str">
        <f t="shared" si="13"/>
        <v/>
      </c>
      <c r="I62" s="35"/>
      <c r="J62" s="35"/>
      <c r="K62" s="35"/>
      <c r="L62" s="171" t="str">
        <f t="shared" si="14"/>
        <v/>
      </c>
      <c r="M62" s="35"/>
      <c r="N62" s="35"/>
      <c r="O62" s="35"/>
      <c r="P62" s="158" t="str">
        <f t="shared" si="15"/>
        <v/>
      </c>
      <c r="Q62" s="158" t="str">
        <f t="shared" si="16"/>
        <v/>
      </c>
      <c r="R62" s="158" t="str">
        <f t="shared" si="17"/>
        <v/>
      </c>
      <c r="S62" s="159" t="str">
        <f t="shared" si="18"/>
        <v/>
      </c>
      <c r="T62" s="146" t="str">
        <f t="shared" si="19"/>
        <v/>
      </c>
      <c r="X62">
        <f t="shared" si="20"/>
        <v>43</v>
      </c>
      <c r="Y62" t="str">
        <f t="array" ref="Y62">_xlfn.LET(_xlpm.m,X62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2" t="str">
        <f t="array" ref="Z62">IF(Y62="","",_xlfn.LET(_xlpm.m,X62,_xlpm.names,_xlfn.TAKE($AC$7:$AC$10,$D$8),_xlpm.sizes,_xlfn.TAKE($AD$7:$AD$10,$D$8),_xlpm.counts,_xlpm.sizes*(_xlpm.sizes-1)/2,_xlpm.g,_xlfn.XMATCH(Y62,_xlpm.names),_xlpm.prev,IF(_xlpm.g=1,0,INDEX(_xlfn.SCAN(0,_xlpm.counts,_xlfn.LAMBDA(_xlpm.a,_xlpm.b,_xlpm.a+_xlpm.b)),_xlpm.g-1)),_xlpm.m-_xlpm.prev))</f>
        <v/>
      </c>
      <c r="AA62" t="str">
        <f t="array" ref="AA62">IF(Z62="","",_xlfn.LET(_xlpm.names,_xlfn.TAKE($AC$7:$AC$10,$D$8),_xlpm.n,INDEX(_xlfn.TAKE($AD$7:$AD$10,$D$8),_xlfn.XMATCH(Y62,_xlpm.names)),_xlpm.p,Z62,MATCH(TRUE,_xlpm.p&lt;=(_xlpm.n*_xlfn.SEQUENCE(_xlpm.n-1)-_xlfn.SEQUENCE(_xlpm.n-1)*(_xlfn.SEQUENCE(_xlpm.n-1)+1)/2),0)))</f>
        <v/>
      </c>
      <c r="AB62" t="str">
        <f t="array" ref="AB62">IF(Z62="","",_xlfn.LET(_xlpm.names,_xlfn.TAKE($AC$7:$AC$10,$D$8),_xlpm.n,INDEX(_xlfn.TAKE($AD$7:$AD$10,$D$8),_xlfn.XMATCH(Y62,_xlpm.names)),_xlpm.p,Z62,_xlpm.a,AA62,_xlpm.prev,IF(_xlpm.a=1,0,_xlpm.n*(_xlpm.a-1)-(_xlpm.a-1)*_xlpm.a/2),_xlpm.a+_xlpm.p-_xlpm.prev))</f>
        <v/>
      </c>
      <c r="AC62" t="str">
        <f t="array" ref="AC62">IF(AA62="","",IFERROR(INDEX(_xlfn._xlws.FILTER($C$20:$C$51,$D$20:$D$51=Y62),AA62),""))</f>
        <v/>
      </c>
      <c r="AD62" t="str">
        <f t="array" ref="AD62">IF(AB62="","",IFERROR(INDEX(_xlfn._xlws.FILTER($C$20:$C$51,$D$20:$D$51=Y62),AB62),""))</f>
        <v/>
      </c>
    </row>
    <row r="63" spans="2:30" x14ac:dyDescent="0.3">
      <c r="F63" s="33" t="str">
        <f t="shared" si="11"/>
        <v/>
      </c>
      <c r="G63" s="170" t="str">
        <f t="shared" si="12"/>
        <v/>
      </c>
      <c r="H63" s="171" t="str">
        <f t="shared" si="13"/>
        <v/>
      </c>
      <c r="I63" s="35"/>
      <c r="J63" s="35"/>
      <c r="K63" s="35"/>
      <c r="L63" s="171" t="str">
        <f t="shared" si="14"/>
        <v/>
      </c>
      <c r="M63" s="35"/>
      <c r="N63" s="35"/>
      <c r="O63" s="35"/>
      <c r="P63" s="158" t="str">
        <f t="shared" si="15"/>
        <v/>
      </c>
      <c r="Q63" s="158" t="str">
        <f t="shared" si="16"/>
        <v/>
      </c>
      <c r="R63" s="158" t="str">
        <f t="shared" si="17"/>
        <v/>
      </c>
      <c r="S63" s="159" t="str">
        <f t="shared" si="18"/>
        <v/>
      </c>
      <c r="T63" s="146" t="str">
        <f t="shared" si="19"/>
        <v/>
      </c>
      <c r="X63">
        <f t="shared" si="20"/>
        <v>44</v>
      </c>
      <c r="Y63" t="str">
        <f t="array" ref="Y63">_xlfn.LET(_xlpm.m,X63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3" t="str">
        <f t="array" ref="Z63">IF(Y63="","",_xlfn.LET(_xlpm.m,X63,_xlpm.names,_xlfn.TAKE($AC$7:$AC$10,$D$8),_xlpm.sizes,_xlfn.TAKE($AD$7:$AD$10,$D$8),_xlpm.counts,_xlpm.sizes*(_xlpm.sizes-1)/2,_xlpm.g,_xlfn.XMATCH(Y63,_xlpm.names),_xlpm.prev,IF(_xlpm.g=1,0,INDEX(_xlfn.SCAN(0,_xlpm.counts,_xlfn.LAMBDA(_xlpm.a,_xlpm.b,_xlpm.a+_xlpm.b)),_xlpm.g-1)),_xlpm.m-_xlpm.prev))</f>
        <v/>
      </c>
      <c r="AA63" t="str">
        <f t="array" ref="AA63">IF(Z63="","",_xlfn.LET(_xlpm.names,_xlfn.TAKE($AC$7:$AC$10,$D$8),_xlpm.n,INDEX(_xlfn.TAKE($AD$7:$AD$10,$D$8),_xlfn.XMATCH(Y63,_xlpm.names)),_xlpm.p,Z63,MATCH(TRUE,_xlpm.p&lt;=(_xlpm.n*_xlfn.SEQUENCE(_xlpm.n-1)-_xlfn.SEQUENCE(_xlpm.n-1)*(_xlfn.SEQUENCE(_xlpm.n-1)+1)/2),0)))</f>
        <v/>
      </c>
      <c r="AB63" t="str">
        <f t="array" ref="AB63">IF(Z63="","",_xlfn.LET(_xlpm.names,_xlfn.TAKE($AC$7:$AC$10,$D$8),_xlpm.n,INDEX(_xlfn.TAKE($AD$7:$AD$10,$D$8),_xlfn.XMATCH(Y63,_xlpm.names)),_xlpm.p,Z63,_xlpm.a,AA63,_xlpm.prev,IF(_xlpm.a=1,0,_xlpm.n*(_xlpm.a-1)-(_xlpm.a-1)*_xlpm.a/2),_xlpm.a+_xlpm.p-_xlpm.prev))</f>
        <v/>
      </c>
      <c r="AC63" t="str">
        <f t="array" ref="AC63">IF(AA63="","",IFERROR(INDEX(_xlfn._xlws.FILTER($C$20:$C$51,$D$20:$D$51=Y63),AA63),""))</f>
        <v/>
      </c>
      <c r="AD63" t="str">
        <f t="array" ref="AD63">IF(AB63="","",IFERROR(INDEX(_xlfn._xlws.FILTER($C$20:$C$51,$D$20:$D$51=Y63),AB63),""))</f>
        <v/>
      </c>
    </row>
    <row r="64" spans="2:30" x14ac:dyDescent="0.3">
      <c r="F64" s="33" t="str">
        <f t="shared" si="11"/>
        <v/>
      </c>
      <c r="G64" s="170" t="str">
        <f t="shared" si="12"/>
        <v/>
      </c>
      <c r="H64" s="171" t="str">
        <f t="shared" si="13"/>
        <v/>
      </c>
      <c r="I64" s="35"/>
      <c r="J64" s="35"/>
      <c r="K64" s="35"/>
      <c r="L64" s="171" t="str">
        <f t="shared" si="14"/>
        <v/>
      </c>
      <c r="M64" s="35"/>
      <c r="N64" s="35"/>
      <c r="O64" s="35"/>
      <c r="P64" s="158" t="str">
        <f t="shared" si="15"/>
        <v/>
      </c>
      <c r="Q64" s="158" t="str">
        <f t="shared" si="16"/>
        <v/>
      </c>
      <c r="R64" s="158" t="str">
        <f t="shared" si="17"/>
        <v/>
      </c>
      <c r="S64" s="159" t="str">
        <f t="shared" si="18"/>
        <v/>
      </c>
      <c r="T64" s="146" t="str">
        <f t="shared" si="19"/>
        <v/>
      </c>
      <c r="X64">
        <f t="shared" si="20"/>
        <v>45</v>
      </c>
      <c r="Y64" t="str">
        <f t="array" ref="Y64">_xlfn.LET(_xlpm.m,X64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4" t="str">
        <f t="array" ref="Z64">IF(Y64="","",_xlfn.LET(_xlpm.m,X64,_xlpm.names,_xlfn.TAKE($AC$7:$AC$10,$D$8),_xlpm.sizes,_xlfn.TAKE($AD$7:$AD$10,$D$8),_xlpm.counts,_xlpm.sizes*(_xlpm.sizes-1)/2,_xlpm.g,_xlfn.XMATCH(Y64,_xlpm.names),_xlpm.prev,IF(_xlpm.g=1,0,INDEX(_xlfn.SCAN(0,_xlpm.counts,_xlfn.LAMBDA(_xlpm.a,_xlpm.b,_xlpm.a+_xlpm.b)),_xlpm.g-1)),_xlpm.m-_xlpm.prev))</f>
        <v/>
      </c>
      <c r="AA64" t="str">
        <f t="array" ref="AA64">IF(Z64="","",_xlfn.LET(_xlpm.names,_xlfn.TAKE($AC$7:$AC$10,$D$8),_xlpm.n,INDEX(_xlfn.TAKE($AD$7:$AD$10,$D$8),_xlfn.XMATCH(Y64,_xlpm.names)),_xlpm.p,Z64,MATCH(TRUE,_xlpm.p&lt;=(_xlpm.n*_xlfn.SEQUENCE(_xlpm.n-1)-_xlfn.SEQUENCE(_xlpm.n-1)*(_xlfn.SEQUENCE(_xlpm.n-1)+1)/2),0)))</f>
        <v/>
      </c>
      <c r="AB64" t="str">
        <f t="array" ref="AB64">IF(Z64="","",_xlfn.LET(_xlpm.names,_xlfn.TAKE($AC$7:$AC$10,$D$8),_xlpm.n,INDEX(_xlfn.TAKE($AD$7:$AD$10,$D$8),_xlfn.XMATCH(Y64,_xlpm.names)),_xlpm.p,Z64,_xlpm.a,AA64,_xlpm.prev,IF(_xlpm.a=1,0,_xlpm.n*(_xlpm.a-1)-(_xlpm.a-1)*_xlpm.a/2),_xlpm.a+_xlpm.p-_xlpm.prev))</f>
        <v/>
      </c>
      <c r="AC64" t="str">
        <f t="array" ref="AC64">IF(AA64="","",IFERROR(INDEX(_xlfn._xlws.FILTER($C$20:$C$51,$D$20:$D$51=Y64),AA64),""))</f>
        <v/>
      </c>
      <c r="AD64" t="str">
        <f t="array" ref="AD64">IF(AB64="","",IFERROR(INDEX(_xlfn._xlws.FILTER($C$20:$C$51,$D$20:$D$51=Y64),AB64),""))</f>
        <v/>
      </c>
    </row>
    <row r="65" spans="6:30" x14ac:dyDescent="0.3">
      <c r="F65" s="33" t="str">
        <f t="shared" si="11"/>
        <v/>
      </c>
      <c r="G65" s="170" t="str">
        <f t="shared" si="12"/>
        <v/>
      </c>
      <c r="H65" s="171" t="str">
        <f t="shared" si="13"/>
        <v/>
      </c>
      <c r="I65" s="35"/>
      <c r="J65" s="35"/>
      <c r="K65" s="35"/>
      <c r="L65" s="171" t="str">
        <f t="shared" si="14"/>
        <v/>
      </c>
      <c r="M65" s="35"/>
      <c r="N65" s="35"/>
      <c r="O65" s="35"/>
      <c r="P65" s="158" t="str">
        <f t="shared" si="15"/>
        <v/>
      </c>
      <c r="Q65" s="158" t="str">
        <f t="shared" si="16"/>
        <v/>
      </c>
      <c r="R65" s="158" t="str">
        <f t="shared" si="17"/>
        <v/>
      </c>
      <c r="S65" s="159" t="str">
        <f t="shared" si="18"/>
        <v/>
      </c>
      <c r="T65" s="146" t="str">
        <f t="shared" si="19"/>
        <v/>
      </c>
      <c r="X65">
        <f t="shared" si="20"/>
        <v>46</v>
      </c>
      <c r="Y65" t="str">
        <f t="array" ref="Y65">_xlfn.LET(_xlpm.m,X65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5" t="str">
        <f t="array" ref="Z65">IF(Y65="","",_xlfn.LET(_xlpm.m,X65,_xlpm.names,_xlfn.TAKE($AC$7:$AC$10,$D$8),_xlpm.sizes,_xlfn.TAKE($AD$7:$AD$10,$D$8),_xlpm.counts,_xlpm.sizes*(_xlpm.sizes-1)/2,_xlpm.g,_xlfn.XMATCH(Y65,_xlpm.names),_xlpm.prev,IF(_xlpm.g=1,0,INDEX(_xlfn.SCAN(0,_xlpm.counts,_xlfn.LAMBDA(_xlpm.a,_xlpm.b,_xlpm.a+_xlpm.b)),_xlpm.g-1)),_xlpm.m-_xlpm.prev))</f>
        <v/>
      </c>
      <c r="AA65" t="str">
        <f t="array" ref="AA65">IF(Z65="","",_xlfn.LET(_xlpm.names,_xlfn.TAKE($AC$7:$AC$10,$D$8),_xlpm.n,INDEX(_xlfn.TAKE($AD$7:$AD$10,$D$8),_xlfn.XMATCH(Y65,_xlpm.names)),_xlpm.p,Z65,MATCH(TRUE,_xlpm.p&lt;=(_xlpm.n*_xlfn.SEQUENCE(_xlpm.n-1)-_xlfn.SEQUENCE(_xlpm.n-1)*(_xlfn.SEQUENCE(_xlpm.n-1)+1)/2),0)))</f>
        <v/>
      </c>
      <c r="AB65" t="str">
        <f t="array" ref="AB65">IF(Z65="","",_xlfn.LET(_xlpm.names,_xlfn.TAKE($AC$7:$AC$10,$D$8),_xlpm.n,INDEX(_xlfn.TAKE($AD$7:$AD$10,$D$8),_xlfn.XMATCH(Y65,_xlpm.names)),_xlpm.p,Z65,_xlpm.a,AA65,_xlpm.prev,IF(_xlpm.a=1,0,_xlpm.n*(_xlpm.a-1)-(_xlpm.a-1)*_xlpm.a/2),_xlpm.a+_xlpm.p-_xlpm.prev))</f>
        <v/>
      </c>
      <c r="AC65" t="str">
        <f t="array" ref="AC65">IF(AA65="","",IFERROR(INDEX(_xlfn._xlws.FILTER($C$20:$C$51,$D$20:$D$51=Y65),AA65),""))</f>
        <v/>
      </c>
      <c r="AD65" t="str">
        <f t="array" ref="AD65">IF(AB65="","",IFERROR(INDEX(_xlfn._xlws.FILTER($C$20:$C$51,$D$20:$D$51=Y65),AB65),""))</f>
        <v/>
      </c>
    </row>
    <row r="66" spans="6:30" x14ac:dyDescent="0.3">
      <c r="F66" s="33" t="str">
        <f t="shared" si="11"/>
        <v/>
      </c>
      <c r="G66" s="170" t="str">
        <f t="shared" si="12"/>
        <v/>
      </c>
      <c r="H66" s="171" t="str">
        <f t="shared" si="13"/>
        <v/>
      </c>
      <c r="I66" s="35"/>
      <c r="J66" s="35"/>
      <c r="K66" s="35"/>
      <c r="L66" s="171" t="str">
        <f t="shared" si="14"/>
        <v/>
      </c>
      <c r="M66" s="35"/>
      <c r="N66" s="35"/>
      <c r="O66" s="35"/>
      <c r="P66" s="158" t="str">
        <f t="shared" si="15"/>
        <v/>
      </c>
      <c r="Q66" s="158" t="str">
        <f t="shared" si="16"/>
        <v/>
      </c>
      <c r="R66" s="158" t="str">
        <f t="shared" si="17"/>
        <v/>
      </c>
      <c r="S66" s="159" t="str">
        <f t="shared" si="18"/>
        <v/>
      </c>
      <c r="T66" s="146" t="str">
        <f t="shared" si="19"/>
        <v/>
      </c>
      <c r="X66">
        <f t="shared" si="20"/>
        <v>47</v>
      </c>
      <c r="Y66" t="str">
        <f t="array" ref="Y66">_xlfn.LET(_xlpm.m,X66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6" t="str">
        <f t="array" ref="Z66">IF(Y66="","",_xlfn.LET(_xlpm.m,X66,_xlpm.names,_xlfn.TAKE($AC$7:$AC$10,$D$8),_xlpm.sizes,_xlfn.TAKE($AD$7:$AD$10,$D$8),_xlpm.counts,_xlpm.sizes*(_xlpm.sizes-1)/2,_xlpm.g,_xlfn.XMATCH(Y66,_xlpm.names),_xlpm.prev,IF(_xlpm.g=1,0,INDEX(_xlfn.SCAN(0,_xlpm.counts,_xlfn.LAMBDA(_xlpm.a,_xlpm.b,_xlpm.a+_xlpm.b)),_xlpm.g-1)),_xlpm.m-_xlpm.prev))</f>
        <v/>
      </c>
      <c r="AA66" t="str">
        <f t="array" ref="AA66">IF(Z66="","",_xlfn.LET(_xlpm.names,_xlfn.TAKE($AC$7:$AC$10,$D$8),_xlpm.n,INDEX(_xlfn.TAKE($AD$7:$AD$10,$D$8),_xlfn.XMATCH(Y66,_xlpm.names)),_xlpm.p,Z66,MATCH(TRUE,_xlpm.p&lt;=(_xlpm.n*_xlfn.SEQUENCE(_xlpm.n-1)-_xlfn.SEQUENCE(_xlpm.n-1)*(_xlfn.SEQUENCE(_xlpm.n-1)+1)/2),0)))</f>
        <v/>
      </c>
      <c r="AB66" t="str">
        <f t="array" ref="AB66">IF(Z66="","",_xlfn.LET(_xlpm.names,_xlfn.TAKE($AC$7:$AC$10,$D$8),_xlpm.n,INDEX(_xlfn.TAKE($AD$7:$AD$10,$D$8),_xlfn.XMATCH(Y66,_xlpm.names)),_xlpm.p,Z66,_xlpm.a,AA66,_xlpm.prev,IF(_xlpm.a=1,0,_xlpm.n*(_xlpm.a-1)-(_xlpm.a-1)*_xlpm.a/2),_xlpm.a+_xlpm.p-_xlpm.prev))</f>
        <v/>
      </c>
      <c r="AC66" t="str">
        <f t="array" ref="AC66">IF(AA66="","",IFERROR(INDEX(_xlfn._xlws.FILTER($C$20:$C$51,$D$20:$D$51=Y66),AA66),""))</f>
        <v/>
      </c>
      <c r="AD66" t="str">
        <f t="array" ref="AD66">IF(AB66="","",IFERROR(INDEX(_xlfn._xlws.FILTER($C$20:$C$51,$D$20:$D$51=Y66),AB66),""))</f>
        <v/>
      </c>
    </row>
    <row r="67" spans="6:30" x14ac:dyDescent="0.3">
      <c r="F67" s="33" t="str">
        <f t="shared" si="11"/>
        <v/>
      </c>
      <c r="G67" s="170" t="str">
        <f t="shared" si="12"/>
        <v/>
      </c>
      <c r="H67" s="171" t="str">
        <f t="shared" si="13"/>
        <v/>
      </c>
      <c r="I67" s="35"/>
      <c r="J67" s="35"/>
      <c r="K67" s="35"/>
      <c r="L67" s="171" t="str">
        <f t="shared" si="14"/>
        <v/>
      </c>
      <c r="M67" s="35"/>
      <c r="N67" s="35"/>
      <c r="O67" s="35"/>
      <c r="P67" s="158" t="str">
        <f t="shared" si="15"/>
        <v/>
      </c>
      <c r="Q67" s="158" t="str">
        <f t="shared" si="16"/>
        <v/>
      </c>
      <c r="R67" s="158" t="str">
        <f t="shared" si="17"/>
        <v/>
      </c>
      <c r="S67" s="159" t="str">
        <f t="shared" si="18"/>
        <v/>
      </c>
      <c r="T67" s="146" t="str">
        <f t="shared" si="19"/>
        <v/>
      </c>
      <c r="X67">
        <f t="shared" si="20"/>
        <v>48</v>
      </c>
      <c r="Y67" t="str">
        <f t="array" ref="Y67">_xlfn.LET(_xlpm.m,X67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7" t="str">
        <f t="array" ref="Z67">IF(Y67="","",_xlfn.LET(_xlpm.m,X67,_xlpm.names,_xlfn.TAKE($AC$7:$AC$10,$D$8),_xlpm.sizes,_xlfn.TAKE($AD$7:$AD$10,$D$8),_xlpm.counts,_xlpm.sizes*(_xlpm.sizes-1)/2,_xlpm.g,_xlfn.XMATCH(Y67,_xlpm.names),_xlpm.prev,IF(_xlpm.g=1,0,INDEX(_xlfn.SCAN(0,_xlpm.counts,_xlfn.LAMBDA(_xlpm.a,_xlpm.b,_xlpm.a+_xlpm.b)),_xlpm.g-1)),_xlpm.m-_xlpm.prev))</f>
        <v/>
      </c>
      <c r="AA67" t="str">
        <f t="array" ref="AA67">IF(Z67="","",_xlfn.LET(_xlpm.names,_xlfn.TAKE($AC$7:$AC$10,$D$8),_xlpm.n,INDEX(_xlfn.TAKE($AD$7:$AD$10,$D$8),_xlfn.XMATCH(Y67,_xlpm.names)),_xlpm.p,Z67,MATCH(TRUE,_xlpm.p&lt;=(_xlpm.n*_xlfn.SEQUENCE(_xlpm.n-1)-_xlfn.SEQUENCE(_xlpm.n-1)*(_xlfn.SEQUENCE(_xlpm.n-1)+1)/2),0)))</f>
        <v/>
      </c>
      <c r="AB67" t="str">
        <f t="array" ref="AB67">IF(Z67="","",_xlfn.LET(_xlpm.names,_xlfn.TAKE($AC$7:$AC$10,$D$8),_xlpm.n,INDEX(_xlfn.TAKE($AD$7:$AD$10,$D$8),_xlfn.XMATCH(Y67,_xlpm.names)),_xlpm.p,Z67,_xlpm.a,AA67,_xlpm.prev,IF(_xlpm.a=1,0,_xlpm.n*(_xlpm.a-1)-(_xlpm.a-1)*_xlpm.a/2),_xlpm.a+_xlpm.p-_xlpm.prev))</f>
        <v/>
      </c>
      <c r="AC67" t="str">
        <f t="array" ref="AC67">IF(AA67="","",IFERROR(INDEX(_xlfn._xlws.FILTER($C$20:$C$51,$D$20:$D$51=Y67),AA67),""))</f>
        <v/>
      </c>
      <c r="AD67" t="str">
        <f t="array" ref="AD67">IF(AB67="","",IFERROR(INDEX(_xlfn._xlws.FILTER($C$20:$C$51,$D$20:$D$51=Y67),AB67),""))</f>
        <v/>
      </c>
    </row>
    <row r="68" spans="6:30" x14ac:dyDescent="0.3">
      <c r="F68" s="33" t="str">
        <f t="shared" si="11"/>
        <v/>
      </c>
      <c r="G68" s="170" t="str">
        <f t="shared" si="12"/>
        <v/>
      </c>
      <c r="H68" s="171" t="str">
        <f t="shared" si="13"/>
        <v/>
      </c>
      <c r="I68" s="35"/>
      <c r="J68" s="35"/>
      <c r="K68" s="35"/>
      <c r="L68" s="171" t="str">
        <f t="shared" si="14"/>
        <v/>
      </c>
      <c r="M68" s="35"/>
      <c r="N68" s="35"/>
      <c r="O68" s="35"/>
      <c r="P68" s="158" t="str">
        <f t="shared" si="15"/>
        <v/>
      </c>
      <c r="Q68" s="158" t="str">
        <f t="shared" si="16"/>
        <v/>
      </c>
      <c r="R68" s="158" t="str">
        <f t="shared" si="17"/>
        <v/>
      </c>
      <c r="S68" s="159" t="str">
        <f t="shared" si="18"/>
        <v/>
      </c>
      <c r="T68" s="146" t="str">
        <f t="shared" si="19"/>
        <v/>
      </c>
      <c r="X68">
        <f t="shared" si="20"/>
        <v>49</v>
      </c>
      <c r="Y68" t="str">
        <f t="array" ref="Y68">_xlfn.LET(_xlpm.m,X68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8" t="str">
        <f t="array" ref="Z68">IF(Y68="","",_xlfn.LET(_xlpm.m,X68,_xlpm.names,_xlfn.TAKE($AC$7:$AC$10,$D$8),_xlpm.sizes,_xlfn.TAKE($AD$7:$AD$10,$D$8),_xlpm.counts,_xlpm.sizes*(_xlpm.sizes-1)/2,_xlpm.g,_xlfn.XMATCH(Y68,_xlpm.names),_xlpm.prev,IF(_xlpm.g=1,0,INDEX(_xlfn.SCAN(0,_xlpm.counts,_xlfn.LAMBDA(_xlpm.a,_xlpm.b,_xlpm.a+_xlpm.b)),_xlpm.g-1)),_xlpm.m-_xlpm.prev))</f>
        <v/>
      </c>
      <c r="AA68" t="str">
        <f t="array" ref="AA68">IF(Z68="","",_xlfn.LET(_xlpm.names,_xlfn.TAKE($AC$7:$AC$10,$D$8),_xlpm.n,INDEX(_xlfn.TAKE($AD$7:$AD$10,$D$8),_xlfn.XMATCH(Y68,_xlpm.names)),_xlpm.p,Z68,MATCH(TRUE,_xlpm.p&lt;=(_xlpm.n*_xlfn.SEQUENCE(_xlpm.n-1)-_xlfn.SEQUENCE(_xlpm.n-1)*(_xlfn.SEQUENCE(_xlpm.n-1)+1)/2),0)))</f>
        <v/>
      </c>
      <c r="AB68" t="str">
        <f t="array" ref="AB68">IF(Z68="","",_xlfn.LET(_xlpm.names,_xlfn.TAKE($AC$7:$AC$10,$D$8),_xlpm.n,INDEX(_xlfn.TAKE($AD$7:$AD$10,$D$8),_xlfn.XMATCH(Y68,_xlpm.names)),_xlpm.p,Z68,_xlpm.a,AA68,_xlpm.prev,IF(_xlpm.a=1,0,_xlpm.n*(_xlpm.a-1)-(_xlpm.a-1)*_xlpm.a/2),_xlpm.a+_xlpm.p-_xlpm.prev))</f>
        <v/>
      </c>
      <c r="AC68" t="str">
        <f t="array" ref="AC68">IF(AA68="","",IFERROR(INDEX(_xlfn._xlws.FILTER($C$20:$C$51,$D$20:$D$51=Y68),AA68),""))</f>
        <v/>
      </c>
      <c r="AD68" t="str">
        <f t="array" ref="AD68">IF(AB68="","",IFERROR(INDEX(_xlfn._xlws.FILTER($C$20:$C$51,$D$20:$D$51=Y68),AB68),""))</f>
        <v/>
      </c>
    </row>
    <row r="69" spans="6:30" x14ac:dyDescent="0.3">
      <c r="F69" s="33" t="str">
        <f t="shared" si="11"/>
        <v/>
      </c>
      <c r="G69" s="170" t="str">
        <f t="shared" si="12"/>
        <v/>
      </c>
      <c r="H69" s="171" t="str">
        <f t="shared" si="13"/>
        <v/>
      </c>
      <c r="I69" s="35"/>
      <c r="J69" s="35"/>
      <c r="K69" s="35"/>
      <c r="L69" s="171" t="str">
        <f t="shared" si="14"/>
        <v/>
      </c>
      <c r="M69" s="35"/>
      <c r="N69" s="35"/>
      <c r="O69" s="35"/>
      <c r="P69" s="158" t="str">
        <f t="shared" si="15"/>
        <v/>
      </c>
      <c r="Q69" s="158" t="str">
        <f t="shared" si="16"/>
        <v/>
      </c>
      <c r="R69" s="158" t="str">
        <f t="shared" si="17"/>
        <v/>
      </c>
      <c r="S69" s="159" t="str">
        <f t="shared" si="18"/>
        <v/>
      </c>
      <c r="T69" s="146" t="str">
        <f t="shared" si="19"/>
        <v/>
      </c>
      <c r="X69">
        <f t="shared" si="20"/>
        <v>50</v>
      </c>
      <c r="Y69" t="str">
        <f t="array" ref="Y69">_xlfn.LET(_xlpm.m,X69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9" t="str">
        <f t="array" ref="Z69">IF(Y69="","",_xlfn.LET(_xlpm.m,X69,_xlpm.names,_xlfn.TAKE($AC$7:$AC$10,$D$8),_xlpm.sizes,_xlfn.TAKE($AD$7:$AD$10,$D$8),_xlpm.counts,_xlpm.sizes*(_xlpm.sizes-1)/2,_xlpm.g,_xlfn.XMATCH(Y69,_xlpm.names),_xlpm.prev,IF(_xlpm.g=1,0,INDEX(_xlfn.SCAN(0,_xlpm.counts,_xlfn.LAMBDA(_xlpm.a,_xlpm.b,_xlpm.a+_xlpm.b)),_xlpm.g-1)),_xlpm.m-_xlpm.prev))</f>
        <v/>
      </c>
      <c r="AA69" t="str">
        <f t="array" ref="AA69">IF(Z69="","",_xlfn.LET(_xlpm.names,_xlfn.TAKE($AC$7:$AC$10,$D$8),_xlpm.n,INDEX(_xlfn.TAKE($AD$7:$AD$10,$D$8),_xlfn.XMATCH(Y69,_xlpm.names)),_xlpm.p,Z69,MATCH(TRUE,_xlpm.p&lt;=(_xlpm.n*_xlfn.SEQUENCE(_xlpm.n-1)-_xlfn.SEQUENCE(_xlpm.n-1)*(_xlfn.SEQUENCE(_xlpm.n-1)+1)/2),0)))</f>
        <v/>
      </c>
      <c r="AB69" t="str">
        <f t="array" ref="AB69">IF(Z69="","",_xlfn.LET(_xlpm.names,_xlfn.TAKE($AC$7:$AC$10,$D$8),_xlpm.n,INDEX(_xlfn.TAKE($AD$7:$AD$10,$D$8),_xlfn.XMATCH(Y69,_xlpm.names)),_xlpm.p,Z69,_xlpm.a,AA69,_xlpm.prev,IF(_xlpm.a=1,0,_xlpm.n*(_xlpm.a-1)-(_xlpm.a-1)*_xlpm.a/2),_xlpm.a+_xlpm.p-_xlpm.prev))</f>
        <v/>
      </c>
      <c r="AC69" t="str">
        <f t="array" ref="AC69">IF(AA69="","",IFERROR(INDEX(_xlfn._xlws.FILTER($C$20:$C$51,$D$20:$D$51=Y69),AA69),""))</f>
        <v/>
      </c>
      <c r="AD69" t="str">
        <f t="array" ref="AD69">IF(AB69="","",IFERROR(INDEX(_xlfn._xlws.FILTER($C$20:$C$51,$D$20:$D$51=Y69),AB69),""))</f>
        <v/>
      </c>
    </row>
    <row r="70" spans="6:30" x14ac:dyDescent="0.3">
      <c r="F70" s="33" t="str">
        <f t="shared" si="11"/>
        <v/>
      </c>
      <c r="G70" s="170" t="str">
        <f t="shared" si="12"/>
        <v/>
      </c>
      <c r="H70" s="171" t="str">
        <f t="shared" si="13"/>
        <v/>
      </c>
      <c r="I70" s="35"/>
      <c r="J70" s="35"/>
      <c r="K70" s="35"/>
      <c r="L70" s="171" t="str">
        <f t="shared" si="14"/>
        <v/>
      </c>
      <c r="M70" s="35"/>
      <c r="N70" s="35"/>
      <c r="O70" s="35"/>
      <c r="P70" s="158" t="str">
        <f t="shared" si="15"/>
        <v/>
      </c>
      <c r="Q70" s="158" t="str">
        <f t="shared" si="16"/>
        <v/>
      </c>
      <c r="R70" s="158" t="str">
        <f t="shared" si="17"/>
        <v/>
      </c>
      <c r="S70" s="159" t="str">
        <f t="shared" si="18"/>
        <v/>
      </c>
      <c r="T70" s="146" t="str">
        <f t="shared" si="19"/>
        <v/>
      </c>
      <c r="X70">
        <f t="shared" si="20"/>
        <v>51</v>
      </c>
      <c r="Y70" t="str">
        <f t="array" ref="Y70">_xlfn.LET(_xlpm.m,X70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0" t="str">
        <f t="array" ref="Z70">IF(Y70="","",_xlfn.LET(_xlpm.m,X70,_xlpm.names,_xlfn.TAKE($AC$7:$AC$10,$D$8),_xlpm.sizes,_xlfn.TAKE($AD$7:$AD$10,$D$8),_xlpm.counts,_xlpm.sizes*(_xlpm.sizes-1)/2,_xlpm.g,_xlfn.XMATCH(Y70,_xlpm.names),_xlpm.prev,IF(_xlpm.g=1,0,INDEX(_xlfn.SCAN(0,_xlpm.counts,_xlfn.LAMBDA(_xlpm.a,_xlpm.b,_xlpm.a+_xlpm.b)),_xlpm.g-1)),_xlpm.m-_xlpm.prev))</f>
        <v/>
      </c>
      <c r="AA70" t="str">
        <f t="array" ref="AA70">IF(Z70="","",_xlfn.LET(_xlpm.names,_xlfn.TAKE($AC$7:$AC$10,$D$8),_xlpm.n,INDEX(_xlfn.TAKE($AD$7:$AD$10,$D$8),_xlfn.XMATCH(Y70,_xlpm.names)),_xlpm.p,Z70,MATCH(TRUE,_xlpm.p&lt;=(_xlpm.n*_xlfn.SEQUENCE(_xlpm.n-1)-_xlfn.SEQUENCE(_xlpm.n-1)*(_xlfn.SEQUENCE(_xlpm.n-1)+1)/2),0)))</f>
        <v/>
      </c>
      <c r="AB70" t="str">
        <f t="array" ref="AB70">IF(Z70="","",_xlfn.LET(_xlpm.names,_xlfn.TAKE($AC$7:$AC$10,$D$8),_xlpm.n,INDEX(_xlfn.TAKE($AD$7:$AD$10,$D$8),_xlfn.XMATCH(Y70,_xlpm.names)),_xlpm.p,Z70,_xlpm.a,AA70,_xlpm.prev,IF(_xlpm.a=1,0,_xlpm.n*(_xlpm.a-1)-(_xlpm.a-1)*_xlpm.a/2),_xlpm.a+_xlpm.p-_xlpm.prev))</f>
        <v/>
      </c>
      <c r="AC70" t="str">
        <f t="array" ref="AC70">IF(AA70="","",IFERROR(INDEX(_xlfn._xlws.FILTER($C$20:$C$51,$D$20:$D$51=Y70),AA70),""))</f>
        <v/>
      </c>
      <c r="AD70" t="str">
        <f t="array" ref="AD70">IF(AB70="","",IFERROR(INDEX(_xlfn._xlws.FILTER($C$20:$C$51,$D$20:$D$51=Y70),AB70),""))</f>
        <v/>
      </c>
    </row>
    <row r="71" spans="6:30" x14ac:dyDescent="0.3">
      <c r="F71" s="33" t="str">
        <f t="shared" si="11"/>
        <v/>
      </c>
      <c r="G71" s="170" t="str">
        <f t="shared" si="12"/>
        <v/>
      </c>
      <c r="H71" s="171" t="str">
        <f t="shared" si="13"/>
        <v/>
      </c>
      <c r="I71" s="35"/>
      <c r="J71" s="35"/>
      <c r="K71" s="35"/>
      <c r="L71" s="171" t="str">
        <f t="shared" si="14"/>
        <v/>
      </c>
      <c r="M71" s="35"/>
      <c r="N71" s="35"/>
      <c r="O71" s="35"/>
      <c r="P71" s="158" t="str">
        <f t="shared" si="15"/>
        <v/>
      </c>
      <c r="Q71" s="158" t="str">
        <f t="shared" si="16"/>
        <v/>
      </c>
      <c r="R71" s="158" t="str">
        <f t="shared" si="17"/>
        <v/>
      </c>
      <c r="S71" s="159" t="str">
        <f t="shared" si="18"/>
        <v/>
      </c>
      <c r="T71" s="146" t="str">
        <f t="shared" si="19"/>
        <v/>
      </c>
      <c r="X71">
        <f t="shared" si="20"/>
        <v>52</v>
      </c>
      <c r="Y71" t="str">
        <f t="array" ref="Y71">_xlfn.LET(_xlpm.m,X71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1" t="str">
        <f t="array" ref="Z71">IF(Y71="","",_xlfn.LET(_xlpm.m,X71,_xlpm.names,_xlfn.TAKE($AC$7:$AC$10,$D$8),_xlpm.sizes,_xlfn.TAKE($AD$7:$AD$10,$D$8),_xlpm.counts,_xlpm.sizes*(_xlpm.sizes-1)/2,_xlpm.g,_xlfn.XMATCH(Y71,_xlpm.names),_xlpm.prev,IF(_xlpm.g=1,0,INDEX(_xlfn.SCAN(0,_xlpm.counts,_xlfn.LAMBDA(_xlpm.a,_xlpm.b,_xlpm.a+_xlpm.b)),_xlpm.g-1)),_xlpm.m-_xlpm.prev))</f>
        <v/>
      </c>
      <c r="AA71" t="str">
        <f t="array" ref="AA71">IF(Z71="","",_xlfn.LET(_xlpm.names,_xlfn.TAKE($AC$7:$AC$10,$D$8),_xlpm.n,INDEX(_xlfn.TAKE($AD$7:$AD$10,$D$8),_xlfn.XMATCH(Y71,_xlpm.names)),_xlpm.p,Z71,MATCH(TRUE,_xlpm.p&lt;=(_xlpm.n*_xlfn.SEQUENCE(_xlpm.n-1)-_xlfn.SEQUENCE(_xlpm.n-1)*(_xlfn.SEQUENCE(_xlpm.n-1)+1)/2),0)))</f>
        <v/>
      </c>
      <c r="AB71" t="str">
        <f t="array" ref="AB71">IF(Z71="","",_xlfn.LET(_xlpm.names,_xlfn.TAKE($AC$7:$AC$10,$D$8),_xlpm.n,INDEX(_xlfn.TAKE($AD$7:$AD$10,$D$8),_xlfn.XMATCH(Y71,_xlpm.names)),_xlpm.p,Z71,_xlpm.a,AA71,_xlpm.prev,IF(_xlpm.a=1,0,_xlpm.n*(_xlpm.a-1)-(_xlpm.a-1)*_xlpm.a/2),_xlpm.a+_xlpm.p-_xlpm.prev))</f>
        <v/>
      </c>
      <c r="AC71" t="str">
        <f t="array" ref="AC71">IF(AA71="","",IFERROR(INDEX(_xlfn._xlws.FILTER($C$20:$C$51,$D$20:$D$51=Y71),AA71),""))</f>
        <v/>
      </c>
      <c r="AD71" t="str">
        <f t="array" ref="AD71">IF(AB71="","",IFERROR(INDEX(_xlfn._xlws.FILTER($C$20:$C$51,$D$20:$D$51=Y71),AB71),""))</f>
        <v/>
      </c>
    </row>
    <row r="72" spans="6:30" x14ac:dyDescent="0.3">
      <c r="F72" s="33" t="str">
        <f t="shared" si="11"/>
        <v/>
      </c>
      <c r="G72" s="170" t="str">
        <f t="shared" si="12"/>
        <v/>
      </c>
      <c r="H72" s="171" t="str">
        <f t="shared" si="13"/>
        <v/>
      </c>
      <c r="I72" s="35"/>
      <c r="J72" s="35"/>
      <c r="K72" s="35"/>
      <c r="L72" s="171" t="str">
        <f t="shared" si="14"/>
        <v/>
      </c>
      <c r="M72" s="35"/>
      <c r="N72" s="35"/>
      <c r="O72" s="35"/>
      <c r="P72" s="158" t="str">
        <f t="shared" si="15"/>
        <v/>
      </c>
      <c r="Q72" s="158" t="str">
        <f t="shared" si="16"/>
        <v/>
      </c>
      <c r="R72" s="158" t="str">
        <f t="shared" si="17"/>
        <v/>
      </c>
      <c r="S72" s="159" t="str">
        <f t="shared" si="18"/>
        <v/>
      </c>
      <c r="T72" s="146" t="str">
        <f t="shared" si="19"/>
        <v/>
      </c>
      <c r="X72">
        <f t="shared" si="20"/>
        <v>53</v>
      </c>
      <c r="Y72" t="str">
        <f t="array" ref="Y72">_xlfn.LET(_xlpm.m,X72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2" t="str">
        <f t="array" ref="Z72">IF(Y72="","",_xlfn.LET(_xlpm.m,X72,_xlpm.names,_xlfn.TAKE($AC$7:$AC$10,$D$8),_xlpm.sizes,_xlfn.TAKE($AD$7:$AD$10,$D$8),_xlpm.counts,_xlpm.sizes*(_xlpm.sizes-1)/2,_xlpm.g,_xlfn.XMATCH(Y72,_xlpm.names),_xlpm.prev,IF(_xlpm.g=1,0,INDEX(_xlfn.SCAN(0,_xlpm.counts,_xlfn.LAMBDA(_xlpm.a,_xlpm.b,_xlpm.a+_xlpm.b)),_xlpm.g-1)),_xlpm.m-_xlpm.prev))</f>
        <v/>
      </c>
      <c r="AA72" t="str">
        <f t="array" ref="AA72">IF(Z72="","",_xlfn.LET(_xlpm.names,_xlfn.TAKE($AC$7:$AC$10,$D$8),_xlpm.n,INDEX(_xlfn.TAKE($AD$7:$AD$10,$D$8),_xlfn.XMATCH(Y72,_xlpm.names)),_xlpm.p,Z72,MATCH(TRUE,_xlpm.p&lt;=(_xlpm.n*_xlfn.SEQUENCE(_xlpm.n-1)-_xlfn.SEQUENCE(_xlpm.n-1)*(_xlfn.SEQUENCE(_xlpm.n-1)+1)/2),0)))</f>
        <v/>
      </c>
      <c r="AB72" t="str">
        <f t="array" ref="AB72">IF(Z72="","",_xlfn.LET(_xlpm.names,_xlfn.TAKE($AC$7:$AC$10,$D$8),_xlpm.n,INDEX(_xlfn.TAKE($AD$7:$AD$10,$D$8),_xlfn.XMATCH(Y72,_xlpm.names)),_xlpm.p,Z72,_xlpm.a,AA72,_xlpm.prev,IF(_xlpm.a=1,0,_xlpm.n*(_xlpm.a-1)-(_xlpm.a-1)*_xlpm.a/2),_xlpm.a+_xlpm.p-_xlpm.prev))</f>
        <v/>
      </c>
      <c r="AC72" t="str">
        <f t="array" ref="AC72">IF(AA72="","",IFERROR(INDEX(_xlfn._xlws.FILTER($C$20:$C$51,$D$20:$D$51=Y72),AA72),""))</f>
        <v/>
      </c>
      <c r="AD72" t="str">
        <f t="array" ref="AD72">IF(AB72="","",IFERROR(INDEX(_xlfn._xlws.FILTER($C$20:$C$51,$D$20:$D$51=Y72),AB72),""))</f>
        <v/>
      </c>
    </row>
    <row r="73" spans="6:30" x14ac:dyDescent="0.3">
      <c r="F73" s="33" t="str">
        <f t="shared" si="11"/>
        <v/>
      </c>
      <c r="G73" s="170" t="str">
        <f t="shared" si="12"/>
        <v/>
      </c>
      <c r="H73" s="171" t="str">
        <f t="shared" si="13"/>
        <v/>
      </c>
      <c r="I73" s="35"/>
      <c r="J73" s="35"/>
      <c r="K73" s="35"/>
      <c r="L73" s="171" t="str">
        <f t="shared" si="14"/>
        <v/>
      </c>
      <c r="M73" s="35"/>
      <c r="N73" s="35"/>
      <c r="O73" s="35"/>
      <c r="P73" s="158" t="str">
        <f t="shared" si="15"/>
        <v/>
      </c>
      <c r="Q73" s="158" t="str">
        <f t="shared" si="16"/>
        <v/>
      </c>
      <c r="R73" s="158" t="str">
        <f t="shared" si="17"/>
        <v/>
      </c>
      <c r="S73" s="159" t="str">
        <f t="shared" si="18"/>
        <v/>
      </c>
      <c r="T73" s="146" t="str">
        <f t="shared" si="19"/>
        <v/>
      </c>
      <c r="X73">
        <f t="shared" si="20"/>
        <v>54</v>
      </c>
      <c r="Y73" t="str">
        <f t="array" ref="Y73">_xlfn.LET(_xlpm.m,X73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3" t="str">
        <f t="array" ref="Z73">IF(Y73="","",_xlfn.LET(_xlpm.m,X73,_xlpm.names,_xlfn.TAKE($AC$7:$AC$10,$D$8),_xlpm.sizes,_xlfn.TAKE($AD$7:$AD$10,$D$8),_xlpm.counts,_xlpm.sizes*(_xlpm.sizes-1)/2,_xlpm.g,_xlfn.XMATCH(Y73,_xlpm.names),_xlpm.prev,IF(_xlpm.g=1,0,INDEX(_xlfn.SCAN(0,_xlpm.counts,_xlfn.LAMBDA(_xlpm.a,_xlpm.b,_xlpm.a+_xlpm.b)),_xlpm.g-1)),_xlpm.m-_xlpm.prev))</f>
        <v/>
      </c>
      <c r="AA73" t="str">
        <f t="array" ref="AA73">IF(Z73="","",_xlfn.LET(_xlpm.names,_xlfn.TAKE($AC$7:$AC$10,$D$8),_xlpm.n,INDEX(_xlfn.TAKE($AD$7:$AD$10,$D$8),_xlfn.XMATCH(Y73,_xlpm.names)),_xlpm.p,Z73,MATCH(TRUE,_xlpm.p&lt;=(_xlpm.n*_xlfn.SEQUENCE(_xlpm.n-1)-_xlfn.SEQUENCE(_xlpm.n-1)*(_xlfn.SEQUENCE(_xlpm.n-1)+1)/2),0)))</f>
        <v/>
      </c>
      <c r="AB73" t="str">
        <f t="array" ref="AB73">IF(Z73="","",_xlfn.LET(_xlpm.names,_xlfn.TAKE($AC$7:$AC$10,$D$8),_xlpm.n,INDEX(_xlfn.TAKE($AD$7:$AD$10,$D$8),_xlfn.XMATCH(Y73,_xlpm.names)),_xlpm.p,Z73,_xlpm.a,AA73,_xlpm.prev,IF(_xlpm.a=1,0,_xlpm.n*(_xlpm.a-1)-(_xlpm.a-1)*_xlpm.a/2),_xlpm.a+_xlpm.p-_xlpm.prev))</f>
        <v/>
      </c>
      <c r="AC73" t="str">
        <f t="array" ref="AC73">IF(AA73="","",IFERROR(INDEX(_xlfn._xlws.FILTER($C$20:$C$51,$D$20:$D$51=Y73),AA73),""))</f>
        <v/>
      </c>
      <c r="AD73" t="str">
        <f t="array" ref="AD73">IF(AB73="","",IFERROR(INDEX(_xlfn._xlws.FILTER($C$20:$C$51,$D$20:$D$51=Y73),AB73),""))</f>
        <v/>
      </c>
    </row>
    <row r="74" spans="6:30" x14ac:dyDescent="0.3">
      <c r="F74" s="33" t="str">
        <f t="shared" si="11"/>
        <v/>
      </c>
      <c r="G74" s="170" t="str">
        <f t="shared" si="12"/>
        <v/>
      </c>
      <c r="H74" s="171" t="str">
        <f t="shared" si="13"/>
        <v/>
      </c>
      <c r="I74" s="35"/>
      <c r="J74" s="35"/>
      <c r="K74" s="35"/>
      <c r="L74" s="171" t="str">
        <f t="shared" si="14"/>
        <v/>
      </c>
      <c r="M74" s="35"/>
      <c r="N74" s="35"/>
      <c r="O74" s="35"/>
      <c r="P74" s="158" t="str">
        <f t="shared" si="15"/>
        <v/>
      </c>
      <c r="Q74" s="158" t="str">
        <f t="shared" si="16"/>
        <v/>
      </c>
      <c r="R74" s="158" t="str">
        <f t="shared" si="17"/>
        <v/>
      </c>
      <c r="S74" s="159" t="str">
        <f t="shared" si="18"/>
        <v/>
      </c>
      <c r="T74" s="146" t="str">
        <f t="shared" si="19"/>
        <v/>
      </c>
      <c r="X74">
        <f t="shared" si="20"/>
        <v>55</v>
      </c>
      <c r="Y74" t="str">
        <f t="array" ref="Y74">_xlfn.LET(_xlpm.m,X74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4" t="str">
        <f t="array" ref="Z74">IF(Y74="","",_xlfn.LET(_xlpm.m,X74,_xlpm.names,_xlfn.TAKE($AC$7:$AC$10,$D$8),_xlpm.sizes,_xlfn.TAKE($AD$7:$AD$10,$D$8),_xlpm.counts,_xlpm.sizes*(_xlpm.sizes-1)/2,_xlpm.g,_xlfn.XMATCH(Y74,_xlpm.names),_xlpm.prev,IF(_xlpm.g=1,0,INDEX(_xlfn.SCAN(0,_xlpm.counts,_xlfn.LAMBDA(_xlpm.a,_xlpm.b,_xlpm.a+_xlpm.b)),_xlpm.g-1)),_xlpm.m-_xlpm.prev))</f>
        <v/>
      </c>
      <c r="AA74" t="str">
        <f t="array" ref="AA74">IF(Z74="","",_xlfn.LET(_xlpm.names,_xlfn.TAKE($AC$7:$AC$10,$D$8),_xlpm.n,INDEX(_xlfn.TAKE($AD$7:$AD$10,$D$8),_xlfn.XMATCH(Y74,_xlpm.names)),_xlpm.p,Z74,MATCH(TRUE,_xlpm.p&lt;=(_xlpm.n*_xlfn.SEQUENCE(_xlpm.n-1)-_xlfn.SEQUENCE(_xlpm.n-1)*(_xlfn.SEQUENCE(_xlpm.n-1)+1)/2),0)))</f>
        <v/>
      </c>
      <c r="AB74" t="str">
        <f t="array" ref="AB74">IF(Z74="","",_xlfn.LET(_xlpm.names,_xlfn.TAKE($AC$7:$AC$10,$D$8),_xlpm.n,INDEX(_xlfn.TAKE($AD$7:$AD$10,$D$8),_xlfn.XMATCH(Y74,_xlpm.names)),_xlpm.p,Z74,_xlpm.a,AA74,_xlpm.prev,IF(_xlpm.a=1,0,_xlpm.n*(_xlpm.a-1)-(_xlpm.a-1)*_xlpm.a/2),_xlpm.a+_xlpm.p-_xlpm.prev))</f>
        <v/>
      </c>
      <c r="AC74" t="str">
        <f t="array" ref="AC74">IF(AA74="","",IFERROR(INDEX(_xlfn._xlws.FILTER($C$20:$C$51,$D$20:$D$51=Y74),AA74),""))</f>
        <v/>
      </c>
      <c r="AD74" t="str">
        <f t="array" ref="AD74">IF(AB74="","",IFERROR(INDEX(_xlfn._xlws.FILTER($C$20:$C$51,$D$20:$D$51=Y74),AB74),""))</f>
        <v/>
      </c>
    </row>
    <row r="75" spans="6:30" x14ac:dyDescent="0.3">
      <c r="F75" s="33" t="str">
        <f t="shared" si="11"/>
        <v/>
      </c>
      <c r="G75" s="170" t="str">
        <f t="shared" si="12"/>
        <v/>
      </c>
      <c r="H75" s="171" t="str">
        <f t="shared" si="13"/>
        <v/>
      </c>
      <c r="I75" s="35"/>
      <c r="J75" s="35"/>
      <c r="K75" s="35"/>
      <c r="L75" s="171" t="str">
        <f t="shared" si="14"/>
        <v/>
      </c>
      <c r="M75" s="35"/>
      <c r="N75" s="35"/>
      <c r="O75" s="35"/>
      <c r="P75" s="158" t="str">
        <f t="shared" si="15"/>
        <v/>
      </c>
      <c r="Q75" s="158" t="str">
        <f t="shared" si="16"/>
        <v/>
      </c>
      <c r="R75" s="158" t="str">
        <f t="shared" si="17"/>
        <v/>
      </c>
      <c r="S75" s="159" t="str">
        <f t="shared" si="18"/>
        <v/>
      </c>
      <c r="T75" s="146" t="str">
        <f t="shared" si="19"/>
        <v/>
      </c>
      <c r="X75">
        <f t="shared" si="20"/>
        <v>56</v>
      </c>
      <c r="Y75" t="str">
        <f t="array" ref="Y75">_xlfn.LET(_xlpm.m,X75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5" t="str">
        <f t="array" ref="Z75">IF(Y75="","",_xlfn.LET(_xlpm.m,X75,_xlpm.names,_xlfn.TAKE($AC$7:$AC$10,$D$8),_xlpm.sizes,_xlfn.TAKE($AD$7:$AD$10,$D$8),_xlpm.counts,_xlpm.sizes*(_xlpm.sizes-1)/2,_xlpm.g,_xlfn.XMATCH(Y75,_xlpm.names),_xlpm.prev,IF(_xlpm.g=1,0,INDEX(_xlfn.SCAN(0,_xlpm.counts,_xlfn.LAMBDA(_xlpm.a,_xlpm.b,_xlpm.a+_xlpm.b)),_xlpm.g-1)),_xlpm.m-_xlpm.prev))</f>
        <v/>
      </c>
      <c r="AA75" t="str">
        <f t="array" ref="AA75">IF(Z75="","",_xlfn.LET(_xlpm.names,_xlfn.TAKE($AC$7:$AC$10,$D$8),_xlpm.n,INDEX(_xlfn.TAKE($AD$7:$AD$10,$D$8),_xlfn.XMATCH(Y75,_xlpm.names)),_xlpm.p,Z75,MATCH(TRUE,_xlpm.p&lt;=(_xlpm.n*_xlfn.SEQUENCE(_xlpm.n-1)-_xlfn.SEQUENCE(_xlpm.n-1)*(_xlfn.SEQUENCE(_xlpm.n-1)+1)/2),0)))</f>
        <v/>
      </c>
      <c r="AB75" t="str">
        <f t="array" ref="AB75">IF(Z75="","",_xlfn.LET(_xlpm.names,_xlfn.TAKE($AC$7:$AC$10,$D$8),_xlpm.n,INDEX(_xlfn.TAKE($AD$7:$AD$10,$D$8),_xlfn.XMATCH(Y75,_xlpm.names)),_xlpm.p,Z75,_xlpm.a,AA75,_xlpm.prev,IF(_xlpm.a=1,0,_xlpm.n*(_xlpm.a-1)-(_xlpm.a-1)*_xlpm.a/2),_xlpm.a+_xlpm.p-_xlpm.prev))</f>
        <v/>
      </c>
      <c r="AC75" t="str">
        <f t="array" ref="AC75">IF(AA75="","",IFERROR(INDEX(_xlfn._xlws.FILTER($C$20:$C$51,$D$20:$D$51=Y75),AA75),""))</f>
        <v/>
      </c>
      <c r="AD75" t="str">
        <f t="array" ref="AD75">IF(AB75="","",IFERROR(INDEX(_xlfn._xlws.FILTER($C$20:$C$51,$D$20:$D$51=Y75),AB75),""))</f>
        <v/>
      </c>
    </row>
    <row r="76" spans="6:30" x14ac:dyDescent="0.3">
      <c r="F76" s="33" t="str">
        <f t="shared" si="11"/>
        <v/>
      </c>
      <c r="G76" s="170" t="str">
        <f t="shared" si="12"/>
        <v/>
      </c>
      <c r="H76" s="171" t="str">
        <f t="shared" si="13"/>
        <v/>
      </c>
      <c r="I76" s="35"/>
      <c r="J76" s="35"/>
      <c r="K76" s="35"/>
      <c r="L76" s="171" t="str">
        <f t="shared" si="14"/>
        <v/>
      </c>
      <c r="M76" s="35"/>
      <c r="N76" s="35"/>
      <c r="O76" s="35"/>
      <c r="P76" s="158" t="str">
        <f t="shared" si="15"/>
        <v/>
      </c>
      <c r="Q76" s="158" t="str">
        <f t="shared" si="16"/>
        <v/>
      </c>
      <c r="R76" s="158" t="str">
        <f t="shared" si="17"/>
        <v/>
      </c>
      <c r="S76" s="159" t="str">
        <f t="shared" si="18"/>
        <v/>
      </c>
      <c r="T76" s="146" t="str">
        <f t="shared" si="19"/>
        <v/>
      </c>
      <c r="X76">
        <f t="shared" si="20"/>
        <v>57</v>
      </c>
      <c r="Y76" t="str">
        <f t="array" ref="Y76">_xlfn.LET(_xlpm.m,X76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6" t="str">
        <f t="array" ref="Z76">IF(Y76="","",_xlfn.LET(_xlpm.m,X76,_xlpm.names,_xlfn.TAKE($AC$7:$AC$10,$D$8),_xlpm.sizes,_xlfn.TAKE($AD$7:$AD$10,$D$8),_xlpm.counts,_xlpm.sizes*(_xlpm.sizes-1)/2,_xlpm.g,_xlfn.XMATCH(Y76,_xlpm.names),_xlpm.prev,IF(_xlpm.g=1,0,INDEX(_xlfn.SCAN(0,_xlpm.counts,_xlfn.LAMBDA(_xlpm.a,_xlpm.b,_xlpm.a+_xlpm.b)),_xlpm.g-1)),_xlpm.m-_xlpm.prev))</f>
        <v/>
      </c>
      <c r="AA76" t="str">
        <f t="array" ref="AA76">IF(Z76="","",_xlfn.LET(_xlpm.names,_xlfn.TAKE($AC$7:$AC$10,$D$8),_xlpm.n,INDEX(_xlfn.TAKE($AD$7:$AD$10,$D$8),_xlfn.XMATCH(Y76,_xlpm.names)),_xlpm.p,Z76,MATCH(TRUE,_xlpm.p&lt;=(_xlpm.n*_xlfn.SEQUENCE(_xlpm.n-1)-_xlfn.SEQUENCE(_xlpm.n-1)*(_xlfn.SEQUENCE(_xlpm.n-1)+1)/2),0)))</f>
        <v/>
      </c>
      <c r="AB76" t="str">
        <f t="array" ref="AB76">IF(Z76="","",_xlfn.LET(_xlpm.names,_xlfn.TAKE($AC$7:$AC$10,$D$8),_xlpm.n,INDEX(_xlfn.TAKE($AD$7:$AD$10,$D$8),_xlfn.XMATCH(Y76,_xlpm.names)),_xlpm.p,Z76,_xlpm.a,AA76,_xlpm.prev,IF(_xlpm.a=1,0,_xlpm.n*(_xlpm.a-1)-(_xlpm.a-1)*_xlpm.a/2),_xlpm.a+_xlpm.p-_xlpm.prev))</f>
        <v/>
      </c>
      <c r="AC76" t="str">
        <f t="array" ref="AC76">IF(AA76="","",IFERROR(INDEX(_xlfn._xlws.FILTER($C$20:$C$51,$D$20:$D$51=Y76),AA76),""))</f>
        <v/>
      </c>
      <c r="AD76" t="str">
        <f t="array" ref="AD76">IF(AB76="","",IFERROR(INDEX(_xlfn._xlws.FILTER($C$20:$C$51,$D$20:$D$51=Y76),AB76),""))</f>
        <v/>
      </c>
    </row>
    <row r="77" spans="6:30" x14ac:dyDescent="0.3">
      <c r="F77" s="33" t="str">
        <f t="shared" si="11"/>
        <v/>
      </c>
      <c r="G77" s="170" t="str">
        <f t="shared" si="12"/>
        <v/>
      </c>
      <c r="H77" s="171" t="str">
        <f t="shared" si="13"/>
        <v/>
      </c>
      <c r="I77" s="35"/>
      <c r="J77" s="35"/>
      <c r="K77" s="35"/>
      <c r="L77" s="171" t="str">
        <f t="shared" si="14"/>
        <v/>
      </c>
      <c r="M77" s="35"/>
      <c r="N77" s="35"/>
      <c r="O77" s="35"/>
      <c r="P77" s="158" t="str">
        <f t="shared" si="15"/>
        <v/>
      </c>
      <c r="Q77" s="158" t="str">
        <f t="shared" si="16"/>
        <v/>
      </c>
      <c r="R77" s="158" t="str">
        <f t="shared" si="17"/>
        <v/>
      </c>
      <c r="S77" s="159" t="str">
        <f t="shared" si="18"/>
        <v/>
      </c>
      <c r="T77" s="146" t="str">
        <f t="shared" si="19"/>
        <v/>
      </c>
      <c r="X77">
        <f t="shared" si="20"/>
        <v>58</v>
      </c>
      <c r="Y77" t="str">
        <f t="array" ref="Y77">_xlfn.LET(_xlpm.m,X77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7" t="str">
        <f t="array" ref="Z77">IF(Y77="","",_xlfn.LET(_xlpm.m,X77,_xlpm.names,_xlfn.TAKE($AC$7:$AC$10,$D$8),_xlpm.sizes,_xlfn.TAKE($AD$7:$AD$10,$D$8),_xlpm.counts,_xlpm.sizes*(_xlpm.sizes-1)/2,_xlpm.g,_xlfn.XMATCH(Y77,_xlpm.names),_xlpm.prev,IF(_xlpm.g=1,0,INDEX(_xlfn.SCAN(0,_xlpm.counts,_xlfn.LAMBDA(_xlpm.a,_xlpm.b,_xlpm.a+_xlpm.b)),_xlpm.g-1)),_xlpm.m-_xlpm.prev))</f>
        <v/>
      </c>
      <c r="AA77" t="str">
        <f t="array" ref="AA77">IF(Z77="","",_xlfn.LET(_xlpm.names,_xlfn.TAKE($AC$7:$AC$10,$D$8),_xlpm.n,INDEX(_xlfn.TAKE($AD$7:$AD$10,$D$8),_xlfn.XMATCH(Y77,_xlpm.names)),_xlpm.p,Z77,MATCH(TRUE,_xlpm.p&lt;=(_xlpm.n*_xlfn.SEQUENCE(_xlpm.n-1)-_xlfn.SEQUENCE(_xlpm.n-1)*(_xlfn.SEQUENCE(_xlpm.n-1)+1)/2),0)))</f>
        <v/>
      </c>
      <c r="AB77" t="str">
        <f t="array" ref="AB77">IF(Z77="","",_xlfn.LET(_xlpm.names,_xlfn.TAKE($AC$7:$AC$10,$D$8),_xlpm.n,INDEX(_xlfn.TAKE($AD$7:$AD$10,$D$8),_xlfn.XMATCH(Y77,_xlpm.names)),_xlpm.p,Z77,_xlpm.a,AA77,_xlpm.prev,IF(_xlpm.a=1,0,_xlpm.n*(_xlpm.a-1)-(_xlpm.a-1)*_xlpm.a/2),_xlpm.a+_xlpm.p-_xlpm.prev))</f>
        <v/>
      </c>
      <c r="AC77" t="str">
        <f t="array" ref="AC77">IF(AA77="","",IFERROR(INDEX(_xlfn._xlws.FILTER($C$20:$C$51,$D$20:$D$51=Y77),AA77),""))</f>
        <v/>
      </c>
      <c r="AD77" t="str">
        <f t="array" ref="AD77">IF(AB77="","",IFERROR(INDEX(_xlfn._xlws.FILTER($C$20:$C$51,$D$20:$D$51=Y77),AB77),""))</f>
        <v/>
      </c>
    </row>
    <row r="78" spans="6:30" x14ac:dyDescent="0.3">
      <c r="F78" s="33" t="str">
        <f t="shared" si="11"/>
        <v/>
      </c>
      <c r="G78" s="170" t="str">
        <f t="shared" si="12"/>
        <v/>
      </c>
      <c r="H78" s="171" t="str">
        <f t="shared" si="13"/>
        <v/>
      </c>
      <c r="I78" s="35"/>
      <c r="J78" s="35"/>
      <c r="K78" s="35"/>
      <c r="L78" s="171" t="str">
        <f t="shared" si="14"/>
        <v/>
      </c>
      <c r="M78" s="35"/>
      <c r="N78" s="35"/>
      <c r="O78" s="35"/>
      <c r="P78" s="158" t="str">
        <f t="shared" si="15"/>
        <v/>
      </c>
      <c r="Q78" s="158" t="str">
        <f t="shared" si="16"/>
        <v/>
      </c>
      <c r="R78" s="158" t="str">
        <f t="shared" si="17"/>
        <v/>
      </c>
      <c r="S78" s="159" t="str">
        <f t="shared" si="18"/>
        <v/>
      </c>
      <c r="T78" s="146" t="str">
        <f t="shared" si="19"/>
        <v/>
      </c>
      <c r="X78">
        <f t="shared" si="20"/>
        <v>59</v>
      </c>
      <c r="Y78" t="str">
        <f t="array" ref="Y78">_xlfn.LET(_xlpm.m,X78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8" t="str">
        <f t="array" ref="Z78">IF(Y78="","",_xlfn.LET(_xlpm.m,X78,_xlpm.names,_xlfn.TAKE($AC$7:$AC$10,$D$8),_xlpm.sizes,_xlfn.TAKE($AD$7:$AD$10,$D$8),_xlpm.counts,_xlpm.sizes*(_xlpm.sizes-1)/2,_xlpm.g,_xlfn.XMATCH(Y78,_xlpm.names),_xlpm.prev,IF(_xlpm.g=1,0,INDEX(_xlfn.SCAN(0,_xlpm.counts,_xlfn.LAMBDA(_xlpm.a,_xlpm.b,_xlpm.a+_xlpm.b)),_xlpm.g-1)),_xlpm.m-_xlpm.prev))</f>
        <v/>
      </c>
      <c r="AA78" t="str">
        <f t="array" ref="AA78">IF(Z78="","",_xlfn.LET(_xlpm.names,_xlfn.TAKE($AC$7:$AC$10,$D$8),_xlpm.n,INDEX(_xlfn.TAKE($AD$7:$AD$10,$D$8),_xlfn.XMATCH(Y78,_xlpm.names)),_xlpm.p,Z78,MATCH(TRUE,_xlpm.p&lt;=(_xlpm.n*_xlfn.SEQUENCE(_xlpm.n-1)-_xlfn.SEQUENCE(_xlpm.n-1)*(_xlfn.SEQUENCE(_xlpm.n-1)+1)/2),0)))</f>
        <v/>
      </c>
      <c r="AB78" t="str">
        <f t="array" ref="AB78">IF(Z78="","",_xlfn.LET(_xlpm.names,_xlfn.TAKE($AC$7:$AC$10,$D$8),_xlpm.n,INDEX(_xlfn.TAKE($AD$7:$AD$10,$D$8),_xlfn.XMATCH(Y78,_xlpm.names)),_xlpm.p,Z78,_xlpm.a,AA78,_xlpm.prev,IF(_xlpm.a=1,0,_xlpm.n*(_xlpm.a-1)-(_xlpm.a-1)*_xlpm.a/2),_xlpm.a+_xlpm.p-_xlpm.prev))</f>
        <v/>
      </c>
      <c r="AC78" t="str">
        <f t="array" ref="AC78">IF(AA78="","",IFERROR(INDEX(_xlfn._xlws.FILTER($C$20:$C$51,$D$20:$D$51=Y78),AA78),""))</f>
        <v/>
      </c>
      <c r="AD78" t="str">
        <f t="array" ref="AD78">IF(AB78="","",IFERROR(INDEX(_xlfn._xlws.FILTER($C$20:$C$51,$D$20:$D$51=Y78),AB78),""))</f>
        <v/>
      </c>
    </row>
    <row r="79" spans="6:30" x14ac:dyDescent="0.3">
      <c r="F79" s="33" t="str">
        <f t="shared" si="11"/>
        <v/>
      </c>
      <c r="G79" s="170" t="str">
        <f t="shared" si="12"/>
        <v/>
      </c>
      <c r="H79" s="171" t="str">
        <f t="shared" si="13"/>
        <v/>
      </c>
      <c r="I79" s="35"/>
      <c r="J79" s="35"/>
      <c r="K79" s="35"/>
      <c r="L79" s="171" t="str">
        <f t="shared" si="14"/>
        <v/>
      </c>
      <c r="M79" s="35"/>
      <c r="N79" s="35"/>
      <c r="O79" s="35"/>
      <c r="P79" s="158" t="str">
        <f t="shared" si="15"/>
        <v/>
      </c>
      <c r="Q79" s="158" t="str">
        <f t="shared" si="16"/>
        <v/>
      </c>
      <c r="R79" s="158" t="str">
        <f t="shared" si="17"/>
        <v/>
      </c>
      <c r="S79" s="159" t="str">
        <f t="shared" si="18"/>
        <v/>
      </c>
      <c r="T79" s="146" t="str">
        <f t="shared" si="19"/>
        <v/>
      </c>
      <c r="X79">
        <f t="shared" si="20"/>
        <v>60</v>
      </c>
      <c r="Y79" t="str">
        <f t="array" ref="Y79">_xlfn.LET(_xlpm.m,X79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9" t="str">
        <f t="array" ref="Z79">IF(Y79="","",_xlfn.LET(_xlpm.m,X79,_xlpm.names,_xlfn.TAKE($AC$7:$AC$10,$D$8),_xlpm.sizes,_xlfn.TAKE($AD$7:$AD$10,$D$8),_xlpm.counts,_xlpm.sizes*(_xlpm.sizes-1)/2,_xlpm.g,_xlfn.XMATCH(Y79,_xlpm.names),_xlpm.prev,IF(_xlpm.g=1,0,INDEX(_xlfn.SCAN(0,_xlpm.counts,_xlfn.LAMBDA(_xlpm.a,_xlpm.b,_xlpm.a+_xlpm.b)),_xlpm.g-1)),_xlpm.m-_xlpm.prev))</f>
        <v/>
      </c>
      <c r="AA79" t="str">
        <f t="array" ref="AA79">IF(Z79="","",_xlfn.LET(_xlpm.names,_xlfn.TAKE($AC$7:$AC$10,$D$8),_xlpm.n,INDEX(_xlfn.TAKE($AD$7:$AD$10,$D$8),_xlfn.XMATCH(Y79,_xlpm.names)),_xlpm.p,Z79,MATCH(TRUE,_xlpm.p&lt;=(_xlpm.n*_xlfn.SEQUENCE(_xlpm.n-1)-_xlfn.SEQUENCE(_xlpm.n-1)*(_xlfn.SEQUENCE(_xlpm.n-1)+1)/2),0)))</f>
        <v/>
      </c>
      <c r="AB79" t="str">
        <f t="array" ref="AB79">IF(Z79="","",_xlfn.LET(_xlpm.names,_xlfn.TAKE($AC$7:$AC$10,$D$8),_xlpm.n,INDEX(_xlfn.TAKE($AD$7:$AD$10,$D$8),_xlfn.XMATCH(Y79,_xlpm.names)),_xlpm.p,Z79,_xlpm.a,AA79,_xlpm.prev,IF(_xlpm.a=1,0,_xlpm.n*(_xlpm.a-1)-(_xlpm.a-1)*_xlpm.a/2),_xlpm.a+_xlpm.p-_xlpm.prev))</f>
        <v/>
      </c>
      <c r="AC79" t="str">
        <f t="array" ref="AC79">IF(AA79="","",IFERROR(INDEX(_xlfn._xlws.FILTER($C$20:$C$51,$D$20:$D$51=Y79),AA79),""))</f>
        <v/>
      </c>
      <c r="AD79" t="str">
        <f t="array" ref="AD79">IF(AB79="","",IFERROR(INDEX(_xlfn._xlws.FILTER($C$20:$C$51,$D$20:$D$51=Y79),AB79),""))</f>
        <v/>
      </c>
    </row>
    <row r="80" spans="6:30" x14ac:dyDescent="0.3">
      <c r="F80" s="33" t="str">
        <f t="shared" si="11"/>
        <v/>
      </c>
      <c r="G80" s="170" t="str">
        <f t="shared" si="12"/>
        <v/>
      </c>
      <c r="H80" s="171" t="str">
        <f t="shared" si="13"/>
        <v/>
      </c>
      <c r="I80" s="35"/>
      <c r="J80" s="35"/>
      <c r="K80" s="35"/>
      <c r="L80" s="171" t="str">
        <f t="shared" si="14"/>
        <v/>
      </c>
      <c r="M80" s="35"/>
      <c r="N80" s="35"/>
      <c r="O80" s="35"/>
      <c r="P80" s="158" t="str">
        <f t="shared" si="15"/>
        <v/>
      </c>
      <c r="Q80" s="158" t="str">
        <f t="shared" si="16"/>
        <v/>
      </c>
      <c r="R80" s="158" t="str">
        <f t="shared" si="17"/>
        <v/>
      </c>
      <c r="S80" s="159" t="str">
        <f t="shared" si="18"/>
        <v/>
      </c>
      <c r="T80" s="146" t="str">
        <f t="shared" si="19"/>
        <v/>
      </c>
      <c r="X80">
        <f t="shared" si="20"/>
        <v>61</v>
      </c>
      <c r="Y80" t="str">
        <f t="array" ref="Y80">_xlfn.LET(_xlpm.m,X80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0" t="str">
        <f t="array" ref="Z80">IF(Y80="","",_xlfn.LET(_xlpm.m,X80,_xlpm.names,_xlfn.TAKE($AC$7:$AC$10,$D$8),_xlpm.sizes,_xlfn.TAKE($AD$7:$AD$10,$D$8),_xlpm.counts,_xlpm.sizes*(_xlpm.sizes-1)/2,_xlpm.g,_xlfn.XMATCH(Y80,_xlpm.names),_xlpm.prev,IF(_xlpm.g=1,0,INDEX(_xlfn.SCAN(0,_xlpm.counts,_xlfn.LAMBDA(_xlpm.a,_xlpm.b,_xlpm.a+_xlpm.b)),_xlpm.g-1)),_xlpm.m-_xlpm.prev))</f>
        <v/>
      </c>
      <c r="AA80" t="str">
        <f t="array" ref="AA80">IF(Z80="","",_xlfn.LET(_xlpm.names,_xlfn.TAKE($AC$7:$AC$10,$D$8),_xlpm.n,INDEX(_xlfn.TAKE($AD$7:$AD$10,$D$8),_xlfn.XMATCH(Y80,_xlpm.names)),_xlpm.p,Z80,MATCH(TRUE,_xlpm.p&lt;=(_xlpm.n*_xlfn.SEQUENCE(_xlpm.n-1)-_xlfn.SEQUENCE(_xlpm.n-1)*(_xlfn.SEQUENCE(_xlpm.n-1)+1)/2),0)))</f>
        <v/>
      </c>
      <c r="AB80" t="str">
        <f t="array" ref="AB80">IF(Z80="","",_xlfn.LET(_xlpm.names,_xlfn.TAKE($AC$7:$AC$10,$D$8),_xlpm.n,INDEX(_xlfn.TAKE($AD$7:$AD$10,$D$8),_xlfn.XMATCH(Y80,_xlpm.names)),_xlpm.p,Z80,_xlpm.a,AA80,_xlpm.prev,IF(_xlpm.a=1,0,_xlpm.n*(_xlpm.a-1)-(_xlpm.a-1)*_xlpm.a/2),_xlpm.a+_xlpm.p-_xlpm.prev))</f>
        <v/>
      </c>
      <c r="AC80" t="str">
        <f t="array" ref="AC80">IF(AA80="","",IFERROR(INDEX(_xlfn._xlws.FILTER($C$20:$C$51,$D$20:$D$51=Y80),AA80),""))</f>
        <v/>
      </c>
      <c r="AD80" t="str">
        <f t="array" ref="AD80">IF(AB80="","",IFERROR(INDEX(_xlfn._xlws.FILTER($C$20:$C$51,$D$20:$D$51=Y80),AB80),""))</f>
        <v/>
      </c>
    </row>
    <row r="81" spans="6:30" x14ac:dyDescent="0.3">
      <c r="F81" s="33" t="str">
        <f t="shared" si="11"/>
        <v/>
      </c>
      <c r="G81" s="170" t="str">
        <f t="shared" si="12"/>
        <v/>
      </c>
      <c r="H81" s="171" t="str">
        <f t="shared" si="13"/>
        <v/>
      </c>
      <c r="I81" s="35"/>
      <c r="J81" s="35"/>
      <c r="K81" s="35"/>
      <c r="L81" s="171" t="str">
        <f t="shared" si="14"/>
        <v/>
      </c>
      <c r="M81" s="35"/>
      <c r="N81" s="35"/>
      <c r="O81" s="35"/>
      <c r="P81" s="158" t="str">
        <f t="shared" si="15"/>
        <v/>
      </c>
      <c r="Q81" s="158" t="str">
        <f t="shared" si="16"/>
        <v/>
      </c>
      <c r="R81" s="158" t="str">
        <f t="shared" si="17"/>
        <v/>
      </c>
      <c r="S81" s="159" t="str">
        <f t="shared" si="18"/>
        <v/>
      </c>
      <c r="T81" s="146" t="str">
        <f t="shared" si="19"/>
        <v/>
      </c>
      <c r="X81">
        <f t="shared" si="20"/>
        <v>62</v>
      </c>
      <c r="Y81" t="str">
        <f t="array" ref="Y81">_xlfn.LET(_xlpm.m,X81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1" t="str">
        <f t="array" ref="Z81">IF(Y81="","",_xlfn.LET(_xlpm.m,X81,_xlpm.names,_xlfn.TAKE($AC$7:$AC$10,$D$8),_xlpm.sizes,_xlfn.TAKE($AD$7:$AD$10,$D$8),_xlpm.counts,_xlpm.sizes*(_xlpm.sizes-1)/2,_xlpm.g,_xlfn.XMATCH(Y81,_xlpm.names),_xlpm.prev,IF(_xlpm.g=1,0,INDEX(_xlfn.SCAN(0,_xlpm.counts,_xlfn.LAMBDA(_xlpm.a,_xlpm.b,_xlpm.a+_xlpm.b)),_xlpm.g-1)),_xlpm.m-_xlpm.prev))</f>
        <v/>
      </c>
      <c r="AA81" t="str">
        <f t="array" ref="AA81">IF(Z81="","",_xlfn.LET(_xlpm.names,_xlfn.TAKE($AC$7:$AC$10,$D$8),_xlpm.n,INDEX(_xlfn.TAKE($AD$7:$AD$10,$D$8),_xlfn.XMATCH(Y81,_xlpm.names)),_xlpm.p,Z81,MATCH(TRUE,_xlpm.p&lt;=(_xlpm.n*_xlfn.SEQUENCE(_xlpm.n-1)-_xlfn.SEQUENCE(_xlpm.n-1)*(_xlfn.SEQUENCE(_xlpm.n-1)+1)/2),0)))</f>
        <v/>
      </c>
      <c r="AB81" t="str">
        <f t="array" ref="AB81">IF(Z81="","",_xlfn.LET(_xlpm.names,_xlfn.TAKE($AC$7:$AC$10,$D$8),_xlpm.n,INDEX(_xlfn.TAKE($AD$7:$AD$10,$D$8),_xlfn.XMATCH(Y81,_xlpm.names)),_xlpm.p,Z81,_xlpm.a,AA81,_xlpm.prev,IF(_xlpm.a=1,0,_xlpm.n*(_xlpm.a-1)-(_xlpm.a-1)*_xlpm.a/2),_xlpm.a+_xlpm.p-_xlpm.prev))</f>
        <v/>
      </c>
      <c r="AC81" t="str">
        <f t="array" ref="AC81">IF(AA81="","",IFERROR(INDEX(_xlfn._xlws.FILTER($C$20:$C$51,$D$20:$D$51=Y81),AA81),""))</f>
        <v/>
      </c>
      <c r="AD81" t="str">
        <f t="array" ref="AD81">IF(AB81="","",IFERROR(INDEX(_xlfn._xlws.FILTER($C$20:$C$51,$D$20:$D$51=Y81),AB81),""))</f>
        <v/>
      </c>
    </row>
    <row r="82" spans="6:30" x14ac:dyDescent="0.3">
      <c r="F82" s="33" t="str">
        <f t="shared" si="11"/>
        <v/>
      </c>
      <c r="G82" s="170" t="str">
        <f t="shared" si="12"/>
        <v/>
      </c>
      <c r="H82" s="171" t="str">
        <f t="shared" si="13"/>
        <v/>
      </c>
      <c r="I82" s="35"/>
      <c r="J82" s="35"/>
      <c r="K82" s="35"/>
      <c r="L82" s="171" t="str">
        <f t="shared" si="14"/>
        <v/>
      </c>
      <c r="M82" s="35"/>
      <c r="N82" s="35"/>
      <c r="O82" s="35"/>
      <c r="P82" s="158" t="str">
        <f t="shared" si="15"/>
        <v/>
      </c>
      <c r="Q82" s="158" t="str">
        <f t="shared" si="16"/>
        <v/>
      </c>
      <c r="R82" s="158" t="str">
        <f t="shared" si="17"/>
        <v/>
      </c>
      <c r="S82" s="159" t="str">
        <f t="shared" si="18"/>
        <v/>
      </c>
      <c r="T82" s="146" t="str">
        <f t="shared" si="19"/>
        <v/>
      </c>
      <c r="X82">
        <f t="shared" si="20"/>
        <v>63</v>
      </c>
      <c r="Y82" t="str">
        <f t="array" ref="Y82">_xlfn.LET(_xlpm.m,X82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2" t="str">
        <f t="array" ref="Z82">IF(Y82="","",_xlfn.LET(_xlpm.m,X82,_xlpm.names,_xlfn.TAKE($AC$7:$AC$10,$D$8),_xlpm.sizes,_xlfn.TAKE($AD$7:$AD$10,$D$8),_xlpm.counts,_xlpm.sizes*(_xlpm.sizes-1)/2,_xlpm.g,_xlfn.XMATCH(Y82,_xlpm.names),_xlpm.prev,IF(_xlpm.g=1,0,INDEX(_xlfn.SCAN(0,_xlpm.counts,_xlfn.LAMBDA(_xlpm.a,_xlpm.b,_xlpm.a+_xlpm.b)),_xlpm.g-1)),_xlpm.m-_xlpm.prev))</f>
        <v/>
      </c>
      <c r="AA82" t="str">
        <f t="array" ref="AA82">IF(Z82="","",_xlfn.LET(_xlpm.names,_xlfn.TAKE($AC$7:$AC$10,$D$8),_xlpm.n,INDEX(_xlfn.TAKE($AD$7:$AD$10,$D$8),_xlfn.XMATCH(Y82,_xlpm.names)),_xlpm.p,Z82,MATCH(TRUE,_xlpm.p&lt;=(_xlpm.n*_xlfn.SEQUENCE(_xlpm.n-1)-_xlfn.SEQUENCE(_xlpm.n-1)*(_xlfn.SEQUENCE(_xlpm.n-1)+1)/2),0)))</f>
        <v/>
      </c>
      <c r="AB82" t="str">
        <f t="array" ref="AB82">IF(Z82="","",_xlfn.LET(_xlpm.names,_xlfn.TAKE($AC$7:$AC$10,$D$8),_xlpm.n,INDEX(_xlfn.TAKE($AD$7:$AD$10,$D$8),_xlfn.XMATCH(Y82,_xlpm.names)),_xlpm.p,Z82,_xlpm.a,AA82,_xlpm.prev,IF(_xlpm.a=1,0,_xlpm.n*(_xlpm.a-1)-(_xlpm.a-1)*_xlpm.a/2),_xlpm.a+_xlpm.p-_xlpm.prev))</f>
        <v/>
      </c>
      <c r="AC82" t="str">
        <f t="array" ref="AC82">IF(AA82="","",IFERROR(INDEX(_xlfn._xlws.FILTER($C$20:$C$51,$D$20:$D$51=Y82),AA82),""))</f>
        <v/>
      </c>
      <c r="AD82" t="str">
        <f t="array" ref="AD82">IF(AB82="","",IFERROR(INDEX(_xlfn._xlws.FILTER($C$20:$C$51,$D$20:$D$51=Y82),AB82),""))</f>
        <v/>
      </c>
    </row>
    <row r="83" spans="6:30" x14ac:dyDescent="0.3">
      <c r="F83" s="33" t="str">
        <f t="shared" si="11"/>
        <v/>
      </c>
      <c r="G83" s="170" t="str">
        <f t="shared" si="12"/>
        <v/>
      </c>
      <c r="H83" s="171" t="str">
        <f t="shared" si="13"/>
        <v/>
      </c>
      <c r="I83" s="35"/>
      <c r="J83" s="35"/>
      <c r="K83" s="35"/>
      <c r="L83" s="171" t="str">
        <f t="shared" si="14"/>
        <v/>
      </c>
      <c r="M83" s="35"/>
      <c r="N83" s="35"/>
      <c r="O83" s="35"/>
      <c r="P83" s="158" t="str">
        <f t="shared" si="15"/>
        <v/>
      </c>
      <c r="Q83" s="158" t="str">
        <f t="shared" si="16"/>
        <v/>
      </c>
      <c r="R83" s="158" t="str">
        <f t="shared" si="17"/>
        <v/>
      </c>
      <c r="S83" s="159" t="str">
        <f t="shared" si="18"/>
        <v/>
      </c>
      <c r="T83" s="146" t="str">
        <f t="shared" si="19"/>
        <v/>
      </c>
      <c r="X83">
        <f t="shared" si="20"/>
        <v>64</v>
      </c>
      <c r="Y83" t="str">
        <f t="array" ref="Y83">_xlfn.LET(_xlpm.m,X83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3" t="str">
        <f t="array" ref="Z83">IF(Y83="","",_xlfn.LET(_xlpm.m,X83,_xlpm.names,_xlfn.TAKE($AC$7:$AC$10,$D$8),_xlpm.sizes,_xlfn.TAKE($AD$7:$AD$10,$D$8),_xlpm.counts,_xlpm.sizes*(_xlpm.sizes-1)/2,_xlpm.g,_xlfn.XMATCH(Y83,_xlpm.names),_xlpm.prev,IF(_xlpm.g=1,0,INDEX(_xlfn.SCAN(0,_xlpm.counts,_xlfn.LAMBDA(_xlpm.a,_xlpm.b,_xlpm.a+_xlpm.b)),_xlpm.g-1)),_xlpm.m-_xlpm.prev))</f>
        <v/>
      </c>
      <c r="AA83" t="str">
        <f t="array" ref="AA83">IF(Z83="","",_xlfn.LET(_xlpm.names,_xlfn.TAKE($AC$7:$AC$10,$D$8),_xlpm.n,INDEX(_xlfn.TAKE($AD$7:$AD$10,$D$8),_xlfn.XMATCH(Y83,_xlpm.names)),_xlpm.p,Z83,MATCH(TRUE,_xlpm.p&lt;=(_xlpm.n*_xlfn.SEQUENCE(_xlpm.n-1)-_xlfn.SEQUENCE(_xlpm.n-1)*(_xlfn.SEQUENCE(_xlpm.n-1)+1)/2),0)))</f>
        <v/>
      </c>
      <c r="AB83" t="str">
        <f t="array" ref="AB83">IF(Z83="","",_xlfn.LET(_xlpm.names,_xlfn.TAKE($AC$7:$AC$10,$D$8),_xlpm.n,INDEX(_xlfn.TAKE($AD$7:$AD$10,$D$8),_xlfn.XMATCH(Y83,_xlpm.names)),_xlpm.p,Z83,_xlpm.a,AA83,_xlpm.prev,IF(_xlpm.a=1,0,_xlpm.n*(_xlpm.a-1)-(_xlpm.a-1)*_xlpm.a/2),_xlpm.a+_xlpm.p-_xlpm.prev))</f>
        <v/>
      </c>
      <c r="AC83" t="str">
        <f t="array" ref="AC83">IF(AA83="","",IFERROR(INDEX(_xlfn._xlws.FILTER($C$20:$C$51,$D$20:$D$51=Y83),AA83),""))</f>
        <v/>
      </c>
      <c r="AD83" t="str">
        <f t="array" ref="AD83">IF(AB83="","",IFERROR(INDEX(_xlfn._xlws.FILTER($C$20:$C$51,$D$20:$D$51=Y83),AB83),""))</f>
        <v/>
      </c>
    </row>
    <row r="84" spans="6:30" x14ac:dyDescent="0.3">
      <c r="F84" s="33" t="str">
        <f t="shared" ref="F84:F115" si="21">IF(OR(AC84="",AD84=""),"",X84)</f>
        <v/>
      </c>
      <c r="G84" s="170" t="str">
        <f t="shared" ref="G84:G115" si="22">IF(F84="","",Y84)</f>
        <v/>
      </c>
      <c r="H84" s="171" t="str">
        <f t="shared" ref="H84:H115" si="23">IF(F84="","",AC84)</f>
        <v/>
      </c>
      <c r="I84" s="35"/>
      <c r="J84" s="35"/>
      <c r="K84" s="35"/>
      <c r="L84" s="171" t="str">
        <f t="shared" ref="L84:L115" si="24">IF(F84="","",AD84)</f>
        <v/>
      </c>
      <c r="M84" s="35"/>
      <c r="N84" s="35"/>
      <c r="O84" s="35"/>
      <c r="P84" s="158" t="str">
        <f t="shared" ref="P84:P115" si="25">IF(OR(H84="",I84="",M84=""),"",IF(AND(I84=M84,K84=O84),"Tie",IF(I84&gt;M84,"A",IF(M84&gt;I84,"B","Tie"))))</f>
        <v/>
      </c>
      <c r="Q84" s="158" t="str">
        <f t="shared" ref="Q84:Q115" si="26">IF(P84="","",IF(P84="A",H84,IF(P84="B",L84,IF(P84="Tie","Tie",""))))</f>
        <v/>
      </c>
      <c r="R84" s="158" t="str">
        <f t="shared" ref="R84:R115" si="27">IF(OR(P84="",P84="Tie",P84="NR"),"",IF(P84="A",IF(K84&gt;=O84,I84-M84,$D$17-J84),IF(K84&lt;=O84,M84-I84,$D$17-N84)))</f>
        <v/>
      </c>
      <c r="S84" s="159" t="str">
        <f t="shared" ref="S84:S115" si="28">IF(OR(P84="",P84="Tie",P84="NR"),"",IF(P84="A",IF(K84&gt;=O84,"Runs","Wickets"),IF(K84&lt;=O84,"Runs","Wickets")))</f>
        <v/>
      </c>
      <c r="T84" s="146" t="str">
        <f t="shared" ref="T84:T115" si="29">IF(OR(H84="",L84=""),"",H84&amp;" vs "&amp;L84)</f>
        <v/>
      </c>
      <c r="X84">
        <f t="shared" si="20"/>
        <v>65</v>
      </c>
      <c r="Y84" t="str">
        <f t="array" ref="Y84">_xlfn.LET(_xlpm.m,X84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4" t="str">
        <f t="array" ref="Z84">IF(Y84="","",_xlfn.LET(_xlpm.m,X84,_xlpm.names,_xlfn.TAKE($AC$7:$AC$10,$D$8),_xlpm.sizes,_xlfn.TAKE($AD$7:$AD$10,$D$8),_xlpm.counts,_xlpm.sizes*(_xlpm.sizes-1)/2,_xlpm.g,_xlfn.XMATCH(Y84,_xlpm.names),_xlpm.prev,IF(_xlpm.g=1,0,INDEX(_xlfn.SCAN(0,_xlpm.counts,_xlfn.LAMBDA(_xlpm.a,_xlpm.b,_xlpm.a+_xlpm.b)),_xlpm.g-1)),_xlpm.m-_xlpm.prev))</f>
        <v/>
      </c>
      <c r="AA84" t="str">
        <f t="array" ref="AA84">IF(Z84="","",_xlfn.LET(_xlpm.names,_xlfn.TAKE($AC$7:$AC$10,$D$8),_xlpm.n,INDEX(_xlfn.TAKE($AD$7:$AD$10,$D$8),_xlfn.XMATCH(Y84,_xlpm.names)),_xlpm.p,Z84,MATCH(TRUE,_xlpm.p&lt;=(_xlpm.n*_xlfn.SEQUENCE(_xlpm.n-1)-_xlfn.SEQUENCE(_xlpm.n-1)*(_xlfn.SEQUENCE(_xlpm.n-1)+1)/2),0)))</f>
        <v/>
      </c>
      <c r="AB84" t="str">
        <f t="array" ref="AB84">IF(Z84="","",_xlfn.LET(_xlpm.names,_xlfn.TAKE($AC$7:$AC$10,$D$8),_xlpm.n,INDEX(_xlfn.TAKE($AD$7:$AD$10,$D$8),_xlfn.XMATCH(Y84,_xlpm.names)),_xlpm.p,Z84,_xlpm.a,AA84,_xlpm.prev,IF(_xlpm.a=1,0,_xlpm.n*(_xlpm.a-1)-(_xlpm.a-1)*_xlpm.a/2),_xlpm.a+_xlpm.p-_xlpm.prev))</f>
        <v/>
      </c>
      <c r="AC84" t="str">
        <f t="array" ref="AC84">IF(AA84="","",IFERROR(INDEX(_xlfn._xlws.FILTER($C$20:$C$51,$D$20:$D$51=Y84),AA84),""))</f>
        <v/>
      </c>
      <c r="AD84" t="str">
        <f t="array" ref="AD84">IF(AB84="","",IFERROR(INDEX(_xlfn._xlws.FILTER($C$20:$C$51,$D$20:$D$51=Y84),AB84),""))</f>
        <v/>
      </c>
    </row>
    <row r="85" spans="6:30" x14ac:dyDescent="0.3">
      <c r="F85" s="33" t="str">
        <f t="shared" si="21"/>
        <v/>
      </c>
      <c r="G85" s="170" t="str">
        <f t="shared" si="22"/>
        <v/>
      </c>
      <c r="H85" s="171" t="str">
        <f t="shared" si="23"/>
        <v/>
      </c>
      <c r="I85" s="35"/>
      <c r="J85" s="35"/>
      <c r="K85" s="35"/>
      <c r="L85" s="171" t="str">
        <f t="shared" si="24"/>
        <v/>
      </c>
      <c r="M85" s="35"/>
      <c r="N85" s="35"/>
      <c r="O85" s="35"/>
      <c r="P85" s="158" t="str">
        <f t="shared" si="25"/>
        <v/>
      </c>
      <c r="Q85" s="158" t="str">
        <f t="shared" si="26"/>
        <v/>
      </c>
      <c r="R85" s="158" t="str">
        <f t="shared" si="27"/>
        <v/>
      </c>
      <c r="S85" s="159" t="str">
        <f t="shared" si="28"/>
        <v/>
      </c>
      <c r="T85" s="146" t="str">
        <f t="shared" si="29"/>
        <v/>
      </c>
      <c r="X85">
        <f t="shared" ref="X85:X116" si="30">X84+1</f>
        <v>66</v>
      </c>
      <c r="Y85" t="str">
        <f t="array" ref="Y85">_xlfn.LET(_xlpm.m,X85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5" t="str">
        <f t="array" ref="Z85">IF(Y85="","",_xlfn.LET(_xlpm.m,X85,_xlpm.names,_xlfn.TAKE($AC$7:$AC$10,$D$8),_xlpm.sizes,_xlfn.TAKE($AD$7:$AD$10,$D$8),_xlpm.counts,_xlpm.sizes*(_xlpm.sizes-1)/2,_xlpm.g,_xlfn.XMATCH(Y85,_xlpm.names),_xlpm.prev,IF(_xlpm.g=1,0,INDEX(_xlfn.SCAN(0,_xlpm.counts,_xlfn.LAMBDA(_xlpm.a,_xlpm.b,_xlpm.a+_xlpm.b)),_xlpm.g-1)),_xlpm.m-_xlpm.prev))</f>
        <v/>
      </c>
      <c r="AA85" t="str">
        <f t="array" ref="AA85">IF(Z85="","",_xlfn.LET(_xlpm.names,_xlfn.TAKE($AC$7:$AC$10,$D$8),_xlpm.n,INDEX(_xlfn.TAKE($AD$7:$AD$10,$D$8),_xlfn.XMATCH(Y85,_xlpm.names)),_xlpm.p,Z85,MATCH(TRUE,_xlpm.p&lt;=(_xlpm.n*_xlfn.SEQUENCE(_xlpm.n-1)-_xlfn.SEQUENCE(_xlpm.n-1)*(_xlfn.SEQUENCE(_xlpm.n-1)+1)/2),0)))</f>
        <v/>
      </c>
      <c r="AB85" t="str">
        <f t="array" ref="AB85">IF(Z85="","",_xlfn.LET(_xlpm.names,_xlfn.TAKE($AC$7:$AC$10,$D$8),_xlpm.n,INDEX(_xlfn.TAKE($AD$7:$AD$10,$D$8),_xlfn.XMATCH(Y85,_xlpm.names)),_xlpm.p,Z85,_xlpm.a,AA85,_xlpm.prev,IF(_xlpm.a=1,0,_xlpm.n*(_xlpm.a-1)-(_xlpm.a-1)*_xlpm.a/2),_xlpm.a+_xlpm.p-_xlpm.prev))</f>
        <v/>
      </c>
      <c r="AC85" t="str">
        <f t="array" ref="AC85">IF(AA85="","",IFERROR(INDEX(_xlfn._xlws.FILTER($C$20:$C$51,$D$20:$D$51=Y85),AA85),""))</f>
        <v/>
      </c>
      <c r="AD85" t="str">
        <f t="array" ref="AD85">IF(AB85="","",IFERROR(INDEX(_xlfn._xlws.FILTER($C$20:$C$51,$D$20:$D$51=Y85),AB85),""))</f>
        <v/>
      </c>
    </row>
    <row r="86" spans="6:30" x14ac:dyDescent="0.3">
      <c r="F86" s="33" t="str">
        <f t="shared" si="21"/>
        <v/>
      </c>
      <c r="G86" s="170" t="str">
        <f t="shared" si="22"/>
        <v/>
      </c>
      <c r="H86" s="171" t="str">
        <f t="shared" si="23"/>
        <v/>
      </c>
      <c r="I86" s="35"/>
      <c r="J86" s="35"/>
      <c r="K86" s="35"/>
      <c r="L86" s="171" t="str">
        <f t="shared" si="24"/>
        <v/>
      </c>
      <c r="M86" s="35"/>
      <c r="N86" s="35"/>
      <c r="O86" s="35"/>
      <c r="P86" s="158" t="str">
        <f t="shared" si="25"/>
        <v/>
      </c>
      <c r="Q86" s="158" t="str">
        <f t="shared" si="26"/>
        <v/>
      </c>
      <c r="R86" s="158" t="str">
        <f t="shared" si="27"/>
        <v/>
      </c>
      <c r="S86" s="159" t="str">
        <f t="shared" si="28"/>
        <v/>
      </c>
      <c r="T86" s="146" t="str">
        <f t="shared" si="29"/>
        <v/>
      </c>
      <c r="X86">
        <f t="shared" si="30"/>
        <v>67</v>
      </c>
      <c r="Y86" t="str">
        <f t="array" ref="Y86">_xlfn.LET(_xlpm.m,X86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6" t="str">
        <f t="array" ref="Z86">IF(Y86="","",_xlfn.LET(_xlpm.m,X86,_xlpm.names,_xlfn.TAKE($AC$7:$AC$10,$D$8),_xlpm.sizes,_xlfn.TAKE($AD$7:$AD$10,$D$8),_xlpm.counts,_xlpm.sizes*(_xlpm.sizes-1)/2,_xlpm.g,_xlfn.XMATCH(Y86,_xlpm.names),_xlpm.prev,IF(_xlpm.g=1,0,INDEX(_xlfn.SCAN(0,_xlpm.counts,_xlfn.LAMBDA(_xlpm.a,_xlpm.b,_xlpm.a+_xlpm.b)),_xlpm.g-1)),_xlpm.m-_xlpm.prev))</f>
        <v/>
      </c>
      <c r="AA86" t="str">
        <f t="array" ref="AA86">IF(Z86="","",_xlfn.LET(_xlpm.names,_xlfn.TAKE($AC$7:$AC$10,$D$8),_xlpm.n,INDEX(_xlfn.TAKE($AD$7:$AD$10,$D$8),_xlfn.XMATCH(Y86,_xlpm.names)),_xlpm.p,Z86,MATCH(TRUE,_xlpm.p&lt;=(_xlpm.n*_xlfn.SEQUENCE(_xlpm.n-1)-_xlfn.SEQUENCE(_xlpm.n-1)*(_xlfn.SEQUENCE(_xlpm.n-1)+1)/2),0)))</f>
        <v/>
      </c>
      <c r="AB86" t="str">
        <f t="array" ref="AB86">IF(Z86="","",_xlfn.LET(_xlpm.names,_xlfn.TAKE($AC$7:$AC$10,$D$8),_xlpm.n,INDEX(_xlfn.TAKE($AD$7:$AD$10,$D$8),_xlfn.XMATCH(Y86,_xlpm.names)),_xlpm.p,Z86,_xlpm.a,AA86,_xlpm.prev,IF(_xlpm.a=1,0,_xlpm.n*(_xlpm.a-1)-(_xlpm.a-1)*_xlpm.a/2),_xlpm.a+_xlpm.p-_xlpm.prev))</f>
        <v/>
      </c>
      <c r="AC86" t="str">
        <f t="array" ref="AC86">IF(AA86="","",IFERROR(INDEX(_xlfn._xlws.FILTER($C$20:$C$51,$D$20:$D$51=Y86),AA86),""))</f>
        <v/>
      </c>
      <c r="AD86" t="str">
        <f t="array" ref="AD86">IF(AB86="","",IFERROR(INDEX(_xlfn._xlws.FILTER($C$20:$C$51,$D$20:$D$51=Y86),AB86),""))</f>
        <v/>
      </c>
    </row>
    <row r="87" spans="6:30" x14ac:dyDescent="0.3">
      <c r="F87" s="33" t="str">
        <f t="shared" si="21"/>
        <v/>
      </c>
      <c r="G87" s="170" t="str">
        <f t="shared" si="22"/>
        <v/>
      </c>
      <c r="H87" s="171" t="str">
        <f t="shared" si="23"/>
        <v/>
      </c>
      <c r="I87" s="35"/>
      <c r="J87" s="35"/>
      <c r="K87" s="35"/>
      <c r="L87" s="171" t="str">
        <f t="shared" si="24"/>
        <v/>
      </c>
      <c r="M87" s="35"/>
      <c r="N87" s="35"/>
      <c r="O87" s="35"/>
      <c r="P87" s="158" t="str">
        <f t="shared" si="25"/>
        <v/>
      </c>
      <c r="Q87" s="158" t="str">
        <f t="shared" si="26"/>
        <v/>
      </c>
      <c r="R87" s="158" t="str">
        <f t="shared" si="27"/>
        <v/>
      </c>
      <c r="S87" s="159" t="str">
        <f t="shared" si="28"/>
        <v/>
      </c>
      <c r="T87" s="146" t="str">
        <f t="shared" si="29"/>
        <v/>
      </c>
      <c r="X87">
        <f t="shared" si="30"/>
        <v>68</v>
      </c>
      <c r="Y87" t="str">
        <f t="array" ref="Y87">_xlfn.LET(_xlpm.m,X87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7" t="str">
        <f t="array" ref="Z87">IF(Y87="","",_xlfn.LET(_xlpm.m,X87,_xlpm.names,_xlfn.TAKE($AC$7:$AC$10,$D$8),_xlpm.sizes,_xlfn.TAKE($AD$7:$AD$10,$D$8),_xlpm.counts,_xlpm.sizes*(_xlpm.sizes-1)/2,_xlpm.g,_xlfn.XMATCH(Y87,_xlpm.names),_xlpm.prev,IF(_xlpm.g=1,0,INDEX(_xlfn.SCAN(0,_xlpm.counts,_xlfn.LAMBDA(_xlpm.a,_xlpm.b,_xlpm.a+_xlpm.b)),_xlpm.g-1)),_xlpm.m-_xlpm.prev))</f>
        <v/>
      </c>
      <c r="AA87" t="str">
        <f t="array" ref="AA87">IF(Z87="","",_xlfn.LET(_xlpm.names,_xlfn.TAKE($AC$7:$AC$10,$D$8),_xlpm.n,INDEX(_xlfn.TAKE($AD$7:$AD$10,$D$8),_xlfn.XMATCH(Y87,_xlpm.names)),_xlpm.p,Z87,MATCH(TRUE,_xlpm.p&lt;=(_xlpm.n*_xlfn.SEQUENCE(_xlpm.n-1)-_xlfn.SEQUENCE(_xlpm.n-1)*(_xlfn.SEQUENCE(_xlpm.n-1)+1)/2),0)))</f>
        <v/>
      </c>
      <c r="AB87" t="str">
        <f t="array" ref="AB87">IF(Z87="","",_xlfn.LET(_xlpm.names,_xlfn.TAKE($AC$7:$AC$10,$D$8),_xlpm.n,INDEX(_xlfn.TAKE($AD$7:$AD$10,$D$8),_xlfn.XMATCH(Y87,_xlpm.names)),_xlpm.p,Z87,_xlpm.a,AA87,_xlpm.prev,IF(_xlpm.a=1,0,_xlpm.n*(_xlpm.a-1)-(_xlpm.a-1)*_xlpm.a/2),_xlpm.a+_xlpm.p-_xlpm.prev))</f>
        <v/>
      </c>
      <c r="AC87" t="str">
        <f t="array" ref="AC87">IF(AA87="","",IFERROR(INDEX(_xlfn._xlws.FILTER($C$20:$C$51,$D$20:$D$51=Y87),AA87),""))</f>
        <v/>
      </c>
      <c r="AD87" t="str">
        <f t="array" ref="AD87">IF(AB87="","",IFERROR(INDEX(_xlfn._xlws.FILTER($C$20:$C$51,$D$20:$D$51=Y87),AB87),""))</f>
        <v/>
      </c>
    </row>
    <row r="88" spans="6:30" x14ac:dyDescent="0.3">
      <c r="F88" s="33" t="str">
        <f t="shared" si="21"/>
        <v/>
      </c>
      <c r="G88" s="170" t="str">
        <f t="shared" si="22"/>
        <v/>
      </c>
      <c r="H88" s="171" t="str">
        <f t="shared" si="23"/>
        <v/>
      </c>
      <c r="I88" s="35"/>
      <c r="J88" s="35"/>
      <c r="K88" s="35"/>
      <c r="L88" s="171" t="str">
        <f t="shared" si="24"/>
        <v/>
      </c>
      <c r="M88" s="35"/>
      <c r="N88" s="35"/>
      <c r="O88" s="35"/>
      <c r="P88" s="158" t="str">
        <f t="shared" si="25"/>
        <v/>
      </c>
      <c r="Q88" s="158" t="str">
        <f t="shared" si="26"/>
        <v/>
      </c>
      <c r="R88" s="158" t="str">
        <f t="shared" si="27"/>
        <v/>
      </c>
      <c r="S88" s="159" t="str">
        <f t="shared" si="28"/>
        <v/>
      </c>
      <c r="T88" s="146" t="str">
        <f t="shared" si="29"/>
        <v/>
      </c>
      <c r="X88">
        <f t="shared" si="30"/>
        <v>69</v>
      </c>
      <c r="Y88" t="str">
        <f t="array" ref="Y88">_xlfn.LET(_xlpm.m,X88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8" t="str">
        <f t="array" ref="Z88">IF(Y88="","",_xlfn.LET(_xlpm.m,X88,_xlpm.names,_xlfn.TAKE($AC$7:$AC$10,$D$8),_xlpm.sizes,_xlfn.TAKE($AD$7:$AD$10,$D$8),_xlpm.counts,_xlpm.sizes*(_xlpm.sizes-1)/2,_xlpm.g,_xlfn.XMATCH(Y88,_xlpm.names),_xlpm.prev,IF(_xlpm.g=1,0,INDEX(_xlfn.SCAN(0,_xlpm.counts,_xlfn.LAMBDA(_xlpm.a,_xlpm.b,_xlpm.a+_xlpm.b)),_xlpm.g-1)),_xlpm.m-_xlpm.prev))</f>
        <v/>
      </c>
      <c r="AA88" t="str">
        <f t="array" ref="AA88">IF(Z88="","",_xlfn.LET(_xlpm.names,_xlfn.TAKE($AC$7:$AC$10,$D$8),_xlpm.n,INDEX(_xlfn.TAKE($AD$7:$AD$10,$D$8),_xlfn.XMATCH(Y88,_xlpm.names)),_xlpm.p,Z88,MATCH(TRUE,_xlpm.p&lt;=(_xlpm.n*_xlfn.SEQUENCE(_xlpm.n-1)-_xlfn.SEQUENCE(_xlpm.n-1)*(_xlfn.SEQUENCE(_xlpm.n-1)+1)/2),0)))</f>
        <v/>
      </c>
      <c r="AB88" t="str">
        <f t="array" ref="AB88">IF(Z88="","",_xlfn.LET(_xlpm.names,_xlfn.TAKE($AC$7:$AC$10,$D$8),_xlpm.n,INDEX(_xlfn.TAKE($AD$7:$AD$10,$D$8),_xlfn.XMATCH(Y88,_xlpm.names)),_xlpm.p,Z88,_xlpm.a,AA88,_xlpm.prev,IF(_xlpm.a=1,0,_xlpm.n*(_xlpm.a-1)-(_xlpm.a-1)*_xlpm.a/2),_xlpm.a+_xlpm.p-_xlpm.prev))</f>
        <v/>
      </c>
      <c r="AC88" t="str">
        <f t="array" ref="AC88">IF(AA88="","",IFERROR(INDEX(_xlfn._xlws.FILTER($C$20:$C$51,$D$20:$D$51=Y88),AA88),""))</f>
        <v/>
      </c>
      <c r="AD88" t="str">
        <f t="array" ref="AD88">IF(AB88="","",IFERROR(INDEX(_xlfn._xlws.FILTER($C$20:$C$51,$D$20:$D$51=Y88),AB88),""))</f>
        <v/>
      </c>
    </row>
    <row r="89" spans="6:30" x14ac:dyDescent="0.3">
      <c r="F89" s="33" t="str">
        <f t="shared" si="21"/>
        <v/>
      </c>
      <c r="G89" s="170" t="str">
        <f t="shared" si="22"/>
        <v/>
      </c>
      <c r="H89" s="171" t="str">
        <f t="shared" si="23"/>
        <v/>
      </c>
      <c r="I89" s="35"/>
      <c r="J89" s="35"/>
      <c r="K89" s="35"/>
      <c r="L89" s="171" t="str">
        <f t="shared" si="24"/>
        <v/>
      </c>
      <c r="M89" s="35"/>
      <c r="N89" s="35"/>
      <c r="O89" s="35"/>
      <c r="P89" s="158" t="str">
        <f t="shared" si="25"/>
        <v/>
      </c>
      <c r="Q89" s="158" t="str">
        <f t="shared" si="26"/>
        <v/>
      </c>
      <c r="R89" s="158" t="str">
        <f t="shared" si="27"/>
        <v/>
      </c>
      <c r="S89" s="159" t="str">
        <f t="shared" si="28"/>
        <v/>
      </c>
      <c r="T89" s="146" t="str">
        <f t="shared" si="29"/>
        <v/>
      </c>
      <c r="X89">
        <f t="shared" si="30"/>
        <v>70</v>
      </c>
      <c r="Y89" t="str">
        <f t="array" ref="Y89">_xlfn.LET(_xlpm.m,X89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9" t="str">
        <f t="array" ref="Z89">IF(Y89="","",_xlfn.LET(_xlpm.m,X89,_xlpm.names,_xlfn.TAKE($AC$7:$AC$10,$D$8),_xlpm.sizes,_xlfn.TAKE($AD$7:$AD$10,$D$8),_xlpm.counts,_xlpm.sizes*(_xlpm.sizes-1)/2,_xlpm.g,_xlfn.XMATCH(Y89,_xlpm.names),_xlpm.prev,IF(_xlpm.g=1,0,INDEX(_xlfn.SCAN(0,_xlpm.counts,_xlfn.LAMBDA(_xlpm.a,_xlpm.b,_xlpm.a+_xlpm.b)),_xlpm.g-1)),_xlpm.m-_xlpm.prev))</f>
        <v/>
      </c>
      <c r="AA89" t="str">
        <f t="array" ref="AA89">IF(Z89="","",_xlfn.LET(_xlpm.names,_xlfn.TAKE($AC$7:$AC$10,$D$8),_xlpm.n,INDEX(_xlfn.TAKE($AD$7:$AD$10,$D$8),_xlfn.XMATCH(Y89,_xlpm.names)),_xlpm.p,Z89,MATCH(TRUE,_xlpm.p&lt;=(_xlpm.n*_xlfn.SEQUENCE(_xlpm.n-1)-_xlfn.SEQUENCE(_xlpm.n-1)*(_xlfn.SEQUENCE(_xlpm.n-1)+1)/2),0)))</f>
        <v/>
      </c>
      <c r="AB89" t="str">
        <f t="array" ref="AB89">IF(Z89="","",_xlfn.LET(_xlpm.names,_xlfn.TAKE($AC$7:$AC$10,$D$8),_xlpm.n,INDEX(_xlfn.TAKE($AD$7:$AD$10,$D$8),_xlfn.XMATCH(Y89,_xlpm.names)),_xlpm.p,Z89,_xlpm.a,AA89,_xlpm.prev,IF(_xlpm.a=1,0,_xlpm.n*(_xlpm.a-1)-(_xlpm.a-1)*_xlpm.a/2),_xlpm.a+_xlpm.p-_xlpm.prev))</f>
        <v/>
      </c>
      <c r="AC89" t="str">
        <f t="array" ref="AC89">IF(AA89="","",IFERROR(INDEX(_xlfn._xlws.FILTER($C$20:$C$51,$D$20:$D$51=Y89),AA89),""))</f>
        <v/>
      </c>
      <c r="AD89" t="str">
        <f t="array" ref="AD89">IF(AB89="","",IFERROR(INDEX(_xlfn._xlws.FILTER($C$20:$C$51,$D$20:$D$51=Y89),AB89),""))</f>
        <v/>
      </c>
    </row>
    <row r="90" spans="6:30" x14ac:dyDescent="0.3">
      <c r="F90" s="33" t="str">
        <f t="shared" si="21"/>
        <v/>
      </c>
      <c r="G90" s="170" t="str">
        <f t="shared" si="22"/>
        <v/>
      </c>
      <c r="H90" s="171" t="str">
        <f t="shared" si="23"/>
        <v/>
      </c>
      <c r="I90" s="35"/>
      <c r="J90" s="35"/>
      <c r="K90" s="35"/>
      <c r="L90" s="171" t="str">
        <f t="shared" si="24"/>
        <v/>
      </c>
      <c r="M90" s="35"/>
      <c r="N90" s="35"/>
      <c r="O90" s="35"/>
      <c r="P90" s="158" t="str">
        <f t="shared" si="25"/>
        <v/>
      </c>
      <c r="Q90" s="158" t="str">
        <f t="shared" si="26"/>
        <v/>
      </c>
      <c r="R90" s="158" t="str">
        <f t="shared" si="27"/>
        <v/>
      </c>
      <c r="S90" s="159" t="str">
        <f t="shared" si="28"/>
        <v/>
      </c>
      <c r="T90" s="146" t="str">
        <f t="shared" si="29"/>
        <v/>
      </c>
      <c r="X90">
        <f t="shared" si="30"/>
        <v>71</v>
      </c>
      <c r="Y90" t="str">
        <f t="array" ref="Y90">_xlfn.LET(_xlpm.m,X90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0" t="str">
        <f t="array" ref="Z90">IF(Y90="","",_xlfn.LET(_xlpm.m,X90,_xlpm.names,_xlfn.TAKE($AC$7:$AC$10,$D$8),_xlpm.sizes,_xlfn.TAKE($AD$7:$AD$10,$D$8),_xlpm.counts,_xlpm.sizes*(_xlpm.sizes-1)/2,_xlpm.g,_xlfn.XMATCH(Y90,_xlpm.names),_xlpm.prev,IF(_xlpm.g=1,0,INDEX(_xlfn.SCAN(0,_xlpm.counts,_xlfn.LAMBDA(_xlpm.a,_xlpm.b,_xlpm.a+_xlpm.b)),_xlpm.g-1)),_xlpm.m-_xlpm.prev))</f>
        <v/>
      </c>
      <c r="AA90" t="str">
        <f t="array" ref="AA90">IF(Z90="","",_xlfn.LET(_xlpm.names,_xlfn.TAKE($AC$7:$AC$10,$D$8),_xlpm.n,INDEX(_xlfn.TAKE($AD$7:$AD$10,$D$8),_xlfn.XMATCH(Y90,_xlpm.names)),_xlpm.p,Z90,MATCH(TRUE,_xlpm.p&lt;=(_xlpm.n*_xlfn.SEQUENCE(_xlpm.n-1)-_xlfn.SEQUENCE(_xlpm.n-1)*(_xlfn.SEQUENCE(_xlpm.n-1)+1)/2),0)))</f>
        <v/>
      </c>
      <c r="AB90" t="str">
        <f t="array" ref="AB90">IF(Z90="","",_xlfn.LET(_xlpm.names,_xlfn.TAKE($AC$7:$AC$10,$D$8),_xlpm.n,INDEX(_xlfn.TAKE($AD$7:$AD$10,$D$8),_xlfn.XMATCH(Y90,_xlpm.names)),_xlpm.p,Z90,_xlpm.a,AA90,_xlpm.prev,IF(_xlpm.a=1,0,_xlpm.n*(_xlpm.a-1)-(_xlpm.a-1)*_xlpm.a/2),_xlpm.a+_xlpm.p-_xlpm.prev))</f>
        <v/>
      </c>
      <c r="AC90" t="str">
        <f t="array" ref="AC90">IF(AA90="","",IFERROR(INDEX(_xlfn._xlws.FILTER($C$20:$C$51,$D$20:$D$51=Y90),AA90),""))</f>
        <v/>
      </c>
      <c r="AD90" t="str">
        <f t="array" ref="AD90">IF(AB90="","",IFERROR(INDEX(_xlfn._xlws.FILTER($C$20:$C$51,$D$20:$D$51=Y90),AB90),""))</f>
        <v/>
      </c>
    </row>
    <row r="91" spans="6:30" x14ac:dyDescent="0.3">
      <c r="F91" s="33" t="str">
        <f t="shared" si="21"/>
        <v/>
      </c>
      <c r="G91" s="170" t="str">
        <f t="shared" si="22"/>
        <v/>
      </c>
      <c r="H91" s="171" t="str">
        <f t="shared" si="23"/>
        <v/>
      </c>
      <c r="I91" s="35"/>
      <c r="J91" s="35"/>
      <c r="K91" s="35"/>
      <c r="L91" s="171" t="str">
        <f t="shared" si="24"/>
        <v/>
      </c>
      <c r="M91" s="35"/>
      <c r="N91" s="35"/>
      <c r="O91" s="35"/>
      <c r="P91" s="158" t="str">
        <f t="shared" si="25"/>
        <v/>
      </c>
      <c r="Q91" s="158" t="str">
        <f t="shared" si="26"/>
        <v/>
      </c>
      <c r="R91" s="158" t="str">
        <f t="shared" si="27"/>
        <v/>
      </c>
      <c r="S91" s="159" t="str">
        <f t="shared" si="28"/>
        <v/>
      </c>
      <c r="T91" s="146" t="str">
        <f t="shared" si="29"/>
        <v/>
      </c>
      <c r="X91">
        <f t="shared" si="30"/>
        <v>72</v>
      </c>
      <c r="Y91" t="str">
        <f t="array" ref="Y91">_xlfn.LET(_xlpm.m,X91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1" t="str">
        <f t="array" ref="Z91">IF(Y91="","",_xlfn.LET(_xlpm.m,X91,_xlpm.names,_xlfn.TAKE($AC$7:$AC$10,$D$8),_xlpm.sizes,_xlfn.TAKE($AD$7:$AD$10,$D$8),_xlpm.counts,_xlpm.sizes*(_xlpm.sizes-1)/2,_xlpm.g,_xlfn.XMATCH(Y91,_xlpm.names),_xlpm.prev,IF(_xlpm.g=1,0,INDEX(_xlfn.SCAN(0,_xlpm.counts,_xlfn.LAMBDA(_xlpm.a,_xlpm.b,_xlpm.a+_xlpm.b)),_xlpm.g-1)),_xlpm.m-_xlpm.prev))</f>
        <v/>
      </c>
      <c r="AA91" t="str">
        <f t="array" ref="AA91">IF(Z91="","",_xlfn.LET(_xlpm.names,_xlfn.TAKE($AC$7:$AC$10,$D$8),_xlpm.n,INDEX(_xlfn.TAKE($AD$7:$AD$10,$D$8),_xlfn.XMATCH(Y91,_xlpm.names)),_xlpm.p,Z91,MATCH(TRUE,_xlpm.p&lt;=(_xlpm.n*_xlfn.SEQUENCE(_xlpm.n-1)-_xlfn.SEQUENCE(_xlpm.n-1)*(_xlfn.SEQUENCE(_xlpm.n-1)+1)/2),0)))</f>
        <v/>
      </c>
      <c r="AB91" t="str">
        <f t="array" ref="AB91">IF(Z91="","",_xlfn.LET(_xlpm.names,_xlfn.TAKE($AC$7:$AC$10,$D$8),_xlpm.n,INDEX(_xlfn.TAKE($AD$7:$AD$10,$D$8),_xlfn.XMATCH(Y91,_xlpm.names)),_xlpm.p,Z91,_xlpm.a,AA91,_xlpm.prev,IF(_xlpm.a=1,0,_xlpm.n*(_xlpm.a-1)-(_xlpm.a-1)*_xlpm.a/2),_xlpm.a+_xlpm.p-_xlpm.prev))</f>
        <v/>
      </c>
      <c r="AC91" t="str">
        <f t="array" ref="AC91">IF(AA91="","",IFERROR(INDEX(_xlfn._xlws.FILTER($C$20:$C$51,$D$20:$D$51=Y91),AA91),""))</f>
        <v/>
      </c>
      <c r="AD91" t="str">
        <f t="array" ref="AD91">IF(AB91="","",IFERROR(INDEX(_xlfn._xlws.FILTER($C$20:$C$51,$D$20:$D$51=Y91),AB91),""))</f>
        <v/>
      </c>
    </row>
    <row r="92" spans="6:30" x14ac:dyDescent="0.3">
      <c r="F92" s="33" t="str">
        <f t="shared" si="21"/>
        <v/>
      </c>
      <c r="G92" s="170" t="str">
        <f t="shared" si="22"/>
        <v/>
      </c>
      <c r="H92" s="171" t="str">
        <f t="shared" si="23"/>
        <v/>
      </c>
      <c r="I92" s="35"/>
      <c r="J92" s="35"/>
      <c r="K92" s="35"/>
      <c r="L92" s="171" t="str">
        <f t="shared" si="24"/>
        <v/>
      </c>
      <c r="M92" s="35"/>
      <c r="N92" s="35"/>
      <c r="O92" s="35"/>
      <c r="P92" s="158" t="str">
        <f t="shared" si="25"/>
        <v/>
      </c>
      <c r="Q92" s="158" t="str">
        <f t="shared" si="26"/>
        <v/>
      </c>
      <c r="R92" s="158" t="str">
        <f t="shared" si="27"/>
        <v/>
      </c>
      <c r="S92" s="159" t="str">
        <f t="shared" si="28"/>
        <v/>
      </c>
      <c r="T92" s="146" t="str">
        <f t="shared" si="29"/>
        <v/>
      </c>
      <c r="X92">
        <f t="shared" si="30"/>
        <v>73</v>
      </c>
      <c r="Y92" t="str">
        <f t="array" ref="Y92">_xlfn.LET(_xlpm.m,X92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2" t="str">
        <f t="array" ref="Z92">IF(Y92="","",_xlfn.LET(_xlpm.m,X92,_xlpm.names,_xlfn.TAKE($AC$7:$AC$10,$D$8),_xlpm.sizes,_xlfn.TAKE($AD$7:$AD$10,$D$8),_xlpm.counts,_xlpm.sizes*(_xlpm.sizes-1)/2,_xlpm.g,_xlfn.XMATCH(Y92,_xlpm.names),_xlpm.prev,IF(_xlpm.g=1,0,INDEX(_xlfn.SCAN(0,_xlpm.counts,_xlfn.LAMBDA(_xlpm.a,_xlpm.b,_xlpm.a+_xlpm.b)),_xlpm.g-1)),_xlpm.m-_xlpm.prev))</f>
        <v/>
      </c>
      <c r="AA92" t="str">
        <f t="array" ref="AA92">IF(Z92="","",_xlfn.LET(_xlpm.names,_xlfn.TAKE($AC$7:$AC$10,$D$8),_xlpm.n,INDEX(_xlfn.TAKE($AD$7:$AD$10,$D$8),_xlfn.XMATCH(Y92,_xlpm.names)),_xlpm.p,Z92,MATCH(TRUE,_xlpm.p&lt;=(_xlpm.n*_xlfn.SEQUENCE(_xlpm.n-1)-_xlfn.SEQUENCE(_xlpm.n-1)*(_xlfn.SEQUENCE(_xlpm.n-1)+1)/2),0)))</f>
        <v/>
      </c>
      <c r="AB92" t="str">
        <f t="array" ref="AB92">IF(Z92="","",_xlfn.LET(_xlpm.names,_xlfn.TAKE($AC$7:$AC$10,$D$8),_xlpm.n,INDEX(_xlfn.TAKE($AD$7:$AD$10,$D$8),_xlfn.XMATCH(Y92,_xlpm.names)),_xlpm.p,Z92,_xlpm.a,AA92,_xlpm.prev,IF(_xlpm.a=1,0,_xlpm.n*(_xlpm.a-1)-(_xlpm.a-1)*_xlpm.a/2),_xlpm.a+_xlpm.p-_xlpm.prev))</f>
        <v/>
      </c>
      <c r="AC92" t="str">
        <f t="array" ref="AC92">IF(AA92="","",IFERROR(INDEX(_xlfn._xlws.FILTER($C$20:$C$51,$D$20:$D$51=Y92),AA92),""))</f>
        <v/>
      </c>
      <c r="AD92" t="str">
        <f t="array" ref="AD92">IF(AB92="","",IFERROR(INDEX(_xlfn._xlws.FILTER($C$20:$C$51,$D$20:$D$51=Y92),AB92),""))</f>
        <v/>
      </c>
    </row>
    <row r="93" spans="6:30" x14ac:dyDescent="0.3">
      <c r="F93" s="33" t="str">
        <f t="shared" si="21"/>
        <v/>
      </c>
      <c r="G93" s="170" t="str">
        <f t="shared" si="22"/>
        <v/>
      </c>
      <c r="H93" s="171" t="str">
        <f t="shared" si="23"/>
        <v/>
      </c>
      <c r="I93" s="35"/>
      <c r="J93" s="35"/>
      <c r="K93" s="35"/>
      <c r="L93" s="171" t="str">
        <f t="shared" si="24"/>
        <v/>
      </c>
      <c r="M93" s="35"/>
      <c r="N93" s="35"/>
      <c r="O93" s="35"/>
      <c r="P93" s="158" t="str">
        <f t="shared" si="25"/>
        <v/>
      </c>
      <c r="Q93" s="158" t="str">
        <f t="shared" si="26"/>
        <v/>
      </c>
      <c r="R93" s="158" t="str">
        <f t="shared" si="27"/>
        <v/>
      </c>
      <c r="S93" s="159" t="str">
        <f t="shared" si="28"/>
        <v/>
      </c>
      <c r="T93" s="146" t="str">
        <f t="shared" si="29"/>
        <v/>
      </c>
      <c r="X93">
        <f t="shared" si="30"/>
        <v>74</v>
      </c>
      <c r="Y93" t="str">
        <f t="array" ref="Y93">_xlfn.LET(_xlpm.m,X93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3" t="str">
        <f t="array" ref="Z93">IF(Y93="","",_xlfn.LET(_xlpm.m,X93,_xlpm.names,_xlfn.TAKE($AC$7:$AC$10,$D$8),_xlpm.sizes,_xlfn.TAKE($AD$7:$AD$10,$D$8),_xlpm.counts,_xlpm.sizes*(_xlpm.sizes-1)/2,_xlpm.g,_xlfn.XMATCH(Y93,_xlpm.names),_xlpm.prev,IF(_xlpm.g=1,0,INDEX(_xlfn.SCAN(0,_xlpm.counts,_xlfn.LAMBDA(_xlpm.a,_xlpm.b,_xlpm.a+_xlpm.b)),_xlpm.g-1)),_xlpm.m-_xlpm.prev))</f>
        <v/>
      </c>
      <c r="AA93" t="str">
        <f t="array" ref="AA93">IF(Z93="","",_xlfn.LET(_xlpm.names,_xlfn.TAKE($AC$7:$AC$10,$D$8),_xlpm.n,INDEX(_xlfn.TAKE($AD$7:$AD$10,$D$8),_xlfn.XMATCH(Y93,_xlpm.names)),_xlpm.p,Z93,MATCH(TRUE,_xlpm.p&lt;=(_xlpm.n*_xlfn.SEQUENCE(_xlpm.n-1)-_xlfn.SEQUENCE(_xlpm.n-1)*(_xlfn.SEQUENCE(_xlpm.n-1)+1)/2),0)))</f>
        <v/>
      </c>
      <c r="AB93" t="str">
        <f t="array" ref="AB93">IF(Z93="","",_xlfn.LET(_xlpm.names,_xlfn.TAKE($AC$7:$AC$10,$D$8),_xlpm.n,INDEX(_xlfn.TAKE($AD$7:$AD$10,$D$8),_xlfn.XMATCH(Y93,_xlpm.names)),_xlpm.p,Z93,_xlpm.a,AA93,_xlpm.prev,IF(_xlpm.a=1,0,_xlpm.n*(_xlpm.a-1)-(_xlpm.a-1)*_xlpm.a/2),_xlpm.a+_xlpm.p-_xlpm.prev))</f>
        <v/>
      </c>
      <c r="AC93" t="str">
        <f t="array" ref="AC93">IF(AA93="","",IFERROR(INDEX(_xlfn._xlws.FILTER($C$20:$C$51,$D$20:$D$51=Y93),AA93),""))</f>
        <v/>
      </c>
      <c r="AD93" t="str">
        <f t="array" ref="AD93">IF(AB93="","",IFERROR(INDEX(_xlfn._xlws.FILTER($C$20:$C$51,$D$20:$D$51=Y93),AB93),""))</f>
        <v/>
      </c>
    </row>
    <row r="94" spans="6:30" x14ac:dyDescent="0.3">
      <c r="F94" s="33" t="str">
        <f t="shared" si="21"/>
        <v/>
      </c>
      <c r="G94" s="170" t="str">
        <f t="shared" si="22"/>
        <v/>
      </c>
      <c r="H94" s="171" t="str">
        <f t="shared" si="23"/>
        <v/>
      </c>
      <c r="I94" s="35"/>
      <c r="J94" s="35"/>
      <c r="K94" s="35"/>
      <c r="L94" s="171" t="str">
        <f t="shared" si="24"/>
        <v/>
      </c>
      <c r="M94" s="35"/>
      <c r="N94" s="35"/>
      <c r="O94" s="35"/>
      <c r="P94" s="158" t="str">
        <f t="shared" si="25"/>
        <v/>
      </c>
      <c r="Q94" s="158" t="str">
        <f t="shared" si="26"/>
        <v/>
      </c>
      <c r="R94" s="158" t="str">
        <f t="shared" si="27"/>
        <v/>
      </c>
      <c r="S94" s="159" t="str">
        <f t="shared" si="28"/>
        <v/>
      </c>
      <c r="T94" s="146" t="str">
        <f t="shared" si="29"/>
        <v/>
      </c>
      <c r="X94">
        <f t="shared" si="30"/>
        <v>75</v>
      </c>
      <c r="Y94" t="str">
        <f t="array" ref="Y94">_xlfn.LET(_xlpm.m,X94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4" t="str">
        <f t="array" ref="Z94">IF(Y94="","",_xlfn.LET(_xlpm.m,X94,_xlpm.names,_xlfn.TAKE($AC$7:$AC$10,$D$8),_xlpm.sizes,_xlfn.TAKE($AD$7:$AD$10,$D$8),_xlpm.counts,_xlpm.sizes*(_xlpm.sizes-1)/2,_xlpm.g,_xlfn.XMATCH(Y94,_xlpm.names),_xlpm.prev,IF(_xlpm.g=1,0,INDEX(_xlfn.SCAN(0,_xlpm.counts,_xlfn.LAMBDA(_xlpm.a,_xlpm.b,_xlpm.a+_xlpm.b)),_xlpm.g-1)),_xlpm.m-_xlpm.prev))</f>
        <v/>
      </c>
      <c r="AA94" t="str">
        <f t="array" ref="AA94">IF(Z94="","",_xlfn.LET(_xlpm.names,_xlfn.TAKE($AC$7:$AC$10,$D$8),_xlpm.n,INDEX(_xlfn.TAKE($AD$7:$AD$10,$D$8),_xlfn.XMATCH(Y94,_xlpm.names)),_xlpm.p,Z94,MATCH(TRUE,_xlpm.p&lt;=(_xlpm.n*_xlfn.SEQUENCE(_xlpm.n-1)-_xlfn.SEQUENCE(_xlpm.n-1)*(_xlfn.SEQUENCE(_xlpm.n-1)+1)/2),0)))</f>
        <v/>
      </c>
      <c r="AB94" t="str">
        <f t="array" ref="AB94">IF(Z94="","",_xlfn.LET(_xlpm.names,_xlfn.TAKE($AC$7:$AC$10,$D$8),_xlpm.n,INDEX(_xlfn.TAKE($AD$7:$AD$10,$D$8),_xlfn.XMATCH(Y94,_xlpm.names)),_xlpm.p,Z94,_xlpm.a,AA94,_xlpm.prev,IF(_xlpm.a=1,0,_xlpm.n*(_xlpm.a-1)-(_xlpm.a-1)*_xlpm.a/2),_xlpm.a+_xlpm.p-_xlpm.prev))</f>
        <v/>
      </c>
      <c r="AC94" t="str">
        <f t="array" ref="AC94">IF(AA94="","",IFERROR(INDEX(_xlfn._xlws.FILTER($C$20:$C$51,$D$20:$D$51=Y94),AA94),""))</f>
        <v/>
      </c>
      <c r="AD94" t="str">
        <f t="array" ref="AD94">IF(AB94="","",IFERROR(INDEX(_xlfn._xlws.FILTER($C$20:$C$51,$D$20:$D$51=Y94),AB94),""))</f>
        <v/>
      </c>
    </row>
    <row r="95" spans="6:30" x14ac:dyDescent="0.3">
      <c r="F95" s="33" t="str">
        <f t="shared" si="21"/>
        <v/>
      </c>
      <c r="G95" s="170" t="str">
        <f t="shared" si="22"/>
        <v/>
      </c>
      <c r="H95" s="171" t="str">
        <f t="shared" si="23"/>
        <v/>
      </c>
      <c r="I95" s="35"/>
      <c r="J95" s="35"/>
      <c r="K95" s="35"/>
      <c r="L95" s="171" t="str">
        <f t="shared" si="24"/>
        <v/>
      </c>
      <c r="M95" s="35"/>
      <c r="N95" s="35"/>
      <c r="O95" s="35"/>
      <c r="P95" s="158" t="str">
        <f t="shared" si="25"/>
        <v/>
      </c>
      <c r="Q95" s="158" t="str">
        <f t="shared" si="26"/>
        <v/>
      </c>
      <c r="R95" s="158" t="str">
        <f t="shared" si="27"/>
        <v/>
      </c>
      <c r="S95" s="159" t="str">
        <f t="shared" si="28"/>
        <v/>
      </c>
      <c r="T95" s="146" t="str">
        <f t="shared" si="29"/>
        <v/>
      </c>
      <c r="X95">
        <f t="shared" si="30"/>
        <v>76</v>
      </c>
      <c r="Y95" t="str">
        <f t="array" ref="Y95">_xlfn.LET(_xlpm.m,X95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5" t="str">
        <f t="array" ref="Z95">IF(Y95="","",_xlfn.LET(_xlpm.m,X95,_xlpm.names,_xlfn.TAKE($AC$7:$AC$10,$D$8),_xlpm.sizes,_xlfn.TAKE($AD$7:$AD$10,$D$8),_xlpm.counts,_xlpm.sizes*(_xlpm.sizes-1)/2,_xlpm.g,_xlfn.XMATCH(Y95,_xlpm.names),_xlpm.prev,IF(_xlpm.g=1,0,INDEX(_xlfn.SCAN(0,_xlpm.counts,_xlfn.LAMBDA(_xlpm.a,_xlpm.b,_xlpm.a+_xlpm.b)),_xlpm.g-1)),_xlpm.m-_xlpm.prev))</f>
        <v/>
      </c>
      <c r="AA95" t="str">
        <f t="array" ref="AA95">IF(Z95="","",_xlfn.LET(_xlpm.names,_xlfn.TAKE($AC$7:$AC$10,$D$8),_xlpm.n,INDEX(_xlfn.TAKE($AD$7:$AD$10,$D$8),_xlfn.XMATCH(Y95,_xlpm.names)),_xlpm.p,Z95,MATCH(TRUE,_xlpm.p&lt;=(_xlpm.n*_xlfn.SEQUENCE(_xlpm.n-1)-_xlfn.SEQUENCE(_xlpm.n-1)*(_xlfn.SEQUENCE(_xlpm.n-1)+1)/2),0)))</f>
        <v/>
      </c>
      <c r="AB95" t="str">
        <f t="array" ref="AB95">IF(Z95="","",_xlfn.LET(_xlpm.names,_xlfn.TAKE($AC$7:$AC$10,$D$8),_xlpm.n,INDEX(_xlfn.TAKE($AD$7:$AD$10,$D$8),_xlfn.XMATCH(Y95,_xlpm.names)),_xlpm.p,Z95,_xlpm.a,AA95,_xlpm.prev,IF(_xlpm.a=1,0,_xlpm.n*(_xlpm.a-1)-(_xlpm.a-1)*_xlpm.a/2),_xlpm.a+_xlpm.p-_xlpm.prev))</f>
        <v/>
      </c>
      <c r="AC95" t="str">
        <f t="array" ref="AC95">IF(AA95="","",IFERROR(INDEX(_xlfn._xlws.FILTER($C$20:$C$51,$D$20:$D$51=Y95),AA95),""))</f>
        <v/>
      </c>
      <c r="AD95" t="str">
        <f t="array" ref="AD95">IF(AB95="","",IFERROR(INDEX(_xlfn._xlws.FILTER($C$20:$C$51,$D$20:$D$51=Y95),AB95),""))</f>
        <v/>
      </c>
    </row>
    <row r="96" spans="6:30" x14ac:dyDescent="0.3">
      <c r="F96" s="33" t="str">
        <f t="shared" si="21"/>
        <v/>
      </c>
      <c r="G96" s="170" t="str">
        <f t="shared" si="22"/>
        <v/>
      </c>
      <c r="H96" s="171" t="str">
        <f t="shared" si="23"/>
        <v/>
      </c>
      <c r="I96" s="35"/>
      <c r="J96" s="35"/>
      <c r="K96" s="35"/>
      <c r="L96" s="171" t="str">
        <f t="shared" si="24"/>
        <v/>
      </c>
      <c r="M96" s="35"/>
      <c r="N96" s="35"/>
      <c r="O96" s="35"/>
      <c r="P96" s="158" t="str">
        <f t="shared" si="25"/>
        <v/>
      </c>
      <c r="Q96" s="158" t="str">
        <f t="shared" si="26"/>
        <v/>
      </c>
      <c r="R96" s="158" t="str">
        <f t="shared" si="27"/>
        <v/>
      </c>
      <c r="S96" s="159" t="str">
        <f t="shared" si="28"/>
        <v/>
      </c>
      <c r="T96" s="146" t="str">
        <f t="shared" si="29"/>
        <v/>
      </c>
      <c r="X96">
        <f t="shared" si="30"/>
        <v>77</v>
      </c>
      <c r="Y96" t="str">
        <f t="array" ref="Y96">_xlfn.LET(_xlpm.m,X96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6" t="str">
        <f t="array" ref="Z96">IF(Y96="","",_xlfn.LET(_xlpm.m,X96,_xlpm.names,_xlfn.TAKE($AC$7:$AC$10,$D$8),_xlpm.sizes,_xlfn.TAKE($AD$7:$AD$10,$D$8),_xlpm.counts,_xlpm.sizes*(_xlpm.sizes-1)/2,_xlpm.g,_xlfn.XMATCH(Y96,_xlpm.names),_xlpm.prev,IF(_xlpm.g=1,0,INDEX(_xlfn.SCAN(0,_xlpm.counts,_xlfn.LAMBDA(_xlpm.a,_xlpm.b,_xlpm.a+_xlpm.b)),_xlpm.g-1)),_xlpm.m-_xlpm.prev))</f>
        <v/>
      </c>
      <c r="AA96" t="str">
        <f t="array" ref="AA96">IF(Z96="","",_xlfn.LET(_xlpm.names,_xlfn.TAKE($AC$7:$AC$10,$D$8),_xlpm.n,INDEX(_xlfn.TAKE($AD$7:$AD$10,$D$8),_xlfn.XMATCH(Y96,_xlpm.names)),_xlpm.p,Z96,MATCH(TRUE,_xlpm.p&lt;=(_xlpm.n*_xlfn.SEQUENCE(_xlpm.n-1)-_xlfn.SEQUENCE(_xlpm.n-1)*(_xlfn.SEQUENCE(_xlpm.n-1)+1)/2),0)))</f>
        <v/>
      </c>
      <c r="AB96" t="str">
        <f t="array" ref="AB96">IF(Z96="","",_xlfn.LET(_xlpm.names,_xlfn.TAKE($AC$7:$AC$10,$D$8),_xlpm.n,INDEX(_xlfn.TAKE($AD$7:$AD$10,$D$8),_xlfn.XMATCH(Y96,_xlpm.names)),_xlpm.p,Z96,_xlpm.a,AA96,_xlpm.prev,IF(_xlpm.a=1,0,_xlpm.n*(_xlpm.a-1)-(_xlpm.a-1)*_xlpm.a/2),_xlpm.a+_xlpm.p-_xlpm.prev))</f>
        <v/>
      </c>
      <c r="AC96" t="str">
        <f t="array" ref="AC96">IF(AA96="","",IFERROR(INDEX(_xlfn._xlws.FILTER($C$20:$C$51,$D$20:$D$51=Y96),AA96),""))</f>
        <v/>
      </c>
      <c r="AD96" t="str">
        <f t="array" ref="AD96">IF(AB96="","",IFERROR(INDEX(_xlfn._xlws.FILTER($C$20:$C$51,$D$20:$D$51=Y96),AB96),""))</f>
        <v/>
      </c>
    </row>
    <row r="97" spans="6:30" x14ac:dyDescent="0.3">
      <c r="F97" s="33" t="str">
        <f t="shared" si="21"/>
        <v/>
      </c>
      <c r="G97" s="170" t="str">
        <f t="shared" si="22"/>
        <v/>
      </c>
      <c r="H97" s="171" t="str">
        <f t="shared" si="23"/>
        <v/>
      </c>
      <c r="I97" s="35"/>
      <c r="J97" s="35"/>
      <c r="K97" s="35"/>
      <c r="L97" s="171" t="str">
        <f t="shared" si="24"/>
        <v/>
      </c>
      <c r="M97" s="35"/>
      <c r="N97" s="35"/>
      <c r="O97" s="35"/>
      <c r="P97" s="158" t="str">
        <f t="shared" si="25"/>
        <v/>
      </c>
      <c r="Q97" s="158" t="str">
        <f t="shared" si="26"/>
        <v/>
      </c>
      <c r="R97" s="158" t="str">
        <f t="shared" si="27"/>
        <v/>
      </c>
      <c r="S97" s="159" t="str">
        <f t="shared" si="28"/>
        <v/>
      </c>
      <c r="T97" s="146" t="str">
        <f t="shared" si="29"/>
        <v/>
      </c>
      <c r="X97">
        <f t="shared" si="30"/>
        <v>78</v>
      </c>
      <c r="Y97" t="str">
        <f t="array" ref="Y97">_xlfn.LET(_xlpm.m,X97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7" t="str">
        <f t="array" ref="Z97">IF(Y97="","",_xlfn.LET(_xlpm.m,X97,_xlpm.names,_xlfn.TAKE($AC$7:$AC$10,$D$8),_xlpm.sizes,_xlfn.TAKE($AD$7:$AD$10,$D$8),_xlpm.counts,_xlpm.sizes*(_xlpm.sizes-1)/2,_xlpm.g,_xlfn.XMATCH(Y97,_xlpm.names),_xlpm.prev,IF(_xlpm.g=1,0,INDEX(_xlfn.SCAN(0,_xlpm.counts,_xlfn.LAMBDA(_xlpm.a,_xlpm.b,_xlpm.a+_xlpm.b)),_xlpm.g-1)),_xlpm.m-_xlpm.prev))</f>
        <v/>
      </c>
      <c r="AA97" t="str">
        <f t="array" ref="AA97">IF(Z97="","",_xlfn.LET(_xlpm.names,_xlfn.TAKE($AC$7:$AC$10,$D$8),_xlpm.n,INDEX(_xlfn.TAKE($AD$7:$AD$10,$D$8),_xlfn.XMATCH(Y97,_xlpm.names)),_xlpm.p,Z97,MATCH(TRUE,_xlpm.p&lt;=(_xlpm.n*_xlfn.SEQUENCE(_xlpm.n-1)-_xlfn.SEQUENCE(_xlpm.n-1)*(_xlfn.SEQUENCE(_xlpm.n-1)+1)/2),0)))</f>
        <v/>
      </c>
      <c r="AB97" t="str">
        <f t="array" ref="AB97">IF(Z97="","",_xlfn.LET(_xlpm.names,_xlfn.TAKE($AC$7:$AC$10,$D$8),_xlpm.n,INDEX(_xlfn.TAKE($AD$7:$AD$10,$D$8),_xlfn.XMATCH(Y97,_xlpm.names)),_xlpm.p,Z97,_xlpm.a,AA97,_xlpm.prev,IF(_xlpm.a=1,0,_xlpm.n*(_xlpm.a-1)-(_xlpm.a-1)*_xlpm.a/2),_xlpm.a+_xlpm.p-_xlpm.prev))</f>
        <v/>
      </c>
      <c r="AC97" t="str">
        <f t="array" ref="AC97">IF(AA97="","",IFERROR(INDEX(_xlfn._xlws.FILTER($C$20:$C$51,$D$20:$D$51=Y97),AA97),""))</f>
        <v/>
      </c>
      <c r="AD97" t="str">
        <f t="array" ref="AD97">IF(AB97="","",IFERROR(INDEX(_xlfn._xlws.FILTER($C$20:$C$51,$D$20:$D$51=Y97),AB97),""))</f>
        <v/>
      </c>
    </row>
    <row r="98" spans="6:30" x14ac:dyDescent="0.3">
      <c r="F98" s="33" t="str">
        <f t="shared" si="21"/>
        <v/>
      </c>
      <c r="G98" s="170" t="str">
        <f t="shared" si="22"/>
        <v/>
      </c>
      <c r="H98" s="171" t="str">
        <f t="shared" si="23"/>
        <v/>
      </c>
      <c r="I98" s="35"/>
      <c r="J98" s="35"/>
      <c r="K98" s="35"/>
      <c r="L98" s="171" t="str">
        <f t="shared" si="24"/>
        <v/>
      </c>
      <c r="M98" s="35"/>
      <c r="N98" s="35"/>
      <c r="O98" s="35"/>
      <c r="P98" s="158" t="str">
        <f t="shared" si="25"/>
        <v/>
      </c>
      <c r="Q98" s="158" t="str">
        <f t="shared" si="26"/>
        <v/>
      </c>
      <c r="R98" s="158" t="str">
        <f t="shared" si="27"/>
        <v/>
      </c>
      <c r="S98" s="159" t="str">
        <f t="shared" si="28"/>
        <v/>
      </c>
      <c r="T98" s="146" t="str">
        <f t="shared" si="29"/>
        <v/>
      </c>
      <c r="X98">
        <f t="shared" si="30"/>
        <v>79</v>
      </c>
      <c r="Y98" t="str">
        <f t="array" ref="Y98">_xlfn.LET(_xlpm.m,X98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8" t="str">
        <f t="array" ref="Z98">IF(Y98="","",_xlfn.LET(_xlpm.m,X98,_xlpm.names,_xlfn.TAKE($AC$7:$AC$10,$D$8),_xlpm.sizes,_xlfn.TAKE($AD$7:$AD$10,$D$8),_xlpm.counts,_xlpm.sizes*(_xlpm.sizes-1)/2,_xlpm.g,_xlfn.XMATCH(Y98,_xlpm.names),_xlpm.prev,IF(_xlpm.g=1,0,INDEX(_xlfn.SCAN(0,_xlpm.counts,_xlfn.LAMBDA(_xlpm.a,_xlpm.b,_xlpm.a+_xlpm.b)),_xlpm.g-1)),_xlpm.m-_xlpm.prev))</f>
        <v/>
      </c>
      <c r="AA98" t="str">
        <f t="array" ref="AA98">IF(Z98="","",_xlfn.LET(_xlpm.names,_xlfn.TAKE($AC$7:$AC$10,$D$8),_xlpm.n,INDEX(_xlfn.TAKE($AD$7:$AD$10,$D$8),_xlfn.XMATCH(Y98,_xlpm.names)),_xlpm.p,Z98,MATCH(TRUE,_xlpm.p&lt;=(_xlpm.n*_xlfn.SEQUENCE(_xlpm.n-1)-_xlfn.SEQUENCE(_xlpm.n-1)*(_xlfn.SEQUENCE(_xlpm.n-1)+1)/2),0)))</f>
        <v/>
      </c>
      <c r="AB98" t="str">
        <f t="array" ref="AB98">IF(Z98="","",_xlfn.LET(_xlpm.names,_xlfn.TAKE($AC$7:$AC$10,$D$8),_xlpm.n,INDEX(_xlfn.TAKE($AD$7:$AD$10,$D$8),_xlfn.XMATCH(Y98,_xlpm.names)),_xlpm.p,Z98,_xlpm.a,AA98,_xlpm.prev,IF(_xlpm.a=1,0,_xlpm.n*(_xlpm.a-1)-(_xlpm.a-1)*_xlpm.a/2),_xlpm.a+_xlpm.p-_xlpm.prev))</f>
        <v/>
      </c>
      <c r="AC98" t="str">
        <f t="array" ref="AC98">IF(AA98="","",IFERROR(INDEX(_xlfn._xlws.FILTER($C$20:$C$51,$D$20:$D$51=Y98),AA98),""))</f>
        <v/>
      </c>
      <c r="AD98" t="str">
        <f t="array" ref="AD98">IF(AB98="","",IFERROR(INDEX(_xlfn._xlws.FILTER($C$20:$C$51,$D$20:$D$51=Y98),AB98),""))</f>
        <v/>
      </c>
    </row>
    <row r="99" spans="6:30" x14ac:dyDescent="0.3">
      <c r="F99" s="33" t="str">
        <f t="shared" si="21"/>
        <v/>
      </c>
      <c r="G99" s="170" t="str">
        <f t="shared" si="22"/>
        <v/>
      </c>
      <c r="H99" s="171" t="str">
        <f t="shared" si="23"/>
        <v/>
      </c>
      <c r="I99" s="35"/>
      <c r="J99" s="35"/>
      <c r="K99" s="35"/>
      <c r="L99" s="171" t="str">
        <f t="shared" si="24"/>
        <v/>
      </c>
      <c r="M99" s="35"/>
      <c r="N99" s="35"/>
      <c r="O99" s="35"/>
      <c r="P99" s="158" t="str">
        <f t="shared" si="25"/>
        <v/>
      </c>
      <c r="Q99" s="158" t="str">
        <f t="shared" si="26"/>
        <v/>
      </c>
      <c r="R99" s="158" t="str">
        <f t="shared" si="27"/>
        <v/>
      </c>
      <c r="S99" s="159" t="str">
        <f t="shared" si="28"/>
        <v/>
      </c>
      <c r="T99" s="146" t="str">
        <f t="shared" si="29"/>
        <v/>
      </c>
      <c r="X99">
        <f t="shared" si="30"/>
        <v>80</v>
      </c>
      <c r="Y99" t="str">
        <f t="array" ref="Y99">_xlfn.LET(_xlpm.m,X99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9" t="str">
        <f t="array" ref="Z99">IF(Y99="","",_xlfn.LET(_xlpm.m,X99,_xlpm.names,_xlfn.TAKE($AC$7:$AC$10,$D$8),_xlpm.sizes,_xlfn.TAKE($AD$7:$AD$10,$D$8),_xlpm.counts,_xlpm.sizes*(_xlpm.sizes-1)/2,_xlpm.g,_xlfn.XMATCH(Y99,_xlpm.names),_xlpm.prev,IF(_xlpm.g=1,0,INDEX(_xlfn.SCAN(0,_xlpm.counts,_xlfn.LAMBDA(_xlpm.a,_xlpm.b,_xlpm.a+_xlpm.b)),_xlpm.g-1)),_xlpm.m-_xlpm.prev))</f>
        <v/>
      </c>
      <c r="AA99" t="str">
        <f t="array" ref="AA99">IF(Z99="","",_xlfn.LET(_xlpm.names,_xlfn.TAKE($AC$7:$AC$10,$D$8),_xlpm.n,INDEX(_xlfn.TAKE($AD$7:$AD$10,$D$8),_xlfn.XMATCH(Y99,_xlpm.names)),_xlpm.p,Z99,MATCH(TRUE,_xlpm.p&lt;=(_xlpm.n*_xlfn.SEQUENCE(_xlpm.n-1)-_xlfn.SEQUENCE(_xlpm.n-1)*(_xlfn.SEQUENCE(_xlpm.n-1)+1)/2),0)))</f>
        <v/>
      </c>
      <c r="AB99" t="str">
        <f t="array" ref="AB99">IF(Z99="","",_xlfn.LET(_xlpm.names,_xlfn.TAKE($AC$7:$AC$10,$D$8),_xlpm.n,INDEX(_xlfn.TAKE($AD$7:$AD$10,$D$8),_xlfn.XMATCH(Y99,_xlpm.names)),_xlpm.p,Z99,_xlpm.a,AA99,_xlpm.prev,IF(_xlpm.a=1,0,_xlpm.n*(_xlpm.a-1)-(_xlpm.a-1)*_xlpm.a/2),_xlpm.a+_xlpm.p-_xlpm.prev))</f>
        <v/>
      </c>
      <c r="AC99" t="str">
        <f t="array" ref="AC99">IF(AA99="","",IFERROR(INDEX(_xlfn._xlws.FILTER($C$20:$C$51,$D$20:$D$51=Y99),AA99),""))</f>
        <v/>
      </c>
      <c r="AD99" t="str">
        <f t="array" ref="AD99">IF(AB99="","",IFERROR(INDEX(_xlfn._xlws.FILTER($C$20:$C$51,$D$20:$D$51=Y99),AB99),""))</f>
        <v/>
      </c>
    </row>
    <row r="100" spans="6:30" x14ac:dyDescent="0.3">
      <c r="F100" s="33" t="str">
        <f t="shared" si="21"/>
        <v/>
      </c>
      <c r="G100" s="170" t="str">
        <f t="shared" si="22"/>
        <v/>
      </c>
      <c r="H100" s="171" t="str">
        <f t="shared" si="23"/>
        <v/>
      </c>
      <c r="I100" s="35"/>
      <c r="J100" s="35"/>
      <c r="K100" s="35"/>
      <c r="L100" s="171" t="str">
        <f t="shared" si="24"/>
        <v/>
      </c>
      <c r="M100" s="35"/>
      <c r="N100" s="35"/>
      <c r="O100" s="35"/>
      <c r="P100" s="158" t="str">
        <f t="shared" si="25"/>
        <v/>
      </c>
      <c r="Q100" s="158" t="str">
        <f t="shared" si="26"/>
        <v/>
      </c>
      <c r="R100" s="158" t="str">
        <f t="shared" si="27"/>
        <v/>
      </c>
      <c r="S100" s="159" t="str">
        <f t="shared" si="28"/>
        <v/>
      </c>
      <c r="T100" s="146" t="str">
        <f t="shared" si="29"/>
        <v/>
      </c>
      <c r="X100">
        <f t="shared" si="30"/>
        <v>81</v>
      </c>
      <c r="Y100" t="str">
        <f t="array" ref="Y100">_xlfn.LET(_xlpm.m,X100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0" t="str">
        <f t="array" ref="Z100">IF(Y100="","",_xlfn.LET(_xlpm.m,X100,_xlpm.names,_xlfn.TAKE($AC$7:$AC$10,$D$8),_xlpm.sizes,_xlfn.TAKE($AD$7:$AD$10,$D$8),_xlpm.counts,_xlpm.sizes*(_xlpm.sizes-1)/2,_xlpm.g,_xlfn.XMATCH(Y100,_xlpm.names),_xlpm.prev,IF(_xlpm.g=1,0,INDEX(_xlfn.SCAN(0,_xlpm.counts,_xlfn.LAMBDA(_xlpm.a,_xlpm.b,_xlpm.a+_xlpm.b)),_xlpm.g-1)),_xlpm.m-_xlpm.prev))</f>
        <v/>
      </c>
      <c r="AA100" t="str">
        <f t="array" ref="AA100">IF(Z100="","",_xlfn.LET(_xlpm.names,_xlfn.TAKE($AC$7:$AC$10,$D$8),_xlpm.n,INDEX(_xlfn.TAKE($AD$7:$AD$10,$D$8),_xlfn.XMATCH(Y100,_xlpm.names)),_xlpm.p,Z100,MATCH(TRUE,_xlpm.p&lt;=(_xlpm.n*_xlfn.SEQUENCE(_xlpm.n-1)-_xlfn.SEQUENCE(_xlpm.n-1)*(_xlfn.SEQUENCE(_xlpm.n-1)+1)/2),0)))</f>
        <v/>
      </c>
      <c r="AB100" t="str">
        <f t="array" ref="AB100">IF(Z100="","",_xlfn.LET(_xlpm.names,_xlfn.TAKE($AC$7:$AC$10,$D$8),_xlpm.n,INDEX(_xlfn.TAKE($AD$7:$AD$10,$D$8),_xlfn.XMATCH(Y100,_xlpm.names)),_xlpm.p,Z100,_xlpm.a,AA100,_xlpm.prev,IF(_xlpm.a=1,0,_xlpm.n*(_xlpm.a-1)-(_xlpm.a-1)*_xlpm.a/2),_xlpm.a+_xlpm.p-_xlpm.prev))</f>
        <v/>
      </c>
      <c r="AC100" t="str">
        <f t="array" ref="AC100">IF(AA100="","",IFERROR(INDEX(_xlfn._xlws.FILTER($C$20:$C$51,$D$20:$D$51=Y100),AA100),""))</f>
        <v/>
      </c>
      <c r="AD100" t="str">
        <f t="array" ref="AD100">IF(AB100="","",IFERROR(INDEX(_xlfn._xlws.FILTER($C$20:$C$51,$D$20:$D$51=Y100),AB100),""))</f>
        <v/>
      </c>
    </row>
    <row r="101" spans="6:30" x14ac:dyDescent="0.3">
      <c r="F101" s="33" t="str">
        <f t="shared" si="21"/>
        <v/>
      </c>
      <c r="G101" s="170" t="str">
        <f t="shared" si="22"/>
        <v/>
      </c>
      <c r="H101" s="171" t="str">
        <f t="shared" si="23"/>
        <v/>
      </c>
      <c r="I101" s="35"/>
      <c r="J101" s="35"/>
      <c r="K101" s="35"/>
      <c r="L101" s="171" t="str">
        <f t="shared" si="24"/>
        <v/>
      </c>
      <c r="M101" s="35"/>
      <c r="N101" s="35"/>
      <c r="O101" s="35"/>
      <c r="P101" s="158" t="str">
        <f t="shared" si="25"/>
        <v/>
      </c>
      <c r="Q101" s="158" t="str">
        <f t="shared" si="26"/>
        <v/>
      </c>
      <c r="R101" s="158" t="str">
        <f t="shared" si="27"/>
        <v/>
      </c>
      <c r="S101" s="159" t="str">
        <f t="shared" si="28"/>
        <v/>
      </c>
      <c r="T101" s="146" t="str">
        <f t="shared" si="29"/>
        <v/>
      </c>
      <c r="X101">
        <f t="shared" si="30"/>
        <v>82</v>
      </c>
      <c r="Y101" t="str">
        <f t="array" ref="Y101">_xlfn.LET(_xlpm.m,X101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1" t="str">
        <f t="array" ref="Z101">IF(Y101="","",_xlfn.LET(_xlpm.m,X101,_xlpm.names,_xlfn.TAKE($AC$7:$AC$10,$D$8),_xlpm.sizes,_xlfn.TAKE($AD$7:$AD$10,$D$8),_xlpm.counts,_xlpm.sizes*(_xlpm.sizes-1)/2,_xlpm.g,_xlfn.XMATCH(Y101,_xlpm.names),_xlpm.prev,IF(_xlpm.g=1,0,INDEX(_xlfn.SCAN(0,_xlpm.counts,_xlfn.LAMBDA(_xlpm.a,_xlpm.b,_xlpm.a+_xlpm.b)),_xlpm.g-1)),_xlpm.m-_xlpm.prev))</f>
        <v/>
      </c>
      <c r="AA101" t="str">
        <f t="array" ref="AA101">IF(Z101="","",_xlfn.LET(_xlpm.names,_xlfn.TAKE($AC$7:$AC$10,$D$8),_xlpm.n,INDEX(_xlfn.TAKE($AD$7:$AD$10,$D$8),_xlfn.XMATCH(Y101,_xlpm.names)),_xlpm.p,Z101,MATCH(TRUE,_xlpm.p&lt;=(_xlpm.n*_xlfn.SEQUENCE(_xlpm.n-1)-_xlfn.SEQUENCE(_xlpm.n-1)*(_xlfn.SEQUENCE(_xlpm.n-1)+1)/2),0)))</f>
        <v/>
      </c>
      <c r="AB101" t="str">
        <f t="array" ref="AB101">IF(Z101="","",_xlfn.LET(_xlpm.names,_xlfn.TAKE($AC$7:$AC$10,$D$8),_xlpm.n,INDEX(_xlfn.TAKE($AD$7:$AD$10,$D$8),_xlfn.XMATCH(Y101,_xlpm.names)),_xlpm.p,Z101,_xlpm.a,AA101,_xlpm.prev,IF(_xlpm.a=1,0,_xlpm.n*(_xlpm.a-1)-(_xlpm.a-1)*_xlpm.a/2),_xlpm.a+_xlpm.p-_xlpm.prev))</f>
        <v/>
      </c>
      <c r="AC101" t="str">
        <f t="array" ref="AC101">IF(AA101="","",IFERROR(INDEX(_xlfn._xlws.FILTER($C$20:$C$51,$D$20:$D$51=Y101),AA101),""))</f>
        <v/>
      </c>
      <c r="AD101" t="str">
        <f t="array" ref="AD101">IF(AB101="","",IFERROR(INDEX(_xlfn._xlws.FILTER($C$20:$C$51,$D$20:$D$51=Y101),AB101),""))</f>
        <v/>
      </c>
    </row>
    <row r="102" spans="6:30" x14ac:dyDescent="0.3">
      <c r="F102" s="33" t="str">
        <f t="shared" si="21"/>
        <v/>
      </c>
      <c r="G102" s="170" t="str">
        <f t="shared" si="22"/>
        <v/>
      </c>
      <c r="H102" s="171" t="str">
        <f t="shared" si="23"/>
        <v/>
      </c>
      <c r="I102" s="35"/>
      <c r="J102" s="35"/>
      <c r="K102" s="35"/>
      <c r="L102" s="171" t="str">
        <f t="shared" si="24"/>
        <v/>
      </c>
      <c r="M102" s="35"/>
      <c r="N102" s="35"/>
      <c r="O102" s="35"/>
      <c r="P102" s="158" t="str">
        <f t="shared" si="25"/>
        <v/>
      </c>
      <c r="Q102" s="158" t="str">
        <f t="shared" si="26"/>
        <v/>
      </c>
      <c r="R102" s="158" t="str">
        <f t="shared" si="27"/>
        <v/>
      </c>
      <c r="S102" s="159" t="str">
        <f t="shared" si="28"/>
        <v/>
      </c>
      <c r="T102" s="146" t="str">
        <f t="shared" si="29"/>
        <v/>
      </c>
      <c r="X102">
        <f t="shared" si="30"/>
        <v>83</v>
      </c>
      <c r="Y102" t="str">
        <f t="array" ref="Y102">_xlfn.LET(_xlpm.m,X102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2" t="str">
        <f t="array" ref="Z102">IF(Y102="","",_xlfn.LET(_xlpm.m,X102,_xlpm.names,_xlfn.TAKE($AC$7:$AC$10,$D$8),_xlpm.sizes,_xlfn.TAKE($AD$7:$AD$10,$D$8),_xlpm.counts,_xlpm.sizes*(_xlpm.sizes-1)/2,_xlpm.g,_xlfn.XMATCH(Y102,_xlpm.names),_xlpm.prev,IF(_xlpm.g=1,0,INDEX(_xlfn.SCAN(0,_xlpm.counts,_xlfn.LAMBDA(_xlpm.a,_xlpm.b,_xlpm.a+_xlpm.b)),_xlpm.g-1)),_xlpm.m-_xlpm.prev))</f>
        <v/>
      </c>
      <c r="AA102" t="str">
        <f t="array" ref="AA102">IF(Z102="","",_xlfn.LET(_xlpm.names,_xlfn.TAKE($AC$7:$AC$10,$D$8),_xlpm.n,INDEX(_xlfn.TAKE($AD$7:$AD$10,$D$8),_xlfn.XMATCH(Y102,_xlpm.names)),_xlpm.p,Z102,MATCH(TRUE,_xlpm.p&lt;=(_xlpm.n*_xlfn.SEQUENCE(_xlpm.n-1)-_xlfn.SEQUENCE(_xlpm.n-1)*(_xlfn.SEQUENCE(_xlpm.n-1)+1)/2),0)))</f>
        <v/>
      </c>
      <c r="AB102" t="str">
        <f t="array" ref="AB102">IF(Z102="","",_xlfn.LET(_xlpm.names,_xlfn.TAKE($AC$7:$AC$10,$D$8),_xlpm.n,INDEX(_xlfn.TAKE($AD$7:$AD$10,$D$8),_xlfn.XMATCH(Y102,_xlpm.names)),_xlpm.p,Z102,_xlpm.a,AA102,_xlpm.prev,IF(_xlpm.a=1,0,_xlpm.n*(_xlpm.a-1)-(_xlpm.a-1)*_xlpm.a/2),_xlpm.a+_xlpm.p-_xlpm.prev))</f>
        <v/>
      </c>
      <c r="AC102" t="str">
        <f t="array" ref="AC102">IF(AA102="","",IFERROR(INDEX(_xlfn._xlws.FILTER($C$20:$C$51,$D$20:$D$51=Y102),AA102),""))</f>
        <v/>
      </c>
      <c r="AD102" t="str">
        <f t="array" ref="AD102">IF(AB102="","",IFERROR(INDEX(_xlfn._xlws.FILTER($C$20:$C$51,$D$20:$D$51=Y102),AB102),""))</f>
        <v/>
      </c>
    </row>
    <row r="103" spans="6:30" x14ac:dyDescent="0.3">
      <c r="F103" s="33" t="str">
        <f t="shared" si="21"/>
        <v/>
      </c>
      <c r="G103" s="170" t="str">
        <f t="shared" si="22"/>
        <v/>
      </c>
      <c r="H103" s="171" t="str">
        <f t="shared" si="23"/>
        <v/>
      </c>
      <c r="I103" s="35"/>
      <c r="J103" s="35"/>
      <c r="K103" s="35"/>
      <c r="L103" s="171" t="str">
        <f t="shared" si="24"/>
        <v/>
      </c>
      <c r="M103" s="35"/>
      <c r="N103" s="35"/>
      <c r="O103" s="35"/>
      <c r="P103" s="158" t="str">
        <f t="shared" si="25"/>
        <v/>
      </c>
      <c r="Q103" s="158" t="str">
        <f t="shared" si="26"/>
        <v/>
      </c>
      <c r="R103" s="158" t="str">
        <f t="shared" si="27"/>
        <v/>
      </c>
      <c r="S103" s="159" t="str">
        <f t="shared" si="28"/>
        <v/>
      </c>
      <c r="T103" s="146" t="str">
        <f t="shared" si="29"/>
        <v/>
      </c>
      <c r="X103">
        <f t="shared" si="30"/>
        <v>84</v>
      </c>
      <c r="Y103" t="str">
        <f t="array" ref="Y103">_xlfn.LET(_xlpm.m,X103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3" t="str">
        <f t="array" ref="Z103">IF(Y103="","",_xlfn.LET(_xlpm.m,X103,_xlpm.names,_xlfn.TAKE($AC$7:$AC$10,$D$8),_xlpm.sizes,_xlfn.TAKE($AD$7:$AD$10,$D$8),_xlpm.counts,_xlpm.sizes*(_xlpm.sizes-1)/2,_xlpm.g,_xlfn.XMATCH(Y103,_xlpm.names),_xlpm.prev,IF(_xlpm.g=1,0,INDEX(_xlfn.SCAN(0,_xlpm.counts,_xlfn.LAMBDA(_xlpm.a,_xlpm.b,_xlpm.a+_xlpm.b)),_xlpm.g-1)),_xlpm.m-_xlpm.prev))</f>
        <v/>
      </c>
      <c r="AA103" t="str">
        <f t="array" ref="AA103">IF(Z103="","",_xlfn.LET(_xlpm.names,_xlfn.TAKE($AC$7:$AC$10,$D$8),_xlpm.n,INDEX(_xlfn.TAKE($AD$7:$AD$10,$D$8),_xlfn.XMATCH(Y103,_xlpm.names)),_xlpm.p,Z103,MATCH(TRUE,_xlpm.p&lt;=(_xlpm.n*_xlfn.SEQUENCE(_xlpm.n-1)-_xlfn.SEQUENCE(_xlpm.n-1)*(_xlfn.SEQUENCE(_xlpm.n-1)+1)/2),0)))</f>
        <v/>
      </c>
      <c r="AB103" t="str">
        <f t="array" ref="AB103">IF(Z103="","",_xlfn.LET(_xlpm.names,_xlfn.TAKE($AC$7:$AC$10,$D$8),_xlpm.n,INDEX(_xlfn.TAKE($AD$7:$AD$10,$D$8),_xlfn.XMATCH(Y103,_xlpm.names)),_xlpm.p,Z103,_xlpm.a,AA103,_xlpm.prev,IF(_xlpm.a=1,0,_xlpm.n*(_xlpm.a-1)-(_xlpm.a-1)*_xlpm.a/2),_xlpm.a+_xlpm.p-_xlpm.prev))</f>
        <v/>
      </c>
      <c r="AC103" t="str">
        <f t="array" ref="AC103">IF(AA103="","",IFERROR(INDEX(_xlfn._xlws.FILTER($C$20:$C$51,$D$20:$D$51=Y103),AA103),""))</f>
        <v/>
      </c>
      <c r="AD103" t="str">
        <f t="array" ref="AD103">IF(AB103="","",IFERROR(INDEX(_xlfn._xlws.FILTER($C$20:$C$51,$D$20:$D$51=Y103),AB103),""))</f>
        <v/>
      </c>
    </row>
    <row r="104" spans="6:30" x14ac:dyDescent="0.3">
      <c r="F104" s="33" t="str">
        <f t="shared" si="21"/>
        <v/>
      </c>
      <c r="G104" s="170" t="str">
        <f t="shared" si="22"/>
        <v/>
      </c>
      <c r="H104" s="171" t="str">
        <f t="shared" si="23"/>
        <v/>
      </c>
      <c r="I104" s="35"/>
      <c r="J104" s="35"/>
      <c r="K104" s="35"/>
      <c r="L104" s="171" t="str">
        <f t="shared" si="24"/>
        <v/>
      </c>
      <c r="M104" s="35"/>
      <c r="N104" s="35"/>
      <c r="O104" s="35"/>
      <c r="P104" s="158" t="str">
        <f t="shared" si="25"/>
        <v/>
      </c>
      <c r="Q104" s="158" t="str">
        <f t="shared" si="26"/>
        <v/>
      </c>
      <c r="R104" s="158" t="str">
        <f t="shared" si="27"/>
        <v/>
      </c>
      <c r="S104" s="159" t="str">
        <f t="shared" si="28"/>
        <v/>
      </c>
      <c r="T104" s="146" t="str">
        <f t="shared" si="29"/>
        <v/>
      </c>
      <c r="X104">
        <f t="shared" si="30"/>
        <v>85</v>
      </c>
      <c r="Y104" t="str">
        <f t="array" ref="Y104">_xlfn.LET(_xlpm.m,X104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4" t="str">
        <f t="array" ref="Z104">IF(Y104="","",_xlfn.LET(_xlpm.m,X104,_xlpm.names,_xlfn.TAKE($AC$7:$AC$10,$D$8),_xlpm.sizes,_xlfn.TAKE($AD$7:$AD$10,$D$8),_xlpm.counts,_xlpm.sizes*(_xlpm.sizes-1)/2,_xlpm.g,_xlfn.XMATCH(Y104,_xlpm.names),_xlpm.prev,IF(_xlpm.g=1,0,INDEX(_xlfn.SCAN(0,_xlpm.counts,_xlfn.LAMBDA(_xlpm.a,_xlpm.b,_xlpm.a+_xlpm.b)),_xlpm.g-1)),_xlpm.m-_xlpm.prev))</f>
        <v/>
      </c>
      <c r="AA104" t="str">
        <f t="array" ref="AA104">IF(Z104="","",_xlfn.LET(_xlpm.names,_xlfn.TAKE($AC$7:$AC$10,$D$8),_xlpm.n,INDEX(_xlfn.TAKE($AD$7:$AD$10,$D$8),_xlfn.XMATCH(Y104,_xlpm.names)),_xlpm.p,Z104,MATCH(TRUE,_xlpm.p&lt;=(_xlpm.n*_xlfn.SEQUENCE(_xlpm.n-1)-_xlfn.SEQUENCE(_xlpm.n-1)*(_xlfn.SEQUENCE(_xlpm.n-1)+1)/2),0)))</f>
        <v/>
      </c>
      <c r="AB104" t="str">
        <f t="array" ref="AB104">IF(Z104="","",_xlfn.LET(_xlpm.names,_xlfn.TAKE($AC$7:$AC$10,$D$8),_xlpm.n,INDEX(_xlfn.TAKE($AD$7:$AD$10,$D$8),_xlfn.XMATCH(Y104,_xlpm.names)),_xlpm.p,Z104,_xlpm.a,AA104,_xlpm.prev,IF(_xlpm.a=1,0,_xlpm.n*(_xlpm.a-1)-(_xlpm.a-1)*_xlpm.a/2),_xlpm.a+_xlpm.p-_xlpm.prev))</f>
        <v/>
      </c>
      <c r="AC104" t="str">
        <f t="array" ref="AC104">IF(AA104="","",IFERROR(INDEX(_xlfn._xlws.FILTER($C$20:$C$51,$D$20:$D$51=Y104),AA104),""))</f>
        <v/>
      </c>
      <c r="AD104" t="str">
        <f t="array" ref="AD104">IF(AB104="","",IFERROR(INDEX(_xlfn._xlws.FILTER($C$20:$C$51,$D$20:$D$51=Y104),AB104),""))</f>
        <v/>
      </c>
    </row>
    <row r="105" spans="6:30" x14ac:dyDescent="0.3">
      <c r="F105" s="33" t="str">
        <f t="shared" si="21"/>
        <v/>
      </c>
      <c r="G105" s="170" t="str">
        <f t="shared" si="22"/>
        <v/>
      </c>
      <c r="H105" s="171" t="str">
        <f t="shared" si="23"/>
        <v/>
      </c>
      <c r="I105" s="35"/>
      <c r="J105" s="35"/>
      <c r="K105" s="35"/>
      <c r="L105" s="171" t="str">
        <f t="shared" si="24"/>
        <v/>
      </c>
      <c r="M105" s="35"/>
      <c r="N105" s="35"/>
      <c r="O105" s="35"/>
      <c r="P105" s="158" t="str">
        <f t="shared" si="25"/>
        <v/>
      </c>
      <c r="Q105" s="158" t="str">
        <f t="shared" si="26"/>
        <v/>
      </c>
      <c r="R105" s="158" t="str">
        <f t="shared" si="27"/>
        <v/>
      </c>
      <c r="S105" s="159" t="str">
        <f t="shared" si="28"/>
        <v/>
      </c>
      <c r="T105" s="146" t="str">
        <f t="shared" si="29"/>
        <v/>
      </c>
      <c r="X105">
        <f t="shared" si="30"/>
        <v>86</v>
      </c>
      <c r="Y105" t="str">
        <f t="array" ref="Y105">_xlfn.LET(_xlpm.m,X105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5" t="str">
        <f t="array" ref="Z105">IF(Y105="","",_xlfn.LET(_xlpm.m,X105,_xlpm.names,_xlfn.TAKE($AC$7:$AC$10,$D$8),_xlpm.sizes,_xlfn.TAKE($AD$7:$AD$10,$D$8),_xlpm.counts,_xlpm.sizes*(_xlpm.sizes-1)/2,_xlpm.g,_xlfn.XMATCH(Y105,_xlpm.names),_xlpm.prev,IF(_xlpm.g=1,0,INDEX(_xlfn.SCAN(0,_xlpm.counts,_xlfn.LAMBDA(_xlpm.a,_xlpm.b,_xlpm.a+_xlpm.b)),_xlpm.g-1)),_xlpm.m-_xlpm.prev))</f>
        <v/>
      </c>
      <c r="AA105" t="str">
        <f t="array" ref="AA105">IF(Z105="","",_xlfn.LET(_xlpm.names,_xlfn.TAKE($AC$7:$AC$10,$D$8),_xlpm.n,INDEX(_xlfn.TAKE($AD$7:$AD$10,$D$8),_xlfn.XMATCH(Y105,_xlpm.names)),_xlpm.p,Z105,MATCH(TRUE,_xlpm.p&lt;=(_xlpm.n*_xlfn.SEQUENCE(_xlpm.n-1)-_xlfn.SEQUENCE(_xlpm.n-1)*(_xlfn.SEQUENCE(_xlpm.n-1)+1)/2),0)))</f>
        <v/>
      </c>
      <c r="AB105" t="str">
        <f t="array" ref="AB105">IF(Z105="","",_xlfn.LET(_xlpm.names,_xlfn.TAKE($AC$7:$AC$10,$D$8),_xlpm.n,INDEX(_xlfn.TAKE($AD$7:$AD$10,$D$8),_xlfn.XMATCH(Y105,_xlpm.names)),_xlpm.p,Z105,_xlpm.a,AA105,_xlpm.prev,IF(_xlpm.a=1,0,_xlpm.n*(_xlpm.a-1)-(_xlpm.a-1)*_xlpm.a/2),_xlpm.a+_xlpm.p-_xlpm.prev))</f>
        <v/>
      </c>
      <c r="AC105" t="str">
        <f t="array" ref="AC105">IF(AA105="","",IFERROR(INDEX(_xlfn._xlws.FILTER($C$20:$C$51,$D$20:$D$51=Y105),AA105),""))</f>
        <v/>
      </c>
      <c r="AD105" t="str">
        <f t="array" ref="AD105">IF(AB105="","",IFERROR(INDEX(_xlfn._xlws.FILTER($C$20:$C$51,$D$20:$D$51=Y105),AB105),""))</f>
        <v/>
      </c>
    </row>
    <row r="106" spans="6:30" x14ac:dyDescent="0.3">
      <c r="F106" s="33" t="str">
        <f t="shared" si="21"/>
        <v/>
      </c>
      <c r="G106" s="170" t="str">
        <f t="shared" si="22"/>
        <v/>
      </c>
      <c r="H106" s="171" t="str">
        <f t="shared" si="23"/>
        <v/>
      </c>
      <c r="I106" s="35"/>
      <c r="J106" s="35"/>
      <c r="K106" s="35"/>
      <c r="L106" s="171" t="str">
        <f t="shared" si="24"/>
        <v/>
      </c>
      <c r="M106" s="35"/>
      <c r="N106" s="35"/>
      <c r="O106" s="35"/>
      <c r="P106" s="158" t="str">
        <f t="shared" si="25"/>
        <v/>
      </c>
      <c r="Q106" s="158" t="str">
        <f t="shared" si="26"/>
        <v/>
      </c>
      <c r="R106" s="158" t="str">
        <f t="shared" si="27"/>
        <v/>
      </c>
      <c r="S106" s="159" t="str">
        <f t="shared" si="28"/>
        <v/>
      </c>
      <c r="T106" s="146" t="str">
        <f t="shared" si="29"/>
        <v/>
      </c>
      <c r="X106">
        <f t="shared" si="30"/>
        <v>87</v>
      </c>
      <c r="Y106" t="str">
        <f t="array" ref="Y106">_xlfn.LET(_xlpm.m,X106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6" t="str">
        <f t="array" ref="Z106">IF(Y106="","",_xlfn.LET(_xlpm.m,X106,_xlpm.names,_xlfn.TAKE($AC$7:$AC$10,$D$8),_xlpm.sizes,_xlfn.TAKE($AD$7:$AD$10,$D$8),_xlpm.counts,_xlpm.sizes*(_xlpm.sizes-1)/2,_xlpm.g,_xlfn.XMATCH(Y106,_xlpm.names),_xlpm.prev,IF(_xlpm.g=1,0,INDEX(_xlfn.SCAN(0,_xlpm.counts,_xlfn.LAMBDA(_xlpm.a,_xlpm.b,_xlpm.a+_xlpm.b)),_xlpm.g-1)),_xlpm.m-_xlpm.prev))</f>
        <v/>
      </c>
      <c r="AA106" t="str">
        <f t="array" ref="AA106">IF(Z106="","",_xlfn.LET(_xlpm.names,_xlfn.TAKE($AC$7:$AC$10,$D$8),_xlpm.n,INDEX(_xlfn.TAKE($AD$7:$AD$10,$D$8),_xlfn.XMATCH(Y106,_xlpm.names)),_xlpm.p,Z106,MATCH(TRUE,_xlpm.p&lt;=(_xlpm.n*_xlfn.SEQUENCE(_xlpm.n-1)-_xlfn.SEQUENCE(_xlpm.n-1)*(_xlfn.SEQUENCE(_xlpm.n-1)+1)/2),0)))</f>
        <v/>
      </c>
      <c r="AB106" t="str">
        <f t="array" ref="AB106">IF(Z106="","",_xlfn.LET(_xlpm.names,_xlfn.TAKE($AC$7:$AC$10,$D$8),_xlpm.n,INDEX(_xlfn.TAKE($AD$7:$AD$10,$D$8),_xlfn.XMATCH(Y106,_xlpm.names)),_xlpm.p,Z106,_xlpm.a,AA106,_xlpm.prev,IF(_xlpm.a=1,0,_xlpm.n*(_xlpm.a-1)-(_xlpm.a-1)*_xlpm.a/2),_xlpm.a+_xlpm.p-_xlpm.prev))</f>
        <v/>
      </c>
      <c r="AC106" t="str">
        <f t="array" ref="AC106">IF(AA106="","",IFERROR(INDEX(_xlfn._xlws.FILTER($C$20:$C$51,$D$20:$D$51=Y106),AA106),""))</f>
        <v/>
      </c>
      <c r="AD106" t="str">
        <f t="array" ref="AD106">IF(AB106="","",IFERROR(INDEX(_xlfn._xlws.FILTER($C$20:$C$51,$D$20:$D$51=Y106),AB106),""))</f>
        <v/>
      </c>
    </row>
    <row r="107" spans="6:30" x14ac:dyDescent="0.3">
      <c r="F107" s="33" t="str">
        <f t="shared" si="21"/>
        <v/>
      </c>
      <c r="G107" s="170" t="str">
        <f t="shared" si="22"/>
        <v/>
      </c>
      <c r="H107" s="171" t="str">
        <f t="shared" si="23"/>
        <v/>
      </c>
      <c r="I107" s="35"/>
      <c r="J107" s="35"/>
      <c r="K107" s="35"/>
      <c r="L107" s="171" t="str">
        <f t="shared" si="24"/>
        <v/>
      </c>
      <c r="M107" s="35"/>
      <c r="N107" s="35"/>
      <c r="O107" s="35"/>
      <c r="P107" s="158" t="str">
        <f t="shared" si="25"/>
        <v/>
      </c>
      <c r="Q107" s="158" t="str">
        <f t="shared" si="26"/>
        <v/>
      </c>
      <c r="R107" s="158" t="str">
        <f t="shared" si="27"/>
        <v/>
      </c>
      <c r="S107" s="159" t="str">
        <f t="shared" si="28"/>
        <v/>
      </c>
      <c r="T107" s="146" t="str">
        <f t="shared" si="29"/>
        <v/>
      </c>
      <c r="X107">
        <f t="shared" si="30"/>
        <v>88</v>
      </c>
      <c r="Y107" t="str">
        <f t="array" ref="Y107">_xlfn.LET(_xlpm.m,X107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7" t="str">
        <f t="array" ref="Z107">IF(Y107="","",_xlfn.LET(_xlpm.m,X107,_xlpm.names,_xlfn.TAKE($AC$7:$AC$10,$D$8),_xlpm.sizes,_xlfn.TAKE($AD$7:$AD$10,$D$8),_xlpm.counts,_xlpm.sizes*(_xlpm.sizes-1)/2,_xlpm.g,_xlfn.XMATCH(Y107,_xlpm.names),_xlpm.prev,IF(_xlpm.g=1,0,INDEX(_xlfn.SCAN(0,_xlpm.counts,_xlfn.LAMBDA(_xlpm.a,_xlpm.b,_xlpm.a+_xlpm.b)),_xlpm.g-1)),_xlpm.m-_xlpm.prev))</f>
        <v/>
      </c>
      <c r="AA107" t="str">
        <f t="array" ref="AA107">IF(Z107="","",_xlfn.LET(_xlpm.names,_xlfn.TAKE($AC$7:$AC$10,$D$8),_xlpm.n,INDEX(_xlfn.TAKE($AD$7:$AD$10,$D$8),_xlfn.XMATCH(Y107,_xlpm.names)),_xlpm.p,Z107,MATCH(TRUE,_xlpm.p&lt;=(_xlpm.n*_xlfn.SEQUENCE(_xlpm.n-1)-_xlfn.SEQUENCE(_xlpm.n-1)*(_xlfn.SEQUENCE(_xlpm.n-1)+1)/2),0)))</f>
        <v/>
      </c>
      <c r="AB107" t="str">
        <f t="array" ref="AB107">IF(Z107="","",_xlfn.LET(_xlpm.names,_xlfn.TAKE($AC$7:$AC$10,$D$8),_xlpm.n,INDEX(_xlfn.TAKE($AD$7:$AD$10,$D$8),_xlfn.XMATCH(Y107,_xlpm.names)),_xlpm.p,Z107,_xlpm.a,AA107,_xlpm.prev,IF(_xlpm.a=1,0,_xlpm.n*(_xlpm.a-1)-(_xlpm.a-1)*_xlpm.a/2),_xlpm.a+_xlpm.p-_xlpm.prev))</f>
        <v/>
      </c>
      <c r="AC107" t="str">
        <f t="array" ref="AC107">IF(AA107="","",IFERROR(INDEX(_xlfn._xlws.FILTER($C$20:$C$51,$D$20:$D$51=Y107),AA107),""))</f>
        <v/>
      </c>
      <c r="AD107" t="str">
        <f t="array" ref="AD107">IF(AB107="","",IFERROR(INDEX(_xlfn._xlws.FILTER($C$20:$C$51,$D$20:$D$51=Y107),AB107),""))</f>
        <v/>
      </c>
    </row>
    <row r="108" spans="6:30" x14ac:dyDescent="0.3">
      <c r="F108" s="33" t="str">
        <f t="shared" si="21"/>
        <v/>
      </c>
      <c r="G108" s="170" t="str">
        <f t="shared" si="22"/>
        <v/>
      </c>
      <c r="H108" s="171" t="str">
        <f t="shared" si="23"/>
        <v/>
      </c>
      <c r="I108" s="35"/>
      <c r="J108" s="35"/>
      <c r="K108" s="35"/>
      <c r="L108" s="171" t="str">
        <f t="shared" si="24"/>
        <v/>
      </c>
      <c r="M108" s="35"/>
      <c r="N108" s="35"/>
      <c r="O108" s="35"/>
      <c r="P108" s="158" t="str">
        <f t="shared" si="25"/>
        <v/>
      </c>
      <c r="Q108" s="158" t="str">
        <f t="shared" si="26"/>
        <v/>
      </c>
      <c r="R108" s="158" t="str">
        <f t="shared" si="27"/>
        <v/>
      </c>
      <c r="S108" s="159" t="str">
        <f t="shared" si="28"/>
        <v/>
      </c>
      <c r="T108" s="146" t="str">
        <f t="shared" si="29"/>
        <v/>
      </c>
      <c r="X108">
        <f t="shared" si="30"/>
        <v>89</v>
      </c>
      <c r="Y108" t="str">
        <f t="array" ref="Y108">_xlfn.LET(_xlpm.m,X108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8" t="str">
        <f t="array" ref="Z108">IF(Y108="","",_xlfn.LET(_xlpm.m,X108,_xlpm.names,_xlfn.TAKE($AC$7:$AC$10,$D$8),_xlpm.sizes,_xlfn.TAKE($AD$7:$AD$10,$D$8),_xlpm.counts,_xlpm.sizes*(_xlpm.sizes-1)/2,_xlpm.g,_xlfn.XMATCH(Y108,_xlpm.names),_xlpm.prev,IF(_xlpm.g=1,0,INDEX(_xlfn.SCAN(0,_xlpm.counts,_xlfn.LAMBDA(_xlpm.a,_xlpm.b,_xlpm.a+_xlpm.b)),_xlpm.g-1)),_xlpm.m-_xlpm.prev))</f>
        <v/>
      </c>
      <c r="AA108" t="str">
        <f t="array" ref="AA108">IF(Z108="","",_xlfn.LET(_xlpm.names,_xlfn.TAKE($AC$7:$AC$10,$D$8),_xlpm.n,INDEX(_xlfn.TAKE($AD$7:$AD$10,$D$8),_xlfn.XMATCH(Y108,_xlpm.names)),_xlpm.p,Z108,MATCH(TRUE,_xlpm.p&lt;=(_xlpm.n*_xlfn.SEQUENCE(_xlpm.n-1)-_xlfn.SEQUENCE(_xlpm.n-1)*(_xlfn.SEQUENCE(_xlpm.n-1)+1)/2),0)))</f>
        <v/>
      </c>
      <c r="AB108" t="str">
        <f t="array" ref="AB108">IF(Z108="","",_xlfn.LET(_xlpm.names,_xlfn.TAKE($AC$7:$AC$10,$D$8),_xlpm.n,INDEX(_xlfn.TAKE($AD$7:$AD$10,$D$8),_xlfn.XMATCH(Y108,_xlpm.names)),_xlpm.p,Z108,_xlpm.a,AA108,_xlpm.prev,IF(_xlpm.a=1,0,_xlpm.n*(_xlpm.a-1)-(_xlpm.a-1)*_xlpm.a/2),_xlpm.a+_xlpm.p-_xlpm.prev))</f>
        <v/>
      </c>
      <c r="AC108" t="str">
        <f t="array" ref="AC108">IF(AA108="","",IFERROR(INDEX(_xlfn._xlws.FILTER($C$20:$C$51,$D$20:$D$51=Y108),AA108),""))</f>
        <v/>
      </c>
      <c r="AD108" t="str">
        <f t="array" ref="AD108">IF(AB108="","",IFERROR(INDEX(_xlfn._xlws.FILTER($C$20:$C$51,$D$20:$D$51=Y108),AB108),""))</f>
        <v/>
      </c>
    </row>
    <row r="109" spans="6:30" x14ac:dyDescent="0.3">
      <c r="F109" s="33" t="str">
        <f t="shared" si="21"/>
        <v/>
      </c>
      <c r="G109" s="170" t="str">
        <f t="shared" si="22"/>
        <v/>
      </c>
      <c r="H109" s="171" t="str">
        <f t="shared" si="23"/>
        <v/>
      </c>
      <c r="I109" s="35"/>
      <c r="J109" s="35"/>
      <c r="K109" s="35"/>
      <c r="L109" s="171" t="str">
        <f t="shared" si="24"/>
        <v/>
      </c>
      <c r="M109" s="35"/>
      <c r="N109" s="35"/>
      <c r="O109" s="35"/>
      <c r="P109" s="158" t="str">
        <f t="shared" si="25"/>
        <v/>
      </c>
      <c r="Q109" s="158" t="str">
        <f t="shared" si="26"/>
        <v/>
      </c>
      <c r="R109" s="158" t="str">
        <f t="shared" si="27"/>
        <v/>
      </c>
      <c r="S109" s="159" t="str">
        <f t="shared" si="28"/>
        <v/>
      </c>
      <c r="T109" s="146" t="str">
        <f t="shared" si="29"/>
        <v/>
      </c>
      <c r="X109">
        <f t="shared" si="30"/>
        <v>90</v>
      </c>
      <c r="Y109" t="str">
        <f t="array" ref="Y109">_xlfn.LET(_xlpm.m,X109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9" t="str">
        <f t="array" ref="Z109">IF(Y109="","",_xlfn.LET(_xlpm.m,X109,_xlpm.names,_xlfn.TAKE($AC$7:$AC$10,$D$8),_xlpm.sizes,_xlfn.TAKE($AD$7:$AD$10,$D$8),_xlpm.counts,_xlpm.sizes*(_xlpm.sizes-1)/2,_xlpm.g,_xlfn.XMATCH(Y109,_xlpm.names),_xlpm.prev,IF(_xlpm.g=1,0,INDEX(_xlfn.SCAN(0,_xlpm.counts,_xlfn.LAMBDA(_xlpm.a,_xlpm.b,_xlpm.a+_xlpm.b)),_xlpm.g-1)),_xlpm.m-_xlpm.prev))</f>
        <v/>
      </c>
      <c r="AA109" t="str">
        <f t="array" ref="AA109">IF(Z109="","",_xlfn.LET(_xlpm.names,_xlfn.TAKE($AC$7:$AC$10,$D$8),_xlpm.n,INDEX(_xlfn.TAKE($AD$7:$AD$10,$D$8),_xlfn.XMATCH(Y109,_xlpm.names)),_xlpm.p,Z109,MATCH(TRUE,_xlpm.p&lt;=(_xlpm.n*_xlfn.SEQUENCE(_xlpm.n-1)-_xlfn.SEQUENCE(_xlpm.n-1)*(_xlfn.SEQUENCE(_xlpm.n-1)+1)/2),0)))</f>
        <v/>
      </c>
      <c r="AB109" t="str">
        <f t="array" ref="AB109">IF(Z109="","",_xlfn.LET(_xlpm.names,_xlfn.TAKE($AC$7:$AC$10,$D$8),_xlpm.n,INDEX(_xlfn.TAKE($AD$7:$AD$10,$D$8),_xlfn.XMATCH(Y109,_xlpm.names)),_xlpm.p,Z109,_xlpm.a,AA109,_xlpm.prev,IF(_xlpm.a=1,0,_xlpm.n*(_xlpm.a-1)-(_xlpm.a-1)*_xlpm.a/2),_xlpm.a+_xlpm.p-_xlpm.prev))</f>
        <v/>
      </c>
      <c r="AC109" t="str">
        <f t="array" ref="AC109">IF(AA109="","",IFERROR(INDEX(_xlfn._xlws.FILTER($C$20:$C$51,$D$20:$D$51=Y109),AA109),""))</f>
        <v/>
      </c>
      <c r="AD109" t="str">
        <f t="array" ref="AD109">IF(AB109="","",IFERROR(INDEX(_xlfn._xlws.FILTER($C$20:$C$51,$D$20:$D$51=Y109),AB109),""))</f>
        <v/>
      </c>
    </row>
    <row r="110" spans="6:30" x14ac:dyDescent="0.3">
      <c r="F110" s="33" t="str">
        <f t="shared" si="21"/>
        <v/>
      </c>
      <c r="G110" s="170" t="str">
        <f t="shared" si="22"/>
        <v/>
      </c>
      <c r="H110" s="171" t="str">
        <f t="shared" si="23"/>
        <v/>
      </c>
      <c r="I110" s="35"/>
      <c r="J110" s="35"/>
      <c r="K110" s="35"/>
      <c r="L110" s="171" t="str">
        <f t="shared" si="24"/>
        <v/>
      </c>
      <c r="M110" s="35"/>
      <c r="N110" s="35"/>
      <c r="O110" s="35"/>
      <c r="P110" s="158" t="str">
        <f t="shared" si="25"/>
        <v/>
      </c>
      <c r="Q110" s="158" t="str">
        <f t="shared" si="26"/>
        <v/>
      </c>
      <c r="R110" s="158" t="str">
        <f t="shared" si="27"/>
        <v/>
      </c>
      <c r="S110" s="159" t="str">
        <f t="shared" si="28"/>
        <v/>
      </c>
      <c r="T110" s="146" t="str">
        <f t="shared" si="29"/>
        <v/>
      </c>
      <c r="X110">
        <f t="shared" si="30"/>
        <v>91</v>
      </c>
      <c r="Y110" t="str">
        <f t="array" ref="Y110">_xlfn.LET(_xlpm.m,X110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0" t="str">
        <f t="array" ref="Z110">IF(Y110="","",_xlfn.LET(_xlpm.m,X110,_xlpm.names,_xlfn.TAKE($AC$7:$AC$10,$D$8),_xlpm.sizes,_xlfn.TAKE($AD$7:$AD$10,$D$8),_xlpm.counts,_xlpm.sizes*(_xlpm.sizes-1)/2,_xlpm.g,_xlfn.XMATCH(Y110,_xlpm.names),_xlpm.prev,IF(_xlpm.g=1,0,INDEX(_xlfn.SCAN(0,_xlpm.counts,_xlfn.LAMBDA(_xlpm.a,_xlpm.b,_xlpm.a+_xlpm.b)),_xlpm.g-1)),_xlpm.m-_xlpm.prev))</f>
        <v/>
      </c>
      <c r="AA110" t="str">
        <f t="array" ref="AA110">IF(Z110="","",_xlfn.LET(_xlpm.names,_xlfn.TAKE($AC$7:$AC$10,$D$8),_xlpm.n,INDEX(_xlfn.TAKE($AD$7:$AD$10,$D$8),_xlfn.XMATCH(Y110,_xlpm.names)),_xlpm.p,Z110,MATCH(TRUE,_xlpm.p&lt;=(_xlpm.n*_xlfn.SEQUENCE(_xlpm.n-1)-_xlfn.SEQUENCE(_xlpm.n-1)*(_xlfn.SEQUENCE(_xlpm.n-1)+1)/2),0)))</f>
        <v/>
      </c>
      <c r="AB110" t="str">
        <f t="array" ref="AB110">IF(Z110="","",_xlfn.LET(_xlpm.names,_xlfn.TAKE($AC$7:$AC$10,$D$8),_xlpm.n,INDEX(_xlfn.TAKE($AD$7:$AD$10,$D$8),_xlfn.XMATCH(Y110,_xlpm.names)),_xlpm.p,Z110,_xlpm.a,AA110,_xlpm.prev,IF(_xlpm.a=1,0,_xlpm.n*(_xlpm.a-1)-(_xlpm.a-1)*_xlpm.a/2),_xlpm.a+_xlpm.p-_xlpm.prev))</f>
        <v/>
      </c>
      <c r="AC110" t="str">
        <f t="array" ref="AC110">IF(AA110="","",IFERROR(INDEX(_xlfn._xlws.FILTER($C$20:$C$51,$D$20:$D$51=Y110),AA110),""))</f>
        <v/>
      </c>
      <c r="AD110" t="str">
        <f t="array" ref="AD110">IF(AB110="","",IFERROR(INDEX(_xlfn._xlws.FILTER($C$20:$C$51,$D$20:$D$51=Y110),AB110),""))</f>
        <v/>
      </c>
    </row>
    <row r="111" spans="6:30" x14ac:dyDescent="0.3">
      <c r="F111" s="33" t="str">
        <f t="shared" si="21"/>
        <v/>
      </c>
      <c r="G111" s="170" t="str">
        <f t="shared" si="22"/>
        <v/>
      </c>
      <c r="H111" s="171" t="str">
        <f t="shared" si="23"/>
        <v/>
      </c>
      <c r="I111" s="35"/>
      <c r="J111" s="35"/>
      <c r="K111" s="35"/>
      <c r="L111" s="171" t="str">
        <f t="shared" si="24"/>
        <v/>
      </c>
      <c r="M111" s="35"/>
      <c r="N111" s="35"/>
      <c r="O111" s="35"/>
      <c r="P111" s="158" t="str">
        <f t="shared" si="25"/>
        <v/>
      </c>
      <c r="Q111" s="158" t="str">
        <f t="shared" si="26"/>
        <v/>
      </c>
      <c r="R111" s="158" t="str">
        <f t="shared" si="27"/>
        <v/>
      </c>
      <c r="S111" s="159" t="str">
        <f t="shared" si="28"/>
        <v/>
      </c>
      <c r="T111" s="146" t="str">
        <f t="shared" si="29"/>
        <v/>
      </c>
      <c r="X111">
        <f t="shared" si="30"/>
        <v>92</v>
      </c>
      <c r="Y111" t="str">
        <f t="array" ref="Y111">_xlfn.LET(_xlpm.m,X111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1" t="str">
        <f t="array" ref="Z111">IF(Y111="","",_xlfn.LET(_xlpm.m,X111,_xlpm.names,_xlfn.TAKE($AC$7:$AC$10,$D$8),_xlpm.sizes,_xlfn.TAKE($AD$7:$AD$10,$D$8),_xlpm.counts,_xlpm.sizes*(_xlpm.sizes-1)/2,_xlpm.g,_xlfn.XMATCH(Y111,_xlpm.names),_xlpm.prev,IF(_xlpm.g=1,0,INDEX(_xlfn.SCAN(0,_xlpm.counts,_xlfn.LAMBDA(_xlpm.a,_xlpm.b,_xlpm.a+_xlpm.b)),_xlpm.g-1)),_xlpm.m-_xlpm.prev))</f>
        <v/>
      </c>
      <c r="AA111" t="str">
        <f t="array" ref="AA111">IF(Z111="","",_xlfn.LET(_xlpm.names,_xlfn.TAKE($AC$7:$AC$10,$D$8),_xlpm.n,INDEX(_xlfn.TAKE($AD$7:$AD$10,$D$8),_xlfn.XMATCH(Y111,_xlpm.names)),_xlpm.p,Z111,MATCH(TRUE,_xlpm.p&lt;=(_xlpm.n*_xlfn.SEQUENCE(_xlpm.n-1)-_xlfn.SEQUENCE(_xlpm.n-1)*(_xlfn.SEQUENCE(_xlpm.n-1)+1)/2),0)))</f>
        <v/>
      </c>
      <c r="AB111" t="str">
        <f t="array" ref="AB111">IF(Z111="","",_xlfn.LET(_xlpm.names,_xlfn.TAKE($AC$7:$AC$10,$D$8),_xlpm.n,INDEX(_xlfn.TAKE($AD$7:$AD$10,$D$8),_xlfn.XMATCH(Y111,_xlpm.names)),_xlpm.p,Z111,_xlpm.a,AA111,_xlpm.prev,IF(_xlpm.a=1,0,_xlpm.n*(_xlpm.a-1)-(_xlpm.a-1)*_xlpm.a/2),_xlpm.a+_xlpm.p-_xlpm.prev))</f>
        <v/>
      </c>
      <c r="AC111" t="str">
        <f t="array" ref="AC111">IF(AA111="","",IFERROR(INDEX(_xlfn._xlws.FILTER($C$20:$C$51,$D$20:$D$51=Y111),AA111),""))</f>
        <v/>
      </c>
      <c r="AD111" t="str">
        <f t="array" ref="AD111">IF(AB111="","",IFERROR(INDEX(_xlfn._xlws.FILTER($C$20:$C$51,$D$20:$D$51=Y111),AB111),""))</f>
        <v/>
      </c>
    </row>
    <row r="112" spans="6:30" x14ac:dyDescent="0.3">
      <c r="F112" s="33" t="str">
        <f t="shared" si="21"/>
        <v/>
      </c>
      <c r="G112" s="170" t="str">
        <f t="shared" si="22"/>
        <v/>
      </c>
      <c r="H112" s="171" t="str">
        <f t="shared" si="23"/>
        <v/>
      </c>
      <c r="I112" s="35"/>
      <c r="J112" s="35"/>
      <c r="K112" s="35"/>
      <c r="L112" s="171" t="str">
        <f t="shared" si="24"/>
        <v/>
      </c>
      <c r="M112" s="35"/>
      <c r="N112" s="35"/>
      <c r="O112" s="35"/>
      <c r="P112" s="158" t="str">
        <f t="shared" si="25"/>
        <v/>
      </c>
      <c r="Q112" s="158" t="str">
        <f t="shared" si="26"/>
        <v/>
      </c>
      <c r="R112" s="158" t="str">
        <f t="shared" si="27"/>
        <v/>
      </c>
      <c r="S112" s="159" t="str">
        <f t="shared" si="28"/>
        <v/>
      </c>
      <c r="T112" s="146" t="str">
        <f t="shared" si="29"/>
        <v/>
      </c>
      <c r="X112">
        <f t="shared" si="30"/>
        <v>93</v>
      </c>
      <c r="Y112" t="str">
        <f t="array" ref="Y112">_xlfn.LET(_xlpm.m,X112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2" t="str">
        <f t="array" ref="Z112">IF(Y112="","",_xlfn.LET(_xlpm.m,X112,_xlpm.names,_xlfn.TAKE($AC$7:$AC$10,$D$8),_xlpm.sizes,_xlfn.TAKE($AD$7:$AD$10,$D$8),_xlpm.counts,_xlpm.sizes*(_xlpm.sizes-1)/2,_xlpm.g,_xlfn.XMATCH(Y112,_xlpm.names),_xlpm.prev,IF(_xlpm.g=1,0,INDEX(_xlfn.SCAN(0,_xlpm.counts,_xlfn.LAMBDA(_xlpm.a,_xlpm.b,_xlpm.a+_xlpm.b)),_xlpm.g-1)),_xlpm.m-_xlpm.prev))</f>
        <v/>
      </c>
      <c r="AA112" t="str">
        <f t="array" ref="AA112">IF(Z112="","",_xlfn.LET(_xlpm.names,_xlfn.TAKE($AC$7:$AC$10,$D$8),_xlpm.n,INDEX(_xlfn.TAKE($AD$7:$AD$10,$D$8),_xlfn.XMATCH(Y112,_xlpm.names)),_xlpm.p,Z112,MATCH(TRUE,_xlpm.p&lt;=(_xlpm.n*_xlfn.SEQUENCE(_xlpm.n-1)-_xlfn.SEQUENCE(_xlpm.n-1)*(_xlfn.SEQUENCE(_xlpm.n-1)+1)/2),0)))</f>
        <v/>
      </c>
      <c r="AB112" t="str">
        <f t="array" ref="AB112">IF(Z112="","",_xlfn.LET(_xlpm.names,_xlfn.TAKE($AC$7:$AC$10,$D$8),_xlpm.n,INDEX(_xlfn.TAKE($AD$7:$AD$10,$D$8),_xlfn.XMATCH(Y112,_xlpm.names)),_xlpm.p,Z112,_xlpm.a,AA112,_xlpm.prev,IF(_xlpm.a=1,0,_xlpm.n*(_xlpm.a-1)-(_xlpm.a-1)*_xlpm.a/2),_xlpm.a+_xlpm.p-_xlpm.prev))</f>
        <v/>
      </c>
      <c r="AC112" t="str">
        <f t="array" ref="AC112">IF(AA112="","",IFERROR(INDEX(_xlfn._xlws.FILTER($C$20:$C$51,$D$20:$D$51=Y112),AA112),""))</f>
        <v/>
      </c>
      <c r="AD112" t="str">
        <f t="array" ref="AD112">IF(AB112="","",IFERROR(INDEX(_xlfn._xlws.FILTER($C$20:$C$51,$D$20:$D$51=Y112),AB112),""))</f>
        <v/>
      </c>
    </row>
    <row r="113" spans="2:30" x14ac:dyDescent="0.3">
      <c r="F113" s="33" t="str">
        <f t="shared" si="21"/>
        <v/>
      </c>
      <c r="G113" s="170" t="str">
        <f t="shared" si="22"/>
        <v/>
      </c>
      <c r="H113" s="171" t="str">
        <f t="shared" si="23"/>
        <v/>
      </c>
      <c r="I113" s="35"/>
      <c r="J113" s="35"/>
      <c r="K113" s="35"/>
      <c r="L113" s="171" t="str">
        <f t="shared" si="24"/>
        <v/>
      </c>
      <c r="M113" s="35"/>
      <c r="N113" s="35"/>
      <c r="O113" s="35"/>
      <c r="P113" s="158" t="str">
        <f t="shared" si="25"/>
        <v/>
      </c>
      <c r="Q113" s="158" t="str">
        <f t="shared" si="26"/>
        <v/>
      </c>
      <c r="R113" s="158" t="str">
        <f t="shared" si="27"/>
        <v/>
      </c>
      <c r="S113" s="159" t="str">
        <f t="shared" si="28"/>
        <v/>
      </c>
      <c r="T113" s="146" t="str">
        <f t="shared" si="29"/>
        <v/>
      </c>
      <c r="X113">
        <f t="shared" si="30"/>
        <v>94</v>
      </c>
      <c r="Y113" t="str">
        <f t="array" ref="Y113">_xlfn.LET(_xlpm.m,X113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3" t="str">
        <f t="array" ref="Z113">IF(Y113="","",_xlfn.LET(_xlpm.m,X113,_xlpm.names,_xlfn.TAKE($AC$7:$AC$10,$D$8),_xlpm.sizes,_xlfn.TAKE($AD$7:$AD$10,$D$8),_xlpm.counts,_xlpm.sizes*(_xlpm.sizes-1)/2,_xlpm.g,_xlfn.XMATCH(Y113,_xlpm.names),_xlpm.prev,IF(_xlpm.g=1,0,INDEX(_xlfn.SCAN(0,_xlpm.counts,_xlfn.LAMBDA(_xlpm.a,_xlpm.b,_xlpm.a+_xlpm.b)),_xlpm.g-1)),_xlpm.m-_xlpm.prev))</f>
        <v/>
      </c>
      <c r="AA113" t="str">
        <f t="array" ref="AA113">IF(Z113="","",_xlfn.LET(_xlpm.names,_xlfn.TAKE($AC$7:$AC$10,$D$8),_xlpm.n,INDEX(_xlfn.TAKE($AD$7:$AD$10,$D$8),_xlfn.XMATCH(Y113,_xlpm.names)),_xlpm.p,Z113,MATCH(TRUE,_xlpm.p&lt;=(_xlpm.n*_xlfn.SEQUENCE(_xlpm.n-1)-_xlfn.SEQUENCE(_xlpm.n-1)*(_xlfn.SEQUENCE(_xlpm.n-1)+1)/2),0)))</f>
        <v/>
      </c>
      <c r="AB113" t="str">
        <f t="array" ref="AB113">IF(Z113="","",_xlfn.LET(_xlpm.names,_xlfn.TAKE($AC$7:$AC$10,$D$8),_xlpm.n,INDEX(_xlfn.TAKE($AD$7:$AD$10,$D$8),_xlfn.XMATCH(Y113,_xlpm.names)),_xlpm.p,Z113,_xlpm.a,AA113,_xlpm.prev,IF(_xlpm.a=1,0,_xlpm.n*(_xlpm.a-1)-(_xlpm.a-1)*_xlpm.a/2),_xlpm.a+_xlpm.p-_xlpm.prev))</f>
        <v/>
      </c>
      <c r="AC113" t="str">
        <f t="array" ref="AC113">IF(AA113="","",IFERROR(INDEX(_xlfn._xlws.FILTER($C$20:$C$51,$D$20:$D$51=Y113),AA113),""))</f>
        <v/>
      </c>
      <c r="AD113" t="str">
        <f t="array" ref="AD113">IF(AB113="","",IFERROR(INDEX(_xlfn._xlws.FILTER($C$20:$C$51,$D$20:$D$51=Y113),AB113),""))</f>
        <v/>
      </c>
    </row>
    <row r="114" spans="2:30" x14ac:dyDescent="0.3">
      <c r="F114" s="33" t="str">
        <f t="shared" si="21"/>
        <v/>
      </c>
      <c r="G114" s="170" t="str">
        <f t="shared" si="22"/>
        <v/>
      </c>
      <c r="H114" s="171" t="str">
        <f t="shared" si="23"/>
        <v/>
      </c>
      <c r="I114" s="35"/>
      <c r="J114" s="35"/>
      <c r="K114" s="35"/>
      <c r="L114" s="171" t="str">
        <f t="shared" si="24"/>
        <v/>
      </c>
      <c r="M114" s="35"/>
      <c r="N114" s="35"/>
      <c r="O114" s="35"/>
      <c r="P114" s="158" t="str">
        <f t="shared" si="25"/>
        <v/>
      </c>
      <c r="Q114" s="158" t="str">
        <f t="shared" si="26"/>
        <v/>
      </c>
      <c r="R114" s="158" t="str">
        <f t="shared" si="27"/>
        <v/>
      </c>
      <c r="S114" s="159" t="str">
        <f t="shared" si="28"/>
        <v/>
      </c>
      <c r="T114" s="146" t="str">
        <f t="shared" si="29"/>
        <v/>
      </c>
      <c r="X114">
        <f t="shared" si="30"/>
        <v>95</v>
      </c>
      <c r="Y114" t="str">
        <f t="array" ref="Y114">_xlfn.LET(_xlpm.m,X114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4" t="str">
        <f t="array" ref="Z114">IF(Y114="","",_xlfn.LET(_xlpm.m,X114,_xlpm.names,_xlfn.TAKE($AC$7:$AC$10,$D$8),_xlpm.sizes,_xlfn.TAKE($AD$7:$AD$10,$D$8),_xlpm.counts,_xlpm.sizes*(_xlpm.sizes-1)/2,_xlpm.g,_xlfn.XMATCH(Y114,_xlpm.names),_xlpm.prev,IF(_xlpm.g=1,0,INDEX(_xlfn.SCAN(0,_xlpm.counts,_xlfn.LAMBDA(_xlpm.a,_xlpm.b,_xlpm.a+_xlpm.b)),_xlpm.g-1)),_xlpm.m-_xlpm.prev))</f>
        <v/>
      </c>
      <c r="AA114" t="str">
        <f t="array" ref="AA114">IF(Z114="","",_xlfn.LET(_xlpm.names,_xlfn.TAKE($AC$7:$AC$10,$D$8),_xlpm.n,INDEX(_xlfn.TAKE($AD$7:$AD$10,$D$8),_xlfn.XMATCH(Y114,_xlpm.names)),_xlpm.p,Z114,MATCH(TRUE,_xlpm.p&lt;=(_xlpm.n*_xlfn.SEQUENCE(_xlpm.n-1)-_xlfn.SEQUENCE(_xlpm.n-1)*(_xlfn.SEQUENCE(_xlpm.n-1)+1)/2),0)))</f>
        <v/>
      </c>
      <c r="AB114" t="str">
        <f t="array" ref="AB114">IF(Z114="","",_xlfn.LET(_xlpm.names,_xlfn.TAKE($AC$7:$AC$10,$D$8),_xlpm.n,INDEX(_xlfn.TAKE($AD$7:$AD$10,$D$8),_xlfn.XMATCH(Y114,_xlpm.names)),_xlpm.p,Z114,_xlpm.a,AA114,_xlpm.prev,IF(_xlpm.a=1,0,_xlpm.n*(_xlpm.a-1)-(_xlpm.a-1)*_xlpm.a/2),_xlpm.a+_xlpm.p-_xlpm.prev))</f>
        <v/>
      </c>
      <c r="AC114" t="str">
        <f t="array" ref="AC114">IF(AA114="","",IFERROR(INDEX(_xlfn._xlws.FILTER($C$20:$C$51,$D$20:$D$51=Y114),AA114),""))</f>
        <v/>
      </c>
      <c r="AD114" t="str">
        <f t="array" ref="AD114">IF(AB114="","",IFERROR(INDEX(_xlfn._xlws.FILTER($C$20:$C$51,$D$20:$D$51=Y114),AB114),""))</f>
        <v/>
      </c>
    </row>
    <row r="115" spans="2:30" x14ac:dyDescent="0.3">
      <c r="F115" s="33" t="str">
        <f t="shared" si="21"/>
        <v/>
      </c>
      <c r="G115" s="170" t="str">
        <f t="shared" si="22"/>
        <v/>
      </c>
      <c r="H115" s="171" t="str">
        <f t="shared" si="23"/>
        <v/>
      </c>
      <c r="I115" s="35"/>
      <c r="J115" s="35"/>
      <c r="K115" s="35"/>
      <c r="L115" s="171" t="str">
        <f t="shared" si="24"/>
        <v/>
      </c>
      <c r="M115" s="35"/>
      <c r="N115" s="35"/>
      <c r="O115" s="35"/>
      <c r="P115" s="158" t="str">
        <f t="shared" si="25"/>
        <v/>
      </c>
      <c r="Q115" s="158" t="str">
        <f t="shared" si="26"/>
        <v/>
      </c>
      <c r="R115" s="158" t="str">
        <f t="shared" si="27"/>
        <v/>
      </c>
      <c r="S115" s="159" t="str">
        <f t="shared" si="28"/>
        <v/>
      </c>
      <c r="T115" s="146" t="str">
        <f t="shared" si="29"/>
        <v/>
      </c>
      <c r="X115">
        <f t="shared" si="30"/>
        <v>96</v>
      </c>
      <c r="Y115" t="str">
        <f t="array" ref="Y115">_xlfn.LET(_xlpm.m,X115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5" t="str">
        <f t="array" ref="Z115">IF(Y115="","",_xlfn.LET(_xlpm.m,X115,_xlpm.names,_xlfn.TAKE($AC$7:$AC$10,$D$8),_xlpm.sizes,_xlfn.TAKE($AD$7:$AD$10,$D$8),_xlpm.counts,_xlpm.sizes*(_xlpm.sizes-1)/2,_xlpm.g,_xlfn.XMATCH(Y115,_xlpm.names),_xlpm.prev,IF(_xlpm.g=1,0,INDEX(_xlfn.SCAN(0,_xlpm.counts,_xlfn.LAMBDA(_xlpm.a,_xlpm.b,_xlpm.a+_xlpm.b)),_xlpm.g-1)),_xlpm.m-_xlpm.prev))</f>
        <v/>
      </c>
      <c r="AA115" t="str">
        <f t="array" ref="AA115">IF(Z115="","",_xlfn.LET(_xlpm.names,_xlfn.TAKE($AC$7:$AC$10,$D$8),_xlpm.n,INDEX(_xlfn.TAKE($AD$7:$AD$10,$D$8),_xlfn.XMATCH(Y115,_xlpm.names)),_xlpm.p,Z115,MATCH(TRUE,_xlpm.p&lt;=(_xlpm.n*_xlfn.SEQUENCE(_xlpm.n-1)-_xlfn.SEQUENCE(_xlpm.n-1)*(_xlfn.SEQUENCE(_xlpm.n-1)+1)/2),0)))</f>
        <v/>
      </c>
      <c r="AB115" t="str">
        <f t="array" ref="AB115">IF(Z115="","",_xlfn.LET(_xlpm.names,_xlfn.TAKE($AC$7:$AC$10,$D$8),_xlpm.n,INDEX(_xlfn.TAKE($AD$7:$AD$10,$D$8),_xlfn.XMATCH(Y115,_xlpm.names)),_xlpm.p,Z115,_xlpm.a,AA115,_xlpm.prev,IF(_xlpm.a=1,0,_xlpm.n*(_xlpm.a-1)-(_xlpm.a-1)*_xlpm.a/2),_xlpm.a+_xlpm.p-_xlpm.prev))</f>
        <v/>
      </c>
      <c r="AC115" t="str">
        <f t="array" ref="AC115">IF(AA115="","",IFERROR(INDEX(_xlfn._xlws.FILTER($C$20:$C$51,$D$20:$D$51=Y115),AA115),""))</f>
        <v/>
      </c>
      <c r="AD115" t="str">
        <f t="array" ref="AD115">IF(AB115="","",IFERROR(INDEX(_xlfn._xlws.FILTER($C$20:$C$51,$D$20:$D$51=Y115),AB115),""))</f>
        <v/>
      </c>
    </row>
    <row r="116" spans="2:30" x14ac:dyDescent="0.3">
      <c r="F116" s="33" t="str">
        <f t="shared" ref="F116:F131" si="31">IF(OR(AC116="",AD116=""),"",X116)</f>
        <v/>
      </c>
      <c r="G116" s="170" t="str">
        <f t="shared" ref="G116:G131" si="32">IF(F116="","",Y116)</f>
        <v/>
      </c>
      <c r="H116" s="171" t="str">
        <f t="shared" ref="H116:H131" si="33">IF(F116="","",AC116)</f>
        <v/>
      </c>
      <c r="I116" s="35"/>
      <c r="J116" s="35"/>
      <c r="K116" s="35"/>
      <c r="L116" s="171" t="str">
        <f t="shared" ref="L116:L131" si="34">IF(F116="","",AD116)</f>
        <v/>
      </c>
      <c r="M116" s="35"/>
      <c r="N116" s="35"/>
      <c r="O116" s="35"/>
      <c r="P116" s="158" t="str">
        <f t="shared" ref="P116:P131" si="35">IF(OR(H116="",I116="",M116=""),"",IF(AND(I116=M116,K116=O116),"Tie",IF(I116&gt;M116,"A",IF(M116&gt;I116,"B","Tie"))))</f>
        <v/>
      </c>
      <c r="Q116" s="158" t="str">
        <f t="shared" ref="Q116:Q131" si="36">IF(P116="","",IF(P116="A",H116,IF(P116="B",L116,IF(P116="Tie","Tie",""))))</f>
        <v/>
      </c>
      <c r="R116" s="158" t="str">
        <f t="shared" ref="R116:R131" si="37">IF(OR(P116="",P116="Tie",P116="NR"),"",IF(P116="A",IF(K116&gt;=O116,I116-M116,$D$17-J116),IF(K116&lt;=O116,M116-I116,$D$17-N116)))</f>
        <v/>
      </c>
      <c r="S116" s="159" t="str">
        <f t="shared" ref="S116:S131" si="38">IF(OR(P116="",P116="Tie",P116="NR"),"",IF(P116="A",IF(K116&gt;=O116,"Runs","Wickets"),IF(K116&lt;=O116,"Runs","Wickets")))</f>
        <v/>
      </c>
      <c r="T116" s="146" t="str">
        <f t="shared" ref="T116:T131" si="39">IF(OR(H116="",L116=""),"",H116&amp;" vs "&amp;L116)</f>
        <v/>
      </c>
      <c r="X116">
        <f t="shared" si="30"/>
        <v>97</v>
      </c>
      <c r="Y116" t="str">
        <f t="array" ref="Y116">_xlfn.LET(_xlpm.m,X116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6" t="str">
        <f t="array" ref="Z116">IF(Y116="","",_xlfn.LET(_xlpm.m,X116,_xlpm.names,_xlfn.TAKE($AC$7:$AC$10,$D$8),_xlpm.sizes,_xlfn.TAKE($AD$7:$AD$10,$D$8),_xlpm.counts,_xlpm.sizes*(_xlpm.sizes-1)/2,_xlpm.g,_xlfn.XMATCH(Y116,_xlpm.names),_xlpm.prev,IF(_xlpm.g=1,0,INDEX(_xlfn.SCAN(0,_xlpm.counts,_xlfn.LAMBDA(_xlpm.a,_xlpm.b,_xlpm.a+_xlpm.b)),_xlpm.g-1)),_xlpm.m-_xlpm.prev))</f>
        <v/>
      </c>
      <c r="AA116" t="str">
        <f t="array" ref="AA116">IF(Z116="","",_xlfn.LET(_xlpm.names,_xlfn.TAKE($AC$7:$AC$10,$D$8),_xlpm.n,INDEX(_xlfn.TAKE($AD$7:$AD$10,$D$8),_xlfn.XMATCH(Y116,_xlpm.names)),_xlpm.p,Z116,MATCH(TRUE,_xlpm.p&lt;=(_xlpm.n*_xlfn.SEQUENCE(_xlpm.n-1)-_xlfn.SEQUENCE(_xlpm.n-1)*(_xlfn.SEQUENCE(_xlpm.n-1)+1)/2),0)))</f>
        <v/>
      </c>
      <c r="AB116" t="str">
        <f t="array" ref="AB116">IF(Z116="","",_xlfn.LET(_xlpm.names,_xlfn.TAKE($AC$7:$AC$10,$D$8),_xlpm.n,INDEX(_xlfn.TAKE($AD$7:$AD$10,$D$8),_xlfn.XMATCH(Y116,_xlpm.names)),_xlpm.p,Z116,_xlpm.a,AA116,_xlpm.prev,IF(_xlpm.a=1,0,_xlpm.n*(_xlpm.a-1)-(_xlpm.a-1)*_xlpm.a/2),_xlpm.a+_xlpm.p-_xlpm.prev))</f>
        <v/>
      </c>
      <c r="AC116" t="str">
        <f t="array" ref="AC116">IF(AA116="","",IFERROR(INDEX(_xlfn._xlws.FILTER($C$20:$C$51,$D$20:$D$51=Y116),AA116),""))</f>
        <v/>
      </c>
      <c r="AD116" t="str">
        <f t="array" ref="AD116">IF(AB116="","",IFERROR(INDEX(_xlfn._xlws.FILTER($C$20:$C$51,$D$20:$D$51=Y116),AB116),""))</f>
        <v/>
      </c>
    </row>
    <row r="117" spans="2:30" x14ac:dyDescent="0.3">
      <c r="F117" s="33" t="str">
        <f t="shared" si="31"/>
        <v/>
      </c>
      <c r="G117" s="170" t="str">
        <f t="shared" si="32"/>
        <v/>
      </c>
      <c r="H117" s="171" t="str">
        <f t="shared" si="33"/>
        <v/>
      </c>
      <c r="I117" s="35"/>
      <c r="J117" s="35"/>
      <c r="K117" s="35"/>
      <c r="L117" s="171" t="str">
        <f t="shared" si="34"/>
        <v/>
      </c>
      <c r="M117" s="35"/>
      <c r="N117" s="35"/>
      <c r="O117" s="35"/>
      <c r="P117" s="158" t="str">
        <f t="shared" si="35"/>
        <v/>
      </c>
      <c r="Q117" s="158" t="str">
        <f t="shared" si="36"/>
        <v/>
      </c>
      <c r="R117" s="158" t="str">
        <f t="shared" si="37"/>
        <v/>
      </c>
      <c r="S117" s="159" t="str">
        <f t="shared" si="38"/>
        <v/>
      </c>
      <c r="T117" s="146" t="str">
        <f t="shared" si="39"/>
        <v/>
      </c>
      <c r="X117">
        <f t="shared" ref="X117:X131" si="40">X116+1</f>
        <v>98</v>
      </c>
      <c r="Y117" t="str">
        <f t="array" ref="Y117">_xlfn.LET(_xlpm.m,X117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7" t="str">
        <f t="array" ref="Z117">IF(Y117="","",_xlfn.LET(_xlpm.m,X117,_xlpm.names,_xlfn.TAKE($AC$7:$AC$10,$D$8),_xlpm.sizes,_xlfn.TAKE($AD$7:$AD$10,$D$8),_xlpm.counts,_xlpm.sizes*(_xlpm.sizes-1)/2,_xlpm.g,_xlfn.XMATCH(Y117,_xlpm.names),_xlpm.prev,IF(_xlpm.g=1,0,INDEX(_xlfn.SCAN(0,_xlpm.counts,_xlfn.LAMBDA(_xlpm.a,_xlpm.b,_xlpm.a+_xlpm.b)),_xlpm.g-1)),_xlpm.m-_xlpm.prev))</f>
        <v/>
      </c>
      <c r="AA117" t="str">
        <f t="array" ref="AA117">IF(Z117="","",_xlfn.LET(_xlpm.names,_xlfn.TAKE($AC$7:$AC$10,$D$8),_xlpm.n,INDEX(_xlfn.TAKE($AD$7:$AD$10,$D$8),_xlfn.XMATCH(Y117,_xlpm.names)),_xlpm.p,Z117,MATCH(TRUE,_xlpm.p&lt;=(_xlpm.n*_xlfn.SEQUENCE(_xlpm.n-1)-_xlfn.SEQUENCE(_xlpm.n-1)*(_xlfn.SEQUENCE(_xlpm.n-1)+1)/2),0)))</f>
        <v/>
      </c>
      <c r="AB117" t="str">
        <f t="array" ref="AB117">IF(Z117="","",_xlfn.LET(_xlpm.names,_xlfn.TAKE($AC$7:$AC$10,$D$8),_xlpm.n,INDEX(_xlfn.TAKE($AD$7:$AD$10,$D$8),_xlfn.XMATCH(Y117,_xlpm.names)),_xlpm.p,Z117,_xlpm.a,AA117,_xlpm.prev,IF(_xlpm.a=1,0,_xlpm.n*(_xlpm.a-1)-(_xlpm.a-1)*_xlpm.a/2),_xlpm.a+_xlpm.p-_xlpm.prev))</f>
        <v/>
      </c>
      <c r="AC117" t="str">
        <f t="array" ref="AC117">IF(AA117="","",IFERROR(INDEX(_xlfn._xlws.FILTER($C$20:$C$51,$D$20:$D$51=Y117),AA117),""))</f>
        <v/>
      </c>
      <c r="AD117" t="str">
        <f t="array" ref="AD117">IF(AB117="","",IFERROR(INDEX(_xlfn._xlws.FILTER($C$20:$C$51,$D$20:$D$51=Y117),AB117),""))</f>
        <v/>
      </c>
    </row>
    <row r="118" spans="2:30" x14ac:dyDescent="0.3">
      <c r="F118" s="33" t="str">
        <f t="shared" si="31"/>
        <v/>
      </c>
      <c r="G118" s="170" t="str">
        <f t="shared" si="32"/>
        <v/>
      </c>
      <c r="H118" s="171" t="str">
        <f t="shared" si="33"/>
        <v/>
      </c>
      <c r="I118" s="35"/>
      <c r="J118" s="35"/>
      <c r="K118" s="35"/>
      <c r="L118" s="171" t="str">
        <f t="shared" si="34"/>
        <v/>
      </c>
      <c r="M118" s="35"/>
      <c r="N118" s="35"/>
      <c r="O118" s="35"/>
      <c r="P118" s="158" t="str">
        <f t="shared" si="35"/>
        <v/>
      </c>
      <c r="Q118" s="158" t="str">
        <f t="shared" si="36"/>
        <v/>
      </c>
      <c r="R118" s="158" t="str">
        <f t="shared" si="37"/>
        <v/>
      </c>
      <c r="S118" s="159" t="str">
        <f t="shared" si="38"/>
        <v/>
      </c>
      <c r="T118" s="146" t="str">
        <f t="shared" si="39"/>
        <v/>
      </c>
      <c r="X118">
        <f t="shared" si="40"/>
        <v>99</v>
      </c>
      <c r="Y118" t="str">
        <f t="array" ref="Y118">_xlfn.LET(_xlpm.m,X118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8" t="str">
        <f t="array" ref="Z118">IF(Y118="","",_xlfn.LET(_xlpm.m,X118,_xlpm.names,_xlfn.TAKE($AC$7:$AC$10,$D$8),_xlpm.sizes,_xlfn.TAKE($AD$7:$AD$10,$D$8),_xlpm.counts,_xlpm.sizes*(_xlpm.sizes-1)/2,_xlpm.g,_xlfn.XMATCH(Y118,_xlpm.names),_xlpm.prev,IF(_xlpm.g=1,0,INDEX(_xlfn.SCAN(0,_xlpm.counts,_xlfn.LAMBDA(_xlpm.a,_xlpm.b,_xlpm.a+_xlpm.b)),_xlpm.g-1)),_xlpm.m-_xlpm.prev))</f>
        <v/>
      </c>
      <c r="AA118" t="str">
        <f t="array" ref="AA118">IF(Z118="","",_xlfn.LET(_xlpm.names,_xlfn.TAKE($AC$7:$AC$10,$D$8),_xlpm.n,INDEX(_xlfn.TAKE($AD$7:$AD$10,$D$8),_xlfn.XMATCH(Y118,_xlpm.names)),_xlpm.p,Z118,MATCH(TRUE,_xlpm.p&lt;=(_xlpm.n*_xlfn.SEQUENCE(_xlpm.n-1)-_xlfn.SEQUENCE(_xlpm.n-1)*(_xlfn.SEQUENCE(_xlpm.n-1)+1)/2),0)))</f>
        <v/>
      </c>
      <c r="AB118" t="str">
        <f t="array" ref="AB118">IF(Z118="","",_xlfn.LET(_xlpm.names,_xlfn.TAKE($AC$7:$AC$10,$D$8),_xlpm.n,INDEX(_xlfn.TAKE($AD$7:$AD$10,$D$8),_xlfn.XMATCH(Y118,_xlpm.names)),_xlpm.p,Z118,_xlpm.a,AA118,_xlpm.prev,IF(_xlpm.a=1,0,_xlpm.n*(_xlpm.a-1)-(_xlpm.a-1)*_xlpm.a/2),_xlpm.a+_xlpm.p-_xlpm.prev))</f>
        <v/>
      </c>
      <c r="AC118" t="str">
        <f t="array" ref="AC118">IF(AA118="","",IFERROR(INDEX(_xlfn._xlws.FILTER($C$20:$C$51,$D$20:$D$51=Y118),AA118),""))</f>
        <v/>
      </c>
      <c r="AD118" t="str">
        <f t="array" ref="AD118">IF(AB118="","",IFERROR(INDEX(_xlfn._xlws.FILTER($C$20:$C$51,$D$20:$D$51=Y118),AB118),""))</f>
        <v/>
      </c>
    </row>
    <row r="119" spans="2:30" x14ac:dyDescent="0.3">
      <c r="F119" s="33" t="str">
        <f t="shared" si="31"/>
        <v/>
      </c>
      <c r="G119" s="170" t="str">
        <f t="shared" si="32"/>
        <v/>
      </c>
      <c r="H119" s="171" t="str">
        <f t="shared" si="33"/>
        <v/>
      </c>
      <c r="I119" s="35"/>
      <c r="J119" s="35"/>
      <c r="K119" s="35"/>
      <c r="L119" s="171" t="str">
        <f t="shared" si="34"/>
        <v/>
      </c>
      <c r="M119" s="35"/>
      <c r="N119" s="35"/>
      <c r="O119" s="35"/>
      <c r="P119" s="158" t="str">
        <f t="shared" si="35"/>
        <v/>
      </c>
      <c r="Q119" s="158" t="str">
        <f t="shared" si="36"/>
        <v/>
      </c>
      <c r="R119" s="158" t="str">
        <f t="shared" si="37"/>
        <v/>
      </c>
      <c r="S119" s="159" t="str">
        <f t="shared" si="38"/>
        <v/>
      </c>
      <c r="T119" s="146" t="str">
        <f t="shared" si="39"/>
        <v/>
      </c>
      <c r="X119">
        <f t="shared" si="40"/>
        <v>100</v>
      </c>
      <c r="Y119" t="str">
        <f t="array" ref="Y119">_xlfn.LET(_xlpm.m,X119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9" t="str">
        <f t="array" ref="Z119">IF(Y119="","",_xlfn.LET(_xlpm.m,X119,_xlpm.names,_xlfn.TAKE($AC$7:$AC$10,$D$8),_xlpm.sizes,_xlfn.TAKE($AD$7:$AD$10,$D$8),_xlpm.counts,_xlpm.sizes*(_xlpm.sizes-1)/2,_xlpm.g,_xlfn.XMATCH(Y119,_xlpm.names),_xlpm.prev,IF(_xlpm.g=1,0,INDEX(_xlfn.SCAN(0,_xlpm.counts,_xlfn.LAMBDA(_xlpm.a,_xlpm.b,_xlpm.a+_xlpm.b)),_xlpm.g-1)),_xlpm.m-_xlpm.prev))</f>
        <v/>
      </c>
      <c r="AA119" t="str">
        <f t="array" ref="AA119">IF(Z119="","",_xlfn.LET(_xlpm.names,_xlfn.TAKE($AC$7:$AC$10,$D$8),_xlpm.n,INDEX(_xlfn.TAKE($AD$7:$AD$10,$D$8),_xlfn.XMATCH(Y119,_xlpm.names)),_xlpm.p,Z119,MATCH(TRUE,_xlpm.p&lt;=(_xlpm.n*_xlfn.SEQUENCE(_xlpm.n-1)-_xlfn.SEQUENCE(_xlpm.n-1)*(_xlfn.SEQUENCE(_xlpm.n-1)+1)/2),0)))</f>
        <v/>
      </c>
      <c r="AB119" t="str">
        <f t="array" ref="AB119">IF(Z119="","",_xlfn.LET(_xlpm.names,_xlfn.TAKE($AC$7:$AC$10,$D$8),_xlpm.n,INDEX(_xlfn.TAKE($AD$7:$AD$10,$D$8),_xlfn.XMATCH(Y119,_xlpm.names)),_xlpm.p,Z119,_xlpm.a,AA119,_xlpm.prev,IF(_xlpm.a=1,0,_xlpm.n*(_xlpm.a-1)-(_xlpm.a-1)*_xlpm.a/2),_xlpm.a+_xlpm.p-_xlpm.prev))</f>
        <v/>
      </c>
      <c r="AC119" t="str">
        <f t="array" ref="AC119">IF(AA119="","",IFERROR(INDEX(_xlfn._xlws.FILTER($C$20:$C$51,$D$20:$D$51=Y119),AA119),""))</f>
        <v/>
      </c>
      <c r="AD119" t="str">
        <f t="array" ref="AD119">IF(AB119="","",IFERROR(INDEX(_xlfn._xlws.FILTER($C$20:$C$51,$D$20:$D$51=Y119),AB119),""))</f>
        <v/>
      </c>
    </row>
    <row r="120" spans="2:30" x14ac:dyDescent="0.3">
      <c r="F120" s="149" t="str">
        <f t="shared" si="31"/>
        <v/>
      </c>
      <c r="G120" s="13" t="str">
        <f t="shared" si="32"/>
        <v/>
      </c>
      <c r="H120" s="160" t="str">
        <f t="shared" si="33"/>
        <v/>
      </c>
      <c r="I120" s="34"/>
      <c r="J120" s="34"/>
      <c r="K120" s="34"/>
      <c r="L120" s="160" t="str">
        <f t="shared" si="34"/>
        <v/>
      </c>
      <c r="M120" s="34"/>
      <c r="N120" s="34"/>
      <c r="O120" s="34"/>
      <c r="P120" s="13" t="str">
        <f t="shared" si="35"/>
        <v/>
      </c>
      <c r="Q120" s="13" t="str">
        <f t="shared" si="36"/>
        <v/>
      </c>
      <c r="R120" s="13" t="str">
        <f t="shared" si="37"/>
        <v/>
      </c>
      <c r="S120" s="150" t="str">
        <f t="shared" si="38"/>
        <v/>
      </c>
      <c r="T120" s="144" t="str">
        <f t="shared" si="39"/>
        <v/>
      </c>
      <c r="X120">
        <f t="shared" si="40"/>
        <v>101</v>
      </c>
      <c r="Y120" t="str">
        <f t="array" ref="Y120">_xlfn.LET(_xlpm.m,X120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0" t="str">
        <f t="array" ref="Z120">IF(Y120="","",_xlfn.LET(_xlpm.m,X120,_xlpm.names,_xlfn.TAKE($AC$7:$AC$10,$D$8),_xlpm.sizes,_xlfn.TAKE($AD$7:$AD$10,$D$8),_xlpm.counts,_xlpm.sizes*(_xlpm.sizes-1)/2,_xlpm.g,_xlfn.XMATCH(Y120,_xlpm.names),_xlpm.prev,IF(_xlpm.g=1,0,INDEX(_xlfn.SCAN(0,_xlpm.counts,_xlfn.LAMBDA(_xlpm.a,_xlpm.b,_xlpm.a+_xlpm.b)),_xlpm.g-1)),_xlpm.m-_xlpm.prev))</f>
        <v/>
      </c>
      <c r="AA120" t="str">
        <f t="array" ref="AA120">IF(Z120="","",_xlfn.LET(_xlpm.names,_xlfn.TAKE($AC$7:$AC$10,$D$8),_xlpm.n,INDEX(_xlfn.TAKE($AD$7:$AD$10,$D$8),_xlfn.XMATCH(Y120,_xlpm.names)),_xlpm.p,Z120,MATCH(TRUE,_xlpm.p&lt;=(_xlpm.n*_xlfn.SEQUENCE(_xlpm.n-1)-_xlfn.SEQUENCE(_xlpm.n-1)*(_xlfn.SEQUENCE(_xlpm.n-1)+1)/2),0)))</f>
        <v/>
      </c>
      <c r="AB120" t="str">
        <f t="array" ref="AB120">IF(Z120="","",_xlfn.LET(_xlpm.names,_xlfn.TAKE($AC$7:$AC$10,$D$8),_xlpm.n,INDEX(_xlfn.TAKE($AD$7:$AD$10,$D$8),_xlfn.XMATCH(Y120,_xlpm.names)),_xlpm.p,Z120,_xlpm.a,AA120,_xlpm.prev,IF(_xlpm.a=1,0,_xlpm.n*(_xlpm.a-1)-(_xlpm.a-1)*_xlpm.a/2),_xlpm.a+_xlpm.p-_xlpm.prev))</f>
        <v/>
      </c>
      <c r="AC120" t="str">
        <f t="array" ref="AC120">IF(AA120="","",IFERROR(INDEX(_xlfn._xlws.FILTER($C$20:$C$51,$D$20:$D$51=Y120),AA120),""))</f>
        <v/>
      </c>
      <c r="AD120" t="str">
        <f t="array" ref="AD120">IF(AB120="","",IFERROR(INDEX(_xlfn._xlws.FILTER($C$20:$C$51,$D$20:$D$51=Y120),AB120),""))</f>
        <v/>
      </c>
    </row>
    <row r="121" spans="2:30" x14ac:dyDescent="0.3">
      <c r="F121" s="149" t="str">
        <f t="shared" si="31"/>
        <v/>
      </c>
      <c r="G121" s="13" t="str">
        <f t="shared" si="32"/>
        <v/>
      </c>
      <c r="H121" s="160" t="str">
        <f t="shared" si="33"/>
        <v/>
      </c>
      <c r="I121" s="34"/>
      <c r="J121" s="34"/>
      <c r="K121" s="34"/>
      <c r="L121" s="160" t="str">
        <f t="shared" si="34"/>
        <v/>
      </c>
      <c r="M121" s="34"/>
      <c r="N121" s="34"/>
      <c r="O121" s="34"/>
      <c r="P121" s="13" t="str">
        <f t="shared" si="35"/>
        <v/>
      </c>
      <c r="Q121" s="13" t="str">
        <f t="shared" si="36"/>
        <v/>
      </c>
      <c r="R121" s="13" t="str">
        <f t="shared" si="37"/>
        <v/>
      </c>
      <c r="S121" s="150" t="str">
        <f t="shared" si="38"/>
        <v/>
      </c>
      <c r="T121" s="144" t="str">
        <f t="shared" si="39"/>
        <v/>
      </c>
      <c r="X121">
        <f t="shared" si="40"/>
        <v>102</v>
      </c>
      <c r="Y121" t="str">
        <f t="array" ref="Y121">_xlfn.LET(_xlpm.m,X121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1" t="str">
        <f t="array" ref="Z121">IF(Y121="","",_xlfn.LET(_xlpm.m,X121,_xlpm.names,_xlfn.TAKE($AC$7:$AC$10,$D$8),_xlpm.sizes,_xlfn.TAKE($AD$7:$AD$10,$D$8),_xlpm.counts,_xlpm.sizes*(_xlpm.sizes-1)/2,_xlpm.g,_xlfn.XMATCH(Y121,_xlpm.names),_xlpm.prev,IF(_xlpm.g=1,0,INDEX(_xlfn.SCAN(0,_xlpm.counts,_xlfn.LAMBDA(_xlpm.a,_xlpm.b,_xlpm.a+_xlpm.b)),_xlpm.g-1)),_xlpm.m-_xlpm.prev))</f>
        <v/>
      </c>
      <c r="AA121" t="str">
        <f t="array" ref="AA121">IF(Z121="","",_xlfn.LET(_xlpm.names,_xlfn.TAKE($AC$7:$AC$10,$D$8),_xlpm.n,INDEX(_xlfn.TAKE($AD$7:$AD$10,$D$8),_xlfn.XMATCH(Y121,_xlpm.names)),_xlpm.p,Z121,MATCH(TRUE,_xlpm.p&lt;=(_xlpm.n*_xlfn.SEQUENCE(_xlpm.n-1)-_xlfn.SEQUENCE(_xlpm.n-1)*(_xlfn.SEQUENCE(_xlpm.n-1)+1)/2),0)))</f>
        <v/>
      </c>
      <c r="AB121" t="str">
        <f t="array" ref="AB121">IF(Z121="","",_xlfn.LET(_xlpm.names,_xlfn.TAKE($AC$7:$AC$10,$D$8),_xlpm.n,INDEX(_xlfn.TAKE($AD$7:$AD$10,$D$8),_xlfn.XMATCH(Y121,_xlpm.names)),_xlpm.p,Z121,_xlpm.a,AA121,_xlpm.prev,IF(_xlpm.a=1,0,_xlpm.n*(_xlpm.a-1)-(_xlpm.a-1)*_xlpm.a/2),_xlpm.a+_xlpm.p-_xlpm.prev))</f>
        <v/>
      </c>
      <c r="AC121" t="str">
        <f t="array" ref="AC121">IF(AA121="","",IFERROR(INDEX(_xlfn._xlws.FILTER($C$20:$C$51,$D$20:$D$51=Y121),AA121),""))</f>
        <v/>
      </c>
      <c r="AD121" t="str">
        <f t="array" ref="AD121">IF(AB121="","",IFERROR(INDEX(_xlfn._xlws.FILTER($C$20:$C$51,$D$20:$D$51=Y121),AB121),""))</f>
        <v/>
      </c>
    </row>
    <row r="122" spans="2:30" x14ac:dyDescent="0.3">
      <c r="B122" t="s">
        <v>74</v>
      </c>
      <c r="F122" s="149" t="str">
        <f t="shared" si="31"/>
        <v/>
      </c>
      <c r="G122" s="13" t="str">
        <f t="shared" si="32"/>
        <v/>
      </c>
      <c r="H122" s="160" t="str">
        <f t="shared" si="33"/>
        <v/>
      </c>
      <c r="I122" s="34"/>
      <c r="J122" s="34"/>
      <c r="K122" s="34"/>
      <c r="L122" s="160" t="str">
        <f t="shared" si="34"/>
        <v/>
      </c>
      <c r="M122" s="34"/>
      <c r="N122" s="34"/>
      <c r="O122" s="34"/>
      <c r="P122" s="13" t="str">
        <f t="shared" si="35"/>
        <v/>
      </c>
      <c r="Q122" s="13" t="str">
        <f t="shared" si="36"/>
        <v/>
      </c>
      <c r="R122" s="13" t="str">
        <f t="shared" si="37"/>
        <v/>
      </c>
      <c r="S122" s="150" t="str">
        <f t="shared" si="38"/>
        <v/>
      </c>
      <c r="T122" s="144" t="str">
        <f t="shared" si="39"/>
        <v/>
      </c>
      <c r="X122">
        <f t="shared" si="40"/>
        <v>103</v>
      </c>
      <c r="Y122" t="str">
        <f t="array" ref="Y122">_xlfn.LET(_xlpm.m,X122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2" t="str">
        <f t="array" ref="Z122">IF(Y122="","",_xlfn.LET(_xlpm.m,X122,_xlpm.names,_xlfn.TAKE($AC$7:$AC$10,$D$8),_xlpm.sizes,_xlfn.TAKE($AD$7:$AD$10,$D$8),_xlpm.counts,_xlpm.sizes*(_xlpm.sizes-1)/2,_xlpm.g,_xlfn.XMATCH(Y122,_xlpm.names),_xlpm.prev,IF(_xlpm.g=1,0,INDEX(_xlfn.SCAN(0,_xlpm.counts,_xlfn.LAMBDA(_xlpm.a,_xlpm.b,_xlpm.a+_xlpm.b)),_xlpm.g-1)),_xlpm.m-_xlpm.prev))</f>
        <v/>
      </c>
      <c r="AA122" t="str">
        <f t="array" ref="AA122">IF(Z122="","",_xlfn.LET(_xlpm.names,_xlfn.TAKE($AC$7:$AC$10,$D$8),_xlpm.n,INDEX(_xlfn.TAKE($AD$7:$AD$10,$D$8),_xlfn.XMATCH(Y122,_xlpm.names)),_xlpm.p,Z122,MATCH(TRUE,_xlpm.p&lt;=(_xlpm.n*_xlfn.SEQUENCE(_xlpm.n-1)-_xlfn.SEQUENCE(_xlpm.n-1)*(_xlfn.SEQUENCE(_xlpm.n-1)+1)/2),0)))</f>
        <v/>
      </c>
      <c r="AB122" t="str">
        <f t="array" ref="AB122">IF(Z122="","",_xlfn.LET(_xlpm.names,_xlfn.TAKE($AC$7:$AC$10,$D$8),_xlpm.n,INDEX(_xlfn.TAKE($AD$7:$AD$10,$D$8),_xlfn.XMATCH(Y122,_xlpm.names)),_xlpm.p,Z122,_xlpm.a,AA122,_xlpm.prev,IF(_xlpm.a=1,0,_xlpm.n*(_xlpm.a-1)-(_xlpm.a-1)*_xlpm.a/2),_xlpm.a+_xlpm.p-_xlpm.prev))</f>
        <v/>
      </c>
      <c r="AC122" t="str">
        <f t="array" ref="AC122">IF(AA122="","",IFERROR(INDEX(_xlfn._xlws.FILTER($C$20:$C$51,$D$20:$D$51=Y122),AA122),""))</f>
        <v/>
      </c>
      <c r="AD122" t="str">
        <f t="array" ref="AD122">IF(AB122="","",IFERROR(INDEX(_xlfn._xlws.FILTER($C$20:$C$51,$D$20:$D$51=Y122),AB122),""))</f>
        <v/>
      </c>
    </row>
    <row r="123" spans="2:30" x14ac:dyDescent="0.3">
      <c r="F123" s="149" t="str">
        <f t="shared" si="31"/>
        <v/>
      </c>
      <c r="G123" s="13" t="str">
        <f t="shared" si="32"/>
        <v/>
      </c>
      <c r="H123" s="160" t="str">
        <f t="shared" si="33"/>
        <v/>
      </c>
      <c r="I123" s="34"/>
      <c r="J123" s="34"/>
      <c r="K123" s="34"/>
      <c r="L123" s="160" t="str">
        <f t="shared" si="34"/>
        <v/>
      </c>
      <c r="M123" s="34"/>
      <c r="N123" s="34"/>
      <c r="O123" s="34"/>
      <c r="P123" s="13" t="str">
        <f t="shared" si="35"/>
        <v/>
      </c>
      <c r="Q123" s="13" t="str">
        <f t="shared" si="36"/>
        <v/>
      </c>
      <c r="R123" s="13" t="str">
        <f t="shared" si="37"/>
        <v/>
      </c>
      <c r="S123" s="150" t="str">
        <f t="shared" si="38"/>
        <v/>
      </c>
      <c r="T123" s="144" t="str">
        <f t="shared" si="39"/>
        <v/>
      </c>
      <c r="X123">
        <f t="shared" si="40"/>
        <v>104</v>
      </c>
      <c r="Y123" t="str">
        <f t="array" ref="Y123">_xlfn.LET(_xlpm.m,X123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3" t="str">
        <f t="array" ref="Z123">IF(Y123="","",_xlfn.LET(_xlpm.m,X123,_xlpm.names,_xlfn.TAKE($AC$7:$AC$10,$D$8),_xlpm.sizes,_xlfn.TAKE($AD$7:$AD$10,$D$8),_xlpm.counts,_xlpm.sizes*(_xlpm.sizes-1)/2,_xlpm.g,_xlfn.XMATCH(Y123,_xlpm.names),_xlpm.prev,IF(_xlpm.g=1,0,INDEX(_xlfn.SCAN(0,_xlpm.counts,_xlfn.LAMBDA(_xlpm.a,_xlpm.b,_xlpm.a+_xlpm.b)),_xlpm.g-1)),_xlpm.m-_xlpm.prev))</f>
        <v/>
      </c>
      <c r="AA123" t="str">
        <f t="array" ref="AA123">IF(Z123="","",_xlfn.LET(_xlpm.names,_xlfn.TAKE($AC$7:$AC$10,$D$8),_xlpm.n,INDEX(_xlfn.TAKE($AD$7:$AD$10,$D$8),_xlfn.XMATCH(Y123,_xlpm.names)),_xlpm.p,Z123,MATCH(TRUE,_xlpm.p&lt;=(_xlpm.n*_xlfn.SEQUENCE(_xlpm.n-1)-_xlfn.SEQUENCE(_xlpm.n-1)*(_xlfn.SEQUENCE(_xlpm.n-1)+1)/2),0)))</f>
        <v/>
      </c>
      <c r="AB123" t="str">
        <f t="array" ref="AB123">IF(Z123="","",_xlfn.LET(_xlpm.names,_xlfn.TAKE($AC$7:$AC$10,$D$8),_xlpm.n,INDEX(_xlfn.TAKE($AD$7:$AD$10,$D$8),_xlfn.XMATCH(Y123,_xlpm.names)),_xlpm.p,Z123,_xlpm.a,AA123,_xlpm.prev,IF(_xlpm.a=1,0,_xlpm.n*(_xlpm.a-1)-(_xlpm.a-1)*_xlpm.a/2),_xlpm.a+_xlpm.p-_xlpm.prev))</f>
        <v/>
      </c>
      <c r="AC123" t="str">
        <f t="array" ref="AC123">IF(AA123="","",IFERROR(INDEX(_xlfn._xlws.FILTER($C$20:$C$51,$D$20:$D$51=Y123),AA123),""))</f>
        <v/>
      </c>
      <c r="AD123" t="str">
        <f t="array" ref="AD123">IF(AB123="","",IFERROR(INDEX(_xlfn._xlws.FILTER($C$20:$C$51,$D$20:$D$51=Y123),AB123),""))</f>
        <v/>
      </c>
    </row>
    <row r="124" spans="2:30" x14ac:dyDescent="0.3">
      <c r="B124" t="s">
        <v>75</v>
      </c>
      <c r="F124" s="149" t="str">
        <f t="shared" si="31"/>
        <v/>
      </c>
      <c r="G124" s="13" t="str">
        <f t="shared" si="32"/>
        <v/>
      </c>
      <c r="H124" s="160" t="str">
        <f t="shared" si="33"/>
        <v/>
      </c>
      <c r="I124" s="34"/>
      <c r="J124" s="34"/>
      <c r="K124" s="34"/>
      <c r="L124" s="160" t="str">
        <f t="shared" si="34"/>
        <v/>
      </c>
      <c r="M124" s="34"/>
      <c r="N124" s="34"/>
      <c r="O124" s="34"/>
      <c r="P124" s="13" t="str">
        <f t="shared" si="35"/>
        <v/>
      </c>
      <c r="Q124" s="13" t="str">
        <f t="shared" si="36"/>
        <v/>
      </c>
      <c r="R124" s="13" t="str">
        <f t="shared" si="37"/>
        <v/>
      </c>
      <c r="S124" s="150" t="str">
        <f t="shared" si="38"/>
        <v/>
      </c>
      <c r="T124" s="144" t="str">
        <f t="shared" si="39"/>
        <v/>
      </c>
      <c r="X124">
        <f t="shared" si="40"/>
        <v>105</v>
      </c>
      <c r="Y124" t="str">
        <f t="array" ref="Y124">_xlfn.LET(_xlpm.m,X124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4" t="str">
        <f t="array" ref="Z124">IF(Y124="","",_xlfn.LET(_xlpm.m,X124,_xlpm.names,_xlfn.TAKE($AC$7:$AC$10,$D$8),_xlpm.sizes,_xlfn.TAKE($AD$7:$AD$10,$D$8),_xlpm.counts,_xlpm.sizes*(_xlpm.sizes-1)/2,_xlpm.g,_xlfn.XMATCH(Y124,_xlpm.names),_xlpm.prev,IF(_xlpm.g=1,0,INDEX(_xlfn.SCAN(0,_xlpm.counts,_xlfn.LAMBDA(_xlpm.a,_xlpm.b,_xlpm.a+_xlpm.b)),_xlpm.g-1)),_xlpm.m-_xlpm.prev))</f>
        <v/>
      </c>
      <c r="AA124" t="str">
        <f t="array" ref="AA124">IF(Z124="","",_xlfn.LET(_xlpm.names,_xlfn.TAKE($AC$7:$AC$10,$D$8),_xlpm.n,INDEX(_xlfn.TAKE($AD$7:$AD$10,$D$8),_xlfn.XMATCH(Y124,_xlpm.names)),_xlpm.p,Z124,MATCH(TRUE,_xlpm.p&lt;=(_xlpm.n*_xlfn.SEQUENCE(_xlpm.n-1)-_xlfn.SEQUENCE(_xlpm.n-1)*(_xlfn.SEQUENCE(_xlpm.n-1)+1)/2),0)))</f>
        <v/>
      </c>
      <c r="AB124" t="str">
        <f t="array" ref="AB124">IF(Z124="","",_xlfn.LET(_xlpm.names,_xlfn.TAKE($AC$7:$AC$10,$D$8),_xlpm.n,INDEX(_xlfn.TAKE($AD$7:$AD$10,$D$8),_xlfn.XMATCH(Y124,_xlpm.names)),_xlpm.p,Z124,_xlpm.a,AA124,_xlpm.prev,IF(_xlpm.a=1,0,_xlpm.n*(_xlpm.a-1)-(_xlpm.a-1)*_xlpm.a/2),_xlpm.a+_xlpm.p-_xlpm.prev))</f>
        <v/>
      </c>
      <c r="AC124" t="str">
        <f t="array" ref="AC124">IF(AA124="","",IFERROR(INDEX(_xlfn._xlws.FILTER($C$20:$C$51,$D$20:$D$51=Y124),AA124),""))</f>
        <v/>
      </c>
      <c r="AD124" t="str">
        <f t="array" ref="AD124">IF(AB124="","",IFERROR(INDEX(_xlfn._xlws.FILTER($C$20:$C$51,$D$20:$D$51=Y124),AB124),""))</f>
        <v/>
      </c>
    </row>
    <row r="125" spans="2:30" ht="28.8" customHeight="1" x14ac:dyDescent="0.3">
      <c r="B125" s="162" t="s">
        <v>76</v>
      </c>
      <c r="F125" s="149" t="str">
        <f t="shared" si="31"/>
        <v/>
      </c>
      <c r="G125" s="13" t="str">
        <f t="shared" si="32"/>
        <v/>
      </c>
      <c r="H125" s="160" t="str">
        <f t="shared" si="33"/>
        <v/>
      </c>
      <c r="I125" s="34"/>
      <c r="J125" s="34"/>
      <c r="K125" s="34"/>
      <c r="L125" s="160" t="str">
        <f t="shared" si="34"/>
        <v/>
      </c>
      <c r="M125" s="34"/>
      <c r="N125" s="34"/>
      <c r="O125" s="34"/>
      <c r="P125" s="13" t="str">
        <f t="shared" si="35"/>
        <v/>
      </c>
      <c r="Q125" s="13" t="str">
        <f t="shared" si="36"/>
        <v/>
      </c>
      <c r="R125" s="13" t="str">
        <f t="shared" si="37"/>
        <v/>
      </c>
      <c r="S125" s="150" t="str">
        <f t="shared" si="38"/>
        <v/>
      </c>
      <c r="T125" s="144" t="str">
        <f t="shared" si="39"/>
        <v/>
      </c>
      <c r="X125">
        <f t="shared" si="40"/>
        <v>106</v>
      </c>
      <c r="Y125" t="str">
        <f t="array" ref="Y125">_xlfn.LET(_xlpm.m,X125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5" t="str">
        <f t="array" ref="Z125">IF(Y125="","",_xlfn.LET(_xlpm.m,X125,_xlpm.names,_xlfn.TAKE($AC$7:$AC$10,$D$8),_xlpm.sizes,_xlfn.TAKE($AD$7:$AD$10,$D$8),_xlpm.counts,_xlpm.sizes*(_xlpm.sizes-1)/2,_xlpm.g,_xlfn.XMATCH(Y125,_xlpm.names),_xlpm.prev,IF(_xlpm.g=1,0,INDEX(_xlfn.SCAN(0,_xlpm.counts,_xlfn.LAMBDA(_xlpm.a,_xlpm.b,_xlpm.a+_xlpm.b)),_xlpm.g-1)),_xlpm.m-_xlpm.prev))</f>
        <v/>
      </c>
      <c r="AA125" t="str">
        <f t="array" ref="AA125">IF(Z125="","",_xlfn.LET(_xlpm.names,_xlfn.TAKE($AC$7:$AC$10,$D$8),_xlpm.n,INDEX(_xlfn.TAKE($AD$7:$AD$10,$D$8),_xlfn.XMATCH(Y125,_xlpm.names)),_xlpm.p,Z125,MATCH(TRUE,_xlpm.p&lt;=(_xlpm.n*_xlfn.SEQUENCE(_xlpm.n-1)-_xlfn.SEQUENCE(_xlpm.n-1)*(_xlfn.SEQUENCE(_xlpm.n-1)+1)/2),0)))</f>
        <v/>
      </c>
      <c r="AB125" t="str">
        <f t="array" ref="AB125">IF(Z125="","",_xlfn.LET(_xlpm.names,_xlfn.TAKE($AC$7:$AC$10,$D$8),_xlpm.n,INDEX(_xlfn.TAKE($AD$7:$AD$10,$D$8),_xlfn.XMATCH(Y125,_xlpm.names)),_xlpm.p,Z125,_xlpm.a,AA125,_xlpm.prev,IF(_xlpm.a=1,0,_xlpm.n*(_xlpm.a-1)-(_xlpm.a-1)*_xlpm.a/2),_xlpm.a+_xlpm.p-_xlpm.prev))</f>
        <v/>
      </c>
      <c r="AC125" t="str">
        <f t="array" ref="AC125">IF(AA125="","",IFERROR(INDEX(_xlfn._xlws.FILTER($C$20:$C$51,$D$20:$D$51=Y125),AA125),""))</f>
        <v/>
      </c>
      <c r="AD125" t="str">
        <f t="array" ref="AD125">IF(AB125="","",IFERROR(INDEX(_xlfn._xlws.FILTER($C$20:$C$51,$D$20:$D$51=Y125),AB125),""))</f>
        <v/>
      </c>
    </row>
    <row r="126" spans="2:30" ht="28.8" customHeight="1" x14ac:dyDescent="0.3">
      <c r="B126" s="162" t="s">
        <v>77</v>
      </c>
      <c r="F126" s="149" t="str">
        <f t="shared" si="31"/>
        <v/>
      </c>
      <c r="G126" s="13" t="str">
        <f t="shared" si="32"/>
        <v/>
      </c>
      <c r="H126" s="160" t="str">
        <f t="shared" si="33"/>
        <v/>
      </c>
      <c r="I126" s="34"/>
      <c r="J126" s="34"/>
      <c r="K126" s="34"/>
      <c r="L126" s="160" t="str">
        <f t="shared" si="34"/>
        <v/>
      </c>
      <c r="M126" s="34"/>
      <c r="N126" s="34"/>
      <c r="O126" s="34"/>
      <c r="P126" s="13" t="str">
        <f t="shared" si="35"/>
        <v/>
      </c>
      <c r="Q126" s="13" t="str">
        <f t="shared" si="36"/>
        <v/>
      </c>
      <c r="R126" s="13" t="str">
        <f t="shared" si="37"/>
        <v/>
      </c>
      <c r="S126" s="150" t="str">
        <f t="shared" si="38"/>
        <v/>
      </c>
      <c r="T126" s="144" t="str">
        <f t="shared" si="39"/>
        <v/>
      </c>
      <c r="X126">
        <f t="shared" si="40"/>
        <v>107</v>
      </c>
      <c r="Y126" t="str">
        <f t="array" ref="Y126">_xlfn.LET(_xlpm.m,X126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6" t="str">
        <f t="array" ref="Z126">IF(Y126="","",_xlfn.LET(_xlpm.m,X126,_xlpm.names,_xlfn.TAKE($AC$7:$AC$10,$D$8),_xlpm.sizes,_xlfn.TAKE($AD$7:$AD$10,$D$8),_xlpm.counts,_xlpm.sizes*(_xlpm.sizes-1)/2,_xlpm.g,_xlfn.XMATCH(Y126,_xlpm.names),_xlpm.prev,IF(_xlpm.g=1,0,INDEX(_xlfn.SCAN(0,_xlpm.counts,_xlfn.LAMBDA(_xlpm.a,_xlpm.b,_xlpm.a+_xlpm.b)),_xlpm.g-1)),_xlpm.m-_xlpm.prev))</f>
        <v/>
      </c>
      <c r="AA126" t="str">
        <f t="array" ref="AA126">IF(Z126="","",_xlfn.LET(_xlpm.names,_xlfn.TAKE($AC$7:$AC$10,$D$8),_xlpm.n,INDEX(_xlfn.TAKE($AD$7:$AD$10,$D$8),_xlfn.XMATCH(Y126,_xlpm.names)),_xlpm.p,Z126,MATCH(TRUE,_xlpm.p&lt;=(_xlpm.n*_xlfn.SEQUENCE(_xlpm.n-1)-_xlfn.SEQUENCE(_xlpm.n-1)*(_xlfn.SEQUENCE(_xlpm.n-1)+1)/2),0)))</f>
        <v/>
      </c>
      <c r="AB126" t="str">
        <f t="array" ref="AB126">IF(Z126="","",_xlfn.LET(_xlpm.names,_xlfn.TAKE($AC$7:$AC$10,$D$8),_xlpm.n,INDEX(_xlfn.TAKE($AD$7:$AD$10,$D$8),_xlfn.XMATCH(Y126,_xlpm.names)),_xlpm.p,Z126,_xlpm.a,AA126,_xlpm.prev,IF(_xlpm.a=1,0,_xlpm.n*(_xlpm.a-1)-(_xlpm.a-1)*_xlpm.a/2),_xlpm.a+_xlpm.p-_xlpm.prev))</f>
        <v/>
      </c>
      <c r="AC126" t="str">
        <f t="array" ref="AC126">IF(AA126="","",IFERROR(INDEX(_xlfn._xlws.FILTER($C$20:$C$51,$D$20:$D$51=Y126),AA126),""))</f>
        <v/>
      </c>
      <c r="AD126" t="str">
        <f t="array" ref="AD126">IF(AB126="","",IFERROR(INDEX(_xlfn._xlws.FILTER($C$20:$C$51,$D$20:$D$51=Y126),AB126),""))</f>
        <v/>
      </c>
    </row>
    <row r="127" spans="2:30" ht="28.8" customHeight="1" x14ac:dyDescent="0.3">
      <c r="B127" s="162" t="s">
        <v>78</v>
      </c>
      <c r="F127" s="149" t="str">
        <f t="shared" si="31"/>
        <v/>
      </c>
      <c r="G127" s="13" t="str">
        <f t="shared" si="32"/>
        <v/>
      </c>
      <c r="H127" s="160" t="str">
        <f t="shared" si="33"/>
        <v/>
      </c>
      <c r="I127" s="34"/>
      <c r="J127" s="34"/>
      <c r="K127" s="34"/>
      <c r="L127" s="160" t="str">
        <f t="shared" si="34"/>
        <v/>
      </c>
      <c r="M127" s="34"/>
      <c r="N127" s="34"/>
      <c r="O127" s="34"/>
      <c r="P127" s="13" t="str">
        <f t="shared" si="35"/>
        <v/>
      </c>
      <c r="Q127" s="13" t="str">
        <f t="shared" si="36"/>
        <v/>
      </c>
      <c r="R127" s="13" t="str">
        <f t="shared" si="37"/>
        <v/>
      </c>
      <c r="S127" s="150" t="str">
        <f t="shared" si="38"/>
        <v/>
      </c>
      <c r="T127" s="144" t="str">
        <f t="shared" si="39"/>
        <v/>
      </c>
      <c r="X127">
        <f t="shared" si="40"/>
        <v>108</v>
      </c>
      <c r="Y127" t="str">
        <f t="array" ref="Y127">_xlfn.LET(_xlpm.m,X127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7" t="str">
        <f t="array" ref="Z127">IF(Y127="","",_xlfn.LET(_xlpm.m,X127,_xlpm.names,_xlfn.TAKE($AC$7:$AC$10,$D$8),_xlpm.sizes,_xlfn.TAKE($AD$7:$AD$10,$D$8),_xlpm.counts,_xlpm.sizes*(_xlpm.sizes-1)/2,_xlpm.g,_xlfn.XMATCH(Y127,_xlpm.names),_xlpm.prev,IF(_xlpm.g=1,0,INDEX(_xlfn.SCAN(0,_xlpm.counts,_xlfn.LAMBDA(_xlpm.a,_xlpm.b,_xlpm.a+_xlpm.b)),_xlpm.g-1)),_xlpm.m-_xlpm.prev))</f>
        <v/>
      </c>
      <c r="AA127" t="str">
        <f t="array" ref="AA127">IF(Z127="","",_xlfn.LET(_xlpm.names,_xlfn.TAKE($AC$7:$AC$10,$D$8),_xlpm.n,INDEX(_xlfn.TAKE($AD$7:$AD$10,$D$8),_xlfn.XMATCH(Y127,_xlpm.names)),_xlpm.p,Z127,MATCH(TRUE,_xlpm.p&lt;=(_xlpm.n*_xlfn.SEQUENCE(_xlpm.n-1)-_xlfn.SEQUENCE(_xlpm.n-1)*(_xlfn.SEQUENCE(_xlpm.n-1)+1)/2),0)))</f>
        <v/>
      </c>
      <c r="AB127" t="str">
        <f t="array" ref="AB127">IF(Z127="","",_xlfn.LET(_xlpm.names,_xlfn.TAKE($AC$7:$AC$10,$D$8),_xlpm.n,INDEX(_xlfn.TAKE($AD$7:$AD$10,$D$8),_xlfn.XMATCH(Y127,_xlpm.names)),_xlpm.p,Z127,_xlpm.a,AA127,_xlpm.prev,IF(_xlpm.a=1,0,_xlpm.n*(_xlpm.a-1)-(_xlpm.a-1)*_xlpm.a/2),_xlpm.a+_xlpm.p-_xlpm.prev))</f>
        <v/>
      </c>
      <c r="AC127" t="str">
        <f t="array" ref="AC127">IF(AA127="","",IFERROR(INDEX(_xlfn._xlws.FILTER($C$20:$C$51,$D$20:$D$51=Y127),AA127),""))</f>
        <v/>
      </c>
      <c r="AD127" t="str">
        <f t="array" ref="AD127">IF(AB127="","",IFERROR(INDEX(_xlfn._xlws.FILTER($C$20:$C$51,$D$20:$D$51=Y127),AB127),""))</f>
        <v/>
      </c>
    </row>
    <row r="128" spans="2:30" ht="28.8" customHeight="1" x14ac:dyDescent="0.3">
      <c r="B128" s="162" t="s">
        <v>79</v>
      </c>
      <c r="F128" s="149" t="str">
        <f t="shared" si="31"/>
        <v/>
      </c>
      <c r="G128" s="13" t="str">
        <f t="shared" si="32"/>
        <v/>
      </c>
      <c r="H128" s="160" t="str">
        <f t="shared" si="33"/>
        <v/>
      </c>
      <c r="I128" s="34"/>
      <c r="J128" s="34"/>
      <c r="K128" s="34"/>
      <c r="L128" s="160" t="str">
        <f t="shared" si="34"/>
        <v/>
      </c>
      <c r="M128" s="34"/>
      <c r="N128" s="34"/>
      <c r="O128" s="34"/>
      <c r="P128" s="13" t="str">
        <f t="shared" si="35"/>
        <v/>
      </c>
      <c r="Q128" s="13" t="str">
        <f t="shared" si="36"/>
        <v/>
      </c>
      <c r="R128" s="13" t="str">
        <f t="shared" si="37"/>
        <v/>
      </c>
      <c r="S128" s="150" t="str">
        <f t="shared" si="38"/>
        <v/>
      </c>
      <c r="T128" s="144" t="str">
        <f t="shared" si="39"/>
        <v/>
      </c>
      <c r="X128">
        <f t="shared" si="40"/>
        <v>109</v>
      </c>
      <c r="Y128" t="str">
        <f t="array" ref="Y128">_xlfn.LET(_xlpm.m,X128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8" t="str">
        <f t="array" ref="Z128">IF(Y128="","",_xlfn.LET(_xlpm.m,X128,_xlpm.names,_xlfn.TAKE($AC$7:$AC$10,$D$8),_xlpm.sizes,_xlfn.TAKE($AD$7:$AD$10,$D$8),_xlpm.counts,_xlpm.sizes*(_xlpm.sizes-1)/2,_xlpm.g,_xlfn.XMATCH(Y128,_xlpm.names),_xlpm.prev,IF(_xlpm.g=1,0,INDEX(_xlfn.SCAN(0,_xlpm.counts,_xlfn.LAMBDA(_xlpm.a,_xlpm.b,_xlpm.a+_xlpm.b)),_xlpm.g-1)),_xlpm.m-_xlpm.prev))</f>
        <v/>
      </c>
      <c r="AA128" t="str">
        <f t="array" ref="AA128">IF(Z128="","",_xlfn.LET(_xlpm.names,_xlfn.TAKE($AC$7:$AC$10,$D$8),_xlpm.n,INDEX(_xlfn.TAKE($AD$7:$AD$10,$D$8),_xlfn.XMATCH(Y128,_xlpm.names)),_xlpm.p,Z128,MATCH(TRUE,_xlpm.p&lt;=(_xlpm.n*_xlfn.SEQUENCE(_xlpm.n-1)-_xlfn.SEQUENCE(_xlpm.n-1)*(_xlfn.SEQUENCE(_xlpm.n-1)+1)/2),0)))</f>
        <v/>
      </c>
      <c r="AB128" t="str">
        <f t="array" ref="AB128">IF(Z128="","",_xlfn.LET(_xlpm.names,_xlfn.TAKE($AC$7:$AC$10,$D$8),_xlpm.n,INDEX(_xlfn.TAKE($AD$7:$AD$10,$D$8),_xlfn.XMATCH(Y128,_xlpm.names)),_xlpm.p,Z128,_xlpm.a,AA128,_xlpm.prev,IF(_xlpm.a=1,0,_xlpm.n*(_xlpm.a-1)-(_xlpm.a-1)*_xlpm.a/2),_xlpm.a+_xlpm.p-_xlpm.prev))</f>
        <v/>
      </c>
      <c r="AC128" t="str">
        <f t="array" ref="AC128">IF(AA128="","",IFERROR(INDEX(_xlfn._xlws.FILTER($C$20:$C$51,$D$20:$D$51=Y128),AA128),""))</f>
        <v/>
      </c>
      <c r="AD128" t="str">
        <f t="array" ref="AD128">IF(AB128="","",IFERROR(INDEX(_xlfn._xlws.FILTER($C$20:$C$51,$D$20:$D$51=Y128),AB128),""))</f>
        <v/>
      </c>
    </row>
    <row r="129" spans="2:30" ht="28.8" customHeight="1" x14ac:dyDescent="0.3">
      <c r="B129" s="162" t="s">
        <v>80</v>
      </c>
      <c r="F129" s="149" t="str">
        <f t="shared" si="31"/>
        <v/>
      </c>
      <c r="G129" s="13" t="str">
        <f t="shared" si="32"/>
        <v/>
      </c>
      <c r="H129" s="160" t="str">
        <f t="shared" si="33"/>
        <v/>
      </c>
      <c r="I129" s="34"/>
      <c r="J129" s="34"/>
      <c r="K129" s="34"/>
      <c r="L129" s="160" t="str">
        <f t="shared" si="34"/>
        <v/>
      </c>
      <c r="M129" s="34"/>
      <c r="N129" s="34"/>
      <c r="O129" s="34"/>
      <c r="P129" s="13" t="str">
        <f t="shared" si="35"/>
        <v/>
      </c>
      <c r="Q129" s="13" t="str">
        <f t="shared" si="36"/>
        <v/>
      </c>
      <c r="R129" s="13" t="str">
        <f t="shared" si="37"/>
        <v/>
      </c>
      <c r="S129" s="150" t="str">
        <f t="shared" si="38"/>
        <v/>
      </c>
      <c r="T129" s="144" t="str">
        <f t="shared" si="39"/>
        <v/>
      </c>
      <c r="X129">
        <f t="shared" si="40"/>
        <v>110</v>
      </c>
      <c r="Y129" t="str">
        <f t="array" ref="Y129">_xlfn.LET(_xlpm.m,X129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9" t="str">
        <f t="array" ref="Z129">IF(Y129="","",_xlfn.LET(_xlpm.m,X129,_xlpm.names,_xlfn.TAKE($AC$7:$AC$10,$D$8),_xlpm.sizes,_xlfn.TAKE($AD$7:$AD$10,$D$8),_xlpm.counts,_xlpm.sizes*(_xlpm.sizes-1)/2,_xlpm.g,_xlfn.XMATCH(Y129,_xlpm.names),_xlpm.prev,IF(_xlpm.g=1,0,INDEX(_xlfn.SCAN(0,_xlpm.counts,_xlfn.LAMBDA(_xlpm.a,_xlpm.b,_xlpm.a+_xlpm.b)),_xlpm.g-1)),_xlpm.m-_xlpm.prev))</f>
        <v/>
      </c>
      <c r="AA129" t="str">
        <f t="array" ref="AA129">IF(Z129="","",_xlfn.LET(_xlpm.names,_xlfn.TAKE($AC$7:$AC$10,$D$8),_xlpm.n,INDEX(_xlfn.TAKE($AD$7:$AD$10,$D$8),_xlfn.XMATCH(Y129,_xlpm.names)),_xlpm.p,Z129,MATCH(TRUE,_xlpm.p&lt;=(_xlpm.n*_xlfn.SEQUENCE(_xlpm.n-1)-_xlfn.SEQUENCE(_xlpm.n-1)*(_xlfn.SEQUENCE(_xlpm.n-1)+1)/2),0)))</f>
        <v/>
      </c>
      <c r="AB129" t="str">
        <f t="array" ref="AB129">IF(Z129="","",_xlfn.LET(_xlpm.names,_xlfn.TAKE($AC$7:$AC$10,$D$8),_xlpm.n,INDEX(_xlfn.TAKE($AD$7:$AD$10,$D$8),_xlfn.XMATCH(Y129,_xlpm.names)),_xlpm.p,Z129,_xlpm.a,AA129,_xlpm.prev,IF(_xlpm.a=1,0,_xlpm.n*(_xlpm.a-1)-(_xlpm.a-1)*_xlpm.a/2),_xlpm.a+_xlpm.p-_xlpm.prev))</f>
        <v/>
      </c>
      <c r="AC129" t="str">
        <f t="array" ref="AC129">IF(AA129="","",IFERROR(INDEX(_xlfn._xlws.FILTER($C$20:$C$51,$D$20:$D$51=Y129),AA129),""))</f>
        <v/>
      </c>
      <c r="AD129" t="str">
        <f t="array" ref="AD129">IF(AB129="","",IFERROR(INDEX(_xlfn._xlws.FILTER($C$20:$C$51,$D$20:$D$51=Y129),AB129),""))</f>
        <v/>
      </c>
    </row>
    <row r="130" spans="2:30" ht="43.2" customHeight="1" x14ac:dyDescent="0.3">
      <c r="B130" s="162" t="s">
        <v>81</v>
      </c>
      <c r="F130" s="149" t="str">
        <f t="shared" si="31"/>
        <v/>
      </c>
      <c r="G130" s="13" t="str">
        <f t="shared" si="32"/>
        <v/>
      </c>
      <c r="H130" s="160" t="str">
        <f t="shared" si="33"/>
        <v/>
      </c>
      <c r="I130" s="34"/>
      <c r="J130" s="34"/>
      <c r="K130" s="34"/>
      <c r="L130" s="160" t="str">
        <f t="shared" si="34"/>
        <v/>
      </c>
      <c r="M130" s="34"/>
      <c r="N130" s="34"/>
      <c r="O130" s="34"/>
      <c r="P130" s="13" t="str">
        <f t="shared" si="35"/>
        <v/>
      </c>
      <c r="Q130" s="13" t="str">
        <f t="shared" si="36"/>
        <v/>
      </c>
      <c r="R130" s="13" t="str">
        <f t="shared" si="37"/>
        <v/>
      </c>
      <c r="S130" s="150" t="str">
        <f t="shared" si="38"/>
        <v/>
      </c>
      <c r="T130" s="144" t="str">
        <f t="shared" si="39"/>
        <v/>
      </c>
      <c r="X130">
        <f t="shared" si="40"/>
        <v>111</v>
      </c>
      <c r="Y130" t="str">
        <f t="array" ref="Y130">_xlfn.LET(_xlpm.m,X130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30" t="str">
        <f t="array" ref="Z130">IF(Y130="","",_xlfn.LET(_xlpm.m,X130,_xlpm.names,_xlfn.TAKE($AC$7:$AC$10,$D$8),_xlpm.sizes,_xlfn.TAKE($AD$7:$AD$10,$D$8),_xlpm.counts,_xlpm.sizes*(_xlpm.sizes-1)/2,_xlpm.g,_xlfn.XMATCH(Y130,_xlpm.names),_xlpm.prev,IF(_xlpm.g=1,0,INDEX(_xlfn.SCAN(0,_xlpm.counts,_xlfn.LAMBDA(_xlpm.a,_xlpm.b,_xlpm.a+_xlpm.b)),_xlpm.g-1)),_xlpm.m-_xlpm.prev))</f>
        <v/>
      </c>
      <c r="AA130" t="str">
        <f t="array" ref="AA130">IF(Z130="","",_xlfn.LET(_xlpm.names,_xlfn.TAKE($AC$7:$AC$10,$D$8),_xlpm.n,INDEX(_xlfn.TAKE($AD$7:$AD$10,$D$8),_xlfn.XMATCH(Y130,_xlpm.names)),_xlpm.p,Z130,MATCH(TRUE,_xlpm.p&lt;=(_xlpm.n*_xlfn.SEQUENCE(_xlpm.n-1)-_xlfn.SEQUENCE(_xlpm.n-1)*(_xlfn.SEQUENCE(_xlpm.n-1)+1)/2),0)))</f>
        <v/>
      </c>
      <c r="AB130" t="str">
        <f t="array" ref="AB130">IF(Z130="","",_xlfn.LET(_xlpm.names,_xlfn.TAKE($AC$7:$AC$10,$D$8),_xlpm.n,INDEX(_xlfn.TAKE($AD$7:$AD$10,$D$8),_xlfn.XMATCH(Y130,_xlpm.names)),_xlpm.p,Z130,_xlpm.a,AA130,_xlpm.prev,IF(_xlpm.a=1,0,_xlpm.n*(_xlpm.a-1)-(_xlpm.a-1)*_xlpm.a/2),_xlpm.a+_xlpm.p-_xlpm.prev))</f>
        <v/>
      </c>
      <c r="AC130" t="str">
        <f t="array" ref="AC130">IF(AA130="","",IFERROR(INDEX(_xlfn._xlws.FILTER($C$20:$C$51,$D$20:$D$51=Y130),AA130),""))</f>
        <v/>
      </c>
      <c r="AD130" t="str">
        <f t="array" ref="AD130">IF(AB130="","",IFERROR(INDEX(_xlfn._xlws.FILTER($C$20:$C$51,$D$20:$D$51=Y130),AB130),""))</f>
        <v/>
      </c>
    </row>
    <row r="131" spans="2:30" ht="28.8" customHeight="1" x14ac:dyDescent="0.3">
      <c r="B131" s="162" t="s">
        <v>82</v>
      </c>
      <c r="F131" s="31" t="str">
        <f t="shared" si="31"/>
        <v/>
      </c>
      <c r="G131" s="151" t="str">
        <f t="shared" si="32"/>
        <v/>
      </c>
      <c r="H131" s="161" t="str">
        <f t="shared" si="33"/>
        <v/>
      </c>
      <c r="I131" s="36"/>
      <c r="J131" s="36"/>
      <c r="K131" s="36"/>
      <c r="L131" s="161" t="str">
        <f t="shared" si="34"/>
        <v/>
      </c>
      <c r="M131" s="36"/>
      <c r="N131" s="36"/>
      <c r="O131" s="36"/>
      <c r="P131" s="151" t="str">
        <f t="shared" si="35"/>
        <v/>
      </c>
      <c r="Q131" s="151" t="str">
        <f t="shared" si="36"/>
        <v/>
      </c>
      <c r="R131" s="151" t="str">
        <f t="shared" si="37"/>
        <v/>
      </c>
      <c r="S131" s="152" t="str">
        <f t="shared" si="38"/>
        <v/>
      </c>
      <c r="T131" s="144" t="str">
        <f t="shared" si="39"/>
        <v/>
      </c>
      <c r="X131">
        <f t="shared" si="40"/>
        <v>112</v>
      </c>
      <c r="Y131" t="str">
        <f t="array" ref="Y131">_xlfn.LET(_xlpm.m,X131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31" t="str">
        <f t="array" ref="Z131">IF(Y131="","",_xlfn.LET(_xlpm.m,X131,_xlpm.names,_xlfn.TAKE($AC$7:$AC$10,$D$8),_xlpm.sizes,_xlfn.TAKE($AD$7:$AD$10,$D$8),_xlpm.counts,_xlpm.sizes*(_xlpm.sizes-1)/2,_xlpm.g,_xlfn.XMATCH(Y131,_xlpm.names),_xlpm.prev,IF(_xlpm.g=1,0,INDEX(_xlfn.SCAN(0,_xlpm.counts,_xlfn.LAMBDA(_xlpm.a,_xlpm.b,_xlpm.a+_xlpm.b)),_xlpm.g-1)),_xlpm.m-_xlpm.prev))</f>
        <v/>
      </c>
      <c r="AA131" t="str">
        <f t="array" ref="AA131">IF(Z131="","",_xlfn.LET(_xlpm.names,_xlfn.TAKE($AC$7:$AC$10,$D$8),_xlpm.n,INDEX(_xlfn.TAKE($AD$7:$AD$10,$D$8),_xlfn.XMATCH(Y131,_xlpm.names)),_xlpm.p,Z131,MATCH(TRUE,_xlpm.p&lt;=(_xlpm.n*_xlfn.SEQUENCE(_xlpm.n-1)-_xlfn.SEQUENCE(_xlpm.n-1)*(_xlfn.SEQUENCE(_xlpm.n-1)+1)/2),0)))</f>
        <v/>
      </c>
      <c r="AB131" t="str">
        <f t="array" ref="AB131">IF(Z131="","",_xlfn.LET(_xlpm.names,_xlfn.TAKE($AC$7:$AC$10,$D$8),_xlpm.n,INDEX(_xlfn.TAKE($AD$7:$AD$10,$D$8),_xlfn.XMATCH(Y131,_xlpm.names)),_xlpm.p,Z131,_xlpm.a,AA131,_xlpm.prev,IF(_xlpm.a=1,0,_xlpm.n*(_xlpm.a-1)-(_xlpm.a-1)*_xlpm.a/2),_xlpm.a+_xlpm.p-_xlpm.prev))</f>
        <v/>
      </c>
      <c r="AC131" t="str">
        <f t="array" ref="AC131">IF(AA131="","",IFERROR(INDEX(_xlfn._xlws.FILTER($C$20:$C$51,$D$20:$D$51=Y131),AA131),""))</f>
        <v/>
      </c>
      <c r="AD131" t="str">
        <f t="array" ref="AD131">IF(AB131="","",IFERROR(INDEX(_xlfn._xlws.FILTER($C$20:$C$51,$D$20:$D$51=Y131),AB131),""))</f>
        <v/>
      </c>
    </row>
    <row r="133" spans="2:30" x14ac:dyDescent="0.3">
      <c r="F133" s="295" t="s">
        <v>83</v>
      </c>
      <c r="G133" s="287"/>
      <c r="H133" s="288"/>
      <c r="I133" s="287"/>
      <c r="J133" s="287"/>
      <c r="K133" s="287"/>
      <c r="L133" s="288"/>
      <c r="M133" s="287"/>
      <c r="N133" s="287"/>
      <c r="O133" s="287"/>
      <c r="P133" s="287"/>
      <c r="Q133" s="287"/>
    </row>
  </sheetData>
  <sheetProtection sheet="1" objects="1" scenarios="1" formatCells="0" formatColumns="0" formatRows="0" sort="0" autoFilter="0"/>
  <mergeCells count="10">
    <mergeCell ref="B2:T2"/>
    <mergeCell ref="AF15:AH15"/>
    <mergeCell ref="K4:N4"/>
    <mergeCell ref="F133:Q133"/>
    <mergeCell ref="O4:T4"/>
    <mergeCell ref="B18:D18"/>
    <mergeCell ref="F6:Q6"/>
    <mergeCell ref="B12:D12"/>
    <mergeCell ref="F18:S18"/>
    <mergeCell ref="B6:D6"/>
  </mergeCells>
  <conditionalFormatting sqref="F8:Q16">
    <cfRule type="expression" dxfId="5" priority="1">
      <formula>AND($P8&lt;&gt;"",$Q8=$K$4)</formula>
    </cfRule>
    <cfRule type="expression" dxfId="4" priority="2">
      <formula>AND($P8&lt;&gt;"",$Q8&lt;&gt;"",$Q8&lt;&gt;$K$4)</formula>
    </cfRule>
  </conditionalFormatting>
  <dataValidations count="6">
    <dataValidation type="list" allowBlank="1" showInputMessage="1" showErrorMessage="1" sqref="K4" xr:uid="{00000000-0002-0000-0400-000000000000}">
      <formula1>$C$20:$C$43</formula1>
    </dataValidation>
    <dataValidation type="list" allowBlank="1" showInputMessage="1" showErrorMessage="1" errorTitle="Invalid team count" error="Choose a whole number from 2 to 8." promptTitle="Teams per Group" prompt="Choose 2 to 8 teams per group." sqref="D10" xr:uid="{00000000-0002-0000-0400-000001000000}">
      <formula1>"2,3,4,5,6,7,8"</formula1>
    </dataValidation>
    <dataValidation type="list" allowBlank="1" showInputMessage="1" showErrorMessage="1" errorTitle="Invalid group count" error="Choose 1, 2, 3, or 4." promptTitle="Number of Groups" prompt="Choose 1 to 4 active groups." sqref="D8" xr:uid="{00000000-0002-0000-0400-000002000000}">
      <formula1>"1,2,3,4"</formula1>
    </dataValidation>
    <dataValidation type="whole" allowBlank="1" showInputMessage="1" showErrorMessage="1" errorTitle="Invalid group size" error="Enter a whole number from 0 to 8." promptTitle="Teams in this group" prompt="Enter 0 to 8. Groups beyond D8 are ignored." sqref="E8:E11 AD7:AD10" xr:uid="{00000000-0002-0000-0400-000003000000}">
      <formula1>0</formula1>
      <formula2>8</formula2>
    </dataValidation>
    <dataValidation type="whole" allowBlank="1" showInputMessage="1" showErrorMessage="1" errorTitle="Invalid wicket limit" error="Enter a whole number from 1 to 10." promptTitle="Wickets per innings" prompt="Use 5 for your current tournament." sqref="D17" xr:uid="{00000000-0002-0000-0400-000004000000}">
      <formula1>1</formula1>
      <formula2>10</formula2>
    </dataValidation>
    <dataValidation type="whole" allowBlank="1" showInputMessage="1" showErrorMessage="1" errorTitle="Invalid wickets" error="Wickets must be between 0 and the wicket limit in D17." sqref="J20:J131 N20:N131" xr:uid="{00000000-0002-0000-0400-000005000000}">
      <formula1>0</formula1>
      <formula2>$D$17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42"/>
  <sheetViews>
    <sheetView showGridLines="0" workbookViewId="0">
      <selection activeCell="N6" sqref="N6"/>
    </sheetView>
  </sheetViews>
  <sheetFormatPr defaultRowHeight="14.4" x14ac:dyDescent="0.3"/>
  <cols>
    <col min="2" max="2" width="13.21875" customWidth="1"/>
    <col min="3" max="3" width="10.6640625" bestFit="1" customWidth="1"/>
    <col min="4" max="4" width="11.21875" bestFit="1" customWidth="1"/>
    <col min="5" max="5" width="8.44140625" bestFit="1" customWidth="1"/>
    <col min="6" max="14" width="9.44140625" customWidth="1"/>
    <col min="15" max="15" width="2.88671875" customWidth="1"/>
    <col min="16" max="16" width="8.5546875" customWidth="1"/>
    <col min="17" max="17" width="17.109375" customWidth="1"/>
    <col min="18" max="22" width="6.6640625" customWidth="1"/>
    <col min="23" max="23" width="7.5546875" customWidth="1"/>
    <col min="24" max="24" width="13.33203125" customWidth="1"/>
    <col min="25" max="26" width="14.33203125" customWidth="1"/>
    <col min="27" max="27" width="16.109375" customWidth="1"/>
    <col min="28" max="28" width="10.44140625" customWidth="1"/>
    <col min="43" max="43" width="13.33203125" customWidth="1"/>
    <col min="44" max="48" width="5.6640625" customWidth="1"/>
    <col min="49" max="49" width="6.6640625" customWidth="1"/>
    <col min="50" max="53" width="10.44140625" customWidth="1"/>
    <col min="54" max="54" width="9.5546875" customWidth="1"/>
    <col min="55" max="55" width="17.109375" customWidth="1"/>
    <col min="56" max="56" width="6.6640625" customWidth="1"/>
    <col min="57" max="57" width="1.88671875" customWidth="1"/>
    <col min="58" max="58" width="13.33203125" customWidth="1"/>
    <col min="59" max="63" width="5.6640625" customWidth="1"/>
    <col min="64" max="64" width="6.6640625" customWidth="1"/>
    <col min="65" max="68" width="10.44140625" customWidth="1"/>
    <col min="69" max="69" width="9.5546875" customWidth="1"/>
    <col min="70" max="70" width="17.109375" customWidth="1"/>
    <col min="71" max="71" width="6.6640625" customWidth="1"/>
    <col min="72" max="72" width="1.88671875" customWidth="1"/>
    <col min="73" max="73" width="13.33203125" customWidth="1"/>
    <col min="74" max="78" width="5.6640625" customWidth="1"/>
    <col min="79" max="79" width="6.6640625" customWidth="1"/>
    <col min="80" max="83" width="10.44140625" customWidth="1"/>
    <col min="84" max="84" width="9.5546875" customWidth="1"/>
    <col min="85" max="85" width="17.109375" customWidth="1"/>
    <col min="86" max="86" width="6.6640625" customWidth="1"/>
    <col min="87" max="87" width="1.88671875" customWidth="1"/>
    <col min="88" max="88" width="13.33203125" customWidth="1"/>
    <col min="89" max="93" width="5.6640625" customWidth="1"/>
    <col min="94" max="94" width="6.6640625" customWidth="1"/>
    <col min="95" max="98" width="10.44140625" customWidth="1"/>
    <col min="99" max="99" width="9.5546875" customWidth="1"/>
    <col min="100" max="100" width="17.109375" customWidth="1"/>
    <col min="101" max="101" width="6.6640625" customWidth="1"/>
  </cols>
  <sheetData>
    <row r="1" spans="1:101" ht="9.9" customHeight="1" x14ac:dyDescent="0.3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</row>
    <row r="2" spans="1:101" ht="35.1" customHeight="1" x14ac:dyDescent="0.5">
      <c r="A2" s="38"/>
      <c r="B2" s="321" t="s">
        <v>4279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 spans="1:101" ht="15" customHeight="1" thickBo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</row>
    <row r="4" spans="1:101" ht="24.9" customHeight="1" thickBot="1" x14ac:dyDescent="0.4">
      <c r="A4" s="38"/>
      <c r="B4" s="322" t="str">
        <f>'PvP IB Cricket Season 2'!$AC$7&amp;" - POINTS TABLE"</f>
        <v>Elite - POINTS TABLE</v>
      </c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4"/>
      <c r="O4" s="38"/>
      <c r="P4" s="307" t="str">
        <f>'PvP IB Cricket Season 2'!$AC$9&amp;" - POINTS TABLE"</f>
        <v>Golden - POINTS TABLE</v>
      </c>
      <c r="Q4" s="308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9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12" t="str">
        <f>'PvP IB Cricket Season 2'!$AC$7&amp;" - HELPER CALCULATIONS"</f>
        <v>Elite - HELPER CALCULATIONS</v>
      </c>
      <c r="AR4" s="287"/>
      <c r="AS4" s="287"/>
      <c r="AT4" s="287"/>
      <c r="AU4" s="287"/>
      <c r="AV4" s="287"/>
      <c r="AW4" s="287"/>
      <c r="AX4" s="287"/>
      <c r="AY4" s="287"/>
      <c r="AZ4" s="287"/>
      <c r="BA4" s="287"/>
      <c r="BB4" s="287"/>
      <c r="BC4" s="287"/>
      <c r="BD4" s="287"/>
      <c r="BF4" s="311" t="str">
        <f>'PvP IB Cricket Season 2'!$AC$8&amp;" - HELPER CALCULATIONS"</f>
        <v>Super - HELPER CALCULATIONS</v>
      </c>
      <c r="BG4" s="287"/>
      <c r="BH4" s="287"/>
      <c r="BI4" s="287"/>
      <c r="BJ4" s="287"/>
      <c r="BK4" s="287"/>
      <c r="BL4" s="287"/>
      <c r="BM4" s="287"/>
      <c r="BN4" s="287"/>
      <c r="BO4" s="287"/>
      <c r="BP4" s="287"/>
      <c r="BQ4" s="287"/>
      <c r="BR4" s="287"/>
      <c r="BS4" s="287"/>
      <c r="BU4" s="316" t="str">
        <f>'PvP IB Cricket Season 2'!$AC$9&amp;" - HELPER CALCULATIONS"</f>
        <v>Golden - HELPER CALCULATIONS</v>
      </c>
      <c r="BV4" s="287"/>
      <c r="BW4" s="287"/>
      <c r="BX4" s="287"/>
      <c r="BY4" s="287"/>
      <c r="BZ4" s="287"/>
      <c r="CA4" s="287"/>
      <c r="CB4" s="287"/>
      <c r="CC4" s="287"/>
      <c r="CD4" s="287"/>
      <c r="CE4" s="287"/>
      <c r="CF4" s="287"/>
      <c r="CG4" s="287"/>
      <c r="CH4" s="287"/>
      <c r="CJ4" s="305" t="str">
        <f>'PvP IB Cricket Season 2'!$AC$10&amp;" - HELPER CALCULATIONS"</f>
        <v>Challenger - HELPER CALCULATIONS</v>
      </c>
      <c r="CK4" s="287"/>
      <c r="CL4" s="287"/>
      <c r="CM4" s="287"/>
      <c r="CN4" s="287"/>
      <c r="CO4" s="287"/>
      <c r="CP4" s="287"/>
      <c r="CQ4" s="287"/>
      <c r="CR4" s="287"/>
      <c r="CS4" s="287"/>
      <c r="CT4" s="287"/>
      <c r="CU4" s="287"/>
      <c r="CV4" s="287"/>
      <c r="CW4" s="287"/>
    </row>
    <row r="5" spans="1:101" ht="21.9" customHeight="1" thickBot="1" x14ac:dyDescent="0.35">
      <c r="A5" s="38"/>
      <c r="B5" s="43" t="s">
        <v>4280</v>
      </c>
      <c r="C5" s="44" t="s">
        <v>88</v>
      </c>
      <c r="D5" s="44" t="s">
        <v>4281</v>
      </c>
      <c r="E5" s="44" t="s">
        <v>106</v>
      </c>
      <c r="F5" s="44" t="s">
        <v>4282</v>
      </c>
      <c r="G5" s="44" t="s">
        <v>4283</v>
      </c>
      <c r="H5" s="44" t="s">
        <v>4284</v>
      </c>
      <c r="I5" s="49" t="s">
        <v>4285</v>
      </c>
      <c r="J5" s="44" t="s">
        <v>4286</v>
      </c>
      <c r="K5" s="44" t="s">
        <v>4287</v>
      </c>
      <c r="L5" s="44" t="s">
        <v>4288</v>
      </c>
      <c r="M5" s="44" t="s">
        <v>4289</v>
      </c>
      <c r="N5" s="45" t="s">
        <v>4290</v>
      </c>
      <c r="O5" s="38"/>
      <c r="P5" s="52" t="s">
        <v>4280</v>
      </c>
      <c r="Q5" s="53" t="s">
        <v>88</v>
      </c>
      <c r="R5" s="53" t="s">
        <v>4281</v>
      </c>
      <c r="S5" s="53" t="s">
        <v>106</v>
      </c>
      <c r="T5" s="53" t="s">
        <v>4282</v>
      </c>
      <c r="U5" s="53" t="s">
        <v>4283</v>
      </c>
      <c r="V5" s="53" t="s">
        <v>4284</v>
      </c>
      <c r="W5" s="58" t="s">
        <v>4285</v>
      </c>
      <c r="X5" s="53" t="s">
        <v>4286</v>
      </c>
      <c r="Y5" s="53" t="s">
        <v>4287</v>
      </c>
      <c r="Z5" s="53" t="s">
        <v>4288</v>
      </c>
      <c r="AA5" s="53" t="s">
        <v>4289</v>
      </c>
      <c r="AB5" s="54" t="s">
        <v>4290</v>
      </c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61" t="s">
        <v>88</v>
      </c>
      <c r="AR5" s="60" t="s">
        <v>4281</v>
      </c>
      <c r="AS5" s="60" t="s">
        <v>106</v>
      </c>
      <c r="AT5" s="60" t="s">
        <v>4282</v>
      </c>
      <c r="AU5" s="60" t="s">
        <v>4283</v>
      </c>
      <c r="AV5" s="60" t="s">
        <v>4284</v>
      </c>
      <c r="AW5" s="60" t="s">
        <v>4285</v>
      </c>
      <c r="AX5" s="60" t="s">
        <v>4291</v>
      </c>
      <c r="AY5" s="60" t="s">
        <v>4292</v>
      </c>
      <c r="AZ5" s="60" t="s">
        <v>4293</v>
      </c>
      <c r="BA5" s="60" t="s">
        <v>4294</v>
      </c>
      <c r="BB5" s="60" t="s">
        <v>4290</v>
      </c>
      <c r="BC5" s="60" t="s">
        <v>4295</v>
      </c>
      <c r="BD5" s="62" t="s">
        <v>4280</v>
      </c>
      <c r="BF5" s="64" t="s">
        <v>88</v>
      </c>
      <c r="BG5" s="63" t="s">
        <v>4281</v>
      </c>
      <c r="BH5" s="63" t="s">
        <v>106</v>
      </c>
      <c r="BI5" s="63" t="s">
        <v>4282</v>
      </c>
      <c r="BJ5" s="63" t="s">
        <v>4283</v>
      </c>
      <c r="BK5" s="63" t="s">
        <v>4284</v>
      </c>
      <c r="BL5" s="63" t="s">
        <v>4285</v>
      </c>
      <c r="BM5" s="63" t="s">
        <v>4291</v>
      </c>
      <c r="BN5" s="63" t="s">
        <v>4292</v>
      </c>
      <c r="BO5" s="63" t="s">
        <v>4293</v>
      </c>
      <c r="BP5" s="63" t="s">
        <v>4294</v>
      </c>
      <c r="BQ5" s="63" t="s">
        <v>4290</v>
      </c>
      <c r="BR5" s="63" t="s">
        <v>4295</v>
      </c>
      <c r="BS5" s="65" t="s">
        <v>4280</v>
      </c>
      <c r="BU5" s="67" t="s">
        <v>88</v>
      </c>
      <c r="BV5" s="66" t="s">
        <v>4281</v>
      </c>
      <c r="BW5" s="66" t="s">
        <v>106</v>
      </c>
      <c r="BX5" s="66" t="s">
        <v>4282</v>
      </c>
      <c r="BY5" s="66" t="s">
        <v>4283</v>
      </c>
      <c r="BZ5" s="66" t="s">
        <v>4284</v>
      </c>
      <c r="CA5" s="66" t="s">
        <v>4285</v>
      </c>
      <c r="CB5" s="66" t="s">
        <v>4291</v>
      </c>
      <c r="CC5" s="66" t="s">
        <v>4292</v>
      </c>
      <c r="CD5" s="66" t="s">
        <v>4293</v>
      </c>
      <c r="CE5" s="66" t="s">
        <v>4294</v>
      </c>
      <c r="CF5" s="66" t="s">
        <v>4290</v>
      </c>
      <c r="CG5" s="66" t="s">
        <v>4295</v>
      </c>
      <c r="CH5" s="68" t="s">
        <v>4280</v>
      </c>
      <c r="CJ5" s="70" t="s">
        <v>88</v>
      </c>
      <c r="CK5" s="69" t="s">
        <v>4281</v>
      </c>
      <c r="CL5" s="69" t="s">
        <v>106</v>
      </c>
      <c r="CM5" s="69" t="s">
        <v>4282</v>
      </c>
      <c r="CN5" s="69" t="s">
        <v>4283</v>
      </c>
      <c r="CO5" s="69" t="s">
        <v>4284</v>
      </c>
      <c r="CP5" s="69" t="s">
        <v>4285</v>
      </c>
      <c r="CQ5" s="69" t="s">
        <v>4291</v>
      </c>
      <c r="CR5" s="69" t="s">
        <v>4292</v>
      </c>
      <c r="CS5" s="69" t="s">
        <v>4293</v>
      </c>
      <c r="CT5" s="69" t="s">
        <v>4294</v>
      </c>
      <c r="CU5" s="69" t="s">
        <v>4290</v>
      </c>
      <c r="CV5" s="69" t="s">
        <v>4295</v>
      </c>
      <c r="CW5" s="71" t="s">
        <v>4280</v>
      </c>
    </row>
    <row r="6" spans="1:101" ht="20.100000000000001" customHeight="1" x14ac:dyDescent="0.3">
      <c r="A6" s="38"/>
      <c r="B6" s="176">
        <v>1</v>
      </c>
      <c r="C6" s="177" t="str">
        <f t="shared" ref="C6:C15" si="0">IFERROR(INDEX($AQ$6:$AQ$15,MATCH(LARGE($BC$6:$BC$15,B6),$BC$6:$BC$15,0)),"")</f>
        <v>Ritesh</v>
      </c>
      <c r="D6" s="178">
        <f t="shared" ref="D6:D15" si="1">IF(C6="","",INDEX($AR$6:$AR$15,MATCH(C6,$AQ$6:$AQ$15,0)))</f>
        <v>0</v>
      </c>
      <c r="E6" s="178">
        <f t="shared" ref="E6:E15" si="2">IF(C6="","",INDEX($AS$6:$AS$15,MATCH(C6,$AQ$6:$AQ$15,0)))</f>
        <v>0</v>
      </c>
      <c r="F6" s="178">
        <f t="shared" ref="F6:F15" si="3">IF(C6="","",INDEX($AT$6:$AT$15,MATCH(C6,$AQ$6:$AQ$15,0)))</f>
        <v>0</v>
      </c>
      <c r="G6" s="178">
        <f t="shared" ref="G6:G15" si="4">IF(C6="","",INDEX($AU$6:$AU$15,MATCH(C6,$AQ$6:$AQ$15,0)))</f>
        <v>0</v>
      </c>
      <c r="H6" s="178">
        <f t="shared" ref="H6:H15" si="5">IF(C6="","",INDEX($AV$6:$AV$15,MATCH(C6,$AQ$6:$AQ$15,0)))</f>
        <v>0</v>
      </c>
      <c r="I6" s="179">
        <f t="shared" ref="I6:I15" si="6">IF(C6="","",INDEX($AW$6:$AW$15,MATCH(C6,$AQ$6:$AQ$15,0)))</f>
        <v>0</v>
      </c>
      <c r="J6" s="178">
        <f t="shared" ref="J6:J15" si="7">IF(C6="","",INDEX($AX$6:$AX$15,MATCH(C6,$AQ$6:$AQ$15,0)))</f>
        <v>0</v>
      </c>
      <c r="K6" s="180">
        <f t="array" ref="K6">IF(C6="","",SUMPRODUCT(('PvP IB Cricket Season 2'!$G$20:$G$131='PvP IB Cricket Season 2'!$AC$7)*('PvP IB Cricket Season 2'!$H$20:$H$131=C6)*('PvP IB Cricket Season 2'!$K$20:$K$131))+SUMPRODUCT(('PvP IB Cricket Season 2'!$G$20:$G$131='PvP IB Cricket Season 2'!$AC$7)*('PvP IB Cricket Season 2'!$L$20:$L$131=C6)*('PvP IB Cricket Season 2'!$O$20:$O$131)))</f>
        <v>0</v>
      </c>
      <c r="L6" s="178">
        <f t="shared" ref="L6:L15" si="8">IF(C6="","",INDEX($AZ$6:$AZ$15,MATCH(C6,$AQ$6:$AQ$15,0)))</f>
        <v>0</v>
      </c>
      <c r="M6" s="180">
        <f t="array" ref="M6">IF(C6="","",SUMPRODUCT(('PvP IB Cricket Season 2'!$G$20:$G$131='PvP IB Cricket Season 2'!$AC$7)*('PvP IB Cricket Season 2'!$H$20:$H$131=C6)*('PvP IB Cricket Season 2'!$O$20:$O$131))+SUMPRODUCT(('PvP IB Cricket Season 2'!$G$20:$G$131='PvP IB Cricket Season 2'!$AC$7)*('PvP IB Cricket Season 2'!$L$20:$L$131=C6)*('PvP IB Cricket Season 2'!$K$20:$K$131)))</f>
        <v>0</v>
      </c>
      <c r="N6" s="181" t="str">
        <f t="shared" ref="N6:N15" si="9">IF(C6="","",INDEX($BB$6:$BB$15,MATCH(C6,$AQ$6:$AQ$15,0)))</f>
        <v/>
      </c>
      <c r="O6" s="38"/>
      <c r="P6" s="194">
        <v>1</v>
      </c>
      <c r="Q6" s="195" t="str">
        <f t="shared" ref="Q6:Q15" si="10">IFERROR(INDEX($BU$6:$BU$15,MATCH(LARGE($CG$6:$CG$15,P6),$CG$6:$CG$15,0)),"")</f>
        <v>Haseeb Sha</v>
      </c>
      <c r="R6" s="196">
        <f t="shared" ref="R6:R15" si="11">IF(Q6="","",INDEX($BV$6:$BV$15,MATCH(Q6,$BU$6:$BU$15,0)))</f>
        <v>0</v>
      </c>
      <c r="S6" s="196">
        <f t="shared" ref="S6:S15" si="12">IF(Q6="","",INDEX($BW$6:$BW$15,MATCH(Q6,$BU$6:$BU$15,0)))</f>
        <v>0</v>
      </c>
      <c r="T6" s="196">
        <f t="shared" ref="T6:T15" si="13">IF(Q6="","",INDEX($BX$6:$BX$15,MATCH(Q6,$BU$6:$BU$15,0)))</f>
        <v>0</v>
      </c>
      <c r="U6" s="196">
        <f t="shared" ref="U6:U15" si="14">IF(Q6="","",INDEX($BY$6:$BY$15,MATCH(Q6,$BU$6:$BU$15,0)))</f>
        <v>0</v>
      </c>
      <c r="V6" s="196">
        <f t="shared" ref="V6:V15" si="15">IF(Q6="","",INDEX($BZ$6:$BZ$15,MATCH(Q6,$BU$6:$BU$15,0)))</f>
        <v>0</v>
      </c>
      <c r="W6" s="197">
        <f t="shared" ref="W6:W15" si="16">IF(Q6="","",INDEX($CA$6:$CA$15,MATCH(Q6,$BU$6:$BU$15,0)))</f>
        <v>0</v>
      </c>
      <c r="X6" s="196">
        <f t="shared" ref="X6:X15" si="17">IF(Q6="","",INDEX($CB$6:$CB$15,MATCH(Q6,$BU$6:$BU$15,0)))</f>
        <v>0</v>
      </c>
      <c r="Y6" s="198">
        <f t="array" ref="Y6">IF(Q6="","",SUMPRODUCT(('PvP IB Cricket Season 2'!$G$20:$G$131='PvP IB Cricket Season 2'!$AC$9)*('PvP IB Cricket Season 2'!$H$20:$H$131=Q6)*('PvP IB Cricket Season 2'!$K$20:$K$131))+SUMPRODUCT(('PvP IB Cricket Season 2'!$G$20:$G$131='PvP IB Cricket Season 2'!$AC$9)*('PvP IB Cricket Season 2'!$L$20:$L$131=Q6)*('PvP IB Cricket Season 2'!$O$20:$O$131)))</f>
        <v>0</v>
      </c>
      <c r="Z6" s="196">
        <f t="shared" ref="Z6:Z15" si="18">IF(Q6="","",INDEX($CD$6:$CD$15,MATCH(Q6,$BU$6:$BU$15,0)))</f>
        <v>0</v>
      </c>
      <c r="AA6" s="198">
        <f t="array" ref="AA6">IF(Q6="","",SUMPRODUCT(('PvP IB Cricket Season 2'!$G$20:$G$131='PvP IB Cricket Season 2'!$AC$9)*('PvP IB Cricket Season 2'!$H$20:$H$131=Q6)*('PvP IB Cricket Season 2'!$O$20:$O$131))+SUMPRODUCT(('PvP IB Cricket Season 2'!$G$20:$G$131='PvP IB Cricket Season 2'!$AC$9)*('PvP IB Cricket Season 2'!$L$20:$L$131=Q6)*('PvP IB Cricket Season 2'!$K$20:$K$131)))</f>
        <v>0</v>
      </c>
      <c r="AB6" s="199" t="str">
        <f t="shared" ref="AB6:AB15" si="19">IF(Q6="","",INDEX($CF$6:$CF$15,MATCH(Q6,$BU$6:$BU$15,0)))</f>
        <v/>
      </c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119" t="str">
        <f t="array" ref="AQ6">IFERROR(INDEX(_xlfn._xlws.FILTER('PvP IB Cricket Season 2'!$C$20:$C$51,'PvP IB Cricket Season 2'!$D$20:$D$51='PvP IB Cricket Season 2'!$AC$7),1),"")</f>
        <v>Ritesh</v>
      </c>
      <c r="AR6" s="72">
        <f>IF(AQ6="","",COUNTIFS('PvP IB Cricket Season 2'!$G$20:$G$131,'PvP IB Cricket Season 2'!$AC$7,'PvP IB Cricket Season 2'!$H$20:$H$131,AQ6,'PvP IB Cricket Season 2'!$P$20:$P$131,"A")+COUNTIFS('PvP IB Cricket Season 2'!$G$20:$G$131,'PvP IB Cricket Season 2'!$AC$7,'PvP IB Cricket Season 2'!$L$20:$L$131,AQ6,'PvP IB Cricket Season 2'!$P$20:$P$131,"B")+COUNTIFS('PvP IB Cricket Season 2'!$G$20:$G$131,'PvP IB Cricket Season 2'!$AC$7,'PvP IB Cricket Season 2'!$H$20:$H$131,AQ6,'PvP IB Cricket Season 2'!$P$20:$P$131,"B")+COUNTIFS('PvP IB Cricket Season 2'!$G$20:$G$131,'PvP IB Cricket Season 2'!$AC$7,'PvP IB Cricket Season 2'!$L$20:$L$131,AQ6,'PvP IB Cricket Season 2'!$P$20:$P$131,"A")+COUNTIFS('PvP IB Cricket Season 2'!$G$20:$G$131,'PvP IB Cricket Season 2'!$AC$7,'PvP IB Cricket Season 2'!$H$20:$H$131,AQ6,'PvP IB Cricket Season 2'!$P$20:$P$131,"Tie")+COUNTIFS('PvP IB Cricket Season 2'!$G$20:$G$131,'PvP IB Cricket Season 2'!$AC$7,'PvP IB Cricket Season 2'!$L$20:$L$131,AQ6,'PvP IB Cricket Season 2'!$P$20:$P$131,"Tie")+COUNTIFS('PvP IB Cricket Season 2'!$G$20:$G$131,'PvP IB Cricket Season 2'!$AC$7,'PvP IB Cricket Season 2'!$H$20:$H$131,AQ6,'PvP IB Cricket Season 2'!$P$20:$P$131,"NR")+COUNTIFS('PvP IB Cricket Season 2'!$G$20:$G$131,'PvP IB Cricket Season 2'!$AC$7,'PvP IB Cricket Season 2'!$L$20:$L$131,AQ6,'PvP IB Cricket Season 2'!$P$20:$P$131,"NR"))</f>
        <v>0</v>
      </c>
      <c r="AS6" s="72">
        <f>IF(AQ6="","",COUNTIFS('PvP IB Cricket Season 2'!$G$20:$G$131,'PvP IB Cricket Season 2'!$AC$7,'PvP IB Cricket Season 2'!$H$20:$H$131,AQ6,'PvP IB Cricket Season 2'!$P$20:$P$131,"A")+COUNTIFS('PvP IB Cricket Season 2'!$G$20:$G$131,'PvP IB Cricket Season 2'!$AC$7,'PvP IB Cricket Season 2'!$L$20:$L$131,AQ6,'PvP IB Cricket Season 2'!$P$20:$P$131,"B"))</f>
        <v>0</v>
      </c>
      <c r="AT6" s="72">
        <f>IF(AQ6="","",COUNTIFS('PvP IB Cricket Season 2'!$G$20:$G$131,'PvP IB Cricket Season 2'!$AC$7,'PvP IB Cricket Season 2'!$H$20:$H$131,AQ6,'PvP IB Cricket Season 2'!$P$20:$P$131,"B")+COUNTIFS('PvP IB Cricket Season 2'!$G$20:$G$131,'PvP IB Cricket Season 2'!$AC$7,'PvP IB Cricket Season 2'!$L$20:$L$131,AQ6,'PvP IB Cricket Season 2'!$P$20:$P$131,"A"))</f>
        <v>0</v>
      </c>
      <c r="AU6" s="72">
        <f>IF(AQ6="","",COUNTIFS('PvP IB Cricket Season 2'!$G$20:$G$131,'PvP IB Cricket Season 2'!$AC$7,'PvP IB Cricket Season 2'!$H$20:$H$131,AQ6,'PvP IB Cricket Season 2'!$P$20:$P$131,"Tie")+COUNTIFS('PvP IB Cricket Season 2'!$G$20:$G$131,'PvP IB Cricket Season 2'!$AC$7,'PvP IB Cricket Season 2'!$L$20:$L$131,AQ6,'PvP IB Cricket Season 2'!$P$20:$P$131,"Tie"))</f>
        <v>0</v>
      </c>
      <c r="AV6" s="72">
        <f>IF(AQ6="","",COUNTIFS('PvP IB Cricket Season 2'!$G$20:$G$131,'PvP IB Cricket Season 2'!$AC$7,'PvP IB Cricket Season 2'!$H$20:$H$131,AQ6,'PvP IB Cricket Season 2'!$P$20:$P$131,"NR")+COUNTIFS('PvP IB Cricket Season 2'!$G$20:$G$131,'PvP IB Cricket Season 2'!$AC$7,'PvP IB Cricket Season 2'!$L$20:$L$131,AQ6,'PvP IB Cricket Season 2'!$P$20:$P$131,"NR"))</f>
        <v>0</v>
      </c>
      <c r="AW6" s="72">
        <f t="shared" ref="AW6:AW15" si="20">IF(AQ6="","",AS6*2+AU6*1+AV6*1)</f>
        <v>0</v>
      </c>
      <c r="AX6" s="72">
        <f>IF(AQ6="","",SUMIFS('PvP IB Cricket Season 2'!$I$20:$I$131,'PvP IB Cricket Season 2'!$G$20:$G$131,'PvP IB Cricket Season 2'!$AC$7,'PvP IB Cricket Season 2'!$H$20:$H$131,AQ6)+SUMIFS('PvP IB Cricket Season 2'!$M$20:$M$131,'PvP IB Cricket Season 2'!$G$20:$G$131,'PvP IB Cricket Season 2'!$AC$7,'PvP IB Cricket Season 2'!$L$20:$L$131,AQ6))</f>
        <v>0</v>
      </c>
      <c r="AY6" s="72">
        <f t="array" ref="AY6">IF(AQ6="","",SUMPRODUCT(('PvP IB Cricket Season 2'!$G$20:$G$131='PvP IB Cricket Season 2'!$AC$7)*('PvP IB Cricket Season 2'!$H$20:$H$131=AQ6)*IF('PvP IB Cricket Season 2'!$J$20:$J$131&gt;='PvP IB Cricket Season 2'!$D$17,'PvP IB Cricket Season 2'!$D$9,'PvP IB Cricket Season 2'!$K$20:$K$131))+SUMPRODUCT(('PvP IB Cricket Season 2'!$G$20:$G$131='PvP IB Cricket Season 2'!$AC$7)*('PvP IB Cricket Season 2'!$L$20:$L$131=AQ6)*IF('PvP IB Cricket Season 2'!$N$20:$N$131&gt;='PvP IB Cricket Season 2'!$D$17,'PvP IB Cricket Season 2'!$D$9,'PvP IB Cricket Season 2'!$O$20:$O$131)))</f>
        <v>0</v>
      </c>
      <c r="AZ6" s="72">
        <f>IF(AQ6="","",SUMIFS('PvP IB Cricket Season 2'!$M$20:$M$131,'PvP IB Cricket Season 2'!$G$20:$G$131,'PvP IB Cricket Season 2'!$AC$7,'PvP IB Cricket Season 2'!$H$20:$H$131,AQ6)+SUMIFS('PvP IB Cricket Season 2'!$I$20:$I$131,'PvP IB Cricket Season 2'!$G$20:$G$131,'PvP IB Cricket Season 2'!$AC$7,'PvP IB Cricket Season 2'!$L$20:$L$131,AQ6))</f>
        <v>0</v>
      </c>
      <c r="BA6" s="72">
        <f t="array" ref="BA6">IF(AQ6="","",SUMPRODUCT(('PvP IB Cricket Season 2'!$G$20:$G$131='PvP IB Cricket Season 2'!$AC$7)*('PvP IB Cricket Season 2'!$H$20:$H$131=AQ6)*IF('PvP IB Cricket Season 2'!$N$20:$N$131&gt;='PvP IB Cricket Season 2'!$D$17,'PvP IB Cricket Season 2'!$D$9,'PvP IB Cricket Season 2'!$O$20:$O$131))+SUMPRODUCT(('PvP IB Cricket Season 2'!$G$20:$G$131='PvP IB Cricket Season 2'!$AC$7)*('PvP IB Cricket Season 2'!$L$20:$L$131=AQ6)*IF('PvP IB Cricket Season 2'!$J$20:$J$131&gt;='PvP IB Cricket Season 2'!$D$17,'PvP IB Cricket Season 2'!$D$9,'PvP IB Cricket Season 2'!$K$20:$K$131)))</f>
        <v>0</v>
      </c>
      <c r="BB6" s="73" t="str">
        <f t="shared" ref="BB6:BB15" si="21">IF(OR(AQ6="",AY6=0,BA6=0),"",_xlfn.LET(_xlpm.oversFor,AY6,_xlpm.oversAgst,BA6,_xlpm.decOversFor,INT(_xlpm.oversFor)+MOD(_xlpm.oversFor,1)*10/6,_xlpm.decOversAgst,INT(_xlpm.oversAgst)+MOD(_xlpm.oversAgst,1)*10/6,ROUND((AX6/_xlpm.decOversFor)-(AZ6/_xlpm.decOversAgst),4)))</f>
        <v/>
      </c>
      <c r="BC6" s="74">
        <f t="shared" ref="BC6:BC15" si="22">IF(AQ6="","",(AW6*1000000)+IF(ISNUMBER(BB6),BB6*1000,0)+(10-ROW()+6)*0.0001)</f>
        <v>1E-3</v>
      </c>
      <c r="BD6" s="75">
        <f t="array" ref="BD6">IF(AQ6="","",SUMPRODUCT(($BC$6:$BC$15&gt;BC6)*1)+1)</f>
        <v>8</v>
      </c>
      <c r="BF6" s="122" t="str">
        <f t="array" ref="BF6">IFERROR(INDEX(_xlfn._xlws.FILTER('PvP IB Cricket Season 2'!$C$20:$C$51,'PvP IB Cricket Season 2'!$D$20:$D$51='PvP IB Cricket Season 2'!$AC$8),1),"")</f>
        <v>Animal</v>
      </c>
      <c r="BG6" s="84">
        <f>IF(BF6="","",COUNTIFS('PvP IB Cricket Season 2'!$G$20:$G$131,'PvP IB Cricket Season 2'!$AC$8,'PvP IB Cricket Season 2'!$H$20:$H$131,BF6,'PvP IB Cricket Season 2'!$P$20:$P$131,"A")+COUNTIFS('PvP IB Cricket Season 2'!$G$20:$G$131,'PvP IB Cricket Season 2'!$AC$8,'PvP IB Cricket Season 2'!$L$20:$L$131,BF6,'PvP IB Cricket Season 2'!$P$20:$P$131,"B")+COUNTIFS('PvP IB Cricket Season 2'!$G$20:$G$131,'PvP IB Cricket Season 2'!$AC$8,'PvP IB Cricket Season 2'!$H$20:$H$131,BF6,'PvP IB Cricket Season 2'!$P$20:$P$131,"B")+COUNTIFS('PvP IB Cricket Season 2'!$G$20:$G$131,'PvP IB Cricket Season 2'!$AC$8,'PvP IB Cricket Season 2'!$L$20:$L$131,BF6,'PvP IB Cricket Season 2'!$P$20:$P$131,"A")+COUNTIFS('PvP IB Cricket Season 2'!$G$20:$G$131,'PvP IB Cricket Season 2'!$AC$8,'PvP IB Cricket Season 2'!$H$20:$H$131,BF6,'PvP IB Cricket Season 2'!$P$20:$P$131,"Tie")+COUNTIFS('PvP IB Cricket Season 2'!$G$20:$G$131,'PvP IB Cricket Season 2'!$AC$8,'PvP IB Cricket Season 2'!$L$20:$L$131,BF6,'PvP IB Cricket Season 2'!$P$20:$P$131,"Tie")+COUNTIFS('PvP IB Cricket Season 2'!$G$20:$G$131,'PvP IB Cricket Season 2'!$AC$8,'PvP IB Cricket Season 2'!$H$20:$H$131,BF6,'PvP IB Cricket Season 2'!$P$20:$P$131,"NR")+COUNTIFS('PvP IB Cricket Season 2'!$G$20:$G$131,'PvP IB Cricket Season 2'!$AC$8,'PvP IB Cricket Season 2'!$L$20:$L$131,BF6,'PvP IB Cricket Season 2'!$P$20:$P$131,"NR"))</f>
        <v>0</v>
      </c>
      <c r="BH6" s="84">
        <f>IF(BF6="","",COUNTIFS('PvP IB Cricket Season 2'!$G$20:$G$131,'PvP IB Cricket Season 2'!$AC$8,'PvP IB Cricket Season 2'!$H$20:$H$131,BF6,'PvP IB Cricket Season 2'!$P$20:$P$131,"A")+COUNTIFS('PvP IB Cricket Season 2'!$G$20:$G$131,'PvP IB Cricket Season 2'!$AC$8,'PvP IB Cricket Season 2'!$L$20:$L$131,BF6,'PvP IB Cricket Season 2'!$P$20:$P$131,"B"))</f>
        <v>0</v>
      </c>
      <c r="BI6" s="84">
        <f>IF(BF6="","",COUNTIFS('PvP IB Cricket Season 2'!$G$20:$G$131,'PvP IB Cricket Season 2'!$AC$8,'PvP IB Cricket Season 2'!$H$20:$H$131,BF6,'PvP IB Cricket Season 2'!$P$20:$P$131,"B")+COUNTIFS('PvP IB Cricket Season 2'!$G$20:$G$131,'PvP IB Cricket Season 2'!$AC$8,'PvP IB Cricket Season 2'!$L$20:$L$131,BF6,'PvP IB Cricket Season 2'!$P$20:$P$131,"A"))</f>
        <v>0</v>
      </c>
      <c r="BJ6" s="84">
        <f>IF(BF6="","",COUNTIFS('PvP IB Cricket Season 2'!$G$20:$G$131,'PvP IB Cricket Season 2'!$AC$8,'PvP IB Cricket Season 2'!$H$20:$H$131,BF6,'PvP IB Cricket Season 2'!$P$20:$P$131,"Tie")+COUNTIFS('PvP IB Cricket Season 2'!$G$20:$G$131,'PvP IB Cricket Season 2'!$AC$8,'PvP IB Cricket Season 2'!$L$20:$L$131,BF6,'PvP IB Cricket Season 2'!$P$20:$P$131,"Tie"))</f>
        <v>0</v>
      </c>
      <c r="BK6" s="84">
        <f>IF(BF6="","",COUNTIFS('PvP IB Cricket Season 2'!$G$20:$G$131,'PvP IB Cricket Season 2'!$AC$8,'PvP IB Cricket Season 2'!$H$20:$H$131,BF6,'PvP IB Cricket Season 2'!$P$20:$P$131,"NR")+COUNTIFS('PvP IB Cricket Season 2'!$G$20:$G$131,'PvP IB Cricket Season 2'!$AC$8,'PvP IB Cricket Season 2'!$L$20:$L$131,BF6,'PvP IB Cricket Season 2'!$P$20:$P$131,"NR"))</f>
        <v>0</v>
      </c>
      <c r="BL6" s="84">
        <f t="shared" ref="BL6:BL15" si="23">IF(BF6="","",BH6*2+BJ6*1+BK6*1)</f>
        <v>0</v>
      </c>
      <c r="BM6" s="84">
        <f>IF(BF6="","",SUMIFS('PvP IB Cricket Season 2'!$I$20:$I$131,'PvP IB Cricket Season 2'!$G$20:$G$131,'PvP IB Cricket Season 2'!$AC$8,'PvP IB Cricket Season 2'!$H$20:$H$131,BF6)+SUMIFS('PvP IB Cricket Season 2'!$M$20:$M$131,'PvP IB Cricket Season 2'!$G$20:$G$131,'PvP IB Cricket Season 2'!$AC$8,'PvP IB Cricket Season 2'!$L$20:$L$131,BF6))</f>
        <v>0</v>
      </c>
      <c r="BN6" s="84">
        <f t="array" ref="BN6">IF(BF6="","",SUMPRODUCT(('PvP IB Cricket Season 2'!$G$20:$G$131='PvP IB Cricket Season 2'!$AC$8)*('PvP IB Cricket Season 2'!$H$20:$H$131=BF6)*IF('PvP IB Cricket Season 2'!$J$20:$J$131&gt;='PvP IB Cricket Season 2'!$D$17,'PvP IB Cricket Season 2'!$D$9,'PvP IB Cricket Season 2'!$K$20:$K$131))+SUMPRODUCT(('PvP IB Cricket Season 2'!$G$20:$G$131='PvP IB Cricket Season 2'!$AC$8)*('PvP IB Cricket Season 2'!$L$20:$L$131=BF6)*IF('PvP IB Cricket Season 2'!$N$20:$N$131&gt;='PvP IB Cricket Season 2'!$D$17,'PvP IB Cricket Season 2'!$D$9,'PvP IB Cricket Season 2'!$O$20:$O$131)))</f>
        <v>0</v>
      </c>
      <c r="BO6" s="84">
        <f>IF(BF6="","",SUMIFS('PvP IB Cricket Season 2'!$M$20:$M$131,'PvP IB Cricket Season 2'!$G$20:$G$131,'PvP IB Cricket Season 2'!$AC$8,'PvP IB Cricket Season 2'!$H$20:$H$131,BF6)+SUMIFS('PvP IB Cricket Season 2'!$I$20:$I$131,'PvP IB Cricket Season 2'!$G$20:$G$131,'PvP IB Cricket Season 2'!$AC$8,'PvP IB Cricket Season 2'!$L$20:$L$131,BF6))</f>
        <v>0</v>
      </c>
      <c r="BP6" s="84">
        <f t="array" ref="BP6">IF(BF6="","",SUMPRODUCT(('PvP IB Cricket Season 2'!$G$20:$G$131='PvP IB Cricket Season 2'!$AC$8)*('PvP IB Cricket Season 2'!$H$20:$H$131=BF6)*IF('PvP IB Cricket Season 2'!$N$20:$N$131&gt;='PvP IB Cricket Season 2'!$D$17,'PvP IB Cricket Season 2'!$D$9,'PvP IB Cricket Season 2'!$O$20:$O$131))+SUMPRODUCT(('PvP IB Cricket Season 2'!$G$20:$G$131='PvP IB Cricket Season 2'!$AC$8)*('PvP IB Cricket Season 2'!$L$20:$L$131=BF6)*IF('PvP IB Cricket Season 2'!$J$20:$J$131&gt;='PvP IB Cricket Season 2'!$D$17,'PvP IB Cricket Season 2'!$D$9,'PvP IB Cricket Season 2'!$K$20:$K$131)))</f>
        <v>0</v>
      </c>
      <c r="BQ6" s="85" t="str">
        <f t="shared" ref="BQ6:BQ15" si="24">IF(OR(BF6="",BN6=0,BP6=0),"",_xlfn.LET(_xlpm.oversFor,BN6,_xlpm.oversAgst,BP6,_xlpm.decOversFor,INT(_xlpm.oversFor)+MOD(_xlpm.oversFor,1)*10/6,_xlpm.decOversAgst,INT(_xlpm.oversAgst)+MOD(_xlpm.oversAgst,1)*10/6,ROUND((BM6/_xlpm.decOversFor)-(BO6/_xlpm.decOversAgst),4)))</f>
        <v/>
      </c>
      <c r="BR6" s="86">
        <f t="shared" ref="BR6:BR15" si="25">IF(BF6="","",(BL6*1000000)+IF(ISNUMBER(BQ6),BQ6*1000,0)+(10-ROW()+6)*0.0001)</f>
        <v>1E-3</v>
      </c>
      <c r="BS6" s="87">
        <f t="array" ref="BS6">IF(BF6="","",SUMPRODUCT(($BR$6:$BR$15&gt;BR6)*1)+1)</f>
        <v>5</v>
      </c>
      <c r="BU6" s="125" t="str">
        <f t="array" ref="BU6">IFERROR(INDEX(_xlfn._xlws.FILTER('PvP IB Cricket Season 2'!$C$20:$C$51,'PvP IB Cricket Season 2'!$D$20:$D$51='PvP IB Cricket Season 2'!$AC$9),1),"")</f>
        <v>Haseeb Sha</v>
      </c>
      <c r="BV6" s="51">
        <f>IF(BU6="","",COUNTIFS('PvP IB Cricket Season 2'!$G$20:$G$131,'PvP IB Cricket Season 2'!$AC$9,'PvP IB Cricket Season 2'!$H$20:$H$131,BU6,'PvP IB Cricket Season 2'!$P$20:$P$131,"A")+COUNTIFS('PvP IB Cricket Season 2'!$G$20:$G$131,'PvP IB Cricket Season 2'!$AC$9,'PvP IB Cricket Season 2'!$L$20:$L$131,BU6,'PvP IB Cricket Season 2'!$P$20:$P$131,"B")+COUNTIFS('PvP IB Cricket Season 2'!$G$20:$G$131,'PvP IB Cricket Season 2'!$AC$9,'PvP IB Cricket Season 2'!$H$20:$H$131,BU6,'PvP IB Cricket Season 2'!$P$20:$P$131,"B")+COUNTIFS('PvP IB Cricket Season 2'!$G$20:$G$131,'PvP IB Cricket Season 2'!$AC$9,'PvP IB Cricket Season 2'!$L$20:$L$131,BU6,'PvP IB Cricket Season 2'!$P$20:$P$131,"A")+COUNTIFS('PvP IB Cricket Season 2'!$G$20:$G$131,'PvP IB Cricket Season 2'!$AC$9,'PvP IB Cricket Season 2'!$H$20:$H$131,BU6,'PvP IB Cricket Season 2'!$P$20:$P$131,"Tie")+COUNTIFS('PvP IB Cricket Season 2'!$G$20:$G$131,'PvP IB Cricket Season 2'!$AC$9,'PvP IB Cricket Season 2'!$L$20:$L$131,BU6,'PvP IB Cricket Season 2'!$P$20:$P$131,"Tie")+COUNTIFS('PvP IB Cricket Season 2'!$G$20:$G$131,'PvP IB Cricket Season 2'!$AC$9,'PvP IB Cricket Season 2'!$H$20:$H$131,BU6,'PvP IB Cricket Season 2'!$P$20:$P$131,"NR")+COUNTIFS('PvP IB Cricket Season 2'!$G$20:$G$131,'PvP IB Cricket Season 2'!$AC$9,'PvP IB Cricket Season 2'!$L$20:$L$131,BU6,'PvP IB Cricket Season 2'!$P$20:$P$131,"NR"))</f>
        <v>0</v>
      </c>
      <c r="BW6" s="51">
        <f>IF(BU6="","",COUNTIFS('PvP IB Cricket Season 2'!$G$20:$G$131,'PvP IB Cricket Season 2'!$AC$9,'PvP IB Cricket Season 2'!$H$20:$H$131,BU6,'PvP IB Cricket Season 2'!$P$20:$P$131,"A")+COUNTIFS('PvP IB Cricket Season 2'!$G$20:$G$131,'PvP IB Cricket Season 2'!$AC$9,'PvP IB Cricket Season 2'!$L$20:$L$131,BU6,'PvP IB Cricket Season 2'!$P$20:$P$131,"B"))</f>
        <v>0</v>
      </c>
      <c r="BX6" s="51">
        <f>IF(BU6="","",COUNTIFS('PvP IB Cricket Season 2'!$G$20:$G$131,'PvP IB Cricket Season 2'!$AC$9,'PvP IB Cricket Season 2'!$H$20:$H$131,BU6,'PvP IB Cricket Season 2'!$P$20:$P$131,"B")+COUNTIFS('PvP IB Cricket Season 2'!$G$20:$G$131,'PvP IB Cricket Season 2'!$AC$9,'PvP IB Cricket Season 2'!$L$20:$L$131,BU6,'PvP IB Cricket Season 2'!$P$20:$P$131,"A"))</f>
        <v>0</v>
      </c>
      <c r="BY6" s="51">
        <f>IF(BU6="","",COUNTIFS('PvP IB Cricket Season 2'!$G$20:$G$131,'PvP IB Cricket Season 2'!$AC$9,'PvP IB Cricket Season 2'!$H$20:$H$131,BU6,'PvP IB Cricket Season 2'!$P$20:$P$131,"Tie")+COUNTIFS('PvP IB Cricket Season 2'!$G$20:$G$131,'PvP IB Cricket Season 2'!$AC$9,'PvP IB Cricket Season 2'!$L$20:$L$131,BU6,'PvP IB Cricket Season 2'!$P$20:$P$131,"Tie"))</f>
        <v>0</v>
      </c>
      <c r="BZ6" s="51">
        <f>IF(BU6="","",COUNTIFS('PvP IB Cricket Season 2'!$G$20:$G$131,'PvP IB Cricket Season 2'!$AC$9,'PvP IB Cricket Season 2'!$H$20:$H$131,BU6,'PvP IB Cricket Season 2'!$P$20:$P$131,"NR")+COUNTIFS('PvP IB Cricket Season 2'!$G$20:$G$131,'PvP IB Cricket Season 2'!$AC$9,'PvP IB Cricket Season 2'!$L$20:$L$131,BU6,'PvP IB Cricket Season 2'!$P$20:$P$131,"NR"))</f>
        <v>0</v>
      </c>
      <c r="CA6" s="51">
        <f t="shared" ref="CA6:CA15" si="26">IF(BU6="","",BW6*2+BY6*1+BZ6*1)</f>
        <v>0</v>
      </c>
      <c r="CB6" s="51">
        <f>IF(BU6="","",SUMIFS('PvP IB Cricket Season 2'!$I$20:$I$131,'PvP IB Cricket Season 2'!$G$20:$G$131,'PvP IB Cricket Season 2'!$AC$9,'PvP IB Cricket Season 2'!$H$20:$H$131,BU6)+SUMIFS('PvP IB Cricket Season 2'!$M$20:$M$131,'PvP IB Cricket Season 2'!$G$20:$G$131,'PvP IB Cricket Season 2'!$AC$9,'PvP IB Cricket Season 2'!$L$20:$L$131,BU6))</f>
        <v>0</v>
      </c>
      <c r="CC6" s="51">
        <f t="array" ref="CC6">IF(BU6="","",SUMPRODUCT(('PvP IB Cricket Season 2'!$G$20:$G$131='PvP IB Cricket Season 2'!$AC$9)*('PvP IB Cricket Season 2'!$H$20:$H$131=BU6)*IF('PvP IB Cricket Season 2'!$J$20:$J$131&gt;='PvP IB Cricket Season 2'!$D$17,'PvP IB Cricket Season 2'!$D$9,'PvP IB Cricket Season 2'!$K$20:$K$131))+SUMPRODUCT(('PvP IB Cricket Season 2'!$G$20:$G$131='PvP IB Cricket Season 2'!$AC$9)*('PvP IB Cricket Season 2'!$L$20:$L$131=BU6)*IF('PvP IB Cricket Season 2'!$N$20:$N$131&gt;='PvP IB Cricket Season 2'!$D$17,'PvP IB Cricket Season 2'!$D$9,'PvP IB Cricket Season 2'!$O$20:$O$131)))</f>
        <v>0</v>
      </c>
      <c r="CD6" s="51">
        <f>IF(BU6="","",SUMIFS('PvP IB Cricket Season 2'!$M$20:$M$131,'PvP IB Cricket Season 2'!$G$20:$G$131,'PvP IB Cricket Season 2'!$AC$9,'PvP IB Cricket Season 2'!$H$20:$H$131,BU6)+SUMIFS('PvP IB Cricket Season 2'!$I$20:$I$131,'PvP IB Cricket Season 2'!$G$20:$G$131,'PvP IB Cricket Season 2'!$AC$9,'PvP IB Cricket Season 2'!$L$20:$L$131,BU6))</f>
        <v>0</v>
      </c>
      <c r="CE6" s="51">
        <f t="array" ref="CE6">IF(BU6="","",SUMPRODUCT(('PvP IB Cricket Season 2'!$G$20:$G$131='PvP IB Cricket Season 2'!$AC$9)*('PvP IB Cricket Season 2'!$H$20:$H$131=BU6)*IF('PvP IB Cricket Season 2'!$N$20:$N$131&gt;='PvP IB Cricket Season 2'!$D$17,'PvP IB Cricket Season 2'!$D$9,'PvP IB Cricket Season 2'!$O$20:$O$131))+SUMPRODUCT(('PvP IB Cricket Season 2'!$G$20:$G$131='PvP IB Cricket Season 2'!$AC$9)*('PvP IB Cricket Season 2'!$L$20:$L$131=BU6)*IF('PvP IB Cricket Season 2'!$J$20:$J$131&gt;='PvP IB Cricket Season 2'!$D$17,'PvP IB Cricket Season 2'!$D$9,'PvP IB Cricket Season 2'!$K$20:$K$131)))</f>
        <v>0</v>
      </c>
      <c r="CF6" s="96" t="str">
        <f t="shared" ref="CF6:CF15" si="27">IF(OR(BU6="",CC6=0,CE6=0),"",_xlfn.LET(_xlpm.oversFor,CC6,_xlpm.oversAgst,CE6,_xlpm.decOversFor,INT(_xlpm.oversFor)+MOD(_xlpm.oversFor,1)*10/6,_xlpm.decOversAgst,INT(_xlpm.oversAgst)+MOD(_xlpm.oversAgst,1)*10/6,ROUND((CB6/_xlpm.decOversFor)-(CD6/_xlpm.decOversAgst),4)))</f>
        <v/>
      </c>
      <c r="CG6" s="97">
        <f t="shared" ref="CG6:CG15" si="28">IF(BU6="","",(CA6*1000000)+IF(ISNUMBER(CF6),CF6*1000,0)+(10-ROW()+6)*0.0001)</f>
        <v>1E-3</v>
      </c>
      <c r="CH6" s="98">
        <f t="array" ref="CH6">IF(BU6="","",SUMPRODUCT(($CG$6:$CG$15&gt;CG6)*1)+1)</f>
        <v>6</v>
      </c>
      <c r="CJ6" s="128" t="str">
        <f t="array" ref="CJ6">IFERROR(INDEX(_xlfn._xlws.FILTER('PvP IB Cricket Season 2'!$C$20:$C$51,'PvP IB Cricket Season 2'!$D$20:$D$51='PvP IB Cricket Season 2'!$AC$10),1),"")</f>
        <v>Aamod</v>
      </c>
      <c r="CK6" s="107">
        <f>IF(CJ6="","",COUNTIFS('PvP IB Cricket Season 2'!$G$20:$G$131,'PvP IB Cricket Season 2'!$AC$10,'PvP IB Cricket Season 2'!$H$20:$H$131,CJ6,'PvP IB Cricket Season 2'!$P$20:$P$131,"A")+COUNTIFS('PvP IB Cricket Season 2'!$G$20:$G$131,'PvP IB Cricket Season 2'!$AC$10,'PvP IB Cricket Season 2'!$L$20:$L$131,CJ6,'PvP IB Cricket Season 2'!$P$20:$P$131,"B")+COUNTIFS('PvP IB Cricket Season 2'!$G$20:$G$131,'PvP IB Cricket Season 2'!$AC$10,'PvP IB Cricket Season 2'!$H$20:$H$131,CJ6,'PvP IB Cricket Season 2'!$P$20:$P$131,"B")+COUNTIFS('PvP IB Cricket Season 2'!$G$20:$G$131,'PvP IB Cricket Season 2'!$AC$10,'PvP IB Cricket Season 2'!$L$20:$L$131,CJ6,'PvP IB Cricket Season 2'!$P$20:$P$131,"A")+COUNTIFS('PvP IB Cricket Season 2'!$G$20:$G$131,'PvP IB Cricket Season 2'!$AC$10,'PvP IB Cricket Season 2'!$H$20:$H$131,CJ6,'PvP IB Cricket Season 2'!$P$20:$P$131,"Tie")+COUNTIFS('PvP IB Cricket Season 2'!$G$20:$G$131,'PvP IB Cricket Season 2'!$AC$10,'PvP IB Cricket Season 2'!$L$20:$L$131,CJ6,'PvP IB Cricket Season 2'!$P$20:$P$131,"Tie")+COUNTIFS('PvP IB Cricket Season 2'!$G$20:$G$131,'PvP IB Cricket Season 2'!$AC$10,'PvP IB Cricket Season 2'!$H$20:$H$131,CJ6,'PvP IB Cricket Season 2'!$P$20:$P$131,"NR")+COUNTIFS('PvP IB Cricket Season 2'!$G$20:$G$131,'PvP IB Cricket Season 2'!$AC$10,'PvP IB Cricket Season 2'!$L$20:$L$131,CJ6,'PvP IB Cricket Season 2'!$P$20:$P$131,"NR"))</f>
        <v>0</v>
      </c>
      <c r="CL6" s="107">
        <f>IF(CJ6="","",COUNTIFS('PvP IB Cricket Season 2'!$G$20:$G$131,'PvP IB Cricket Season 2'!$AC$10,'PvP IB Cricket Season 2'!$H$20:$H$131,CJ6,'PvP IB Cricket Season 2'!$P$20:$P$131,"A")+COUNTIFS('PvP IB Cricket Season 2'!$G$20:$G$131,'PvP IB Cricket Season 2'!$AC$10,'PvP IB Cricket Season 2'!$L$20:$L$131,CJ6,'PvP IB Cricket Season 2'!$P$20:$P$131,"B"))</f>
        <v>0</v>
      </c>
      <c r="CM6" s="107">
        <f>IF(CJ6="","",COUNTIFS('PvP IB Cricket Season 2'!$G$20:$G$131,'PvP IB Cricket Season 2'!$AC$10,'PvP IB Cricket Season 2'!$H$20:$H$131,CJ6,'PvP IB Cricket Season 2'!$P$20:$P$131,"B")+COUNTIFS('PvP IB Cricket Season 2'!$G$20:$G$131,'PvP IB Cricket Season 2'!$AC$10,'PvP IB Cricket Season 2'!$L$20:$L$131,CJ6,'PvP IB Cricket Season 2'!$P$20:$P$131,"A"))</f>
        <v>0</v>
      </c>
      <c r="CN6" s="107">
        <f>IF(CJ6="","",COUNTIFS('PvP IB Cricket Season 2'!$G$20:$G$131,'PvP IB Cricket Season 2'!$AC$10,'PvP IB Cricket Season 2'!$H$20:$H$131,CJ6,'PvP IB Cricket Season 2'!$P$20:$P$131,"Tie")+COUNTIFS('PvP IB Cricket Season 2'!$G$20:$G$131,'PvP IB Cricket Season 2'!$AC$10,'PvP IB Cricket Season 2'!$L$20:$L$131,CJ6,'PvP IB Cricket Season 2'!$P$20:$P$131,"Tie"))</f>
        <v>0</v>
      </c>
      <c r="CO6" s="107">
        <f>IF(CJ6="","",COUNTIFS('PvP IB Cricket Season 2'!$G$20:$G$131,'PvP IB Cricket Season 2'!$AC$10,'PvP IB Cricket Season 2'!$H$20:$H$131,CJ6,'PvP IB Cricket Season 2'!$P$20:$P$131,"NR")+COUNTIFS('PvP IB Cricket Season 2'!$G$20:$G$131,'PvP IB Cricket Season 2'!$AC$10,'PvP IB Cricket Season 2'!$L$20:$L$131,CJ6,'PvP IB Cricket Season 2'!$P$20:$P$131,"NR"))</f>
        <v>0</v>
      </c>
      <c r="CP6" s="107">
        <f t="shared" ref="CP6:CP15" si="29">IF(CJ6="","",CL6*2+CN6*1+CO6*1)</f>
        <v>0</v>
      </c>
      <c r="CQ6" s="107">
        <f>IF(CJ6="","",SUMIFS('PvP IB Cricket Season 2'!$I$20:$I$131,'PvP IB Cricket Season 2'!$G$20:$G$131,'PvP IB Cricket Season 2'!$AC$10,'PvP IB Cricket Season 2'!$H$20:$H$131,CJ6)+SUMIFS('PvP IB Cricket Season 2'!$M$20:$M$131,'PvP IB Cricket Season 2'!$G$20:$G$131,'PvP IB Cricket Season 2'!$AC$10,'PvP IB Cricket Season 2'!$L$20:$L$131,CJ6))</f>
        <v>0</v>
      </c>
      <c r="CR6" s="107">
        <f t="array" ref="CR6">IF(CJ6="","",SUMPRODUCT(('PvP IB Cricket Season 2'!$G$20:$G$131='PvP IB Cricket Season 2'!$AC$10)*('PvP IB Cricket Season 2'!$H$20:$H$131=CJ6)*IF('PvP IB Cricket Season 2'!$J$20:$J$131&gt;='PvP IB Cricket Season 2'!$D$17,'PvP IB Cricket Season 2'!$D$9,'PvP IB Cricket Season 2'!$K$20:$K$131))+SUMPRODUCT(('PvP IB Cricket Season 2'!$G$20:$G$131='PvP IB Cricket Season 2'!$AC$10)*('PvP IB Cricket Season 2'!$L$20:$L$131=CJ6)*IF('PvP IB Cricket Season 2'!$N$20:$N$131&gt;='PvP IB Cricket Season 2'!$D$17,'PvP IB Cricket Season 2'!$D$9,'PvP IB Cricket Season 2'!$O$20:$O$131)))</f>
        <v>0</v>
      </c>
      <c r="CS6" s="107">
        <f>IF(CJ6="","",SUMIFS('PvP IB Cricket Season 2'!$M$20:$M$131,'PvP IB Cricket Season 2'!$G$20:$G$131,'PvP IB Cricket Season 2'!$AC$10,'PvP IB Cricket Season 2'!$H$20:$H$131,CJ6)+SUMIFS('PvP IB Cricket Season 2'!$I$20:$I$131,'PvP IB Cricket Season 2'!$G$20:$G$131,'PvP IB Cricket Season 2'!$AC$10,'PvP IB Cricket Season 2'!$L$20:$L$131,CJ6))</f>
        <v>0</v>
      </c>
      <c r="CT6" s="107">
        <f t="array" ref="CT6">IF(CJ6="","",SUMPRODUCT(('PvP IB Cricket Season 2'!$G$20:$G$131='PvP IB Cricket Season 2'!$AC$10)*('PvP IB Cricket Season 2'!$H$20:$H$131=CJ6)*IF('PvP IB Cricket Season 2'!$N$20:$N$131&gt;='PvP IB Cricket Season 2'!$D$17,'PvP IB Cricket Season 2'!$D$9,'PvP IB Cricket Season 2'!$O$20:$O$131))+SUMPRODUCT(('PvP IB Cricket Season 2'!$G$20:$G$131='PvP IB Cricket Season 2'!$AC$10)*('PvP IB Cricket Season 2'!$L$20:$L$131=CJ6)*IF('PvP IB Cricket Season 2'!$J$20:$J$131&gt;='PvP IB Cricket Season 2'!$D$17,'PvP IB Cricket Season 2'!$D$9,'PvP IB Cricket Season 2'!$K$20:$K$131)))</f>
        <v>0</v>
      </c>
      <c r="CU6" s="108" t="str">
        <f t="shared" ref="CU6:CU15" si="30">IF(OR(CJ6="",CR6=0,CT6=0),"",_xlfn.LET(_xlpm.oversFor,CR6,_xlpm.oversAgst,CT6,_xlpm.decOversFor,INT(_xlpm.oversFor)+MOD(_xlpm.oversFor,1)*10/6,_xlpm.decOversAgst,INT(_xlpm.oversAgst)+MOD(_xlpm.oversAgst,1)*10/6,ROUND((CQ6/_xlpm.decOversFor)-(CS6/_xlpm.decOversAgst),4)))</f>
        <v/>
      </c>
      <c r="CV6" s="109">
        <f t="shared" ref="CV6:CV15" si="31">IF(CJ6="","",(CP6*1000000)+IF(ISNUMBER(CU6),CU6*1000,0)+(10-ROW()+6)*0.0001)</f>
        <v>1E-3</v>
      </c>
      <c r="CW6" s="110">
        <f t="array" ref="CW6">IF(CJ6="","",SUMPRODUCT(($CV$6:$CV$15&gt;CV6)*1)+1)</f>
        <v>6</v>
      </c>
    </row>
    <row r="7" spans="1:101" ht="20.100000000000001" customHeight="1" x14ac:dyDescent="0.3">
      <c r="A7" s="38"/>
      <c r="B7" s="182">
        <v>2</v>
      </c>
      <c r="C7" s="183" t="str">
        <f t="shared" si="0"/>
        <v>Nyx668</v>
      </c>
      <c r="D7" s="184">
        <f t="shared" si="1"/>
        <v>0</v>
      </c>
      <c r="E7" s="184">
        <f t="shared" si="2"/>
        <v>0</v>
      </c>
      <c r="F7" s="184">
        <f t="shared" si="3"/>
        <v>0</v>
      </c>
      <c r="G7" s="184">
        <f t="shared" si="4"/>
        <v>0</v>
      </c>
      <c r="H7" s="184">
        <f t="shared" si="5"/>
        <v>0</v>
      </c>
      <c r="I7" s="185">
        <f t="shared" si="6"/>
        <v>0</v>
      </c>
      <c r="J7" s="184">
        <f t="shared" si="7"/>
        <v>0</v>
      </c>
      <c r="K7" s="186">
        <f t="array" ref="K7">IF(C7="","",SUMPRODUCT(('PvP IB Cricket Season 2'!$G$20:$G$131='PvP IB Cricket Season 2'!$AC$7)*('PvP IB Cricket Season 2'!$H$20:$H$131=C7)*('PvP IB Cricket Season 2'!$K$20:$K$131))+SUMPRODUCT(('PvP IB Cricket Season 2'!$G$20:$G$131='PvP IB Cricket Season 2'!$AC$7)*('PvP IB Cricket Season 2'!$L$20:$L$131=C7)*('PvP IB Cricket Season 2'!$O$20:$O$131)))</f>
        <v>0</v>
      </c>
      <c r="L7" s="184">
        <f t="shared" si="8"/>
        <v>0</v>
      </c>
      <c r="M7" s="186">
        <f t="array" ref="M7">IF(C7="","",SUMPRODUCT(('PvP IB Cricket Season 2'!$G$20:$G$131='PvP IB Cricket Season 2'!$AC$7)*('PvP IB Cricket Season 2'!$H$20:$H$131=C7)*('PvP IB Cricket Season 2'!$O$20:$O$131))+SUMPRODUCT(('PvP IB Cricket Season 2'!$G$20:$G$131='PvP IB Cricket Season 2'!$AC$7)*('PvP IB Cricket Season 2'!$L$20:$L$131=C7)*('PvP IB Cricket Season 2'!$K$20:$K$131)))</f>
        <v>0</v>
      </c>
      <c r="N7" s="187" t="str">
        <f t="shared" si="9"/>
        <v/>
      </c>
      <c r="O7" s="38"/>
      <c r="P7" s="200">
        <v>2</v>
      </c>
      <c r="Q7" s="201" t="str">
        <f t="shared" si="10"/>
        <v>Kalyan</v>
      </c>
      <c r="R7" s="202">
        <f t="shared" si="11"/>
        <v>0</v>
      </c>
      <c r="S7" s="202">
        <f t="shared" si="12"/>
        <v>0</v>
      </c>
      <c r="T7" s="202">
        <f t="shared" si="13"/>
        <v>0</v>
      </c>
      <c r="U7" s="202">
        <f t="shared" si="14"/>
        <v>0</v>
      </c>
      <c r="V7" s="202">
        <f t="shared" si="15"/>
        <v>0</v>
      </c>
      <c r="W7" s="203">
        <f t="shared" si="16"/>
        <v>0</v>
      </c>
      <c r="X7" s="202">
        <f t="shared" si="17"/>
        <v>0</v>
      </c>
      <c r="Y7" s="204">
        <f t="array" ref="Y7">IF(Q7="","",SUMPRODUCT(('PvP IB Cricket Season 2'!$G$20:$G$131='PvP IB Cricket Season 2'!$AC$9)*('PvP IB Cricket Season 2'!$H$20:$H$131=Q7)*('PvP IB Cricket Season 2'!$K$20:$K$131))+SUMPRODUCT(('PvP IB Cricket Season 2'!$G$20:$G$131='PvP IB Cricket Season 2'!$AC$9)*('PvP IB Cricket Season 2'!$L$20:$L$131=Q7)*('PvP IB Cricket Season 2'!$O$20:$O$131)))</f>
        <v>0</v>
      </c>
      <c r="Z7" s="202">
        <f t="shared" si="18"/>
        <v>0</v>
      </c>
      <c r="AA7" s="204">
        <f t="array" ref="AA7">IF(Q7="","",SUMPRODUCT(('PvP IB Cricket Season 2'!$G$20:$G$131='PvP IB Cricket Season 2'!$AC$9)*('PvP IB Cricket Season 2'!$H$20:$H$131=Q7)*('PvP IB Cricket Season 2'!$O$20:$O$131))+SUMPRODUCT(('PvP IB Cricket Season 2'!$G$20:$G$131='PvP IB Cricket Season 2'!$AC$9)*('PvP IB Cricket Season 2'!$L$20:$L$131=Q7)*('PvP IB Cricket Season 2'!$K$20:$K$131)))</f>
        <v>0</v>
      </c>
      <c r="AB7" s="205" t="str">
        <f t="shared" si="19"/>
        <v/>
      </c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120" t="str">
        <f t="array" ref="AQ7">IFERROR(INDEX(_xlfn._xlws.FILTER('PvP IB Cricket Season 2'!$C$20:$C$51,'PvP IB Cricket Season 2'!$D$20:$D$51='PvP IB Cricket Season 2'!$AC$7),2),"")</f>
        <v>Nyx668</v>
      </c>
      <c r="AR7" s="76">
        <f>IF(AQ7="","",COUNTIFS('PvP IB Cricket Season 2'!$G$20:$G$131,'PvP IB Cricket Season 2'!$AC$7,'PvP IB Cricket Season 2'!$H$20:$H$131,AQ7,'PvP IB Cricket Season 2'!$P$20:$P$131,"A")+COUNTIFS('PvP IB Cricket Season 2'!$G$20:$G$131,'PvP IB Cricket Season 2'!$AC$7,'PvP IB Cricket Season 2'!$L$20:$L$131,AQ7,'PvP IB Cricket Season 2'!$P$20:$P$131,"B")+COUNTIFS('PvP IB Cricket Season 2'!$G$20:$G$131,'PvP IB Cricket Season 2'!$AC$7,'PvP IB Cricket Season 2'!$H$20:$H$131,AQ7,'PvP IB Cricket Season 2'!$P$20:$P$131,"B")+COUNTIFS('PvP IB Cricket Season 2'!$G$20:$G$131,'PvP IB Cricket Season 2'!$AC$7,'PvP IB Cricket Season 2'!$L$20:$L$131,AQ7,'PvP IB Cricket Season 2'!$P$20:$P$131,"A")+COUNTIFS('PvP IB Cricket Season 2'!$G$20:$G$131,'PvP IB Cricket Season 2'!$AC$7,'PvP IB Cricket Season 2'!$H$20:$H$131,AQ7,'PvP IB Cricket Season 2'!$P$20:$P$131,"Tie")+COUNTIFS('PvP IB Cricket Season 2'!$G$20:$G$131,'PvP IB Cricket Season 2'!$AC$7,'PvP IB Cricket Season 2'!$L$20:$L$131,AQ7,'PvP IB Cricket Season 2'!$P$20:$P$131,"Tie")+COUNTIFS('PvP IB Cricket Season 2'!$G$20:$G$131,'PvP IB Cricket Season 2'!$AC$7,'PvP IB Cricket Season 2'!$H$20:$H$131,AQ7,'PvP IB Cricket Season 2'!$P$20:$P$131,"NR")+COUNTIFS('PvP IB Cricket Season 2'!$G$20:$G$131,'PvP IB Cricket Season 2'!$AC$7,'PvP IB Cricket Season 2'!$L$20:$L$131,AQ7,'PvP IB Cricket Season 2'!$P$20:$P$131,"NR"))</f>
        <v>0</v>
      </c>
      <c r="AS7" s="76">
        <f>IF(AQ7="","",COUNTIFS('PvP IB Cricket Season 2'!$G$20:$G$131,'PvP IB Cricket Season 2'!$AC$7,'PvP IB Cricket Season 2'!$H$20:$H$131,AQ7,'PvP IB Cricket Season 2'!$P$20:$P$131,"A")+COUNTIFS('PvP IB Cricket Season 2'!$G$20:$G$131,'PvP IB Cricket Season 2'!$AC$7,'PvP IB Cricket Season 2'!$L$20:$L$131,AQ7,'PvP IB Cricket Season 2'!$P$20:$P$131,"B"))</f>
        <v>0</v>
      </c>
      <c r="AT7" s="76">
        <f>IF(AQ7="","",COUNTIFS('PvP IB Cricket Season 2'!$G$20:$G$131,'PvP IB Cricket Season 2'!$AC$7,'PvP IB Cricket Season 2'!$H$20:$H$131,AQ7,'PvP IB Cricket Season 2'!$P$20:$P$131,"B")+COUNTIFS('PvP IB Cricket Season 2'!$G$20:$G$131,'PvP IB Cricket Season 2'!$AC$7,'PvP IB Cricket Season 2'!$L$20:$L$131,AQ7,'PvP IB Cricket Season 2'!$P$20:$P$131,"A"))</f>
        <v>0</v>
      </c>
      <c r="AU7" s="76">
        <f>IF(AQ7="","",COUNTIFS('PvP IB Cricket Season 2'!$G$20:$G$131,'PvP IB Cricket Season 2'!$AC$7,'PvP IB Cricket Season 2'!$H$20:$H$131,AQ7,'PvP IB Cricket Season 2'!$P$20:$P$131,"Tie")+COUNTIFS('PvP IB Cricket Season 2'!$G$20:$G$131,'PvP IB Cricket Season 2'!$AC$7,'PvP IB Cricket Season 2'!$L$20:$L$131,AQ7,'PvP IB Cricket Season 2'!$P$20:$P$131,"Tie"))</f>
        <v>0</v>
      </c>
      <c r="AV7" s="76">
        <f>IF(AQ7="","",COUNTIFS('PvP IB Cricket Season 2'!$G$20:$G$131,'PvP IB Cricket Season 2'!$AC$7,'PvP IB Cricket Season 2'!$H$20:$H$131,AQ7,'PvP IB Cricket Season 2'!$P$20:$P$131,"NR")+COUNTIFS('PvP IB Cricket Season 2'!$G$20:$G$131,'PvP IB Cricket Season 2'!$AC$7,'PvP IB Cricket Season 2'!$L$20:$L$131,AQ7,'PvP IB Cricket Season 2'!$P$20:$P$131,"NR"))</f>
        <v>0</v>
      </c>
      <c r="AW7" s="76">
        <f t="shared" si="20"/>
        <v>0</v>
      </c>
      <c r="AX7" s="76">
        <f>IF(AQ7="","",SUMIFS('PvP IB Cricket Season 2'!$I$20:$I$131,'PvP IB Cricket Season 2'!$G$20:$G$131,'PvP IB Cricket Season 2'!$AC$7,'PvP IB Cricket Season 2'!$H$20:$H$131,AQ7)+SUMIFS('PvP IB Cricket Season 2'!$M$20:$M$131,'PvP IB Cricket Season 2'!$G$20:$G$131,'PvP IB Cricket Season 2'!$AC$7,'PvP IB Cricket Season 2'!$L$20:$L$131,AQ7))</f>
        <v>0</v>
      </c>
      <c r="AY7" s="76">
        <f t="array" ref="AY7">IF(AQ7="","",SUMPRODUCT(('PvP IB Cricket Season 2'!$G$20:$G$131='PvP IB Cricket Season 2'!$AC$7)*('PvP IB Cricket Season 2'!$H$20:$H$131=AQ7)*IF('PvP IB Cricket Season 2'!$J$20:$J$131&gt;='PvP IB Cricket Season 2'!$D$17,'PvP IB Cricket Season 2'!$D$9,'PvP IB Cricket Season 2'!$K$20:$K$131))+SUMPRODUCT(('PvP IB Cricket Season 2'!$G$20:$G$131='PvP IB Cricket Season 2'!$AC$7)*('PvP IB Cricket Season 2'!$L$20:$L$131=AQ7)*IF('PvP IB Cricket Season 2'!$N$20:$N$131&gt;='PvP IB Cricket Season 2'!$D$17,'PvP IB Cricket Season 2'!$D$9,'PvP IB Cricket Season 2'!$O$20:$O$131)))</f>
        <v>0</v>
      </c>
      <c r="AZ7" s="76">
        <f>IF(AQ7="","",SUMIFS('PvP IB Cricket Season 2'!$M$20:$M$131,'PvP IB Cricket Season 2'!$G$20:$G$131,'PvP IB Cricket Season 2'!$AC$7,'PvP IB Cricket Season 2'!$H$20:$H$131,AQ7)+SUMIFS('PvP IB Cricket Season 2'!$I$20:$I$131,'PvP IB Cricket Season 2'!$G$20:$G$131,'PvP IB Cricket Season 2'!$AC$7,'PvP IB Cricket Season 2'!$L$20:$L$131,AQ7))</f>
        <v>0</v>
      </c>
      <c r="BA7" s="76">
        <f t="array" ref="BA7">IF(AQ7="","",SUMPRODUCT(('PvP IB Cricket Season 2'!$G$20:$G$131='PvP IB Cricket Season 2'!$AC$7)*('PvP IB Cricket Season 2'!$H$20:$H$131=AQ7)*IF('PvP IB Cricket Season 2'!$N$20:$N$131&gt;='PvP IB Cricket Season 2'!$D$17,'PvP IB Cricket Season 2'!$D$9,'PvP IB Cricket Season 2'!$O$20:$O$131))+SUMPRODUCT(('PvP IB Cricket Season 2'!$G$20:$G$131='PvP IB Cricket Season 2'!$AC$7)*('PvP IB Cricket Season 2'!$L$20:$L$131=AQ7)*IF('PvP IB Cricket Season 2'!$J$20:$J$131&gt;='PvP IB Cricket Season 2'!$D$17,'PvP IB Cricket Season 2'!$D$9,'PvP IB Cricket Season 2'!$K$20:$K$131)))</f>
        <v>0</v>
      </c>
      <c r="BB7" s="77" t="str">
        <f t="shared" si="21"/>
        <v/>
      </c>
      <c r="BC7" s="78">
        <f t="shared" si="22"/>
        <v>9.0000000000000008E-4</v>
      </c>
      <c r="BD7" s="79">
        <f t="array" ref="BD7">IF(AQ7="","",SUMPRODUCT(($BC$6:$BC$15&gt;BC7)*1)+1)</f>
        <v>9</v>
      </c>
      <c r="BF7" s="123" t="str">
        <f t="array" ref="BF7">IFERROR(INDEX(_xlfn._xlws.FILTER('PvP IB Cricket Season 2'!$C$20:$C$51,'PvP IB Cricket Season 2'!$D$20:$D$51='PvP IB Cricket Season 2'!$AC$8),2),"")</f>
        <v>Arjun Reddy</v>
      </c>
      <c r="BG7" s="88">
        <f>IF(BF7="","",COUNTIFS('PvP IB Cricket Season 2'!$G$20:$G$131,'PvP IB Cricket Season 2'!$AC$8,'PvP IB Cricket Season 2'!$H$20:$H$131,BF7,'PvP IB Cricket Season 2'!$P$20:$P$131,"A")+COUNTIFS('PvP IB Cricket Season 2'!$G$20:$G$131,'PvP IB Cricket Season 2'!$AC$8,'PvP IB Cricket Season 2'!$L$20:$L$131,BF7,'PvP IB Cricket Season 2'!$P$20:$P$131,"B")+COUNTIFS('PvP IB Cricket Season 2'!$G$20:$G$131,'PvP IB Cricket Season 2'!$AC$8,'PvP IB Cricket Season 2'!$H$20:$H$131,BF7,'PvP IB Cricket Season 2'!$P$20:$P$131,"B")+COUNTIFS('PvP IB Cricket Season 2'!$G$20:$G$131,'PvP IB Cricket Season 2'!$AC$8,'PvP IB Cricket Season 2'!$L$20:$L$131,BF7,'PvP IB Cricket Season 2'!$P$20:$P$131,"A")+COUNTIFS('PvP IB Cricket Season 2'!$G$20:$G$131,'PvP IB Cricket Season 2'!$AC$8,'PvP IB Cricket Season 2'!$H$20:$H$131,BF7,'PvP IB Cricket Season 2'!$P$20:$P$131,"Tie")+COUNTIFS('PvP IB Cricket Season 2'!$G$20:$G$131,'PvP IB Cricket Season 2'!$AC$8,'PvP IB Cricket Season 2'!$L$20:$L$131,BF7,'PvP IB Cricket Season 2'!$P$20:$P$131,"Tie")+COUNTIFS('PvP IB Cricket Season 2'!$G$20:$G$131,'PvP IB Cricket Season 2'!$AC$8,'PvP IB Cricket Season 2'!$H$20:$H$131,BF7,'PvP IB Cricket Season 2'!$P$20:$P$131,"NR")+COUNTIFS('PvP IB Cricket Season 2'!$G$20:$G$131,'PvP IB Cricket Season 2'!$AC$8,'PvP IB Cricket Season 2'!$L$20:$L$131,BF7,'PvP IB Cricket Season 2'!$P$20:$P$131,"NR"))</f>
        <v>0</v>
      </c>
      <c r="BH7" s="88">
        <f>IF(BF7="","",COUNTIFS('PvP IB Cricket Season 2'!$G$20:$G$131,'PvP IB Cricket Season 2'!$AC$8,'PvP IB Cricket Season 2'!$H$20:$H$131,BF7,'PvP IB Cricket Season 2'!$P$20:$P$131,"A")+COUNTIFS('PvP IB Cricket Season 2'!$G$20:$G$131,'PvP IB Cricket Season 2'!$AC$8,'PvP IB Cricket Season 2'!$L$20:$L$131,BF7,'PvP IB Cricket Season 2'!$P$20:$P$131,"B"))</f>
        <v>0</v>
      </c>
      <c r="BI7" s="88">
        <f>IF(BF7="","",COUNTIFS('PvP IB Cricket Season 2'!$G$20:$G$131,'PvP IB Cricket Season 2'!$AC$8,'PvP IB Cricket Season 2'!$H$20:$H$131,BF7,'PvP IB Cricket Season 2'!$P$20:$P$131,"B")+COUNTIFS('PvP IB Cricket Season 2'!$G$20:$G$131,'PvP IB Cricket Season 2'!$AC$8,'PvP IB Cricket Season 2'!$L$20:$L$131,BF7,'PvP IB Cricket Season 2'!$P$20:$P$131,"A"))</f>
        <v>0</v>
      </c>
      <c r="BJ7" s="88">
        <f>IF(BF7="","",COUNTIFS('PvP IB Cricket Season 2'!$G$20:$G$131,'PvP IB Cricket Season 2'!$AC$8,'PvP IB Cricket Season 2'!$H$20:$H$131,BF7,'PvP IB Cricket Season 2'!$P$20:$P$131,"Tie")+COUNTIFS('PvP IB Cricket Season 2'!$G$20:$G$131,'PvP IB Cricket Season 2'!$AC$8,'PvP IB Cricket Season 2'!$L$20:$L$131,BF7,'PvP IB Cricket Season 2'!$P$20:$P$131,"Tie"))</f>
        <v>0</v>
      </c>
      <c r="BK7" s="88">
        <f>IF(BF7="","",COUNTIFS('PvP IB Cricket Season 2'!$G$20:$G$131,'PvP IB Cricket Season 2'!$AC$8,'PvP IB Cricket Season 2'!$H$20:$H$131,BF7,'PvP IB Cricket Season 2'!$P$20:$P$131,"NR")+COUNTIFS('PvP IB Cricket Season 2'!$G$20:$G$131,'PvP IB Cricket Season 2'!$AC$8,'PvP IB Cricket Season 2'!$L$20:$L$131,BF7,'PvP IB Cricket Season 2'!$P$20:$P$131,"NR"))</f>
        <v>0</v>
      </c>
      <c r="BL7" s="88">
        <f t="shared" si="23"/>
        <v>0</v>
      </c>
      <c r="BM7" s="88">
        <f>IF(BF7="","",SUMIFS('PvP IB Cricket Season 2'!$I$20:$I$131,'PvP IB Cricket Season 2'!$G$20:$G$131,'PvP IB Cricket Season 2'!$AC$8,'PvP IB Cricket Season 2'!$H$20:$H$131,BF7)+SUMIFS('PvP IB Cricket Season 2'!$M$20:$M$131,'PvP IB Cricket Season 2'!$G$20:$G$131,'PvP IB Cricket Season 2'!$AC$8,'PvP IB Cricket Season 2'!$L$20:$L$131,BF7))</f>
        <v>0</v>
      </c>
      <c r="BN7" s="88">
        <f t="array" ref="BN7">IF(BF7="","",SUMPRODUCT(('PvP IB Cricket Season 2'!$G$20:$G$131='PvP IB Cricket Season 2'!$AC$8)*('PvP IB Cricket Season 2'!$H$20:$H$131=BF7)*IF('PvP IB Cricket Season 2'!$J$20:$J$131&gt;='PvP IB Cricket Season 2'!$D$17,'PvP IB Cricket Season 2'!$D$9,'PvP IB Cricket Season 2'!$K$20:$K$131))+SUMPRODUCT(('PvP IB Cricket Season 2'!$G$20:$G$131='PvP IB Cricket Season 2'!$AC$8)*('PvP IB Cricket Season 2'!$L$20:$L$131=BF7)*IF('PvP IB Cricket Season 2'!$N$20:$N$131&gt;='PvP IB Cricket Season 2'!$D$17,'PvP IB Cricket Season 2'!$D$9,'PvP IB Cricket Season 2'!$O$20:$O$131)))</f>
        <v>0</v>
      </c>
      <c r="BO7" s="88">
        <f>IF(BF7="","",SUMIFS('PvP IB Cricket Season 2'!$M$20:$M$131,'PvP IB Cricket Season 2'!$G$20:$G$131,'PvP IB Cricket Season 2'!$AC$8,'PvP IB Cricket Season 2'!$H$20:$H$131,BF7)+SUMIFS('PvP IB Cricket Season 2'!$I$20:$I$131,'PvP IB Cricket Season 2'!$G$20:$G$131,'PvP IB Cricket Season 2'!$AC$8,'PvP IB Cricket Season 2'!$L$20:$L$131,BF7))</f>
        <v>0</v>
      </c>
      <c r="BP7" s="88">
        <f t="array" ref="BP7">IF(BF7="","",SUMPRODUCT(('PvP IB Cricket Season 2'!$G$20:$G$131='PvP IB Cricket Season 2'!$AC$8)*('PvP IB Cricket Season 2'!$H$20:$H$131=BF7)*IF('PvP IB Cricket Season 2'!$N$20:$N$131&gt;='PvP IB Cricket Season 2'!$D$17,'PvP IB Cricket Season 2'!$D$9,'PvP IB Cricket Season 2'!$O$20:$O$131))+SUMPRODUCT(('PvP IB Cricket Season 2'!$G$20:$G$131='PvP IB Cricket Season 2'!$AC$8)*('PvP IB Cricket Season 2'!$L$20:$L$131=BF7)*IF('PvP IB Cricket Season 2'!$J$20:$J$131&gt;='PvP IB Cricket Season 2'!$D$17,'PvP IB Cricket Season 2'!$D$9,'PvP IB Cricket Season 2'!$K$20:$K$131)))</f>
        <v>0</v>
      </c>
      <c r="BQ7" s="89" t="str">
        <f t="shared" si="24"/>
        <v/>
      </c>
      <c r="BR7" s="90">
        <f t="shared" si="25"/>
        <v>9.0000000000000008E-4</v>
      </c>
      <c r="BS7" s="91">
        <f t="array" ref="BS7">IF(BF7="","",SUMPRODUCT(($BR$6:$BR$15&gt;BR7)*1)+1)</f>
        <v>6</v>
      </c>
      <c r="BU7" s="126" t="str">
        <f t="array" ref="BU7">IFERROR(INDEX(_xlfn._xlws.FILTER('PvP IB Cricket Season 2'!$C$20:$C$51,'PvP IB Cricket Season 2'!$D$20:$D$51='PvP IB Cricket Season 2'!$AC$9),2),"")</f>
        <v>Kalyan</v>
      </c>
      <c r="BV7" s="99">
        <f>IF(BU7="","",COUNTIFS('PvP IB Cricket Season 2'!$G$20:$G$131,'PvP IB Cricket Season 2'!$AC$9,'PvP IB Cricket Season 2'!$H$20:$H$131,BU7,'PvP IB Cricket Season 2'!$P$20:$P$131,"A")+COUNTIFS('PvP IB Cricket Season 2'!$G$20:$G$131,'PvP IB Cricket Season 2'!$AC$9,'PvP IB Cricket Season 2'!$L$20:$L$131,BU7,'PvP IB Cricket Season 2'!$P$20:$P$131,"B")+COUNTIFS('PvP IB Cricket Season 2'!$G$20:$G$131,'PvP IB Cricket Season 2'!$AC$9,'PvP IB Cricket Season 2'!$H$20:$H$131,BU7,'PvP IB Cricket Season 2'!$P$20:$P$131,"B")+COUNTIFS('PvP IB Cricket Season 2'!$G$20:$G$131,'PvP IB Cricket Season 2'!$AC$9,'PvP IB Cricket Season 2'!$L$20:$L$131,BU7,'PvP IB Cricket Season 2'!$P$20:$P$131,"A")+COUNTIFS('PvP IB Cricket Season 2'!$G$20:$G$131,'PvP IB Cricket Season 2'!$AC$9,'PvP IB Cricket Season 2'!$H$20:$H$131,BU7,'PvP IB Cricket Season 2'!$P$20:$P$131,"Tie")+COUNTIFS('PvP IB Cricket Season 2'!$G$20:$G$131,'PvP IB Cricket Season 2'!$AC$9,'PvP IB Cricket Season 2'!$L$20:$L$131,BU7,'PvP IB Cricket Season 2'!$P$20:$P$131,"Tie")+COUNTIFS('PvP IB Cricket Season 2'!$G$20:$G$131,'PvP IB Cricket Season 2'!$AC$9,'PvP IB Cricket Season 2'!$H$20:$H$131,BU7,'PvP IB Cricket Season 2'!$P$20:$P$131,"NR")+COUNTIFS('PvP IB Cricket Season 2'!$G$20:$G$131,'PvP IB Cricket Season 2'!$AC$9,'PvP IB Cricket Season 2'!$L$20:$L$131,BU7,'PvP IB Cricket Season 2'!$P$20:$P$131,"NR"))</f>
        <v>0</v>
      </c>
      <c r="BW7" s="99">
        <f>IF(BU7="","",COUNTIFS('PvP IB Cricket Season 2'!$G$20:$G$131,'PvP IB Cricket Season 2'!$AC$9,'PvP IB Cricket Season 2'!$H$20:$H$131,BU7,'PvP IB Cricket Season 2'!$P$20:$P$131,"A")+COUNTIFS('PvP IB Cricket Season 2'!$G$20:$G$131,'PvP IB Cricket Season 2'!$AC$9,'PvP IB Cricket Season 2'!$L$20:$L$131,BU7,'PvP IB Cricket Season 2'!$P$20:$P$131,"B"))</f>
        <v>0</v>
      </c>
      <c r="BX7" s="99">
        <f>IF(BU7="","",COUNTIFS('PvP IB Cricket Season 2'!$G$20:$G$131,'PvP IB Cricket Season 2'!$AC$9,'PvP IB Cricket Season 2'!$H$20:$H$131,BU7,'PvP IB Cricket Season 2'!$P$20:$P$131,"B")+COUNTIFS('PvP IB Cricket Season 2'!$G$20:$G$131,'PvP IB Cricket Season 2'!$AC$9,'PvP IB Cricket Season 2'!$L$20:$L$131,BU7,'PvP IB Cricket Season 2'!$P$20:$P$131,"A"))</f>
        <v>0</v>
      </c>
      <c r="BY7" s="99">
        <f>IF(BU7="","",COUNTIFS('PvP IB Cricket Season 2'!$G$20:$G$131,'PvP IB Cricket Season 2'!$AC$9,'PvP IB Cricket Season 2'!$H$20:$H$131,BU7,'PvP IB Cricket Season 2'!$P$20:$P$131,"Tie")+COUNTIFS('PvP IB Cricket Season 2'!$G$20:$G$131,'PvP IB Cricket Season 2'!$AC$9,'PvP IB Cricket Season 2'!$L$20:$L$131,BU7,'PvP IB Cricket Season 2'!$P$20:$P$131,"Tie"))</f>
        <v>0</v>
      </c>
      <c r="BZ7" s="99">
        <f>IF(BU7="","",COUNTIFS('PvP IB Cricket Season 2'!$G$20:$G$131,'PvP IB Cricket Season 2'!$AC$9,'PvP IB Cricket Season 2'!$H$20:$H$131,BU7,'PvP IB Cricket Season 2'!$P$20:$P$131,"NR")+COUNTIFS('PvP IB Cricket Season 2'!$G$20:$G$131,'PvP IB Cricket Season 2'!$AC$9,'PvP IB Cricket Season 2'!$L$20:$L$131,BU7,'PvP IB Cricket Season 2'!$P$20:$P$131,"NR"))</f>
        <v>0</v>
      </c>
      <c r="CA7" s="99">
        <f t="shared" si="26"/>
        <v>0</v>
      </c>
      <c r="CB7" s="99">
        <f>IF(BU7="","",SUMIFS('PvP IB Cricket Season 2'!$I$20:$I$131,'PvP IB Cricket Season 2'!$G$20:$G$131,'PvP IB Cricket Season 2'!$AC$9,'PvP IB Cricket Season 2'!$H$20:$H$131,BU7)+SUMIFS('PvP IB Cricket Season 2'!$M$20:$M$131,'PvP IB Cricket Season 2'!$G$20:$G$131,'PvP IB Cricket Season 2'!$AC$9,'PvP IB Cricket Season 2'!$L$20:$L$131,BU7))</f>
        <v>0</v>
      </c>
      <c r="CC7" s="99">
        <f t="array" ref="CC7">IF(BU7="","",SUMPRODUCT(('PvP IB Cricket Season 2'!$G$20:$G$131='PvP IB Cricket Season 2'!$AC$9)*('PvP IB Cricket Season 2'!$H$20:$H$131=BU7)*IF('PvP IB Cricket Season 2'!$J$20:$J$131&gt;='PvP IB Cricket Season 2'!$D$17,'PvP IB Cricket Season 2'!$D$9,'PvP IB Cricket Season 2'!$K$20:$K$131))+SUMPRODUCT(('PvP IB Cricket Season 2'!$G$20:$G$131='PvP IB Cricket Season 2'!$AC$9)*('PvP IB Cricket Season 2'!$L$20:$L$131=BU7)*IF('PvP IB Cricket Season 2'!$N$20:$N$131&gt;='PvP IB Cricket Season 2'!$D$17,'PvP IB Cricket Season 2'!$D$9,'PvP IB Cricket Season 2'!$O$20:$O$131)))</f>
        <v>0</v>
      </c>
      <c r="CD7" s="99">
        <f>IF(BU7="","",SUMIFS('PvP IB Cricket Season 2'!$M$20:$M$131,'PvP IB Cricket Season 2'!$G$20:$G$131,'PvP IB Cricket Season 2'!$AC$9,'PvP IB Cricket Season 2'!$H$20:$H$131,BU7)+SUMIFS('PvP IB Cricket Season 2'!$I$20:$I$131,'PvP IB Cricket Season 2'!$G$20:$G$131,'PvP IB Cricket Season 2'!$AC$9,'PvP IB Cricket Season 2'!$L$20:$L$131,BU7))</f>
        <v>0</v>
      </c>
      <c r="CE7" s="99">
        <f t="array" ref="CE7">IF(BU7="","",SUMPRODUCT(('PvP IB Cricket Season 2'!$G$20:$G$131='PvP IB Cricket Season 2'!$AC$9)*('PvP IB Cricket Season 2'!$H$20:$H$131=BU7)*IF('PvP IB Cricket Season 2'!$N$20:$N$131&gt;='PvP IB Cricket Season 2'!$D$17,'PvP IB Cricket Season 2'!$D$9,'PvP IB Cricket Season 2'!$O$20:$O$131))+SUMPRODUCT(('PvP IB Cricket Season 2'!$G$20:$G$131='PvP IB Cricket Season 2'!$AC$9)*('PvP IB Cricket Season 2'!$L$20:$L$131=BU7)*IF('PvP IB Cricket Season 2'!$J$20:$J$131&gt;='PvP IB Cricket Season 2'!$D$17,'PvP IB Cricket Season 2'!$D$9,'PvP IB Cricket Season 2'!$K$20:$K$131)))</f>
        <v>0</v>
      </c>
      <c r="CF7" s="100" t="str">
        <f t="shared" si="27"/>
        <v/>
      </c>
      <c r="CG7" s="101">
        <f t="shared" si="28"/>
        <v>9.0000000000000008E-4</v>
      </c>
      <c r="CH7" s="102">
        <f t="array" ref="CH7">IF(BU7="","",SUMPRODUCT(($CG$6:$CG$15&gt;CG7)*1)+1)</f>
        <v>7</v>
      </c>
      <c r="CJ7" s="129" t="str">
        <f t="array" ref="CJ7">IFERROR(INDEX(_xlfn._xlws.FILTER('PvP IB Cricket Season 2'!$C$20:$C$51,'PvP IB Cricket Season 2'!$D$20:$D$51='PvP IB Cricket Season 2'!$AC$10),2),"")</f>
        <v>Zain</v>
      </c>
      <c r="CK7" s="111">
        <f>IF(CJ7="","",COUNTIFS('PvP IB Cricket Season 2'!$G$20:$G$131,'PvP IB Cricket Season 2'!$AC$10,'PvP IB Cricket Season 2'!$H$20:$H$131,CJ7,'PvP IB Cricket Season 2'!$P$20:$P$131,"A")+COUNTIFS('PvP IB Cricket Season 2'!$G$20:$G$131,'PvP IB Cricket Season 2'!$AC$10,'PvP IB Cricket Season 2'!$L$20:$L$131,CJ7,'PvP IB Cricket Season 2'!$P$20:$P$131,"B")+COUNTIFS('PvP IB Cricket Season 2'!$G$20:$G$131,'PvP IB Cricket Season 2'!$AC$10,'PvP IB Cricket Season 2'!$H$20:$H$131,CJ7,'PvP IB Cricket Season 2'!$P$20:$P$131,"B")+COUNTIFS('PvP IB Cricket Season 2'!$G$20:$G$131,'PvP IB Cricket Season 2'!$AC$10,'PvP IB Cricket Season 2'!$L$20:$L$131,CJ7,'PvP IB Cricket Season 2'!$P$20:$P$131,"A")+COUNTIFS('PvP IB Cricket Season 2'!$G$20:$G$131,'PvP IB Cricket Season 2'!$AC$10,'PvP IB Cricket Season 2'!$H$20:$H$131,CJ7,'PvP IB Cricket Season 2'!$P$20:$P$131,"Tie")+COUNTIFS('PvP IB Cricket Season 2'!$G$20:$G$131,'PvP IB Cricket Season 2'!$AC$10,'PvP IB Cricket Season 2'!$L$20:$L$131,CJ7,'PvP IB Cricket Season 2'!$P$20:$P$131,"Tie")+COUNTIFS('PvP IB Cricket Season 2'!$G$20:$G$131,'PvP IB Cricket Season 2'!$AC$10,'PvP IB Cricket Season 2'!$H$20:$H$131,CJ7,'PvP IB Cricket Season 2'!$P$20:$P$131,"NR")+COUNTIFS('PvP IB Cricket Season 2'!$G$20:$G$131,'PvP IB Cricket Season 2'!$AC$10,'PvP IB Cricket Season 2'!$L$20:$L$131,CJ7,'PvP IB Cricket Season 2'!$P$20:$P$131,"NR"))</f>
        <v>0</v>
      </c>
      <c r="CL7" s="111">
        <f>IF(CJ7="","",COUNTIFS('PvP IB Cricket Season 2'!$G$20:$G$131,'PvP IB Cricket Season 2'!$AC$10,'PvP IB Cricket Season 2'!$H$20:$H$131,CJ7,'PvP IB Cricket Season 2'!$P$20:$P$131,"A")+COUNTIFS('PvP IB Cricket Season 2'!$G$20:$G$131,'PvP IB Cricket Season 2'!$AC$10,'PvP IB Cricket Season 2'!$L$20:$L$131,CJ7,'PvP IB Cricket Season 2'!$P$20:$P$131,"B"))</f>
        <v>0</v>
      </c>
      <c r="CM7" s="111">
        <f>IF(CJ7="","",COUNTIFS('PvP IB Cricket Season 2'!$G$20:$G$131,'PvP IB Cricket Season 2'!$AC$10,'PvP IB Cricket Season 2'!$H$20:$H$131,CJ7,'PvP IB Cricket Season 2'!$P$20:$P$131,"B")+COUNTIFS('PvP IB Cricket Season 2'!$G$20:$G$131,'PvP IB Cricket Season 2'!$AC$10,'PvP IB Cricket Season 2'!$L$20:$L$131,CJ7,'PvP IB Cricket Season 2'!$P$20:$P$131,"A"))</f>
        <v>0</v>
      </c>
      <c r="CN7" s="111">
        <f>IF(CJ7="","",COUNTIFS('PvP IB Cricket Season 2'!$G$20:$G$131,'PvP IB Cricket Season 2'!$AC$10,'PvP IB Cricket Season 2'!$H$20:$H$131,CJ7,'PvP IB Cricket Season 2'!$P$20:$P$131,"Tie")+COUNTIFS('PvP IB Cricket Season 2'!$G$20:$G$131,'PvP IB Cricket Season 2'!$AC$10,'PvP IB Cricket Season 2'!$L$20:$L$131,CJ7,'PvP IB Cricket Season 2'!$P$20:$P$131,"Tie"))</f>
        <v>0</v>
      </c>
      <c r="CO7" s="111">
        <f>IF(CJ7="","",COUNTIFS('PvP IB Cricket Season 2'!$G$20:$G$131,'PvP IB Cricket Season 2'!$AC$10,'PvP IB Cricket Season 2'!$H$20:$H$131,CJ7,'PvP IB Cricket Season 2'!$P$20:$P$131,"NR")+COUNTIFS('PvP IB Cricket Season 2'!$G$20:$G$131,'PvP IB Cricket Season 2'!$AC$10,'PvP IB Cricket Season 2'!$L$20:$L$131,CJ7,'PvP IB Cricket Season 2'!$P$20:$P$131,"NR"))</f>
        <v>0</v>
      </c>
      <c r="CP7" s="111">
        <f t="shared" si="29"/>
        <v>0</v>
      </c>
      <c r="CQ7" s="111">
        <f>IF(CJ7="","",SUMIFS('PvP IB Cricket Season 2'!$I$20:$I$131,'PvP IB Cricket Season 2'!$G$20:$G$131,'PvP IB Cricket Season 2'!$AC$10,'PvP IB Cricket Season 2'!$H$20:$H$131,CJ7)+SUMIFS('PvP IB Cricket Season 2'!$M$20:$M$131,'PvP IB Cricket Season 2'!$G$20:$G$131,'PvP IB Cricket Season 2'!$AC$10,'PvP IB Cricket Season 2'!$L$20:$L$131,CJ7))</f>
        <v>0</v>
      </c>
      <c r="CR7" s="111">
        <f t="array" ref="CR7">IF(CJ7="","",SUMPRODUCT(('PvP IB Cricket Season 2'!$G$20:$G$131='PvP IB Cricket Season 2'!$AC$10)*('PvP IB Cricket Season 2'!$H$20:$H$131=CJ7)*IF('PvP IB Cricket Season 2'!$J$20:$J$131&gt;='PvP IB Cricket Season 2'!$D$17,'PvP IB Cricket Season 2'!$D$9,'PvP IB Cricket Season 2'!$K$20:$K$131))+SUMPRODUCT(('PvP IB Cricket Season 2'!$G$20:$G$131='PvP IB Cricket Season 2'!$AC$10)*('PvP IB Cricket Season 2'!$L$20:$L$131=CJ7)*IF('PvP IB Cricket Season 2'!$N$20:$N$131&gt;='PvP IB Cricket Season 2'!$D$17,'PvP IB Cricket Season 2'!$D$9,'PvP IB Cricket Season 2'!$O$20:$O$131)))</f>
        <v>0</v>
      </c>
      <c r="CS7" s="111">
        <f>IF(CJ7="","",SUMIFS('PvP IB Cricket Season 2'!$M$20:$M$131,'PvP IB Cricket Season 2'!$G$20:$G$131,'PvP IB Cricket Season 2'!$AC$10,'PvP IB Cricket Season 2'!$H$20:$H$131,CJ7)+SUMIFS('PvP IB Cricket Season 2'!$I$20:$I$131,'PvP IB Cricket Season 2'!$G$20:$G$131,'PvP IB Cricket Season 2'!$AC$10,'PvP IB Cricket Season 2'!$L$20:$L$131,CJ7))</f>
        <v>0</v>
      </c>
      <c r="CT7" s="111">
        <f t="array" ref="CT7">IF(CJ7="","",SUMPRODUCT(('PvP IB Cricket Season 2'!$G$20:$G$131='PvP IB Cricket Season 2'!$AC$10)*('PvP IB Cricket Season 2'!$H$20:$H$131=CJ7)*IF('PvP IB Cricket Season 2'!$N$20:$N$131&gt;='PvP IB Cricket Season 2'!$D$17,'PvP IB Cricket Season 2'!$D$9,'PvP IB Cricket Season 2'!$O$20:$O$131))+SUMPRODUCT(('PvP IB Cricket Season 2'!$G$20:$G$131='PvP IB Cricket Season 2'!$AC$10)*('PvP IB Cricket Season 2'!$L$20:$L$131=CJ7)*IF('PvP IB Cricket Season 2'!$J$20:$J$131&gt;='PvP IB Cricket Season 2'!$D$17,'PvP IB Cricket Season 2'!$D$9,'PvP IB Cricket Season 2'!$K$20:$K$131)))</f>
        <v>0</v>
      </c>
      <c r="CU7" s="112" t="str">
        <f t="shared" si="30"/>
        <v/>
      </c>
      <c r="CV7" s="113">
        <f t="shared" si="31"/>
        <v>9.0000000000000008E-4</v>
      </c>
      <c r="CW7" s="114">
        <f t="array" ref="CW7">IF(CJ7="","",SUMPRODUCT(($CV$6:$CV$15&gt;CV7)*1)+1)</f>
        <v>7</v>
      </c>
    </row>
    <row r="8" spans="1:101" ht="20.100000000000001" customHeight="1" x14ac:dyDescent="0.3">
      <c r="A8" s="38"/>
      <c r="B8" s="182">
        <v>3</v>
      </c>
      <c r="C8" s="183" t="str">
        <f t="shared" si="0"/>
        <v>Manish</v>
      </c>
      <c r="D8" s="184">
        <f t="shared" si="1"/>
        <v>0</v>
      </c>
      <c r="E8" s="184">
        <f t="shared" si="2"/>
        <v>0</v>
      </c>
      <c r="F8" s="184">
        <f t="shared" si="3"/>
        <v>0</v>
      </c>
      <c r="G8" s="184">
        <f t="shared" si="4"/>
        <v>0</v>
      </c>
      <c r="H8" s="184">
        <f t="shared" si="5"/>
        <v>0</v>
      </c>
      <c r="I8" s="185">
        <f t="shared" si="6"/>
        <v>0</v>
      </c>
      <c r="J8" s="184">
        <f t="shared" si="7"/>
        <v>0</v>
      </c>
      <c r="K8" s="186">
        <f t="array" ref="K8">IF(C8="","",SUMPRODUCT(('PvP IB Cricket Season 2'!$G$20:$G$131='PvP IB Cricket Season 2'!$AC$7)*('PvP IB Cricket Season 2'!$H$20:$H$131=C8)*('PvP IB Cricket Season 2'!$K$20:$K$131))+SUMPRODUCT(('PvP IB Cricket Season 2'!$G$20:$G$131='PvP IB Cricket Season 2'!$AC$7)*('PvP IB Cricket Season 2'!$L$20:$L$131=C8)*('PvP IB Cricket Season 2'!$O$20:$O$131)))</f>
        <v>0</v>
      </c>
      <c r="L8" s="184">
        <f t="shared" si="8"/>
        <v>0</v>
      </c>
      <c r="M8" s="186">
        <f t="array" ref="M8">IF(C8="","",SUMPRODUCT(('PvP IB Cricket Season 2'!$G$20:$G$131='PvP IB Cricket Season 2'!$AC$7)*('PvP IB Cricket Season 2'!$H$20:$H$131=C8)*('PvP IB Cricket Season 2'!$O$20:$O$131))+SUMPRODUCT(('PvP IB Cricket Season 2'!$G$20:$G$131='PvP IB Cricket Season 2'!$AC$7)*('PvP IB Cricket Season 2'!$L$20:$L$131=C8)*('PvP IB Cricket Season 2'!$K$20:$K$131)))</f>
        <v>0</v>
      </c>
      <c r="N8" s="187" t="str">
        <f t="shared" si="9"/>
        <v/>
      </c>
      <c r="O8" s="38"/>
      <c r="P8" s="200">
        <v>3</v>
      </c>
      <c r="Q8" s="201" t="str">
        <f t="shared" si="10"/>
        <v>Veer Bhatia</v>
      </c>
      <c r="R8" s="202">
        <f t="shared" si="11"/>
        <v>0</v>
      </c>
      <c r="S8" s="202">
        <f t="shared" si="12"/>
        <v>0</v>
      </c>
      <c r="T8" s="202">
        <f t="shared" si="13"/>
        <v>0</v>
      </c>
      <c r="U8" s="202">
        <f t="shared" si="14"/>
        <v>0</v>
      </c>
      <c r="V8" s="202">
        <f t="shared" si="15"/>
        <v>0</v>
      </c>
      <c r="W8" s="203">
        <f t="shared" si="16"/>
        <v>0</v>
      </c>
      <c r="X8" s="202">
        <f t="shared" si="17"/>
        <v>0</v>
      </c>
      <c r="Y8" s="204">
        <f t="array" ref="Y8">IF(Q8="","",SUMPRODUCT(('PvP IB Cricket Season 2'!$G$20:$G$131='PvP IB Cricket Season 2'!$AC$9)*('PvP IB Cricket Season 2'!$H$20:$H$131=Q8)*('PvP IB Cricket Season 2'!$K$20:$K$131))+SUMPRODUCT(('PvP IB Cricket Season 2'!$G$20:$G$131='PvP IB Cricket Season 2'!$AC$9)*('PvP IB Cricket Season 2'!$L$20:$L$131=Q8)*('PvP IB Cricket Season 2'!$O$20:$O$131)))</f>
        <v>0</v>
      </c>
      <c r="Z8" s="202">
        <f t="shared" si="18"/>
        <v>0</v>
      </c>
      <c r="AA8" s="204">
        <f t="array" ref="AA8">IF(Q8="","",SUMPRODUCT(('PvP IB Cricket Season 2'!$G$20:$G$131='PvP IB Cricket Season 2'!$AC$9)*('PvP IB Cricket Season 2'!$H$20:$H$131=Q8)*('PvP IB Cricket Season 2'!$O$20:$O$131))+SUMPRODUCT(('PvP IB Cricket Season 2'!$G$20:$G$131='PvP IB Cricket Season 2'!$AC$9)*('PvP IB Cricket Season 2'!$L$20:$L$131=Q8)*('PvP IB Cricket Season 2'!$K$20:$K$131)))</f>
        <v>0</v>
      </c>
      <c r="AB8" s="205" t="str">
        <f t="shared" si="19"/>
        <v/>
      </c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119" t="str">
        <f t="array" ref="AQ8">IFERROR(INDEX(_xlfn._xlws.FILTER('PvP IB Cricket Season 2'!$C$20:$C$51,'PvP IB Cricket Season 2'!$D$20:$D$51='PvP IB Cricket Season 2'!$AC$7),3),"")</f>
        <v>Manish</v>
      </c>
      <c r="AR8" s="72">
        <f>IF(AQ8="","",COUNTIFS('PvP IB Cricket Season 2'!$G$20:$G$131,'PvP IB Cricket Season 2'!$AC$7,'PvP IB Cricket Season 2'!$H$20:$H$131,AQ8,'PvP IB Cricket Season 2'!$P$20:$P$131,"A")+COUNTIFS('PvP IB Cricket Season 2'!$G$20:$G$131,'PvP IB Cricket Season 2'!$AC$7,'PvP IB Cricket Season 2'!$L$20:$L$131,AQ8,'PvP IB Cricket Season 2'!$P$20:$P$131,"B")+COUNTIFS('PvP IB Cricket Season 2'!$G$20:$G$131,'PvP IB Cricket Season 2'!$AC$7,'PvP IB Cricket Season 2'!$H$20:$H$131,AQ8,'PvP IB Cricket Season 2'!$P$20:$P$131,"B")+COUNTIFS('PvP IB Cricket Season 2'!$G$20:$G$131,'PvP IB Cricket Season 2'!$AC$7,'PvP IB Cricket Season 2'!$L$20:$L$131,AQ8,'PvP IB Cricket Season 2'!$P$20:$P$131,"A")+COUNTIFS('PvP IB Cricket Season 2'!$G$20:$G$131,'PvP IB Cricket Season 2'!$AC$7,'PvP IB Cricket Season 2'!$H$20:$H$131,AQ8,'PvP IB Cricket Season 2'!$P$20:$P$131,"Tie")+COUNTIFS('PvP IB Cricket Season 2'!$G$20:$G$131,'PvP IB Cricket Season 2'!$AC$7,'PvP IB Cricket Season 2'!$L$20:$L$131,AQ8,'PvP IB Cricket Season 2'!$P$20:$P$131,"Tie")+COUNTIFS('PvP IB Cricket Season 2'!$G$20:$G$131,'PvP IB Cricket Season 2'!$AC$7,'PvP IB Cricket Season 2'!$H$20:$H$131,AQ8,'PvP IB Cricket Season 2'!$P$20:$P$131,"NR")+COUNTIFS('PvP IB Cricket Season 2'!$G$20:$G$131,'PvP IB Cricket Season 2'!$AC$7,'PvP IB Cricket Season 2'!$L$20:$L$131,AQ8,'PvP IB Cricket Season 2'!$P$20:$P$131,"NR"))</f>
        <v>0</v>
      </c>
      <c r="AS8" s="72">
        <f>IF(AQ8="","",COUNTIFS('PvP IB Cricket Season 2'!$G$20:$G$131,'PvP IB Cricket Season 2'!$AC$7,'PvP IB Cricket Season 2'!$H$20:$H$131,AQ8,'PvP IB Cricket Season 2'!$P$20:$P$131,"A")+COUNTIFS('PvP IB Cricket Season 2'!$G$20:$G$131,'PvP IB Cricket Season 2'!$AC$7,'PvP IB Cricket Season 2'!$L$20:$L$131,AQ8,'PvP IB Cricket Season 2'!$P$20:$P$131,"B"))</f>
        <v>0</v>
      </c>
      <c r="AT8" s="72">
        <f>IF(AQ8="","",COUNTIFS('PvP IB Cricket Season 2'!$G$20:$G$131,'PvP IB Cricket Season 2'!$AC$7,'PvP IB Cricket Season 2'!$H$20:$H$131,AQ8,'PvP IB Cricket Season 2'!$P$20:$P$131,"B")+COUNTIFS('PvP IB Cricket Season 2'!$G$20:$G$131,'PvP IB Cricket Season 2'!$AC$7,'PvP IB Cricket Season 2'!$L$20:$L$131,AQ8,'PvP IB Cricket Season 2'!$P$20:$P$131,"A"))</f>
        <v>0</v>
      </c>
      <c r="AU8" s="72">
        <f>IF(AQ8="","",COUNTIFS('PvP IB Cricket Season 2'!$G$20:$G$131,'PvP IB Cricket Season 2'!$AC$7,'PvP IB Cricket Season 2'!$H$20:$H$131,AQ8,'PvP IB Cricket Season 2'!$P$20:$P$131,"Tie")+COUNTIFS('PvP IB Cricket Season 2'!$G$20:$G$131,'PvP IB Cricket Season 2'!$AC$7,'PvP IB Cricket Season 2'!$L$20:$L$131,AQ8,'PvP IB Cricket Season 2'!$P$20:$P$131,"Tie"))</f>
        <v>0</v>
      </c>
      <c r="AV8" s="72">
        <f>IF(AQ8="","",COUNTIFS('PvP IB Cricket Season 2'!$G$20:$G$131,'PvP IB Cricket Season 2'!$AC$7,'PvP IB Cricket Season 2'!$H$20:$H$131,AQ8,'PvP IB Cricket Season 2'!$P$20:$P$131,"NR")+COUNTIFS('PvP IB Cricket Season 2'!$G$20:$G$131,'PvP IB Cricket Season 2'!$AC$7,'PvP IB Cricket Season 2'!$L$20:$L$131,AQ8,'PvP IB Cricket Season 2'!$P$20:$P$131,"NR"))</f>
        <v>0</v>
      </c>
      <c r="AW8" s="72">
        <f t="shared" si="20"/>
        <v>0</v>
      </c>
      <c r="AX8" s="72">
        <f>IF(AQ8="","",SUMIFS('PvP IB Cricket Season 2'!$I$20:$I$131,'PvP IB Cricket Season 2'!$G$20:$G$131,'PvP IB Cricket Season 2'!$AC$7,'PvP IB Cricket Season 2'!$H$20:$H$131,AQ8)+SUMIFS('PvP IB Cricket Season 2'!$M$20:$M$131,'PvP IB Cricket Season 2'!$G$20:$G$131,'PvP IB Cricket Season 2'!$AC$7,'PvP IB Cricket Season 2'!$L$20:$L$131,AQ8))</f>
        <v>0</v>
      </c>
      <c r="AY8" s="72">
        <f t="array" ref="AY8">IF(AQ8="","",SUMPRODUCT(('PvP IB Cricket Season 2'!$G$20:$G$131='PvP IB Cricket Season 2'!$AC$7)*('PvP IB Cricket Season 2'!$H$20:$H$131=AQ8)*IF('PvP IB Cricket Season 2'!$J$20:$J$131&gt;='PvP IB Cricket Season 2'!$D$17,'PvP IB Cricket Season 2'!$D$9,'PvP IB Cricket Season 2'!$K$20:$K$131))+SUMPRODUCT(('PvP IB Cricket Season 2'!$G$20:$G$131='PvP IB Cricket Season 2'!$AC$7)*('PvP IB Cricket Season 2'!$L$20:$L$131=AQ8)*IF('PvP IB Cricket Season 2'!$N$20:$N$131&gt;='PvP IB Cricket Season 2'!$D$17,'PvP IB Cricket Season 2'!$D$9,'PvP IB Cricket Season 2'!$O$20:$O$131)))</f>
        <v>0</v>
      </c>
      <c r="AZ8" s="72">
        <f>IF(AQ8="","",SUMIFS('PvP IB Cricket Season 2'!$M$20:$M$131,'PvP IB Cricket Season 2'!$G$20:$G$131,'PvP IB Cricket Season 2'!$AC$7,'PvP IB Cricket Season 2'!$H$20:$H$131,AQ8)+SUMIFS('PvP IB Cricket Season 2'!$I$20:$I$131,'PvP IB Cricket Season 2'!$G$20:$G$131,'PvP IB Cricket Season 2'!$AC$7,'PvP IB Cricket Season 2'!$L$20:$L$131,AQ8))</f>
        <v>0</v>
      </c>
      <c r="BA8" s="72">
        <f t="array" ref="BA8">IF(AQ8="","",SUMPRODUCT(('PvP IB Cricket Season 2'!$G$20:$G$131='PvP IB Cricket Season 2'!$AC$7)*('PvP IB Cricket Season 2'!$H$20:$H$131=AQ8)*IF('PvP IB Cricket Season 2'!$N$20:$N$131&gt;='PvP IB Cricket Season 2'!$D$17,'PvP IB Cricket Season 2'!$D$9,'PvP IB Cricket Season 2'!$O$20:$O$131))+SUMPRODUCT(('PvP IB Cricket Season 2'!$G$20:$G$131='PvP IB Cricket Season 2'!$AC$7)*('PvP IB Cricket Season 2'!$L$20:$L$131=AQ8)*IF('PvP IB Cricket Season 2'!$J$20:$J$131&gt;='PvP IB Cricket Season 2'!$D$17,'PvP IB Cricket Season 2'!$D$9,'PvP IB Cricket Season 2'!$K$20:$K$131)))</f>
        <v>0</v>
      </c>
      <c r="BB8" s="73" t="str">
        <f t="shared" si="21"/>
        <v/>
      </c>
      <c r="BC8" s="74">
        <f t="shared" si="22"/>
        <v>8.0000000000000004E-4</v>
      </c>
      <c r="BD8" s="75">
        <f t="array" ref="BD8">IF(AQ8="","",SUMPRODUCT(($BC$6:$BC$15&gt;BC8)*1)+1)</f>
        <v>10</v>
      </c>
      <c r="BF8" s="122" t="str">
        <f t="array" ref="BF8">IFERROR(INDEX(_xlfn._xlws.FILTER('PvP IB Cricket Season 2'!$C$20:$C$51,'PvP IB Cricket Season 2'!$D$20:$D$51='PvP IB Cricket Season 2'!$AC$8),3),"")</f>
        <v>KC Mehta</v>
      </c>
      <c r="BG8" s="84">
        <f>IF(BF8="","",COUNTIFS('PvP IB Cricket Season 2'!$G$20:$G$131,'PvP IB Cricket Season 2'!$AC$8,'PvP IB Cricket Season 2'!$H$20:$H$131,BF8,'PvP IB Cricket Season 2'!$P$20:$P$131,"A")+COUNTIFS('PvP IB Cricket Season 2'!$G$20:$G$131,'PvP IB Cricket Season 2'!$AC$8,'PvP IB Cricket Season 2'!$L$20:$L$131,BF8,'PvP IB Cricket Season 2'!$P$20:$P$131,"B")+COUNTIFS('PvP IB Cricket Season 2'!$G$20:$G$131,'PvP IB Cricket Season 2'!$AC$8,'PvP IB Cricket Season 2'!$H$20:$H$131,BF8,'PvP IB Cricket Season 2'!$P$20:$P$131,"B")+COUNTIFS('PvP IB Cricket Season 2'!$G$20:$G$131,'PvP IB Cricket Season 2'!$AC$8,'PvP IB Cricket Season 2'!$L$20:$L$131,BF8,'PvP IB Cricket Season 2'!$P$20:$P$131,"A")+COUNTIFS('PvP IB Cricket Season 2'!$G$20:$G$131,'PvP IB Cricket Season 2'!$AC$8,'PvP IB Cricket Season 2'!$H$20:$H$131,BF8,'PvP IB Cricket Season 2'!$P$20:$P$131,"Tie")+COUNTIFS('PvP IB Cricket Season 2'!$G$20:$G$131,'PvP IB Cricket Season 2'!$AC$8,'PvP IB Cricket Season 2'!$L$20:$L$131,BF8,'PvP IB Cricket Season 2'!$P$20:$P$131,"Tie")+COUNTIFS('PvP IB Cricket Season 2'!$G$20:$G$131,'PvP IB Cricket Season 2'!$AC$8,'PvP IB Cricket Season 2'!$H$20:$H$131,BF8,'PvP IB Cricket Season 2'!$P$20:$P$131,"NR")+COUNTIFS('PvP IB Cricket Season 2'!$G$20:$G$131,'PvP IB Cricket Season 2'!$AC$8,'PvP IB Cricket Season 2'!$L$20:$L$131,BF8,'PvP IB Cricket Season 2'!$P$20:$P$131,"NR"))</f>
        <v>0</v>
      </c>
      <c r="BH8" s="84">
        <f>IF(BF8="","",COUNTIFS('PvP IB Cricket Season 2'!$G$20:$G$131,'PvP IB Cricket Season 2'!$AC$8,'PvP IB Cricket Season 2'!$H$20:$H$131,BF8,'PvP IB Cricket Season 2'!$P$20:$P$131,"A")+COUNTIFS('PvP IB Cricket Season 2'!$G$20:$G$131,'PvP IB Cricket Season 2'!$AC$8,'PvP IB Cricket Season 2'!$L$20:$L$131,BF8,'PvP IB Cricket Season 2'!$P$20:$P$131,"B"))</f>
        <v>0</v>
      </c>
      <c r="BI8" s="84">
        <f>IF(BF8="","",COUNTIFS('PvP IB Cricket Season 2'!$G$20:$G$131,'PvP IB Cricket Season 2'!$AC$8,'PvP IB Cricket Season 2'!$H$20:$H$131,BF8,'PvP IB Cricket Season 2'!$P$20:$P$131,"B")+COUNTIFS('PvP IB Cricket Season 2'!$G$20:$G$131,'PvP IB Cricket Season 2'!$AC$8,'PvP IB Cricket Season 2'!$L$20:$L$131,BF8,'PvP IB Cricket Season 2'!$P$20:$P$131,"A"))</f>
        <v>0</v>
      </c>
      <c r="BJ8" s="84">
        <f>IF(BF8="","",COUNTIFS('PvP IB Cricket Season 2'!$G$20:$G$131,'PvP IB Cricket Season 2'!$AC$8,'PvP IB Cricket Season 2'!$H$20:$H$131,BF8,'PvP IB Cricket Season 2'!$P$20:$P$131,"Tie")+COUNTIFS('PvP IB Cricket Season 2'!$G$20:$G$131,'PvP IB Cricket Season 2'!$AC$8,'PvP IB Cricket Season 2'!$L$20:$L$131,BF8,'PvP IB Cricket Season 2'!$P$20:$P$131,"Tie"))</f>
        <v>0</v>
      </c>
      <c r="BK8" s="84">
        <f>IF(BF8="","",COUNTIFS('PvP IB Cricket Season 2'!$G$20:$G$131,'PvP IB Cricket Season 2'!$AC$8,'PvP IB Cricket Season 2'!$H$20:$H$131,BF8,'PvP IB Cricket Season 2'!$P$20:$P$131,"NR")+COUNTIFS('PvP IB Cricket Season 2'!$G$20:$G$131,'PvP IB Cricket Season 2'!$AC$8,'PvP IB Cricket Season 2'!$L$20:$L$131,BF8,'PvP IB Cricket Season 2'!$P$20:$P$131,"NR"))</f>
        <v>0</v>
      </c>
      <c r="BL8" s="84">
        <f t="shared" si="23"/>
        <v>0</v>
      </c>
      <c r="BM8" s="84">
        <f>IF(BF8="","",SUMIFS('PvP IB Cricket Season 2'!$I$20:$I$131,'PvP IB Cricket Season 2'!$G$20:$G$131,'PvP IB Cricket Season 2'!$AC$8,'PvP IB Cricket Season 2'!$H$20:$H$131,BF8)+SUMIFS('PvP IB Cricket Season 2'!$M$20:$M$131,'PvP IB Cricket Season 2'!$G$20:$G$131,'PvP IB Cricket Season 2'!$AC$8,'PvP IB Cricket Season 2'!$L$20:$L$131,BF8))</f>
        <v>0</v>
      </c>
      <c r="BN8" s="84">
        <f t="array" ref="BN8">IF(BF8="","",SUMPRODUCT(('PvP IB Cricket Season 2'!$G$20:$G$131='PvP IB Cricket Season 2'!$AC$8)*('PvP IB Cricket Season 2'!$H$20:$H$131=BF8)*IF('PvP IB Cricket Season 2'!$J$20:$J$131&gt;='PvP IB Cricket Season 2'!$D$17,'PvP IB Cricket Season 2'!$D$9,'PvP IB Cricket Season 2'!$K$20:$K$131))+SUMPRODUCT(('PvP IB Cricket Season 2'!$G$20:$G$131='PvP IB Cricket Season 2'!$AC$8)*('PvP IB Cricket Season 2'!$L$20:$L$131=BF8)*IF('PvP IB Cricket Season 2'!$N$20:$N$131&gt;='PvP IB Cricket Season 2'!$D$17,'PvP IB Cricket Season 2'!$D$9,'PvP IB Cricket Season 2'!$O$20:$O$131)))</f>
        <v>0</v>
      </c>
      <c r="BO8" s="84">
        <f>IF(BF8="","",SUMIFS('PvP IB Cricket Season 2'!$M$20:$M$131,'PvP IB Cricket Season 2'!$G$20:$G$131,'PvP IB Cricket Season 2'!$AC$8,'PvP IB Cricket Season 2'!$H$20:$H$131,BF8)+SUMIFS('PvP IB Cricket Season 2'!$I$20:$I$131,'PvP IB Cricket Season 2'!$G$20:$G$131,'PvP IB Cricket Season 2'!$AC$8,'PvP IB Cricket Season 2'!$L$20:$L$131,BF8))</f>
        <v>0</v>
      </c>
      <c r="BP8" s="84">
        <f t="array" ref="BP8">IF(BF8="","",SUMPRODUCT(('PvP IB Cricket Season 2'!$G$20:$G$131='PvP IB Cricket Season 2'!$AC$8)*('PvP IB Cricket Season 2'!$H$20:$H$131=BF8)*IF('PvP IB Cricket Season 2'!$N$20:$N$131&gt;='PvP IB Cricket Season 2'!$D$17,'PvP IB Cricket Season 2'!$D$9,'PvP IB Cricket Season 2'!$O$20:$O$131))+SUMPRODUCT(('PvP IB Cricket Season 2'!$G$20:$G$131='PvP IB Cricket Season 2'!$AC$8)*('PvP IB Cricket Season 2'!$L$20:$L$131=BF8)*IF('PvP IB Cricket Season 2'!$J$20:$J$131&gt;='PvP IB Cricket Season 2'!$D$17,'PvP IB Cricket Season 2'!$D$9,'PvP IB Cricket Season 2'!$K$20:$K$131)))</f>
        <v>0</v>
      </c>
      <c r="BQ8" s="85" t="str">
        <f t="shared" si="24"/>
        <v/>
      </c>
      <c r="BR8" s="86">
        <f t="shared" si="25"/>
        <v>8.0000000000000004E-4</v>
      </c>
      <c r="BS8" s="87">
        <f t="array" ref="BS8">IF(BF8="","",SUMPRODUCT(($BR$6:$BR$15&gt;BR8)*1)+1)</f>
        <v>7</v>
      </c>
      <c r="BU8" s="125" t="str">
        <f t="array" ref="BU8">IFERROR(INDEX(_xlfn._xlws.FILTER('PvP IB Cricket Season 2'!$C$20:$C$51,'PvP IB Cricket Season 2'!$D$20:$D$51='PvP IB Cricket Season 2'!$AC$9),3),"")</f>
        <v>Veer Bhatia</v>
      </c>
      <c r="BV8" s="51">
        <f>IF(BU8="","",COUNTIFS('PvP IB Cricket Season 2'!$G$20:$G$131,'PvP IB Cricket Season 2'!$AC$9,'PvP IB Cricket Season 2'!$H$20:$H$131,BU8,'PvP IB Cricket Season 2'!$P$20:$P$131,"A")+COUNTIFS('PvP IB Cricket Season 2'!$G$20:$G$131,'PvP IB Cricket Season 2'!$AC$9,'PvP IB Cricket Season 2'!$L$20:$L$131,BU8,'PvP IB Cricket Season 2'!$P$20:$P$131,"B")+COUNTIFS('PvP IB Cricket Season 2'!$G$20:$G$131,'PvP IB Cricket Season 2'!$AC$9,'PvP IB Cricket Season 2'!$H$20:$H$131,BU8,'PvP IB Cricket Season 2'!$P$20:$P$131,"B")+COUNTIFS('PvP IB Cricket Season 2'!$G$20:$G$131,'PvP IB Cricket Season 2'!$AC$9,'PvP IB Cricket Season 2'!$L$20:$L$131,BU8,'PvP IB Cricket Season 2'!$P$20:$P$131,"A")+COUNTIFS('PvP IB Cricket Season 2'!$G$20:$G$131,'PvP IB Cricket Season 2'!$AC$9,'PvP IB Cricket Season 2'!$H$20:$H$131,BU8,'PvP IB Cricket Season 2'!$P$20:$P$131,"Tie")+COUNTIFS('PvP IB Cricket Season 2'!$G$20:$G$131,'PvP IB Cricket Season 2'!$AC$9,'PvP IB Cricket Season 2'!$L$20:$L$131,BU8,'PvP IB Cricket Season 2'!$P$20:$P$131,"Tie")+COUNTIFS('PvP IB Cricket Season 2'!$G$20:$G$131,'PvP IB Cricket Season 2'!$AC$9,'PvP IB Cricket Season 2'!$H$20:$H$131,BU8,'PvP IB Cricket Season 2'!$P$20:$P$131,"NR")+COUNTIFS('PvP IB Cricket Season 2'!$G$20:$G$131,'PvP IB Cricket Season 2'!$AC$9,'PvP IB Cricket Season 2'!$L$20:$L$131,BU8,'PvP IB Cricket Season 2'!$P$20:$P$131,"NR"))</f>
        <v>0</v>
      </c>
      <c r="BW8" s="51">
        <f>IF(BU8="","",COUNTIFS('PvP IB Cricket Season 2'!$G$20:$G$131,'PvP IB Cricket Season 2'!$AC$9,'PvP IB Cricket Season 2'!$H$20:$H$131,BU8,'PvP IB Cricket Season 2'!$P$20:$P$131,"A")+COUNTIFS('PvP IB Cricket Season 2'!$G$20:$G$131,'PvP IB Cricket Season 2'!$AC$9,'PvP IB Cricket Season 2'!$L$20:$L$131,BU8,'PvP IB Cricket Season 2'!$P$20:$P$131,"B"))</f>
        <v>0</v>
      </c>
      <c r="BX8" s="51">
        <f>IF(BU8="","",COUNTIFS('PvP IB Cricket Season 2'!$G$20:$G$131,'PvP IB Cricket Season 2'!$AC$9,'PvP IB Cricket Season 2'!$H$20:$H$131,BU8,'PvP IB Cricket Season 2'!$P$20:$P$131,"B")+COUNTIFS('PvP IB Cricket Season 2'!$G$20:$G$131,'PvP IB Cricket Season 2'!$AC$9,'PvP IB Cricket Season 2'!$L$20:$L$131,BU8,'PvP IB Cricket Season 2'!$P$20:$P$131,"A"))</f>
        <v>0</v>
      </c>
      <c r="BY8" s="51">
        <f>IF(BU8="","",COUNTIFS('PvP IB Cricket Season 2'!$G$20:$G$131,'PvP IB Cricket Season 2'!$AC$9,'PvP IB Cricket Season 2'!$H$20:$H$131,BU8,'PvP IB Cricket Season 2'!$P$20:$P$131,"Tie")+COUNTIFS('PvP IB Cricket Season 2'!$G$20:$G$131,'PvP IB Cricket Season 2'!$AC$9,'PvP IB Cricket Season 2'!$L$20:$L$131,BU8,'PvP IB Cricket Season 2'!$P$20:$P$131,"Tie"))</f>
        <v>0</v>
      </c>
      <c r="BZ8" s="51">
        <f>IF(BU8="","",COUNTIFS('PvP IB Cricket Season 2'!$G$20:$G$131,'PvP IB Cricket Season 2'!$AC$9,'PvP IB Cricket Season 2'!$H$20:$H$131,BU8,'PvP IB Cricket Season 2'!$P$20:$P$131,"NR")+COUNTIFS('PvP IB Cricket Season 2'!$G$20:$G$131,'PvP IB Cricket Season 2'!$AC$9,'PvP IB Cricket Season 2'!$L$20:$L$131,BU8,'PvP IB Cricket Season 2'!$P$20:$P$131,"NR"))</f>
        <v>0</v>
      </c>
      <c r="CA8" s="51">
        <f t="shared" si="26"/>
        <v>0</v>
      </c>
      <c r="CB8" s="51">
        <f>IF(BU8="","",SUMIFS('PvP IB Cricket Season 2'!$I$20:$I$131,'PvP IB Cricket Season 2'!$G$20:$G$131,'PvP IB Cricket Season 2'!$AC$9,'PvP IB Cricket Season 2'!$H$20:$H$131,BU8)+SUMIFS('PvP IB Cricket Season 2'!$M$20:$M$131,'PvP IB Cricket Season 2'!$G$20:$G$131,'PvP IB Cricket Season 2'!$AC$9,'PvP IB Cricket Season 2'!$L$20:$L$131,BU8))</f>
        <v>0</v>
      </c>
      <c r="CC8" s="51">
        <f t="array" ref="CC8">IF(BU8="","",SUMPRODUCT(('PvP IB Cricket Season 2'!$G$20:$G$131='PvP IB Cricket Season 2'!$AC$9)*('PvP IB Cricket Season 2'!$H$20:$H$131=BU8)*IF('PvP IB Cricket Season 2'!$J$20:$J$131&gt;='PvP IB Cricket Season 2'!$D$17,'PvP IB Cricket Season 2'!$D$9,'PvP IB Cricket Season 2'!$K$20:$K$131))+SUMPRODUCT(('PvP IB Cricket Season 2'!$G$20:$G$131='PvP IB Cricket Season 2'!$AC$9)*('PvP IB Cricket Season 2'!$L$20:$L$131=BU8)*IF('PvP IB Cricket Season 2'!$N$20:$N$131&gt;='PvP IB Cricket Season 2'!$D$17,'PvP IB Cricket Season 2'!$D$9,'PvP IB Cricket Season 2'!$O$20:$O$131)))</f>
        <v>0</v>
      </c>
      <c r="CD8" s="51">
        <f>IF(BU8="","",SUMIFS('PvP IB Cricket Season 2'!$M$20:$M$131,'PvP IB Cricket Season 2'!$G$20:$G$131,'PvP IB Cricket Season 2'!$AC$9,'PvP IB Cricket Season 2'!$H$20:$H$131,BU8)+SUMIFS('PvP IB Cricket Season 2'!$I$20:$I$131,'PvP IB Cricket Season 2'!$G$20:$G$131,'PvP IB Cricket Season 2'!$AC$9,'PvP IB Cricket Season 2'!$L$20:$L$131,BU8))</f>
        <v>0</v>
      </c>
      <c r="CE8" s="51">
        <f t="array" ref="CE8">IF(BU8="","",SUMPRODUCT(('PvP IB Cricket Season 2'!$G$20:$G$131='PvP IB Cricket Season 2'!$AC$9)*('PvP IB Cricket Season 2'!$H$20:$H$131=BU8)*IF('PvP IB Cricket Season 2'!$N$20:$N$131&gt;='PvP IB Cricket Season 2'!$D$17,'PvP IB Cricket Season 2'!$D$9,'PvP IB Cricket Season 2'!$O$20:$O$131))+SUMPRODUCT(('PvP IB Cricket Season 2'!$G$20:$G$131='PvP IB Cricket Season 2'!$AC$9)*('PvP IB Cricket Season 2'!$L$20:$L$131=BU8)*IF('PvP IB Cricket Season 2'!$J$20:$J$131&gt;='PvP IB Cricket Season 2'!$D$17,'PvP IB Cricket Season 2'!$D$9,'PvP IB Cricket Season 2'!$K$20:$K$131)))</f>
        <v>0</v>
      </c>
      <c r="CF8" s="96" t="str">
        <f t="shared" si="27"/>
        <v/>
      </c>
      <c r="CG8" s="97">
        <f t="shared" si="28"/>
        <v>8.0000000000000004E-4</v>
      </c>
      <c r="CH8" s="98">
        <f t="array" ref="CH8">IF(BU8="","",SUMPRODUCT(($CG$6:$CG$15&gt;CG8)*1)+1)</f>
        <v>8</v>
      </c>
      <c r="CJ8" s="128" t="str">
        <f t="array" ref="CJ8">IFERROR(INDEX(_xlfn._xlws.FILTER('PvP IB Cricket Season 2'!$C$20:$C$51,'PvP IB Cricket Season 2'!$D$20:$D$51='PvP IB Cricket Season 2'!$AC$10),3),"")</f>
        <v>Kiran</v>
      </c>
      <c r="CK8" s="107">
        <f>IF(CJ8="","",COUNTIFS('PvP IB Cricket Season 2'!$G$20:$G$131,'PvP IB Cricket Season 2'!$AC$10,'PvP IB Cricket Season 2'!$H$20:$H$131,CJ8,'PvP IB Cricket Season 2'!$P$20:$P$131,"A")+COUNTIFS('PvP IB Cricket Season 2'!$G$20:$G$131,'PvP IB Cricket Season 2'!$AC$10,'PvP IB Cricket Season 2'!$L$20:$L$131,CJ8,'PvP IB Cricket Season 2'!$P$20:$P$131,"B")+COUNTIFS('PvP IB Cricket Season 2'!$G$20:$G$131,'PvP IB Cricket Season 2'!$AC$10,'PvP IB Cricket Season 2'!$H$20:$H$131,CJ8,'PvP IB Cricket Season 2'!$P$20:$P$131,"B")+COUNTIFS('PvP IB Cricket Season 2'!$G$20:$G$131,'PvP IB Cricket Season 2'!$AC$10,'PvP IB Cricket Season 2'!$L$20:$L$131,CJ8,'PvP IB Cricket Season 2'!$P$20:$P$131,"A")+COUNTIFS('PvP IB Cricket Season 2'!$G$20:$G$131,'PvP IB Cricket Season 2'!$AC$10,'PvP IB Cricket Season 2'!$H$20:$H$131,CJ8,'PvP IB Cricket Season 2'!$P$20:$P$131,"Tie")+COUNTIFS('PvP IB Cricket Season 2'!$G$20:$G$131,'PvP IB Cricket Season 2'!$AC$10,'PvP IB Cricket Season 2'!$L$20:$L$131,CJ8,'PvP IB Cricket Season 2'!$P$20:$P$131,"Tie")+COUNTIFS('PvP IB Cricket Season 2'!$G$20:$G$131,'PvP IB Cricket Season 2'!$AC$10,'PvP IB Cricket Season 2'!$H$20:$H$131,CJ8,'PvP IB Cricket Season 2'!$P$20:$P$131,"NR")+COUNTIFS('PvP IB Cricket Season 2'!$G$20:$G$131,'PvP IB Cricket Season 2'!$AC$10,'PvP IB Cricket Season 2'!$L$20:$L$131,CJ8,'PvP IB Cricket Season 2'!$P$20:$P$131,"NR"))</f>
        <v>0</v>
      </c>
      <c r="CL8" s="107">
        <f>IF(CJ8="","",COUNTIFS('PvP IB Cricket Season 2'!$G$20:$G$131,'PvP IB Cricket Season 2'!$AC$10,'PvP IB Cricket Season 2'!$H$20:$H$131,CJ8,'PvP IB Cricket Season 2'!$P$20:$P$131,"A")+COUNTIFS('PvP IB Cricket Season 2'!$G$20:$G$131,'PvP IB Cricket Season 2'!$AC$10,'PvP IB Cricket Season 2'!$L$20:$L$131,CJ8,'PvP IB Cricket Season 2'!$P$20:$P$131,"B"))</f>
        <v>0</v>
      </c>
      <c r="CM8" s="107">
        <f>IF(CJ8="","",COUNTIFS('PvP IB Cricket Season 2'!$G$20:$G$131,'PvP IB Cricket Season 2'!$AC$10,'PvP IB Cricket Season 2'!$H$20:$H$131,CJ8,'PvP IB Cricket Season 2'!$P$20:$P$131,"B")+COUNTIFS('PvP IB Cricket Season 2'!$G$20:$G$131,'PvP IB Cricket Season 2'!$AC$10,'PvP IB Cricket Season 2'!$L$20:$L$131,CJ8,'PvP IB Cricket Season 2'!$P$20:$P$131,"A"))</f>
        <v>0</v>
      </c>
      <c r="CN8" s="107">
        <f>IF(CJ8="","",COUNTIFS('PvP IB Cricket Season 2'!$G$20:$G$131,'PvP IB Cricket Season 2'!$AC$10,'PvP IB Cricket Season 2'!$H$20:$H$131,CJ8,'PvP IB Cricket Season 2'!$P$20:$P$131,"Tie")+COUNTIFS('PvP IB Cricket Season 2'!$G$20:$G$131,'PvP IB Cricket Season 2'!$AC$10,'PvP IB Cricket Season 2'!$L$20:$L$131,CJ8,'PvP IB Cricket Season 2'!$P$20:$P$131,"Tie"))</f>
        <v>0</v>
      </c>
      <c r="CO8" s="107">
        <f>IF(CJ8="","",COUNTIFS('PvP IB Cricket Season 2'!$G$20:$G$131,'PvP IB Cricket Season 2'!$AC$10,'PvP IB Cricket Season 2'!$H$20:$H$131,CJ8,'PvP IB Cricket Season 2'!$P$20:$P$131,"NR")+COUNTIFS('PvP IB Cricket Season 2'!$G$20:$G$131,'PvP IB Cricket Season 2'!$AC$10,'PvP IB Cricket Season 2'!$L$20:$L$131,CJ8,'PvP IB Cricket Season 2'!$P$20:$P$131,"NR"))</f>
        <v>0</v>
      </c>
      <c r="CP8" s="107">
        <f t="shared" si="29"/>
        <v>0</v>
      </c>
      <c r="CQ8" s="107">
        <f>IF(CJ8="","",SUMIFS('PvP IB Cricket Season 2'!$I$20:$I$131,'PvP IB Cricket Season 2'!$G$20:$G$131,'PvP IB Cricket Season 2'!$AC$10,'PvP IB Cricket Season 2'!$H$20:$H$131,CJ8)+SUMIFS('PvP IB Cricket Season 2'!$M$20:$M$131,'PvP IB Cricket Season 2'!$G$20:$G$131,'PvP IB Cricket Season 2'!$AC$10,'PvP IB Cricket Season 2'!$L$20:$L$131,CJ8))</f>
        <v>0</v>
      </c>
      <c r="CR8" s="107">
        <f t="array" ref="CR8">IF(CJ8="","",SUMPRODUCT(('PvP IB Cricket Season 2'!$G$20:$G$131='PvP IB Cricket Season 2'!$AC$10)*('PvP IB Cricket Season 2'!$H$20:$H$131=CJ8)*IF('PvP IB Cricket Season 2'!$J$20:$J$131&gt;='PvP IB Cricket Season 2'!$D$17,'PvP IB Cricket Season 2'!$D$9,'PvP IB Cricket Season 2'!$K$20:$K$131))+SUMPRODUCT(('PvP IB Cricket Season 2'!$G$20:$G$131='PvP IB Cricket Season 2'!$AC$10)*('PvP IB Cricket Season 2'!$L$20:$L$131=CJ8)*IF('PvP IB Cricket Season 2'!$N$20:$N$131&gt;='PvP IB Cricket Season 2'!$D$17,'PvP IB Cricket Season 2'!$D$9,'PvP IB Cricket Season 2'!$O$20:$O$131)))</f>
        <v>0</v>
      </c>
      <c r="CS8" s="107">
        <f>IF(CJ8="","",SUMIFS('PvP IB Cricket Season 2'!$M$20:$M$131,'PvP IB Cricket Season 2'!$G$20:$G$131,'PvP IB Cricket Season 2'!$AC$10,'PvP IB Cricket Season 2'!$H$20:$H$131,CJ8)+SUMIFS('PvP IB Cricket Season 2'!$I$20:$I$131,'PvP IB Cricket Season 2'!$G$20:$G$131,'PvP IB Cricket Season 2'!$AC$10,'PvP IB Cricket Season 2'!$L$20:$L$131,CJ8))</f>
        <v>0</v>
      </c>
      <c r="CT8" s="107">
        <f t="array" ref="CT8">IF(CJ8="","",SUMPRODUCT(('PvP IB Cricket Season 2'!$G$20:$G$131='PvP IB Cricket Season 2'!$AC$10)*('PvP IB Cricket Season 2'!$H$20:$H$131=CJ8)*IF('PvP IB Cricket Season 2'!$N$20:$N$131&gt;='PvP IB Cricket Season 2'!$D$17,'PvP IB Cricket Season 2'!$D$9,'PvP IB Cricket Season 2'!$O$20:$O$131))+SUMPRODUCT(('PvP IB Cricket Season 2'!$G$20:$G$131='PvP IB Cricket Season 2'!$AC$10)*('PvP IB Cricket Season 2'!$L$20:$L$131=CJ8)*IF('PvP IB Cricket Season 2'!$J$20:$J$131&gt;='PvP IB Cricket Season 2'!$D$17,'PvP IB Cricket Season 2'!$D$9,'PvP IB Cricket Season 2'!$K$20:$K$131)))</f>
        <v>0</v>
      </c>
      <c r="CU8" s="108" t="str">
        <f t="shared" si="30"/>
        <v/>
      </c>
      <c r="CV8" s="109">
        <f t="shared" si="31"/>
        <v>8.0000000000000004E-4</v>
      </c>
      <c r="CW8" s="110">
        <f t="array" ref="CW8">IF(CJ8="","",SUMPRODUCT(($CV$6:$CV$15&gt;CV8)*1)+1)</f>
        <v>8</v>
      </c>
    </row>
    <row r="9" spans="1:101" ht="20.100000000000001" customHeight="1" x14ac:dyDescent="0.3">
      <c r="A9" s="38"/>
      <c r="B9" s="182">
        <v>4</v>
      </c>
      <c r="C9" s="183" t="str">
        <f t="shared" si="0"/>
        <v/>
      </c>
      <c r="D9" s="184" t="str">
        <f t="shared" si="1"/>
        <v/>
      </c>
      <c r="E9" s="184" t="str">
        <f t="shared" si="2"/>
        <v/>
      </c>
      <c r="F9" s="184" t="str">
        <f t="shared" si="3"/>
        <v/>
      </c>
      <c r="G9" s="184" t="str">
        <f t="shared" si="4"/>
        <v/>
      </c>
      <c r="H9" s="184" t="str">
        <f t="shared" si="5"/>
        <v/>
      </c>
      <c r="I9" s="185" t="str">
        <f t="shared" si="6"/>
        <v/>
      </c>
      <c r="J9" s="184" t="str">
        <f t="shared" si="7"/>
        <v/>
      </c>
      <c r="K9" s="186" t="str">
        <f t="array" ref="K9">IF(C9="","",SUMPRODUCT(('PvP IB Cricket Season 2'!$G$20:$G$131='PvP IB Cricket Season 2'!$AC$7)*('PvP IB Cricket Season 2'!$H$20:$H$131=C9)*('PvP IB Cricket Season 2'!$K$20:$K$131))+SUMPRODUCT(('PvP IB Cricket Season 2'!$G$20:$G$131='PvP IB Cricket Season 2'!$AC$7)*('PvP IB Cricket Season 2'!$L$20:$L$131=C9)*('PvP IB Cricket Season 2'!$O$20:$O$131)))</f>
        <v/>
      </c>
      <c r="L9" s="184" t="str">
        <f t="shared" si="8"/>
        <v/>
      </c>
      <c r="M9" s="186" t="str">
        <f t="array" ref="M9">IF(C9="","",SUMPRODUCT(('PvP IB Cricket Season 2'!$G$20:$G$131='PvP IB Cricket Season 2'!$AC$7)*('PvP IB Cricket Season 2'!$H$20:$H$131=C9)*('PvP IB Cricket Season 2'!$O$20:$O$131))+SUMPRODUCT(('PvP IB Cricket Season 2'!$G$20:$G$131='PvP IB Cricket Season 2'!$AC$7)*('PvP IB Cricket Season 2'!$L$20:$L$131=C9)*('PvP IB Cricket Season 2'!$K$20:$K$131)))</f>
        <v/>
      </c>
      <c r="N9" s="187" t="str">
        <f t="shared" si="9"/>
        <v/>
      </c>
      <c r="O9" s="38"/>
      <c r="P9" s="200">
        <v>4</v>
      </c>
      <c r="Q9" s="201" t="str">
        <f t="shared" si="10"/>
        <v>Shubham Mahajan</v>
      </c>
      <c r="R9" s="202">
        <f t="shared" si="11"/>
        <v>0</v>
      </c>
      <c r="S9" s="202">
        <f t="shared" si="12"/>
        <v>0</v>
      </c>
      <c r="T9" s="202">
        <f t="shared" si="13"/>
        <v>0</v>
      </c>
      <c r="U9" s="202">
        <f t="shared" si="14"/>
        <v>0</v>
      </c>
      <c r="V9" s="202">
        <f t="shared" si="15"/>
        <v>0</v>
      </c>
      <c r="W9" s="203">
        <f t="shared" si="16"/>
        <v>0</v>
      </c>
      <c r="X9" s="202">
        <f t="shared" si="17"/>
        <v>0</v>
      </c>
      <c r="Y9" s="204">
        <f t="array" ref="Y9">IF(Q9="","",SUMPRODUCT(('PvP IB Cricket Season 2'!$G$20:$G$131='PvP IB Cricket Season 2'!$AC$9)*('PvP IB Cricket Season 2'!$H$20:$H$131=Q9)*('PvP IB Cricket Season 2'!$K$20:$K$131))+SUMPRODUCT(('PvP IB Cricket Season 2'!$G$20:$G$131='PvP IB Cricket Season 2'!$AC$9)*('PvP IB Cricket Season 2'!$L$20:$L$131=Q9)*('PvP IB Cricket Season 2'!$O$20:$O$131)))</f>
        <v>0</v>
      </c>
      <c r="Z9" s="202">
        <f t="shared" si="18"/>
        <v>0</v>
      </c>
      <c r="AA9" s="204">
        <f t="array" ref="AA9">IF(Q9="","",SUMPRODUCT(('PvP IB Cricket Season 2'!$G$20:$G$131='PvP IB Cricket Season 2'!$AC$9)*('PvP IB Cricket Season 2'!$H$20:$H$131=Q9)*('PvP IB Cricket Season 2'!$O$20:$O$131))+SUMPRODUCT(('PvP IB Cricket Season 2'!$G$20:$G$131='PvP IB Cricket Season 2'!$AC$9)*('PvP IB Cricket Season 2'!$L$20:$L$131=Q9)*('PvP IB Cricket Season 2'!$K$20:$K$131)))</f>
        <v>0</v>
      </c>
      <c r="AB9" s="205" t="str">
        <f t="shared" si="19"/>
        <v/>
      </c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120" t="str">
        <f t="array" ref="AQ9">IFERROR(INDEX(_xlfn._xlws.FILTER('PvP IB Cricket Season 2'!$C$20:$C$51,'PvP IB Cricket Season 2'!$D$20:$D$51='PvP IB Cricket Season 2'!$AC$7),4),"")</f>
        <v/>
      </c>
      <c r="AR9" s="76" t="str">
        <f>IF(AQ9="","",COUNTIFS('PvP IB Cricket Season 2'!$G$20:$G$131,'PvP IB Cricket Season 2'!$AC$7,'PvP IB Cricket Season 2'!$H$20:$H$131,AQ9,'PvP IB Cricket Season 2'!$P$20:$P$131,"A")+COUNTIFS('PvP IB Cricket Season 2'!$G$20:$G$131,'PvP IB Cricket Season 2'!$AC$7,'PvP IB Cricket Season 2'!$L$20:$L$131,AQ9,'PvP IB Cricket Season 2'!$P$20:$P$131,"B")+COUNTIFS('PvP IB Cricket Season 2'!$G$20:$G$131,'PvP IB Cricket Season 2'!$AC$7,'PvP IB Cricket Season 2'!$H$20:$H$131,AQ9,'PvP IB Cricket Season 2'!$P$20:$P$131,"B")+COUNTIFS('PvP IB Cricket Season 2'!$G$20:$G$131,'PvP IB Cricket Season 2'!$AC$7,'PvP IB Cricket Season 2'!$L$20:$L$131,AQ9,'PvP IB Cricket Season 2'!$P$20:$P$131,"A")+COUNTIFS('PvP IB Cricket Season 2'!$G$20:$G$131,'PvP IB Cricket Season 2'!$AC$7,'PvP IB Cricket Season 2'!$H$20:$H$131,AQ9,'PvP IB Cricket Season 2'!$P$20:$P$131,"Tie")+COUNTIFS('PvP IB Cricket Season 2'!$G$20:$G$131,'PvP IB Cricket Season 2'!$AC$7,'PvP IB Cricket Season 2'!$L$20:$L$131,AQ9,'PvP IB Cricket Season 2'!$P$20:$P$131,"Tie")+COUNTIFS('PvP IB Cricket Season 2'!$G$20:$G$131,'PvP IB Cricket Season 2'!$AC$7,'PvP IB Cricket Season 2'!$H$20:$H$131,AQ9,'PvP IB Cricket Season 2'!$P$20:$P$131,"NR")+COUNTIFS('PvP IB Cricket Season 2'!$G$20:$G$131,'PvP IB Cricket Season 2'!$AC$7,'PvP IB Cricket Season 2'!$L$20:$L$131,AQ9,'PvP IB Cricket Season 2'!$P$20:$P$131,"NR"))</f>
        <v/>
      </c>
      <c r="AS9" s="76" t="str">
        <f>IF(AQ9="","",COUNTIFS('PvP IB Cricket Season 2'!$G$20:$G$131,'PvP IB Cricket Season 2'!$AC$7,'PvP IB Cricket Season 2'!$H$20:$H$131,AQ9,'PvP IB Cricket Season 2'!$P$20:$P$131,"A")+COUNTIFS('PvP IB Cricket Season 2'!$G$20:$G$131,'PvP IB Cricket Season 2'!$AC$7,'PvP IB Cricket Season 2'!$L$20:$L$131,AQ9,'PvP IB Cricket Season 2'!$P$20:$P$131,"B"))</f>
        <v/>
      </c>
      <c r="AT9" s="76" t="str">
        <f>IF(AQ9="","",COUNTIFS('PvP IB Cricket Season 2'!$G$20:$G$131,'PvP IB Cricket Season 2'!$AC$7,'PvP IB Cricket Season 2'!$H$20:$H$131,AQ9,'PvP IB Cricket Season 2'!$P$20:$P$131,"B")+COUNTIFS('PvP IB Cricket Season 2'!$G$20:$G$131,'PvP IB Cricket Season 2'!$AC$7,'PvP IB Cricket Season 2'!$L$20:$L$131,AQ9,'PvP IB Cricket Season 2'!$P$20:$P$131,"A"))</f>
        <v/>
      </c>
      <c r="AU9" s="76" t="str">
        <f>IF(AQ9="","",COUNTIFS('PvP IB Cricket Season 2'!$G$20:$G$131,'PvP IB Cricket Season 2'!$AC$7,'PvP IB Cricket Season 2'!$H$20:$H$131,AQ9,'PvP IB Cricket Season 2'!$P$20:$P$131,"Tie")+COUNTIFS('PvP IB Cricket Season 2'!$G$20:$G$131,'PvP IB Cricket Season 2'!$AC$7,'PvP IB Cricket Season 2'!$L$20:$L$131,AQ9,'PvP IB Cricket Season 2'!$P$20:$P$131,"Tie"))</f>
        <v/>
      </c>
      <c r="AV9" s="76" t="str">
        <f>IF(AQ9="","",COUNTIFS('PvP IB Cricket Season 2'!$G$20:$G$131,'PvP IB Cricket Season 2'!$AC$7,'PvP IB Cricket Season 2'!$H$20:$H$131,AQ9,'PvP IB Cricket Season 2'!$P$20:$P$131,"NR")+COUNTIFS('PvP IB Cricket Season 2'!$G$20:$G$131,'PvP IB Cricket Season 2'!$AC$7,'PvP IB Cricket Season 2'!$L$20:$L$131,AQ9,'PvP IB Cricket Season 2'!$P$20:$P$131,"NR"))</f>
        <v/>
      </c>
      <c r="AW9" s="76" t="str">
        <f t="shared" si="20"/>
        <v/>
      </c>
      <c r="AX9" s="76" t="str">
        <f>IF(AQ9="","",SUMIFS('PvP IB Cricket Season 2'!$I$20:$I$131,'PvP IB Cricket Season 2'!$G$20:$G$131,'PvP IB Cricket Season 2'!$AC$7,'PvP IB Cricket Season 2'!$H$20:$H$131,AQ9)+SUMIFS('PvP IB Cricket Season 2'!$M$20:$M$131,'PvP IB Cricket Season 2'!$G$20:$G$131,'PvP IB Cricket Season 2'!$AC$7,'PvP IB Cricket Season 2'!$L$20:$L$131,AQ9))</f>
        <v/>
      </c>
      <c r="AY9" s="76" t="str">
        <f t="array" ref="AY9">IF(AQ9="","",SUMPRODUCT(('PvP IB Cricket Season 2'!$G$20:$G$131='PvP IB Cricket Season 2'!$AC$7)*('PvP IB Cricket Season 2'!$H$20:$H$131=AQ9)*IF('PvP IB Cricket Season 2'!$J$20:$J$131&gt;='PvP IB Cricket Season 2'!$D$17,'PvP IB Cricket Season 2'!$D$9,'PvP IB Cricket Season 2'!$K$20:$K$131))+SUMPRODUCT(('PvP IB Cricket Season 2'!$G$20:$G$131='PvP IB Cricket Season 2'!$AC$7)*('PvP IB Cricket Season 2'!$L$20:$L$131=AQ9)*IF('PvP IB Cricket Season 2'!$N$20:$N$131&gt;='PvP IB Cricket Season 2'!$D$17,'PvP IB Cricket Season 2'!$D$9,'PvP IB Cricket Season 2'!$O$20:$O$131)))</f>
        <v/>
      </c>
      <c r="AZ9" s="76" t="str">
        <f>IF(AQ9="","",SUMIFS('PvP IB Cricket Season 2'!$M$20:$M$131,'PvP IB Cricket Season 2'!$G$20:$G$131,'PvP IB Cricket Season 2'!$AC$7,'PvP IB Cricket Season 2'!$H$20:$H$131,AQ9)+SUMIFS('PvP IB Cricket Season 2'!$I$20:$I$131,'PvP IB Cricket Season 2'!$G$20:$G$131,'PvP IB Cricket Season 2'!$AC$7,'PvP IB Cricket Season 2'!$L$20:$L$131,AQ9))</f>
        <v/>
      </c>
      <c r="BA9" s="76" t="str">
        <f t="array" ref="BA9">IF(AQ9="","",SUMPRODUCT(('PvP IB Cricket Season 2'!$G$20:$G$131='PvP IB Cricket Season 2'!$AC$7)*('PvP IB Cricket Season 2'!$H$20:$H$131=AQ9)*IF('PvP IB Cricket Season 2'!$N$20:$N$131&gt;='PvP IB Cricket Season 2'!$D$17,'PvP IB Cricket Season 2'!$D$9,'PvP IB Cricket Season 2'!$O$20:$O$131))+SUMPRODUCT(('PvP IB Cricket Season 2'!$G$20:$G$131='PvP IB Cricket Season 2'!$AC$7)*('PvP IB Cricket Season 2'!$L$20:$L$131=AQ9)*IF('PvP IB Cricket Season 2'!$J$20:$J$131&gt;='PvP IB Cricket Season 2'!$D$17,'PvP IB Cricket Season 2'!$D$9,'PvP IB Cricket Season 2'!$K$20:$K$131)))</f>
        <v/>
      </c>
      <c r="BB9" s="77" t="str">
        <f t="shared" si="21"/>
        <v/>
      </c>
      <c r="BC9" s="78" t="str">
        <f t="shared" si="22"/>
        <v/>
      </c>
      <c r="BD9" s="79" t="str">
        <f t="array" ref="BD9">IF(AQ9="","",SUMPRODUCT(($BC$6:$BC$15&gt;BC9)*1)+1)</f>
        <v/>
      </c>
      <c r="BF9" s="123" t="str">
        <f t="array" ref="BF9">IFERROR(INDEX(_xlfn._xlws.FILTER('PvP IB Cricket Season 2'!$C$20:$C$51,'PvP IB Cricket Season 2'!$D$20:$D$51='PvP IB Cricket Season 2'!$AC$8),4),"")</f>
        <v>IMCRCKET</v>
      </c>
      <c r="BG9" s="88">
        <f>IF(BF9="","",COUNTIFS('PvP IB Cricket Season 2'!$G$20:$G$131,'PvP IB Cricket Season 2'!$AC$8,'PvP IB Cricket Season 2'!$H$20:$H$131,BF9,'PvP IB Cricket Season 2'!$P$20:$P$131,"A")+COUNTIFS('PvP IB Cricket Season 2'!$G$20:$G$131,'PvP IB Cricket Season 2'!$AC$8,'PvP IB Cricket Season 2'!$L$20:$L$131,BF9,'PvP IB Cricket Season 2'!$P$20:$P$131,"B")+COUNTIFS('PvP IB Cricket Season 2'!$G$20:$G$131,'PvP IB Cricket Season 2'!$AC$8,'PvP IB Cricket Season 2'!$H$20:$H$131,BF9,'PvP IB Cricket Season 2'!$P$20:$P$131,"B")+COUNTIFS('PvP IB Cricket Season 2'!$G$20:$G$131,'PvP IB Cricket Season 2'!$AC$8,'PvP IB Cricket Season 2'!$L$20:$L$131,BF9,'PvP IB Cricket Season 2'!$P$20:$P$131,"A")+COUNTIFS('PvP IB Cricket Season 2'!$G$20:$G$131,'PvP IB Cricket Season 2'!$AC$8,'PvP IB Cricket Season 2'!$H$20:$H$131,BF9,'PvP IB Cricket Season 2'!$P$20:$P$131,"Tie")+COUNTIFS('PvP IB Cricket Season 2'!$G$20:$G$131,'PvP IB Cricket Season 2'!$AC$8,'PvP IB Cricket Season 2'!$L$20:$L$131,BF9,'PvP IB Cricket Season 2'!$P$20:$P$131,"Tie")+COUNTIFS('PvP IB Cricket Season 2'!$G$20:$G$131,'PvP IB Cricket Season 2'!$AC$8,'PvP IB Cricket Season 2'!$H$20:$H$131,BF9,'PvP IB Cricket Season 2'!$P$20:$P$131,"NR")+COUNTIFS('PvP IB Cricket Season 2'!$G$20:$G$131,'PvP IB Cricket Season 2'!$AC$8,'PvP IB Cricket Season 2'!$L$20:$L$131,BF9,'PvP IB Cricket Season 2'!$P$20:$P$131,"NR"))</f>
        <v>0</v>
      </c>
      <c r="BH9" s="88">
        <f>IF(BF9="","",COUNTIFS('PvP IB Cricket Season 2'!$G$20:$G$131,'PvP IB Cricket Season 2'!$AC$8,'PvP IB Cricket Season 2'!$H$20:$H$131,BF9,'PvP IB Cricket Season 2'!$P$20:$P$131,"A")+COUNTIFS('PvP IB Cricket Season 2'!$G$20:$G$131,'PvP IB Cricket Season 2'!$AC$8,'PvP IB Cricket Season 2'!$L$20:$L$131,BF9,'PvP IB Cricket Season 2'!$P$20:$P$131,"B"))</f>
        <v>0</v>
      </c>
      <c r="BI9" s="88">
        <f>IF(BF9="","",COUNTIFS('PvP IB Cricket Season 2'!$G$20:$G$131,'PvP IB Cricket Season 2'!$AC$8,'PvP IB Cricket Season 2'!$H$20:$H$131,BF9,'PvP IB Cricket Season 2'!$P$20:$P$131,"B")+COUNTIFS('PvP IB Cricket Season 2'!$G$20:$G$131,'PvP IB Cricket Season 2'!$AC$8,'PvP IB Cricket Season 2'!$L$20:$L$131,BF9,'PvP IB Cricket Season 2'!$P$20:$P$131,"A"))</f>
        <v>0</v>
      </c>
      <c r="BJ9" s="88">
        <f>IF(BF9="","",COUNTIFS('PvP IB Cricket Season 2'!$G$20:$G$131,'PvP IB Cricket Season 2'!$AC$8,'PvP IB Cricket Season 2'!$H$20:$H$131,BF9,'PvP IB Cricket Season 2'!$P$20:$P$131,"Tie")+COUNTIFS('PvP IB Cricket Season 2'!$G$20:$G$131,'PvP IB Cricket Season 2'!$AC$8,'PvP IB Cricket Season 2'!$L$20:$L$131,BF9,'PvP IB Cricket Season 2'!$P$20:$P$131,"Tie"))</f>
        <v>0</v>
      </c>
      <c r="BK9" s="88">
        <f>IF(BF9="","",COUNTIFS('PvP IB Cricket Season 2'!$G$20:$G$131,'PvP IB Cricket Season 2'!$AC$8,'PvP IB Cricket Season 2'!$H$20:$H$131,BF9,'PvP IB Cricket Season 2'!$P$20:$P$131,"NR")+COUNTIFS('PvP IB Cricket Season 2'!$G$20:$G$131,'PvP IB Cricket Season 2'!$AC$8,'PvP IB Cricket Season 2'!$L$20:$L$131,BF9,'PvP IB Cricket Season 2'!$P$20:$P$131,"NR"))</f>
        <v>0</v>
      </c>
      <c r="BL9" s="88">
        <f t="shared" si="23"/>
        <v>0</v>
      </c>
      <c r="BM9" s="88">
        <f>IF(BF9="","",SUMIFS('PvP IB Cricket Season 2'!$I$20:$I$131,'PvP IB Cricket Season 2'!$G$20:$G$131,'PvP IB Cricket Season 2'!$AC$8,'PvP IB Cricket Season 2'!$H$20:$H$131,BF9)+SUMIFS('PvP IB Cricket Season 2'!$M$20:$M$131,'PvP IB Cricket Season 2'!$G$20:$G$131,'PvP IB Cricket Season 2'!$AC$8,'PvP IB Cricket Season 2'!$L$20:$L$131,BF9))</f>
        <v>0</v>
      </c>
      <c r="BN9" s="88">
        <f t="array" ref="BN9">IF(BF9="","",SUMPRODUCT(('PvP IB Cricket Season 2'!$G$20:$G$131='PvP IB Cricket Season 2'!$AC$8)*('PvP IB Cricket Season 2'!$H$20:$H$131=BF9)*IF('PvP IB Cricket Season 2'!$J$20:$J$131&gt;='PvP IB Cricket Season 2'!$D$17,'PvP IB Cricket Season 2'!$D$9,'PvP IB Cricket Season 2'!$K$20:$K$131))+SUMPRODUCT(('PvP IB Cricket Season 2'!$G$20:$G$131='PvP IB Cricket Season 2'!$AC$8)*('PvP IB Cricket Season 2'!$L$20:$L$131=BF9)*IF('PvP IB Cricket Season 2'!$N$20:$N$131&gt;='PvP IB Cricket Season 2'!$D$17,'PvP IB Cricket Season 2'!$D$9,'PvP IB Cricket Season 2'!$O$20:$O$131)))</f>
        <v>0</v>
      </c>
      <c r="BO9" s="88">
        <f>IF(BF9="","",SUMIFS('PvP IB Cricket Season 2'!$M$20:$M$131,'PvP IB Cricket Season 2'!$G$20:$G$131,'PvP IB Cricket Season 2'!$AC$8,'PvP IB Cricket Season 2'!$H$20:$H$131,BF9)+SUMIFS('PvP IB Cricket Season 2'!$I$20:$I$131,'PvP IB Cricket Season 2'!$G$20:$G$131,'PvP IB Cricket Season 2'!$AC$8,'PvP IB Cricket Season 2'!$L$20:$L$131,BF9))</f>
        <v>0</v>
      </c>
      <c r="BP9" s="88">
        <f t="array" ref="BP9">IF(BF9="","",SUMPRODUCT(('PvP IB Cricket Season 2'!$G$20:$G$131='PvP IB Cricket Season 2'!$AC$8)*('PvP IB Cricket Season 2'!$H$20:$H$131=BF9)*IF('PvP IB Cricket Season 2'!$N$20:$N$131&gt;='PvP IB Cricket Season 2'!$D$17,'PvP IB Cricket Season 2'!$D$9,'PvP IB Cricket Season 2'!$O$20:$O$131))+SUMPRODUCT(('PvP IB Cricket Season 2'!$G$20:$G$131='PvP IB Cricket Season 2'!$AC$8)*('PvP IB Cricket Season 2'!$L$20:$L$131=BF9)*IF('PvP IB Cricket Season 2'!$J$20:$J$131&gt;='PvP IB Cricket Season 2'!$D$17,'PvP IB Cricket Season 2'!$D$9,'PvP IB Cricket Season 2'!$K$20:$K$131)))</f>
        <v>0</v>
      </c>
      <c r="BQ9" s="89" t="str">
        <f t="shared" si="24"/>
        <v/>
      </c>
      <c r="BR9" s="90">
        <f t="shared" si="25"/>
        <v>6.9999999999999999E-4</v>
      </c>
      <c r="BS9" s="91">
        <f t="array" ref="BS9">IF(BF9="","",SUMPRODUCT(($BR$6:$BR$15&gt;BR9)*1)+1)</f>
        <v>8</v>
      </c>
      <c r="BU9" s="126" t="str">
        <f t="array" ref="BU9">IFERROR(INDEX(_xlfn._xlws.FILTER('PvP IB Cricket Season 2'!$C$20:$C$51,'PvP IB Cricket Season 2'!$D$20:$D$51='PvP IB Cricket Season 2'!$AC$9),4),"")</f>
        <v>Shubham Mahajan</v>
      </c>
      <c r="BV9" s="99">
        <f>IF(BU9="","",COUNTIFS('PvP IB Cricket Season 2'!$G$20:$G$131,'PvP IB Cricket Season 2'!$AC$9,'PvP IB Cricket Season 2'!$H$20:$H$131,BU9,'PvP IB Cricket Season 2'!$P$20:$P$131,"A")+COUNTIFS('PvP IB Cricket Season 2'!$G$20:$G$131,'PvP IB Cricket Season 2'!$AC$9,'PvP IB Cricket Season 2'!$L$20:$L$131,BU9,'PvP IB Cricket Season 2'!$P$20:$P$131,"B")+COUNTIFS('PvP IB Cricket Season 2'!$G$20:$G$131,'PvP IB Cricket Season 2'!$AC$9,'PvP IB Cricket Season 2'!$H$20:$H$131,BU9,'PvP IB Cricket Season 2'!$P$20:$P$131,"B")+COUNTIFS('PvP IB Cricket Season 2'!$G$20:$G$131,'PvP IB Cricket Season 2'!$AC$9,'PvP IB Cricket Season 2'!$L$20:$L$131,BU9,'PvP IB Cricket Season 2'!$P$20:$P$131,"A")+COUNTIFS('PvP IB Cricket Season 2'!$G$20:$G$131,'PvP IB Cricket Season 2'!$AC$9,'PvP IB Cricket Season 2'!$H$20:$H$131,BU9,'PvP IB Cricket Season 2'!$P$20:$P$131,"Tie")+COUNTIFS('PvP IB Cricket Season 2'!$G$20:$G$131,'PvP IB Cricket Season 2'!$AC$9,'PvP IB Cricket Season 2'!$L$20:$L$131,BU9,'PvP IB Cricket Season 2'!$P$20:$P$131,"Tie")+COUNTIFS('PvP IB Cricket Season 2'!$G$20:$G$131,'PvP IB Cricket Season 2'!$AC$9,'PvP IB Cricket Season 2'!$H$20:$H$131,BU9,'PvP IB Cricket Season 2'!$P$20:$P$131,"NR")+COUNTIFS('PvP IB Cricket Season 2'!$G$20:$G$131,'PvP IB Cricket Season 2'!$AC$9,'PvP IB Cricket Season 2'!$L$20:$L$131,BU9,'PvP IB Cricket Season 2'!$P$20:$P$131,"NR"))</f>
        <v>0</v>
      </c>
      <c r="BW9" s="99">
        <f>IF(BU9="","",COUNTIFS('PvP IB Cricket Season 2'!$G$20:$G$131,'PvP IB Cricket Season 2'!$AC$9,'PvP IB Cricket Season 2'!$H$20:$H$131,BU9,'PvP IB Cricket Season 2'!$P$20:$P$131,"A")+COUNTIFS('PvP IB Cricket Season 2'!$G$20:$G$131,'PvP IB Cricket Season 2'!$AC$9,'PvP IB Cricket Season 2'!$L$20:$L$131,BU9,'PvP IB Cricket Season 2'!$P$20:$P$131,"B"))</f>
        <v>0</v>
      </c>
      <c r="BX9" s="99">
        <f>IF(BU9="","",COUNTIFS('PvP IB Cricket Season 2'!$G$20:$G$131,'PvP IB Cricket Season 2'!$AC$9,'PvP IB Cricket Season 2'!$H$20:$H$131,BU9,'PvP IB Cricket Season 2'!$P$20:$P$131,"B")+COUNTIFS('PvP IB Cricket Season 2'!$G$20:$G$131,'PvP IB Cricket Season 2'!$AC$9,'PvP IB Cricket Season 2'!$L$20:$L$131,BU9,'PvP IB Cricket Season 2'!$P$20:$P$131,"A"))</f>
        <v>0</v>
      </c>
      <c r="BY9" s="99">
        <f>IF(BU9="","",COUNTIFS('PvP IB Cricket Season 2'!$G$20:$G$131,'PvP IB Cricket Season 2'!$AC$9,'PvP IB Cricket Season 2'!$H$20:$H$131,BU9,'PvP IB Cricket Season 2'!$P$20:$P$131,"Tie")+COUNTIFS('PvP IB Cricket Season 2'!$G$20:$G$131,'PvP IB Cricket Season 2'!$AC$9,'PvP IB Cricket Season 2'!$L$20:$L$131,BU9,'PvP IB Cricket Season 2'!$P$20:$P$131,"Tie"))</f>
        <v>0</v>
      </c>
      <c r="BZ9" s="99">
        <f>IF(BU9="","",COUNTIFS('PvP IB Cricket Season 2'!$G$20:$G$131,'PvP IB Cricket Season 2'!$AC$9,'PvP IB Cricket Season 2'!$H$20:$H$131,BU9,'PvP IB Cricket Season 2'!$P$20:$P$131,"NR")+COUNTIFS('PvP IB Cricket Season 2'!$G$20:$G$131,'PvP IB Cricket Season 2'!$AC$9,'PvP IB Cricket Season 2'!$L$20:$L$131,BU9,'PvP IB Cricket Season 2'!$P$20:$P$131,"NR"))</f>
        <v>0</v>
      </c>
      <c r="CA9" s="99">
        <f t="shared" si="26"/>
        <v>0</v>
      </c>
      <c r="CB9" s="99">
        <f>IF(BU9="","",SUMIFS('PvP IB Cricket Season 2'!$I$20:$I$131,'PvP IB Cricket Season 2'!$G$20:$G$131,'PvP IB Cricket Season 2'!$AC$9,'PvP IB Cricket Season 2'!$H$20:$H$131,BU9)+SUMIFS('PvP IB Cricket Season 2'!$M$20:$M$131,'PvP IB Cricket Season 2'!$G$20:$G$131,'PvP IB Cricket Season 2'!$AC$9,'PvP IB Cricket Season 2'!$L$20:$L$131,BU9))</f>
        <v>0</v>
      </c>
      <c r="CC9" s="99">
        <f t="array" ref="CC9">IF(BU9="","",SUMPRODUCT(('PvP IB Cricket Season 2'!$G$20:$G$131='PvP IB Cricket Season 2'!$AC$9)*('PvP IB Cricket Season 2'!$H$20:$H$131=BU9)*IF('PvP IB Cricket Season 2'!$J$20:$J$131&gt;='PvP IB Cricket Season 2'!$D$17,'PvP IB Cricket Season 2'!$D$9,'PvP IB Cricket Season 2'!$K$20:$K$131))+SUMPRODUCT(('PvP IB Cricket Season 2'!$G$20:$G$131='PvP IB Cricket Season 2'!$AC$9)*('PvP IB Cricket Season 2'!$L$20:$L$131=BU9)*IF('PvP IB Cricket Season 2'!$N$20:$N$131&gt;='PvP IB Cricket Season 2'!$D$17,'PvP IB Cricket Season 2'!$D$9,'PvP IB Cricket Season 2'!$O$20:$O$131)))</f>
        <v>0</v>
      </c>
      <c r="CD9" s="99">
        <f>IF(BU9="","",SUMIFS('PvP IB Cricket Season 2'!$M$20:$M$131,'PvP IB Cricket Season 2'!$G$20:$G$131,'PvP IB Cricket Season 2'!$AC$9,'PvP IB Cricket Season 2'!$H$20:$H$131,BU9)+SUMIFS('PvP IB Cricket Season 2'!$I$20:$I$131,'PvP IB Cricket Season 2'!$G$20:$G$131,'PvP IB Cricket Season 2'!$AC$9,'PvP IB Cricket Season 2'!$L$20:$L$131,BU9))</f>
        <v>0</v>
      </c>
      <c r="CE9" s="99">
        <f t="array" ref="CE9">IF(BU9="","",SUMPRODUCT(('PvP IB Cricket Season 2'!$G$20:$G$131='PvP IB Cricket Season 2'!$AC$9)*('PvP IB Cricket Season 2'!$H$20:$H$131=BU9)*IF('PvP IB Cricket Season 2'!$N$20:$N$131&gt;='PvP IB Cricket Season 2'!$D$17,'PvP IB Cricket Season 2'!$D$9,'PvP IB Cricket Season 2'!$O$20:$O$131))+SUMPRODUCT(('PvP IB Cricket Season 2'!$G$20:$G$131='PvP IB Cricket Season 2'!$AC$9)*('PvP IB Cricket Season 2'!$L$20:$L$131=BU9)*IF('PvP IB Cricket Season 2'!$J$20:$J$131&gt;='PvP IB Cricket Season 2'!$D$17,'PvP IB Cricket Season 2'!$D$9,'PvP IB Cricket Season 2'!$K$20:$K$131)))</f>
        <v>0</v>
      </c>
      <c r="CF9" s="100" t="str">
        <f t="shared" si="27"/>
        <v/>
      </c>
      <c r="CG9" s="101">
        <f t="shared" si="28"/>
        <v>6.9999999999999999E-4</v>
      </c>
      <c r="CH9" s="102">
        <f t="array" ref="CH9">IF(BU9="","",SUMPRODUCT(($CG$6:$CG$15&gt;CG9)*1)+1)</f>
        <v>9</v>
      </c>
      <c r="CJ9" s="129" t="str">
        <f t="array" ref="CJ9">IFERROR(INDEX(_xlfn._xlws.FILTER('PvP IB Cricket Season 2'!$C$20:$C$51,'PvP IB Cricket Season 2'!$D$20:$D$51='PvP IB Cricket Season 2'!$AC$10),4),"")</f>
        <v>Kunal</v>
      </c>
      <c r="CK9" s="111">
        <f>IF(CJ9="","",COUNTIFS('PvP IB Cricket Season 2'!$G$20:$G$131,'PvP IB Cricket Season 2'!$AC$10,'PvP IB Cricket Season 2'!$H$20:$H$131,CJ9,'PvP IB Cricket Season 2'!$P$20:$P$131,"A")+COUNTIFS('PvP IB Cricket Season 2'!$G$20:$G$131,'PvP IB Cricket Season 2'!$AC$10,'PvP IB Cricket Season 2'!$L$20:$L$131,CJ9,'PvP IB Cricket Season 2'!$P$20:$P$131,"B")+COUNTIFS('PvP IB Cricket Season 2'!$G$20:$G$131,'PvP IB Cricket Season 2'!$AC$10,'PvP IB Cricket Season 2'!$H$20:$H$131,CJ9,'PvP IB Cricket Season 2'!$P$20:$P$131,"B")+COUNTIFS('PvP IB Cricket Season 2'!$G$20:$G$131,'PvP IB Cricket Season 2'!$AC$10,'PvP IB Cricket Season 2'!$L$20:$L$131,CJ9,'PvP IB Cricket Season 2'!$P$20:$P$131,"A")+COUNTIFS('PvP IB Cricket Season 2'!$G$20:$G$131,'PvP IB Cricket Season 2'!$AC$10,'PvP IB Cricket Season 2'!$H$20:$H$131,CJ9,'PvP IB Cricket Season 2'!$P$20:$P$131,"Tie")+COUNTIFS('PvP IB Cricket Season 2'!$G$20:$G$131,'PvP IB Cricket Season 2'!$AC$10,'PvP IB Cricket Season 2'!$L$20:$L$131,CJ9,'PvP IB Cricket Season 2'!$P$20:$P$131,"Tie")+COUNTIFS('PvP IB Cricket Season 2'!$G$20:$G$131,'PvP IB Cricket Season 2'!$AC$10,'PvP IB Cricket Season 2'!$H$20:$H$131,CJ9,'PvP IB Cricket Season 2'!$P$20:$P$131,"NR")+COUNTIFS('PvP IB Cricket Season 2'!$G$20:$G$131,'PvP IB Cricket Season 2'!$AC$10,'PvP IB Cricket Season 2'!$L$20:$L$131,CJ9,'PvP IB Cricket Season 2'!$P$20:$P$131,"NR"))</f>
        <v>0</v>
      </c>
      <c r="CL9" s="111">
        <f>IF(CJ9="","",COUNTIFS('PvP IB Cricket Season 2'!$G$20:$G$131,'PvP IB Cricket Season 2'!$AC$10,'PvP IB Cricket Season 2'!$H$20:$H$131,CJ9,'PvP IB Cricket Season 2'!$P$20:$P$131,"A")+COUNTIFS('PvP IB Cricket Season 2'!$G$20:$G$131,'PvP IB Cricket Season 2'!$AC$10,'PvP IB Cricket Season 2'!$L$20:$L$131,CJ9,'PvP IB Cricket Season 2'!$P$20:$P$131,"B"))</f>
        <v>0</v>
      </c>
      <c r="CM9" s="111">
        <f>IF(CJ9="","",COUNTIFS('PvP IB Cricket Season 2'!$G$20:$G$131,'PvP IB Cricket Season 2'!$AC$10,'PvP IB Cricket Season 2'!$H$20:$H$131,CJ9,'PvP IB Cricket Season 2'!$P$20:$P$131,"B")+COUNTIFS('PvP IB Cricket Season 2'!$G$20:$G$131,'PvP IB Cricket Season 2'!$AC$10,'PvP IB Cricket Season 2'!$L$20:$L$131,CJ9,'PvP IB Cricket Season 2'!$P$20:$P$131,"A"))</f>
        <v>0</v>
      </c>
      <c r="CN9" s="111">
        <f>IF(CJ9="","",COUNTIFS('PvP IB Cricket Season 2'!$G$20:$G$131,'PvP IB Cricket Season 2'!$AC$10,'PvP IB Cricket Season 2'!$H$20:$H$131,CJ9,'PvP IB Cricket Season 2'!$P$20:$P$131,"Tie")+COUNTIFS('PvP IB Cricket Season 2'!$G$20:$G$131,'PvP IB Cricket Season 2'!$AC$10,'PvP IB Cricket Season 2'!$L$20:$L$131,CJ9,'PvP IB Cricket Season 2'!$P$20:$P$131,"Tie"))</f>
        <v>0</v>
      </c>
      <c r="CO9" s="111">
        <f>IF(CJ9="","",COUNTIFS('PvP IB Cricket Season 2'!$G$20:$G$131,'PvP IB Cricket Season 2'!$AC$10,'PvP IB Cricket Season 2'!$H$20:$H$131,CJ9,'PvP IB Cricket Season 2'!$P$20:$P$131,"NR")+COUNTIFS('PvP IB Cricket Season 2'!$G$20:$G$131,'PvP IB Cricket Season 2'!$AC$10,'PvP IB Cricket Season 2'!$L$20:$L$131,CJ9,'PvP IB Cricket Season 2'!$P$20:$P$131,"NR"))</f>
        <v>0</v>
      </c>
      <c r="CP9" s="111">
        <f t="shared" si="29"/>
        <v>0</v>
      </c>
      <c r="CQ9" s="111">
        <f>IF(CJ9="","",SUMIFS('PvP IB Cricket Season 2'!$I$20:$I$131,'PvP IB Cricket Season 2'!$G$20:$G$131,'PvP IB Cricket Season 2'!$AC$10,'PvP IB Cricket Season 2'!$H$20:$H$131,CJ9)+SUMIFS('PvP IB Cricket Season 2'!$M$20:$M$131,'PvP IB Cricket Season 2'!$G$20:$G$131,'PvP IB Cricket Season 2'!$AC$10,'PvP IB Cricket Season 2'!$L$20:$L$131,CJ9))</f>
        <v>0</v>
      </c>
      <c r="CR9" s="111">
        <f t="array" ref="CR9">IF(CJ9="","",SUMPRODUCT(('PvP IB Cricket Season 2'!$G$20:$G$131='PvP IB Cricket Season 2'!$AC$10)*('PvP IB Cricket Season 2'!$H$20:$H$131=CJ9)*IF('PvP IB Cricket Season 2'!$J$20:$J$131&gt;='PvP IB Cricket Season 2'!$D$17,'PvP IB Cricket Season 2'!$D$9,'PvP IB Cricket Season 2'!$K$20:$K$131))+SUMPRODUCT(('PvP IB Cricket Season 2'!$G$20:$G$131='PvP IB Cricket Season 2'!$AC$10)*('PvP IB Cricket Season 2'!$L$20:$L$131=CJ9)*IF('PvP IB Cricket Season 2'!$N$20:$N$131&gt;='PvP IB Cricket Season 2'!$D$17,'PvP IB Cricket Season 2'!$D$9,'PvP IB Cricket Season 2'!$O$20:$O$131)))</f>
        <v>0</v>
      </c>
      <c r="CS9" s="111">
        <f>IF(CJ9="","",SUMIFS('PvP IB Cricket Season 2'!$M$20:$M$131,'PvP IB Cricket Season 2'!$G$20:$G$131,'PvP IB Cricket Season 2'!$AC$10,'PvP IB Cricket Season 2'!$H$20:$H$131,CJ9)+SUMIFS('PvP IB Cricket Season 2'!$I$20:$I$131,'PvP IB Cricket Season 2'!$G$20:$G$131,'PvP IB Cricket Season 2'!$AC$10,'PvP IB Cricket Season 2'!$L$20:$L$131,CJ9))</f>
        <v>0</v>
      </c>
      <c r="CT9" s="111">
        <f t="array" ref="CT9">IF(CJ9="","",SUMPRODUCT(('PvP IB Cricket Season 2'!$G$20:$G$131='PvP IB Cricket Season 2'!$AC$10)*('PvP IB Cricket Season 2'!$H$20:$H$131=CJ9)*IF('PvP IB Cricket Season 2'!$N$20:$N$131&gt;='PvP IB Cricket Season 2'!$D$17,'PvP IB Cricket Season 2'!$D$9,'PvP IB Cricket Season 2'!$O$20:$O$131))+SUMPRODUCT(('PvP IB Cricket Season 2'!$G$20:$G$131='PvP IB Cricket Season 2'!$AC$10)*('PvP IB Cricket Season 2'!$L$20:$L$131=CJ9)*IF('PvP IB Cricket Season 2'!$J$20:$J$131&gt;='PvP IB Cricket Season 2'!$D$17,'PvP IB Cricket Season 2'!$D$9,'PvP IB Cricket Season 2'!$K$20:$K$131)))</f>
        <v>0</v>
      </c>
      <c r="CU9" s="112" t="str">
        <f t="shared" si="30"/>
        <v/>
      </c>
      <c r="CV9" s="113">
        <f t="shared" si="31"/>
        <v>6.9999999999999999E-4</v>
      </c>
      <c r="CW9" s="114">
        <f t="array" ref="CW9">IF(CJ9="","",SUMPRODUCT(($CV$6:$CV$15&gt;CV9)*1)+1)</f>
        <v>9</v>
      </c>
    </row>
    <row r="10" spans="1:101" ht="20.100000000000001" customHeight="1" x14ac:dyDescent="0.3">
      <c r="A10" s="38"/>
      <c r="B10" s="182">
        <v>5</v>
      </c>
      <c r="C10" s="183" t="str">
        <f t="shared" si="0"/>
        <v/>
      </c>
      <c r="D10" s="184" t="str">
        <f t="shared" si="1"/>
        <v/>
      </c>
      <c r="E10" s="184" t="str">
        <f t="shared" si="2"/>
        <v/>
      </c>
      <c r="F10" s="184" t="str">
        <f t="shared" si="3"/>
        <v/>
      </c>
      <c r="G10" s="184" t="str">
        <f t="shared" si="4"/>
        <v/>
      </c>
      <c r="H10" s="184" t="str">
        <f t="shared" si="5"/>
        <v/>
      </c>
      <c r="I10" s="185" t="str">
        <f t="shared" si="6"/>
        <v/>
      </c>
      <c r="J10" s="184" t="str">
        <f t="shared" si="7"/>
        <v/>
      </c>
      <c r="K10" s="186" t="str">
        <f t="array" ref="K10">IF(C10="","",SUMPRODUCT(('PvP IB Cricket Season 2'!$G$20:$G$131='PvP IB Cricket Season 2'!$AC$7)*('PvP IB Cricket Season 2'!$H$20:$H$131=C10)*('PvP IB Cricket Season 2'!$K$20:$K$131))+SUMPRODUCT(('PvP IB Cricket Season 2'!$G$20:$G$131='PvP IB Cricket Season 2'!$AC$7)*('PvP IB Cricket Season 2'!$L$20:$L$131=C10)*('PvP IB Cricket Season 2'!$O$20:$O$131)))</f>
        <v/>
      </c>
      <c r="L10" s="184" t="str">
        <f t="shared" si="8"/>
        <v/>
      </c>
      <c r="M10" s="186" t="str">
        <f t="array" ref="M10">IF(C10="","",SUMPRODUCT(('PvP IB Cricket Season 2'!$G$20:$G$131='PvP IB Cricket Season 2'!$AC$7)*('PvP IB Cricket Season 2'!$H$20:$H$131=C10)*('PvP IB Cricket Season 2'!$O$20:$O$131))+SUMPRODUCT(('PvP IB Cricket Season 2'!$G$20:$G$131='PvP IB Cricket Season 2'!$AC$7)*('PvP IB Cricket Season 2'!$L$20:$L$131=C10)*('PvP IB Cricket Season 2'!$K$20:$K$131)))</f>
        <v/>
      </c>
      <c r="N10" s="187" t="str">
        <f t="shared" si="9"/>
        <v/>
      </c>
      <c r="O10" s="38"/>
      <c r="P10" s="200">
        <v>5</v>
      </c>
      <c r="Q10" s="201" t="str">
        <f t="shared" si="10"/>
        <v>Vishal  Sahani</v>
      </c>
      <c r="R10" s="202">
        <f t="shared" si="11"/>
        <v>0</v>
      </c>
      <c r="S10" s="202">
        <f t="shared" si="12"/>
        <v>0</v>
      </c>
      <c r="T10" s="202">
        <f t="shared" si="13"/>
        <v>0</v>
      </c>
      <c r="U10" s="202">
        <f t="shared" si="14"/>
        <v>0</v>
      </c>
      <c r="V10" s="202">
        <f t="shared" si="15"/>
        <v>0</v>
      </c>
      <c r="W10" s="203">
        <f t="shared" si="16"/>
        <v>0</v>
      </c>
      <c r="X10" s="202">
        <f t="shared" si="17"/>
        <v>0</v>
      </c>
      <c r="Y10" s="204">
        <f t="array" ref="Y10">IF(Q10="","",SUMPRODUCT(('PvP IB Cricket Season 2'!$G$20:$G$131='PvP IB Cricket Season 2'!$AC$9)*('PvP IB Cricket Season 2'!$H$20:$H$131=Q10)*('PvP IB Cricket Season 2'!$K$20:$K$131))+SUMPRODUCT(('PvP IB Cricket Season 2'!$G$20:$G$131='PvP IB Cricket Season 2'!$AC$9)*('PvP IB Cricket Season 2'!$L$20:$L$131=Q10)*('PvP IB Cricket Season 2'!$O$20:$O$131)))</f>
        <v>0</v>
      </c>
      <c r="Z10" s="202">
        <f t="shared" si="18"/>
        <v>0</v>
      </c>
      <c r="AA10" s="204">
        <f t="array" ref="AA10">IF(Q10="","",SUMPRODUCT(('PvP IB Cricket Season 2'!$G$20:$G$131='PvP IB Cricket Season 2'!$AC$9)*('PvP IB Cricket Season 2'!$H$20:$H$131=Q10)*('PvP IB Cricket Season 2'!$O$20:$O$131))+SUMPRODUCT(('PvP IB Cricket Season 2'!$G$20:$G$131='PvP IB Cricket Season 2'!$AC$9)*('PvP IB Cricket Season 2'!$L$20:$L$131=Q10)*('PvP IB Cricket Season 2'!$K$20:$K$131)))</f>
        <v>0</v>
      </c>
      <c r="AB10" s="205" t="str">
        <f t="shared" si="19"/>
        <v/>
      </c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119" t="str">
        <f t="array" ref="AQ10">IFERROR(INDEX(_xlfn._xlws.FILTER('PvP IB Cricket Season 2'!$C$20:$C$51,'PvP IB Cricket Season 2'!$D$20:$D$51='PvP IB Cricket Season 2'!$AC$7),5),"")</f>
        <v/>
      </c>
      <c r="AR10" s="72" t="str">
        <f>IF(AQ10="","",COUNTIFS('PvP IB Cricket Season 2'!$G$20:$G$131,'PvP IB Cricket Season 2'!$AC$7,'PvP IB Cricket Season 2'!$H$20:$H$131,AQ10,'PvP IB Cricket Season 2'!$P$20:$P$131,"A")+COUNTIFS('PvP IB Cricket Season 2'!$G$20:$G$131,'PvP IB Cricket Season 2'!$AC$7,'PvP IB Cricket Season 2'!$L$20:$L$131,AQ10,'PvP IB Cricket Season 2'!$P$20:$P$131,"B")+COUNTIFS('PvP IB Cricket Season 2'!$G$20:$G$131,'PvP IB Cricket Season 2'!$AC$7,'PvP IB Cricket Season 2'!$H$20:$H$131,AQ10,'PvP IB Cricket Season 2'!$P$20:$P$131,"B")+COUNTIFS('PvP IB Cricket Season 2'!$G$20:$G$131,'PvP IB Cricket Season 2'!$AC$7,'PvP IB Cricket Season 2'!$L$20:$L$131,AQ10,'PvP IB Cricket Season 2'!$P$20:$P$131,"A")+COUNTIFS('PvP IB Cricket Season 2'!$G$20:$G$131,'PvP IB Cricket Season 2'!$AC$7,'PvP IB Cricket Season 2'!$H$20:$H$131,AQ10,'PvP IB Cricket Season 2'!$P$20:$P$131,"Tie")+COUNTIFS('PvP IB Cricket Season 2'!$G$20:$G$131,'PvP IB Cricket Season 2'!$AC$7,'PvP IB Cricket Season 2'!$L$20:$L$131,AQ10,'PvP IB Cricket Season 2'!$P$20:$P$131,"Tie")+COUNTIFS('PvP IB Cricket Season 2'!$G$20:$G$131,'PvP IB Cricket Season 2'!$AC$7,'PvP IB Cricket Season 2'!$H$20:$H$131,AQ10,'PvP IB Cricket Season 2'!$P$20:$P$131,"NR")+COUNTIFS('PvP IB Cricket Season 2'!$G$20:$G$131,'PvP IB Cricket Season 2'!$AC$7,'PvP IB Cricket Season 2'!$L$20:$L$131,AQ10,'PvP IB Cricket Season 2'!$P$20:$P$131,"NR"))</f>
        <v/>
      </c>
      <c r="AS10" s="72" t="str">
        <f>IF(AQ10="","",COUNTIFS('PvP IB Cricket Season 2'!$G$20:$G$131,'PvP IB Cricket Season 2'!$AC$7,'PvP IB Cricket Season 2'!$H$20:$H$131,AQ10,'PvP IB Cricket Season 2'!$P$20:$P$131,"A")+COUNTIFS('PvP IB Cricket Season 2'!$G$20:$G$131,'PvP IB Cricket Season 2'!$AC$7,'PvP IB Cricket Season 2'!$L$20:$L$131,AQ10,'PvP IB Cricket Season 2'!$P$20:$P$131,"B"))</f>
        <v/>
      </c>
      <c r="AT10" s="72" t="str">
        <f>IF(AQ10="","",COUNTIFS('PvP IB Cricket Season 2'!$G$20:$G$131,'PvP IB Cricket Season 2'!$AC$7,'PvP IB Cricket Season 2'!$H$20:$H$131,AQ10,'PvP IB Cricket Season 2'!$P$20:$P$131,"B")+COUNTIFS('PvP IB Cricket Season 2'!$G$20:$G$131,'PvP IB Cricket Season 2'!$AC$7,'PvP IB Cricket Season 2'!$L$20:$L$131,AQ10,'PvP IB Cricket Season 2'!$P$20:$P$131,"A"))</f>
        <v/>
      </c>
      <c r="AU10" s="72" t="str">
        <f>IF(AQ10="","",COUNTIFS('PvP IB Cricket Season 2'!$G$20:$G$131,'PvP IB Cricket Season 2'!$AC$7,'PvP IB Cricket Season 2'!$H$20:$H$131,AQ10,'PvP IB Cricket Season 2'!$P$20:$P$131,"Tie")+COUNTIFS('PvP IB Cricket Season 2'!$G$20:$G$131,'PvP IB Cricket Season 2'!$AC$7,'PvP IB Cricket Season 2'!$L$20:$L$131,AQ10,'PvP IB Cricket Season 2'!$P$20:$P$131,"Tie"))</f>
        <v/>
      </c>
      <c r="AV10" s="72" t="str">
        <f>IF(AQ10="","",COUNTIFS('PvP IB Cricket Season 2'!$G$20:$G$131,'PvP IB Cricket Season 2'!$AC$7,'PvP IB Cricket Season 2'!$H$20:$H$131,AQ10,'PvP IB Cricket Season 2'!$P$20:$P$131,"NR")+COUNTIFS('PvP IB Cricket Season 2'!$G$20:$G$131,'PvP IB Cricket Season 2'!$AC$7,'PvP IB Cricket Season 2'!$L$20:$L$131,AQ10,'PvP IB Cricket Season 2'!$P$20:$P$131,"NR"))</f>
        <v/>
      </c>
      <c r="AW10" s="72" t="str">
        <f t="shared" si="20"/>
        <v/>
      </c>
      <c r="AX10" s="72" t="str">
        <f>IF(AQ10="","",SUMIFS('PvP IB Cricket Season 2'!$I$20:$I$131,'PvP IB Cricket Season 2'!$G$20:$G$131,'PvP IB Cricket Season 2'!$AC$7,'PvP IB Cricket Season 2'!$H$20:$H$131,AQ10)+SUMIFS('PvP IB Cricket Season 2'!$M$20:$M$131,'PvP IB Cricket Season 2'!$G$20:$G$131,'PvP IB Cricket Season 2'!$AC$7,'PvP IB Cricket Season 2'!$L$20:$L$131,AQ10))</f>
        <v/>
      </c>
      <c r="AY10" s="72" t="str">
        <f t="array" ref="AY10">IF(AQ10="","",SUMPRODUCT(('PvP IB Cricket Season 2'!$G$20:$G$131='PvP IB Cricket Season 2'!$AC$7)*('PvP IB Cricket Season 2'!$H$20:$H$131=AQ10)*IF('PvP IB Cricket Season 2'!$J$20:$J$131&gt;='PvP IB Cricket Season 2'!$D$17,'PvP IB Cricket Season 2'!$D$9,'PvP IB Cricket Season 2'!$K$20:$K$131))+SUMPRODUCT(('PvP IB Cricket Season 2'!$G$20:$G$131='PvP IB Cricket Season 2'!$AC$7)*('PvP IB Cricket Season 2'!$L$20:$L$131=AQ10)*IF('PvP IB Cricket Season 2'!$N$20:$N$131&gt;='PvP IB Cricket Season 2'!$D$17,'PvP IB Cricket Season 2'!$D$9,'PvP IB Cricket Season 2'!$O$20:$O$131)))</f>
        <v/>
      </c>
      <c r="AZ10" s="72" t="str">
        <f>IF(AQ10="","",SUMIFS('PvP IB Cricket Season 2'!$M$20:$M$131,'PvP IB Cricket Season 2'!$G$20:$G$131,'PvP IB Cricket Season 2'!$AC$7,'PvP IB Cricket Season 2'!$H$20:$H$131,AQ10)+SUMIFS('PvP IB Cricket Season 2'!$I$20:$I$131,'PvP IB Cricket Season 2'!$G$20:$G$131,'PvP IB Cricket Season 2'!$AC$7,'PvP IB Cricket Season 2'!$L$20:$L$131,AQ10))</f>
        <v/>
      </c>
      <c r="BA10" s="72" t="str">
        <f t="array" ref="BA10">IF(AQ10="","",SUMPRODUCT(('PvP IB Cricket Season 2'!$G$20:$G$131='PvP IB Cricket Season 2'!$AC$7)*('PvP IB Cricket Season 2'!$H$20:$H$131=AQ10)*IF('PvP IB Cricket Season 2'!$N$20:$N$131&gt;='PvP IB Cricket Season 2'!$D$17,'PvP IB Cricket Season 2'!$D$9,'PvP IB Cricket Season 2'!$O$20:$O$131))+SUMPRODUCT(('PvP IB Cricket Season 2'!$G$20:$G$131='PvP IB Cricket Season 2'!$AC$7)*('PvP IB Cricket Season 2'!$L$20:$L$131=AQ10)*IF('PvP IB Cricket Season 2'!$J$20:$J$131&gt;='PvP IB Cricket Season 2'!$D$17,'PvP IB Cricket Season 2'!$D$9,'PvP IB Cricket Season 2'!$K$20:$K$131)))</f>
        <v/>
      </c>
      <c r="BB10" s="73" t="str">
        <f t="shared" si="21"/>
        <v/>
      </c>
      <c r="BC10" s="74" t="str">
        <f t="shared" si="22"/>
        <v/>
      </c>
      <c r="BD10" s="75" t="str">
        <f t="array" ref="BD10">IF(AQ10="","",SUMPRODUCT(($BC$6:$BC$15&gt;BC10)*1)+1)</f>
        <v/>
      </c>
      <c r="BF10" s="122" t="str">
        <f t="array" ref="BF10">IFERROR(INDEX(_xlfn._xlws.FILTER('PvP IB Cricket Season 2'!$C$20:$C$51,'PvP IB Cricket Season 2'!$D$20:$D$51='PvP IB Cricket Season 2'!$AC$8),5),"")</f>
        <v>Onkar</v>
      </c>
      <c r="BG10" s="84">
        <f>IF(BF10="","",COUNTIFS('PvP IB Cricket Season 2'!$G$20:$G$131,'PvP IB Cricket Season 2'!$AC$8,'PvP IB Cricket Season 2'!$H$20:$H$131,BF10,'PvP IB Cricket Season 2'!$P$20:$P$131,"A")+COUNTIFS('PvP IB Cricket Season 2'!$G$20:$G$131,'PvP IB Cricket Season 2'!$AC$8,'PvP IB Cricket Season 2'!$L$20:$L$131,BF10,'PvP IB Cricket Season 2'!$P$20:$P$131,"B")+COUNTIFS('PvP IB Cricket Season 2'!$G$20:$G$131,'PvP IB Cricket Season 2'!$AC$8,'PvP IB Cricket Season 2'!$H$20:$H$131,BF10,'PvP IB Cricket Season 2'!$P$20:$P$131,"B")+COUNTIFS('PvP IB Cricket Season 2'!$G$20:$G$131,'PvP IB Cricket Season 2'!$AC$8,'PvP IB Cricket Season 2'!$L$20:$L$131,BF10,'PvP IB Cricket Season 2'!$P$20:$P$131,"A")+COUNTIFS('PvP IB Cricket Season 2'!$G$20:$G$131,'PvP IB Cricket Season 2'!$AC$8,'PvP IB Cricket Season 2'!$H$20:$H$131,BF10,'PvP IB Cricket Season 2'!$P$20:$P$131,"Tie")+COUNTIFS('PvP IB Cricket Season 2'!$G$20:$G$131,'PvP IB Cricket Season 2'!$AC$8,'PvP IB Cricket Season 2'!$L$20:$L$131,BF10,'PvP IB Cricket Season 2'!$P$20:$P$131,"Tie")+COUNTIFS('PvP IB Cricket Season 2'!$G$20:$G$131,'PvP IB Cricket Season 2'!$AC$8,'PvP IB Cricket Season 2'!$H$20:$H$131,BF10,'PvP IB Cricket Season 2'!$P$20:$P$131,"NR")+COUNTIFS('PvP IB Cricket Season 2'!$G$20:$G$131,'PvP IB Cricket Season 2'!$AC$8,'PvP IB Cricket Season 2'!$L$20:$L$131,BF10,'PvP IB Cricket Season 2'!$P$20:$P$131,"NR"))</f>
        <v>0</v>
      </c>
      <c r="BH10" s="84">
        <f>IF(BF10="","",COUNTIFS('PvP IB Cricket Season 2'!$G$20:$G$131,'PvP IB Cricket Season 2'!$AC$8,'PvP IB Cricket Season 2'!$H$20:$H$131,BF10,'PvP IB Cricket Season 2'!$P$20:$P$131,"A")+COUNTIFS('PvP IB Cricket Season 2'!$G$20:$G$131,'PvP IB Cricket Season 2'!$AC$8,'PvP IB Cricket Season 2'!$L$20:$L$131,BF10,'PvP IB Cricket Season 2'!$P$20:$P$131,"B"))</f>
        <v>0</v>
      </c>
      <c r="BI10" s="84">
        <f>IF(BF10="","",COUNTIFS('PvP IB Cricket Season 2'!$G$20:$G$131,'PvP IB Cricket Season 2'!$AC$8,'PvP IB Cricket Season 2'!$H$20:$H$131,BF10,'PvP IB Cricket Season 2'!$P$20:$P$131,"B")+COUNTIFS('PvP IB Cricket Season 2'!$G$20:$G$131,'PvP IB Cricket Season 2'!$AC$8,'PvP IB Cricket Season 2'!$L$20:$L$131,BF10,'PvP IB Cricket Season 2'!$P$20:$P$131,"A"))</f>
        <v>0</v>
      </c>
      <c r="BJ10" s="84">
        <f>IF(BF10="","",COUNTIFS('PvP IB Cricket Season 2'!$G$20:$G$131,'PvP IB Cricket Season 2'!$AC$8,'PvP IB Cricket Season 2'!$H$20:$H$131,BF10,'PvP IB Cricket Season 2'!$P$20:$P$131,"Tie")+COUNTIFS('PvP IB Cricket Season 2'!$G$20:$G$131,'PvP IB Cricket Season 2'!$AC$8,'PvP IB Cricket Season 2'!$L$20:$L$131,BF10,'PvP IB Cricket Season 2'!$P$20:$P$131,"Tie"))</f>
        <v>0</v>
      </c>
      <c r="BK10" s="84">
        <f>IF(BF10="","",COUNTIFS('PvP IB Cricket Season 2'!$G$20:$G$131,'PvP IB Cricket Season 2'!$AC$8,'PvP IB Cricket Season 2'!$H$20:$H$131,BF10,'PvP IB Cricket Season 2'!$P$20:$P$131,"NR")+COUNTIFS('PvP IB Cricket Season 2'!$G$20:$G$131,'PvP IB Cricket Season 2'!$AC$8,'PvP IB Cricket Season 2'!$L$20:$L$131,BF10,'PvP IB Cricket Season 2'!$P$20:$P$131,"NR"))</f>
        <v>0</v>
      </c>
      <c r="BL10" s="84">
        <f t="shared" si="23"/>
        <v>0</v>
      </c>
      <c r="BM10" s="84">
        <f>IF(BF10="","",SUMIFS('PvP IB Cricket Season 2'!$I$20:$I$131,'PvP IB Cricket Season 2'!$G$20:$G$131,'PvP IB Cricket Season 2'!$AC$8,'PvP IB Cricket Season 2'!$H$20:$H$131,BF10)+SUMIFS('PvP IB Cricket Season 2'!$M$20:$M$131,'PvP IB Cricket Season 2'!$G$20:$G$131,'PvP IB Cricket Season 2'!$AC$8,'PvP IB Cricket Season 2'!$L$20:$L$131,BF10))</f>
        <v>0</v>
      </c>
      <c r="BN10" s="84">
        <f t="array" ref="BN10">IF(BF10="","",SUMPRODUCT(('PvP IB Cricket Season 2'!$G$20:$G$131='PvP IB Cricket Season 2'!$AC$8)*('PvP IB Cricket Season 2'!$H$20:$H$131=BF10)*IF('PvP IB Cricket Season 2'!$J$20:$J$131&gt;='PvP IB Cricket Season 2'!$D$17,'PvP IB Cricket Season 2'!$D$9,'PvP IB Cricket Season 2'!$K$20:$K$131))+SUMPRODUCT(('PvP IB Cricket Season 2'!$G$20:$G$131='PvP IB Cricket Season 2'!$AC$8)*('PvP IB Cricket Season 2'!$L$20:$L$131=BF10)*IF('PvP IB Cricket Season 2'!$N$20:$N$131&gt;='PvP IB Cricket Season 2'!$D$17,'PvP IB Cricket Season 2'!$D$9,'PvP IB Cricket Season 2'!$O$20:$O$131)))</f>
        <v>0</v>
      </c>
      <c r="BO10" s="84">
        <f>IF(BF10="","",SUMIFS('PvP IB Cricket Season 2'!$M$20:$M$131,'PvP IB Cricket Season 2'!$G$20:$G$131,'PvP IB Cricket Season 2'!$AC$8,'PvP IB Cricket Season 2'!$H$20:$H$131,BF10)+SUMIFS('PvP IB Cricket Season 2'!$I$20:$I$131,'PvP IB Cricket Season 2'!$G$20:$G$131,'PvP IB Cricket Season 2'!$AC$8,'PvP IB Cricket Season 2'!$L$20:$L$131,BF10))</f>
        <v>0</v>
      </c>
      <c r="BP10" s="84">
        <f t="array" ref="BP10">IF(BF10="","",SUMPRODUCT(('PvP IB Cricket Season 2'!$G$20:$G$131='PvP IB Cricket Season 2'!$AC$8)*('PvP IB Cricket Season 2'!$H$20:$H$131=BF10)*IF('PvP IB Cricket Season 2'!$N$20:$N$131&gt;='PvP IB Cricket Season 2'!$D$17,'PvP IB Cricket Season 2'!$D$9,'PvP IB Cricket Season 2'!$O$20:$O$131))+SUMPRODUCT(('PvP IB Cricket Season 2'!$G$20:$G$131='PvP IB Cricket Season 2'!$AC$8)*('PvP IB Cricket Season 2'!$L$20:$L$131=BF10)*IF('PvP IB Cricket Season 2'!$J$20:$J$131&gt;='PvP IB Cricket Season 2'!$D$17,'PvP IB Cricket Season 2'!$D$9,'PvP IB Cricket Season 2'!$K$20:$K$131)))</f>
        <v>0</v>
      </c>
      <c r="BQ10" s="85" t="str">
        <f t="shared" si="24"/>
        <v/>
      </c>
      <c r="BR10" s="86">
        <f t="shared" si="25"/>
        <v>6.0000000000000006E-4</v>
      </c>
      <c r="BS10" s="87">
        <f t="array" ref="BS10">IF(BF10="","",SUMPRODUCT(($BR$6:$BR$15&gt;BR10)*1)+1)</f>
        <v>9</v>
      </c>
      <c r="BU10" s="125" t="str">
        <f t="array" ref="BU10">IFERROR(INDEX(_xlfn._xlws.FILTER('PvP IB Cricket Season 2'!$C$20:$C$51,'PvP IB Cricket Season 2'!$D$20:$D$51='PvP IB Cricket Season 2'!$AC$9),5),"")</f>
        <v>Vishal  Sahani</v>
      </c>
      <c r="BV10" s="51">
        <f>IF(BU10="","",COUNTIFS('PvP IB Cricket Season 2'!$G$20:$G$131,'PvP IB Cricket Season 2'!$AC$9,'PvP IB Cricket Season 2'!$H$20:$H$131,BU10,'PvP IB Cricket Season 2'!$P$20:$P$131,"A")+COUNTIFS('PvP IB Cricket Season 2'!$G$20:$G$131,'PvP IB Cricket Season 2'!$AC$9,'PvP IB Cricket Season 2'!$L$20:$L$131,BU10,'PvP IB Cricket Season 2'!$P$20:$P$131,"B")+COUNTIFS('PvP IB Cricket Season 2'!$G$20:$G$131,'PvP IB Cricket Season 2'!$AC$9,'PvP IB Cricket Season 2'!$H$20:$H$131,BU10,'PvP IB Cricket Season 2'!$P$20:$P$131,"B")+COUNTIFS('PvP IB Cricket Season 2'!$G$20:$G$131,'PvP IB Cricket Season 2'!$AC$9,'PvP IB Cricket Season 2'!$L$20:$L$131,BU10,'PvP IB Cricket Season 2'!$P$20:$P$131,"A")+COUNTIFS('PvP IB Cricket Season 2'!$G$20:$G$131,'PvP IB Cricket Season 2'!$AC$9,'PvP IB Cricket Season 2'!$H$20:$H$131,BU10,'PvP IB Cricket Season 2'!$P$20:$P$131,"Tie")+COUNTIFS('PvP IB Cricket Season 2'!$G$20:$G$131,'PvP IB Cricket Season 2'!$AC$9,'PvP IB Cricket Season 2'!$L$20:$L$131,BU10,'PvP IB Cricket Season 2'!$P$20:$P$131,"Tie")+COUNTIFS('PvP IB Cricket Season 2'!$G$20:$G$131,'PvP IB Cricket Season 2'!$AC$9,'PvP IB Cricket Season 2'!$H$20:$H$131,BU10,'PvP IB Cricket Season 2'!$P$20:$P$131,"NR")+COUNTIFS('PvP IB Cricket Season 2'!$G$20:$G$131,'PvP IB Cricket Season 2'!$AC$9,'PvP IB Cricket Season 2'!$L$20:$L$131,BU10,'PvP IB Cricket Season 2'!$P$20:$P$131,"NR"))</f>
        <v>0</v>
      </c>
      <c r="BW10" s="51">
        <f>IF(BU10="","",COUNTIFS('PvP IB Cricket Season 2'!$G$20:$G$131,'PvP IB Cricket Season 2'!$AC$9,'PvP IB Cricket Season 2'!$H$20:$H$131,BU10,'PvP IB Cricket Season 2'!$P$20:$P$131,"A")+COUNTIFS('PvP IB Cricket Season 2'!$G$20:$G$131,'PvP IB Cricket Season 2'!$AC$9,'PvP IB Cricket Season 2'!$L$20:$L$131,BU10,'PvP IB Cricket Season 2'!$P$20:$P$131,"B"))</f>
        <v>0</v>
      </c>
      <c r="BX10" s="51">
        <f>IF(BU10="","",COUNTIFS('PvP IB Cricket Season 2'!$G$20:$G$131,'PvP IB Cricket Season 2'!$AC$9,'PvP IB Cricket Season 2'!$H$20:$H$131,BU10,'PvP IB Cricket Season 2'!$P$20:$P$131,"B")+COUNTIFS('PvP IB Cricket Season 2'!$G$20:$G$131,'PvP IB Cricket Season 2'!$AC$9,'PvP IB Cricket Season 2'!$L$20:$L$131,BU10,'PvP IB Cricket Season 2'!$P$20:$P$131,"A"))</f>
        <v>0</v>
      </c>
      <c r="BY10" s="51">
        <f>IF(BU10="","",COUNTIFS('PvP IB Cricket Season 2'!$G$20:$G$131,'PvP IB Cricket Season 2'!$AC$9,'PvP IB Cricket Season 2'!$H$20:$H$131,BU10,'PvP IB Cricket Season 2'!$P$20:$P$131,"Tie")+COUNTIFS('PvP IB Cricket Season 2'!$G$20:$G$131,'PvP IB Cricket Season 2'!$AC$9,'PvP IB Cricket Season 2'!$L$20:$L$131,BU10,'PvP IB Cricket Season 2'!$P$20:$P$131,"Tie"))</f>
        <v>0</v>
      </c>
      <c r="BZ10" s="51">
        <f>IF(BU10="","",COUNTIFS('PvP IB Cricket Season 2'!$G$20:$G$131,'PvP IB Cricket Season 2'!$AC$9,'PvP IB Cricket Season 2'!$H$20:$H$131,BU10,'PvP IB Cricket Season 2'!$P$20:$P$131,"NR")+COUNTIFS('PvP IB Cricket Season 2'!$G$20:$G$131,'PvP IB Cricket Season 2'!$AC$9,'PvP IB Cricket Season 2'!$L$20:$L$131,BU10,'PvP IB Cricket Season 2'!$P$20:$P$131,"NR"))</f>
        <v>0</v>
      </c>
      <c r="CA10" s="51">
        <f t="shared" si="26"/>
        <v>0</v>
      </c>
      <c r="CB10" s="51">
        <f>IF(BU10="","",SUMIFS('PvP IB Cricket Season 2'!$I$20:$I$131,'PvP IB Cricket Season 2'!$G$20:$G$131,'PvP IB Cricket Season 2'!$AC$9,'PvP IB Cricket Season 2'!$H$20:$H$131,BU10)+SUMIFS('PvP IB Cricket Season 2'!$M$20:$M$131,'PvP IB Cricket Season 2'!$G$20:$G$131,'PvP IB Cricket Season 2'!$AC$9,'PvP IB Cricket Season 2'!$L$20:$L$131,BU10))</f>
        <v>0</v>
      </c>
      <c r="CC10" s="51">
        <f t="array" ref="CC10">IF(BU10="","",SUMPRODUCT(('PvP IB Cricket Season 2'!$G$20:$G$131='PvP IB Cricket Season 2'!$AC$9)*('PvP IB Cricket Season 2'!$H$20:$H$131=BU10)*IF('PvP IB Cricket Season 2'!$J$20:$J$131&gt;='PvP IB Cricket Season 2'!$D$17,'PvP IB Cricket Season 2'!$D$9,'PvP IB Cricket Season 2'!$K$20:$K$131))+SUMPRODUCT(('PvP IB Cricket Season 2'!$G$20:$G$131='PvP IB Cricket Season 2'!$AC$9)*('PvP IB Cricket Season 2'!$L$20:$L$131=BU10)*IF('PvP IB Cricket Season 2'!$N$20:$N$131&gt;='PvP IB Cricket Season 2'!$D$17,'PvP IB Cricket Season 2'!$D$9,'PvP IB Cricket Season 2'!$O$20:$O$131)))</f>
        <v>0</v>
      </c>
      <c r="CD10" s="51">
        <f>IF(BU10="","",SUMIFS('PvP IB Cricket Season 2'!$M$20:$M$131,'PvP IB Cricket Season 2'!$G$20:$G$131,'PvP IB Cricket Season 2'!$AC$9,'PvP IB Cricket Season 2'!$H$20:$H$131,BU10)+SUMIFS('PvP IB Cricket Season 2'!$I$20:$I$131,'PvP IB Cricket Season 2'!$G$20:$G$131,'PvP IB Cricket Season 2'!$AC$9,'PvP IB Cricket Season 2'!$L$20:$L$131,BU10))</f>
        <v>0</v>
      </c>
      <c r="CE10" s="51">
        <f t="array" ref="CE10">IF(BU10="","",SUMPRODUCT(('PvP IB Cricket Season 2'!$G$20:$G$131='PvP IB Cricket Season 2'!$AC$9)*('PvP IB Cricket Season 2'!$H$20:$H$131=BU10)*IF('PvP IB Cricket Season 2'!$N$20:$N$131&gt;='PvP IB Cricket Season 2'!$D$17,'PvP IB Cricket Season 2'!$D$9,'PvP IB Cricket Season 2'!$O$20:$O$131))+SUMPRODUCT(('PvP IB Cricket Season 2'!$G$20:$G$131='PvP IB Cricket Season 2'!$AC$9)*('PvP IB Cricket Season 2'!$L$20:$L$131=BU10)*IF('PvP IB Cricket Season 2'!$J$20:$J$131&gt;='PvP IB Cricket Season 2'!$D$17,'PvP IB Cricket Season 2'!$D$9,'PvP IB Cricket Season 2'!$K$20:$K$131)))</f>
        <v>0</v>
      </c>
      <c r="CF10" s="96" t="str">
        <f t="shared" si="27"/>
        <v/>
      </c>
      <c r="CG10" s="97">
        <f t="shared" si="28"/>
        <v>6.0000000000000006E-4</v>
      </c>
      <c r="CH10" s="98">
        <f t="array" ref="CH10">IF(BU10="","",SUMPRODUCT(($CG$6:$CG$15&gt;CG10)*1)+1)</f>
        <v>10</v>
      </c>
      <c r="CJ10" s="128" t="str">
        <f t="array" ref="CJ10">IFERROR(INDEX(_xlfn._xlws.FILTER('PvP IB Cricket Season 2'!$C$20:$C$51,'PvP IB Cricket Season 2'!$D$20:$D$51='PvP IB Cricket Season 2'!$AC$10),5),"")</f>
        <v>Zubair</v>
      </c>
      <c r="CK10" s="107">
        <f>IF(CJ10="","",COUNTIFS('PvP IB Cricket Season 2'!$G$20:$G$131,'PvP IB Cricket Season 2'!$AC$10,'PvP IB Cricket Season 2'!$H$20:$H$131,CJ10,'PvP IB Cricket Season 2'!$P$20:$P$131,"A")+COUNTIFS('PvP IB Cricket Season 2'!$G$20:$G$131,'PvP IB Cricket Season 2'!$AC$10,'PvP IB Cricket Season 2'!$L$20:$L$131,CJ10,'PvP IB Cricket Season 2'!$P$20:$P$131,"B")+COUNTIFS('PvP IB Cricket Season 2'!$G$20:$G$131,'PvP IB Cricket Season 2'!$AC$10,'PvP IB Cricket Season 2'!$H$20:$H$131,CJ10,'PvP IB Cricket Season 2'!$P$20:$P$131,"B")+COUNTIFS('PvP IB Cricket Season 2'!$G$20:$G$131,'PvP IB Cricket Season 2'!$AC$10,'PvP IB Cricket Season 2'!$L$20:$L$131,CJ10,'PvP IB Cricket Season 2'!$P$20:$P$131,"A")+COUNTIFS('PvP IB Cricket Season 2'!$G$20:$G$131,'PvP IB Cricket Season 2'!$AC$10,'PvP IB Cricket Season 2'!$H$20:$H$131,CJ10,'PvP IB Cricket Season 2'!$P$20:$P$131,"Tie")+COUNTIFS('PvP IB Cricket Season 2'!$G$20:$G$131,'PvP IB Cricket Season 2'!$AC$10,'PvP IB Cricket Season 2'!$L$20:$L$131,CJ10,'PvP IB Cricket Season 2'!$P$20:$P$131,"Tie")+COUNTIFS('PvP IB Cricket Season 2'!$G$20:$G$131,'PvP IB Cricket Season 2'!$AC$10,'PvP IB Cricket Season 2'!$H$20:$H$131,CJ10,'PvP IB Cricket Season 2'!$P$20:$P$131,"NR")+COUNTIFS('PvP IB Cricket Season 2'!$G$20:$G$131,'PvP IB Cricket Season 2'!$AC$10,'PvP IB Cricket Season 2'!$L$20:$L$131,CJ10,'PvP IB Cricket Season 2'!$P$20:$P$131,"NR"))</f>
        <v>0</v>
      </c>
      <c r="CL10" s="107">
        <f>IF(CJ10="","",COUNTIFS('PvP IB Cricket Season 2'!$G$20:$G$131,'PvP IB Cricket Season 2'!$AC$10,'PvP IB Cricket Season 2'!$H$20:$H$131,CJ10,'PvP IB Cricket Season 2'!$P$20:$P$131,"A")+COUNTIFS('PvP IB Cricket Season 2'!$G$20:$G$131,'PvP IB Cricket Season 2'!$AC$10,'PvP IB Cricket Season 2'!$L$20:$L$131,CJ10,'PvP IB Cricket Season 2'!$P$20:$P$131,"B"))</f>
        <v>0</v>
      </c>
      <c r="CM10" s="107">
        <f>IF(CJ10="","",COUNTIFS('PvP IB Cricket Season 2'!$G$20:$G$131,'PvP IB Cricket Season 2'!$AC$10,'PvP IB Cricket Season 2'!$H$20:$H$131,CJ10,'PvP IB Cricket Season 2'!$P$20:$P$131,"B")+COUNTIFS('PvP IB Cricket Season 2'!$G$20:$G$131,'PvP IB Cricket Season 2'!$AC$10,'PvP IB Cricket Season 2'!$L$20:$L$131,CJ10,'PvP IB Cricket Season 2'!$P$20:$P$131,"A"))</f>
        <v>0</v>
      </c>
      <c r="CN10" s="107">
        <f>IF(CJ10="","",COUNTIFS('PvP IB Cricket Season 2'!$G$20:$G$131,'PvP IB Cricket Season 2'!$AC$10,'PvP IB Cricket Season 2'!$H$20:$H$131,CJ10,'PvP IB Cricket Season 2'!$P$20:$P$131,"Tie")+COUNTIFS('PvP IB Cricket Season 2'!$G$20:$G$131,'PvP IB Cricket Season 2'!$AC$10,'PvP IB Cricket Season 2'!$L$20:$L$131,CJ10,'PvP IB Cricket Season 2'!$P$20:$P$131,"Tie"))</f>
        <v>0</v>
      </c>
      <c r="CO10" s="107">
        <f>IF(CJ10="","",COUNTIFS('PvP IB Cricket Season 2'!$G$20:$G$131,'PvP IB Cricket Season 2'!$AC$10,'PvP IB Cricket Season 2'!$H$20:$H$131,CJ10,'PvP IB Cricket Season 2'!$P$20:$P$131,"NR")+COUNTIFS('PvP IB Cricket Season 2'!$G$20:$G$131,'PvP IB Cricket Season 2'!$AC$10,'PvP IB Cricket Season 2'!$L$20:$L$131,CJ10,'PvP IB Cricket Season 2'!$P$20:$P$131,"NR"))</f>
        <v>0</v>
      </c>
      <c r="CP10" s="107">
        <f t="shared" si="29"/>
        <v>0</v>
      </c>
      <c r="CQ10" s="107">
        <f>IF(CJ10="","",SUMIFS('PvP IB Cricket Season 2'!$I$20:$I$131,'PvP IB Cricket Season 2'!$G$20:$G$131,'PvP IB Cricket Season 2'!$AC$10,'PvP IB Cricket Season 2'!$H$20:$H$131,CJ10)+SUMIFS('PvP IB Cricket Season 2'!$M$20:$M$131,'PvP IB Cricket Season 2'!$G$20:$G$131,'PvP IB Cricket Season 2'!$AC$10,'PvP IB Cricket Season 2'!$L$20:$L$131,CJ10))</f>
        <v>0</v>
      </c>
      <c r="CR10" s="107">
        <f t="array" ref="CR10">IF(CJ10="","",SUMPRODUCT(('PvP IB Cricket Season 2'!$G$20:$G$131='PvP IB Cricket Season 2'!$AC$10)*('PvP IB Cricket Season 2'!$H$20:$H$131=CJ10)*IF('PvP IB Cricket Season 2'!$J$20:$J$131&gt;='PvP IB Cricket Season 2'!$D$17,'PvP IB Cricket Season 2'!$D$9,'PvP IB Cricket Season 2'!$K$20:$K$131))+SUMPRODUCT(('PvP IB Cricket Season 2'!$G$20:$G$131='PvP IB Cricket Season 2'!$AC$10)*('PvP IB Cricket Season 2'!$L$20:$L$131=CJ10)*IF('PvP IB Cricket Season 2'!$N$20:$N$131&gt;='PvP IB Cricket Season 2'!$D$17,'PvP IB Cricket Season 2'!$D$9,'PvP IB Cricket Season 2'!$O$20:$O$131)))</f>
        <v>0</v>
      </c>
      <c r="CS10" s="107">
        <f>IF(CJ10="","",SUMIFS('PvP IB Cricket Season 2'!$M$20:$M$131,'PvP IB Cricket Season 2'!$G$20:$G$131,'PvP IB Cricket Season 2'!$AC$10,'PvP IB Cricket Season 2'!$H$20:$H$131,CJ10)+SUMIFS('PvP IB Cricket Season 2'!$I$20:$I$131,'PvP IB Cricket Season 2'!$G$20:$G$131,'PvP IB Cricket Season 2'!$AC$10,'PvP IB Cricket Season 2'!$L$20:$L$131,CJ10))</f>
        <v>0</v>
      </c>
      <c r="CT10" s="107">
        <f t="array" ref="CT10">IF(CJ10="","",SUMPRODUCT(('PvP IB Cricket Season 2'!$G$20:$G$131='PvP IB Cricket Season 2'!$AC$10)*('PvP IB Cricket Season 2'!$H$20:$H$131=CJ10)*IF('PvP IB Cricket Season 2'!$N$20:$N$131&gt;='PvP IB Cricket Season 2'!$D$17,'PvP IB Cricket Season 2'!$D$9,'PvP IB Cricket Season 2'!$O$20:$O$131))+SUMPRODUCT(('PvP IB Cricket Season 2'!$G$20:$G$131='PvP IB Cricket Season 2'!$AC$10)*('PvP IB Cricket Season 2'!$L$20:$L$131=CJ10)*IF('PvP IB Cricket Season 2'!$J$20:$J$131&gt;='PvP IB Cricket Season 2'!$D$17,'PvP IB Cricket Season 2'!$D$9,'PvP IB Cricket Season 2'!$K$20:$K$131)))</f>
        <v>0</v>
      </c>
      <c r="CU10" s="108" t="str">
        <f t="shared" si="30"/>
        <v/>
      </c>
      <c r="CV10" s="109">
        <f t="shared" si="31"/>
        <v>6.0000000000000006E-4</v>
      </c>
      <c r="CW10" s="110">
        <f t="array" ref="CW10">IF(CJ10="","",SUMPRODUCT(($CV$6:$CV$15&gt;CV10)*1)+1)</f>
        <v>10</v>
      </c>
    </row>
    <row r="11" spans="1:101" ht="20.100000000000001" customHeight="1" x14ac:dyDescent="0.3">
      <c r="A11" s="38"/>
      <c r="B11" s="182">
        <v>6</v>
      </c>
      <c r="C11" s="183" t="str">
        <f t="shared" si="0"/>
        <v/>
      </c>
      <c r="D11" s="184" t="str">
        <f t="shared" si="1"/>
        <v/>
      </c>
      <c r="E11" s="184" t="str">
        <f t="shared" si="2"/>
        <v/>
      </c>
      <c r="F11" s="184" t="str">
        <f t="shared" si="3"/>
        <v/>
      </c>
      <c r="G11" s="184" t="str">
        <f t="shared" si="4"/>
        <v/>
      </c>
      <c r="H11" s="184" t="str">
        <f t="shared" si="5"/>
        <v/>
      </c>
      <c r="I11" s="185" t="str">
        <f t="shared" si="6"/>
        <v/>
      </c>
      <c r="J11" s="184" t="str">
        <f t="shared" si="7"/>
        <v/>
      </c>
      <c r="K11" s="186" t="str">
        <f t="array" ref="K11">IF(C11="","",SUMPRODUCT(('PvP IB Cricket Season 2'!$G$20:$G$131='PvP IB Cricket Season 2'!$AC$7)*('PvP IB Cricket Season 2'!$H$20:$H$131=C11)*('PvP IB Cricket Season 2'!$K$20:$K$131))+SUMPRODUCT(('PvP IB Cricket Season 2'!$G$20:$G$131='PvP IB Cricket Season 2'!$AC$7)*('PvP IB Cricket Season 2'!$L$20:$L$131=C11)*('PvP IB Cricket Season 2'!$O$20:$O$131)))</f>
        <v/>
      </c>
      <c r="L11" s="184" t="str">
        <f t="shared" si="8"/>
        <v/>
      </c>
      <c r="M11" s="186" t="str">
        <f t="array" ref="M11">IF(C11="","",SUMPRODUCT(('PvP IB Cricket Season 2'!$G$20:$G$131='PvP IB Cricket Season 2'!$AC$7)*('PvP IB Cricket Season 2'!$H$20:$H$131=C11)*('PvP IB Cricket Season 2'!$O$20:$O$131))+SUMPRODUCT(('PvP IB Cricket Season 2'!$G$20:$G$131='PvP IB Cricket Season 2'!$AC$7)*('PvP IB Cricket Season 2'!$L$20:$L$131=C11)*('PvP IB Cricket Season 2'!$K$20:$K$131)))</f>
        <v/>
      </c>
      <c r="N11" s="187" t="str">
        <f t="shared" si="9"/>
        <v/>
      </c>
      <c r="O11" s="38"/>
      <c r="P11" s="200">
        <v>6</v>
      </c>
      <c r="Q11" s="201" t="str">
        <f t="shared" si="10"/>
        <v/>
      </c>
      <c r="R11" s="202" t="str">
        <f t="shared" si="11"/>
        <v/>
      </c>
      <c r="S11" s="202" t="str">
        <f t="shared" si="12"/>
        <v/>
      </c>
      <c r="T11" s="202" t="str">
        <f t="shared" si="13"/>
        <v/>
      </c>
      <c r="U11" s="202" t="str">
        <f t="shared" si="14"/>
        <v/>
      </c>
      <c r="V11" s="202" t="str">
        <f t="shared" si="15"/>
        <v/>
      </c>
      <c r="W11" s="203" t="str">
        <f t="shared" si="16"/>
        <v/>
      </c>
      <c r="X11" s="202" t="str">
        <f t="shared" si="17"/>
        <v/>
      </c>
      <c r="Y11" s="204" t="str">
        <f t="array" ref="Y11">IF(Q11="","",SUMPRODUCT(('PvP IB Cricket Season 2'!$G$20:$G$131='PvP IB Cricket Season 2'!$AC$9)*('PvP IB Cricket Season 2'!$H$20:$H$131=Q11)*('PvP IB Cricket Season 2'!$K$20:$K$131))+SUMPRODUCT(('PvP IB Cricket Season 2'!$G$20:$G$131='PvP IB Cricket Season 2'!$AC$9)*('PvP IB Cricket Season 2'!$L$20:$L$131=Q11)*('PvP IB Cricket Season 2'!$O$20:$O$131)))</f>
        <v/>
      </c>
      <c r="Z11" s="202" t="str">
        <f t="shared" si="18"/>
        <v/>
      </c>
      <c r="AA11" s="204" t="str">
        <f t="array" ref="AA11">IF(Q11="","",SUMPRODUCT(('PvP IB Cricket Season 2'!$G$20:$G$131='PvP IB Cricket Season 2'!$AC$9)*('PvP IB Cricket Season 2'!$H$20:$H$131=Q11)*('PvP IB Cricket Season 2'!$O$20:$O$131))+SUMPRODUCT(('PvP IB Cricket Season 2'!$G$20:$G$131='PvP IB Cricket Season 2'!$AC$9)*('PvP IB Cricket Season 2'!$L$20:$L$131=Q11)*('PvP IB Cricket Season 2'!$K$20:$K$131)))</f>
        <v/>
      </c>
      <c r="AB11" s="205" t="str">
        <f t="shared" si="19"/>
        <v/>
      </c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120" t="str">
        <f t="array" ref="AQ11">IFERROR(INDEX(_xlfn._xlws.FILTER('PvP IB Cricket Season 2'!$C$20:$C$51,'PvP IB Cricket Season 2'!$D$20:$D$51='PvP IB Cricket Season 2'!$AC$7),6),"")</f>
        <v/>
      </c>
      <c r="AR11" s="76" t="str">
        <f>IF(AQ11="","",COUNTIFS('PvP IB Cricket Season 2'!$G$20:$G$131,'PvP IB Cricket Season 2'!$AC$7,'PvP IB Cricket Season 2'!$H$20:$H$131,AQ11,'PvP IB Cricket Season 2'!$P$20:$P$131,"A")+COUNTIFS('PvP IB Cricket Season 2'!$G$20:$G$131,'PvP IB Cricket Season 2'!$AC$7,'PvP IB Cricket Season 2'!$L$20:$L$131,AQ11,'PvP IB Cricket Season 2'!$P$20:$P$131,"B")+COUNTIFS('PvP IB Cricket Season 2'!$G$20:$G$131,'PvP IB Cricket Season 2'!$AC$7,'PvP IB Cricket Season 2'!$H$20:$H$131,AQ11,'PvP IB Cricket Season 2'!$P$20:$P$131,"B")+COUNTIFS('PvP IB Cricket Season 2'!$G$20:$G$131,'PvP IB Cricket Season 2'!$AC$7,'PvP IB Cricket Season 2'!$L$20:$L$131,AQ11,'PvP IB Cricket Season 2'!$P$20:$P$131,"A")+COUNTIFS('PvP IB Cricket Season 2'!$G$20:$G$131,'PvP IB Cricket Season 2'!$AC$7,'PvP IB Cricket Season 2'!$H$20:$H$131,AQ11,'PvP IB Cricket Season 2'!$P$20:$P$131,"Tie")+COUNTIFS('PvP IB Cricket Season 2'!$G$20:$G$131,'PvP IB Cricket Season 2'!$AC$7,'PvP IB Cricket Season 2'!$L$20:$L$131,AQ11,'PvP IB Cricket Season 2'!$P$20:$P$131,"Tie")+COUNTIFS('PvP IB Cricket Season 2'!$G$20:$G$131,'PvP IB Cricket Season 2'!$AC$7,'PvP IB Cricket Season 2'!$H$20:$H$131,AQ11,'PvP IB Cricket Season 2'!$P$20:$P$131,"NR")+COUNTIFS('PvP IB Cricket Season 2'!$G$20:$G$131,'PvP IB Cricket Season 2'!$AC$7,'PvP IB Cricket Season 2'!$L$20:$L$131,AQ11,'PvP IB Cricket Season 2'!$P$20:$P$131,"NR"))</f>
        <v/>
      </c>
      <c r="AS11" s="76" t="str">
        <f>IF(AQ11="","",COUNTIFS('PvP IB Cricket Season 2'!$G$20:$G$131,'PvP IB Cricket Season 2'!$AC$7,'PvP IB Cricket Season 2'!$H$20:$H$131,AQ11,'PvP IB Cricket Season 2'!$P$20:$P$131,"A")+COUNTIFS('PvP IB Cricket Season 2'!$G$20:$G$131,'PvP IB Cricket Season 2'!$AC$7,'PvP IB Cricket Season 2'!$L$20:$L$131,AQ11,'PvP IB Cricket Season 2'!$P$20:$P$131,"B"))</f>
        <v/>
      </c>
      <c r="AT11" s="76" t="str">
        <f>IF(AQ11="","",COUNTIFS('PvP IB Cricket Season 2'!$G$20:$G$131,'PvP IB Cricket Season 2'!$AC$7,'PvP IB Cricket Season 2'!$H$20:$H$131,AQ11,'PvP IB Cricket Season 2'!$P$20:$P$131,"B")+COUNTIFS('PvP IB Cricket Season 2'!$G$20:$G$131,'PvP IB Cricket Season 2'!$AC$7,'PvP IB Cricket Season 2'!$L$20:$L$131,AQ11,'PvP IB Cricket Season 2'!$P$20:$P$131,"A"))</f>
        <v/>
      </c>
      <c r="AU11" s="76" t="str">
        <f>IF(AQ11="","",COUNTIFS('PvP IB Cricket Season 2'!$G$20:$G$131,'PvP IB Cricket Season 2'!$AC$7,'PvP IB Cricket Season 2'!$H$20:$H$131,AQ11,'PvP IB Cricket Season 2'!$P$20:$P$131,"Tie")+COUNTIFS('PvP IB Cricket Season 2'!$G$20:$G$131,'PvP IB Cricket Season 2'!$AC$7,'PvP IB Cricket Season 2'!$L$20:$L$131,AQ11,'PvP IB Cricket Season 2'!$P$20:$P$131,"Tie"))</f>
        <v/>
      </c>
      <c r="AV11" s="76" t="str">
        <f>IF(AQ11="","",COUNTIFS('PvP IB Cricket Season 2'!$G$20:$G$131,'PvP IB Cricket Season 2'!$AC$7,'PvP IB Cricket Season 2'!$H$20:$H$131,AQ11,'PvP IB Cricket Season 2'!$P$20:$P$131,"NR")+COUNTIFS('PvP IB Cricket Season 2'!$G$20:$G$131,'PvP IB Cricket Season 2'!$AC$7,'PvP IB Cricket Season 2'!$L$20:$L$131,AQ11,'PvP IB Cricket Season 2'!$P$20:$P$131,"NR"))</f>
        <v/>
      </c>
      <c r="AW11" s="76" t="str">
        <f t="shared" si="20"/>
        <v/>
      </c>
      <c r="AX11" s="76" t="str">
        <f>IF(AQ11="","",SUMIFS('PvP IB Cricket Season 2'!$I$20:$I$131,'PvP IB Cricket Season 2'!$G$20:$G$131,'PvP IB Cricket Season 2'!$AC$7,'PvP IB Cricket Season 2'!$H$20:$H$131,AQ11)+SUMIFS('PvP IB Cricket Season 2'!$M$20:$M$131,'PvP IB Cricket Season 2'!$G$20:$G$131,'PvP IB Cricket Season 2'!$AC$7,'PvP IB Cricket Season 2'!$L$20:$L$131,AQ11))</f>
        <v/>
      </c>
      <c r="AY11" s="76" t="str">
        <f t="array" ref="AY11">IF(AQ11="","",SUMPRODUCT(('PvP IB Cricket Season 2'!$G$20:$G$131='PvP IB Cricket Season 2'!$AC$7)*('PvP IB Cricket Season 2'!$H$20:$H$131=AQ11)*IF('PvP IB Cricket Season 2'!$J$20:$J$131&gt;='PvP IB Cricket Season 2'!$D$17,'PvP IB Cricket Season 2'!$D$9,'PvP IB Cricket Season 2'!$K$20:$K$131))+SUMPRODUCT(('PvP IB Cricket Season 2'!$G$20:$G$131='PvP IB Cricket Season 2'!$AC$7)*('PvP IB Cricket Season 2'!$L$20:$L$131=AQ11)*IF('PvP IB Cricket Season 2'!$N$20:$N$131&gt;='PvP IB Cricket Season 2'!$D$17,'PvP IB Cricket Season 2'!$D$9,'PvP IB Cricket Season 2'!$O$20:$O$131)))</f>
        <v/>
      </c>
      <c r="AZ11" s="76" t="str">
        <f>IF(AQ11="","",SUMIFS('PvP IB Cricket Season 2'!$M$20:$M$131,'PvP IB Cricket Season 2'!$G$20:$G$131,'PvP IB Cricket Season 2'!$AC$7,'PvP IB Cricket Season 2'!$H$20:$H$131,AQ11)+SUMIFS('PvP IB Cricket Season 2'!$I$20:$I$131,'PvP IB Cricket Season 2'!$G$20:$G$131,'PvP IB Cricket Season 2'!$AC$7,'PvP IB Cricket Season 2'!$L$20:$L$131,AQ11))</f>
        <v/>
      </c>
      <c r="BA11" s="76" t="str">
        <f t="array" ref="BA11">IF(AQ11="","",SUMPRODUCT(('PvP IB Cricket Season 2'!$G$20:$G$131='PvP IB Cricket Season 2'!$AC$7)*('PvP IB Cricket Season 2'!$H$20:$H$131=AQ11)*IF('PvP IB Cricket Season 2'!$N$20:$N$131&gt;='PvP IB Cricket Season 2'!$D$17,'PvP IB Cricket Season 2'!$D$9,'PvP IB Cricket Season 2'!$O$20:$O$131))+SUMPRODUCT(('PvP IB Cricket Season 2'!$G$20:$G$131='PvP IB Cricket Season 2'!$AC$7)*('PvP IB Cricket Season 2'!$L$20:$L$131=AQ11)*IF('PvP IB Cricket Season 2'!$J$20:$J$131&gt;='PvP IB Cricket Season 2'!$D$17,'PvP IB Cricket Season 2'!$D$9,'PvP IB Cricket Season 2'!$K$20:$K$131)))</f>
        <v/>
      </c>
      <c r="BB11" s="77" t="str">
        <f t="shared" si="21"/>
        <v/>
      </c>
      <c r="BC11" s="78" t="str">
        <f t="shared" si="22"/>
        <v/>
      </c>
      <c r="BD11" s="79" t="str">
        <f t="array" ref="BD11">IF(AQ11="","",SUMPRODUCT(($BC$6:$BC$15&gt;BC11)*1)+1)</f>
        <v/>
      </c>
      <c r="BF11" s="123" t="str">
        <f t="array" ref="BF11">IFERROR(INDEX(_xlfn._xlws.FILTER('PvP IB Cricket Season 2'!$C$20:$C$51,'PvP IB Cricket Season 2'!$D$20:$D$51='PvP IB Cricket Season 2'!$AC$8),6),"")</f>
        <v>Senthil</v>
      </c>
      <c r="BG11" s="88">
        <f>IF(BF11="","",COUNTIFS('PvP IB Cricket Season 2'!$G$20:$G$131,'PvP IB Cricket Season 2'!$AC$8,'PvP IB Cricket Season 2'!$H$20:$H$131,BF11,'PvP IB Cricket Season 2'!$P$20:$P$131,"A")+COUNTIFS('PvP IB Cricket Season 2'!$G$20:$G$131,'PvP IB Cricket Season 2'!$AC$8,'PvP IB Cricket Season 2'!$L$20:$L$131,BF11,'PvP IB Cricket Season 2'!$P$20:$P$131,"B")+COUNTIFS('PvP IB Cricket Season 2'!$G$20:$G$131,'PvP IB Cricket Season 2'!$AC$8,'PvP IB Cricket Season 2'!$H$20:$H$131,BF11,'PvP IB Cricket Season 2'!$P$20:$P$131,"B")+COUNTIFS('PvP IB Cricket Season 2'!$G$20:$G$131,'PvP IB Cricket Season 2'!$AC$8,'PvP IB Cricket Season 2'!$L$20:$L$131,BF11,'PvP IB Cricket Season 2'!$P$20:$P$131,"A")+COUNTIFS('PvP IB Cricket Season 2'!$G$20:$G$131,'PvP IB Cricket Season 2'!$AC$8,'PvP IB Cricket Season 2'!$H$20:$H$131,BF11,'PvP IB Cricket Season 2'!$P$20:$P$131,"Tie")+COUNTIFS('PvP IB Cricket Season 2'!$G$20:$G$131,'PvP IB Cricket Season 2'!$AC$8,'PvP IB Cricket Season 2'!$L$20:$L$131,BF11,'PvP IB Cricket Season 2'!$P$20:$P$131,"Tie")+COUNTIFS('PvP IB Cricket Season 2'!$G$20:$G$131,'PvP IB Cricket Season 2'!$AC$8,'PvP IB Cricket Season 2'!$H$20:$H$131,BF11,'PvP IB Cricket Season 2'!$P$20:$P$131,"NR")+COUNTIFS('PvP IB Cricket Season 2'!$G$20:$G$131,'PvP IB Cricket Season 2'!$AC$8,'PvP IB Cricket Season 2'!$L$20:$L$131,BF11,'PvP IB Cricket Season 2'!$P$20:$P$131,"NR"))</f>
        <v>0</v>
      </c>
      <c r="BH11" s="88">
        <f>IF(BF11="","",COUNTIFS('PvP IB Cricket Season 2'!$G$20:$G$131,'PvP IB Cricket Season 2'!$AC$8,'PvP IB Cricket Season 2'!$H$20:$H$131,BF11,'PvP IB Cricket Season 2'!$P$20:$P$131,"A")+COUNTIFS('PvP IB Cricket Season 2'!$G$20:$G$131,'PvP IB Cricket Season 2'!$AC$8,'PvP IB Cricket Season 2'!$L$20:$L$131,BF11,'PvP IB Cricket Season 2'!$P$20:$P$131,"B"))</f>
        <v>0</v>
      </c>
      <c r="BI11" s="88">
        <f>IF(BF11="","",COUNTIFS('PvP IB Cricket Season 2'!$G$20:$G$131,'PvP IB Cricket Season 2'!$AC$8,'PvP IB Cricket Season 2'!$H$20:$H$131,BF11,'PvP IB Cricket Season 2'!$P$20:$P$131,"B")+COUNTIFS('PvP IB Cricket Season 2'!$G$20:$G$131,'PvP IB Cricket Season 2'!$AC$8,'PvP IB Cricket Season 2'!$L$20:$L$131,BF11,'PvP IB Cricket Season 2'!$P$20:$P$131,"A"))</f>
        <v>0</v>
      </c>
      <c r="BJ11" s="88">
        <f>IF(BF11="","",COUNTIFS('PvP IB Cricket Season 2'!$G$20:$G$131,'PvP IB Cricket Season 2'!$AC$8,'PvP IB Cricket Season 2'!$H$20:$H$131,BF11,'PvP IB Cricket Season 2'!$P$20:$P$131,"Tie")+COUNTIFS('PvP IB Cricket Season 2'!$G$20:$G$131,'PvP IB Cricket Season 2'!$AC$8,'PvP IB Cricket Season 2'!$L$20:$L$131,BF11,'PvP IB Cricket Season 2'!$P$20:$P$131,"Tie"))</f>
        <v>0</v>
      </c>
      <c r="BK11" s="88">
        <f>IF(BF11="","",COUNTIFS('PvP IB Cricket Season 2'!$G$20:$G$131,'PvP IB Cricket Season 2'!$AC$8,'PvP IB Cricket Season 2'!$H$20:$H$131,BF11,'PvP IB Cricket Season 2'!$P$20:$P$131,"NR")+COUNTIFS('PvP IB Cricket Season 2'!$G$20:$G$131,'PvP IB Cricket Season 2'!$AC$8,'PvP IB Cricket Season 2'!$L$20:$L$131,BF11,'PvP IB Cricket Season 2'!$P$20:$P$131,"NR"))</f>
        <v>0</v>
      </c>
      <c r="BL11" s="88">
        <f t="shared" si="23"/>
        <v>0</v>
      </c>
      <c r="BM11" s="88">
        <f>IF(BF11="","",SUMIFS('PvP IB Cricket Season 2'!$I$20:$I$131,'PvP IB Cricket Season 2'!$G$20:$G$131,'PvP IB Cricket Season 2'!$AC$8,'PvP IB Cricket Season 2'!$H$20:$H$131,BF11)+SUMIFS('PvP IB Cricket Season 2'!$M$20:$M$131,'PvP IB Cricket Season 2'!$G$20:$G$131,'PvP IB Cricket Season 2'!$AC$8,'PvP IB Cricket Season 2'!$L$20:$L$131,BF11))</f>
        <v>0</v>
      </c>
      <c r="BN11" s="88">
        <f t="array" ref="BN11">IF(BF11="","",SUMPRODUCT(('PvP IB Cricket Season 2'!$G$20:$G$131='PvP IB Cricket Season 2'!$AC$8)*('PvP IB Cricket Season 2'!$H$20:$H$131=BF11)*IF('PvP IB Cricket Season 2'!$J$20:$J$131&gt;='PvP IB Cricket Season 2'!$D$17,'PvP IB Cricket Season 2'!$D$9,'PvP IB Cricket Season 2'!$K$20:$K$131))+SUMPRODUCT(('PvP IB Cricket Season 2'!$G$20:$G$131='PvP IB Cricket Season 2'!$AC$8)*('PvP IB Cricket Season 2'!$L$20:$L$131=BF11)*IF('PvP IB Cricket Season 2'!$N$20:$N$131&gt;='PvP IB Cricket Season 2'!$D$17,'PvP IB Cricket Season 2'!$D$9,'PvP IB Cricket Season 2'!$O$20:$O$131)))</f>
        <v>0</v>
      </c>
      <c r="BO11" s="88">
        <f>IF(BF11="","",SUMIFS('PvP IB Cricket Season 2'!$M$20:$M$131,'PvP IB Cricket Season 2'!$G$20:$G$131,'PvP IB Cricket Season 2'!$AC$8,'PvP IB Cricket Season 2'!$H$20:$H$131,BF11)+SUMIFS('PvP IB Cricket Season 2'!$I$20:$I$131,'PvP IB Cricket Season 2'!$G$20:$G$131,'PvP IB Cricket Season 2'!$AC$8,'PvP IB Cricket Season 2'!$L$20:$L$131,BF11))</f>
        <v>0</v>
      </c>
      <c r="BP11" s="88">
        <f t="array" ref="BP11">IF(BF11="","",SUMPRODUCT(('PvP IB Cricket Season 2'!$G$20:$G$131='PvP IB Cricket Season 2'!$AC$8)*('PvP IB Cricket Season 2'!$H$20:$H$131=BF11)*IF('PvP IB Cricket Season 2'!$N$20:$N$131&gt;='PvP IB Cricket Season 2'!$D$17,'PvP IB Cricket Season 2'!$D$9,'PvP IB Cricket Season 2'!$O$20:$O$131))+SUMPRODUCT(('PvP IB Cricket Season 2'!$G$20:$G$131='PvP IB Cricket Season 2'!$AC$8)*('PvP IB Cricket Season 2'!$L$20:$L$131=BF11)*IF('PvP IB Cricket Season 2'!$J$20:$J$131&gt;='PvP IB Cricket Season 2'!$D$17,'PvP IB Cricket Season 2'!$D$9,'PvP IB Cricket Season 2'!$K$20:$K$131)))</f>
        <v>0</v>
      </c>
      <c r="BQ11" s="89" t="str">
        <f t="shared" si="24"/>
        <v/>
      </c>
      <c r="BR11" s="90">
        <f t="shared" si="25"/>
        <v>5.0000000000000001E-4</v>
      </c>
      <c r="BS11" s="91">
        <f t="array" ref="BS11">IF(BF11="","",SUMPRODUCT(($BR$6:$BR$15&gt;BR11)*1)+1)</f>
        <v>10</v>
      </c>
      <c r="BU11" s="126" t="str">
        <f t="array" ref="BU11">IFERROR(INDEX(_xlfn._xlws.FILTER('PvP IB Cricket Season 2'!$C$20:$C$51,'PvP IB Cricket Season 2'!$D$20:$D$51='PvP IB Cricket Season 2'!$AC$9),6),"")</f>
        <v/>
      </c>
      <c r="BV11" s="99" t="str">
        <f>IF(BU11="","",COUNTIFS('PvP IB Cricket Season 2'!$G$20:$G$131,'PvP IB Cricket Season 2'!$AC$9,'PvP IB Cricket Season 2'!$H$20:$H$131,BU11,'PvP IB Cricket Season 2'!$P$20:$P$131,"A")+COUNTIFS('PvP IB Cricket Season 2'!$G$20:$G$131,'PvP IB Cricket Season 2'!$AC$9,'PvP IB Cricket Season 2'!$L$20:$L$131,BU11,'PvP IB Cricket Season 2'!$P$20:$P$131,"B")+COUNTIFS('PvP IB Cricket Season 2'!$G$20:$G$131,'PvP IB Cricket Season 2'!$AC$9,'PvP IB Cricket Season 2'!$H$20:$H$131,BU11,'PvP IB Cricket Season 2'!$P$20:$P$131,"B")+COUNTIFS('PvP IB Cricket Season 2'!$G$20:$G$131,'PvP IB Cricket Season 2'!$AC$9,'PvP IB Cricket Season 2'!$L$20:$L$131,BU11,'PvP IB Cricket Season 2'!$P$20:$P$131,"A")+COUNTIFS('PvP IB Cricket Season 2'!$G$20:$G$131,'PvP IB Cricket Season 2'!$AC$9,'PvP IB Cricket Season 2'!$H$20:$H$131,BU11,'PvP IB Cricket Season 2'!$P$20:$P$131,"Tie")+COUNTIFS('PvP IB Cricket Season 2'!$G$20:$G$131,'PvP IB Cricket Season 2'!$AC$9,'PvP IB Cricket Season 2'!$L$20:$L$131,BU11,'PvP IB Cricket Season 2'!$P$20:$P$131,"Tie")+COUNTIFS('PvP IB Cricket Season 2'!$G$20:$G$131,'PvP IB Cricket Season 2'!$AC$9,'PvP IB Cricket Season 2'!$H$20:$H$131,BU11,'PvP IB Cricket Season 2'!$P$20:$P$131,"NR")+COUNTIFS('PvP IB Cricket Season 2'!$G$20:$G$131,'PvP IB Cricket Season 2'!$AC$9,'PvP IB Cricket Season 2'!$L$20:$L$131,BU11,'PvP IB Cricket Season 2'!$P$20:$P$131,"NR"))</f>
        <v/>
      </c>
      <c r="BW11" s="99" t="str">
        <f>IF(BU11="","",COUNTIFS('PvP IB Cricket Season 2'!$G$20:$G$131,'PvP IB Cricket Season 2'!$AC$9,'PvP IB Cricket Season 2'!$H$20:$H$131,BU11,'PvP IB Cricket Season 2'!$P$20:$P$131,"A")+COUNTIFS('PvP IB Cricket Season 2'!$G$20:$G$131,'PvP IB Cricket Season 2'!$AC$9,'PvP IB Cricket Season 2'!$L$20:$L$131,BU11,'PvP IB Cricket Season 2'!$P$20:$P$131,"B"))</f>
        <v/>
      </c>
      <c r="BX11" s="99" t="str">
        <f>IF(BU11="","",COUNTIFS('PvP IB Cricket Season 2'!$G$20:$G$131,'PvP IB Cricket Season 2'!$AC$9,'PvP IB Cricket Season 2'!$H$20:$H$131,BU11,'PvP IB Cricket Season 2'!$P$20:$P$131,"B")+COUNTIFS('PvP IB Cricket Season 2'!$G$20:$G$131,'PvP IB Cricket Season 2'!$AC$9,'PvP IB Cricket Season 2'!$L$20:$L$131,BU11,'PvP IB Cricket Season 2'!$P$20:$P$131,"A"))</f>
        <v/>
      </c>
      <c r="BY11" s="99" t="str">
        <f>IF(BU11="","",COUNTIFS('PvP IB Cricket Season 2'!$G$20:$G$131,'PvP IB Cricket Season 2'!$AC$9,'PvP IB Cricket Season 2'!$H$20:$H$131,BU11,'PvP IB Cricket Season 2'!$P$20:$P$131,"Tie")+COUNTIFS('PvP IB Cricket Season 2'!$G$20:$G$131,'PvP IB Cricket Season 2'!$AC$9,'PvP IB Cricket Season 2'!$L$20:$L$131,BU11,'PvP IB Cricket Season 2'!$P$20:$P$131,"Tie"))</f>
        <v/>
      </c>
      <c r="BZ11" s="99" t="str">
        <f>IF(BU11="","",COUNTIFS('PvP IB Cricket Season 2'!$G$20:$G$131,'PvP IB Cricket Season 2'!$AC$9,'PvP IB Cricket Season 2'!$H$20:$H$131,BU11,'PvP IB Cricket Season 2'!$P$20:$P$131,"NR")+COUNTIFS('PvP IB Cricket Season 2'!$G$20:$G$131,'PvP IB Cricket Season 2'!$AC$9,'PvP IB Cricket Season 2'!$L$20:$L$131,BU11,'PvP IB Cricket Season 2'!$P$20:$P$131,"NR"))</f>
        <v/>
      </c>
      <c r="CA11" s="99" t="str">
        <f t="shared" si="26"/>
        <v/>
      </c>
      <c r="CB11" s="99" t="str">
        <f>IF(BU11="","",SUMIFS('PvP IB Cricket Season 2'!$I$20:$I$131,'PvP IB Cricket Season 2'!$G$20:$G$131,'PvP IB Cricket Season 2'!$AC$9,'PvP IB Cricket Season 2'!$H$20:$H$131,BU11)+SUMIFS('PvP IB Cricket Season 2'!$M$20:$M$131,'PvP IB Cricket Season 2'!$G$20:$G$131,'PvP IB Cricket Season 2'!$AC$9,'PvP IB Cricket Season 2'!$L$20:$L$131,BU11))</f>
        <v/>
      </c>
      <c r="CC11" s="99" t="str">
        <f t="array" ref="CC11">IF(BU11="","",SUMPRODUCT(('PvP IB Cricket Season 2'!$G$20:$G$131='PvP IB Cricket Season 2'!$AC$9)*('PvP IB Cricket Season 2'!$H$20:$H$131=BU11)*IF('PvP IB Cricket Season 2'!$J$20:$J$131&gt;='PvP IB Cricket Season 2'!$D$17,'PvP IB Cricket Season 2'!$D$9,'PvP IB Cricket Season 2'!$K$20:$K$131))+SUMPRODUCT(('PvP IB Cricket Season 2'!$G$20:$G$131='PvP IB Cricket Season 2'!$AC$9)*('PvP IB Cricket Season 2'!$L$20:$L$131=BU11)*IF('PvP IB Cricket Season 2'!$N$20:$N$131&gt;='PvP IB Cricket Season 2'!$D$17,'PvP IB Cricket Season 2'!$D$9,'PvP IB Cricket Season 2'!$O$20:$O$131)))</f>
        <v/>
      </c>
      <c r="CD11" s="99" t="str">
        <f>IF(BU11="","",SUMIFS('PvP IB Cricket Season 2'!$M$20:$M$131,'PvP IB Cricket Season 2'!$G$20:$G$131,'PvP IB Cricket Season 2'!$AC$9,'PvP IB Cricket Season 2'!$H$20:$H$131,BU11)+SUMIFS('PvP IB Cricket Season 2'!$I$20:$I$131,'PvP IB Cricket Season 2'!$G$20:$G$131,'PvP IB Cricket Season 2'!$AC$9,'PvP IB Cricket Season 2'!$L$20:$L$131,BU11))</f>
        <v/>
      </c>
      <c r="CE11" s="99" t="str">
        <f t="array" ref="CE11">IF(BU11="","",SUMPRODUCT(('PvP IB Cricket Season 2'!$G$20:$G$131='PvP IB Cricket Season 2'!$AC$9)*('PvP IB Cricket Season 2'!$H$20:$H$131=BU11)*IF('PvP IB Cricket Season 2'!$N$20:$N$131&gt;='PvP IB Cricket Season 2'!$D$17,'PvP IB Cricket Season 2'!$D$9,'PvP IB Cricket Season 2'!$O$20:$O$131))+SUMPRODUCT(('PvP IB Cricket Season 2'!$G$20:$G$131='PvP IB Cricket Season 2'!$AC$9)*('PvP IB Cricket Season 2'!$L$20:$L$131=BU11)*IF('PvP IB Cricket Season 2'!$J$20:$J$131&gt;='PvP IB Cricket Season 2'!$D$17,'PvP IB Cricket Season 2'!$D$9,'PvP IB Cricket Season 2'!$K$20:$K$131)))</f>
        <v/>
      </c>
      <c r="CF11" s="100" t="str">
        <f t="shared" si="27"/>
        <v/>
      </c>
      <c r="CG11" s="101" t="str">
        <f t="shared" si="28"/>
        <v/>
      </c>
      <c r="CH11" s="102" t="str">
        <f t="array" ref="CH11">IF(BU11="","",SUMPRODUCT(($CG$6:$CG$15&gt;CG11)*1)+1)</f>
        <v/>
      </c>
      <c r="CJ11" s="129" t="str">
        <f t="array" ref="CJ11">IFERROR(INDEX(_xlfn._xlws.FILTER('PvP IB Cricket Season 2'!$C$20:$C$51,'PvP IB Cricket Season 2'!$D$20:$D$51='PvP IB Cricket Season 2'!$AC$10),6),"")</f>
        <v/>
      </c>
      <c r="CK11" s="111" t="str">
        <f>IF(CJ11="","",COUNTIFS('PvP IB Cricket Season 2'!$G$20:$G$131,'PvP IB Cricket Season 2'!$AC$10,'PvP IB Cricket Season 2'!$H$20:$H$131,CJ11,'PvP IB Cricket Season 2'!$P$20:$P$131,"A")+COUNTIFS('PvP IB Cricket Season 2'!$G$20:$G$131,'PvP IB Cricket Season 2'!$AC$10,'PvP IB Cricket Season 2'!$L$20:$L$131,CJ11,'PvP IB Cricket Season 2'!$P$20:$P$131,"B")+COUNTIFS('PvP IB Cricket Season 2'!$G$20:$G$131,'PvP IB Cricket Season 2'!$AC$10,'PvP IB Cricket Season 2'!$H$20:$H$131,CJ11,'PvP IB Cricket Season 2'!$P$20:$P$131,"B")+COUNTIFS('PvP IB Cricket Season 2'!$G$20:$G$131,'PvP IB Cricket Season 2'!$AC$10,'PvP IB Cricket Season 2'!$L$20:$L$131,CJ11,'PvP IB Cricket Season 2'!$P$20:$P$131,"A")+COUNTIFS('PvP IB Cricket Season 2'!$G$20:$G$131,'PvP IB Cricket Season 2'!$AC$10,'PvP IB Cricket Season 2'!$H$20:$H$131,CJ11,'PvP IB Cricket Season 2'!$P$20:$P$131,"Tie")+COUNTIFS('PvP IB Cricket Season 2'!$G$20:$G$131,'PvP IB Cricket Season 2'!$AC$10,'PvP IB Cricket Season 2'!$L$20:$L$131,CJ11,'PvP IB Cricket Season 2'!$P$20:$P$131,"Tie")+COUNTIFS('PvP IB Cricket Season 2'!$G$20:$G$131,'PvP IB Cricket Season 2'!$AC$10,'PvP IB Cricket Season 2'!$H$20:$H$131,CJ11,'PvP IB Cricket Season 2'!$P$20:$P$131,"NR")+COUNTIFS('PvP IB Cricket Season 2'!$G$20:$G$131,'PvP IB Cricket Season 2'!$AC$10,'PvP IB Cricket Season 2'!$L$20:$L$131,CJ11,'PvP IB Cricket Season 2'!$P$20:$P$131,"NR"))</f>
        <v/>
      </c>
      <c r="CL11" s="111" t="str">
        <f>IF(CJ11="","",COUNTIFS('PvP IB Cricket Season 2'!$G$20:$G$131,'PvP IB Cricket Season 2'!$AC$10,'PvP IB Cricket Season 2'!$H$20:$H$131,CJ11,'PvP IB Cricket Season 2'!$P$20:$P$131,"A")+COUNTIFS('PvP IB Cricket Season 2'!$G$20:$G$131,'PvP IB Cricket Season 2'!$AC$10,'PvP IB Cricket Season 2'!$L$20:$L$131,CJ11,'PvP IB Cricket Season 2'!$P$20:$P$131,"B"))</f>
        <v/>
      </c>
      <c r="CM11" s="111" t="str">
        <f>IF(CJ11="","",COUNTIFS('PvP IB Cricket Season 2'!$G$20:$G$131,'PvP IB Cricket Season 2'!$AC$10,'PvP IB Cricket Season 2'!$H$20:$H$131,CJ11,'PvP IB Cricket Season 2'!$P$20:$P$131,"B")+COUNTIFS('PvP IB Cricket Season 2'!$G$20:$G$131,'PvP IB Cricket Season 2'!$AC$10,'PvP IB Cricket Season 2'!$L$20:$L$131,CJ11,'PvP IB Cricket Season 2'!$P$20:$P$131,"A"))</f>
        <v/>
      </c>
      <c r="CN11" s="111" t="str">
        <f>IF(CJ11="","",COUNTIFS('PvP IB Cricket Season 2'!$G$20:$G$131,'PvP IB Cricket Season 2'!$AC$10,'PvP IB Cricket Season 2'!$H$20:$H$131,CJ11,'PvP IB Cricket Season 2'!$P$20:$P$131,"Tie")+COUNTIFS('PvP IB Cricket Season 2'!$G$20:$G$131,'PvP IB Cricket Season 2'!$AC$10,'PvP IB Cricket Season 2'!$L$20:$L$131,CJ11,'PvP IB Cricket Season 2'!$P$20:$P$131,"Tie"))</f>
        <v/>
      </c>
      <c r="CO11" s="111" t="str">
        <f>IF(CJ11="","",COUNTIFS('PvP IB Cricket Season 2'!$G$20:$G$131,'PvP IB Cricket Season 2'!$AC$10,'PvP IB Cricket Season 2'!$H$20:$H$131,CJ11,'PvP IB Cricket Season 2'!$P$20:$P$131,"NR")+COUNTIFS('PvP IB Cricket Season 2'!$G$20:$G$131,'PvP IB Cricket Season 2'!$AC$10,'PvP IB Cricket Season 2'!$L$20:$L$131,CJ11,'PvP IB Cricket Season 2'!$P$20:$P$131,"NR"))</f>
        <v/>
      </c>
      <c r="CP11" s="111" t="str">
        <f t="shared" si="29"/>
        <v/>
      </c>
      <c r="CQ11" s="111" t="str">
        <f>IF(CJ11="","",SUMIFS('PvP IB Cricket Season 2'!$I$20:$I$131,'PvP IB Cricket Season 2'!$G$20:$G$131,'PvP IB Cricket Season 2'!$AC$10,'PvP IB Cricket Season 2'!$H$20:$H$131,CJ11)+SUMIFS('PvP IB Cricket Season 2'!$M$20:$M$131,'PvP IB Cricket Season 2'!$G$20:$G$131,'PvP IB Cricket Season 2'!$AC$10,'PvP IB Cricket Season 2'!$L$20:$L$131,CJ11))</f>
        <v/>
      </c>
      <c r="CR11" s="111" t="str">
        <f t="array" ref="CR11">IF(CJ11="","",SUMPRODUCT(('PvP IB Cricket Season 2'!$G$20:$G$131='PvP IB Cricket Season 2'!$AC$10)*('PvP IB Cricket Season 2'!$H$20:$H$131=CJ11)*IF('PvP IB Cricket Season 2'!$J$20:$J$131&gt;='PvP IB Cricket Season 2'!$D$17,'PvP IB Cricket Season 2'!$D$9,'PvP IB Cricket Season 2'!$K$20:$K$131))+SUMPRODUCT(('PvP IB Cricket Season 2'!$G$20:$G$131='PvP IB Cricket Season 2'!$AC$10)*('PvP IB Cricket Season 2'!$L$20:$L$131=CJ11)*IF('PvP IB Cricket Season 2'!$N$20:$N$131&gt;='PvP IB Cricket Season 2'!$D$17,'PvP IB Cricket Season 2'!$D$9,'PvP IB Cricket Season 2'!$O$20:$O$131)))</f>
        <v/>
      </c>
      <c r="CS11" s="111" t="str">
        <f>IF(CJ11="","",SUMIFS('PvP IB Cricket Season 2'!$M$20:$M$131,'PvP IB Cricket Season 2'!$G$20:$G$131,'PvP IB Cricket Season 2'!$AC$10,'PvP IB Cricket Season 2'!$H$20:$H$131,CJ11)+SUMIFS('PvP IB Cricket Season 2'!$I$20:$I$131,'PvP IB Cricket Season 2'!$G$20:$G$131,'PvP IB Cricket Season 2'!$AC$10,'PvP IB Cricket Season 2'!$L$20:$L$131,CJ11))</f>
        <v/>
      </c>
      <c r="CT11" s="111" t="str">
        <f t="array" ref="CT11">IF(CJ11="","",SUMPRODUCT(('PvP IB Cricket Season 2'!$G$20:$G$131='PvP IB Cricket Season 2'!$AC$10)*('PvP IB Cricket Season 2'!$H$20:$H$131=CJ11)*IF('PvP IB Cricket Season 2'!$N$20:$N$131&gt;='PvP IB Cricket Season 2'!$D$17,'PvP IB Cricket Season 2'!$D$9,'PvP IB Cricket Season 2'!$O$20:$O$131))+SUMPRODUCT(('PvP IB Cricket Season 2'!$G$20:$G$131='PvP IB Cricket Season 2'!$AC$10)*('PvP IB Cricket Season 2'!$L$20:$L$131=CJ11)*IF('PvP IB Cricket Season 2'!$J$20:$J$131&gt;='PvP IB Cricket Season 2'!$D$17,'PvP IB Cricket Season 2'!$D$9,'PvP IB Cricket Season 2'!$K$20:$K$131)))</f>
        <v/>
      </c>
      <c r="CU11" s="112" t="str">
        <f t="shared" si="30"/>
        <v/>
      </c>
      <c r="CV11" s="113" t="str">
        <f t="shared" si="31"/>
        <v/>
      </c>
      <c r="CW11" s="114" t="str">
        <f t="array" ref="CW11">IF(CJ11="","",SUMPRODUCT(($CV$6:$CV$15&gt;CV11)*1)+1)</f>
        <v/>
      </c>
    </row>
    <row r="12" spans="1:101" ht="20.100000000000001" customHeight="1" x14ac:dyDescent="0.3">
      <c r="A12" s="38"/>
      <c r="B12" s="182">
        <v>7</v>
      </c>
      <c r="C12" s="183" t="str">
        <f t="shared" si="0"/>
        <v/>
      </c>
      <c r="D12" s="184" t="str">
        <f t="shared" si="1"/>
        <v/>
      </c>
      <c r="E12" s="184" t="str">
        <f t="shared" si="2"/>
        <v/>
      </c>
      <c r="F12" s="184" t="str">
        <f t="shared" si="3"/>
        <v/>
      </c>
      <c r="G12" s="184" t="str">
        <f t="shared" si="4"/>
        <v/>
      </c>
      <c r="H12" s="184" t="str">
        <f t="shared" si="5"/>
        <v/>
      </c>
      <c r="I12" s="185" t="str">
        <f t="shared" si="6"/>
        <v/>
      </c>
      <c r="J12" s="184" t="str">
        <f t="shared" si="7"/>
        <v/>
      </c>
      <c r="K12" s="186" t="str">
        <f t="array" ref="K12">IF(C12="","",SUMPRODUCT(('PvP IB Cricket Season 2'!$G$20:$G$131='PvP IB Cricket Season 2'!$AC$7)*('PvP IB Cricket Season 2'!$H$20:$H$131=C12)*('PvP IB Cricket Season 2'!$K$20:$K$131))+SUMPRODUCT(('PvP IB Cricket Season 2'!$G$20:$G$131='PvP IB Cricket Season 2'!$AC$7)*('PvP IB Cricket Season 2'!$L$20:$L$131=C12)*('PvP IB Cricket Season 2'!$O$20:$O$131)))</f>
        <v/>
      </c>
      <c r="L12" s="184" t="str">
        <f t="shared" si="8"/>
        <v/>
      </c>
      <c r="M12" s="186" t="str">
        <f t="array" ref="M12">IF(C12="","",SUMPRODUCT(('PvP IB Cricket Season 2'!$G$20:$G$131='PvP IB Cricket Season 2'!$AC$7)*('PvP IB Cricket Season 2'!$H$20:$H$131=C12)*('PvP IB Cricket Season 2'!$O$20:$O$131))+SUMPRODUCT(('PvP IB Cricket Season 2'!$G$20:$G$131='PvP IB Cricket Season 2'!$AC$7)*('PvP IB Cricket Season 2'!$L$20:$L$131=C12)*('PvP IB Cricket Season 2'!$K$20:$K$131)))</f>
        <v/>
      </c>
      <c r="N12" s="187" t="str">
        <f t="shared" si="9"/>
        <v/>
      </c>
      <c r="O12" s="38"/>
      <c r="P12" s="200">
        <v>7</v>
      </c>
      <c r="Q12" s="201" t="str">
        <f t="shared" si="10"/>
        <v/>
      </c>
      <c r="R12" s="202" t="str">
        <f t="shared" si="11"/>
        <v/>
      </c>
      <c r="S12" s="202" t="str">
        <f t="shared" si="12"/>
        <v/>
      </c>
      <c r="T12" s="202" t="str">
        <f t="shared" si="13"/>
        <v/>
      </c>
      <c r="U12" s="202" t="str">
        <f t="shared" si="14"/>
        <v/>
      </c>
      <c r="V12" s="202" t="str">
        <f t="shared" si="15"/>
        <v/>
      </c>
      <c r="W12" s="203" t="str">
        <f t="shared" si="16"/>
        <v/>
      </c>
      <c r="X12" s="202" t="str">
        <f t="shared" si="17"/>
        <v/>
      </c>
      <c r="Y12" s="204" t="str">
        <f t="array" ref="Y12">IF(Q12="","",SUMPRODUCT(('PvP IB Cricket Season 2'!$G$20:$G$131='PvP IB Cricket Season 2'!$AC$9)*('PvP IB Cricket Season 2'!$H$20:$H$131=Q12)*('PvP IB Cricket Season 2'!$K$20:$K$131))+SUMPRODUCT(('PvP IB Cricket Season 2'!$G$20:$G$131='PvP IB Cricket Season 2'!$AC$9)*('PvP IB Cricket Season 2'!$L$20:$L$131=Q12)*('PvP IB Cricket Season 2'!$O$20:$O$131)))</f>
        <v/>
      </c>
      <c r="Z12" s="202" t="str">
        <f t="shared" si="18"/>
        <v/>
      </c>
      <c r="AA12" s="204" t="str">
        <f t="array" ref="AA12">IF(Q12="","",SUMPRODUCT(('PvP IB Cricket Season 2'!$G$20:$G$131='PvP IB Cricket Season 2'!$AC$9)*('PvP IB Cricket Season 2'!$H$20:$H$131=Q12)*('PvP IB Cricket Season 2'!$O$20:$O$131))+SUMPRODUCT(('PvP IB Cricket Season 2'!$G$20:$G$131='PvP IB Cricket Season 2'!$AC$9)*('PvP IB Cricket Season 2'!$L$20:$L$131=Q12)*('PvP IB Cricket Season 2'!$K$20:$K$131)))</f>
        <v/>
      </c>
      <c r="AB12" s="205" t="str">
        <f t="shared" si="19"/>
        <v/>
      </c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119" t="str">
        <f t="array" ref="AQ12">IFERROR(INDEX(_xlfn._xlws.FILTER('PvP IB Cricket Season 2'!$C$20:$C$51,'PvP IB Cricket Season 2'!$D$20:$D$51='PvP IB Cricket Season 2'!$AC$7),7),"")</f>
        <v/>
      </c>
      <c r="AR12" s="72" t="str">
        <f>IF(AQ12="","",COUNTIFS('PvP IB Cricket Season 2'!$G$20:$G$131,'PvP IB Cricket Season 2'!$AC$7,'PvP IB Cricket Season 2'!$H$20:$H$131,AQ12,'PvP IB Cricket Season 2'!$P$20:$P$131,"A")+COUNTIFS('PvP IB Cricket Season 2'!$G$20:$G$131,'PvP IB Cricket Season 2'!$AC$7,'PvP IB Cricket Season 2'!$L$20:$L$131,AQ12,'PvP IB Cricket Season 2'!$P$20:$P$131,"B")+COUNTIFS('PvP IB Cricket Season 2'!$G$20:$G$131,'PvP IB Cricket Season 2'!$AC$7,'PvP IB Cricket Season 2'!$H$20:$H$131,AQ12,'PvP IB Cricket Season 2'!$P$20:$P$131,"B")+COUNTIFS('PvP IB Cricket Season 2'!$G$20:$G$131,'PvP IB Cricket Season 2'!$AC$7,'PvP IB Cricket Season 2'!$L$20:$L$131,AQ12,'PvP IB Cricket Season 2'!$P$20:$P$131,"A")+COUNTIFS('PvP IB Cricket Season 2'!$G$20:$G$131,'PvP IB Cricket Season 2'!$AC$7,'PvP IB Cricket Season 2'!$H$20:$H$131,AQ12,'PvP IB Cricket Season 2'!$P$20:$P$131,"Tie")+COUNTIFS('PvP IB Cricket Season 2'!$G$20:$G$131,'PvP IB Cricket Season 2'!$AC$7,'PvP IB Cricket Season 2'!$L$20:$L$131,AQ12,'PvP IB Cricket Season 2'!$P$20:$P$131,"Tie")+COUNTIFS('PvP IB Cricket Season 2'!$G$20:$G$131,'PvP IB Cricket Season 2'!$AC$7,'PvP IB Cricket Season 2'!$H$20:$H$131,AQ12,'PvP IB Cricket Season 2'!$P$20:$P$131,"NR")+COUNTIFS('PvP IB Cricket Season 2'!$G$20:$G$131,'PvP IB Cricket Season 2'!$AC$7,'PvP IB Cricket Season 2'!$L$20:$L$131,AQ12,'PvP IB Cricket Season 2'!$P$20:$P$131,"NR"))</f>
        <v/>
      </c>
      <c r="AS12" s="72" t="str">
        <f>IF(AQ12="","",COUNTIFS('PvP IB Cricket Season 2'!$G$20:$G$131,'PvP IB Cricket Season 2'!$AC$7,'PvP IB Cricket Season 2'!$H$20:$H$131,AQ12,'PvP IB Cricket Season 2'!$P$20:$P$131,"A")+COUNTIFS('PvP IB Cricket Season 2'!$G$20:$G$131,'PvP IB Cricket Season 2'!$AC$7,'PvP IB Cricket Season 2'!$L$20:$L$131,AQ12,'PvP IB Cricket Season 2'!$P$20:$P$131,"B"))</f>
        <v/>
      </c>
      <c r="AT12" s="72" t="str">
        <f>IF(AQ12="","",COUNTIFS('PvP IB Cricket Season 2'!$G$20:$G$131,'PvP IB Cricket Season 2'!$AC$7,'PvP IB Cricket Season 2'!$H$20:$H$131,AQ12,'PvP IB Cricket Season 2'!$P$20:$P$131,"B")+COUNTIFS('PvP IB Cricket Season 2'!$G$20:$G$131,'PvP IB Cricket Season 2'!$AC$7,'PvP IB Cricket Season 2'!$L$20:$L$131,AQ12,'PvP IB Cricket Season 2'!$P$20:$P$131,"A"))</f>
        <v/>
      </c>
      <c r="AU12" s="72" t="str">
        <f>IF(AQ12="","",COUNTIFS('PvP IB Cricket Season 2'!$G$20:$G$131,'PvP IB Cricket Season 2'!$AC$7,'PvP IB Cricket Season 2'!$H$20:$H$131,AQ12,'PvP IB Cricket Season 2'!$P$20:$P$131,"Tie")+COUNTIFS('PvP IB Cricket Season 2'!$G$20:$G$131,'PvP IB Cricket Season 2'!$AC$7,'PvP IB Cricket Season 2'!$L$20:$L$131,AQ12,'PvP IB Cricket Season 2'!$P$20:$P$131,"Tie"))</f>
        <v/>
      </c>
      <c r="AV12" s="72" t="str">
        <f>IF(AQ12="","",COUNTIFS('PvP IB Cricket Season 2'!$G$20:$G$131,'PvP IB Cricket Season 2'!$AC$7,'PvP IB Cricket Season 2'!$H$20:$H$131,AQ12,'PvP IB Cricket Season 2'!$P$20:$P$131,"NR")+COUNTIFS('PvP IB Cricket Season 2'!$G$20:$G$131,'PvP IB Cricket Season 2'!$AC$7,'PvP IB Cricket Season 2'!$L$20:$L$131,AQ12,'PvP IB Cricket Season 2'!$P$20:$P$131,"NR"))</f>
        <v/>
      </c>
      <c r="AW12" s="72" t="str">
        <f t="shared" si="20"/>
        <v/>
      </c>
      <c r="AX12" s="72" t="str">
        <f>IF(AQ12="","",SUMIFS('PvP IB Cricket Season 2'!$I$20:$I$131,'PvP IB Cricket Season 2'!$G$20:$G$131,'PvP IB Cricket Season 2'!$AC$7,'PvP IB Cricket Season 2'!$H$20:$H$131,AQ12)+SUMIFS('PvP IB Cricket Season 2'!$M$20:$M$131,'PvP IB Cricket Season 2'!$G$20:$G$131,'PvP IB Cricket Season 2'!$AC$7,'PvP IB Cricket Season 2'!$L$20:$L$131,AQ12))</f>
        <v/>
      </c>
      <c r="AY12" s="72" t="str">
        <f t="array" ref="AY12">IF(AQ12="","",SUMPRODUCT(('PvP IB Cricket Season 2'!$G$20:$G$131='PvP IB Cricket Season 2'!$AC$7)*('PvP IB Cricket Season 2'!$H$20:$H$131=AQ12)*IF('PvP IB Cricket Season 2'!$J$20:$J$131&gt;='PvP IB Cricket Season 2'!$D$17,'PvP IB Cricket Season 2'!$D$9,'PvP IB Cricket Season 2'!$K$20:$K$131))+SUMPRODUCT(('PvP IB Cricket Season 2'!$G$20:$G$131='PvP IB Cricket Season 2'!$AC$7)*('PvP IB Cricket Season 2'!$L$20:$L$131=AQ12)*IF('PvP IB Cricket Season 2'!$N$20:$N$131&gt;='PvP IB Cricket Season 2'!$D$17,'PvP IB Cricket Season 2'!$D$9,'PvP IB Cricket Season 2'!$O$20:$O$131)))</f>
        <v/>
      </c>
      <c r="AZ12" s="72" t="str">
        <f>IF(AQ12="","",SUMIFS('PvP IB Cricket Season 2'!$M$20:$M$131,'PvP IB Cricket Season 2'!$G$20:$G$131,'PvP IB Cricket Season 2'!$AC$7,'PvP IB Cricket Season 2'!$H$20:$H$131,AQ12)+SUMIFS('PvP IB Cricket Season 2'!$I$20:$I$131,'PvP IB Cricket Season 2'!$G$20:$G$131,'PvP IB Cricket Season 2'!$AC$7,'PvP IB Cricket Season 2'!$L$20:$L$131,AQ12))</f>
        <v/>
      </c>
      <c r="BA12" s="72" t="str">
        <f t="array" ref="BA12">IF(AQ12="","",SUMPRODUCT(('PvP IB Cricket Season 2'!$G$20:$G$131='PvP IB Cricket Season 2'!$AC$7)*('PvP IB Cricket Season 2'!$H$20:$H$131=AQ12)*IF('PvP IB Cricket Season 2'!$N$20:$N$131&gt;='PvP IB Cricket Season 2'!$D$17,'PvP IB Cricket Season 2'!$D$9,'PvP IB Cricket Season 2'!$O$20:$O$131))+SUMPRODUCT(('PvP IB Cricket Season 2'!$G$20:$G$131='PvP IB Cricket Season 2'!$AC$7)*('PvP IB Cricket Season 2'!$L$20:$L$131=AQ12)*IF('PvP IB Cricket Season 2'!$J$20:$J$131&gt;='PvP IB Cricket Season 2'!$D$17,'PvP IB Cricket Season 2'!$D$9,'PvP IB Cricket Season 2'!$K$20:$K$131)))</f>
        <v/>
      </c>
      <c r="BB12" s="73" t="str">
        <f t="shared" si="21"/>
        <v/>
      </c>
      <c r="BC12" s="74" t="str">
        <f t="shared" si="22"/>
        <v/>
      </c>
      <c r="BD12" s="75" t="str">
        <f t="array" ref="BD12">IF(AQ12="","",SUMPRODUCT(($BC$6:$BC$15&gt;BC12)*1)+1)</f>
        <v/>
      </c>
      <c r="BF12" s="122" t="str">
        <f t="array" ref="BF12">IFERROR(INDEX(_xlfn._xlws.FILTER('PvP IB Cricket Season 2'!$C$20:$C$51,'PvP IB Cricket Season 2'!$D$20:$D$51='PvP IB Cricket Season 2'!$AC$8),7),"")</f>
        <v/>
      </c>
      <c r="BG12" s="84" t="str">
        <f>IF(BF12="","",COUNTIFS('PvP IB Cricket Season 2'!$G$20:$G$131,'PvP IB Cricket Season 2'!$AC$8,'PvP IB Cricket Season 2'!$H$20:$H$131,BF12,'PvP IB Cricket Season 2'!$P$20:$P$131,"A")+COUNTIFS('PvP IB Cricket Season 2'!$G$20:$G$131,'PvP IB Cricket Season 2'!$AC$8,'PvP IB Cricket Season 2'!$L$20:$L$131,BF12,'PvP IB Cricket Season 2'!$P$20:$P$131,"B")+COUNTIFS('PvP IB Cricket Season 2'!$G$20:$G$131,'PvP IB Cricket Season 2'!$AC$8,'PvP IB Cricket Season 2'!$H$20:$H$131,BF12,'PvP IB Cricket Season 2'!$P$20:$P$131,"B")+COUNTIFS('PvP IB Cricket Season 2'!$G$20:$G$131,'PvP IB Cricket Season 2'!$AC$8,'PvP IB Cricket Season 2'!$L$20:$L$131,BF12,'PvP IB Cricket Season 2'!$P$20:$P$131,"A")+COUNTIFS('PvP IB Cricket Season 2'!$G$20:$G$131,'PvP IB Cricket Season 2'!$AC$8,'PvP IB Cricket Season 2'!$H$20:$H$131,BF12,'PvP IB Cricket Season 2'!$P$20:$P$131,"Tie")+COUNTIFS('PvP IB Cricket Season 2'!$G$20:$G$131,'PvP IB Cricket Season 2'!$AC$8,'PvP IB Cricket Season 2'!$L$20:$L$131,BF12,'PvP IB Cricket Season 2'!$P$20:$P$131,"Tie")+COUNTIFS('PvP IB Cricket Season 2'!$G$20:$G$131,'PvP IB Cricket Season 2'!$AC$8,'PvP IB Cricket Season 2'!$H$20:$H$131,BF12,'PvP IB Cricket Season 2'!$P$20:$P$131,"NR")+COUNTIFS('PvP IB Cricket Season 2'!$G$20:$G$131,'PvP IB Cricket Season 2'!$AC$8,'PvP IB Cricket Season 2'!$L$20:$L$131,BF12,'PvP IB Cricket Season 2'!$P$20:$P$131,"NR"))</f>
        <v/>
      </c>
      <c r="BH12" s="84" t="str">
        <f>IF(BF12="","",COUNTIFS('PvP IB Cricket Season 2'!$G$20:$G$131,'PvP IB Cricket Season 2'!$AC$8,'PvP IB Cricket Season 2'!$H$20:$H$131,BF12,'PvP IB Cricket Season 2'!$P$20:$P$131,"A")+COUNTIFS('PvP IB Cricket Season 2'!$G$20:$G$131,'PvP IB Cricket Season 2'!$AC$8,'PvP IB Cricket Season 2'!$L$20:$L$131,BF12,'PvP IB Cricket Season 2'!$P$20:$P$131,"B"))</f>
        <v/>
      </c>
      <c r="BI12" s="84" t="str">
        <f>IF(BF12="","",COUNTIFS('PvP IB Cricket Season 2'!$G$20:$G$131,'PvP IB Cricket Season 2'!$AC$8,'PvP IB Cricket Season 2'!$H$20:$H$131,BF12,'PvP IB Cricket Season 2'!$P$20:$P$131,"B")+COUNTIFS('PvP IB Cricket Season 2'!$G$20:$G$131,'PvP IB Cricket Season 2'!$AC$8,'PvP IB Cricket Season 2'!$L$20:$L$131,BF12,'PvP IB Cricket Season 2'!$P$20:$P$131,"A"))</f>
        <v/>
      </c>
      <c r="BJ12" s="84" t="str">
        <f>IF(BF12="","",COUNTIFS('PvP IB Cricket Season 2'!$G$20:$G$131,'PvP IB Cricket Season 2'!$AC$8,'PvP IB Cricket Season 2'!$H$20:$H$131,BF12,'PvP IB Cricket Season 2'!$P$20:$P$131,"Tie")+COUNTIFS('PvP IB Cricket Season 2'!$G$20:$G$131,'PvP IB Cricket Season 2'!$AC$8,'PvP IB Cricket Season 2'!$L$20:$L$131,BF12,'PvP IB Cricket Season 2'!$P$20:$P$131,"Tie"))</f>
        <v/>
      </c>
      <c r="BK12" s="84" t="str">
        <f>IF(BF12="","",COUNTIFS('PvP IB Cricket Season 2'!$G$20:$G$131,'PvP IB Cricket Season 2'!$AC$8,'PvP IB Cricket Season 2'!$H$20:$H$131,BF12,'PvP IB Cricket Season 2'!$P$20:$P$131,"NR")+COUNTIFS('PvP IB Cricket Season 2'!$G$20:$G$131,'PvP IB Cricket Season 2'!$AC$8,'PvP IB Cricket Season 2'!$L$20:$L$131,BF12,'PvP IB Cricket Season 2'!$P$20:$P$131,"NR"))</f>
        <v/>
      </c>
      <c r="BL12" s="84" t="str">
        <f t="shared" si="23"/>
        <v/>
      </c>
      <c r="BM12" s="84" t="str">
        <f>IF(BF12="","",SUMIFS('PvP IB Cricket Season 2'!$I$20:$I$131,'PvP IB Cricket Season 2'!$G$20:$G$131,'PvP IB Cricket Season 2'!$AC$8,'PvP IB Cricket Season 2'!$H$20:$H$131,BF12)+SUMIFS('PvP IB Cricket Season 2'!$M$20:$M$131,'PvP IB Cricket Season 2'!$G$20:$G$131,'PvP IB Cricket Season 2'!$AC$8,'PvP IB Cricket Season 2'!$L$20:$L$131,BF12))</f>
        <v/>
      </c>
      <c r="BN12" s="84" t="str">
        <f t="array" ref="BN12">IF(BF12="","",SUMPRODUCT(('PvP IB Cricket Season 2'!$G$20:$G$131='PvP IB Cricket Season 2'!$AC$8)*('PvP IB Cricket Season 2'!$H$20:$H$131=BF12)*IF('PvP IB Cricket Season 2'!$J$20:$J$131&gt;='PvP IB Cricket Season 2'!$D$17,'PvP IB Cricket Season 2'!$D$9,'PvP IB Cricket Season 2'!$K$20:$K$131))+SUMPRODUCT(('PvP IB Cricket Season 2'!$G$20:$G$131='PvP IB Cricket Season 2'!$AC$8)*('PvP IB Cricket Season 2'!$L$20:$L$131=BF12)*IF('PvP IB Cricket Season 2'!$N$20:$N$131&gt;='PvP IB Cricket Season 2'!$D$17,'PvP IB Cricket Season 2'!$D$9,'PvP IB Cricket Season 2'!$O$20:$O$131)))</f>
        <v/>
      </c>
      <c r="BO12" s="84" t="str">
        <f>IF(BF12="","",SUMIFS('PvP IB Cricket Season 2'!$M$20:$M$131,'PvP IB Cricket Season 2'!$G$20:$G$131,'PvP IB Cricket Season 2'!$AC$8,'PvP IB Cricket Season 2'!$H$20:$H$131,BF12)+SUMIFS('PvP IB Cricket Season 2'!$I$20:$I$131,'PvP IB Cricket Season 2'!$G$20:$G$131,'PvP IB Cricket Season 2'!$AC$8,'PvP IB Cricket Season 2'!$L$20:$L$131,BF12))</f>
        <v/>
      </c>
      <c r="BP12" s="84" t="str">
        <f t="array" ref="BP12">IF(BF12="","",SUMPRODUCT(('PvP IB Cricket Season 2'!$G$20:$G$131='PvP IB Cricket Season 2'!$AC$8)*('PvP IB Cricket Season 2'!$H$20:$H$131=BF12)*IF('PvP IB Cricket Season 2'!$N$20:$N$131&gt;='PvP IB Cricket Season 2'!$D$17,'PvP IB Cricket Season 2'!$D$9,'PvP IB Cricket Season 2'!$O$20:$O$131))+SUMPRODUCT(('PvP IB Cricket Season 2'!$G$20:$G$131='PvP IB Cricket Season 2'!$AC$8)*('PvP IB Cricket Season 2'!$L$20:$L$131=BF12)*IF('PvP IB Cricket Season 2'!$J$20:$J$131&gt;='PvP IB Cricket Season 2'!$D$17,'PvP IB Cricket Season 2'!$D$9,'PvP IB Cricket Season 2'!$K$20:$K$131)))</f>
        <v/>
      </c>
      <c r="BQ12" s="85" t="str">
        <f t="shared" si="24"/>
        <v/>
      </c>
      <c r="BR12" s="86" t="str">
        <f t="shared" si="25"/>
        <v/>
      </c>
      <c r="BS12" s="87" t="str">
        <f t="array" ref="BS12">IF(BF12="","",SUMPRODUCT(($BR$6:$BR$15&gt;BR12)*1)+1)</f>
        <v/>
      </c>
      <c r="BU12" s="125" t="str">
        <f t="array" ref="BU12">IFERROR(INDEX(_xlfn._xlws.FILTER('PvP IB Cricket Season 2'!$C$20:$C$51,'PvP IB Cricket Season 2'!$D$20:$D$51='PvP IB Cricket Season 2'!$AC$9),7),"")</f>
        <v/>
      </c>
      <c r="BV12" s="51" t="str">
        <f>IF(BU12="","",COUNTIFS('PvP IB Cricket Season 2'!$G$20:$G$131,'PvP IB Cricket Season 2'!$AC$9,'PvP IB Cricket Season 2'!$H$20:$H$131,BU12,'PvP IB Cricket Season 2'!$P$20:$P$131,"A")+COUNTIFS('PvP IB Cricket Season 2'!$G$20:$G$131,'PvP IB Cricket Season 2'!$AC$9,'PvP IB Cricket Season 2'!$L$20:$L$131,BU12,'PvP IB Cricket Season 2'!$P$20:$P$131,"B")+COUNTIFS('PvP IB Cricket Season 2'!$G$20:$G$131,'PvP IB Cricket Season 2'!$AC$9,'PvP IB Cricket Season 2'!$H$20:$H$131,BU12,'PvP IB Cricket Season 2'!$P$20:$P$131,"B")+COUNTIFS('PvP IB Cricket Season 2'!$G$20:$G$131,'PvP IB Cricket Season 2'!$AC$9,'PvP IB Cricket Season 2'!$L$20:$L$131,BU12,'PvP IB Cricket Season 2'!$P$20:$P$131,"A")+COUNTIFS('PvP IB Cricket Season 2'!$G$20:$G$131,'PvP IB Cricket Season 2'!$AC$9,'PvP IB Cricket Season 2'!$H$20:$H$131,BU12,'PvP IB Cricket Season 2'!$P$20:$P$131,"Tie")+COUNTIFS('PvP IB Cricket Season 2'!$G$20:$G$131,'PvP IB Cricket Season 2'!$AC$9,'PvP IB Cricket Season 2'!$L$20:$L$131,BU12,'PvP IB Cricket Season 2'!$P$20:$P$131,"Tie")+COUNTIFS('PvP IB Cricket Season 2'!$G$20:$G$131,'PvP IB Cricket Season 2'!$AC$9,'PvP IB Cricket Season 2'!$H$20:$H$131,BU12,'PvP IB Cricket Season 2'!$P$20:$P$131,"NR")+COUNTIFS('PvP IB Cricket Season 2'!$G$20:$G$131,'PvP IB Cricket Season 2'!$AC$9,'PvP IB Cricket Season 2'!$L$20:$L$131,BU12,'PvP IB Cricket Season 2'!$P$20:$P$131,"NR"))</f>
        <v/>
      </c>
      <c r="BW12" s="51" t="str">
        <f>IF(BU12="","",COUNTIFS('PvP IB Cricket Season 2'!$G$20:$G$131,'PvP IB Cricket Season 2'!$AC$9,'PvP IB Cricket Season 2'!$H$20:$H$131,BU12,'PvP IB Cricket Season 2'!$P$20:$P$131,"A")+COUNTIFS('PvP IB Cricket Season 2'!$G$20:$G$131,'PvP IB Cricket Season 2'!$AC$9,'PvP IB Cricket Season 2'!$L$20:$L$131,BU12,'PvP IB Cricket Season 2'!$P$20:$P$131,"B"))</f>
        <v/>
      </c>
      <c r="BX12" s="51" t="str">
        <f>IF(BU12="","",COUNTIFS('PvP IB Cricket Season 2'!$G$20:$G$131,'PvP IB Cricket Season 2'!$AC$9,'PvP IB Cricket Season 2'!$H$20:$H$131,BU12,'PvP IB Cricket Season 2'!$P$20:$P$131,"B")+COUNTIFS('PvP IB Cricket Season 2'!$G$20:$G$131,'PvP IB Cricket Season 2'!$AC$9,'PvP IB Cricket Season 2'!$L$20:$L$131,BU12,'PvP IB Cricket Season 2'!$P$20:$P$131,"A"))</f>
        <v/>
      </c>
      <c r="BY12" s="51" t="str">
        <f>IF(BU12="","",COUNTIFS('PvP IB Cricket Season 2'!$G$20:$G$131,'PvP IB Cricket Season 2'!$AC$9,'PvP IB Cricket Season 2'!$H$20:$H$131,BU12,'PvP IB Cricket Season 2'!$P$20:$P$131,"Tie")+COUNTIFS('PvP IB Cricket Season 2'!$G$20:$G$131,'PvP IB Cricket Season 2'!$AC$9,'PvP IB Cricket Season 2'!$L$20:$L$131,BU12,'PvP IB Cricket Season 2'!$P$20:$P$131,"Tie"))</f>
        <v/>
      </c>
      <c r="BZ12" s="51" t="str">
        <f>IF(BU12="","",COUNTIFS('PvP IB Cricket Season 2'!$G$20:$G$131,'PvP IB Cricket Season 2'!$AC$9,'PvP IB Cricket Season 2'!$H$20:$H$131,BU12,'PvP IB Cricket Season 2'!$P$20:$P$131,"NR")+COUNTIFS('PvP IB Cricket Season 2'!$G$20:$G$131,'PvP IB Cricket Season 2'!$AC$9,'PvP IB Cricket Season 2'!$L$20:$L$131,BU12,'PvP IB Cricket Season 2'!$P$20:$P$131,"NR"))</f>
        <v/>
      </c>
      <c r="CA12" s="51" t="str">
        <f t="shared" si="26"/>
        <v/>
      </c>
      <c r="CB12" s="51" t="str">
        <f>IF(BU12="","",SUMIFS('PvP IB Cricket Season 2'!$I$20:$I$131,'PvP IB Cricket Season 2'!$G$20:$G$131,'PvP IB Cricket Season 2'!$AC$9,'PvP IB Cricket Season 2'!$H$20:$H$131,BU12)+SUMIFS('PvP IB Cricket Season 2'!$M$20:$M$131,'PvP IB Cricket Season 2'!$G$20:$G$131,'PvP IB Cricket Season 2'!$AC$9,'PvP IB Cricket Season 2'!$L$20:$L$131,BU12))</f>
        <v/>
      </c>
      <c r="CC12" s="51" t="str">
        <f t="array" ref="CC12">IF(BU12="","",SUMPRODUCT(('PvP IB Cricket Season 2'!$G$20:$G$131='PvP IB Cricket Season 2'!$AC$9)*('PvP IB Cricket Season 2'!$H$20:$H$131=BU12)*IF('PvP IB Cricket Season 2'!$J$20:$J$131&gt;='PvP IB Cricket Season 2'!$D$17,'PvP IB Cricket Season 2'!$D$9,'PvP IB Cricket Season 2'!$K$20:$K$131))+SUMPRODUCT(('PvP IB Cricket Season 2'!$G$20:$G$131='PvP IB Cricket Season 2'!$AC$9)*('PvP IB Cricket Season 2'!$L$20:$L$131=BU12)*IF('PvP IB Cricket Season 2'!$N$20:$N$131&gt;='PvP IB Cricket Season 2'!$D$17,'PvP IB Cricket Season 2'!$D$9,'PvP IB Cricket Season 2'!$O$20:$O$131)))</f>
        <v/>
      </c>
      <c r="CD12" s="51" t="str">
        <f>IF(BU12="","",SUMIFS('PvP IB Cricket Season 2'!$M$20:$M$131,'PvP IB Cricket Season 2'!$G$20:$G$131,'PvP IB Cricket Season 2'!$AC$9,'PvP IB Cricket Season 2'!$H$20:$H$131,BU12)+SUMIFS('PvP IB Cricket Season 2'!$I$20:$I$131,'PvP IB Cricket Season 2'!$G$20:$G$131,'PvP IB Cricket Season 2'!$AC$9,'PvP IB Cricket Season 2'!$L$20:$L$131,BU12))</f>
        <v/>
      </c>
      <c r="CE12" s="51" t="str">
        <f t="array" ref="CE12">IF(BU12="","",SUMPRODUCT(('PvP IB Cricket Season 2'!$G$20:$G$131='PvP IB Cricket Season 2'!$AC$9)*('PvP IB Cricket Season 2'!$H$20:$H$131=BU12)*IF('PvP IB Cricket Season 2'!$N$20:$N$131&gt;='PvP IB Cricket Season 2'!$D$17,'PvP IB Cricket Season 2'!$D$9,'PvP IB Cricket Season 2'!$O$20:$O$131))+SUMPRODUCT(('PvP IB Cricket Season 2'!$G$20:$G$131='PvP IB Cricket Season 2'!$AC$9)*('PvP IB Cricket Season 2'!$L$20:$L$131=BU12)*IF('PvP IB Cricket Season 2'!$J$20:$J$131&gt;='PvP IB Cricket Season 2'!$D$17,'PvP IB Cricket Season 2'!$D$9,'PvP IB Cricket Season 2'!$K$20:$K$131)))</f>
        <v/>
      </c>
      <c r="CF12" s="96" t="str">
        <f t="shared" si="27"/>
        <v/>
      </c>
      <c r="CG12" s="97" t="str">
        <f t="shared" si="28"/>
        <v/>
      </c>
      <c r="CH12" s="98" t="str">
        <f t="array" ref="CH12">IF(BU12="","",SUMPRODUCT(($CG$6:$CG$15&gt;CG12)*1)+1)</f>
        <v/>
      </c>
      <c r="CJ12" s="128" t="str">
        <f t="array" ref="CJ12">IFERROR(INDEX(_xlfn._xlws.FILTER('PvP IB Cricket Season 2'!$C$20:$C$51,'PvP IB Cricket Season 2'!$D$20:$D$51='PvP IB Cricket Season 2'!$AC$10),7),"")</f>
        <v/>
      </c>
      <c r="CK12" s="107" t="str">
        <f>IF(CJ12="","",COUNTIFS('PvP IB Cricket Season 2'!$G$20:$G$131,'PvP IB Cricket Season 2'!$AC$10,'PvP IB Cricket Season 2'!$H$20:$H$131,CJ12,'PvP IB Cricket Season 2'!$P$20:$P$131,"A")+COUNTIFS('PvP IB Cricket Season 2'!$G$20:$G$131,'PvP IB Cricket Season 2'!$AC$10,'PvP IB Cricket Season 2'!$L$20:$L$131,CJ12,'PvP IB Cricket Season 2'!$P$20:$P$131,"B")+COUNTIFS('PvP IB Cricket Season 2'!$G$20:$G$131,'PvP IB Cricket Season 2'!$AC$10,'PvP IB Cricket Season 2'!$H$20:$H$131,CJ12,'PvP IB Cricket Season 2'!$P$20:$P$131,"B")+COUNTIFS('PvP IB Cricket Season 2'!$G$20:$G$131,'PvP IB Cricket Season 2'!$AC$10,'PvP IB Cricket Season 2'!$L$20:$L$131,CJ12,'PvP IB Cricket Season 2'!$P$20:$P$131,"A")+COUNTIFS('PvP IB Cricket Season 2'!$G$20:$G$131,'PvP IB Cricket Season 2'!$AC$10,'PvP IB Cricket Season 2'!$H$20:$H$131,CJ12,'PvP IB Cricket Season 2'!$P$20:$P$131,"Tie")+COUNTIFS('PvP IB Cricket Season 2'!$G$20:$G$131,'PvP IB Cricket Season 2'!$AC$10,'PvP IB Cricket Season 2'!$L$20:$L$131,CJ12,'PvP IB Cricket Season 2'!$P$20:$P$131,"Tie")+COUNTIFS('PvP IB Cricket Season 2'!$G$20:$G$131,'PvP IB Cricket Season 2'!$AC$10,'PvP IB Cricket Season 2'!$H$20:$H$131,CJ12,'PvP IB Cricket Season 2'!$P$20:$P$131,"NR")+COUNTIFS('PvP IB Cricket Season 2'!$G$20:$G$131,'PvP IB Cricket Season 2'!$AC$10,'PvP IB Cricket Season 2'!$L$20:$L$131,CJ12,'PvP IB Cricket Season 2'!$P$20:$P$131,"NR"))</f>
        <v/>
      </c>
      <c r="CL12" s="107" t="str">
        <f>IF(CJ12="","",COUNTIFS('PvP IB Cricket Season 2'!$G$20:$G$131,'PvP IB Cricket Season 2'!$AC$10,'PvP IB Cricket Season 2'!$H$20:$H$131,CJ12,'PvP IB Cricket Season 2'!$P$20:$P$131,"A")+COUNTIFS('PvP IB Cricket Season 2'!$G$20:$G$131,'PvP IB Cricket Season 2'!$AC$10,'PvP IB Cricket Season 2'!$L$20:$L$131,CJ12,'PvP IB Cricket Season 2'!$P$20:$P$131,"B"))</f>
        <v/>
      </c>
      <c r="CM12" s="107" t="str">
        <f>IF(CJ12="","",COUNTIFS('PvP IB Cricket Season 2'!$G$20:$G$131,'PvP IB Cricket Season 2'!$AC$10,'PvP IB Cricket Season 2'!$H$20:$H$131,CJ12,'PvP IB Cricket Season 2'!$P$20:$P$131,"B")+COUNTIFS('PvP IB Cricket Season 2'!$G$20:$G$131,'PvP IB Cricket Season 2'!$AC$10,'PvP IB Cricket Season 2'!$L$20:$L$131,CJ12,'PvP IB Cricket Season 2'!$P$20:$P$131,"A"))</f>
        <v/>
      </c>
      <c r="CN12" s="107" t="str">
        <f>IF(CJ12="","",COUNTIFS('PvP IB Cricket Season 2'!$G$20:$G$131,'PvP IB Cricket Season 2'!$AC$10,'PvP IB Cricket Season 2'!$H$20:$H$131,CJ12,'PvP IB Cricket Season 2'!$P$20:$P$131,"Tie")+COUNTIFS('PvP IB Cricket Season 2'!$G$20:$G$131,'PvP IB Cricket Season 2'!$AC$10,'PvP IB Cricket Season 2'!$L$20:$L$131,CJ12,'PvP IB Cricket Season 2'!$P$20:$P$131,"Tie"))</f>
        <v/>
      </c>
      <c r="CO12" s="107" t="str">
        <f>IF(CJ12="","",COUNTIFS('PvP IB Cricket Season 2'!$G$20:$G$131,'PvP IB Cricket Season 2'!$AC$10,'PvP IB Cricket Season 2'!$H$20:$H$131,CJ12,'PvP IB Cricket Season 2'!$P$20:$P$131,"NR")+COUNTIFS('PvP IB Cricket Season 2'!$G$20:$G$131,'PvP IB Cricket Season 2'!$AC$10,'PvP IB Cricket Season 2'!$L$20:$L$131,CJ12,'PvP IB Cricket Season 2'!$P$20:$P$131,"NR"))</f>
        <v/>
      </c>
      <c r="CP12" s="107" t="str">
        <f t="shared" si="29"/>
        <v/>
      </c>
      <c r="CQ12" s="107" t="str">
        <f>IF(CJ12="","",SUMIFS('PvP IB Cricket Season 2'!$I$20:$I$131,'PvP IB Cricket Season 2'!$G$20:$G$131,'PvP IB Cricket Season 2'!$AC$10,'PvP IB Cricket Season 2'!$H$20:$H$131,CJ12)+SUMIFS('PvP IB Cricket Season 2'!$M$20:$M$131,'PvP IB Cricket Season 2'!$G$20:$G$131,'PvP IB Cricket Season 2'!$AC$10,'PvP IB Cricket Season 2'!$L$20:$L$131,CJ12))</f>
        <v/>
      </c>
      <c r="CR12" s="107" t="str">
        <f t="array" ref="CR12">IF(CJ12="","",SUMPRODUCT(('PvP IB Cricket Season 2'!$G$20:$G$131='PvP IB Cricket Season 2'!$AC$10)*('PvP IB Cricket Season 2'!$H$20:$H$131=CJ12)*IF('PvP IB Cricket Season 2'!$J$20:$J$131&gt;='PvP IB Cricket Season 2'!$D$17,'PvP IB Cricket Season 2'!$D$9,'PvP IB Cricket Season 2'!$K$20:$K$131))+SUMPRODUCT(('PvP IB Cricket Season 2'!$G$20:$G$131='PvP IB Cricket Season 2'!$AC$10)*('PvP IB Cricket Season 2'!$L$20:$L$131=CJ12)*IF('PvP IB Cricket Season 2'!$N$20:$N$131&gt;='PvP IB Cricket Season 2'!$D$17,'PvP IB Cricket Season 2'!$D$9,'PvP IB Cricket Season 2'!$O$20:$O$131)))</f>
        <v/>
      </c>
      <c r="CS12" s="107" t="str">
        <f>IF(CJ12="","",SUMIFS('PvP IB Cricket Season 2'!$M$20:$M$131,'PvP IB Cricket Season 2'!$G$20:$G$131,'PvP IB Cricket Season 2'!$AC$10,'PvP IB Cricket Season 2'!$H$20:$H$131,CJ12)+SUMIFS('PvP IB Cricket Season 2'!$I$20:$I$131,'PvP IB Cricket Season 2'!$G$20:$G$131,'PvP IB Cricket Season 2'!$AC$10,'PvP IB Cricket Season 2'!$L$20:$L$131,CJ12))</f>
        <v/>
      </c>
      <c r="CT12" s="107" t="str">
        <f t="array" ref="CT12">IF(CJ12="","",SUMPRODUCT(('PvP IB Cricket Season 2'!$G$20:$G$131='PvP IB Cricket Season 2'!$AC$10)*('PvP IB Cricket Season 2'!$H$20:$H$131=CJ12)*IF('PvP IB Cricket Season 2'!$N$20:$N$131&gt;='PvP IB Cricket Season 2'!$D$17,'PvP IB Cricket Season 2'!$D$9,'PvP IB Cricket Season 2'!$O$20:$O$131))+SUMPRODUCT(('PvP IB Cricket Season 2'!$G$20:$G$131='PvP IB Cricket Season 2'!$AC$10)*('PvP IB Cricket Season 2'!$L$20:$L$131=CJ12)*IF('PvP IB Cricket Season 2'!$J$20:$J$131&gt;='PvP IB Cricket Season 2'!$D$17,'PvP IB Cricket Season 2'!$D$9,'PvP IB Cricket Season 2'!$K$20:$K$131)))</f>
        <v/>
      </c>
      <c r="CU12" s="108" t="str">
        <f t="shared" si="30"/>
        <v/>
      </c>
      <c r="CV12" s="109" t="str">
        <f t="shared" si="31"/>
        <v/>
      </c>
      <c r="CW12" s="110" t="str">
        <f t="array" ref="CW12">IF(CJ12="","",SUMPRODUCT(($CV$6:$CV$15&gt;CV12)*1)+1)</f>
        <v/>
      </c>
    </row>
    <row r="13" spans="1:101" ht="20.100000000000001" customHeight="1" x14ac:dyDescent="0.3">
      <c r="A13" s="38"/>
      <c r="B13" s="182">
        <v>8</v>
      </c>
      <c r="C13" s="183" t="str">
        <f t="shared" si="0"/>
        <v/>
      </c>
      <c r="D13" s="184" t="str">
        <f t="shared" si="1"/>
        <v/>
      </c>
      <c r="E13" s="184" t="str">
        <f t="shared" si="2"/>
        <v/>
      </c>
      <c r="F13" s="184" t="str">
        <f t="shared" si="3"/>
        <v/>
      </c>
      <c r="G13" s="184" t="str">
        <f t="shared" si="4"/>
        <v/>
      </c>
      <c r="H13" s="184" t="str">
        <f t="shared" si="5"/>
        <v/>
      </c>
      <c r="I13" s="185" t="str">
        <f t="shared" si="6"/>
        <v/>
      </c>
      <c r="J13" s="184" t="str">
        <f t="shared" si="7"/>
        <v/>
      </c>
      <c r="K13" s="186" t="str">
        <f t="array" ref="K13">IF(C13="","",SUMPRODUCT(('PvP IB Cricket Season 2'!$G$20:$G$131='PvP IB Cricket Season 2'!$AC$7)*('PvP IB Cricket Season 2'!$H$20:$H$131=C13)*('PvP IB Cricket Season 2'!$K$20:$K$131))+SUMPRODUCT(('PvP IB Cricket Season 2'!$G$20:$G$131='PvP IB Cricket Season 2'!$AC$7)*('PvP IB Cricket Season 2'!$L$20:$L$131=C13)*('PvP IB Cricket Season 2'!$O$20:$O$131)))</f>
        <v/>
      </c>
      <c r="L13" s="184" t="str">
        <f t="shared" si="8"/>
        <v/>
      </c>
      <c r="M13" s="186" t="str">
        <f t="array" ref="M13">IF(C13="","",SUMPRODUCT(('PvP IB Cricket Season 2'!$G$20:$G$131='PvP IB Cricket Season 2'!$AC$7)*('PvP IB Cricket Season 2'!$H$20:$H$131=C13)*('PvP IB Cricket Season 2'!$O$20:$O$131))+SUMPRODUCT(('PvP IB Cricket Season 2'!$G$20:$G$131='PvP IB Cricket Season 2'!$AC$7)*('PvP IB Cricket Season 2'!$L$20:$L$131=C13)*('PvP IB Cricket Season 2'!$K$20:$K$131)))</f>
        <v/>
      </c>
      <c r="N13" s="187" t="str">
        <f t="shared" si="9"/>
        <v/>
      </c>
      <c r="O13" s="38"/>
      <c r="P13" s="200">
        <v>8</v>
      </c>
      <c r="Q13" s="201" t="str">
        <f t="shared" si="10"/>
        <v/>
      </c>
      <c r="R13" s="202" t="str">
        <f t="shared" si="11"/>
        <v/>
      </c>
      <c r="S13" s="202" t="str">
        <f t="shared" si="12"/>
        <v/>
      </c>
      <c r="T13" s="202" t="str">
        <f t="shared" si="13"/>
        <v/>
      </c>
      <c r="U13" s="202" t="str">
        <f t="shared" si="14"/>
        <v/>
      </c>
      <c r="V13" s="202" t="str">
        <f t="shared" si="15"/>
        <v/>
      </c>
      <c r="W13" s="203" t="str">
        <f t="shared" si="16"/>
        <v/>
      </c>
      <c r="X13" s="202" t="str">
        <f t="shared" si="17"/>
        <v/>
      </c>
      <c r="Y13" s="204" t="str">
        <f t="array" ref="Y13">IF(Q13="","",SUMPRODUCT(('PvP IB Cricket Season 2'!$G$20:$G$131='PvP IB Cricket Season 2'!$AC$9)*('PvP IB Cricket Season 2'!$H$20:$H$131=Q13)*('PvP IB Cricket Season 2'!$K$20:$K$131))+SUMPRODUCT(('PvP IB Cricket Season 2'!$G$20:$G$131='PvP IB Cricket Season 2'!$AC$9)*('PvP IB Cricket Season 2'!$L$20:$L$131=Q13)*('PvP IB Cricket Season 2'!$O$20:$O$131)))</f>
        <v/>
      </c>
      <c r="Z13" s="202" t="str">
        <f t="shared" si="18"/>
        <v/>
      </c>
      <c r="AA13" s="204" t="str">
        <f t="array" ref="AA13">IF(Q13="","",SUMPRODUCT(('PvP IB Cricket Season 2'!$G$20:$G$131='PvP IB Cricket Season 2'!$AC$9)*('PvP IB Cricket Season 2'!$H$20:$H$131=Q13)*('PvP IB Cricket Season 2'!$O$20:$O$131))+SUMPRODUCT(('PvP IB Cricket Season 2'!$G$20:$G$131='PvP IB Cricket Season 2'!$AC$9)*('PvP IB Cricket Season 2'!$L$20:$L$131=Q13)*('PvP IB Cricket Season 2'!$K$20:$K$131)))</f>
        <v/>
      </c>
      <c r="AB13" s="205" t="str">
        <f t="shared" si="19"/>
        <v/>
      </c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120" t="str">
        <f t="array" ref="AQ13">IFERROR(INDEX(_xlfn._xlws.FILTER('PvP IB Cricket Season 2'!$C$20:$C$51,'PvP IB Cricket Season 2'!$D$20:$D$51='PvP IB Cricket Season 2'!$AC$7),8),"")</f>
        <v/>
      </c>
      <c r="AR13" s="76" t="str">
        <f>IF(AQ13="","",COUNTIFS('PvP IB Cricket Season 2'!$G$20:$G$131,'PvP IB Cricket Season 2'!$AC$7,'PvP IB Cricket Season 2'!$H$20:$H$131,AQ13,'PvP IB Cricket Season 2'!$P$20:$P$131,"A")+COUNTIFS('PvP IB Cricket Season 2'!$G$20:$G$131,'PvP IB Cricket Season 2'!$AC$7,'PvP IB Cricket Season 2'!$L$20:$L$131,AQ13,'PvP IB Cricket Season 2'!$P$20:$P$131,"B")+COUNTIFS('PvP IB Cricket Season 2'!$G$20:$G$131,'PvP IB Cricket Season 2'!$AC$7,'PvP IB Cricket Season 2'!$H$20:$H$131,AQ13,'PvP IB Cricket Season 2'!$P$20:$P$131,"B")+COUNTIFS('PvP IB Cricket Season 2'!$G$20:$G$131,'PvP IB Cricket Season 2'!$AC$7,'PvP IB Cricket Season 2'!$L$20:$L$131,AQ13,'PvP IB Cricket Season 2'!$P$20:$P$131,"A")+COUNTIFS('PvP IB Cricket Season 2'!$G$20:$G$131,'PvP IB Cricket Season 2'!$AC$7,'PvP IB Cricket Season 2'!$H$20:$H$131,AQ13,'PvP IB Cricket Season 2'!$P$20:$P$131,"Tie")+COUNTIFS('PvP IB Cricket Season 2'!$G$20:$G$131,'PvP IB Cricket Season 2'!$AC$7,'PvP IB Cricket Season 2'!$L$20:$L$131,AQ13,'PvP IB Cricket Season 2'!$P$20:$P$131,"Tie")+COUNTIFS('PvP IB Cricket Season 2'!$G$20:$G$131,'PvP IB Cricket Season 2'!$AC$7,'PvP IB Cricket Season 2'!$H$20:$H$131,AQ13,'PvP IB Cricket Season 2'!$P$20:$P$131,"NR")+COUNTIFS('PvP IB Cricket Season 2'!$G$20:$G$131,'PvP IB Cricket Season 2'!$AC$7,'PvP IB Cricket Season 2'!$L$20:$L$131,AQ13,'PvP IB Cricket Season 2'!$P$20:$P$131,"NR"))</f>
        <v/>
      </c>
      <c r="AS13" s="76" t="str">
        <f>IF(AQ13="","",COUNTIFS('PvP IB Cricket Season 2'!$G$20:$G$131,'PvP IB Cricket Season 2'!$AC$7,'PvP IB Cricket Season 2'!$H$20:$H$131,AQ13,'PvP IB Cricket Season 2'!$P$20:$P$131,"A")+COUNTIFS('PvP IB Cricket Season 2'!$G$20:$G$131,'PvP IB Cricket Season 2'!$AC$7,'PvP IB Cricket Season 2'!$L$20:$L$131,AQ13,'PvP IB Cricket Season 2'!$P$20:$P$131,"B"))</f>
        <v/>
      </c>
      <c r="AT13" s="76" t="str">
        <f>IF(AQ13="","",COUNTIFS('PvP IB Cricket Season 2'!$G$20:$G$131,'PvP IB Cricket Season 2'!$AC$7,'PvP IB Cricket Season 2'!$H$20:$H$131,AQ13,'PvP IB Cricket Season 2'!$P$20:$P$131,"B")+COUNTIFS('PvP IB Cricket Season 2'!$G$20:$G$131,'PvP IB Cricket Season 2'!$AC$7,'PvP IB Cricket Season 2'!$L$20:$L$131,AQ13,'PvP IB Cricket Season 2'!$P$20:$P$131,"A"))</f>
        <v/>
      </c>
      <c r="AU13" s="76" t="str">
        <f>IF(AQ13="","",COUNTIFS('PvP IB Cricket Season 2'!$G$20:$G$131,'PvP IB Cricket Season 2'!$AC$7,'PvP IB Cricket Season 2'!$H$20:$H$131,AQ13,'PvP IB Cricket Season 2'!$P$20:$P$131,"Tie")+COUNTIFS('PvP IB Cricket Season 2'!$G$20:$G$131,'PvP IB Cricket Season 2'!$AC$7,'PvP IB Cricket Season 2'!$L$20:$L$131,AQ13,'PvP IB Cricket Season 2'!$P$20:$P$131,"Tie"))</f>
        <v/>
      </c>
      <c r="AV13" s="76" t="str">
        <f>IF(AQ13="","",COUNTIFS('PvP IB Cricket Season 2'!$G$20:$G$131,'PvP IB Cricket Season 2'!$AC$7,'PvP IB Cricket Season 2'!$H$20:$H$131,AQ13,'PvP IB Cricket Season 2'!$P$20:$P$131,"NR")+COUNTIFS('PvP IB Cricket Season 2'!$G$20:$G$131,'PvP IB Cricket Season 2'!$AC$7,'PvP IB Cricket Season 2'!$L$20:$L$131,AQ13,'PvP IB Cricket Season 2'!$P$20:$P$131,"NR"))</f>
        <v/>
      </c>
      <c r="AW13" s="76" t="str">
        <f t="shared" si="20"/>
        <v/>
      </c>
      <c r="AX13" s="76" t="str">
        <f>IF(AQ13="","",SUMIFS('PvP IB Cricket Season 2'!$I$20:$I$131,'PvP IB Cricket Season 2'!$G$20:$G$131,'PvP IB Cricket Season 2'!$AC$7,'PvP IB Cricket Season 2'!$H$20:$H$131,AQ13)+SUMIFS('PvP IB Cricket Season 2'!$M$20:$M$131,'PvP IB Cricket Season 2'!$G$20:$G$131,'PvP IB Cricket Season 2'!$AC$7,'PvP IB Cricket Season 2'!$L$20:$L$131,AQ13))</f>
        <v/>
      </c>
      <c r="AY13" s="76" t="str">
        <f t="array" ref="AY13">IF(AQ13="","",SUMPRODUCT(('PvP IB Cricket Season 2'!$G$20:$G$131='PvP IB Cricket Season 2'!$AC$7)*('PvP IB Cricket Season 2'!$H$20:$H$131=AQ13)*IF('PvP IB Cricket Season 2'!$J$20:$J$131&gt;='PvP IB Cricket Season 2'!$D$17,'PvP IB Cricket Season 2'!$D$9,'PvP IB Cricket Season 2'!$K$20:$K$131))+SUMPRODUCT(('PvP IB Cricket Season 2'!$G$20:$G$131='PvP IB Cricket Season 2'!$AC$7)*('PvP IB Cricket Season 2'!$L$20:$L$131=AQ13)*IF('PvP IB Cricket Season 2'!$N$20:$N$131&gt;='PvP IB Cricket Season 2'!$D$17,'PvP IB Cricket Season 2'!$D$9,'PvP IB Cricket Season 2'!$O$20:$O$131)))</f>
        <v/>
      </c>
      <c r="AZ13" s="76" t="str">
        <f>IF(AQ13="","",SUMIFS('PvP IB Cricket Season 2'!$M$20:$M$131,'PvP IB Cricket Season 2'!$G$20:$G$131,'PvP IB Cricket Season 2'!$AC$7,'PvP IB Cricket Season 2'!$H$20:$H$131,AQ13)+SUMIFS('PvP IB Cricket Season 2'!$I$20:$I$131,'PvP IB Cricket Season 2'!$G$20:$G$131,'PvP IB Cricket Season 2'!$AC$7,'PvP IB Cricket Season 2'!$L$20:$L$131,AQ13))</f>
        <v/>
      </c>
      <c r="BA13" s="76" t="str">
        <f t="array" ref="BA13">IF(AQ13="","",SUMPRODUCT(('PvP IB Cricket Season 2'!$G$20:$G$131='PvP IB Cricket Season 2'!$AC$7)*('PvP IB Cricket Season 2'!$H$20:$H$131=AQ13)*IF('PvP IB Cricket Season 2'!$N$20:$N$131&gt;='PvP IB Cricket Season 2'!$D$17,'PvP IB Cricket Season 2'!$D$9,'PvP IB Cricket Season 2'!$O$20:$O$131))+SUMPRODUCT(('PvP IB Cricket Season 2'!$G$20:$G$131='PvP IB Cricket Season 2'!$AC$7)*('PvP IB Cricket Season 2'!$L$20:$L$131=AQ13)*IF('PvP IB Cricket Season 2'!$J$20:$J$131&gt;='PvP IB Cricket Season 2'!$D$17,'PvP IB Cricket Season 2'!$D$9,'PvP IB Cricket Season 2'!$K$20:$K$131)))</f>
        <v/>
      </c>
      <c r="BB13" s="77" t="str">
        <f t="shared" si="21"/>
        <v/>
      </c>
      <c r="BC13" s="78" t="str">
        <f t="shared" si="22"/>
        <v/>
      </c>
      <c r="BD13" s="79" t="str">
        <f t="array" ref="BD13">IF(AQ13="","",SUMPRODUCT(($BC$6:$BC$15&gt;BC13)*1)+1)</f>
        <v/>
      </c>
      <c r="BF13" s="123" t="str">
        <f t="array" ref="BF13">IFERROR(INDEX(_xlfn._xlws.FILTER('PvP IB Cricket Season 2'!$C$20:$C$51,'PvP IB Cricket Season 2'!$D$20:$D$51='PvP IB Cricket Season 2'!$AC$8),8),"")</f>
        <v/>
      </c>
      <c r="BG13" s="88" t="str">
        <f>IF(BF13="","",COUNTIFS('PvP IB Cricket Season 2'!$G$20:$G$131,'PvP IB Cricket Season 2'!$AC$8,'PvP IB Cricket Season 2'!$H$20:$H$131,BF13,'PvP IB Cricket Season 2'!$P$20:$P$131,"A")+COUNTIFS('PvP IB Cricket Season 2'!$G$20:$G$131,'PvP IB Cricket Season 2'!$AC$8,'PvP IB Cricket Season 2'!$L$20:$L$131,BF13,'PvP IB Cricket Season 2'!$P$20:$P$131,"B")+COUNTIFS('PvP IB Cricket Season 2'!$G$20:$G$131,'PvP IB Cricket Season 2'!$AC$8,'PvP IB Cricket Season 2'!$H$20:$H$131,BF13,'PvP IB Cricket Season 2'!$P$20:$P$131,"B")+COUNTIFS('PvP IB Cricket Season 2'!$G$20:$G$131,'PvP IB Cricket Season 2'!$AC$8,'PvP IB Cricket Season 2'!$L$20:$L$131,BF13,'PvP IB Cricket Season 2'!$P$20:$P$131,"A")+COUNTIFS('PvP IB Cricket Season 2'!$G$20:$G$131,'PvP IB Cricket Season 2'!$AC$8,'PvP IB Cricket Season 2'!$H$20:$H$131,BF13,'PvP IB Cricket Season 2'!$P$20:$P$131,"Tie")+COUNTIFS('PvP IB Cricket Season 2'!$G$20:$G$131,'PvP IB Cricket Season 2'!$AC$8,'PvP IB Cricket Season 2'!$L$20:$L$131,BF13,'PvP IB Cricket Season 2'!$P$20:$P$131,"Tie")+COUNTIFS('PvP IB Cricket Season 2'!$G$20:$G$131,'PvP IB Cricket Season 2'!$AC$8,'PvP IB Cricket Season 2'!$H$20:$H$131,BF13,'PvP IB Cricket Season 2'!$P$20:$P$131,"NR")+COUNTIFS('PvP IB Cricket Season 2'!$G$20:$G$131,'PvP IB Cricket Season 2'!$AC$8,'PvP IB Cricket Season 2'!$L$20:$L$131,BF13,'PvP IB Cricket Season 2'!$P$20:$P$131,"NR"))</f>
        <v/>
      </c>
      <c r="BH13" s="88" t="str">
        <f>IF(BF13="","",COUNTIFS('PvP IB Cricket Season 2'!$G$20:$G$131,'PvP IB Cricket Season 2'!$AC$8,'PvP IB Cricket Season 2'!$H$20:$H$131,BF13,'PvP IB Cricket Season 2'!$P$20:$P$131,"A")+COUNTIFS('PvP IB Cricket Season 2'!$G$20:$G$131,'PvP IB Cricket Season 2'!$AC$8,'PvP IB Cricket Season 2'!$L$20:$L$131,BF13,'PvP IB Cricket Season 2'!$P$20:$P$131,"B"))</f>
        <v/>
      </c>
      <c r="BI13" s="88" t="str">
        <f>IF(BF13="","",COUNTIFS('PvP IB Cricket Season 2'!$G$20:$G$131,'PvP IB Cricket Season 2'!$AC$8,'PvP IB Cricket Season 2'!$H$20:$H$131,BF13,'PvP IB Cricket Season 2'!$P$20:$P$131,"B")+COUNTIFS('PvP IB Cricket Season 2'!$G$20:$G$131,'PvP IB Cricket Season 2'!$AC$8,'PvP IB Cricket Season 2'!$L$20:$L$131,BF13,'PvP IB Cricket Season 2'!$P$20:$P$131,"A"))</f>
        <v/>
      </c>
      <c r="BJ13" s="88" t="str">
        <f>IF(BF13="","",COUNTIFS('PvP IB Cricket Season 2'!$G$20:$G$131,'PvP IB Cricket Season 2'!$AC$8,'PvP IB Cricket Season 2'!$H$20:$H$131,BF13,'PvP IB Cricket Season 2'!$P$20:$P$131,"Tie")+COUNTIFS('PvP IB Cricket Season 2'!$G$20:$G$131,'PvP IB Cricket Season 2'!$AC$8,'PvP IB Cricket Season 2'!$L$20:$L$131,BF13,'PvP IB Cricket Season 2'!$P$20:$P$131,"Tie"))</f>
        <v/>
      </c>
      <c r="BK13" s="88" t="str">
        <f>IF(BF13="","",COUNTIFS('PvP IB Cricket Season 2'!$G$20:$G$131,'PvP IB Cricket Season 2'!$AC$8,'PvP IB Cricket Season 2'!$H$20:$H$131,BF13,'PvP IB Cricket Season 2'!$P$20:$P$131,"NR")+COUNTIFS('PvP IB Cricket Season 2'!$G$20:$G$131,'PvP IB Cricket Season 2'!$AC$8,'PvP IB Cricket Season 2'!$L$20:$L$131,BF13,'PvP IB Cricket Season 2'!$P$20:$P$131,"NR"))</f>
        <v/>
      </c>
      <c r="BL13" s="88" t="str">
        <f t="shared" si="23"/>
        <v/>
      </c>
      <c r="BM13" s="88" t="str">
        <f>IF(BF13="","",SUMIFS('PvP IB Cricket Season 2'!$I$20:$I$131,'PvP IB Cricket Season 2'!$G$20:$G$131,'PvP IB Cricket Season 2'!$AC$8,'PvP IB Cricket Season 2'!$H$20:$H$131,BF13)+SUMIFS('PvP IB Cricket Season 2'!$M$20:$M$131,'PvP IB Cricket Season 2'!$G$20:$G$131,'PvP IB Cricket Season 2'!$AC$8,'PvP IB Cricket Season 2'!$L$20:$L$131,BF13))</f>
        <v/>
      </c>
      <c r="BN13" s="88" t="str">
        <f t="array" ref="BN13">IF(BF13="","",SUMPRODUCT(('PvP IB Cricket Season 2'!$G$20:$G$131='PvP IB Cricket Season 2'!$AC$8)*('PvP IB Cricket Season 2'!$H$20:$H$131=BF13)*IF('PvP IB Cricket Season 2'!$J$20:$J$131&gt;='PvP IB Cricket Season 2'!$D$17,'PvP IB Cricket Season 2'!$D$9,'PvP IB Cricket Season 2'!$K$20:$K$131))+SUMPRODUCT(('PvP IB Cricket Season 2'!$G$20:$G$131='PvP IB Cricket Season 2'!$AC$8)*('PvP IB Cricket Season 2'!$L$20:$L$131=BF13)*IF('PvP IB Cricket Season 2'!$N$20:$N$131&gt;='PvP IB Cricket Season 2'!$D$17,'PvP IB Cricket Season 2'!$D$9,'PvP IB Cricket Season 2'!$O$20:$O$131)))</f>
        <v/>
      </c>
      <c r="BO13" s="88" t="str">
        <f>IF(BF13="","",SUMIFS('PvP IB Cricket Season 2'!$M$20:$M$131,'PvP IB Cricket Season 2'!$G$20:$G$131,'PvP IB Cricket Season 2'!$AC$8,'PvP IB Cricket Season 2'!$H$20:$H$131,BF13)+SUMIFS('PvP IB Cricket Season 2'!$I$20:$I$131,'PvP IB Cricket Season 2'!$G$20:$G$131,'PvP IB Cricket Season 2'!$AC$8,'PvP IB Cricket Season 2'!$L$20:$L$131,BF13))</f>
        <v/>
      </c>
      <c r="BP13" s="88" t="str">
        <f t="array" ref="BP13">IF(BF13="","",SUMPRODUCT(('PvP IB Cricket Season 2'!$G$20:$G$131='PvP IB Cricket Season 2'!$AC$8)*('PvP IB Cricket Season 2'!$H$20:$H$131=BF13)*IF('PvP IB Cricket Season 2'!$N$20:$N$131&gt;='PvP IB Cricket Season 2'!$D$17,'PvP IB Cricket Season 2'!$D$9,'PvP IB Cricket Season 2'!$O$20:$O$131))+SUMPRODUCT(('PvP IB Cricket Season 2'!$G$20:$G$131='PvP IB Cricket Season 2'!$AC$8)*('PvP IB Cricket Season 2'!$L$20:$L$131=BF13)*IF('PvP IB Cricket Season 2'!$J$20:$J$131&gt;='PvP IB Cricket Season 2'!$D$17,'PvP IB Cricket Season 2'!$D$9,'PvP IB Cricket Season 2'!$K$20:$K$131)))</f>
        <v/>
      </c>
      <c r="BQ13" s="89" t="str">
        <f t="shared" si="24"/>
        <v/>
      </c>
      <c r="BR13" s="90" t="str">
        <f t="shared" si="25"/>
        <v/>
      </c>
      <c r="BS13" s="91" t="str">
        <f t="array" ref="BS13">IF(BF13="","",SUMPRODUCT(($BR$6:$BR$15&gt;BR13)*1)+1)</f>
        <v/>
      </c>
      <c r="BU13" s="126" t="str">
        <f t="array" ref="BU13">IFERROR(INDEX(_xlfn._xlws.FILTER('PvP IB Cricket Season 2'!$C$20:$C$51,'PvP IB Cricket Season 2'!$D$20:$D$51='PvP IB Cricket Season 2'!$AC$9),8),"")</f>
        <v/>
      </c>
      <c r="BV13" s="99" t="str">
        <f>IF(BU13="","",COUNTIFS('PvP IB Cricket Season 2'!$G$20:$G$131,'PvP IB Cricket Season 2'!$AC$9,'PvP IB Cricket Season 2'!$H$20:$H$131,BU13,'PvP IB Cricket Season 2'!$P$20:$P$131,"A")+COUNTIFS('PvP IB Cricket Season 2'!$G$20:$G$131,'PvP IB Cricket Season 2'!$AC$9,'PvP IB Cricket Season 2'!$L$20:$L$131,BU13,'PvP IB Cricket Season 2'!$P$20:$P$131,"B")+COUNTIFS('PvP IB Cricket Season 2'!$G$20:$G$131,'PvP IB Cricket Season 2'!$AC$9,'PvP IB Cricket Season 2'!$H$20:$H$131,BU13,'PvP IB Cricket Season 2'!$P$20:$P$131,"B")+COUNTIFS('PvP IB Cricket Season 2'!$G$20:$G$131,'PvP IB Cricket Season 2'!$AC$9,'PvP IB Cricket Season 2'!$L$20:$L$131,BU13,'PvP IB Cricket Season 2'!$P$20:$P$131,"A")+COUNTIFS('PvP IB Cricket Season 2'!$G$20:$G$131,'PvP IB Cricket Season 2'!$AC$9,'PvP IB Cricket Season 2'!$H$20:$H$131,BU13,'PvP IB Cricket Season 2'!$P$20:$P$131,"Tie")+COUNTIFS('PvP IB Cricket Season 2'!$G$20:$G$131,'PvP IB Cricket Season 2'!$AC$9,'PvP IB Cricket Season 2'!$L$20:$L$131,BU13,'PvP IB Cricket Season 2'!$P$20:$P$131,"Tie")+COUNTIFS('PvP IB Cricket Season 2'!$G$20:$G$131,'PvP IB Cricket Season 2'!$AC$9,'PvP IB Cricket Season 2'!$H$20:$H$131,BU13,'PvP IB Cricket Season 2'!$P$20:$P$131,"NR")+COUNTIFS('PvP IB Cricket Season 2'!$G$20:$G$131,'PvP IB Cricket Season 2'!$AC$9,'PvP IB Cricket Season 2'!$L$20:$L$131,BU13,'PvP IB Cricket Season 2'!$P$20:$P$131,"NR"))</f>
        <v/>
      </c>
      <c r="BW13" s="99" t="str">
        <f>IF(BU13="","",COUNTIFS('PvP IB Cricket Season 2'!$G$20:$G$131,'PvP IB Cricket Season 2'!$AC$9,'PvP IB Cricket Season 2'!$H$20:$H$131,BU13,'PvP IB Cricket Season 2'!$P$20:$P$131,"A")+COUNTIFS('PvP IB Cricket Season 2'!$G$20:$G$131,'PvP IB Cricket Season 2'!$AC$9,'PvP IB Cricket Season 2'!$L$20:$L$131,BU13,'PvP IB Cricket Season 2'!$P$20:$P$131,"B"))</f>
        <v/>
      </c>
      <c r="BX13" s="99" t="str">
        <f>IF(BU13="","",COUNTIFS('PvP IB Cricket Season 2'!$G$20:$G$131,'PvP IB Cricket Season 2'!$AC$9,'PvP IB Cricket Season 2'!$H$20:$H$131,BU13,'PvP IB Cricket Season 2'!$P$20:$P$131,"B")+COUNTIFS('PvP IB Cricket Season 2'!$G$20:$G$131,'PvP IB Cricket Season 2'!$AC$9,'PvP IB Cricket Season 2'!$L$20:$L$131,BU13,'PvP IB Cricket Season 2'!$P$20:$P$131,"A"))</f>
        <v/>
      </c>
      <c r="BY13" s="99" t="str">
        <f>IF(BU13="","",COUNTIFS('PvP IB Cricket Season 2'!$G$20:$G$131,'PvP IB Cricket Season 2'!$AC$9,'PvP IB Cricket Season 2'!$H$20:$H$131,BU13,'PvP IB Cricket Season 2'!$P$20:$P$131,"Tie")+COUNTIFS('PvP IB Cricket Season 2'!$G$20:$G$131,'PvP IB Cricket Season 2'!$AC$9,'PvP IB Cricket Season 2'!$L$20:$L$131,BU13,'PvP IB Cricket Season 2'!$P$20:$P$131,"Tie"))</f>
        <v/>
      </c>
      <c r="BZ13" s="99" t="str">
        <f>IF(BU13="","",COUNTIFS('PvP IB Cricket Season 2'!$G$20:$G$131,'PvP IB Cricket Season 2'!$AC$9,'PvP IB Cricket Season 2'!$H$20:$H$131,BU13,'PvP IB Cricket Season 2'!$P$20:$P$131,"NR")+COUNTIFS('PvP IB Cricket Season 2'!$G$20:$G$131,'PvP IB Cricket Season 2'!$AC$9,'PvP IB Cricket Season 2'!$L$20:$L$131,BU13,'PvP IB Cricket Season 2'!$P$20:$P$131,"NR"))</f>
        <v/>
      </c>
      <c r="CA13" s="99" t="str">
        <f t="shared" si="26"/>
        <v/>
      </c>
      <c r="CB13" s="99" t="str">
        <f>IF(BU13="","",SUMIFS('PvP IB Cricket Season 2'!$I$20:$I$131,'PvP IB Cricket Season 2'!$G$20:$G$131,'PvP IB Cricket Season 2'!$AC$9,'PvP IB Cricket Season 2'!$H$20:$H$131,BU13)+SUMIFS('PvP IB Cricket Season 2'!$M$20:$M$131,'PvP IB Cricket Season 2'!$G$20:$G$131,'PvP IB Cricket Season 2'!$AC$9,'PvP IB Cricket Season 2'!$L$20:$L$131,BU13))</f>
        <v/>
      </c>
      <c r="CC13" s="99" t="str">
        <f t="array" ref="CC13">IF(BU13="","",SUMPRODUCT(('PvP IB Cricket Season 2'!$G$20:$G$131='PvP IB Cricket Season 2'!$AC$9)*('PvP IB Cricket Season 2'!$H$20:$H$131=BU13)*IF('PvP IB Cricket Season 2'!$J$20:$J$131&gt;='PvP IB Cricket Season 2'!$D$17,'PvP IB Cricket Season 2'!$D$9,'PvP IB Cricket Season 2'!$K$20:$K$131))+SUMPRODUCT(('PvP IB Cricket Season 2'!$G$20:$G$131='PvP IB Cricket Season 2'!$AC$9)*('PvP IB Cricket Season 2'!$L$20:$L$131=BU13)*IF('PvP IB Cricket Season 2'!$N$20:$N$131&gt;='PvP IB Cricket Season 2'!$D$17,'PvP IB Cricket Season 2'!$D$9,'PvP IB Cricket Season 2'!$O$20:$O$131)))</f>
        <v/>
      </c>
      <c r="CD13" s="99" t="str">
        <f>IF(BU13="","",SUMIFS('PvP IB Cricket Season 2'!$M$20:$M$131,'PvP IB Cricket Season 2'!$G$20:$G$131,'PvP IB Cricket Season 2'!$AC$9,'PvP IB Cricket Season 2'!$H$20:$H$131,BU13)+SUMIFS('PvP IB Cricket Season 2'!$I$20:$I$131,'PvP IB Cricket Season 2'!$G$20:$G$131,'PvP IB Cricket Season 2'!$AC$9,'PvP IB Cricket Season 2'!$L$20:$L$131,BU13))</f>
        <v/>
      </c>
      <c r="CE13" s="99" t="str">
        <f t="array" ref="CE13">IF(BU13="","",SUMPRODUCT(('PvP IB Cricket Season 2'!$G$20:$G$131='PvP IB Cricket Season 2'!$AC$9)*('PvP IB Cricket Season 2'!$H$20:$H$131=BU13)*IF('PvP IB Cricket Season 2'!$N$20:$N$131&gt;='PvP IB Cricket Season 2'!$D$17,'PvP IB Cricket Season 2'!$D$9,'PvP IB Cricket Season 2'!$O$20:$O$131))+SUMPRODUCT(('PvP IB Cricket Season 2'!$G$20:$G$131='PvP IB Cricket Season 2'!$AC$9)*('PvP IB Cricket Season 2'!$L$20:$L$131=BU13)*IF('PvP IB Cricket Season 2'!$J$20:$J$131&gt;='PvP IB Cricket Season 2'!$D$17,'PvP IB Cricket Season 2'!$D$9,'PvP IB Cricket Season 2'!$K$20:$K$131)))</f>
        <v/>
      </c>
      <c r="CF13" s="100" t="str">
        <f t="shared" si="27"/>
        <v/>
      </c>
      <c r="CG13" s="101" t="str">
        <f t="shared" si="28"/>
        <v/>
      </c>
      <c r="CH13" s="102" t="str">
        <f t="array" ref="CH13">IF(BU13="","",SUMPRODUCT(($CG$6:$CG$15&gt;CG13)*1)+1)</f>
        <v/>
      </c>
      <c r="CJ13" s="129" t="str">
        <f t="array" ref="CJ13">IFERROR(INDEX(_xlfn._xlws.FILTER('PvP IB Cricket Season 2'!$C$20:$C$51,'PvP IB Cricket Season 2'!$D$20:$D$51='PvP IB Cricket Season 2'!$AC$10),8),"")</f>
        <v/>
      </c>
      <c r="CK13" s="111" t="str">
        <f>IF(CJ13="","",COUNTIFS('PvP IB Cricket Season 2'!$G$20:$G$131,'PvP IB Cricket Season 2'!$AC$10,'PvP IB Cricket Season 2'!$H$20:$H$131,CJ13,'PvP IB Cricket Season 2'!$P$20:$P$131,"A")+COUNTIFS('PvP IB Cricket Season 2'!$G$20:$G$131,'PvP IB Cricket Season 2'!$AC$10,'PvP IB Cricket Season 2'!$L$20:$L$131,CJ13,'PvP IB Cricket Season 2'!$P$20:$P$131,"B")+COUNTIFS('PvP IB Cricket Season 2'!$G$20:$G$131,'PvP IB Cricket Season 2'!$AC$10,'PvP IB Cricket Season 2'!$H$20:$H$131,CJ13,'PvP IB Cricket Season 2'!$P$20:$P$131,"B")+COUNTIFS('PvP IB Cricket Season 2'!$G$20:$G$131,'PvP IB Cricket Season 2'!$AC$10,'PvP IB Cricket Season 2'!$L$20:$L$131,CJ13,'PvP IB Cricket Season 2'!$P$20:$P$131,"A")+COUNTIFS('PvP IB Cricket Season 2'!$G$20:$G$131,'PvP IB Cricket Season 2'!$AC$10,'PvP IB Cricket Season 2'!$H$20:$H$131,CJ13,'PvP IB Cricket Season 2'!$P$20:$P$131,"Tie")+COUNTIFS('PvP IB Cricket Season 2'!$G$20:$G$131,'PvP IB Cricket Season 2'!$AC$10,'PvP IB Cricket Season 2'!$L$20:$L$131,CJ13,'PvP IB Cricket Season 2'!$P$20:$P$131,"Tie")+COUNTIFS('PvP IB Cricket Season 2'!$G$20:$G$131,'PvP IB Cricket Season 2'!$AC$10,'PvP IB Cricket Season 2'!$H$20:$H$131,CJ13,'PvP IB Cricket Season 2'!$P$20:$P$131,"NR")+COUNTIFS('PvP IB Cricket Season 2'!$G$20:$G$131,'PvP IB Cricket Season 2'!$AC$10,'PvP IB Cricket Season 2'!$L$20:$L$131,CJ13,'PvP IB Cricket Season 2'!$P$20:$P$131,"NR"))</f>
        <v/>
      </c>
      <c r="CL13" s="111" t="str">
        <f>IF(CJ13="","",COUNTIFS('PvP IB Cricket Season 2'!$G$20:$G$131,'PvP IB Cricket Season 2'!$AC$10,'PvP IB Cricket Season 2'!$H$20:$H$131,CJ13,'PvP IB Cricket Season 2'!$P$20:$P$131,"A")+COUNTIFS('PvP IB Cricket Season 2'!$G$20:$G$131,'PvP IB Cricket Season 2'!$AC$10,'PvP IB Cricket Season 2'!$L$20:$L$131,CJ13,'PvP IB Cricket Season 2'!$P$20:$P$131,"B"))</f>
        <v/>
      </c>
      <c r="CM13" s="111" t="str">
        <f>IF(CJ13="","",COUNTIFS('PvP IB Cricket Season 2'!$G$20:$G$131,'PvP IB Cricket Season 2'!$AC$10,'PvP IB Cricket Season 2'!$H$20:$H$131,CJ13,'PvP IB Cricket Season 2'!$P$20:$P$131,"B")+COUNTIFS('PvP IB Cricket Season 2'!$G$20:$G$131,'PvP IB Cricket Season 2'!$AC$10,'PvP IB Cricket Season 2'!$L$20:$L$131,CJ13,'PvP IB Cricket Season 2'!$P$20:$P$131,"A"))</f>
        <v/>
      </c>
      <c r="CN13" s="111" t="str">
        <f>IF(CJ13="","",COUNTIFS('PvP IB Cricket Season 2'!$G$20:$G$131,'PvP IB Cricket Season 2'!$AC$10,'PvP IB Cricket Season 2'!$H$20:$H$131,CJ13,'PvP IB Cricket Season 2'!$P$20:$P$131,"Tie")+COUNTIFS('PvP IB Cricket Season 2'!$G$20:$G$131,'PvP IB Cricket Season 2'!$AC$10,'PvP IB Cricket Season 2'!$L$20:$L$131,CJ13,'PvP IB Cricket Season 2'!$P$20:$P$131,"Tie"))</f>
        <v/>
      </c>
      <c r="CO13" s="111" t="str">
        <f>IF(CJ13="","",COUNTIFS('PvP IB Cricket Season 2'!$G$20:$G$131,'PvP IB Cricket Season 2'!$AC$10,'PvP IB Cricket Season 2'!$H$20:$H$131,CJ13,'PvP IB Cricket Season 2'!$P$20:$P$131,"NR")+COUNTIFS('PvP IB Cricket Season 2'!$G$20:$G$131,'PvP IB Cricket Season 2'!$AC$10,'PvP IB Cricket Season 2'!$L$20:$L$131,CJ13,'PvP IB Cricket Season 2'!$P$20:$P$131,"NR"))</f>
        <v/>
      </c>
      <c r="CP13" s="111" t="str">
        <f t="shared" si="29"/>
        <v/>
      </c>
      <c r="CQ13" s="111" t="str">
        <f>IF(CJ13="","",SUMIFS('PvP IB Cricket Season 2'!$I$20:$I$131,'PvP IB Cricket Season 2'!$G$20:$G$131,'PvP IB Cricket Season 2'!$AC$10,'PvP IB Cricket Season 2'!$H$20:$H$131,CJ13)+SUMIFS('PvP IB Cricket Season 2'!$M$20:$M$131,'PvP IB Cricket Season 2'!$G$20:$G$131,'PvP IB Cricket Season 2'!$AC$10,'PvP IB Cricket Season 2'!$L$20:$L$131,CJ13))</f>
        <v/>
      </c>
      <c r="CR13" s="111" t="str">
        <f t="array" ref="CR13">IF(CJ13="","",SUMPRODUCT(('PvP IB Cricket Season 2'!$G$20:$G$131='PvP IB Cricket Season 2'!$AC$10)*('PvP IB Cricket Season 2'!$H$20:$H$131=CJ13)*IF('PvP IB Cricket Season 2'!$J$20:$J$131&gt;='PvP IB Cricket Season 2'!$D$17,'PvP IB Cricket Season 2'!$D$9,'PvP IB Cricket Season 2'!$K$20:$K$131))+SUMPRODUCT(('PvP IB Cricket Season 2'!$G$20:$G$131='PvP IB Cricket Season 2'!$AC$10)*('PvP IB Cricket Season 2'!$L$20:$L$131=CJ13)*IF('PvP IB Cricket Season 2'!$N$20:$N$131&gt;='PvP IB Cricket Season 2'!$D$17,'PvP IB Cricket Season 2'!$D$9,'PvP IB Cricket Season 2'!$O$20:$O$131)))</f>
        <v/>
      </c>
      <c r="CS13" s="111" t="str">
        <f>IF(CJ13="","",SUMIFS('PvP IB Cricket Season 2'!$M$20:$M$131,'PvP IB Cricket Season 2'!$G$20:$G$131,'PvP IB Cricket Season 2'!$AC$10,'PvP IB Cricket Season 2'!$H$20:$H$131,CJ13)+SUMIFS('PvP IB Cricket Season 2'!$I$20:$I$131,'PvP IB Cricket Season 2'!$G$20:$G$131,'PvP IB Cricket Season 2'!$AC$10,'PvP IB Cricket Season 2'!$L$20:$L$131,CJ13))</f>
        <v/>
      </c>
      <c r="CT13" s="111" t="str">
        <f t="array" ref="CT13">IF(CJ13="","",SUMPRODUCT(('PvP IB Cricket Season 2'!$G$20:$G$131='PvP IB Cricket Season 2'!$AC$10)*('PvP IB Cricket Season 2'!$H$20:$H$131=CJ13)*IF('PvP IB Cricket Season 2'!$N$20:$N$131&gt;='PvP IB Cricket Season 2'!$D$17,'PvP IB Cricket Season 2'!$D$9,'PvP IB Cricket Season 2'!$O$20:$O$131))+SUMPRODUCT(('PvP IB Cricket Season 2'!$G$20:$G$131='PvP IB Cricket Season 2'!$AC$10)*('PvP IB Cricket Season 2'!$L$20:$L$131=CJ13)*IF('PvP IB Cricket Season 2'!$J$20:$J$131&gt;='PvP IB Cricket Season 2'!$D$17,'PvP IB Cricket Season 2'!$D$9,'PvP IB Cricket Season 2'!$K$20:$K$131)))</f>
        <v/>
      </c>
      <c r="CU13" s="112" t="str">
        <f t="shared" si="30"/>
        <v/>
      </c>
      <c r="CV13" s="113" t="str">
        <f t="shared" si="31"/>
        <v/>
      </c>
      <c r="CW13" s="114" t="str">
        <f t="array" ref="CW13">IF(CJ13="","",SUMPRODUCT(($CV$6:$CV$15&gt;CV13)*1)+1)</f>
        <v/>
      </c>
    </row>
    <row r="14" spans="1:101" ht="20.100000000000001" customHeight="1" x14ac:dyDescent="0.3">
      <c r="A14" s="38"/>
      <c r="B14" s="182">
        <v>9</v>
      </c>
      <c r="C14" s="183" t="str">
        <f t="shared" si="0"/>
        <v/>
      </c>
      <c r="D14" s="184" t="str">
        <f t="shared" si="1"/>
        <v/>
      </c>
      <c r="E14" s="184" t="str">
        <f t="shared" si="2"/>
        <v/>
      </c>
      <c r="F14" s="184" t="str">
        <f t="shared" si="3"/>
        <v/>
      </c>
      <c r="G14" s="184" t="str">
        <f t="shared" si="4"/>
        <v/>
      </c>
      <c r="H14" s="184" t="str">
        <f t="shared" si="5"/>
        <v/>
      </c>
      <c r="I14" s="185" t="str">
        <f t="shared" si="6"/>
        <v/>
      </c>
      <c r="J14" s="184" t="str">
        <f t="shared" si="7"/>
        <v/>
      </c>
      <c r="K14" s="186" t="str">
        <f t="array" ref="K14">IF(C14="","",SUMPRODUCT(('PvP IB Cricket Season 2'!$G$20:$G$131='PvP IB Cricket Season 2'!$AC$7)*('PvP IB Cricket Season 2'!$H$20:$H$131=C14)*('PvP IB Cricket Season 2'!$K$20:$K$131))+SUMPRODUCT(('PvP IB Cricket Season 2'!$G$20:$G$131='PvP IB Cricket Season 2'!$AC$7)*('PvP IB Cricket Season 2'!$L$20:$L$131=C14)*('PvP IB Cricket Season 2'!$O$20:$O$131)))</f>
        <v/>
      </c>
      <c r="L14" s="184" t="str">
        <f t="shared" si="8"/>
        <v/>
      </c>
      <c r="M14" s="186" t="str">
        <f t="array" ref="M14">IF(C14="","",SUMPRODUCT(('PvP IB Cricket Season 2'!$G$20:$G$131='PvP IB Cricket Season 2'!$AC$7)*('PvP IB Cricket Season 2'!$H$20:$H$131=C14)*('PvP IB Cricket Season 2'!$O$20:$O$131))+SUMPRODUCT(('PvP IB Cricket Season 2'!$G$20:$G$131='PvP IB Cricket Season 2'!$AC$7)*('PvP IB Cricket Season 2'!$L$20:$L$131=C14)*('PvP IB Cricket Season 2'!$K$20:$K$131)))</f>
        <v/>
      </c>
      <c r="N14" s="187" t="str">
        <f t="shared" si="9"/>
        <v/>
      </c>
      <c r="O14" s="38"/>
      <c r="P14" s="200">
        <v>9</v>
      </c>
      <c r="Q14" s="201" t="str">
        <f t="shared" si="10"/>
        <v/>
      </c>
      <c r="R14" s="202" t="str">
        <f t="shared" si="11"/>
        <v/>
      </c>
      <c r="S14" s="202" t="str">
        <f t="shared" si="12"/>
        <v/>
      </c>
      <c r="T14" s="202" t="str">
        <f t="shared" si="13"/>
        <v/>
      </c>
      <c r="U14" s="202" t="str">
        <f t="shared" si="14"/>
        <v/>
      </c>
      <c r="V14" s="202" t="str">
        <f t="shared" si="15"/>
        <v/>
      </c>
      <c r="W14" s="203" t="str">
        <f t="shared" si="16"/>
        <v/>
      </c>
      <c r="X14" s="202" t="str">
        <f t="shared" si="17"/>
        <v/>
      </c>
      <c r="Y14" s="204" t="str">
        <f t="array" ref="Y14">IF(Q14="","",SUMPRODUCT(('PvP IB Cricket Season 2'!$G$20:$G$131='PvP IB Cricket Season 2'!$AC$9)*('PvP IB Cricket Season 2'!$H$20:$H$131=Q14)*('PvP IB Cricket Season 2'!$K$20:$K$131))+SUMPRODUCT(('PvP IB Cricket Season 2'!$G$20:$G$131='PvP IB Cricket Season 2'!$AC$9)*('PvP IB Cricket Season 2'!$L$20:$L$131=Q14)*('PvP IB Cricket Season 2'!$O$20:$O$131)))</f>
        <v/>
      </c>
      <c r="Z14" s="202" t="str">
        <f t="shared" si="18"/>
        <v/>
      </c>
      <c r="AA14" s="204" t="str">
        <f t="array" ref="AA14">IF(Q14="","",SUMPRODUCT(('PvP IB Cricket Season 2'!$G$20:$G$131='PvP IB Cricket Season 2'!$AC$9)*('PvP IB Cricket Season 2'!$H$20:$H$131=Q14)*('PvP IB Cricket Season 2'!$O$20:$O$131))+SUMPRODUCT(('PvP IB Cricket Season 2'!$G$20:$G$131='PvP IB Cricket Season 2'!$AC$9)*('PvP IB Cricket Season 2'!$L$20:$L$131=Q14)*('PvP IB Cricket Season 2'!$K$20:$K$131)))</f>
        <v/>
      </c>
      <c r="AB14" s="205" t="str">
        <f t="shared" si="19"/>
        <v/>
      </c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119" t="str">
        <f t="array" ref="AQ14">IFERROR(INDEX(_xlfn._xlws.FILTER('PvP IB Cricket Season 2'!$C$20:$C$51,'PvP IB Cricket Season 2'!$D$20:$D$51='PvP IB Cricket Season 2'!$AC$7),9),"")</f>
        <v/>
      </c>
      <c r="AR14" s="72" t="str">
        <f>IF(AQ14="","",COUNTIFS('PvP IB Cricket Season 2'!$G$20:$G$131,'PvP IB Cricket Season 2'!$AC$7,'PvP IB Cricket Season 2'!$H$20:$H$131,AQ14,'PvP IB Cricket Season 2'!$P$20:$P$131,"A")+COUNTIFS('PvP IB Cricket Season 2'!$G$20:$G$131,'PvP IB Cricket Season 2'!$AC$7,'PvP IB Cricket Season 2'!$L$20:$L$131,AQ14,'PvP IB Cricket Season 2'!$P$20:$P$131,"B")+COUNTIFS('PvP IB Cricket Season 2'!$G$20:$G$131,'PvP IB Cricket Season 2'!$AC$7,'PvP IB Cricket Season 2'!$H$20:$H$131,AQ14,'PvP IB Cricket Season 2'!$P$20:$P$131,"B")+COUNTIFS('PvP IB Cricket Season 2'!$G$20:$G$131,'PvP IB Cricket Season 2'!$AC$7,'PvP IB Cricket Season 2'!$L$20:$L$131,AQ14,'PvP IB Cricket Season 2'!$P$20:$P$131,"A")+COUNTIFS('PvP IB Cricket Season 2'!$G$20:$G$131,'PvP IB Cricket Season 2'!$AC$7,'PvP IB Cricket Season 2'!$H$20:$H$131,AQ14,'PvP IB Cricket Season 2'!$P$20:$P$131,"Tie")+COUNTIFS('PvP IB Cricket Season 2'!$G$20:$G$131,'PvP IB Cricket Season 2'!$AC$7,'PvP IB Cricket Season 2'!$L$20:$L$131,AQ14,'PvP IB Cricket Season 2'!$P$20:$P$131,"Tie")+COUNTIFS('PvP IB Cricket Season 2'!$G$20:$G$131,'PvP IB Cricket Season 2'!$AC$7,'PvP IB Cricket Season 2'!$H$20:$H$131,AQ14,'PvP IB Cricket Season 2'!$P$20:$P$131,"NR")+COUNTIFS('PvP IB Cricket Season 2'!$G$20:$G$131,'PvP IB Cricket Season 2'!$AC$7,'PvP IB Cricket Season 2'!$L$20:$L$131,AQ14,'PvP IB Cricket Season 2'!$P$20:$P$131,"NR"))</f>
        <v/>
      </c>
      <c r="AS14" s="72" t="str">
        <f>IF(AQ14="","",COUNTIFS('PvP IB Cricket Season 2'!$G$20:$G$131,'PvP IB Cricket Season 2'!$AC$7,'PvP IB Cricket Season 2'!$H$20:$H$131,AQ14,'PvP IB Cricket Season 2'!$P$20:$P$131,"A")+COUNTIFS('PvP IB Cricket Season 2'!$G$20:$G$131,'PvP IB Cricket Season 2'!$AC$7,'PvP IB Cricket Season 2'!$L$20:$L$131,AQ14,'PvP IB Cricket Season 2'!$P$20:$P$131,"B"))</f>
        <v/>
      </c>
      <c r="AT14" s="72" t="str">
        <f>IF(AQ14="","",COUNTIFS('PvP IB Cricket Season 2'!$G$20:$G$131,'PvP IB Cricket Season 2'!$AC$7,'PvP IB Cricket Season 2'!$H$20:$H$131,AQ14,'PvP IB Cricket Season 2'!$P$20:$P$131,"B")+COUNTIFS('PvP IB Cricket Season 2'!$G$20:$G$131,'PvP IB Cricket Season 2'!$AC$7,'PvP IB Cricket Season 2'!$L$20:$L$131,AQ14,'PvP IB Cricket Season 2'!$P$20:$P$131,"A"))</f>
        <v/>
      </c>
      <c r="AU14" s="72" t="str">
        <f>IF(AQ14="","",COUNTIFS('PvP IB Cricket Season 2'!$G$20:$G$131,'PvP IB Cricket Season 2'!$AC$7,'PvP IB Cricket Season 2'!$H$20:$H$131,AQ14,'PvP IB Cricket Season 2'!$P$20:$P$131,"Tie")+COUNTIFS('PvP IB Cricket Season 2'!$G$20:$G$131,'PvP IB Cricket Season 2'!$AC$7,'PvP IB Cricket Season 2'!$L$20:$L$131,AQ14,'PvP IB Cricket Season 2'!$P$20:$P$131,"Tie"))</f>
        <v/>
      </c>
      <c r="AV14" s="72" t="str">
        <f>IF(AQ14="","",COUNTIFS('PvP IB Cricket Season 2'!$G$20:$G$131,'PvP IB Cricket Season 2'!$AC$7,'PvP IB Cricket Season 2'!$H$20:$H$131,AQ14,'PvP IB Cricket Season 2'!$P$20:$P$131,"NR")+COUNTIFS('PvP IB Cricket Season 2'!$G$20:$G$131,'PvP IB Cricket Season 2'!$AC$7,'PvP IB Cricket Season 2'!$L$20:$L$131,AQ14,'PvP IB Cricket Season 2'!$P$20:$P$131,"NR"))</f>
        <v/>
      </c>
      <c r="AW14" s="72" t="str">
        <f t="shared" si="20"/>
        <v/>
      </c>
      <c r="AX14" s="72" t="str">
        <f>IF(AQ14="","",SUMIFS('PvP IB Cricket Season 2'!$I$20:$I$131,'PvP IB Cricket Season 2'!$G$20:$G$131,'PvP IB Cricket Season 2'!$AC$7,'PvP IB Cricket Season 2'!$H$20:$H$131,AQ14)+SUMIFS('PvP IB Cricket Season 2'!$M$20:$M$131,'PvP IB Cricket Season 2'!$G$20:$G$131,'PvP IB Cricket Season 2'!$AC$7,'PvP IB Cricket Season 2'!$L$20:$L$131,AQ14))</f>
        <v/>
      </c>
      <c r="AY14" s="72" t="str">
        <f t="array" ref="AY14">IF(AQ14="","",SUMPRODUCT(('PvP IB Cricket Season 2'!$G$20:$G$131='PvP IB Cricket Season 2'!$AC$7)*('PvP IB Cricket Season 2'!$H$20:$H$131=AQ14)*IF('PvP IB Cricket Season 2'!$J$20:$J$131&gt;='PvP IB Cricket Season 2'!$D$17,'PvP IB Cricket Season 2'!$D$9,'PvP IB Cricket Season 2'!$K$20:$K$131))+SUMPRODUCT(('PvP IB Cricket Season 2'!$G$20:$G$131='PvP IB Cricket Season 2'!$AC$7)*('PvP IB Cricket Season 2'!$L$20:$L$131=AQ14)*IF('PvP IB Cricket Season 2'!$N$20:$N$131&gt;='PvP IB Cricket Season 2'!$D$17,'PvP IB Cricket Season 2'!$D$9,'PvP IB Cricket Season 2'!$O$20:$O$131)))</f>
        <v/>
      </c>
      <c r="AZ14" s="72" t="str">
        <f>IF(AQ14="","",SUMIFS('PvP IB Cricket Season 2'!$M$20:$M$131,'PvP IB Cricket Season 2'!$G$20:$G$131,'PvP IB Cricket Season 2'!$AC$7,'PvP IB Cricket Season 2'!$H$20:$H$131,AQ14)+SUMIFS('PvP IB Cricket Season 2'!$I$20:$I$131,'PvP IB Cricket Season 2'!$G$20:$G$131,'PvP IB Cricket Season 2'!$AC$7,'PvP IB Cricket Season 2'!$L$20:$L$131,AQ14))</f>
        <v/>
      </c>
      <c r="BA14" s="72" t="str">
        <f t="array" ref="BA14">IF(AQ14="","",SUMPRODUCT(('PvP IB Cricket Season 2'!$G$20:$G$131='PvP IB Cricket Season 2'!$AC$7)*('PvP IB Cricket Season 2'!$H$20:$H$131=AQ14)*IF('PvP IB Cricket Season 2'!$N$20:$N$131&gt;='PvP IB Cricket Season 2'!$D$17,'PvP IB Cricket Season 2'!$D$9,'PvP IB Cricket Season 2'!$O$20:$O$131))+SUMPRODUCT(('PvP IB Cricket Season 2'!$G$20:$G$131='PvP IB Cricket Season 2'!$AC$7)*('PvP IB Cricket Season 2'!$L$20:$L$131=AQ14)*IF('PvP IB Cricket Season 2'!$J$20:$J$131&gt;='PvP IB Cricket Season 2'!$D$17,'PvP IB Cricket Season 2'!$D$9,'PvP IB Cricket Season 2'!$K$20:$K$131)))</f>
        <v/>
      </c>
      <c r="BB14" s="73" t="str">
        <f t="shared" si="21"/>
        <v/>
      </c>
      <c r="BC14" s="74" t="str">
        <f t="shared" si="22"/>
        <v/>
      </c>
      <c r="BD14" s="75" t="str">
        <f t="array" ref="BD14">IF(AQ14="","",SUMPRODUCT(($BC$6:$BC$15&gt;BC14)*1)+1)</f>
        <v/>
      </c>
      <c r="BF14" s="122" t="str">
        <f t="array" ref="BF14">IFERROR(INDEX(_xlfn._xlws.FILTER('PvP IB Cricket Season 2'!$C$20:$C$51,'PvP IB Cricket Season 2'!$D$20:$D$51='PvP IB Cricket Season 2'!$AC$8),9),"")</f>
        <v/>
      </c>
      <c r="BG14" s="84" t="str">
        <f>IF(BF14="","",COUNTIFS('PvP IB Cricket Season 2'!$G$20:$G$131,'PvP IB Cricket Season 2'!$AC$8,'PvP IB Cricket Season 2'!$H$20:$H$131,BF14,'PvP IB Cricket Season 2'!$P$20:$P$131,"A")+COUNTIFS('PvP IB Cricket Season 2'!$G$20:$G$131,'PvP IB Cricket Season 2'!$AC$8,'PvP IB Cricket Season 2'!$L$20:$L$131,BF14,'PvP IB Cricket Season 2'!$P$20:$P$131,"B")+COUNTIFS('PvP IB Cricket Season 2'!$G$20:$G$131,'PvP IB Cricket Season 2'!$AC$8,'PvP IB Cricket Season 2'!$H$20:$H$131,BF14,'PvP IB Cricket Season 2'!$P$20:$P$131,"B")+COUNTIFS('PvP IB Cricket Season 2'!$G$20:$G$131,'PvP IB Cricket Season 2'!$AC$8,'PvP IB Cricket Season 2'!$L$20:$L$131,BF14,'PvP IB Cricket Season 2'!$P$20:$P$131,"A")+COUNTIFS('PvP IB Cricket Season 2'!$G$20:$G$131,'PvP IB Cricket Season 2'!$AC$8,'PvP IB Cricket Season 2'!$H$20:$H$131,BF14,'PvP IB Cricket Season 2'!$P$20:$P$131,"Tie")+COUNTIFS('PvP IB Cricket Season 2'!$G$20:$G$131,'PvP IB Cricket Season 2'!$AC$8,'PvP IB Cricket Season 2'!$L$20:$L$131,BF14,'PvP IB Cricket Season 2'!$P$20:$P$131,"Tie")+COUNTIFS('PvP IB Cricket Season 2'!$G$20:$G$131,'PvP IB Cricket Season 2'!$AC$8,'PvP IB Cricket Season 2'!$H$20:$H$131,BF14,'PvP IB Cricket Season 2'!$P$20:$P$131,"NR")+COUNTIFS('PvP IB Cricket Season 2'!$G$20:$G$131,'PvP IB Cricket Season 2'!$AC$8,'PvP IB Cricket Season 2'!$L$20:$L$131,BF14,'PvP IB Cricket Season 2'!$P$20:$P$131,"NR"))</f>
        <v/>
      </c>
      <c r="BH14" s="84" t="str">
        <f>IF(BF14="","",COUNTIFS('PvP IB Cricket Season 2'!$G$20:$G$131,'PvP IB Cricket Season 2'!$AC$8,'PvP IB Cricket Season 2'!$H$20:$H$131,BF14,'PvP IB Cricket Season 2'!$P$20:$P$131,"A")+COUNTIFS('PvP IB Cricket Season 2'!$G$20:$G$131,'PvP IB Cricket Season 2'!$AC$8,'PvP IB Cricket Season 2'!$L$20:$L$131,BF14,'PvP IB Cricket Season 2'!$P$20:$P$131,"B"))</f>
        <v/>
      </c>
      <c r="BI14" s="84" t="str">
        <f>IF(BF14="","",COUNTIFS('PvP IB Cricket Season 2'!$G$20:$G$131,'PvP IB Cricket Season 2'!$AC$8,'PvP IB Cricket Season 2'!$H$20:$H$131,BF14,'PvP IB Cricket Season 2'!$P$20:$P$131,"B")+COUNTIFS('PvP IB Cricket Season 2'!$G$20:$G$131,'PvP IB Cricket Season 2'!$AC$8,'PvP IB Cricket Season 2'!$L$20:$L$131,BF14,'PvP IB Cricket Season 2'!$P$20:$P$131,"A"))</f>
        <v/>
      </c>
      <c r="BJ14" s="84" t="str">
        <f>IF(BF14="","",COUNTIFS('PvP IB Cricket Season 2'!$G$20:$G$131,'PvP IB Cricket Season 2'!$AC$8,'PvP IB Cricket Season 2'!$H$20:$H$131,BF14,'PvP IB Cricket Season 2'!$P$20:$P$131,"Tie")+COUNTIFS('PvP IB Cricket Season 2'!$G$20:$G$131,'PvP IB Cricket Season 2'!$AC$8,'PvP IB Cricket Season 2'!$L$20:$L$131,BF14,'PvP IB Cricket Season 2'!$P$20:$P$131,"Tie"))</f>
        <v/>
      </c>
      <c r="BK14" s="84" t="str">
        <f>IF(BF14="","",COUNTIFS('PvP IB Cricket Season 2'!$G$20:$G$131,'PvP IB Cricket Season 2'!$AC$8,'PvP IB Cricket Season 2'!$H$20:$H$131,BF14,'PvP IB Cricket Season 2'!$P$20:$P$131,"NR")+COUNTIFS('PvP IB Cricket Season 2'!$G$20:$G$131,'PvP IB Cricket Season 2'!$AC$8,'PvP IB Cricket Season 2'!$L$20:$L$131,BF14,'PvP IB Cricket Season 2'!$P$20:$P$131,"NR"))</f>
        <v/>
      </c>
      <c r="BL14" s="84" t="str">
        <f t="shared" si="23"/>
        <v/>
      </c>
      <c r="BM14" s="84" t="str">
        <f>IF(BF14="","",SUMIFS('PvP IB Cricket Season 2'!$I$20:$I$131,'PvP IB Cricket Season 2'!$G$20:$G$131,'PvP IB Cricket Season 2'!$AC$8,'PvP IB Cricket Season 2'!$H$20:$H$131,BF14)+SUMIFS('PvP IB Cricket Season 2'!$M$20:$M$131,'PvP IB Cricket Season 2'!$G$20:$G$131,'PvP IB Cricket Season 2'!$AC$8,'PvP IB Cricket Season 2'!$L$20:$L$131,BF14))</f>
        <v/>
      </c>
      <c r="BN14" s="84" t="str">
        <f t="array" ref="BN14">IF(BF14="","",SUMPRODUCT(('PvP IB Cricket Season 2'!$G$20:$G$131='PvP IB Cricket Season 2'!$AC$8)*('PvP IB Cricket Season 2'!$H$20:$H$131=BF14)*IF('PvP IB Cricket Season 2'!$J$20:$J$131&gt;='PvP IB Cricket Season 2'!$D$17,'PvP IB Cricket Season 2'!$D$9,'PvP IB Cricket Season 2'!$K$20:$K$131))+SUMPRODUCT(('PvP IB Cricket Season 2'!$G$20:$G$131='PvP IB Cricket Season 2'!$AC$8)*('PvP IB Cricket Season 2'!$L$20:$L$131=BF14)*IF('PvP IB Cricket Season 2'!$N$20:$N$131&gt;='PvP IB Cricket Season 2'!$D$17,'PvP IB Cricket Season 2'!$D$9,'PvP IB Cricket Season 2'!$O$20:$O$131)))</f>
        <v/>
      </c>
      <c r="BO14" s="84" t="str">
        <f>IF(BF14="","",SUMIFS('PvP IB Cricket Season 2'!$M$20:$M$131,'PvP IB Cricket Season 2'!$G$20:$G$131,'PvP IB Cricket Season 2'!$AC$8,'PvP IB Cricket Season 2'!$H$20:$H$131,BF14)+SUMIFS('PvP IB Cricket Season 2'!$I$20:$I$131,'PvP IB Cricket Season 2'!$G$20:$G$131,'PvP IB Cricket Season 2'!$AC$8,'PvP IB Cricket Season 2'!$L$20:$L$131,BF14))</f>
        <v/>
      </c>
      <c r="BP14" s="84" t="str">
        <f t="array" ref="BP14">IF(BF14="","",SUMPRODUCT(('PvP IB Cricket Season 2'!$G$20:$G$131='PvP IB Cricket Season 2'!$AC$8)*('PvP IB Cricket Season 2'!$H$20:$H$131=BF14)*IF('PvP IB Cricket Season 2'!$N$20:$N$131&gt;='PvP IB Cricket Season 2'!$D$17,'PvP IB Cricket Season 2'!$D$9,'PvP IB Cricket Season 2'!$O$20:$O$131))+SUMPRODUCT(('PvP IB Cricket Season 2'!$G$20:$G$131='PvP IB Cricket Season 2'!$AC$8)*('PvP IB Cricket Season 2'!$L$20:$L$131=BF14)*IF('PvP IB Cricket Season 2'!$J$20:$J$131&gt;='PvP IB Cricket Season 2'!$D$17,'PvP IB Cricket Season 2'!$D$9,'PvP IB Cricket Season 2'!$K$20:$K$131)))</f>
        <v/>
      </c>
      <c r="BQ14" s="85" t="str">
        <f t="shared" si="24"/>
        <v/>
      </c>
      <c r="BR14" s="86" t="str">
        <f t="shared" si="25"/>
        <v/>
      </c>
      <c r="BS14" s="87" t="str">
        <f t="array" ref="BS14">IF(BF14="","",SUMPRODUCT(($BR$6:$BR$15&gt;BR14)*1)+1)</f>
        <v/>
      </c>
      <c r="BU14" s="125" t="str">
        <f t="array" ref="BU14">IFERROR(INDEX(_xlfn._xlws.FILTER('PvP IB Cricket Season 2'!$C$20:$C$51,'PvP IB Cricket Season 2'!$D$20:$D$51='PvP IB Cricket Season 2'!$AC$9),9),"")</f>
        <v/>
      </c>
      <c r="BV14" s="51" t="str">
        <f>IF(BU14="","",COUNTIFS('PvP IB Cricket Season 2'!$G$20:$G$131,'PvP IB Cricket Season 2'!$AC$9,'PvP IB Cricket Season 2'!$H$20:$H$131,BU14,'PvP IB Cricket Season 2'!$P$20:$P$131,"A")+COUNTIFS('PvP IB Cricket Season 2'!$G$20:$G$131,'PvP IB Cricket Season 2'!$AC$9,'PvP IB Cricket Season 2'!$L$20:$L$131,BU14,'PvP IB Cricket Season 2'!$P$20:$P$131,"B")+COUNTIFS('PvP IB Cricket Season 2'!$G$20:$G$131,'PvP IB Cricket Season 2'!$AC$9,'PvP IB Cricket Season 2'!$H$20:$H$131,BU14,'PvP IB Cricket Season 2'!$P$20:$P$131,"B")+COUNTIFS('PvP IB Cricket Season 2'!$G$20:$G$131,'PvP IB Cricket Season 2'!$AC$9,'PvP IB Cricket Season 2'!$L$20:$L$131,BU14,'PvP IB Cricket Season 2'!$P$20:$P$131,"A")+COUNTIFS('PvP IB Cricket Season 2'!$G$20:$G$131,'PvP IB Cricket Season 2'!$AC$9,'PvP IB Cricket Season 2'!$H$20:$H$131,BU14,'PvP IB Cricket Season 2'!$P$20:$P$131,"Tie")+COUNTIFS('PvP IB Cricket Season 2'!$G$20:$G$131,'PvP IB Cricket Season 2'!$AC$9,'PvP IB Cricket Season 2'!$L$20:$L$131,BU14,'PvP IB Cricket Season 2'!$P$20:$P$131,"Tie")+COUNTIFS('PvP IB Cricket Season 2'!$G$20:$G$131,'PvP IB Cricket Season 2'!$AC$9,'PvP IB Cricket Season 2'!$H$20:$H$131,BU14,'PvP IB Cricket Season 2'!$P$20:$P$131,"NR")+COUNTIFS('PvP IB Cricket Season 2'!$G$20:$G$131,'PvP IB Cricket Season 2'!$AC$9,'PvP IB Cricket Season 2'!$L$20:$L$131,BU14,'PvP IB Cricket Season 2'!$P$20:$P$131,"NR"))</f>
        <v/>
      </c>
      <c r="BW14" s="51" t="str">
        <f>IF(BU14="","",COUNTIFS('PvP IB Cricket Season 2'!$G$20:$G$131,'PvP IB Cricket Season 2'!$AC$9,'PvP IB Cricket Season 2'!$H$20:$H$131,BU14,'PvP IB Cricket Season 2'!$P$20:$P$131,"A")+COUNTIFS('PvP IB Cricket Season 2'!$G$20:$G$131,'PvP IB Cricket Season 2'!$AC$9,'PvP IB Cricket Season 2'!$L$20:$L$131,BU14,'PvP IB Cricket Season 2'!$P$20:$P$131,"B"))</f>
        <v/>
      </c>
      <c r="BX14" s="51" t="str">
        <f>IF(BU14="","",COUNTIFS('PvP IB Cricket Season 2'!$G$20:$G$131,'PvP IB Cricket Season 2'!$AC$9,'PvP IB Cricket Season 2'!$H$20:$H$131,BU14,'PvP IB Cricket Season 2'!$P$20:$P$131,"B")+COUNTIFS('PvP IB Cricket Season 2'!$G$20:$G$131,'PvP IB Cricket Season 2'!$AC$9,'PvP IB Cricket Season 2'!$L$20:$L$131,BU14,'PvP IB Cricket Season 2'!$P$20:$P$131,"A"))</f>
        <v/>
      </c>
      <c r="BY14" s="51" t="str">
        <f>IF(BU14="","",COUNTIFS('PvP IB Cricket Season 2'!$G$20:$G$131,'PvP IB Cricket Season 2'!$AC$9,'PvP IB Cricket Season 2'!$H$20:$H$131,BU14,'PvP IB Cricket Season 2'!$P$20:$P$131,"Tie")+COUNTIFS('PvP IB Cricket Season 2'!$G$20:$G$131,'PvP IB Cricket Season 2'!$AC$9,'PvP IB Cricket Season 2'!$L$20:$L$131,BU14,'PvP IB Cricket Season 2'!$P$20:$P$131,"Tie"))</f>
        <v/>
      </c>
      <c r="BZ14" s="51" t="str">
        <f>IF(BU14="","",COUNTIFS('PvP IB Cricket Season 2'!$G$20:$G$131,'PvP IB Cricket Season 2'!$AC$9,'PvP IB Cricket Season 2'!$H$20:$H$131,BU14,'PvP IB Cricket Season 2'!$P$20:$P$131,"NR")+COUNTIFS('PvP IB Cricket Season 2'!$G$20:$G$131,'PvP IB Cricket Season 2'!$AC$9,'PvP IB Cricket Season 2'!$L$20:$L$131,BU14,'PvP IB Cricket Season 2'!$P$20:$P$131,"NR"))</f>
        <v/>
      </c>
      <c r="CA14" s="51" t="str">
        <f t="shared" si="26"/>
        <v/>
      </c>
      <c r="CB14" s="51" t="str">
        <f>IF(BU14="","",SUMIFS('PvP IB Cricket Season 2'!$I$20:$I$131,'PvP IB Cricket Season 2'!$G$20:$G$131,'PvP IB Cricket Season 2'!$AC$9,'PvP IB Cricket Season 2'!$H$20:$H$131,BU14)+SUMIFS('PvP IB Cricket Season 2'!$M$20:$M$131,'PvP IB Cricket Season 2'!$G$20:$G$131,'PvP IB Cricket Season 2'!$AC$9,'PvP IB Cricket Season 2'!$L$20:$L$131,BU14))</f>
        <v/>
      </c>
      <c r="CC14" s="51" t="str">
        <f t="array" ref="CC14">IF(BU14="","",SUMPRODUCT(('PvP IB Cricket Season 2'!$G$20:$G$131='PvP IB Cricket Season 2'!$AC$9)*('PvP IB Cricket Season 2'!$H$20:$H$131=BU14)*IF('PvP IB Cricket Season 2'!$J$20:$J$131&gt;='PvP IB Cricket Season 2'!$D$17,'PvP IB Cricket Season 2'!$D$9,'PvP IB Cricket Season 2'!$K$20:$K$131))+SUMPRODUCT(('PvP IB Cricket Season 2'!$G$20:$G$131='PvP IB Cricket Season 2'!$AC$9)*('PvP IB Cricket Season 2'!$L$20:$L$131=BU14)*IF('PvP IB Cricket Season 2'!$N$20:$N$131&gt;='PvP IB Cricket Season 2'!$D$17,'PvP IB Cricket Season 2'!$D$9,'PvP IB Cricket Season 2'!$O$20:$O$131)))</f>
        <v/>
      </c>
      <c r="CD14" s="51" t="str">
        <f>IF(BU14="","",SUMIFS('PvP IB Cricket Season 2'!$M$20:$M$131,'PvP IB Cricket Season 2'!$G$20:$G$131,'PvP IB Cricket Season 2'!$AC$9,'PvP IB Cricket Season 2'!$H$20:$H$131,BU14)+SUMIFS('PvP IB Cricket Season 2'!$I$20:$I$131,'PvP IB Cricket Season 2'!$G$20:$G$131,'PvP IB Cricket Season 2'!$AC$9,'PvP IB Cricket Season 2'!$L$20:$L$131,BU14))</f>
        <v/>
      </c>
      <c r="CE14" s="51" t="str">
        <f t="array" ref="CE14">IF(BU14="","",SUMPRODUCT(('PvP IB Cricket Season 2'!$G$20:$G$131='PvP IB Cricket Season 2'!$AC$9)*('PvP IB Cricket Season 2'!$H$20:$H$131=BU14)*IF('PvP IB Cricket Season 2'!$N$20:$N$131&gt;='PvP IB Cricket Season 2'!$D$17,'PvP IB Cricket Season 2'!$D$9,'PvP IB Cricket Season 2'!$O$20:$O$131))+SUMPRODUCT(('PvP IB Cricket Season 2'!$G$20:$G$131='PvP IB Cricket Season 2'!$AC$9)*('PvP IB Cricket Season 2'!$L$20:$L$131=BU14)*IF('PvP IB Cricket Season 2'!$J$20:$J$131&gt;='PvP IB Cricket Season 2'!$D$17,'PvP IB Cricket Season 2'!$D$9,'PvP IB Cricket Season 2'!$K$20:$K$131)))</f>
        <v/>
      </c>
      <c r="CF14" s="96" t="str">
        <f t="shared" si="27"/>
        <v/>
      </c>
      <c r="CG14" s="97" t="str">
        <f t="shared" si="28"/>
        <v/>
      </c>
      <c r="CH14" s="98" t="str">
        <f t="array" ref="CH14">IF(BU14="","",SUMPRODUCT(($CG$6:$CG$15&gt;CG14)*1)+1)</f>
        <v/>
      </c>
      <c r="CJ14" s="128" t="str">
        <f t="array" ref="CJ14">IFERROR(INDEX(_xlfn._xlws.FILTER('PvP IB Cricket Season 2'!$C$20:$C$51,'PvP IB Cricket Season 2'!$D$20:$D$51='PvP IB Cricket Season 2'!$AC$10),9),"")</f>
        <v/>
      </c>
      <c r="CK14" s="107" t="str">
        <f>IF(CJ14="","",COUNTIFS('PvP IB Cricket Season 2'!$G$20:$G$131,'PvP IB Cricket Season 2'!$AC$10,'PvP IB Cricket Season 2'!$H$20:$H$131,CJ14,'PvP IB Cricket Season 2'!$P$20:$P$131,"A")+COUNTIFS('PvP IB Cricket Season 2'!$G$20:$G$131,'PvP IB Cricket Season 2'!$AC$10,'PvP IB Cricket Season 2'!$L$20:$L$131,CJ14,'PvP IB Cricket Season 2'!$P$20:$P$131,"B")+COUNTIFS('PvP IB Cricket Season 2'!$G$20:$G$131,'PvP IB Cricket Season 2'!$AC$10,'PvP IB Cricket Season 2'!$H$20:$H$131,CJ14,'PvP IB Cricket Season 2'!$P$20:$P$131,"B")+COUNTIFS('PvP IB Cricket Season 2'!$G$20:$G$131,'PvP IB Cricket Season 2'!$AC$10,'PvP IB Cricket Season 2'!$L$20:$L$131,CJ14,'PvP IB Cricket Season 2'!$P$20:$P$131,"A")+COUNTIFS('PvP IB Cricket Season 2'!$G$20:$G$131,'PvP IB Cricket Season 2'!$AC$10,'PvP IB Cricket Season 2'!$H$20:$H$131,CJ14,'PvP IB Cricket Season 2'!$P$20:$P$131,"Tie")+COUNTIFS('PvP IB Cricket Season 2'!$G$20:$G$131,'PvP IB Cricket Season 2'!$AC$10,'PvP IB Cricket Season 2'!$L$20:$L$131,CJ14,'PvP IB Cricket Season 2'!$P$20:$P$131,"Tie")+COUNTIFS('PvP IB Cricket Season 2'!$G$20:$G$131,'PvP IB Cricket Season 2'!$AC$10,'PvP IB Cricket Season 2'!$H$20:$H$131,CJ14,'PvP IB Cricket Season 2'!$P$20:$P$131,"NR")+COUNTIFS('PvP IB Cricket Season 2'!$G$20:$G$131,'PvP IB Cricket Season 2'!$AC$10,'PvP IB Cricket Season 2'!$L$20:$L$131,CJ14,'PvP IB Cricket Season 2'!$P$20:$P$131,"NR"))</f>
        <v/>
      </c>
      <c r="CL14" s="107" t="str">
        <f>IF(CJ14="","",COUNTIFS('PvP IB Cricket Season 2'!$G$20:$G$131,'PvP IB Cricket Season 2'!$AC$10,'PvP IB Cricket Season 2'!$H$20:$H$131,CJ14,'PvP IB Cricket Season 2'!$P$20:$P$131,"A")+COUNTIFS('PvP IB Cricket Season 2'!$G$20:$G$131,'PvP IB Cricket Season 2'!$AC$10,'PvP IB Cricket Season 2'!$L$20:$L$131,CJ14,'PvP IB Cricket Season 2'!$P$20:$P$131,"B"))</f>
        <v/>
      </c>
      <c r="CM14" s="107" t="str">
        <f>IF(CJ14="","",COUNTIFS('PvP IB Cricket Season 2'!$G$20:$G$131,'PvP IB Cricket Season 2'!$AC$10,'PvP IB Cricket Season 2'!$H$20:$H$131,CJ14,'PvP IB Cricket Season 2'!$P$20:$P$131,"B")+COUNTIFS('PvP IB Cricket Season 2'!$G$20:$G$131,'PvP IB Cricket Season 2'!$AC$10,'PvP IB Cricket Season 2'!$L$20:$L$131,CJ14,'PvP IB Cricket Season 2'!$P$20:$P$131,"A"))</f>
        <v/>
      </c>
      <c r="CN14" s="107" t="str">
        <f>IF(CJ14="","",COUNTIFS('PvP IB Cricket Season 2'!$G$20:$G$131,'PvP IB Cricket Season 2'!$AC$10,'PvP IB Cricket Season 2'!$H$20:$H$131,CJ14,'PvP IB Cricket Season 2'!$P$20:$P$131,"Tie")+COUNTIFS('PvP IB Cricket Season 2'!$G$20:$G$131,'PvP IB Cricket Season 2'!$AC$10,'PvP IB Cricket Season 2'!$L$20:$L$131,CJ14,'PvP IB Cricket Season 2'!$P$20:$P$131,"Tie"))</f>
        <v/>
      </c>
      <c r="CO14" s="107" t="str">
        <f>IF(CJ14="","",COUNTIFS('PvP IB Cricket Season 2'!$G$20:$G$131,'PvP IB Cricket Season 2'!$AC$10,'PvP IB Cricket Season 2'!$H$20:$H$131,CJ14,'PvP IB Cricket Season 2'!$P$20:$P$131,"NR")+COUNTIFS('PvP IB Cricket Season 2'!$G$20:$G$131,'PvP IB Cricket Season 2'!$AC$10,'PvP IB Cricket Season 2'!$L$20:$L$131,CJ14,'PvP IB Cricket Season 2'!$P$20:$P$131,"NR"))</f>
        <v/>
      </c>
      <c r="CP14" s="107" t="str">
        <f t="shared" si="29"/>
        <v/>
      </c>
      <c r="CQ14" s="107" t="str">
        <f>IF(CJ14="","",SUMIFS('PvP IB Cricket Season 2'!$I$20:$I$131,'PvP IB Cricket Season 2'!$G$20:$G$131,'PvP IB Cricket Season 2'!$AC$10,'PvP IB Cricket Season 2'!$H$20:$H$131,CJ14)+SUMIFS('PvP IB Cricket Season 2'!$M$20:$M$131,'PvP IB Cricket Season 2'!$G$20:$G$131,'PvP IB Cricket Season 2'!$AC$10,'PvP IB Cricket Season 2'!$L$20:$L$131,CJ14))</f>
        <v/>
      </c>
      <c r="CR14" s="107" t="str">
        <f t="array" ref="CR14">IF(CJ14="","",SUMPRODUCT(('PvP IB Cricket Season 2'!$G$20:$G$131='PvP IB Cricket Season 2'!$AC$10)*('PvP IB Cricket Season 2'!$H$20:$H$131=CJ14)*IF('PvP IB Cricket Season 2'!$J$20:$J$131&gt;='PvP IB Cricket Season 2'!$D$17,'PvP IB Cricket Season 2'!$D$9,'PvP IB Cricket Season 2'!$K$20:$K$131))+SUMPRODUCT(('PvP IB Cricket Season 2'!$G$20:$G$131='PvP IB Cricket Season 2'!$AC$10)*('PvP IB Cricket Season 2'!$L$20:$L$131=CJ14)*IF('PvP IB Cricket Season 2'!$N$20:$N$131&gt;='PvP IB Cricket Season 2'!$D$17,'PvP IB Cricket Season 2'!$D$9,'PvP IB Cricket Season 2'!$O$20:$O$131)))</f>
        <v/>
      </c>
      <c r="CS14" s="107" t="str">
        <f>IF(CJ14="","",SUMIFS('PvP IB Cricket Season 2'!$M$20:$M$131,'PvP IB Cricket Season 2'!$G$20:$G$131,'PvP IB Cricket Season 2'!$AC$10,'PvP IB Cricket Season 2'!$H$20:$H$131,CJ14)+SUMIFS('PvP IB Cricket Season 2'!$I$20:$I$131,'PvP IB Cricket Season 2'!$G$20:$G$131,'PvP IB Cricket Season 2'!$AC$10,'PvP IB Cricket Season 2'!$L$20:$L$131,CJ14))</f>
        <v/>
      </c>
      <c r="CT14" s="107" t="str">
        <f t="array" ref="CT14">IF(CJ14="","",SUMPRODUCT(('PvP IB Cricket Season 2'!$G$20:$G$131='PvP IB Cricket Season 2'!$AC$10)*('PvP IB Cricket Season 2'!$H$20:$H$131=CJ14)*IF('PvP IB Cricket Season 2'!$N$20:$N$131&gt;='PvP IB Cricket Season 2'!$D$17,'PvP IB Cricket Season 2'!$D$9,'PvP IB Cricket Season 2'!$O$20:$O$131))+SUMPRODUCT(('PvP IB Cricket Season 2'!$G$20:$G$131='PvP IB Cricket Season 2'!$AC$10)*('PvP IB Cricket Season 2'!$L$20:$L$131=CJ14)*IF('PvP IB Cricket Season 2'!$J$20:$J$131&gt;='PvP IB Cricket Season 2'!$D$17,'PvP IB Cricket Season 2'!$D$9,'PvP IB Cricket Season 2'!$K$20:$K$131)))</f>
        <v/>
      </c>
      <c r="CU14" s="108" t="str">
        <f t="shared" si="30"/>
        <v/>
      </c>
      <c r="CV14" s="109" t="str">
        <f t="shared" si="31"/>
        <v/>
      </c>
      <c r="CW14" s="110" t="str">
        <f t="array" ref="CW14">IF(CJ14="","",SUMPRODUCT(($CV$6:$CV$15&gt;CV14)*1)+1)</f>
        <v/>
      </c>
    </row>
    <row r="15" spans="1:101" ht="20.100000000000001" customHeight="1" thickBot="1" x14ac:dyDescent="0.35">
      <c r="A15" s="38"/>
      <c r="B15" s="188">
        <v>10</v>
      </c>
      <c r="C15" s="189" t="str">
        <f t="shared" si="0"/>
        <v/>
      </c>
      <c r="D15" s="190" t="str">
        <f t="shared" si="1"/>
        <v/>
      </c>
      <c r="E15" s="190" t="str">
        <f t="shared" si="2"/>
        <v/>
      </c>
      <c r="F15" s="190" t="str">
        <f t="shared" si="3"/>
        <v/>
      </c>
      <c r="G15" s="190" t="str">
        <f t="shared" si="4"/>
        <v/>
      </c>
      <c r="H15" s="190" t="str">
        <f t="shared" si="5"/>
        <v/>
      </c>
      <c r="I15" s="191" t="str">
        <f t="shared" si="6"/>
        <v/>
      </c>
      <c r="J15" s="190" t="str">
        <f t="shared" si="7"/>
        <v/>
      </c>
      <c r="K15" s="192" t="str">
        <f t="array" ref="K15">IF(C15="","",SUMPRODUCT(('PvP IB Cricket Season 2'!$G$20:$G$131='PvP IB Cricket Season 2'!$AC$7)*('PvP IB Cricket Season 2'!$H$20:$H$131=C15)*('PvP IB Cricket Season 2'!$K$20:$K$131))+SUMPRODUCT(('PvP IB Cricket Season 2'!$G$20:$G$131='PvP IB Cricket Season 2'!$AC$7)*('PvP IB Cricket Season 2'!$L$20:$L$131=C15)*('PvP IB Cricket Season 2'!$O$20:$O$131)))</f>
        <v/>
      </c>
      <c r="L15" s="190" t="str">
        <f t="shared" si="8"/>
        <v/>
      </c>
      <c r="M15" s="192" t="str">
        <f t="array" ref="M15">IF(C15="","",SUMPRODUCT(('PvP IB Cricket Season 2'!$G$20:$G$131='PvP IB Cricket Season 2'!$AC$7)*('PvP IB Cricket Season 2'!$H$20:$H$131=C15)*('PvP IB Cricket Season 2'!$O$20:$O$131))+SUMPRODUCT(('PvP IB Cricket Season 2'!$G$20:$G$131='PvP IB Cricket Season 2'!$AC$7)*('PvP IB Cricket Season 2'!$L$20:$L$131=C15)*('PvP IB Cricket Season 2'!$K$20:$K$131)))</f>
        <v/>
      </c>
      <c r="N15" s="193" t="str">
        <f t="shared" si="9"/>
        <v/>
      </c>
      <c r="O15" s="38"/>
      <c r="P15" s="206">
        <v>10</v>
      </c>
      <c r="Q15" s="207" t="str">
        <f t="shared" si="10"/>
        <v/>
      </c>
      <c r="R15" s="208" t="str">
        <f t="shared" si="11"/>
        <v/>
      </c>
      <c r="S15" s="208" t="str">
        <f t="shared" si="12"/>
        <v/>
      </c>
      <c r="T15" s="208" t="str">
        <f t="shared" si="13"/>
        <v/>
      </c>
      <c r="U15" s="208" t="str">
        <f t="shared" si="14"/>
        <v/>
      </c>
      <c r="V15" s="208" t="str">
        <f t="shared" si="15"/>
        <v/>
      </c>
      <c r="W15" s="209" t="str">
        <f t="shared" si="16"/>
        <v/>
      </c>
      <c r="X15" s="208" t="str">
        <f t="shared" si="17"/>
        <v/>
      </c>
      <c r="Y15" s="210" t="str">
        <f t="array" ref="Y15">IF(Q15="","",SUMPRODUCT(('PvP IB Cricket Season 2'!$G$20:$G$131='PvP IB Cricket Season 2'!$AC$9)*('PvP IB Cricket Season 2'!$H$20:$H$131=Q15)*('PvP IB Cricket Season 2'!$K$20:$K$131))+SUMPRODUCT(('PvP IB Cricket Season 2'!$G$20:$G$131='PvP IB Cricket Season 2'!$AC$9)*('PvP IB Cricket Season 2'!$L$20:$L$131=Q15)*('PvP IB Cricket Season 2'!$O$20:$O$131)))</f>
        <v/>
      </c>
      <c r="Z15" s="208" t="str">
        <f t="shared" si="18"/>
        <v/>
      </c>
      <c r="AA15" s="210" t="str">
        <f t="array" ref="AA15">IF(Q15="","",SUMPRODUCT(('PvP IB Cricket Season 2'!$G$20:$G$131='PvP IB Cricket Season 2'!$AC$9)*('PvP IB Cricket Season 2'!$H$20:$H$131=Q15)*('PvP IB Cricket Season 2'!$O$20:$O$131))+SUMPRODUCT(('PvP IB Cricket Season 2'!$G$20:$G$131='PvP IB Cricket Season 2'!$AC$9)*('PvP IB Cricket Season 2'!$L$20:$L$131=Q15)*('PvP IB Cricket Season 2'!$K$20:$K$131)))</f>
        <v/>
      </c>
      <c r="AB15" s="211" t="str">
        <f t="shared" si="19"/>
        <v/>
      </c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121" t="str">
        <f t="array" ref="AQ15">IFERROR(INDEX(_xlfn._xlws.FILTER('PvP IB Cricket Season 2'!$C$20:$C$51,'PvP IB Cricket Season 2'!$D$20:$D$51='PvP IB Cricket Season 2'!$AC$7),10),"")</f>
        <v/>
      </c>
      <c r="AR15" s="80" t="str">
        <f>IF(AQ15="","",COUNTIFS('PvP IB Cricket Season 2'!$G$20:$G$131,'PvP IB Cricket Season 2'!$AC$7,'PvP IB Cricket Season 2'!$H$20:$H$131,AQ15,'PvP IB Cricket Season 2'!$P$20:$P$131,"A")+COUNTIFS('PvP IB Cricket Season 2'!$G$20:$G$131,'PvP IB Cricket Season 2'!$AC$7,'PvP IB Cricket Season 2'!$L$20:$L$131,AQ15,'PvP IB Cricket Season 2'!$P$20:$P$131,"B")+COUNTIFS('PvP IB Cricket Season 2'!$G$20:$G$131,'PvP IB Cricket Season 2'!$AC$7,'PvP IB Cricket Season 2'!$H$20:$H$131,AQ15,'PvP IB Cricket Season 2'!$P$20:$P$131,"B")+COUNTIFS('PvP IB Cricket Season 2'!$G$20:$G$131,'PvP IB Cricket Season 2'!$AC$7,'PvP IB Cricket Season 2'!$L$20:$L$131,AQ15,'PvP IB Cricket Season 2'!$P$20:$P$131,"A")+COUNTIFS('PvP IB Cricket Season 2'!$G$20:$G$131,'PvP IB Cricket Season 2'!$AC$7,'PvP IB Cricket Season 2'!$H$20:$H$131,AQ15,'PvP IB Cricket Season 2'!$P$20:$P$131,"Tie")+COUNTIFS('PvP IB Cricket Season 2'!$G$20:$G$131,'PvP IB Cricket Season 2'!$AC$7,'PvP IB Cricket Season 2'!$L$20:$L$131,AQ15,'PvP IB Cricket Season 2'!$P$20:$P$131,"Tie")+COUNTIFS('PvP IB Cricket Season 2'!$G$20:$G$131,'PvP IB Cricket Season 2'!$AC$7,'PvP IB Cricket Season 2'!$H$20:$H$131,AQ15,'PvP IB Cricket Season 2'!$P$20:$P$131,"NR")+COUNTIFS('PvP IB Cricket Season 2'!$G$20:$G$131,'PvP IB Cricket Season 2'!$AC$7,'PvP IB Cricket Season 2'!$L$20:$L$131,AQ15,'PvP IB Cricket Season 2'!$P$20:$P$131,"NR"))</f>
        <v/>
      </c>
      <c r="AS15" s="80" t="str">
        <f>IF(AQ15="","",COUNTIFS('PvP IB Cricket Season 2'!$G$20:$G$131,'PvP IB Cricket Season 2'!$AC$7,'PvP IB Cricket Season 2'!$H$20:$H$131,AQ15,'PvP IB Cricket Season 2'!$P$20:$P$131,"A")+COUNTIFS('PvP IB Cricket Season 2'!$G$20:$G$131,'PvP IB Cricket Season 2'!$AC$7,'PvP IB Cricket Season 2'!$L$20:$L$131,AQ15,'PvP IB Cricket Season 2'!$P$20:$P$131,"B"))</f>
        <v/>
      </c>
      <c r="AT15" s="80" t="str">
        <f>IF(AQ15="","",COUNTIFS('PvP IB Cricket Season 2'!$G$20:$G$131,'PvP IB Cricket Season 2'!$AC$7,'PvP IB Cricket Season 2'!$H$20:$H$131,AQ15,'PvP IB Cricket Season 2'!$P$20:$P$131,"B")+COUNTIFS('PvP IB Cricket Season 2'!$G$20:$G$131,'PvP IB Cricket Season 2'!$AC$7,'PvP IB Cricket Season 2'!$L$20:$L$131,AQ15,'PvP IB Cricket Season 2'!$P$20:$P$131,"A"))</f>
        <v/>
      </c>
      <c r="AU15" s="80" t="str">
        <f>IF(AQ15="","",COUNTIFS('PvP IB Cricket Season 2'!$G$20:$G$131,'PvP IB Cricket Season 2'!$AC$7,'PvP IB Cricket Season 2'!$H$20:$H$131,AQ15,'PvP IB Cricket Season 2'!$P$20:$P$131,"Tie")+COUNTIFS('PvP IB Cricket Season 2'!$G$20:$G$131,'PvP IB Cricket Season 2'!$AC$7,'PvP IB Cricket Season 2'!$L$20:$L$131,AQ15,'PvP IB Cricket Season 2'!$P$20:$P$131,"Tie"))</f>
        <v/>
      </c>
      <c r="AV15" s="80" t="str">
        <f>IF(AQ15="","",COUNTIFS('PvP IB Cricket Season 2'!$G$20:$G$131,'PvP IB Cricket Season 2'!$AC$7,'PvP IB Cricket Season 2'!$H$20:$H$131,AQ15,'PvP IB Cricket Season 2'!$P$20:$P$131,"NR")+COUNTIFS('PvP IB Cricket Season 2'!$G$20:$G$131,'PvP IB Cricket Season 2'!$AC$7,'PvP IB Cricket Season 2'!$L$20:$L$131,AQ15,'PvP IB Cricket Season 2'!$P$20:$P$131,"NR"))</f>
        <v/>
      </c>
      <c r="AW15" s="80" t="str">
        <f t="shared" si="20"/>
        <v/>
      </c>
      <c r="AX15" s="80" t="str">
        <f>IF(AQ15="","",SUMIFS('PvP IB Cricket Season 2'!$I$20:$I$131,'PvP IB Cricket Season 2'!$G$20:$G$131,'PvP IB Cricket Season 2'!$AC$7,'PvP IB Cricket Season 2'!$H$20:$H$131,AQ15)+SUMIFS('PvP IB Cricket Season 2'!$M$20:$M$131,'PvP IB Cricket Season 2'!$G$20:$G$131,'PvP IB Cricket Season 2'!$AC$7,'PvP IB Cricket Season 2'!$L$20:$L$131,AQ15))</f>
        <v/>
      </c>
      <c r="AY15" s="80" t="str">
        <f t="array" ref="AY15">IF(AQ15="","",SUMPRODUCT(('PvP IB Cricket Season 2'!$G$20:$G$131='PvP IB Cricket Season 2'!$AC$7)*('PvP IB Cricket Season 2'!$H$20:$H$131=AQ15)*IF('PvP IB Cricket Season 2'!$J$20:$J$131&gt;='PvP IB Cricket Season 2'!$D$17,'PvP IB Cricket Season 2'!$D$9,'PvP IB Cricket Season 2'!$K$20:$K$131))+SUMPRODUCT(('PvP IB Cricket Season 2'!$G$20:$G$131='PvP IB Cricket Season 2'!$AC$7)*('PvP IB Cricket Season 2'!$L$20:$L$131=AQ15)*IF('PvP IB Cricket Season 2'!$N$20:$N$131&gt;='PvP IB Cricket Season 2'!$D$17,'PvP IB Cricket Season 2'!$D$9,'PvP IB Cricket Season 2'!$O$20:$O$131)))</f>
        <v/>
      </c>
      <c r="AZ15" s="80" t="str">
        <f>IF(AQ15="","",SUMIFS('PvP IB Cricket Season 2'!$M$20:$M$131,'PvP IB Cricket Season 2'!$G$20:$G$131,'PvP IB Cricket Season 2'!$AC$7,'PvP IB Cricket Season 2'!$H$20:$H$131,AQ15)+SUMIFS('PvP IB Cricket Season 2'!$I$20:$I$131,'PvP IB Cricket Season 2'!$G$20:$G$131,'PvP IB Cricket Season 2'!$AC$7,'PvP IB Cricket Season 2'!$L$20:$L$131,AQ15))</f>
        <v/>
      </c>
      <c r="BA15" s="80" t="str">
        <f t="array" ref="BA15">IF(AQ15="","",SUMPRODUCT(('PvP IB Cricket Season 2'!$G$20:$G$131='PvP IB Cricket Season 2'!$AC$7)*('PvP IB Cricket Season 2'!$H$20:$H$131=AQ15)*IF('PvP IB Cricket Season 2'!$N$20:$N$131&gt;='PvP IB Cricket Season 2'!$D$17,'PvP IB Cricket Season 2'!$D$9,'PvP IB Cricket Season 2'!$O$20:$O$131))+SUMPRODUCT(('PvP IB Cricket Season 2'!$G$20:$G$131='PvP IB Cricket Season 2'!$AC$7)*('PvP IB Cricket Season 2'!$L$20:$L$131=AQ15)*IF('PvP IB Cricket Season 2'!$J$20:$J$131&gt;='PvP IB Cricket Season 2'!$D$17,'PvP IB Cricket Season 2'!$D$9,'PvP IB Cricket Season 2'!$K$20:$K$131)))</f>
        <v/>
      </c>
      <c r="BB15" s="81" t="str">
        <f t="shared" si="21"/>
        <v/>
      </c>
      <c r="BC15" s="82" t="str">
        <f t="shared" si="22"/>
        <v/>
      </c>
      <c r="BD15" s="83" t="str">
        <f t="array" ref="BD15">IF(AQ15="","",SUMPRODUCT(($BC$6:$BC$15&gt;BC15)*1)+1)</f>
        <v/>
      </c>
      <c r="BF15" s="124" t="str">
        <f t="array" ref="BF15">IFERROR(INDEX(_xlfn._xlws.FILTER('PvP IB Cricket Season 2'!$C$20:$C$51,'PvP IB Cricket Season 2'!$D$20:$D$51='PvP IB Cricket Season 2'!$AC$8),10),"")</f>
        <v/>
      </c>
      <c r="BG15" s="92" t="str">
        <f>IF(BF15="","",COUNTIFS('PvP IB Cricket Season 2'!$G$20:$G$131,'PvP IB Cricket Season 2'!$AC$8,'PvP IB Cricket Season 2'!$H$20:$H$131,BF15,'PvP IB Cricket Season 2'!$P$20:$P$131,"A")+COUNTIFS('PvP IB Cricket Season 2'!$G$20:$G$131,'PvP IB Cricket Season 2'!$AC$8,'PvP IB Cricket Season 2'!$L$20:$L$131,BF15,'PvP IB Cricket Season 2'!$P$20:$P$131,"B")+COUNTIFS('PvP IB Cricket Season 2'!$G$20:$G$131,'PvP IB Cricket Season 2'!$AC$8,'PvP IB Cricket Season 2'!$H$20:$H$131,BF15,'PvP IB Cricket Season 2'!$P$20:$P$131,"B")+COUNTIFS('PvP IB Cricket Season 2'!$G$20:$G$131,'PvP IB Cricket Season 2'!$AC$8,'PvP IB Cricket Season 2'!$L$20:$L$131,BF15,'PvP IB Cricket Season 2'!$P$20:$P$131,"A")+COUNTIFS('PvP IB Cricket Season 2'!$G$20:$G$131,'PvP IB Cricket Season 2'!$AC$8,'PvP IB Cricket Season 2'!$H$20:$H$131,BF15,'PvP IB Cricket Season 2'!$P$20:$P$131,"Tie")+COUNTIFS('PvP IB Cricket Season 2'!$G$20:$G$131,'PvP IB Cricket Season 2'!$AC$8,'PvP IB Cricket Season 2'!$L$20:$L$131,BF15,'PvP IB Cricket Season 2'!$P$20:$P$131,"Tie")+COUNTIFS('PvP IB Cricket Season 2'!$G$20:$G$131,'PvP IB Cricket Season 2'!$AC$8,'PvP IB Cricket Season 2'!$H$20:$H$131,BF15,'PvP IB Cricket Season 2'!$P$20:$P$131,"NR")+COUNTIFS('PvP IB Cricket Season 2'!$G$20:$G$131,'PvP IB Cricket Season 2'!$AC$8,'PvP IB Cricket Season 2'!$L$20:$L$131,BF15,'PvP IB Cricket Season 2'!$P$20:$P$131,"NR"))</f>
        <v/>
      </c>
      <c r="BH15" s="92" t="str">
        <f>IF(BF15="","",COUNTIFS('PvP IB Cricket Season 2'!$G$20:$G$131,'PvP IB Cricket Season 2'!$AC$8,'PvP IB Cricket Season 2'!$H$20:$H$131,BF15,'PvP IB Cricket Season 2'!$P$20:$P$131,"A")+COUNTIFS('PvP IB Cricket Season 2'!$G$20:$G$131,'PvP IB Cricket Season 2'!$AC$8,'PvP IB Cricket Season 2'!$L$20:$L$131,BF15,'PvP IB Cricket Season 2'!$P$20:$P$131,"B"))</f>
        <v/>
      </c>
      <c r="BI15" s="92" t="str">
        <f>IF(BF15="","",COUNTIFS('PvP IB Cricket Season 2'!$G$20:$G$131,'PvP IB Cricket Season 2'!$AC$8,'PvP IB Cricket Season 2'!$H$20:$H$131,BF15,'PvP IB Cricket Season 2'!$P$20:$P$131,"B")+COUNTIFS('PvP IB Cricket Season 2'!$G$20:$G$131,'PvP IB Cricket Season 2'!$AC$8,'PvP IB Cricket Season 2'!$L$20:$L$131,BF15,'PvP IB Cricket Season 2'!$P$20:$P$131,"A"))</f>
        <v/>
      </c>
      <c r="BJ15" s="92" t="str">
        <f>IF(BF15="","",COUNTIFS('PvP IB Cricket Season 2'!$G$20:$G$131,'PvP IB Cricket Season 2'!$AC$8,'PvP IB Cricket Season 2'!$H$20:$H$131,BF15,'PvP IB Cricket Season 2'!$P$20:$P$131,"Tie")+COUNTIFS('PvP IB Cricket Season 2'!$G$20:$G$131,'PvP IB Cricket Season 2'!$AC$8,'PvP IB Cricket Season 2'!$L$20:$L$131,BF15,'PvP IB Cricket Season 2'!$P$20:$P$131,"Tie"))</f>
        <v/>
      </c>
      <c r="BK15" s="92" t="str">
        <f>IF(BF15="","",COUNTIFS('PvP IB Cricket Season 2'!$G$20:$G$131,'PvP IB Cricket Season 2'!$AC$8,'PvP IB Cricket Season 2'!$H$20:$H$131,BF15,'PvP IB Cricket Season 2'!$P$20:$P$131,"NR")+COUNTIFS('PvP IB Cricket Season 2'!$G$20:$G$131,'PvP IB Cricket Season 2'!$AC$8,'PvP IB Cricket Season 2'!$L$20:$L$131,BF15,'PvP IB Cricket Season 2'!$P$20:$P$131,"NR"))</f>
        <v/>
      </c>
      <c r="BL15" s="92" t="str">
        <f t="shared" si="23"/>
        <v/>
      </c>
      <c r="BM15" s="92" t="str">
        <f>IF(BF15="","",SUMIFS('PvP IB Cricket Season 2'!$I$20:$I$131,'PvP IB Cricket Season 2'!$G$20:$G$131,'PvP IB Cricket Season 2'!$AC$8,'PvP IB Cricket Season 2'!$H$20:$H$131,BF15)+SUMIFS('PvP IB Cricket Season 2'!$M$20:$M$131,'PvP IB Cricket Season 2'!$G$20:$G$131,'PvP IB Cricket Season 2'!$AC$8,'PvP IB Cricket Season 2'!$L$20:$L$131,BF15))</f>
        <v/>
      </c>
      <c r="BN15" s="92" t="str">
        <f t="array" ref="BN15">IF(BF15="","",SUMPRODUCT(('PvP IB Cricket Season 2'!$G$20:$G$131='PvP IB Cricket Season 2'!$AC$8)*('PvP IB Cricket Season 2'!$H$20:$H$131=BF15)*IF('PvP IB Cricket Season 2'!$J$20:$J$131&gt;='PvP IB Cricket Season 2'!$D$17,'PvP IB Cricket Season 2'!$D$9,'PvP IB Cricket Season 2'!$K$20:$K$131))+SUMPRODUCT(('PvP IB Cricket Season 2'!$G$20:$G$131='PvP IB Cricket Season 2'!$AC$8)*('PvP IB Cricket Season 2'!$L$20:$L$131=BF15)*IF('PvP IB Cricket Season 2'!$N$20:$N$131&gt;='PvP IB Cricket Season 2'!$D$17,'PvP IB Cricket Season 2'!$D$9,'PvP IB Cricket Season 2'!$O$20:$O$131)))</f>
        <v/>
      </c>
      <c r="BO15" s="92" t="str">
        <f>IF(BF15="","",SUMIFS('PvP IB Cricket Season 2'!$M$20:$M$131,'PvP IB Cricket Season 2'!$G$20:$G$131,'PvP IB Cricket Season 2'!$AC$8,'PvP IB Cricket Season 2'!$H$20:$H$131,BF15)+SUMIFS('PvP IB Cricket Season 2'!$I$20:$I$131,'PvP IB Cricket Season 2'!$G$20:$G$131,'PvP IB Cricket Season 2'!$AC$8,'PvP IB Cricket Season 2'!$L$20:$L$131,BF15))</f>
        <v/>
      </c>
      <c r="BP15" s="92" t="str">
        <f t="array" ref="BP15">IF(BF15="","",SUMPRODUCT(('PvP IB Cricket Season 2'!$G$20:$G$131='PvP IB Cricket Season 2'!$AC$8)*('PvP IB Cricket Season 2'!$H$20:$H$131=BF15)*IF('PvP IB Cricket Season 2'!$N$20:$N$131&gt;='PvP IB Cricket Season 2'!$D$17,'PvP IB Cricket Season 2'!$D$9,'PvP IB Cricket Season 2'!$O$20:$O$131))+SUMPRODUCT(('PvP IB Cricket Season 2'!$G$20:$G$131='PvP IB Cricket Season 2'!$AC$8)*('PvP IB Cricket Season 2'!$L$20:$L$131=BF15)*IF('PvP IB Cricket Season 2'!$J$20:$J$131&gt;='PvP IB Cricket Season 2'!$D$17,'PvP IB Cricket Season 2'!$D$9,'PvP IB Cricket Season 2'!$K$20:$K$131)))</f>
        <v/>
      </c>
      <c r="BQ15" s="93" t="str">
        <f t="shared" si="24"/>
        <v/>
      </c>
      <c r="BR15" s="94" t="str">
        <f t="shared" si="25"/>
        <v/>
      </c>
      <c r="BS15" s="95" t="str">
        <f t="array" ref="BS15">IF(BF15="","",SUMPRODUCT(($BR$6:$BR$15&gt;BR15)*1)+1)</f>
        <v/>
      </c>
      <c r="BU15" s="127" t="str">
        <f t="array" ref="BU15">IFERROR(INDEX(_xlfn._xlws.FILTER('PvP IB Cricket Season 2'!$C$20:$C$51,'PvP IB Cricket Season 2'!$D$20:$D$51='PvP IB Cricket Season 2'!$AC$9),10),"")</f>
        <v/>
      </c>
      <c r="BV15" s="103" t="str">
        <f>IF(BU15="","",COUNTIFS('PvP IB Cricket Season 2'!$G$20:$G$131,'PvP IB Cricket Season 2'!$AC$9,'PvP IB Cricket Season 2'!$H$20:$H$131,BU15,'PvP IB Cricket Season 2'!$P$20:$P$131,"A")+COUNTIFS('PvP IB Cricket Season 2'!$G$20:$G$131,'PvP IB Cricket Season 2'!$AC$9,'PvP IB Cricket Season 2'!$L$20:$L$131,BU15,'PvP IB Cricket Season 2'!$P$20:$P$131,"B")+COUNTIFS('PvP IB Cricket Season 2'!$G$20:$G$131,'PvP IB Cricket Season 2'!$AC$9,'PvP IB Cricket Season 2'!$H$20:$H$131,BU15,'PvP IB Cricket Season 2'!$P$20:$P$131,"B")+COUNTIFS('PvP IB Cricket Season 2'!$G$20:$G$131,'PvP IB Cricket Season 2'!$AC$9,'PvP IB Cricket Season 2'!$L$20:$L$131,BU15,'PvP IB Cricket Season 2'!$P$20:$P$131,"A")+COUNTIFS('PvP IB Cricket Season 2'!$G$20:$G$131,'PvP IB Cricket Season 2'!$AC$9,'PvP IB Cricket Season 2'!$H$20:$H$131,BU15,'PvP IB Cricket Season 2'!$P$20:$P$131,"Tie")+COUNTIFS('PvP IB Cricket Season 2'!$G$20:$G$131,'PvP IB Cricket Season 2'!$AC$9,'PvP IB Cricket Season 2'!$L$20:$L$131,BU15,'PvP IB Cricket Season 2'!$P$20:$P$131,"Tie")+COUNTIFS('PvP IB Cricket Season 2'!$G$20:$G$131,'PvP IB Cricket Season 2'!$AC$9,'PvP IB Cricket Season 2'!$H$20:$H$131,BU15,'PvP IB Cricket Season 2'!$P$20:$P$131,"NR")+COUNTIFS('PvP IB Cricket Season 2'!$G$20:$G$131,'PvP IB Cricket Season 2'!$AC$9,'PvP IB Cricket Season 2'!$L$20:$L$131,BU15,'PvP IB Cricket Season 2'!$P$20:$P$131,"NR"))</f>
        <v/>
      </c>
      <c r="BW15" s="103" t="str">
        <f>IF(BU15="","",COUNTIFS('PvP IB Cricket Season 2'!$G$20:$G$131,'PvP IB Cricket Season 2'!$AC$9,'PvP IB Cricket Season 2'!$H$20:$H$131,BU15,'PvP IB Cricket Season 2'!$P$20:$P$131,"A")+COUNTIFS('PvP IB Cricket Season 2'!$G$20:$G$131,'PvP IB Cricket Season 2'!$AC$9,'PvP IB Cricket Season 2'!$L$20:$L$131,BU15,'PvP IB Cricket Season 2'!$P$20:$P$131,"B"))</f>
        <v/>
      </c>
      <c r="BX15" s="103" t="str">
        <f>IF(BU15="","",COUNTIFS('PvP IB Cricket Season 2'!$G$20:$G$131,'PvP IB Cricket Season 2'!$AC$9,'PvP IB Cricket Season 2'!$H$20:$H$131,BU15,'PvP IB Cricket Season 2'!$P$20:$P$131,"B")+COUNTIFS('PvP IB Cricket Season 2'!$G$20:$G$131,'PvP IB Cricket Season 2'!$AC$9,'PvP IB Cricket Season 2'!$L$20:$L$131,BU15,'PvP IB Cricket Season 2'!$P$20:$P$131,"A"))</f>
        <v/>
      </c>
      <c r="BY15" s="103" t="str">
        <f>IF(BU15="","",COUNTIFS('PvP IB Cricket Season 2'!$G$20:$G$131,'PvP IB Cricket Season 2'!$AC$9,'PvP IB Cricket Season 2'!$H$20:$H$131,BU15,'PvP IB Cricket Season 2'!$P$20:$P$131,"Tie")+COUNTIFS('PvP IB Cricket Season 2'!$G$20:$G$131,'PvP IB Cricket Season 2'!$AC$9,'PvP IB Cricket Season 2'!$L$20:$L$131,BU15,'PvP IB Cricket Season 2'!$P$20:$P$131,"Tie"))</f>
        <v/>
      </c>
      <c r="BZ15" s="103" t="str">
        <f>IF(BU15="","",COUNTIFS('PvP IB Cricket Season 2'!$G$20:$G$131,'PvP IB Cricket Season 2'!$AC$9,'PvP IB Cricket Season 2'!$H$20:$H$131,BU15,'PvP IB Cricket Season 2'!$P$20:$P$131,"NR")+COUNTIFS('PvP IB Cricket Season 2'!$G$20:$G$131,'PvP IB Cricket Season 2'!$AC$9,'PvP IB Cricket Season 2'!$L$20:$L$131,BU15,'PvP IB Cricket Season 2'!$P$20:$P$131,"NR"))</f>
        <v/>
      </c>
      <c r="CA15" s="103" t="str">
        <f t="shared" si="26"/>
        <v/>
      </c>
      <c r="CB15" s="103" t="str">
        <f>IF(BU15="","",SUMIFS('PvP IB Cricket Season 2'!$I$20:$I$131,'PvP IB Cricket Season 2'!$G$20:$G$131,'PvP IB Cricket Season 2'!$AC$9,'PvP IB Cricket Season 2'!$H$20:$H$131,BU15)+SUMIFS('PvP IB Cricket Season 2'!$M$20:$M$131,'PvP IB Cricket Season 2'!$G$20:$G$131,'PvP IB Cricket Season 2'!$AC$9,'PvP IB Cricket Season 2'!$L$20:$L$131,BU15))</f>
        <v/>
      </c>
      <c r="CC15" s="103" t="str">
        <f t="array" ref="CC15">IF(BU15="","",SUMPRODUCT(('PvP IB Cricket Season 2'!$G$20:$G$131='PvP IB Cricket Season 2'!$AC$9)*('PvP IB Cricket Season 2'!$H$20:$H$131=BU15)*IF('PvP IB Cricket Season 2'!$J$20:$J$131&gt;='PvP IB Cricket Season 2'!$D$17,'PvP IB Cricket Season 2'!$D$9,'PvP IB Cricket Season 2'!$K$20:$K$131))+SUMPRODUCT(('PvP IB Cricket Season 2'!$G$20:$G$131='PvP IB Cricket Season 2'!$AC$9)*('PvP IB Cricket Season 2'!$L$20:$L$131=BU15)*IF('PvP IB Cricket Season 2'!$N$20:$N$131&gt;='PvP IB Cricket Season 2'!$D$17,'PvP IB Cricket Season 2'!$D$9,'PvP IB Cricket Season 2'!$O$20:$O$131)))</f>
        <v/>
      </c>
      <c r="CD15" s="103" t="str">
        <f>IF(BU15="","",SUMIFS('PvP IB Cricket Season 2'!$M$20:$M$131,'PvP IB Cricket Season 2'!$G$20:$G$131,'PvP IB Cricket Season 2'!$AC$9,'PvP IB Cricket Season 2'!$H$20:$H$131,BU15)+SUMIFS('PvP IB Cricket Season 2'!$I$20:$I$131,'PvP IB Cricket Season 2'!$G$20:$G$131,'PvP IB Cricket Season 2'!$AC$9,'PvP IB Cricket Season 2'!$L$20:$L$131,BU15))</f>
        <v/>
      </c>
      <c r="CE15" s="103" t="str">
        <f t="array" ref="CE15">IF(BU15="","",SUMPRODUCT(('PvP IB Cricket Season 2'!$G$20:$G$131='PvP IB Cricket Season 2'!$AC$9)*('PvP IB Cricket Season 2'!$H$20:$H$131=BU15)*IF('PvP IB Cricket Season 2'!$N$20:$N$131&gt;='PvP IB Cricket Season 2'!$D$17,'PvP IB Cricket Season 2'!$D$9,'PvP IB Cricket Season 2'!$O$20:$O$131))+SUMPRODUCT(('PvP IB Cricket Season 2'!$G$20:$G$131='PvP IB Cricket Season 2'!$AC$9)*('PvP IB Cricket Season 2'!$L$20:$L$131=BU15)*IF('PvP IB Cricket Season 2'!$J$20:$J$131&gt;='PvP IB Cricket Season 2'!$D$17,'PvP IB Cricket Season 2'!$D$9,'PvP IB Cricket Season 2'!$K$20:$K$131)))</f>
        <v/>
      </c>
      <c r="CF15" s="104" t="str">
        <f t="shared" si="27"/>
        <v/>
      </c>
      <c r="CG15" s="105" t="str">
        <f t="shared" si="28"/>
        <v/>
      </c>
      <c r="CH15" s="106" t="str">
        <f t="array" ref="CH15">IF(BU15="","",SUMPRODUCT(($CG$6:$CG$15&gt;CG15)*1)+1)</f>
        <v/>
      </c>
      <c r="CJ15" s="130" t="str">
        <f t="array" ref="CJ15">IFERROR(INDEX(_xlfn._xlws.FILTER('PvP IB Cricket Season 2'!$C$20:$C$51,'PvP IB Cricket Season 2'!$D$20:$D$51='PvP IB Cricket Season 2'!$AC$10),10),"")</f>
        <v/>
      </c>
      <c r="CK15" s="115" t="str">
        <f>IF(CJ15="","",COUNTIFS('PvP IB Cricket Season 2'!$G$20:$G$131,'PvP IB Cricket Season 2'!$AC$10,'PvP IB Cricket Season 2'!$H$20:$H$131,CJ15,'PvP IB Cricket Season 2'!$P$20:$P$131,"A")+COUNTIFS('PvP IB Cricket Season 2'!$G$20:$G$131,'PvP IB Cricket Season 2'!$AC$10,'PvP IB Cricket Season 2'!$L$20:$L$131,CJ15,'PvP IB Cricket Season 2'!$P$20:$P$131,"B")+COUNTIFS('PvP IB Cricket Season 2'!$G$20:$G$131,'PvP IB Cricket Season 2'!$AC$10,'PvP IB Cricket Season 2'!$H$20:$H$131,CJ15,'PvP IB Cricket Season 2'!$P$20:$P$131,"B")+COUNTIFS('PvP IB Cricket Season 2'!$G$20:$G$131,'PvP IB Cricket Season 2'!$AC$10,'PvP IB Cricket Season 2'!$L$20:$L$131,CJ15,'PvP IB Cricket Season 2'!$P$20:$P$131,"A")+COUNTIFS('PvP IB Cricket Season 2'!$G$20:$G$131,'PvP IB Cricket Season 2'!$AC$10,'PvP IB Cricket Season 2'!$H$20:$H$131,CJ15,'PvP IB Cricket Season 2'!$P$20:$P$131,"Tie")+COUNTIFS('PvP IB Cricket Season 2'!$G$20:$G$131,'PvP IB Cricket Season 2'!$AC$10,'PvP IB Cricket Season 2'!$L$20:$L$131,CJ15,'PvP IB Cricket Season 2'!$P$20:$P$131,"Tie")+COUNTIFS('PvP IB Cricket Season 2'!$G$20:$G$131,'PvP IB Cricket Season 2'!$AC$10,'PvP IB Cricket Season 2'!$H$20:$H$131,CJ15,'PvP IB Cricket Season 2'!$P$20:$P$131,"NR")+COUNTIFS('PvP IB Cricket Season 2'!$G$20:$G$131,'PvP IB Cricket Season 2'!$AC$10,'PvP IB Cricket Season 2'!$L$20:$L$131,CJ15,'PvP IB Cricket Season 2'!$P$20:$P$131,"NR"))</f>
        <v/>
      </c>
      <c r="CL15" s="115" t="str">
        <f>IF(CJ15="","",COUNTIFS('PvP IB Cricket Season 2'!$G$20:$G$131,'PvP IB Cricket Season 2'!$AC$10,'PvP IB Cricket Season 2'!$H$20:$H$131,CJ15,'PvP IB Cricket Season 2'!$P$20:$P$131,"A")+COUNTIFS('PvP IB Cricket Season 2'!$G$20:$G$131,'PvP IB Cricket Season 2'!$AC$10,'PvP IB Cricket Season 2'!$L$20:$L$131,CJ15,'PvP IB Cricket Season 2'!$P$20:$P$131,"B"))</f>
        <v/>
      </c>
      <c r="CM15" s="115" t="str">
        <f>IF(CJ15="","",COUNTIFS('PvP IB Cricket Season 2'!$G$20:$G$131,'PvP IB Cricket Season 2'!$AC$10,'PvP IB Cricket Season 2'!$H$20:$H$131,CJ15,'PvP IB Cricket Season 2'!$P$20:$P$131,"B")+COUNTIFS('PvP IB Cricket Season 2'!$G$20:$G$131,'PvP IB Cricket Season 2'!$AC$10,'PvP IB Cricket Season 2'!$L$20:$L$131,CJ15,'PvP IB Cricket Season 2'!$P$20:$P$131,"A"))</f>
        <v/>
      </c>
      <c r="CN15" s="115" t="str">
        <f>IF(CJ15="","",COUNTIFS('PvP IB Cricket Season 2'!$G$20:$G$131,'PvP IB Cricket Season 2'!$AC$10,'PvP IB Cricket Season 2'!$H$20:$H$131,CJ15,'PvP IB Cricket Season 2'!$P$20:$P$131,"Tie")+COUNTIFS('PvP IB Cricket Season 2'!$G$20:$G$131,'PvP IB Cricket Season 2'!$AC$10,'PvP IB Cricket Season 2'!$L$20:$L$131,CJ15,'PvP IB Cricket Season 2'!$P$20:$P$131,"Tie"))</f>
        <v/>
      </c>
      <c r="CO15" s="115" t="str">
        <f>IF(CJ15="","",COUNTIFS('PvP IB Cricket Season 2'!$G$20:$G$131,'PvP IB Cricket Season 2'!$AC$10,'PvP IB Cricket Season 2'!$H$20:$H$131,CJ15,'PvP IB Cricket Season 2'!$P$20:$P$131,"NR")+COUNTIFS('PvP IB Cricket Season 2'!$G$20:$G$131,'PvP IB Cricket Season 2'!$AC$10,'PvP IB Cricket Season 2'!$L$20:$L$131,CJ15,'PvP IB Cricket Season 2'!$P$20:$P$131,"NR"))</f>
        <v/>
      </c>
      <c r="CP15" s="115" t="str">
        <f t="shared" si="29"/>
        <v/>
      </c>
      <c r="CQ15" s="115" t="str">
        <f>IF(CJ15="","",SUMIFS('PvP IB Cricket Season 2'!$I$20:$I$131,'PvP IB Cricket Season 2'!$G$20:$G$131,'PvP IB Cricket Season 2'!$AC$10,'PvP IB Cricket Season 2'!$H$20:$H$131,CJ15)+SUMIFS('PvP IB Cricket Season 2'!$M$20:$M$131,'PvP IB Cricket Season 2'!$G$20:$G$131,'PvP IB Cricket Season 2'!$AC$10,'PvP IB Cricket Season 2'!$L$20:$L$131,CJ15))</f>
        <v/>
      </c>
      <c r="CR15" s="115" t="str">
        <f t="array" ref="CR15">IF(CJ15="","",SUMPRODUCT(('PvP IB Cricket Season 2'!$G$20:$G$131='PvP IB Cricket Season 2'!$AC$10)*('PvP IB Cricket Season 2'!$H$20:$H$131=CJ15)*IF('PvP IB Cricket Season 2'!$J$20:$J$131&gt;='PvP IB Cricket Season 2'!$D$17,'PvP IB Cricket Season 2'!$D$9,'PvP IB Cricket Season 2'!$K$20:$K$131))+SUMPRODUCT(('PvP IB Cricket Season 2'!$G$20:$G$131='PvP IB Cricket Season 2'!$AC$10)*('PvP IB Cricket Season 2'!$L$20:$L$131=CJ15)*IF('PvP IB Cricket Season 2'!$N$20:$N$131&gt;='PvP IB Cricket Season 2'!$D$17,'PvP IB Cricket Season 2'!$D$9,'PvP IB Cricket Season 2'!$O$20:$O$131)))</f>
        <v/>
      </c>
      <c r="CS15" s="115" t="str">
        <f>IF(CJ15="","",SUMIFS('PvP IB Cricket Season 2'!$M$20:$M$131,'PvP IB Cricket Season 2'!$G$20:$G$131,'PvP IB Cricket Season 2'!$AC$10,'PvP IB Cricket Season 2'!$H$20:$H$131,CJ15)+SUMIFS('PvP IB Cricket Season 2'!$I$20:$I$131,'PvP IB Cricket Season 2'!$G$20:$G$131,'PvP IB Cricket Season 2'!$AC$10,'PvP IB Cricket Season 2'!$L$20:$L$131,CJ15))</f>
        <v/>
      </c>
      <c r="CT15" s="115" t="str">
        <f t="array" ref="CT15">IF(CJ15="","",SUMPRODUCT(('PvP IB Cricket Season 2'!$G$20:$G$131='PvP IB Cricket Season 2'!$AC$10)*('PvP IB Cricket Season 2'!$H$20:$H$131=CJ15)*IF('PvP IB Cricket Season 2'!$N$20:$N$131&gt;='PvP IB Cricket Season 2'!$D$17,'PvP IB Cricket Season 2'!$D$9,'PvP IB Cricket Season 2'!$O$20:$O$131))+SUMPRODUCT(('PvP IB Cricket Season 2'!$G$20:$G$131='PvP IB Cricket Season 2'!$AC$10)*('PvP IB Cricket Season 2'!$L$20:$L$131=CJ15)*IF('PvP IB Cricket Season 2'!$J$20:$J$131&gt;='PvP IB Cricket Season 2'!$D$17,'PvP IB Cricket Season 2'!$D$9,'PvP IB Cricket Season 2'!$K$20:$K$131)))</f>
        <v/>
      </c>
      <c r="CU15" s="116" t="str">
        <f t="shared" si="30"/>
        <v/>
      </c>
      <c r="CV15" s="117" t="str">
        <f t="shared" si="31"/>
        <v/>
      </c>
      <c r="CW15" s="118" t="str">
        <f t="array" ref="CW15">IF(CJ15="","",SUMPRODUCT(($CV$6:$CV$15&gt;CV15)*1)+1)</f>
        <v/>
      </c>
    </row>
    <row r="16" spans="1:101" ht="9.9" customHeight="1" thickBot="1" x14ac:dyDescent="0.3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</row>
    <row r="17" spans="1:42" ht="24.9" customHeight="1" x14ac:dyDescent="0.35">
      <c r="A17" s="38"/>
      <c r="B17" s="313" t="str">
        <f>'PvP IB Cricket Season 2'!$AC$8&amp;" - POINTS TABLE"</f>
        <v>Super - POINTS TABLE</v>
      </c>
      <c r="C17" s="314"/>
      <c r="D17" s="314"/>
      <c r="E17" s="314"/>
      <c r="F17" s="314"/>
      <c r="G17" s="314"/>
      <c r="H17" s="314"/>
      <c r="I17" s="314"/>
      <c r="J17" s="314"/>
      <c r="K17" s="314"/>
      <c r="L17" s="314"/>
      <c r="M17" s="314"/>
      <c r="N17" s="315"/>
      <c r="O17" s="38"/>
      <c r="P17" s="317" t="str">
        <f>'PvP IB Cricket Season 2'!$AC$10&amp;" - POINTS TABLE"</f>
        <v>Challenger - POINTS TABLE</v>
      </c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9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</row>
    <row r="18" spans="1:42" ht="24.9" customHeight="1" thickBot="1" x14ac:dyDescent="0.35">
      <c r="A18" s="38"/>
      <c r="B18" s="46" t="s">
        <v>4280</v>
      </c>
      <c r="C18" s="47" t="s">
        <v>88</v>
      </c>
      <c r="D18" s="47" t="s">
        <v>4281</v>
      </c>
      <c r="E18" s="47" t="s">
        <v>106</v>
      </c>
      <c r="F18" s="47" t="s">
        <v>4282</v>
      </c>
      <c r="G18" s="47" t="s">
        <v>4283</v>
      </c>
      <c r="H18" s="47" t="s">
        <v>4284</v>
      </c>
      <c r="I18" s="50" t="s">
        <v>4285</v>
      </c>
      <c r="J18" s="47" t="s">
        <v>4286</v>
      </c>
      <c r="K18" s="47" t="s">
        <v>4287</v>
      </c>
      <c r="L18" s="47" t="s">
        <v>4288</v>
      </c>
      <c r="M18" s="47" t="s">
        <v>4289</v>
      </c>
      <c r="N18" s="48" t="s">
        <v>4290</v>
      </c>
      <c r="O18" s="38"/>
      <c r="P18" s="55" t="s">
        <v>4280</v>
      </c>
      <c r="Q18" s="56" t="s">
        <v>88</v>
      </c>
      <c r="R18" s="56" t="s">
        <v>4281</v>
      </c>
      <c r="S18" s="56" t="s">
        <v>106</v>
      </c>
      <c r="T18" s="56" t="s">
        <v>4282</v>
      </c>
      <c r="U18" s="56" t="s">
        <v>4283</v>
      </c>
      <c r="V18" s="56" t="s">
        <v>4284</v>
      </c>
      <c r="W18" s="59" t="s">
        <v>4285</v>
      </c>
      <c r="X18" s="56" t="s">
        <v>4286</v>
      </c>
      <c r="Y18" s="56" t="s">
        <v>4287</v>
      </c>
      <c r="Z18" s="56" t="s">
        <v>4288</v>
      </c>
      <c r="AA18" s="56" t="s">
        <v>4289</v>
      </c>
      <c r="AB18" s="57" t="s">
        <v>4290</v>
      </c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</row>
    <row r="19" spans="1:42" ht="21.9" customHeight="1" x14ac:dyDescent="0.3">
      <c r="A19" s="38"/>
      <c r="B19" s="212">
        <v>1</v>
      </c>
      <c r="C19" s="213" t="str">
        <f t="shared" ref="C19:C28" si="32">IFERROR(INDEX($BF$6:$BF$15,MATCH(LARGE($BR$6:$BR$15,B19),$BR$6:$BR$15,0)),"")</f>
        <v>Animal</v>
      </c>
      <c r="D19" s="214">
        <f t="shared" ref="D19:D28" si="33">IF(C19="","",INDEX($BG$6:$BG$15,MATCH(C19,$BF$6:$BF$15,0)))</f>
        <v>0</v>
      </c>
      <c r="E19" s="214">
        <f t="shared" ref="E19:E28" si="34">IF(C19="","",INDEX($BH$6:$BH$15,MATCH(C19,$BF$6:$BF$15,0)))</f>
        <v>0</v>
      </c>
      <c r="F19" s="214">
        <f t="shared" ref="F19:F28" si="35">IF(C19="","",INDEX($BI$6:$BI$15,MATCH(C19,$BF$6:$BF$15,0)))</f>
        <v>0</v>
      </c>
      <c r="G19" s="214">
        <f t="shared" ref="G19:G28" si="36">IF(C19="","",INDEX($BJ$6:$BJ$15,MATCH(C19,$BF$6:$BF$15,0)))</f>
        <v>0</v>
      </c>
      <c r="H19" s="214">
        <f t="shared" ref="H19:H28" si="37">IF(C19="","",INDEX($BK$6:$BK$15,MATCH(C19,$BF$6:$BF$15,0)))</f>
        <v>0</v>
      </c>
      <c r="I19" s="215">
        <f t="shared" ref="I19:I28" si="38">IF(C19="","",INDEX($BL$6:$BL$15,MATCH(C19,$BF$6:$BF$15,0)))</f>
        <v>0</v>
      </c>
      <c r="J19" s="214">
        <f t="shared" ref="J19:J28" si="39">IF(C19="","",INDEX($BM$6:$BM$15,MATCH(C19,$BF$6:$BF$15,0)))</f>
        <v>0</v>
      </c>
      <c r="K19" s="216">
        <f t="array" ref="K19">IF(C19="","",SUMPRODUCT(('PvP IB Cricket Season 2'!$G$20:$G$131='PvP IB Cricket Season 2'!$AC$8)*('PvP IB Cricket Season 2'!$H$20:$H$131=C19)*('PvP IB Cricket Season 2'!$K$20:$K$131))+SUMPRODUCT(('PvP IB Cricket Season 2'!$G$20:$G$131='PvP IB Cricket Season 2'!$AC$8)*('PvP IB Cricket Season 2'!$L$20:$L$131=C19)*('PvP IB Cricket Season 2'!$O$20:$O$131)))</f>
        <v>0</v>
      </c>
      <c r="L19" s="214">
        <f t="shared" ref="L19:L28" si="40">IF(C19="","",INDEX($BO$6:$BO$15,MATCH(C19,$BF$6:$BF$15,0)))</f>
        <v>0</v>
      </c>
      <c r="M19" s="216">
        <f t="array" ref="M19">IF(C19="","",SUMPRODUCT(('PvP IB Cricket Season 2'!$G$20:$G$131='PvP IB Cricket Season 2'!$AC$8)*('PvP IB Cricket Season 2'!$H$20:$H$131=C19)*('PvP IB Cricket Season 2'!$O$20:$O$131))+SUMPRODUCT(('PvP IB Cricket Season 2'!$G$20:$G$131='PvP IB Cricket Season 2'!$AC$8)*('PvP IB Cricket Season 2'!$L$20:$L$131=C19)*('PvP IB Cricket Season 2'!$K$20:$K$131)))</f>
        <v>0</v>
      </c>
      <c r="N19" s="217" t="str">
        <f t="shared" ref="N19:N28" si="41">IF(C19="","",INDEX($BQ$6:$BQ$15,MATCH(C19,$BF$6:$BF$15,0)))</f>
        <v/>
      </c>
      <c r="O19" s="38"/>
      <c r="P19" s="230">
        <v>1</v>
      </c>
      <c r="Q19" s="231" t="str">
        <f t="shared" ref="Q19:Q28" si="42">IFERROR(INDEX($CJ$6:$CJ$15,MATCH(LARGE($CV$6:$CV$15,P19),$CV$6:$CV$15,0)),"")</f>
        <v>Aamod</v>
      </c>
      <c r="R19" s="232">
        <f t="shared" ref="R19:R28" si="43">IF(Q19="","",INDEX($CK$6:$CK$15,MATCH(Q19,$CJ$6:$CJ$15,0)))</f>
        <v>0</v>
      </c>
      <c r="S19" s="232">
        <f t="shared" ref="S19:S28" si="44">IF(Q19="","",INDEX($CL$6:$CL$15,MATCH(Q19,$CJ$6:$CJ$15,0)))</f>
        <v>0</v>
      </c>
      <c r="T19" s="232">
        <f t="shared" ref="T19:T28" si="45">IF(Q19="","",INDEX($CM$6:$CM$15,MATCH(Q19,$CJ$6:$CJ$15,0)))</f>
        <v>0</v>
      </c>
      <c r="U19" s="232">
        <f t="shared" ref="U19:U28" si="46">IF(Q19="","",INDEX($CN$6:$CN$15,MATCH(Q19,$CJ$6:$CJ$15,0)))</f>
        <v>0</v>
      </c>
      <c r="V19" s="232">
        <f t="shared" ref="V19:V28" si="47">IF(Q19="","",INDEX($CO$6:$CO$15,MATCH(Q19,$CJ$6:$CJ$15,0)))</f>
        <v>0</v>
      </c>
      <c r="W19" s="233">
        <f t="shared" ref="W19:W28" si="48">IF(Q19="","",INDEX($CP$6:$CP$15,MATCH(Q19,$CJ$6:$CJ$15,0)))</f>
        <v>0</v>
      </c>
      <c r="X19" s="232">
        <f t="shared" ref="X19:X28" si="49">IF(Q19="","",INDEX($CQ$6:$CQ$15,MATCH(Q19,$CJ$6:$CJ$15,0)))</f>
        <v>0</v>
      </c>
      <c r="Y19" s="234">
        <f t="array" ref="Y19">IF(Q19="","",SUMPRODUCT(('PvP IB Cricket Season 2'!$G$20:$G$131='PvP IB Cricket Season 2'!$AC$10)*('PvP IB Cricket Season 2'!$H$20:$H$131=Q19)*('PvP IB Cricket Season 2'!$K$20:$K$131))+SUMPRODUCT(('PvP IB Cricket Season 2'!$G$20:$G$131='PvP IB Cricket Season 2'!$AC$10)*('PvP IB Cricket Season 2'!$L$20:$L$131=Q19)*('PvP IB Cricket Season 2'!$O$20:$O$131)))</f>
        <v>0</v>
      </c>
      <c r="Z19" s="232">
        <f t="shared" ref="Z19:Z28" si="50">IF(Q19="","",INDEX($CS$6:$CS$15,MATCH(Q19,$CJ$6:$CJ$15,0)))</f>
        <v>0</v>
      </c>
      <c r="AA19" s="234">
        <f t="array" ref="AA19">IF(Q19="","",SUMPRODUCT(('PvP IB Cricket Season 2'!$G$20:$G$131='PvP IB Cricket Season 2'!$AC$10)*('PvP IB Cricket Season 2'!$H$20:$H$131=Q19)*('PvP IB Cricket Season 2'!$O$20:$O$131))+SUMPRODUCT(('PvP IB Cricket Season 2'!$G$20:$G$131='PvP IB Cricket Season 2'!$AC$10)*('PvP IB Cricket Season 2'!$L$20:$L$131=Q19)*('PvP IB Cricket Season 2'!$K$20:$K$131)))</f>
        <v>0</v>
      </c>
      <c r="AB19" s="235" t="str">
        <f t="shared" ref="AB19:AB28" si="51">IF(Q19="","",INDEX($CU$6:$CU$15,MATCH(Q19,$CJ$6:$CJ$15,0)))</f>
        <v/>
      </c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</row>
    <row r="20" spans="1:42" ht="20.100000000000001" customHeight="1" x14ac:dyDescent="0.3">
      <c r="A20" s="38"/>
      <c r="B20" s="218">
        <v>2</v>
      </c>
      <c r="C20" s="219" t="str">
        <f t="shared" si="32"/>
        <v>Arjun Reddy</v>
      </c>
      <c r="D20" s="220">
        <f t="shared" si="33"/>
        <v>0</v>
      </c>
      <c r="E20" s="220">
        <f t="shared" si="34"/>
        <v>0</v>
      </c>
      <c r="F20" s="220">
        <f t="shared" si="35"/>
        <v>0</v>
      </c>
      <c r="G20" s="220">
        <f t="shared" si="36"/>
        <v>0</v>
      </c>
      <c r="H20" s="220">
        <f t="shared" si="37"/>
        <v>0</v>
      </c>
      <c r="I20" s="221">
        <f t="shared" si="38"/>
        <v>0</v>
      </c>
      <c r="J20" s="220">
        <f t="shared" si="39"/>
        <v>0</v>
      </c>
      <c r="K20" s="222">
        <f t="array" ref="K20">IF(C20="","",SUMPRODUCT(('PvP IB Cricket Season 2'!$G$20:$G$131='PvP IB Cricket Season 2'!$AC$8)*('PvP IB Cricket Season 2'!$H$20:$H$131=C20)*('PvP IB Cricket Season 2'!$K$20:$K$131))+SUMPRODUCT(('PvP IB Cricket Season 2'!$G$20:$G$131='PvP IB Cricket Season 2'!$AC$8)*('PvP IB Cricket Season 2'!$L$20:$L$131=C20)*('PvP IB Cricket Season 2'!$O$20:$O$131)))</f>
        <v>0</v>
      </c>
      <c r="L20" s="220">
        <f t="shared" si="40"/>
        <v>0</v>
      </c>
      <c r="M20" s="222">
        <f t="array" ref="M20">IF(C20="","",SUMPRODUCT(('PvP IB Cricket Season 2'!$G$20:$G$131='PvP IB Cricket Season 2'!$AC$8)*('PvP IB Cricket Season 2'!$H$20:$H$131=C20)*('PvP IB Cricket Season 2'!$O$20:$O$131))+SUMPRODUCT(('PvP IB Cricket Season 2'!$G$20:$G$131='PvP IB Cricket Season 2'!$AC$8)*('PvP IB Cricket Season 2'!$L$20:$L$131=C20)*('PvP IB Cricket Season 2'!$K$20:$K$131)))</f>
        <v>0</v>
      </c>
      <c r="N20" s="223" t="str">
        <f t="shared" si="41"/>
        <v/>
      </c>
      <c r="O20" s="38"/>
      <c r="P20" s="236">
        <v>2</v>
      </c>
      <c r="Q20" s="237" t="str">
        <f t="shared" si="42"/>
        <v>Zain</v>
      </c>
      <c r="R20" s="238">
        <f t="shared" si="43"/>
        <v>0</v>
      </c>
      <c r="S20" s="238">
        <f t="shared" si="44"/>
        <v>0</v>
      </c>
      <c r="T20" s="238">
        <f t="shared" si="45"/>
        <v>0</v>
      </c>
      <c r="U20" s="238">
        <f t="shared" si="46"/>
        <v>0</v>
      </c>
      <c r="V20" s="238">
        <f t="shared" si="47"/>
        <v>0</v>
      </c>
      <c r="W20" s="239">
        <f t="shared" si="48"/>
        <v>0</v>
      </c>
      <c r="X20" s="238">
        <f t="shared" si="49"/>
        <v>0</v>
      </c>
      <c r="Y20" s="240">
        <f t="array" ref="Y20">IF(Q20="","",SUMPRODUCT(('PvP IB Cricket Season 2'!$G$20:$G$131='PvP IB Cricket Season 2'!$AC$10)*('PvP IB Cricket Season 2'!$H$20:$H$131=Q20)*('PvP IB Cricket Season 2'!$K$20:$K$131))+SUMPRODUCT(('PvP IB Cricket Season 2'!$G$20:$G$131='PvP IB Cricket Season 2'!$AC$10)*('PvP IB Cricket Season 2'!$L$20:$L$131=Q20)*('PvP IB Cricket Season 2'!$O$20:$O$131)))</f>
        <v>0</v>
      </c>
      <c r="Z20" s="238">
        <f t="shared" si="50"/>
        <v>0</v>
      </c>
      <c r="AA20" s="240">
        <f t="array" ref="AA20">IF(Q20="","",SUMPRODUCT(('PvP IB Cricket Season 2'!$G$20:$G$131='PvP IB Cricket Season 2'!$AC$10)*('PvP IB Cricket Season 2'!$H$20:$H$131=Q20)*('PvP IB Cricket Season 2'!$O$20:$O$131))+SUMPRODUCT(('PvP IB Cricket Season 2'!$G$20:$G$131='PvP IB Cricket Season 2'!$AC$10)*('PvP IB Cricket Season 2'!$L$20:$L$131=Q20)*('PvP IB Cricket Season 2'!$K$20:$K$131)))</f>
        <v>0</v>
      </c>
      <c r="AB20" s="241" t="str">
        <f t="shared" si="51"/>
        <v/>
      </c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</row>
    <row r="21" spans="1:42" ht="20.100000000000001" customHeight="1" x14ac:dyDescent="0.3">
      <c r="A21" s="38"/>
      <c r="B21" s="218">
        <v>3</v>
      </c>
      <c r="C21" s="219" t="str">
        <f t="shared" si="32"/>
        <v>KC Mehta</v>
      </c>
      <c r="D21" s="220">
        <f t="shared" si="33"/>
        <v>0</v>
      </c>
      <c r="E21" s="220">
        <f t="shared" si="34"/>
        <v>0</v>
      </c>
      <c r="F21" s="220">
        <f t="shared" si="35"/>
        <v>0</v>
      </c>
      <c r="G21" s="220">
        <f t="shared" si="36"/>
        <v>0</v>
      </c>
      <c r="H21" s="220">
        <f t="shared" si="37"/>
        <v>0</v>
      </c>
      <c r="I21" s="221">
        <f t="shared" si="38"/>
        <v>0</v>
      </c>
      <c r="J21" s="220">
        <f t="shared" si="39"/>
        <v>0</v>
      </c>
      <c r="K21" s="222">
        <f t="array" ref="K21">IF(C21="","",SUMPRODUCT(('PvP IB Cricket Season 2'!$G$20:$G$131='PvP IB Cricket Season 2'!$AC$8)*('PvP IB Cricket Season 2'!$H$20:$H$131=C21)*('PvP IB Cricket Season 2'!$K$20:$K$131))+SUMPRODUCT(('PvP IB Cricket Season 2'!$G$20:$G$131='PvP IB Cricket Season 2'!$AC$8)*('PvP IB Cricket Season 2'!$L$20:$L$131=C21)*('PvP IB Cricket Season 2'!$O$20:$O$131)))</f>
        <v>0</v>
      </c>
      <c r="L21" s="220">
        <f t="shared" si="40"/>
        <v>0</v>
      </c>
      <c r="M21" s="222">
        <f t="array" ref="M21">IF(C21="","",SUMPRODUCT(('PvP IB Cricket Season 2'!$G$20:$G$131='PvP IB Cricket Season 2'!$AC$8)*('PvP IB Cricket Season 2'!$H$20:$H$131=C21)*('PvP IB Cricket Season 2'!$O$20:$O$131))+SUMPRODUCT(('PvP IB Cricket Season 2'!$G$20:$G$131='PvP IB Cricket Season 2'!$AC$8)*('PvP IB Cricket Season 2'!$L$20:$L$131=C21)*('PvP IB Cricket Season 2'!$K$20:$K$131)))</f>
        <v>0</v>
      </c>
      <c r="N21" s="223" t="str">
        <f t="shared" si="41"/>
        <v/>
      </c>
      <c r="O21" s="38"/>
      <c r="P21" s="236">
        <v>3</v>
      </c>
      <c r="Q21" s="237" t="str">
        <f t="shared" si="42"/>
        <v>Kiran</v>
      </c>
      <c r="R21" s="238">
        <f t="shared" si="43"/>
        <v>0</v>
      </c>
      <c r="S21" s="238">
        <f t="shared" si="44"/>
        <v>0</v>
      </c>
      <c r="T21" s="238">
        <f t="shared" si="45"/>
        <v>0</v>
      </c>
      <c r="U21" s="238">
        <f t="shared" si="46"/>
        <v>0</v>
      </c>
      <c r="V21" s="238">
        <f t="shared" si="47"/>
        <v>0</v>
      </c>
      <c r="W21" s="239">
        <f t="shared" si="48"/>
        <v>0</v>
      </c>
      <c r="X21" s="238">
        <f t="shared" si="49"/>
        <v>0</v>
      </c>
      <c r="Y21" s="240">
        <f t="array" ref="Y21">IF(Q21="","",SUMPRODUCT(('PvP IB Cricket Season 2'!$G$20:$G$131='PvP IB Cricket Season 2'!$AC$10)*('PvP IB Cricket Season 2'!$H$20:$H$131=Q21)*('PvP IB Cricket Season 2'!$K$20:$K$131))+SUMPRODUCT(('PvP IB Cricket Season 2'!$G$20:$G$131='PvP IB Cricket Season 2'!$AC$10)*('PvP IB Cricket Season 2'!$L$20:$L$131=Q21)*('PvP IB Cricket Season 2'!$O$20:$O$131)))</f>
        <v>0</v>
      </c>
      <c r="Z21" s="238">
        <f t="shared" si="50"/>
        <v>0</v>
      </c>
      <c r="AA21" s="240">
        <f t="array" ref="AA21">IF(Q21="","",SUMPRODUCT(('PvP IB Cricket Season 2'!$G$20:$G$131='PvP IB Cricket Season 2'!$AC$10)*('PvP IB Cricket Season 2'!$H$20:$H$131=Q21)*('PvP IB Cricket Season 2'!$O$20:$O$131))+SUMPRODUCT(('PvP IB Cricket Season 2'!$G$20:$G$131='PvP IB Cricket Season 2'!$AC$10)*('PvP IB Cricket Season 2'!$L$20:$L$131=Q21)*('PvP IB Cricket Season 2'!$K$20:$K$131)))</f>
        <v>0</v>
      </c>
      <c r="AB21" s="241" t="str">
        <f t="shared" si="51"/>
        <v/>
      </c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</row>
    <row r="22" spans="1:42" ht="20.100000000000001" customHeight="1" x14ac:dyDescent="0.3">
      <c r="A22" s="38"/>
      <c r="B22" s="218">
        <v>4</v>
      </c>
      <c r="C22" s="219" t="str">
        <f t="shared" si="32"/>
        <v>IMCRCKET</v>
      </c>
      <c r="D22" s="220">
        <f t="shared" si="33"/>
        <v>0</v>
      </c>
      <c r="E22" s="220">
        <f t="shared" si="34"/>
        <v>0</v>
      </c>
      <c r="F22" s="220">
        <f t="shared" si="35"/>
        <v>0</v>
      </c>
      <c r="G22" s="220">
        <f t="shared" si="36"/>
        <v>0</v>
      </c>
      <c r="H22" s="220">
        <f t="shared" si="37"/>
        <v>0</v>
      </c>
      <c r="I22" s="221">
        <f t="shared" si="38"/>
        <v>0</v>
      </c>
      <c r="J22" s="220">
        <f t="shared" si="39"/>
        <v>0</v>
      </c>
      <c r="K22" s="222">
        <f t="array" ref="K22">IF(C22="","",SUMPRODUCT(('PvP IB Cricket Season 2'!$G$20:$G$131='PvP IB Cricket Season 2'!$AC$8)*('PvP IB Cricket Season 2'!$H$20:$H$131=C22)*('PvP IB Cricket Season 2'!$K$20:$K$131))+SUMPRODUCT(('PvP IB Cricket Season 2'!$G$20:$G$131='PvP IB Cricket Season 2'!$AC$8)*('PvP IB Cricket Season 2'!$L$20:$L$131=C22)*('PvP IB Cricket Season 2'!$O$20:$O$131)))</f>
        <v>0</v>
      </c>
      <c r="L22" s="220">
        <f t="shared" si="40"/>
        <v>0</v>
      </c>
      <c r="M22" s="222">
        <f t="array" ref="M22">IF(C22="","",SUMPRODUCT(('PvP IB Cricket Season 2'!$G$20:$G$131='PvP IB Cricket Season 2'!$AC$8)*('PvP IB Cricket Season 2'!$H$20:$H$131=C22)*('PvP IB Cricket Season 2'!$O$20:$O$131))+SUMPRODUCT(('PvP IB Cricket Season 2'!$G$20:$G$131='PvP IB Cricket Season 2'!$AC$8)*('PvP IB Cricket Season 2'!$L$20:$L$131=C22)*('PvP IB Cricket Season 2'!$K$20:$K$131)))</f>
        <v>0</v>
      </c>
      <c r="N22" s="223" t="str">
        <f t="shared" si="41"/>
        <v/>
      </c>
      <c r="O22" s="38"/>
      <c r="P22" s="236">
        <v>4</v>
      </c>
      <c r="Q22" s="237" t="str">
        <f t="shared" si="42"/>
        <v>Kunal</v>
      </c>
      <c r="R22" s="238">
        <f t="shared" si="43"/>
        <v>0</v>
      </c>
      <c r="S22" s="238">
        <f t="shared" si="44"/>
        <v>0</v>
      </c>
      <c r="T22" s="238">
        <f t="shared" si="45"/>
        <v>0</v>
      </c>
      <c r="U22" s="238">
        <f t="shared" si="46"/>
        <v>0</v>
      </c>
      <c r="V22" s="238">
        <f t="shared" si="47"/>
        <v>0</v>
      </c>
      <c r="W22" s="239">
        <f t="shared" si="48"/>
        <v>0</v>
      </c>
      <c r="X22" s="238">
        <f t="shared" si="49"/>
        <v>0</v>
      </c>
      <c r="Y22" s="240">
        <f t="array" ref="Y22">IF(Q22="","",SUMPRODUCT(('PvP IB Cricket Season 2'!$G$20:$G$131='PvP IB Cricket Season 2'!$AC$10)*('PvP IB Cricket Season 2'!$H$20:$H$131=Q22)*('PvP IB Cricket Season 2'!$K$20:$K$131))+SUMPRODUCT(('PvP IB Cricket Season 2'!$G$20:$G$131='PvP IB Cricket Season 2'!$AC$10)*('PvP IB Cricket Season 2'!$L$20:$L$131=Q22)*('PvP IB Cricket Season 2'!$O$20:$O$131)))</f>
        <v>0</v>
      </c>
      <c r="Z22" s="238">
        <f t="shared" si="50"/>
        <v>0</v>
      </c>
      <c r="AA22" s="240">
        <f t="array" ref="AA22">IF(Q22="","",SUMPRODUCT(('PvP IB Cricket Season 2'!$G$20:$G$131='PvP IB Cricket Season 2'!$AC$10)*('PvP IB Cricket Season 2'!$H$20:$H$131=Q22)*('PvP IB Cricket Season 2'!$O$20:$O$131))+SUMPRODUCT(('PvP IB Cricket Season 2'!$G$20:$G$131='PvP IB Cricket Season 2'!$AC$10)*('PvP IB Cricket Season 2'!$L$20:$L$131=Q22)*('PvP IB Cricket Season 2'!$K$20:$K$131)))</f>
        <v>0</v>
      </c>
      <c r="AB22" s="241" t="str">
        <f t="shared" si="51"/>
        <v/>
      </c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</row>
    <row r="23" spans="1:42" ht="20.100000000000001" customHeight="1" x14ac:dyDescent="0.3">
      <c r="A23" s="38"/>
      <c r="B23" s="218">
        <v>5</v>
      </c>
      <c r="C23" s="219" t="str">
        <f t="shared" si="32"/>
        <v>Onkar</v>
      </c>
      <c r="D23" s="220">
        <f t="shared" si="33"/>
        <v>0</v>
      </c>
      <c r="E23" s="220">
        <f t="shared" si="34"/>
        <v>0</v>
      </c>
      <c r="F23" s="220">
        <f t="shared" si="35"/>
        <v>0</v>
      </c>
      <c r="G23" s="220">
        <f t="shared" si="36"/>
        <v>0</v>
      </c>
      <c r="H23" s="220">
        <f t="shared" si="37"/>
        <v>0</v>
      </c>
      <c r="I23" s="221">
        <f t="shared" si="38"/>
        <v>0</v>
      </c>
      <c r="J23" s="220">
        <f t="shared" si="39"/>
        <v>0</v>
      </c>
      <c r="K23" s="222">
        <f t="array" ref="K23">IF(C23="","",SUMPRODUCT(('PvP IB Cricket Season 2'!$G$20:$G$131='PvP IB Cricket Season 2'!$AC$8)*('PvP IB Cricket Season 2'!$H$20:$H$131=C23)*('PvP IB Cricket Season 2'!$K$20:$K$131))+SUMPRODUCT(('PvP IB Cricket Season 2'!$G$20:$G$131='PvP IB Cricket Season 2'!$AC$8)*('PvP IB Cricket Season 2'!$L$20:$L$131=C23)*('PvP IB Cricket Season 2'!$O$20:$O$131)))</f>
        <v>0</v>
      </c>
      <c r="L23" s="220">
        <f t="shared" si="40"/>
        <v>0</v>
      </c>
      <c r="M23" s="222">
        <f t="array" ref="M23">IF(C23="","",SUMPRODUCT(('PvP IB Cricket Season 2'!$G$20:$G$131='PvP IB Cricket Season 2'!$AC$8)*('PvP IB Cricket Season 2'!$H$20:$H$131=C23)*('PvP IB Cricket Season 2'!$O$20:$O$131))+SUMPRODUCT(('PvP IB Cricket Season 2'!$G$20:$G$131='PvP IB Cricket Season 2'!$AC$8)*('PvP IB Cricket Season 2'!$L$20:$L$131=C23)*('PvP IB Cricket Season 2'!$K$20:$K$131)))</f>
        <v>0</v>
      </c>
      <c r="N23" s="223" t="str">
        <f t="shared" si="41"/>
        <v/>
      </c>
      <c r="O23" s="38"/>
      <c r="P23" s="236">
        <v>5</v>
      </c>
      <c r="Q23" s="237" t="str">
        <f t="shared" si="42"/>
        <v>Zubair</v>
      </c>
      <c r="R23" s="238">
        <f t="shared" si="43"/>
        <v>0</v>
      </c>
      <c r="S23" s="238">
        <f t="shared" si="44"/>
        <v>0</v>
      </c>
      <c r="T23" s="238">
        <f t="shared" si="45"/>
        <v>0</v>
      </c>
      <c r="U23" s="238">
        <f t="shared" si="46"/>
        <v>0</v>
      </c>
      <c r="V23" s="238">
        <f t="shared" si="47"/>
        <v>0</v>
      </c>
      <c r="W23" s="239">
        <f t="shared" si="48"/>
        <v>0</v>
      </c>
      <c r="X23" s="238">
        <f t="shared" si="49"/>
        <v>0</v>
      </c>
      <c r="Y23" s="240">
        <f t="array" ref="Y23">IF(Q23="","",SUMPRODUCT(('PvP IB Cricket Season 2'!$G$20:$G$131='PvP IB Cricket Season 2'!$AC$10)*('PvP IB Cricket Season 2'!$H$20:$H$131=Q23)*('PvP IB Cricket Season 2'!$K$20:$K$131))+SUMPRODUCT(('PvP IB Cricket Season 2'!$G$20:$G$131='PvP IB Cricket Season 2'!$AC$10)*('PvP IB Cricket Season 2'!$L$20:$L$131=Q23)*('PvP IB Cricket Season 2'!$O$20:$O$131)))</f>
        <v>0</v>
      </c>
      <c r="Z23" s="238">
        <f t="shared" si="50"/>
        <v>0</v>
      </c>
      <c r="AA23" s="240">
        <f t="array" ref="AA23">IF(Q23="","",SUMPRODUCT(('PvP IB Cricket Season 2'!$G$20:$G$131='PvP IB Cricket Season 2'!$AC$10)*('PvP IB Cricket Season 2'!$H$20:$H$131=Q23)*('PvP IB Cricket Season 2'!$O$20:$O$131))+SUMPRODUCT(('PvP IB Cricket Season 2'!$G$20:$G$131='PvP IB Cricket Season 2'!$AC$10)*('PvP IB Cricket Season 2'!$L$20:$L$131=Q23)*('PvP IB Cricket Season 2'!$K$20:$K$131)))</f>
        <v>0</v>
      </c>
      <c r="AB23" s="241" t="str">
        <f t="shared" si="51"/>
        <v/>
      </c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</row>
    <row r="24" spans="1:42" ht="20.100000000000001" customHeight="1" x14ac:dyDescent="0.3">
      <c r="A24" s="38"/>
      <c r="B24" s="218">
        <v>6</v>
      </c>
      <c r="C24" s="219" t="str">
        <f t="shared" si="32"/>
        <v>Senthil</v>
      </c>
      <c r="D24" s="220">
        <f t="shared" si="33"/>
        <v>0</v>
      </c>
      <c r="E24" s="220">
        <f t="shared" si="34"/>
        <v>0</v>
      </c>
      <c r="F24" s="220">
        <f t="shared" si="35"/>
        <v>0</v>
      </c>
      <c r="G24" s="220">
        <f t="shared" si="36"/>
        <v>0</v>
      </c>
      <c r="H24" s="220">
        <f t="shared" si="37"/>
        <v>0</v>
      </c>
      <c r="I24" s="221">
        <f t="shared" si="38"/>
        <v>0</v>
      </c>
      <c r="J24" s="220">
        <f t="shared" si="39"/>
        <v>0</v>
      </c>
      <c r="K24" s="222">
        <f t="array" ref="K24">IF(C24="","",SUMPRODUCT(('PvP IB Cricket Season 2'!$G$20:$G$131='PvP IB Cricket Season 2'!$AC$8)*('PvP IB Cricket Season 2'!$H$20:$H$131=C24)*('PvP IB Cricket Season 2'!$K$20:$K$131))+SUMPRODUCT(('PvP IB Cricket Season 2'!$G$20:$G$131='PvP IB Cricket Season 2'!$AC$8)*('PvP IB Cricket Season 2'!$L$20:$L$131=C24)*('PvP IB Cricket Season 2'!$O$20:$O$131)))</f>
        <v>0</v>
      </c>
      <c r="L24" s="220">
        <f t="shared" si="40"/>
        <v>0</v>
      </c>
      <c r="M24" s="222">
        <f t="array" ref="M24">IF(C24="","",SUMPRODUCT(('PvP IB Cricket Season 2'!$G$20:$G$131='PvP IB Cricket Season 2'!$AC$8)*('PvP IB Cricket Season 2'!$H$20:$H$131=C24)*('PvP IB Cricket Season 2'!$O$20:$O$131))+SUMPRODUCT(('PvP IB Cricket Season 2'!$G$20:$G$131='PvP IB Cricket Season 2'!$AC$8)*('PvP IB Cricket Season 2'!$L$20:$L$131=C24)*('PvP IB Cricket Season 2'!$K$20:$K$131)))</f>
        <v>0</v>
      </c>
      <c r="N24" s="223" t="str">
        <f t="shared" si="41"/>
        <v/>
      </c>
      <c r="O24" s="38"/>
      <c r="P24" s="236">
        <v>6</v>
      </c>
      <c r="Q24" s="237" t="str">
        <f t="shared" si="42"/>
        <v/>
      </c>
      <c r="R24" s="238" t="str">
        <f t="shared" si="43"/>
        <v/>
      </c>
      <c r="S24" s="238" t="str">
        <f t="shared" si="44"/>
        <v/>
      </c>
      <c r="T24" s="238" t="str">
        <f t="shared" si="45"/>
        <v/>
      </c>
      <c r="U24" s="238" t="str">
        <f t="shared" si="46"/>
        <v/>
      </c>
      <c r="V24" s="238" t="str">
        <f t="shared" si="47"/>
        <v/>
      </c>
      <c r="W24" s="239" t="str">
        <f t="shared" si="48"/>
        <v/>
      </c>
      <c r="X24" s="238" t="str">
        <f t="shared" si="49"/>
        <v/>
      </c>
      <c r="Y24" s="240" t="str">
        <f t="array" ref="Y24">IF(Q24="","",SUMPRODUCT(('PvP IB Cricket Season 2'!$G$20:$G$131='PvP IB Cricket Season 2'!$AC$10)*('PvP IB Cricket Season 2'!$H$20:$H$131=Q24)*('PvP IB Cricket Season 2'!$K$20:$K$131))+SUMPRODUCT(('PvP IB Cricket Season 2'!$G$20:$G$131='PvP IB Cricket Season 2'!$AC$10)*('PvP IB Cricket Season 2'!$L$20:$L$131=Q24)*('PvP IB Cricket Season 2'!$O$20:$O$131)))</f>
        <v/>
      </c>
      <c r="Z24" s="238" t="str">
        <f t="shared" si="50"/>
        <v/>
      </c>
      <c r="AA24" s="240" t="str">
        <f t="array" ref="AA24">IF(Q24="","",SUMPRODUCT(('PvP IB Cricket Season 2'!$G$20:$G$131='PvP IB Cricket Season 2'!$AC$10)*('PvP IB Cricket Season 2'!$H$20:$H$131=Q24)*('PvP IB Cricket Season 2'!$O$20:$O$131))+SUMPRODUCT(('PvP IB Cricket Season 2'!$G$20:$G$131='PvP IB Cricket Season 2'!$AC$10)*('PvP IB Cricket Season 2'!$L$20:$L$131=Q24)*('PvP IB Cricket Season 2'!$K$20:$K$131)))</f>
        <v/>
      </c>
      <c r="AB24" s="241" t="str">
        <f t="shared" si="51"/>
        <v/>
      </c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</row>
    <row r="25" spans="1:42" ht="20.100000000000001" customHeight="1" x14ac:dyDescent="0.3">
      <c r="A25" s="38"/>
      <c r="B25" s="218">
        <v>7</v>
      </c>
      <c r="C25" s="219" t="str">
        <f t="shared" si="32"/>
        <v/>
      </c>
      <c r="D25" s="220" t="str">
        <f t="shared" si="33"/>
        <v/>
      </c>
      <c r="E25" s="220" t="str">
        <f t="shared" si="34"/>
        <v/>
      </c>
      <c r="F25" s="220" t="str">
        <f t="shared" si="35"/>
        <v/>
      </c>
      <c r="G25" s="220" t="str">
        <f t="shared" si="36"/>
        <v/>
      </c>
      <c r="H25" s="220" t="str">
        <f t="shared" si="37"/>
        <v/>
      </c>
      <c r="I25" s="221" t="str">
        <f t="shared" si="38"/>
        <v/>
      </c>
      <c r="J25" s="220" t="str">
        <f t="shared" si="39"/>
        <v/>
      </c>
      <c r="K25" s="222" t="str">
        <f t="array" ref="K25">IF(C25="","",SUMPRODUCT(('PvP IB Cricket Season 2'!$G$20:$G$131='PvP IB Cricket Season 2'!$AC$8)*('PvP IB Cricket Season 2'!$H$20:$H$131=C25)*('PvP IB Cricket Season 2'!$K$20:$K$131))+SUMPRODUCT(('PvP IB Cricket Season 2'!$G$20:$G$131='PvP IB Cricket Season 2'!$AC$8)*('PvP IB Cricket Season 2'!$L$20:$L$131=C25)*('PvP IB Cricket Season 2'!$O$20:$O$131)))</f>
        <v/>
      </c>
      <c r="L25" s="220" t="str">
        <f t="shared" si="40"/>
        <v/>
      </c>
      <c r="M25" s="222" t="str">
        <f t="array" ref="M25">IF(C25="","",SUMPRODUCT(('PvP IB Cricket Season 2'!$G$20:$G$131='PvP IB Cricket Season 2'!$AC$8)*('PvP IB Cricket Season 2'!$H$20:$H$131=C25)*('PvP IB Cricket Season 2'!$O$20:$O$131))+SUMPRODUCT(('PvP IB Cricket Season 2'!$G$20:$G$131='PvP IB Cricket Season 2'!$AC$8)*('PvP IB Cricket Season 2'!$L$20:$L$131=C25)*('PvP IB Cricket Season 2'!$K$20:$K$131)))</f>
        <v/>
      </c>
      <c r="N25" s="223" t="str">
        <f t="shared" si="41"/>
        <v/>
      </c>
      <c r="O25" s="38"/>
      <c r="P25" s="236">
        <v>7</v>
      </c>
      <c r="Q25" s="237" t="str">
        <f t="shared" si="42"/>
        <v/>
      </c>
      <c r="R25" s="238" t="str">
        <f t="shared" si="43"/>
        <v/>
      </c>
      <c r="S25" s="238" t="str">
        <f t="shared" si="44"/>
        <v/>
      </c>
      <c r="T25" s="238" t="str">
        <f t="shared" si="45"/>
        <v/>
      </c>
      <c r="U25" s="238" t="str">
        <f t="shared" si="46"/>
        <v/>
      </c>
      <c r="V25" s="238" t="str">
        <f t="shared" si="47"/>
        <v/>
      </c>
      <c r="W25" s="239" t="str">
        <f t="shared" si="48"/>
        <v/>
      </c>
      <c r="X25" s="238" t="str">
        <f t="shared" si="49"/>
        <v/>
      </c>
      <c r="Y25" s="240" t="str">
        <f t="array" ref="Y25">IF(Q25="","",SUMPRODUCT(('PvP IB Cricket Season 2'!$G$20:$G$131='PvP IB Cricket Season 2'!$AC$10)*('PvP IB Cricket Season 2'!$H$20:$H$131=Q25)*('PvP IB Cricket Season 2'!$K$20:$K$131))+SUMPRODUCT(('PvP IB Cricket Season 2'!$G$20:$G$131='PvP IB Cricket Season 2'!$AC$10)*('PvP IB Cricket Season 2'!$L$20:$L$131=Q25)*('PvP IB Cricket Season 2'!$O$20:$O$131)))</f>
        <v/>
      </c>
      <c r="Z25" s="238" t="str">
        <f t="shared" si="50"/>
        <v/>
      </c>
      <c r="AA25" s="240" t="str">
        <f t="array" ref="AA25">IF(Q25="","",SUMPRODUCT(('PvP IB Cricket Season 2'!$G$20:$G$131='PvP IB Cricket Season 2'!$AC$10)*('PvP IB Cricket Season 2'!$H$20:$H$131=Q25)*('PvP IB Cricket Season 2'!$O$20:$O$131))+SUMPRODUCT(('PvP IB Cricket Season 2'!$G$20:$G$131='PvP IB Cricket Season 2'!$AC$10)*('PvP IB Cricket Season 2'!$L$20:$L$131=Q25)*('PvP IB Cricket Season 2'!$K$20:$K$131)))</f>
        <v/>
      </c>
      <c r="AB25" s="241" t="str">
        <f t="shared" si="51"/>
        <v/>
      </c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</row>
    <row r="26" spans="1:42" ht="20.100000000000001" customHeight="1" x14ac:dyDescent="0.3">
      <c r="A26" s="38"/>
      <c r="B26" s="218">
        <v>8</v>
      </c>
      <c r="C26" s="219" t="str">
        <f t="shared" si="32"/>
        <v/>
      </c>
      <c r="D26" s="220" t="str">
        <f t="shared" si="33"/>
        <v/>
      </c>
      <c r="E26" s="220" t="str">
        <f t="shared" si="34"/>
        <v/>
      </c>
      <c r="F26" s="220" t="str">
        <f t="shared" si="35"/>
        <v/>
      </c>
      <c r="G26" s="220" t="str">
        <f t="shared" si="36"/>
        <v/>
      </c>
      <c r="H26" s="220" t="str">
        <f t="shared" si="37"/>
        <v/>
      </c>
      <c r="I26" s="221" t="str">
        <f t="shared" si="38"/>
        <v/>
      </c>
      <c r="J26" s="220" t="str">
        <f t="shared" si="39"/>
        <v/>
      </c>
      <c r="K26" s="222" t="str">
        <f t="array" ref="K26">IF(C26="","",SUMPRODUCT(('PvP IB Cricket Season 2'!$G$20:$G$131='PvP IB Cricket Season 2'!$AC$8)*('PvP IB Cricket Season 2'!$H$20:$H$131=C26)*('PvP IB Cricket Season 2'!$K$20:$K$131))+SUMPRODUCT(('PvP IB Cricket Season 2'!$G$20:$G$131='PvP IB Cricket Season 2'!$AC$8)*('PvP IB Cricket Season 2'!$L$20:$L$131=C26)*('PvP IB Cricket Season 2'!$O$20:$O$131)))</f>
        <v/>
      </c>
      <c r="L26" s="220" t="str">
        <f t="shared" si="40"/>
        <v/>
      </c>
      <c r="M26" s="222" t="str">
        <f t="array" ref="M26">IF(C26="","",SUMPRODUCT(('PvP IB Cricket Season 2'!$G$20:$G$131='PvP IB Cricket Season 2'!$AC$8)*('PvP IB Cricket Season 2'!$H$20:$H$131=C26)*('PvP IB Cricket Season 2'!$O$20:$O$131))+SUMPRODUCT(('PvP IB Cricket Season 2'!$G$20:$G$131='PvP IB Cricket Season 2'!$AC$8)*('PvP IB Cricket Season 2'!$L$20:$L$131=C26)*('PvP IB Cricket Season 2'!$K$20:$K$131)))</f>
        <v/>
      </c>
      <c r="N26" s="223" t="str">
        <f t="shared" si="41"/>
        <v/>
      </c>
      <c r="O26" s="38"/>
      <c r="P26" s="236">
        <v>8</v>
      </c>
      <c r="Q26" s="237" t="str">
        <f t="shared" si="42"/>
        <v/>
      </c>
      <c r="R26" s="238" t="str">
        <f t="shared" si="43"/>
        <v/>
      </c>
      <c r="S26" s="238" t="str">
        <f t="shared" si="44"/>
        <v/>
      </c>
      <c r="T26" s="238" t="str">
        <f t="shared" si="45"/>
        <v/>
      </c>
      <c r="U26" s="238" t="str">
        <f t="shared" si="46"/>
        <v/>
      </c>
      <c r="V26" s="238" t="str">
        <f t="shared" si="47"/>
        <v/>
      </c>
      <c r="W26" s="239" t="str">
        <f t="shared" si="48"/>
        <v/>
      </c>
      <c r="X26" s="238" t="str">
        <f t="shared" si="49"/>
        <v/>
      </c>
      <c r="Y26" s="240" t="str">
        <f t="array" ref="Y26">IF(Q26="","",SUMPRODUCT(('PvP IB Cricket Season 2'!$G$20:$G$131='PvP IB Cricket Season 2'!$AC$10)*('PvP IB Cricket Season 2'!$H$20:$H$131=Q26)*('PvP IB Cricket Season 2'!$K$20:$K$131))+SUMPRODUCT(('PvP IB Cricket Season 2'!$G$20:$G$131='PvP IB Cricket Season 2'!$AC$10)*('PvP IB Cricket Season 2'!$L$20:$L$131=Q26)*('PvP IB Cricket Season 2'!$O$20:$O$131)))</f>
        <v/>
      </c>
      <c r="Z26" s="238" t="str">
        <f t="shared" si="50"/>
        <v/>
      </c>
      <c r="AA26" s="240" t="str">
        <f t="array" ref="AA26">IF(Q26="","",SUMPRODUCT(('PvP IB Cricket Season 2'!$G$20:$G$131='PvP IB Cricket Season 2'!$AC$10)*('PvP IB Cricket Season 2'!$H$20:$H$131=Q26)*('PvP IB Cricket Season 2'!$O$20:$O$131))+SUMPRODUCT(('PvP IB Cricket Season 2'!$G$20:$G$131='PvP IB Cricket Season 2'!$AC$10)*('PvP IB Cricket Season 2'!$L$20:$L$131=Q26)*('PvP IB Cricket Season 2'!$K$20:$K$131)))</f>
        <v/>
      </c>
      <c r="AB26" s="241" t="str">
        <f t="shared" si="51"/>
        <v/>
      </c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</row>
    <row r="27" spans="1:42" ht="20.100000000000001" customHeight="1" x14ac:dyDescent="0.3">
      <c r="A27" s="38"/>
      <c r="B27" s="218">
        <v>9</v>
      </c>
      <c r="C27" s="219" t="str">
        <f t="shared" si="32"/>
        <v/>
      </c>
      <c r="D27" s="220" t="str">
        <f t="shared" si="33"/>
        <v/>
      </c>
      <c r="E27" s="220" t="str">
        <f t="shared" si="34"/>
        <v/>
      </c>
      <c r="F27" s="220" t="str">
        <f t="shared" si="35"/>
        <v/>
      </c>
      <c r="G27" s="220" t="str">
        <f t="shared" si="36"/>
        <v/>
      </c>
      <c r="H27" s="220" t="str">
        <f t="shared" si="37"/>
        <v/>
      </c>
      <c r="I27" s="221" t="str">
        <f t="shared" si="38"/>
        <v/>
      </c>
      <c r="J27" s="220" t="str">
        <f t="shared" si="39"/>
        <v/>
      </c>
      <c r="K27" s="222" t="str">
        <f t="array" ref="K27">IF(C27="","",SUMPRODUCT(('PvP IB Cricket Season 2'!$G$20:$G$131='PvP IB Cricket Season 2'!$AC$8)*('PvP IB Cricket Season 2'!$H$20:$H$131=C27)*('PvP IB Cricket Season 2'!$K$20:$K$131))+SUMPRODUCT(('PvP IB Cricket Season 2'!$G$20:$G$131='PvP IB Cricket Season 2'!$AC$8)*('PvP IB Cricket Season 2'!$L$20:$L$131=C27)*('PvP IB Cricket Season 2'!$O$20:$O$131)))</f>
        <v/>
      </c>
      <c r="L27" s="220" t="str">
        <f t="shared" si="40"/>
        <v/>
      </c>
      <c r="M27" s="222" t="str">
        <f t="array" ref="M27">IF(C27="","",SUMPRODUCT(('PvP IB Cricket Season 2'!$G$20:$G$131='PvP IB Cricket Season 2'!$AC$8)*('PvP IB Cricket Season 2'!$H$20:$H$131=C27)*('PvP IB Cricket Season 2'!$O$20:$O$131))+SUMPRODUCT(('PvP IB Cricket Season 2'!$G$20:$G$131='PvP IB Cricket Season 2'!$AC$8)*('PvP IB Cricket Season 2'!$L$20:$L$131=C27)*('PvP IB Cricket Season 2'!$K$20:$K$131)))</f>
        <v/>
      </c>
      <c r="N27" s="223" t="str">
        <f t="shared" si="41"/>
        <v/>
      </c>
      <c r="O27" s="38"/>
      <c r="P27" s="236">
        <v>9</v>
      </c>
      <c r="Q27" s="237" t="str">
        <f t="shared" si="42"/>
        <v/>
      </c>
      <c r="R27" s="238" t="str">
        <f t="shared" si="43"/>
        <v/>
      </c>
      <c r="S27" s="238" t="str">
        <f t="shared" si="44"/>
        <v/>
      </c>
      <c r="T27" s="238" t="str">
        <f t="shared" si="45"/>
        <v/>
      </c>
      <c r="U27" s="238" t="str">
        <f t="shared" si="46"/>
        <v/>
      </c>
      <c r="V27" s="238" t="str">
        <f t="shared" si="47"/>
        <v/>
      </c>
      <c r="W27" s="239" t="str">
        <f t="shared" si="48"/>
        <v/>
      </c>
      <c r="X27" s="238" t="str">
        <f t="shared" si="49"/>
        <v/>
      </c>
      <c r="Y27" s="240" t="str">
        <f t="array" ref="Y27">IF(Q27="","",SUMPRODUCT(('PvP IB Cricket Season 2'!$G$20:$G$131='PvP IB Cricket Season 2'!$AC$10)*('PvP IB Cricket Season 2'!$H$20:$H$131=Q27)*('PvP IB Cricket Season 2'!$K$20:$K$131))+SUMPRODUCT(('PvP IB Cricket Season 2'!$G$20:$G$131='PvP IB Cricket Season 2'!$AC$10)*('PvP IB Cricket Season 2'!$L$20:$L$131=Q27)*('PvP IB Cricket Season 2'!$O$20:$O$131)))</f>
        <v/>
      </c>
      <c r="Z27" s="238" t="str">
        <f t="shared" si="50"/>
        <v/>
      </c>
      <c r="AA27" s="240" t="str">
        <f t="array" ref="AA27">IF(Q27="","",SUMPRODUCT(('PvP IB Cricket Season 2'!$G$20:$G$131='PvP IB Cricket Season 2'!$AC$10)*('PvP IB Cricket Season 2'!$H$20:$H$131=Q27)*('PvP IB Cricket Season 2'!$O$20:$O$131))+SUMPRODUCT(('PvP IB Cricket Season 2'!$G$20:$G$131='PvP IB Cricket Season 2'!$AC$10)*('PvP IB Cricket Season 2'!$L$20:$L$131=Q27)*('PvP IB Cricket Season 2'!$K$20:$K$131)))</f>
        <v/>
      </c>
      <c r="AB27" s="241" t="str">
        <f t="shared" si="51"/>
        <v/>
      </c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</row>
    <row r="28" spans="1:42" ht="20.100000000000001" customHeight="1" thickBot="1" x14ac:dyDescent="0.35">
      <c r="A28" s="38"/>
      <c r="B28" s="224">
        <v>10</v>
      </c>
      <c r="C28" s="225" t="str">
        <f t="shared" si="32"/>
        <v/>
      </c>
      <c r="D28" s="226" t="str">
        <f t="shared" si="33"/>
        <v/>
      </c>
      <c r="E28" s="226" t="str">
        <f t="shared" si="34"/>
        <v/>
      </c>
      <c r="F28" s="226" t="str">
        <f t="shared" si="35"/>
        <v/>
      </c>
      <c r="G28" s="226" t="str">
        <f t="shared" si="36"/>
        <v/>
      </c>
      <c r="H28" s="226" t="str">
        <f t="shared" si="37"/>
        <v/>
      </c>
      <c r="I28" s="227" t="str">
        <f t="shared" si="38"/>
        <v/>
      </c>
      <c r="J28" s="226" t="str">
        <f t="shared" si="39"/>
        <v/>
      </c>
      <c r="K28" s="228" t="str">
        <f t="array" ref="K28">IF(C28="","",SUMPRODUCT(('PvP IB Cricket Season 2'!$G$20:$G$131='PvP IB Cricket Season 2'!$AC$8)*('PvP IB Cricket Season 2'!$H$20:$H$131=C28)*('PvP IB Cricket Season 2'!$K$20:$K$131))+SUMPRODUCT(('PvP IB Cricket Season 2'!$G$20:$G$131='PvP IB Cricket Season 2'!$AC$8)*('PvP IB Cricket Season 2'!$L$20:$L$131=C28)*('PvP IB Cricket Season 2'!$O$20:$O$131)))</f>
        <v/>
      </c>
      <c r="L28" s="226" t="str">
        <f t="shared" si="40"/>
        <v/>
      </c>
      <c r="M28" s="228" t="str">
        <f t="array" ref="M28">IF(C28="","",SUMPRODUCT(('PvP IB Cricket Season 2'!$G$20:$G$131='PvP IB Cricket Season 2'!$AC$8)*('PvP IB Cricket Season 2'!$H$20:$H$131=C28)*('PvP IB Cricket Season 2'!$O$20:$O$131))+SUMPRODUCT(('PvP IB Cricket Season 2'!$G$20:$G$131='PvP IB Cricket Season 2'!$AC$8)*('PvP IB Cricket Season 2'!$L$20:$L$131=C28)*('PvP IB Cricket Season 2'!$K$20:$K$131)))</f>
        <v/>
      </c>
      <c r="N28" s="229" t="str">
        <f t="shared" si="41"/>
        <v/>
      </c>
      <c r="O28" s="38"/>
      <c r="P28" s="242">
        <v>10</v>
      </c>
      <c r="Q28" s="243" t="str">
        <f t="shared" si="42"/>
        <v/>
      </c>
      <c r="R28" s="244" t="str">
        <f t="shared" si="43"/>
        <v/>
      </c>
      <c r="S28" s="244" t="str">
        <f t="shared" si="44"/>
        <v/>
      </c>
      <c r="T28" s="244" t="str">
        <f t="shared" si="45"/>
        <v/>
      </c>
      <c r="U28" s="244" t="str">
        <f t="shared" si="46"/>
        <v/>
      </c>
      <c r="V28" s="244" t="str">
        <f t="shared" si="47"/>
        <v/>
      </c>
      <c r="W28" s="245" t="str">
        <f t="shared" si="48"/>
        <v/>
      </c>
      <c r="X28" s="244" t="str">
        <f t="shared" si="49"/>
        <v/>
      </c>
      <c r="Y28" s="246" t="str">
        <f t="array" ref="Y28">IF(Q28="","",SUMPRODUCT(('PvP IB Cricket Season 2'!$G$20:$G$131='PvP IB Cricket Season 2'!$AC$10)*('PvP IB Cricket Season 2'!$H$20:$H$131=Q28)*('PvP IB Cricket Season 2'!$K$20:$K$131))+SUMPRODUCT(('PvP IB Cricket Season 2'!$G$20:$G$131='PvP IB Cricket Season 2'!$AC$10)*('PvP IB Cricket Season 2'!$L$20:$L$131=Q28)*('PvP IB Cricket Season 2'!$O$20:$O$131)))</f>
        <v/>
      </c>
      <c r="Z28" s="244" t="str">
        <f t="shared" si="50"/>
        <v/>
      </c>
      <c r="AA28" s="246" t="str">
        <f t="array" ref="AA28">IF(Q28="","",SUMPRODUCT(('PvP IB Cricket Season 2'!$G$20:$G$131='PvP IB Cricket Season 2'!$AC$10)*('PvP IB Cricket Season 2'!$H$20:$H$131=Q28)*('PvP IB Cricket Season 2'!$O$20:$O$131))+SUMPRODUCT(('PvP IB Cricket Season 2'!$G$20:$G$131='PvP IB Cricket Season 2'!$AC$10)*('PvP IB Cricket Season 2'!$L$20:$L$131=Q28)*('PvP IB Cricket Season 2'!$K$20:$K$131)))</f>
        <v/>
      </c>
      <c r="AB28" s="247" t="str">
        <f t="shared" si="51"/>
        <v/>
      </c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</row>
    <row r="29" spans="1:42" ht="20.100000000000001" customHeight="1" x14ac:dyDescent="0.3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</row>
    <row r="30" spans="1:42" x14ac:dyDescent="0.3">
      <c r="A30" s="38"/>
      <c r="B30" s="39" t="s">
        <v>4296</v>
      </c>
      <c r="C30" s="38"/>
      <c r="D30" s="38"/>
      <c r="E30" s="38"/>
      <c r="F30" s="38"/>
      <c r="G30" s="38"/>
      <c r="H30" s="38"/>
      <c r="I30" s="38"/>
      <c r="J30" s="40" t="s">
        <v>4297</v>
      </c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</row>
    <row r="31" spans="1:42" x14ac:dyDescent="0.3">
      <c r="A31" s="38"/>
      <c r="B31" s="40" t="s">
        <v>4298</v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</row>
    <row r="32" spans="1:42" x14ac:dyDescent="0.3">
      <c r="A32" s="38"/>
      <c r="B32" s="41" t="s">
        <v>4299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</row>
    <row r="33" spans="1:42" x14ac:dyDescent="0.3">
      <c r="A33" s="38"/>
      <c r="B33" s="42" t="s">
        <v>4300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</row>
    <row r="34" spans="1:42" x14ac:dyDescent="0.3">
      <c r="A34" s="38"/>
      <c r="B34" s="42" t="s">
        <v>4301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</row>
    <row r="35" spans="1:42" x14ac:dyDescent="0.3">
      <c r="A35" s="38"/>
      <c r="B35" s="38" t="s">
        <v>4302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</row>
    <row r="37" spans="1:42" x14ac:dyDescent="0.3">
      <c r="B37" s="320" t="s">
        <v>4303</v>
      </c>
      <c r="C37" s="290"/>
      <c r="D37" s="290"/>
      <c r="E37" s="291"/>
    </row>
    <row r="38" spans="1:42" x14ac:dyDescent="0.3">
      <c r="B38" s="248" t="s">
        <v>10</v>
      </c>
      <c r="C38" s="248" t="s">
        <v>4304</v>
      </c>
      <c r="D38" s="310" t="s">
        <v>4305</v>
      </c>
      <c r="E38" s="290"/>
      <c r="F38" s="291"/>
      <c r="G38" s="310" t="s">
        <v>4306</v>
      </c>
      <c r="H38" s="290"/>
      <c r="I38" s="290"/>
      <c r="J38" s="291"/>
    </row>
    <row r="39" spans="1:42" x14ac:dyDescent="0.3">
      <c r="B39" s="249" t="str">
        <f>'PvP IB Cricket Season 2'!$AC$7</f>
        <v>Elite</v>
      </c>
      <c r="C39" s="148">
        <v>2</v>
      </c>
      <c r="D39" s="306" t="s">
        <v>4307</v>
      </c>
      <c r="E39" s="290"/>
      <c r="F39" s="291"/>
      <c r="G39" s="306" t="s">
        <v>4308</v>
      </c>
      <c r="H39" s="290"/>
      <c r="I39" s="290"/>
      <c r="J39" s="291"/>
    </row>
    <row r="40" spans="1:42" x14ac:dyDescent="0.3">
      <c r="B40" s="249" t="str">
        <f>'PvP IB Cricket Season 2'!$AC$8</f>
        <v>Super</v>
      </c>
      <c r="C40" s="148">
        <v>3</v>
      </c>
      <c r="D40" s="306" t="s">
        <v>4309</v>
      </c>
      <c r="E40" s="290"/>
      <c r="F40" s="291"/>
      <c r="G40" s="306" t="s">
        <v>4310</v>
      </c>
      <c r="H40" s="290"/>
      <c r="I40" s="290"/>
      <c r="J40" s="291"/>
    </row>
    <row r="41" spans="1:42" x14ac:dyDescent="0.3">
      <c r="B41" s="249" t="str">
        <f>'PvP IB Cricket Season 2'!$AC$9</f>
        <v>Golden</v>
      </c>
      <c r="C41" s="148">
        <v>2</v>
      </c>
      <c r="D41" s="306" t="s">
        <v>4311</v>
      </c>
      <c r="E41" s="290"/>
      <c r="F41" s="291"/>
      <c r="G41" s="306" t="s">
        <v>4312</v>
      </c>
      <c r="H41" s="290"/>
      <c r="I41" s="290"/>
      <c r="J41" s="291"/>
    </row>
    <row r="42" spans="1:42" x14ac:dyDescent="0.3">
      <c r="B42" s="249" t="str">
        <f>'PvP IB Cricket Season 2'!$AC$10</f>
        <v>Challenger</v>
      </c>
      <c r="C42" s="148">
        <v>1</v>
      </c>
      <c r="D42" s="306" t="s">
        <v>4313</v>
      </c>
      <c r="E42" s="290"/>
      <c r="F42" s="291"/>
      <c r="G42" s="306" t="s">
        <v>4314</v>
      </c>
      <c r="H42" s="290"/>
      <c r="I42" s="290"/>
      <c r="J42" s="291"/>
    </row>
  </sheetData>
  <mergeCells count="20">
    <mergeCell ref="B2:AB2"/>
    <mergeCell ref="G41:J41"/>
    <mergeCell ref="G40:J40"/>
    <mergeCell ref="B4:N4"/>
    <mergeCell ref="CJ4:CW4"/>
    <mergeCell ref="D39:F39"/>
    <mergeCell ref="P4:AB4"/>
    <mergeCell ref="G42:J42"/>
    <mergeCell ref="D42:F42"/>
    <mergeCell ref="D38:F38"/>
    <mergeCell ref="G39:J39"/>
    <mergeCell ref="BF4:BS4"/>
    <mergeCell ref="G38:J38"/>
    <mergeCell ref="AQ4:BD4"/>
    <mergeCell ref="B17:N17"/>
    <mergeCell ref="D40:F40"/>
    <mergeCell ref="BU4:CH4"/>
    <mergeCell ref="P17:AB17"/>
    <mergeCell ref="B37:E37"/>
    <mergeCell ref="D41:F41"/>
  </mergeCells>
  <conditionalFormatting sqref="B6:N15">
    <cfRule type="expression" dxfId="3" priority="25">
      <formula>AND($B6&lt;&gt;"",$B6&lt;=$C$39)</formula>
    </cfRule>
  </conditionalFormatting>
  <conditionalFormatting sqref="B19:N28">
    <cfRule type="expression" dxfId="2" priority="26">
      <formula>AND($B19&lt;&gt;"",$B19&lt;=$C$40)</formula>
    </cfRule>
  </conditionalFormatting>
  <conditionalFormatting sqref="P6:AB15">
    <cfRule type="expression" dxfId="1" priority="27">
      <formula>AND($P6&lt;&gt;"",$P6&lt;=$C$41)</formula>
    </cfRule>
  </conditionalFormatting>
  <conditionalFormatting sqref="P19:AB28">
    <cfRule type="expression" dxfId="0" priority="28">
      <formula>AND($P19&lt;&gt;"",$P19&lt;=$C$42)</formula>
    </cfRule>
  </conditionalFormatting>
  <dataValidations count="1">
    <dataValidation type="whole" allowBlank="1" showInputMessage="1" showErrorMessage="1" errorTitle="Invalid qualifier count" error="Enter a whole number from 1 to 10." promptTitle="Qualifiers for this group" prompt="Enter how many teams qualify from this group." sqref="C39:C42" xr:uid="{00000000-0002-0000-0500-000000000000}">
      <formula1>1</formula1>
      <formula2>10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E5:H62"/>
  <sheetViews>
    <sheetView topLeftCell="C1" workbookViewId="0">
      <selection activeCell="H22" sqref="H22"/>
    </sheetView>
  </sheetViews>
  <sheetFormatPr defaultRowHeight="14.4" x14ac:dyDescent="0.3"/>
  <cols>
    <col min="5" max="5" width="58.88671875" bestFit="1" customWidth="1"/>
    <col min="7" max="7" width="2" bestFit="1" customWidth="1"/>
    <col min="8" max="8" width="16" bestFit="1" customWidth="1"/>
  </cols>
  <sheetData>
    <row r="5" spans="5:8" ht="15.6" customHeight="1" x14ac:dyDescent="0.3">
      <c r="E5" t="s">
        <v>4315</v>
      </c>
      <c r="G5" s="325" t="s">
        <v>4316</v>
      </c>
      <c r="H5" s="291"/>
    </row>
    <row r="6" spans="5:8" x14ac:dyDescent="0.3">
      <c r="E6" t="s">
        <v>4317</v>
      </c>
      <c r="G6" s="140" t="s">
        <v>48</v>
      </c>
      <c r="H6" s="134" t="s">
        <v>4318</v>
      </c>
    </row>
    <row r="7" spans="5:8" x14ac:dyDescent="0.3">
      <c r="E7" t="s">
        <v>4319</v>
      </c>
      <c r="G7" s="141">
        <v>1</v>
      </c>
      <c r="H7" s="135" t="s">
        <v>4320</v>
      </c>
    </row>
    <row r="8" spans="5:8" x14ac:dyDescent="0.3">
      <c r="E8" t="s">
        <v>4321</v>
      </c>
      <c r="G8" s="142">
        <v>2</v>
      </c>
      <c r="H8" s="136" t="s">
        <v>4322</v>
      </c>
    </row>
    <row r="9" spans="5:8" x14ac:dyDescent="0.3">
      <c r="E9" t="s">
        <v>4323</v>
      </c>
      <c r="G9" s="141">
        <v>3</v>
      </c>
      <c r="H9" s="135" t="s">
        <v>4324</v>
      </c>
    </row>
    <row r="10" spans="5:8" x14ac:dyDescent="0.3">
      <c r="E10" t="s">
        <v>4325</v>
      </c>
      <c r="G10" s="142">
        <v>4</v>
      </c>
      <c r="H10" s="136" t="s">
        <v>71</v>
      </c>
    </row>
    <row r="11" spans="5:8" x14ac:dyDescent="0.3">
      <c r="E11" t="s">
        <v>4326</v>
      </c>
      <c r="G11" s="141">
        <v>5</v>
      </c>
      <c r="H11" s="135" t="s">
        <v>72</v>
      </c>
    </row>
    <row r="12" spans="5:8" x14ac:dyDescent="0.3">
      <c r="E12" t="s">
        <v>4327</v>
      </c>
      <c r="G12" s="142">
        <v>6</v>
      </c>
      <c r="H12" s="136" t="s">
        <v>4328</v>
      </c>
    </row>
    <row r="13" spans="5:8" x14ac:dyDescent="0.3">
      <c r="E13" t="s">
        <v>4329</v>
      </c>
      <c r="G13" s="141">
        <v>7</v>
      </c>
      <c r="H13" s="135" t="s">
        <v>56</v>
      </c>
    </row>
    <row r="14" spans="5:8" x14ac:dyDescent="0.3">
      <c r="E14" t="s">
        <v>4330</v>
      </c>
      <c r="G14" s="142">
        <v>8</v>
      </c>
      <c r="H14" s="136" t="s">
        <v>4331</v>
      </c>
    </row>
    <row r="15" spans="5:8" x14ac:dyDescent="0.3">
      <c r="E15" t="s">
        <v>4332</v>
      </c>
    </row>
    <row r="16" spans="5:8" x14ac:dyDescent="0.3">
      <c r="E16" t="s">
        <v>4333</v>
      </c>
    </row>
    <row r="17" spans="5:8" ht="15.6" customHeight="1" x14ac:dyDescent="0.3">
      <c r="E17" t="s">
        <v>4334</v>
      </c>
      <c r="G17" s="326" t="s">
        <v>4335</v>
      </c>
      <c r="H17" s="291"/>
    </row>
    <row r="18" spans="5:8" x14ac:dyDescent="0.3">
      <c r="E18" t="s">
        <v>4336</v>
      </c>
      <c r="G18" s="32" t="s">
        <v>48</v>
      </c>
      <c r="H18" s="137" t="s">
        <v>4318</v>
      </c>
    </row>
    <row r="19" spans="5:8" x14ac:dyDescent="0.3">
      <c r="E19" t="s">
        <v>4337</v>
      </c>
      <c r="G19" s="30">
        <v>1</v>
      </c>
      <c r="H19" s="138" t="s">
        <v>4338</v>
      </c>
    </row>
    <row r="20" spans="5:8" x14ac:dyDescent="0.3">
      <c r="E20" t="s">
        <v>4339</v>
      </c>
      <c r="G20" s="143">
        <v>2</v>
      </c>
      <c r="H20" s="139" t="s">
        <v>4340</v>
      </c>
    </row>
    <row r="21" spans="5:8" x14ac:dyDescent="0.3">
      <c r="E21" t="s">
        <v>4341</v>
      </c>
      <c r="G21" s="30">
        <v>3</v>
      </c>
      <c r="H21" s="138" t="s">
        <v>2</v>
      </c>
    </row>
    <row r="22" spans="5:8" x14ac:dyDescent="0.3">
      <c r="E22" t="s">
        <v>4342</v>
      </c>
      <c r="G22" s="143">
        <v>4</v>
      </c>
      <c r="H22" s="139" t="s">
        <v>4343</v>
      </c>
    </row>
    <row r="23" spans="5:8" x14ac:dyDescent="0.3">
      <c r="E23" t="s">
        <v>4344</v>
      </c>
      <c r="G23" s="30">
        <v>5</v>
      </c>
      <c r="H23" s="138" t="s">
        <v>63</v>
      </c>
    </row>
    <row r="24" spans="5:8" x14ac:dyDescent="0.3">
      <c r="E24" t="s">
        <v>4345</v>
      </c>
      <c r="G24" s="143">
        <v>6</v>
      </c>
      <c r="H24" s="139" t="s">
        <v>4346</v>
      </c>
    </row>
    <row r="25" spans="5:8" x14ac:dyDescent="0.3">
      <c r="E25" t="s">
        <v>4347</v>
      </c>
      <c r="G25" s="30">
        <v>7</v>
      </c>
      <c r="H25" s="138" t="s">
        <v>4348</v>
      </c>
    </row>
    <row r="26" spans="5:8" x14ac:dyDescent="0.3">
      <c r="E26" t="s">
        <v>4349</v>
      </c>
      <c r="G26" s="143">
        <v>8</v>
      </c>
      <c r="H26" s="139" t="s">
        <v>4350</v>
      </c>
    </row>
    <row r="27" spans="5:8" x14ac:dyDescent="0.3">
      <c r="E27" t="s">
        <v>4351</v>
      </c>
    </row>
    <row r="28" spans="5:8" x14ac:dyDescent="0.3">
      <c r="E28" t="s">
        <v>4352</v>
      </c>
    </row>
    <row r="29" spans="5:8" x14ac:dyDescent="0.3">
      <c r="E29" t="s">
        <v>4353</v>
      </c>
    </row>
    <row r="30" spans="5:8" x14ac:dyDescent="0.3">
      <c r="E30" t="s">
        <v>4354</v>
      </c>
    </row>
    <row r="31" spans="5:8" x14ac:dyDescent="0.3">
      <c r="E31" t="s">
        <v>4355</v>
      </c>
    </row>
    <row r="32" spans="5:8" x14ac:dyDescent="0.3">
      <c r="E32" t="s">
        <v>4356</v>
      </c>
    </row>
    <row r="33" spans="5:5" x14ac:dyDescent="0.3">
      <c r="E33" t="s">
        <v>4357</v>
      </c>
    </row>
    <row r="34" spans="5:5" x14ac:dyDescent="0.3">
      <c r="E34" t="s">
        <v>4358</v>
      </c>
    </row>
    <row r="35" spans="5:5" x14ac:dyDescent="0.3">
      <c r="E35" t="s">
        <v>4359</v>
      </c>
    </row>
    <row r="36" spans="5:5" x14ac:dyDescent="0.3">
      <c r="E36" t="s">
        <v>4360</v>
      </c>
    </row>
    <row r="37" spans="5:5" x14ac:dyDescent="0.3">
      <c r="E37" t="s">
        <v>4361</v>
      </c>
    </row>
    <row r="38" spans="5:5" x14ac:dyDescent="0.3">
      <c r="E38" t="s">
        <v>4362</v>
      </c>
    </row>
    <row r="39" spans="5:5" x14ac:dyDescent="0.3">
      <c r="E39" t="s">
        <v>4363</v>
      </c>
    </row>
    <row r="40" spans="5:5" x14ac:dyDescent="0.3">
      <c r="E40" t="s">
        <v>4364</v>
      </c>
    </row>
    <row r="41" spans="5:5" x14ac:dyDescent="0.3">
      <c r="E41" t="s">
        <v>4365</v>
      </c>
    </row>
    <row r="42" spans="5:5" x14ac:dyDescent="0.3">
      <c r="E42" t="s">
        <v>4366</v>
      </c>
    </row>
    <row r="43" spans="5:5" x14ac:dyDescent="0.3">
      <c r="E43" t="s">
        <v>4367</v>
      </c>
    </row>
    <row r="44" spans="5:5" x14ac:dyDescent="0.3">
      <c r="E44" t="s">
        <v>4368</v>
      </c>
    </row>
    <row r="45" spans="5:5" x14ac:dyDescent="0.3">
      <c r="E45" t="s">
        <v>4369</v>
      </c>
    </row>
    <row r="46" spans="5:5" x14ac:dyDescent="0.3">
      <c r="E46" t="s">
        <v>4370</v>
      </c>
    </row>
    <row r="47" spans="5:5" x14ac:dyDescent="0.3">
      <c r="E47" t="s">
        <v>4371</v>
      </c>
    </row>
    <row r="48" spans="5:5" x14ac:dyDescent="0.3">
      <c r="E48" t="s">
        <v>4372</v>
      </c>
    </row>
    <row r="49" spans="5:5" x14ac:dyDescent="0.3">
      <c r="E49" t="s">
        <v>4373</v>
      </c>
    </row>
    <row r="50" spans="5:5" x14ac:dyDescent="0.3">
      <c r="E50" t="s">
        <v>4374</v>
      </c>
    </row>
    <row r="51" spans="5:5" x14ac:dyDescent="0.3">
      <c r="E51" t="s">
        <v>4375</v>
      </c>
    </row>
    <row r="52" spans="5:5" x14ac:dyDescent="0.3">
      <c r="E52" t="s">
        <v>4376</v>
      </c>
    </row>
    <row r="53" spans="5:5" x14ac:dyDescent="0.3">
      <c r="E53" t="s">
        <v>4377</v>
      </c>
    </row>
    <row r="54" spans="5:5" x14ac:dyDescent="0.3">
      <c r="E54" t="s">
        <v>4378</v>
      </c>
    </row>
    <row r="55" spans="5:5" x14ac:dyDescent="0.3">
      <c r="E55" t="s">
        <v>4379</v>
      </c>
    </row>
    <row r="56" spans="5:5" x14ac:dyDescent="0.3">
      <c r="E56" t="s">
        <v>4380</v>
      </c>
    </row>
    <row r="57" spans="5:5" x14ac:dyDescent="0.3">
      <c r="E57" t="s">
        <v>4381</v>
      </c>
    </row>
    <row r="58" spans="5:5" x14ac:dyDescent="0.3">
      <c r="E58" t="s">
        <v>4382</v>
      </c>
    </row>
    <row r="59" spans="5:5" x14ac:dyDescent="0.3">
      <c r="E59" t="s">
        <v>4383</v>
      </c>
    </row>
    <row r="60" spans="5:5" x14ac:dyDescent="0.3">
      <c r="E60" t="s">
        <v>4384</v>
      </c>
    </row>
    <row r="61" spans="5:5" x14ac:dyDescent="0.3">
      <c r="E61" t="s">
        <v>4385</v>
      </c>
    </row>
    <row r="62" spans="5:5" x14ac:dyDescent="0.3">
      <c r="E62" t="s">
        <v>4386</v>
      </c>
    </row>
  </sheetData>
  <mergeCells count="2">
    <mergeCell ref="G5:H5"/>
    <mergeCell ref="G17:H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tabSelected="1" workbookViewId="0">
      <selection activeCell="A2" sqref="A2:L10"/>
    </sheetView>
  </sheetViews>
  <sheetFormatPr defaultRowHeight="14.4" x14ac:dyDescent="0.3"/>
  <cols>
    <col min="1" max="1" width="15.44140625" bestFit="1" customWidth="1"/>
    <col min="2" max="2" width="9.5546875" bestFit="1" customWidth="1"/>
  </cols>
  <sheetData>
    <row r="1" spans="1:12" x14ac:dyDescent="0.3">
      <c r="A1" t="s">
        <v>4387</v>
      </c>
      <c r="B1" t="s">
        <v>10</v>
      </c>
      <c r="C1" t="s">
        <v>4388</v>
      </c>
      <c r="D1" t="s">
        <v>4389</v>
      </c>
      <c r="E1" t="s">
        <v>4390</v>
      </c>
      <c r="F1" t="s">
        <v>4391</v>
      </c>
      <c r="G1" t="s">
        <v>4392</v>
      </c>
      <c r="H1" t="s">
        <v>4393</v>
      </c>
      <c r="I1" t="s">
        <v>4394</v>
      </c>
      <c r="J1" t="s">
        <v>4395</v>
      </c>
      <c r="K1" t="s">
        <v>20</v>
      </c>
      <c r="L1" t="s">
        <v>4396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0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10</v>
      </c>
      <c r="B1" t="s">
        <v>88</v>
      </c>
    </row>
    <row r="2" spans="1:2" x14ac:dyDescent="0.3">
      <c r="A2" t="s">
        <v>21</v>
      </c>
      <c r="B2" t="s">
        <v>56</v>
      </c>
    </row>
    <row r="3" spans="1:2" x14ac:dyDescent="0.3">
      <c r="A3" t="s">
        <v>21</v>
      </c>
      <c r="B3" t="s">
        <v>57</v>
      </c>
    </row>
    <row r="4" spans="1:2" x14ac:dyDescent="0.3">
      <c r="A4" t="s">
        <v>21</v>
      </c>
      <c r="B4" t="s">
        <v>2</v>
      </c>
    </row>
    <row r="5" spans="1:2" x14ac:dyDescent="0.3">
      <c r="A5" t="s">
        <v>23</v>
      </c>
      <c r="B5" t="s">
        <v>58</v>
      </c>
    </row>
    <row r="6" spans="1:2" x14ac:dyDescent="0.3">
      <c r="A6" t="s">
        <v>23</v>
      </c>
      <c r="B6" t="s">
        <v>59</v>
      </c>
    </row>
    <row r="7" spans="1:2" x14ac:dyDescent="0.3">
      <c r="A7" t="s">
        <v>23</v>
      </c>
      <c r="B7" t="s">
        <v>60</v>
      </c>
    </row>
    <row r="8" spans="1:2" x14ac:dyDescent="0.3">
      <c r="A8" t="s">
        <v>23</v>
      </c>
      <c r="B8" t="s">
        <v>61</v>
      </c>
    </row>
    <row r="9" spans="1:2" x14ac:dyDescent="0.3">
      <c r="A9" t="s">
        <v>23</v>
      </c>
      <c r="B9" t="s">
        <v>62</v>
      </c>
    </row>
    <row r="10" spans="1:2" x14ac:dyDescent="0.3">
      <c r="A10" t="s">
        <v>23</v>
      </c>
      <c r="B10" t="s">
        <v>63</v>
      </c>
    </row>
    <row r="11" spans="1:2" x14ac:dyDescent="0.3">
      <c r="A11" t="s">
        <v>25</v>
      </c>
      <c r="B11" t="s">
        <v>64</v>
      </c>
    </row>
    <row r="12" spans="1:2" x14ac:dyDescent="0.3">
      <c r="A12" t="s">
        <v>25</v>
      </c>
      <c r="B12" t="s">
        <v>65</v>
      </c>
    </row>
    <row r="13" spans="1:2" x14ac:dyDescent="0.3">
      <c r="A13" t="s">
        <v>25</v>
      </c>
      <c r="B13" t="s">
        <v>66</v>
      </c>
    </row>
    <row r="14" spans="1:2" x14ac:dyDescent="0.3">
      <c r="A14" t="s">
        <v>25</v>
      </c>
      <c r="B14" t="s">
        <v>67</v>
      </c>
    </row>
    <row r="15" spans="1:2" x14ac:dyDescent="0.3">
      <c r="A15" t="s">
        <v>25</v>
      </c>
      <c r="B15" t="s">
        <v>68</v>
      </c>
    </row>
    <row r="16" spans="1:2" x14ac:dyDescent="0.3">
      <c r="A16" t="s">
        <v>28</v>
      </c>
      <c r="B16" t="s">
        <v>69</v>
      </c>
    </row>
    <row r="17" spans="1:2" x14ac:dyDescent="0.3">
      <c r="A17" t="s">
        <v>28</v>
      </c>
      <c r="B17" t="s">
        <v>70</v>
      </c>
    </row>
    <row r="18" spans="1:2" x14ac:dyDescent="0.3">
      <c r="A18" t="s">
        <v>28</v>
      </c>
      <c r="B18" t="s">
        <v>71</v>
      </c>
    </row>
    <row r="19" spans="1:2" x14ac:dyDescent="0.3">
      <c r="A19" t="s">
        <v>28</v>
      </c>
      <c r="B19" t="s">
        <v>72</v>
      </c>
    </row>
    <row r="20" spans="1:2" x14ac:dyDescent="0.3">
      <c r="A20" t="s">
        <v>28</v>
      </c>
      <c r="B20" t="s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3"/>
  <sheetViews>
    <sheetView topLeftCell="A4" workbookViewId="0">
      <selection activeCell="C20" sqref="C20:N24"/>
    </sheetView>
  </sheetViews>
  <sheetFormatPr defaultRowHeight="14.4" x14ac:dyDescent="0.3"/>
  <sheetData>
    <row r="1" spans="1:14" x14ac:dyDescent="0.3">
      <c r="A1" t="s">
        <v>4397</v>
      </c>
    </row>
    <row r="2" spans="1:14" x14ac:dyDescent="0.3">
      <c r="A2" t="s">
        <v>4280</v>
      </c>
      <c r="B2" t="s">
        <v>88</v>
      </c>
      <c r="C2" t="s">
        <v>4398</v>
      </c>
      <c r="D2" t="s">
        <v>4399</v>
      </c>
      <c r="E2" t="s">
        <v>4400</v>
      </c>
      <c r="F2" t="s">
        <v>4401</v>
      </c>
      <c r="G2" t="s">
        <v>4402</v>
      </c>
      <c r="H2" t="s">
        <v>4291</v>
      </c>
      <c r="I2" t="s">
        <v>4403</v>
      </c>
      <c r="J2" t="s">
        <v>4404</v>
      </c>
      <c r="K2" t="s">
        <v>4405</v>
      </c>
      <c r="L2" t="s">
        <v>4406</v>
      </c>
      <c r="M2" t="s">
        <v>4407</v>
      </c>
      <c r="N2" t="s">
        <v>4290</v>
      </c>
    </row>
    <row r="3" spans="1:14" x14ac:dyDescent="0.3">
      <c r="A3">
        <v>1</v>
      </c>
      <c r="B3" t="s">
        <v>56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4409</v>
      </c>
      <c r="M3" t="s">
        <v>4409</v>
      </c>
      <c r="N3">
        <v>0</v>
      </c>
    </row>
    <row r="4" spans="1:14" x14ac:dyDescent="0.3">
      <c r="A4">
        <v>2</v>
      </c>
      <c r="B4" t="s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4409</v>
      </c>
      <c r="M4" t="s">
        <v>4409</v>
      </c>
      <c r="N4">
        <v>0</v>
      </c>
    </row>
    <row r="5" spans="1:14" x14ac:dyDescent="0.3">
      <c r="A5">
        <v>3</v>
      </c>
      <c r="B5" t="s">
        <v>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4409</v>
      </c>
      <c r="M5" t="s">
        <v>4409</v>
      </c>
      <c r="N5">
        <v>0</v>
      </c>
    </row>
    <row r="6" spans="1:14" x14ac:dyDescent="0.3"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4409</v>
      </c>
      <c r="M6" t="s">
        <v>4409</v>
      </c>
      <c r="N6">
        <v>0</v>
      </c>
    </row>
    <row r="8" spans="1:14" x14ac:dyDescent="0.3">
      <c r="A8" t="s">
        <v>4408</v>
      </c>
    </row>
    <row r="9" spans="1:14" x14ac:dyDescent="0.3">
      <c r="A9" t="s">
        <v>4280</v>
      </c>
      <c r="B9" t="s">
        <v>88</v>
      </c>
      <c r="C9" t="s">
        <v>4398</v>
      </c>
      <c r="D9" t="s">
        <v>4399</v>
      </c>
      <c r="E9" t="s">
        <v>4400</v>
      </c>
      <c r="F9" t="s">
        <v>4401</v>
      </c>
      <c r="G9" t="s">
        <v>4402</v>
      </c>
      <c r="H9" t="s">
        <v>4291</v>
      </c>
      <c r="I9" t="s">
        <v>4403</v>
      </c>
      <c r="J9" t="s">
        <v>4404</v>
      </c>
      <c r="K9" t="s">
        <v>4405</v>
      </c>
      <c r="L9" t="s">
        <v>4406</v>
      </c>
      <c r="M9" t="s">
        <v>4407</v>
      </c>
      <c r="N9" t="s">
        <v>4290</v>
      </c>
    </row>
    <row r="10" spans="1:14" x14ac:dyDescent="0.3">
      <c r="A10">
        <v>1</v>
      </c>
      <c r="B10" t="s">
        <v>60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4409</v>
      </c>
      <c r="M10" t="s">
        <v>4409</v>
      </c>
      <c r="N10">
        <v>0</v>
      </c>
    </row>
    <row r="11" spans="1:14" x14ac:dyDescent="0.3">
      <c r="A11">
        <v>2</v>
      </c>
      <c r="B11" t="s">
        <v>63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4409</v>
      </c>
      <c r="M11" t="s">
        <v>4409</v>
      </c>
      <c r="N11">
        <v>0</v>
      </c>
    </row>
    <row r="12" spans="1:14" x14ac:dyDescent="0.3">
      <c r="A12">
        <v>3</v>
      </c>
      <c r="B12" t="s">
        <v>58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4409</v>
      </c>
      <c r="M12" t="s">
        <v>4409</v>
      </c>
      <c r="N12">
        <v>0</v>
      </c>
    </row>
    <row r="13" spans="1:14" x14ac:dyDescent="0.3">
      <c r="A13">
        <v>4</v>
      </c>
      <c r="B13" t="s">
        <v>59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4409</v>
      </c>
      <c r="M13" t="s">
        <v>4409</v>
      </c>
      <c r="N13">
        <v>0</v>
      </c>
    </row>
    <row r="14" spans="1:14" x14ac:dyDescent="0.3">
      <c r="A14">
        <v>5</v>
      </c>
      <c r="B14" t="s">
        <v>61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4409</v>
      </c>
      <c r="M14" t="s">
        <v>4409</v>
      </c>
      <c r="N14">
        <v>0</v>
      </c>
    </row>
    <row r="15" spans="1:14" x14ac:dyDescent="0.3">
      <c r="A15">
        <v>6</v>
      </c>
      <c r="B15" t="s">
        <v>62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4409</v>
      </c>
      <c r="M15" t="s">
        <v>4409</v>
      </c>
      <c r="N15">
        <v>0</v>
      </c>
    </row>
    <row r="16" spans="1:14" x14ac:dyDescent="0.3"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4409</v>
      </c>
      <c r="M16" t="s">
        <v>4409</v>
      </c>
      <c r="N16">
        <v>0</v>
      </c>
    </row>
    <row r="18" spans="1:14" x14ac:dyDescent="0.3">
      <c r="A18" t="s">
        <v>4410</v>
      </c>
    </row>
    <row r="19" spans="1:14" x14ac:dyDescent="0.3">
      <c r="A19" t="s">
        <v>4280</v>
      </c>
      <c r="B19" t="s">
        <v>88</v>
      </c>
      <c r="C19" t="s">
        <v>4398</v>
      </c>
      <c r="D19" t="s">
        <v>4399</v>
      </c>
      <c r="E19" t="s">
        <v>4400</v>
      </c>
      <c r="F19" t="s">
        <v>4401</v>
      </c>
      <c r="G19" t="s">
        <v>4402</v>
      </c>
      <c r="H19" t="s">
        <v>4291</v>
      </c>
      <c r="I19" t="s">
        <v>4403</v>
      </c>
      <c r="J19" t="s">
        <v>4404</v>
      </c>
      <c r="K19" t="s">
        <v>4405</v>
      </c>
      <c r="L19" t="s">
        <v>4406</v>
      </c>
      <c r="M19" t="s">
        <v>4407</v>
      </c>
      <c r="N19" t="s">
        <v>4290</v>
      </c>
    </row>
    <row r="20" spans="1:14" x14ac:dyDescent="0.3">
      <c r="A20">
        <v>1</v>
      </c>
      <c r="B20" t="s">
        <v>66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4409</v>
      </c>
      <c r="M20" t="s">
        <v>4409</v>
      </c>
      <c r="N20">
        <v>0</v>
      </c>
    </row>
    <row r="21" spans="1:14" x14ac:dyDescent="0.3">
      <c r="A21">
        <v>2</v>
      </c>
      <c r="B21" t="s">
        <v>64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4409</v>
      </c>
      <c r="M21" t="s">
        <v>4409</v>
      </c>
      <c r="N21">
        <v>0</v>
      </c>
    </row>
    <row r="22" spans="1:14" x14ac:dyDescent="0.3">
      <c r="A22">
        <v>3</v>
      </c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4409</v>
      </c>
      <c r="M22" t="s">
        <v>4409</v>
      </c>
      <c r="N22">
        <v>0</v>
      </c>
    </row>
    <row r="23" spans="1:14" x14ac:dyDescent="0.3">
      <c r="A23">
        <v>4</v>
      </c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4409</v>
      </c>
      <c r="M23" t="s">
        <v>4409</v>
      </c>
      <c r="N23">
        <v>0</v>
      </c>
    </row>
    <row r="24" spans="1:14" x14ac:dyDescent="0.3">
      <c r="A24">
        <v>5</v>
      </c>
      <c r="B24" t="s">
        <v>68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4409</v>
      </c>
      <c r="M24" t="s">
        <v>4409</v>
      </c>
      <c r="N24">
        <v>0</v>
      </c>
    </row>
    <row r="27" spans="1:14" x14ac:dyDescent="0.3">
      <c r="A27" t="s">
        <v>4411</v>
      </c>
    </row>
    <row r="28" spans="1:14" x14ac:dyDescent="0.3">
      <c r="A28" t="s">
        <v>4280</v>
      </c>
      <c r="B28" t="s">
        <v>88</v>
      </c>
      <c r="C28" t="s">
        <v>4398</v>
      </c>
      <c r="D28" t="s">
        <v>4399</v>
      </c>
      <c r="E28" t="s">
        <v>4400</v>
      </c>
      <c r="F28" t="s">
        <v>4401</v>
      </c>
      <c r="G28" t="s">
        <v>4402</v>
      </c>
      <c r="H28" t="s">
        <v>4291</v>
      </c>
      <c r="I28" t="s">
        <v>4403</v>
      </c>
      <c r="J28" t="s">
        <v>4404</v>
      </c>
      <c r="K28" t="s">
        <v>4405</v>
      </c>
      <c r="L28" t="s">
        <v>4406</v>
      </c>
      <c r="M28" t="s">
        <v>4407</v>
      </c>
      <c r="N28" t="s">
        <v>4290</v>
      </c>
    </row>
    <row r="29" spans="1:14" x14ac:dyDescent="0.3">
      <c r="A29">
        <v>1</v>
      </c>
      <c r="B29" t="s">
        <v>69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4409</v>
      </c>
      <c r="M29" t="s">
        <v>4409</v>
      </c>
      <c r="N29">
        <v>0</v>
      </c>
    </row>
    <row r="30" spans="1:14" x14ac:dyDescent="0.3">
      <c r="A30">
        <v>2</v>
      </c>
      <c r="B30" t="s">
        <v>70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4409</v>
      </c>
      <c r="M30" t="s">
        <v>4409</v>
      </c>
      <c r="N30">
        <v>0</v>
      </c>
    </row>
    <row r="31" spans="1:14" x14ac:dyDescent="0.3">
      <c r="A31">
        <v>3</v>
      </c>
      <c r="B31" t="s">
        <v>71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4409</v>
      </c>
      <c r="M31" t="s">
        <v>4409</v>
      </c>
      <c r="N31">
        <v>0</v>
      </c>
    </row>
    <row r="32" spans="1:14" x14ac:dyDescent="0.3">
      <c r="A32">
        <v>4</v>
      </c>
      <c r="B32" t="s">
        <v>72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4409</v>
      </c>
      <c r="M32" t="s">
        <v>4409</v>
      </c>
      <c r="N32">
        <v>0</v>
      </c>
    </row>
    <row r="33" spans="1:14" x14ac:dyDescent="0.3">
      <c r="A33">
        <v>5</v>
      </c>
      <c r="B33" t="s">
        <v>73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4409</v>
      </c>
      <c r="M33" t="s">
        <v>4409</v>
      </c>
      <c r="N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21</vt:i4>
      </vt:variant>
    </vt:vector>
  </HeadingPairs>
  <TitlesOfParts>
    <vt:vector size="31" baseType="lpstr">
      <vt:lpstr>Rawdata_Match</vt:lpstr>
      <vt:lpstr>RawData_Worm</vt:lpstr>
      <vt:lpstr>RawData_Matches</vt:lpstr>
      <vt:lpstr>Lookup_TEAMS</vt:lpstr>
      <vt:lpstr>PvP IB Cricket Season 2</vt:lpstr>
      <vt:lpstr>Points_Tables</vt:lpstr>
      <vt:lpstr>Sheet1</vt:lpstr>
      <vt:lpstr>Online_Match_Entry</vt:lpstr>
      <vt:lpstr>Teams_Master</vt:lpstr>
      <vt:lpstr>Calculated_Points_Table</vt:lpstr>
      <vt:lpstr>AFG</vt:lpstr>
      <vt:lpstr>AUS</vt:lpstr>
      <vt:lpstr>BAN</vt:lpstr>
      <vt:lpstr>BATROWS</vt:lpstr>
      <vt:lpstr>BOWLROWS</vt:lpstr>
      <vt:lpstr>ENG</vt:lpstr>
      <vt:lpstr>FLAGS</vt:lpstr>
      <vt:lpstr>IND</vt:lpstr>
      <vt:lpstr>IRE</vt:lpstr>
      <vt:lpstr>MatchNameList</vt:lpstr>
      <vt:lpstr>Matchnumlist</vt:lpstr>
      <vt:lpstr>NZ</vt:lpstr>
      <vt:lpstr>PAK</vt:lpstr>
      <vt:lpstr>SAF</vt:lpstr>
      <vt:lpstr>SCO</vt:lpstr>
      <vt:lpstr>SL</vt:lpstr>
      <vt:lpstr>TEAMABR</vt:lpstr>
      <vt:lpstr>TEAMNMS</vt:lpstr>
      <vt:lpstr>UAE</vt:lpstr>
      <vt:lpstr>WI</vt:lpstr>
      <vt:lpstr>ZIM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indzara</dc:creator>
  <cp:lastModifiedBy>Varshney, Manish</cp:lastModifiedBy>
  <dcterms:created xsi:type="dcterms:W3CDTF">2015-01-20T06:55:21Z</dcterms:created>
  <dcterms:modified xsi:type="dcterms:W3CDTF">2026-07-24T07:49:10Z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